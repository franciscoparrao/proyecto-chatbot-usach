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vedrecs" sheetId="1" r:id="rId4"/>
  </sheets>
  <definedNames/>
  <calcPr/>
</workbook>
</file>

<file path=xl/sharedStrings.xml><?xml version="1.0" encoding="utf-8"?>
<sst xmlns="http://schemas.openxmlformats.org/spreadsheetml/2006/main" count="66130" uniqueCount="8202">
  <si>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</si>
  <si>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</si>
  <si>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</si>
  <si>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</si>
  <si>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</si>
  <si>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</si>
  <si>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</si>
  <si>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</si>
  <si>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</si>
  <si>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</si>
  <si>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</si>
  <si>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</si>
  <si>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</si>
  <si>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</si>
  <si>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</si>
  <si>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</si>
  <si>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</si>
  <si>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</si>
  <si>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</si>
  <si>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</si>
  <si>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</si>
  <si>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</si>
  <si>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</si>
  <si>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</si>
  <si>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</si>
  <si>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</si>
  <si>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</si>
  <si>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</si>
  <si>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</si>
  <si>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</si>
  <si>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</si>
  <si>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</si>
  <si>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</si>
  <si>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</si>
  <si>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</si>
  <si>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</si>
  <si>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</si>
  <si>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</si>
  <si>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</si>
  <si>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</si>
  <si>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</si>
  <si>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</si>
  <si>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</si>
  <si>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</si>
  <si>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</si>
  <si>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</si>
  <si>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</si>
  <si>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</si>
  <si>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</si>
  <si>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</si>
  <si>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</si>
  <si>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</si>
  <si>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</si>
  <si>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</si>
  <si>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</si>
  <si>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</si>
  <si>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</si>
  <si>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</si>
  <si>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</si>
  <si>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</si>
  <si>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</si>
  <si>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</si>
  <si>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</si>
  <si>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</si>
  <si>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</si>
  <si>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</si>
  <si>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</si>
  <si>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</si>
  <si>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</si>
  <si>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</si>
  <si>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</si>
  <si>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</si>
  <si>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</si>
  <si>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Ojeda, J; Escalona, N; Baeza, P; Escudey, M; Gil-Llambías, FJ</t>
  </si>
  <si>
    <t/>
  </si>
  <si>
    <t>Synergy between Mo/SiO2 and Co/SiO2 beds in HDS:: a remote control effect?</t>
  </si>
  <si>
    <t>CHEMICAL COMMUNICATIONS</t>
  </si>
  <si>
    <t>Synergy between beds of Mo/SiO2 and Co/SiO2 separated by 5 mm of SiO2 in the hydrodesulfurization (HDS) of gas oil, carried out in a high-pressure continuous-flow microreactor, was demonstrated.</t>
  </si>
  <si>
    <t>Escalona, Nestor/F-3593-2016</t>
  </si>
  <si>
    <t>Escalona Burgos, Nestor/0000-0002-2628-4609; Baeza Chandia, Patricio/0000-0003-1613-2860; Ojeda, Juan/0000-0002-9484-5017</t>
  </si>
  <si>
    <t>1359-7345</t>
  </si>
  <si>
    <t>1364-548X</t>
  </si>
  <si>
    <t>10.1039/b301647c</t>
  </si>
  <si>
    <t>WOS:000183482500068</t>
  </si>
  <si>
    <t>Hurtado, FM; Leyton, JV</t>
  </si>
  <si>
    <t>XII Chilian Symposium on Physics, Santiago, Chile November 22-24, 2000 - Preface</t>
  </si>
  <si>
    <t>REVISTA MEXICANA DE FISICA</t>
  </si>
  <si>
    <t>0035-001X</t>
  </si>
  <si>
    <t>DEC</t>
  </si>
  <si>
    <t>VI</t>
  </si>
  <si>
    <t>WOS:000180065500001</t>
  </si>
  <si>
    <t>C</t>
  </si>
  <si>
    <t>Perez, P; Palacios, R; Castillo, A</t>
  </si>
  <si>
    <t>Brebbia, CA; MartinDuque, JF</t>
  </si>
  <si>
    <t>Prediction of 8 hour average of carbon monoxide concentrations, in Santiago, Chile</t>
  </si>
  <si>
    <t>AIR POLLUTION X</t>
  </si>
  <si>
    <t>ADVANCES IN AIR POLLUTION SERIES</t>
  </si>
  <si>
    <t>10th International Conference on Modelling Monitoring and Management of Air Pollution</t>
  </si>
  <si>
    <t>JUL, 2002</t>
  </si>
  <si>
    <t>SEGOVIA, SPAIN</t>
  </si>
  <si>
    <t>Wessex Inst Technol,Computense Univ Madrid, Dept Geodyanam</t>
  </si>
  <si>
    <t>Carbon Monoxide (CO) is considered a harmful pollutant emitted mainly by motor vehicles. In large cities like Santiago, CO concentrations may reach values that exceed the norm that health organizations have established as a safe limit to which the population may be exposed ( 10 mg/m(3), 8 hour moving average), It is important to be able to predict with at least 30 hours in advance, when concentrations will exceed this limit, because restriction to vehicle circulation may imply it relevant decrease with respect to expected values when no actions are taken. We show here a study on the possibility to predict maximum values of 8 hour moving average of CO concentrations using past values of CO concentrations and meteorological forecasts as input to multi linear regressions and neural network models. The neural network model seems to leave more room to adjust free parameters with one year data in order to predict the following year values. We have worked with data of three years measured in two of the monitoring stations located in the urban area of Santiago.</t>
  </si>
  <si>
    <t>1369-5886</t>
  </si>
  <si>
    <t>1-85312-916-X</t>
  </si>
  <si>
    <t>WOS:000178339000064</t>
  </si>
  <si>
    <t>Contreras, ML; Alvarez, J; Riveros, M; Arias, G; Rozas, R</t>
  </si>
  <si>
    <t>Exhaustive generation of organic isomers.: 6.: Stereoisomers having isolated and spiro cycles and new extended N_tuples</t>
  </si>
  <si>
    <t>JOURNAL OF CHEMICAL INFORMATION AND COMPUTER SCIENCES</t>
  </si>
  <si>
    <t>A new stereoisomer generation system named CAMGEC2 for generation of stereoisomers containing isolated and spiro cycles with one or more descriptors among R, S, Z, E, M, and P is developed using Graph Theory. It includes new approaches for symmetry analysis, cycle detection processes in molecular graphs in a modular way, and also an extension of the N_tuple format for linear representation of molecular graphs that keeps graph topographical information.</t>
  </si>
  <si>
    <t>Merchan Riveros, Maria/MWP-2896-2025</t>
  </si>
  <si>
    <t>0095-2338</t>
  </si>
  <si>
    <t>JUL-AUG</t>
  </si>
  <si>
    <t>10.1021/ci0003395</t>
  </si>
  <si>
    <t>WOS:000170095200011</t>
  </si>
  <si>
    <t>Mery, D; Jaeger, T; Filbert, D</t>
  </si>
  <si>
    <t>Automated quality control of castings: State of the art</t>
  </si>
  <si>
    <t>TECHNISCHES MESSEN</t>
  </si>
  <si>
    <t>Radioscopy is increasingly used as a tool for non-destructive testing in industrial production. An example is the serial examination of cast light-alloy workpieces used in the automotive industry, like aluminum wheels and steering gears. The material defects occurring in the casting process such as cavities, gas, inclusions, and sponge must be detected to comply with security requirements; consequently, it is necessary to check 100% of the parts. Since most defects are not visible, x-ray imaging is used for this task. In this paper we present a review of the existing approaches of automated flaw detections in aluminum castings.</t>
  </si>
  <si>
    <t>Mery, Domingo/D-1385-2014</t>
  </si>
  <si>
    <t>Mery, Domingo/0000-0003-4748-3882</t>
  </si>
  <si>
    <t>0171-8096</t>
  </si>
  <si>
    <t>7-8</t>
  </si>
  <si>
    <t>10.1524/teme.2001.68.7-8.338</t>
  </si>
  <si>
    <t>WOS:000170787800004</t>
  </si>
  <si>
    <t>Aspée, A; Lissi, EA</t>
  </si>
  <si>
    <t>Kinetics and mechanism of the chemiluminescence associated with the free radical-mediated oxidation of amino acids</t>
  </si>
  <si>
    <t>LUMINESCENCE</t>
  </si>
  <si>
    <t>When amino acids are incubated in the presence of a free radical source [2,2'-azobis(2-amidinopropane) dihydrocloride], only tyrosine (Tyr) and tryptophan (Trp) produce significant chemiluminescence. The relationship between the observed light intensity, the rate of the oxidation process and the substrate concentration is complex and can not be explained in terms of the formation of excited states in termination processes involving two peroxyl radicals (Russell's mechanism). The observed increase in light emission with the incubation time, for both Trp and Tyr, would indicate the participation of more than one reaction product as intermediates in the pathways leading to the production of excited molecules. However, the fact that after product accumulation a high proportion of the observed luminescence is quenched by Trolox addition, implies that the main chemiluminescent process must involve the interaction of product(s) and free radicals. From the effect of added Ebselen, it is proposed that hydroperoxides and peroxides, formed along the reaction path, are the intermediates whose accumulation leads to the observed increase in chemiluminescence with elapsed time. The observed time profiles and the proposed mechanism strongly resemble those associated with the oxidation of complex biological systems, suggesting that protein oxidation could he one of the main sources of chemiluminescence in biological oxidations. Copyright (C) 2000 John Wiley &amp; Sons, Ltd.</t>
  </si>
  <si>
    <t>1522-7235</t>
  </si>
  <si>
    <t>SEP-OCT</t>
  </si>
  <si>
    <t>10.1002/1522-7243(200009/10)15:5&lt;273::AID-BIO591&gt;3.0.CO;2-M</t>
  </si>
  <si>
    <t>WOS:000090066800002</t>
  </si>
  <si>
    <t>Zeise, ML; Espinoza, J; Morales, P; Nalli, A</t>
  </si>
  <si>
    <t>Interleukin-1 beta does not increase synaptic inhibition in hippocampal CA3 pyramidal and dentate gyrus granule cells of the rat in vitro</t>
  </si>
  <si>
    <t>BRAIN RESEARCH</t>
  </si>
  <si>
    <t>Effects of interleukin-1 beta (bath-applied; 500 mu M) on rat hippocampal CA3 pyramidal and dentate granule cells were studied using intracellular microelectrode recording in vitro. In both cell types membrane input resistance, resting membrane potential and action potential amplitude remained stable throughout. No change was seen in postsynaptic potentials in granule cells. After blocking excitatory synaptic transmission in CA3 pyramids interleukin-1 beta was found to consistently decrease synaptic inhibition by about 30%. (C) 1997 Elsevier Science B.V.</t>
  </si>
  <si>
    <t>Morales, Paola/AAY-4928-2021; Morales Retamales, Paola/G-1287-2014</t>
  </si>
  <si>
    <t>Morales Retamales, Paola/0000-0001-8914-2977</t>
  </si>
  <si>
    <t>0006-8993</t>
  </si>
  <si>
    <t>SEP 12</t>
  </si>
  <si>
    <t>1-2</t>
  </si>
  <si>
    <t>10.1016/S0006-8993(97)00787-7</t>
  </si>
  <si>
    <t>WOS:A1997YB44200042</t>
  </si>
  <si>
    <t>Trier, A</t>
  </si>
  <si>
    <t>Submicron particles in an urban atmosphere: A study of optical size distributions .1.</t>
  </si>
  <si>
    <t>ATMOSPHERIC ENVIRONMENT</t>
  </si>
  <si>
    <t>Atmospheric particle size distributions and number concentrations in the 0.065-0.900 mu m diameter range have been observed at a site in the city of Santiago de Chile from June 1992 to December 1994 by means of an active light-scattering spectrometer; such information was not previously available. Observed concentrations ranged from 2000 to 16,000 per cm(3).:Geometric mean diameters (GMD) for the distributions ranged from 0.100 to 0.160 mu m, while geometric standard deviations (GSD) ranged from 1.34 to 1.65 and volume-weighted mean diameters (VWD) ranged from 0.18 to 0.42 mu m. Scatter plots and time-ordered sequences for these parameters are shown as well as Spearman rank-difference correlations. Examples of the particle-number concentration distributions and of daily concentration trends are displayed and discussed. Copyright (C) 1996 Elsevier Science Ltd</t>
  </si>
  <si>
    <t>1352-2310</t>
  </si>
  <si>
    <t>MAR</t>
  </si>
  <si>
    <t>10.1016/S1352-2310(96)00271-3</t>
  </si>
  <si>
    <t>WOS:A1997WB86700014</t>
  </si>
  <si>
    <t>Pezzani, HC; Muller, MIW; Pena, IM; Aguirrebena, CA</t>
  </si>
  <si>
    <t>Efficiency of psychosocial interventions: The perception of mental health agents.</t>
  </si>
  <si>
    <t>REVISTA INTERAMERICANA DE PSICOLOGIA</t>
  </si>
  <si>
    <t>Although Chilean psychological and psychosocial services oriented to poor populations have been increased in the last two decades, they are still insufficient. Likewise the actions developed to evaluate this programs are scarce. Thus, we don't have in our country an adequate body of knowledge in psychosocial health to guide the design acid evaluation of the strategies and actions to be implemented. In this contexts it seems relevant to know the mental health workers perceptions about the efectivity of his/her own actions and the obstacles and limitations associated. Propositions about the ways to improve the programs offered are also explored. This paper presents partial findings from a larger exploratory qualitative study about social representations of psychological needs in poor people.</t>
  </si>
  <si>
    <t>0034-9690</t>
  </si>
  <si>
    <t>WOS:A1997XH03000004</t>
  </si>
  <si>
    <t>PINEIRO, A; DOMINGUEZ, F; LOIDI, L; CAPEANS, C; SALORTO, M</t>
  </si>
  <si>
    <t>STUDY OF MYC PATHWAY IN HUMAN RETINAL-PIGMENT EPITHELIAL-CELLS IN CULTURE</t>
  </si>
  <si>
    <t>VISION RESEARCH</t>
  </si>
  <si>
    <t>0042-6989</t>
  </si>
  <si>
    <t>OCT</t>
  </si>
  <si>
    <t>S</t>
  </si>
  <si>
    <t>P424</t>
  </si>
  <si>
    <t>WOS:A1995RZ56200672</t>
  </si>
  <si>
    <t>SEBALLOS, S</t>
  </si>
  <si>
    <t>Newman, M</t>
  </si>
  <si>
    <t>Noise research in young population scheme of an epidemiology study</t>
  </si>
  <si>
    <t>ICA 95 - PROCEEDINGS OF THE 15TH INTERNATIONAL CONGRESS ON ACOUSTICS, VOL IV</t>
  </si>
  <si>
    <t>15th International Congress on Acoustics (ICA 95)</t>
  </si>
  <si>
    <t>JUN 26-30, 1995</t>
  </si>
  <si>
    <t>TRONDHEIM, NORWAY</t>
  </si>
  <si>
    <t>IUPAP, Acoust Soc Norway</t>
  </si>
  <si>
    <t>82-595-8995-8</t>
  </si>
  <si>
    <t>WOS:A1995BD74X00127</t>
  </si>
  <si>
    <t>URZUA, A; MENDOZA, L</t>
  </si>
  <si>
    <t>CHEMICAL-COMPOSITION OF THE RESINOUS EXUDATE OF HAPLOPAPPUS-VELUTINUS</t>
  </si>
  <si>
    <t>BOLETIN DE LA SOCIEDAD CHILENA DE QUIMICA</t>
  </si>
  <si>
    <t>From the resinous exudate of the aerial parts of Haplopappus velutinus R., in addition to the previously reported kaempferol-3,7-dimethylether 1, kaempferol-3-methylether 2, and dihydropinifolic acid C-18-methyl-ester 3, the following diterpene acids were isolated: 4alpha-hydroxy-18-norlabd-8(17)-en-15-oic acid 4, 4-beta-hydroxy-19-norlabd-8(17)-en-15-oic acid 5, and 18-hydroxylabd-8(17)-en-15-oic acid 6. Microscopic examination of the tender leaves and stems of H. velutinus shows a resinous exudate distributed over the surface forming a homogeneous semiliquid layer.</t>
  </si>
  <si>
    <t>0366-1644</t>
  </si>
  <si>
    <t>JUN</t>
  </si>
  <si>
    <t>WOS:A1993LM47900003</t>
  </si>
  <si>
    <t>DIAZ, P; GALINDO, G; ESCUDEY, M</t>
  </si>
  <si>
    <t>SYNTHESIS OF ALUMINOSILICATES SIMILAR TO THOSE PRESENT IN VOLCANIC ASH DERIVED SOILS</t>
  </si>
  <si>
    <t>Two synthetic aluminosilicates were obtained by coprecipitation of sodium silicate and aluminum chloride, and by hydrolisis of tetraethylortosilicate and aluminum terbutoxide. Both aluminosilicates were characterized through chemical composition, specific surface area, X-ray diffraction and isoelectric point. Silica/alumina molar ratios between 0.40 - 6.5 for coprecipited compounds, and between 0.18 - 0.98 for aluminosilicates synthetized by hydrolisis were obtained. Specific surface area determined by Ethylene Glycol Monoethyl Ether (EGME) adsorption ranged between 149m2/g - 570m2/g. Isoelectric points between 2.4 - 9.6 were obtained. From the X-ray diffractograms was concluded that the coprecipitation method is better than the hydrolisis method to get low range order aluminosilicates at any silica/alumina molar ratio. The proposed experimental method allowed the synthesis of aluminosilicates with similar properties of those separated from volcanic ash derived soils.</t>
  </si>
  <si>
    <t>WOS:A1990EP89500009</t>
  </si>
  <si>
    <t>PHTHALIC AND SALICYLIC ACIDS AND CATECHOL ADSORPTION ON SYNTHETIC ALUMINOSILICATES SIMILAR TO ALLOPHANE</t>
  </si>
  <si>
    <t>WOS:A1989AC85900002</t>
  </si>
  <si>
    <t>SCHMIDT, R; FORSTER, JE; MOYA, SA</t>
  </si>
  <si>
    <t>COORDINATIVE PROPERTIES STUDY AND PREPARATION OF A RESIN CONTAINING POLYSTYRENE AND THIOUREA</t>
  </si>
  <si>
    <t>BULLETIN DES SOCIETES CHIMIQUES BELGES</t>
  </si>
  <si>
    <t>0037-9646</t>
  </si>
  <si>
    <t>WOS:A1989U582000003</t>
  </si>
  <si>
    <t>LISSI, EA; CACERES, T; VIDELA, LA</t>
  </si>
  <si>
    <t>VISIBLE CHEMI-LUMINESCENCE FROM RAT-BRAIN HOMOGENATES UNDERGOING AUTOXIDATION .2. KINETICS OF THE LUMINESCENCE DECAY</t>
  </si>
  <si>
    <t>FREE RADICAL BIOLOGY AND MEDICINE</t>
  </si>
  <si>
    <t>The visible luminescence emitted in the autoxidation of brain homogenates is only partially quenched when antioxidants are added at concentrations such that further oxidation is prevented. From the time course of the emission after antioxidant addition, it can be estimated that nearly 50% of the light arises from an intermediate that decays with a first order kinetics and with a lifetime of ca. 40 s at 32.degree.C. The remaining light arises from the decomposition of one or several intermediates, and show a kinetics that is independent of the incubation time. From the data obtained it is concluded that bimolecular free radical processes, such as the recombination of peroxy radicals, do not significantly contribute to the observed luminescence.</t>
  </si>
  <si>
    <t>0891-5849</t>
  </si>
  <si>
    <t>1873-4596</t>
  </si>
  <si>
    <t>10.1016/0891-5849(88)90069-X</t>
  </si>
  <si>
    <t>WOS:A1988L945600004</t>
  </si>
  <si>
    <t>SAAVEDRA, CP</t>
  </si>
  <si>
    <t>AFFINITY LABELING OF PHOSPHOENOLPYRUVATE-CARBOXYKINASS FROM SACCHAROMYCES-CEREVISIAE</t>
  </si>
  <si>
    <t>ARCHIVOS DE BIOLOGIA Y MEDICINA EXPERIMENTALES</t>
  </si>
  <si>
    <t>0004-0533</t>
  </si>
  <si>
    <t>NOV</t>
  </si>
  <si>
    <t>R245</t>
  </si>
  <si>
    <t>WOS:A1987L151200380</t>
  </si>
  <si>
    <t>CALEBOTTA, M; GAUTIER, JL</t>
  </si>
  <si>
    <t>NICKEL, OILS AND FATS RECOVERY FROM USED NICKEL-CATALYST</t>
  </si>
  <si>
    <t>JOURNAL OF THE AMERICAN OIL CHEMISTS SOCIETY</t>
  </si>
  <si>
    <t>0003-021X</t>
  </si>
  <si>
    <t>WOS:A1983QL66600268</t>
  </si>
  <si>
    <t>ENCINA, MV; LISSI, EA; SOTO, H</t>
  </si>
  <si>
    <t>REACTIVITIES OF DIETHYLHYDROXYLAMINE AND THIOLS TOWARDS EXCITED-STATES OF ALKOXY AND ALKYL RADICALS - A COMPARISON</t>
  </si>
  <si>
    <t>JOURNAL OF PHOTOCHEMISTRY</t>
  </si>
  <si>
    <t>0047-2670</t>
  </si>
  <si>
    <t>10.1016/0047-2670(81)80016-0</t>
  </si>
  <si>
    <t>WOS:A1981LS26000005</t>
  </si>
  <si>
    <t>Alam, MA</t>
  </si>
  <si>
    <t>Alam, Mohammad Ayaz</t>
  </si>
  <si>
    <t>The Crucial Role of Geothermal Fluids in Reducing the Water and Carbon Footprints of Lithium Mining in Salt Flats Worldwide</t>
  </si>
  <si>
    <t>JOURNAL OF THE GEOLOGICAL SOCIETY OF INDIA</t>
  </si>
  <si>
    <t>Thermal waters, which often have a high Li concentration, can influence the formation of Li-rich brines in the salt flats. Several studies suggest that geothermal activity accelerates the leaching of Li-rich volcanic rocks in the catchment areas of the closed basins, contributing to higher Li concentrations in brines. Considering that there is no salt flat in Chile or other parts of the world that does not have a present-day (active) or palaeo-geothermal system, there is a need for a holistic geoscientific study of the salt flats to investigate the association between lithium enrichment of brine in the salt flats and geothermal systems present in the host closed basins. The expected results of such studies in different salt flats will help understand the role of geothermal systems in forming economic Li deposits that could be selectively mined sustainably. This is because thermal waters can also concentrate Li in specific horizons, allowing for selective extraction with minimal impact on freshwater aquifers. This would be possible because conductive heating by underlying thermal water could induce circulation (convective overturn) of basin brines within hydrologically connected horizons. Accordingly, this geothermally induced brine circulation may develop a heterogeneous subsurface Li distribution, where thermal waters could be instrumental in forming Li-enriched horizons in subsurface brine. Deciphering and modeling the latter will form a strong and tangible basis for developing environmentfriendly methods for Li mining that will have negligible influence on the groundwater and wetland ecosystems using drilling technologies prevalent in the hydrocarbon industry for extracting particular sedimentary horizons. Further, geothermal systems present in the closed hydrologcal basins could aid in reducing the environmental footprint of Li mining by providing thermal energy for extraction processes and electricity generation using low-enthalpy binary power plants. Considering the focus on direct extraction of Li (DLE) in Chile and neighboring countries, it is necesary to integrate it with geothermal following holistic geoscientific studies involving geological, geochemical and geophysical investigations, validated by exploratory drilling. This will help mitigate environmental challenges associated with current DLE technologies by using geothermal water in the extraction process and expertise from the geothermal industry in brine recharge.</t>
  </si>
  <si>
    <t>Alam, Mohammad Ayaz/B-7511-2009</t>
  </si>
  <si>
    <t>Alam, Mohammad Ayaz/0000-0002-3189-8744</t>
  </si>
  <si>
    <t>0016-7622</t>
  </si>
  <si>
    <t>0974-6889</t>
  </si>
  <si>
    <t>FEB 1</t>
  </si>
  <si>
    <t>10.17491/jgsi/2025/174088</t>
  </si>
  <si>
    <t>WOS:001411313800001</t>
  </si>
  <si>
    <t>Bachelet, VC; Carroza, B; Morgado, B; Silva-Ayarza, I</t>
  </si>
  <si>
    <t>Bachelet, Vivienne C.; Carroza, Belen; Morgado, Bruno; Silva-Ayarza, Ignacio</t>
  </si>
  <si>
    <t>A systematic analysis of the literature on the post-COVID-19 condition in Latin America focusing on epidemiology, clinical characteristics, and risk of bias</t>
  </si>
  <si>
    <t>MEDWAVE</t>
  </si>
  <si>
    <t>This analysis article aimed to identify and analyze all articles published on the post-COVID-19 condition in Latin America and the Caribbean, focusing on epidemiology, clinical characteristics, and risk of bias. We did a systematic survey of the literature with broad inclusion criteria. The only exclusion criteria were articles referring to post-acute COVID-19 sequelae after an intensive care unit stay, which we distinguish from the post-COVID-19 condition. We searched MEDLINE/PubMed, LILACS, SciELO, Scopus, Web of Science, and Epistemonikos. We included 55 records, of which 48 were original articles (44 were observational research, 29 of which had a comparison group; and four reviews). Various definitions for long COVID were reported, or none, and few used the World Health Organization criteria. None of the included studies reported prevalence rates for the region. We extracted the reported signs and symptoms of long COVID for our region. Using the Johanna Briggs Institute critical appraisal tools for observational analytic research, we found that most included studies were prone to limitations and biases. We conclude that more research should be done on the post-COVID-19 condition in Latin America and the Caribbean, using rigorous study designs to inform public health strategies.</t>
  </si>
  <si>
    <t>Bachelet, Vivienne/JAN-7158-2023; Silva Ayarza, Ignacio/KYQ-4699-2024</t>
  </si>
  <si>
    <t>Silva Ayarza, Ignacio/0000-0002-6996-3695; Morgado-Ahumada, Bruno/0009-0001-0337-2067; Bachelet, Vivienne C./0000-0002-5715-9755; Carroza Escobar, Andrea Belen/0009-0009-7591-8653</t>
  </si>
  <si>
    <t>0717-6384</t>
  </si>
  <si>
    <t>e3014</t>
  </si>
  <si>
    <t>10.5867/medwave.2025.01.3014</t>
  </si>
  <si>
    <t>WOS:001438396300001</t>
  </si>
  <si>
    <t>Molina, C; Quijada-Maldonado, E; Romero, J; Abejon, R</t>
  </si>
  <si>
    <t>Molina, Cesia; Quijada-Maldonado, Esteban; Romero, Julio; Abejon, Ricardo</t>
  </si>
  <si>
    <t>Neoteric Solvents for Rare Earths Processing: Perspectives on the Potential of Ionic Liquids and Deep Eutectic Solvents From a Bibliometric Analysis</t>
  </si>
  <si>
    <t>SOLVENT EXTRACTION AND ION EXCHANGE</t>
  </si>
  <si>
    <t>Rare earth elements have become critical elements in today's technological societies and neoteric solvents, such as ionic liquids (ILs) and deep eutectic solvents (DESs), are being called upon to replace traditional organic solvents in order to improve the environmental sustainability of rare earth processing. A bibliometric analysis was performed to investigate the scientific documents published in the Scopus database until 2023 regarding the use of ILs and DESs for rare earths processing. The search identified 731 papers since the pioneering works in the last years of the 20th century and the amount of accumulated published documents throughout time followed a quadratic evolution. China, the main producer of rare earths worldwide, was the most prolific country, publishing 276 documents (37.8% contribution), almost four times higher than the contribution of the United States (75 documents), the second country in the ranking. The triad of important keywords consists of ionic liquids, rare earths and extraction. In addition to separation by solvent extraction, leaching of rare earths from mineral ores and secondary resources such as e-waste using ILs and DESs has been extensively investigated. In addition, these innovative solvents can be considered as promising media for electrowinning processes to obtain pure rare earths.</t>
  </si>
  <si>
    <t>Romero, Julio/I-6705-2013; Abejon, Ricardo/I-7171-2019</t>
  </si>
  <si>
    <t>ABEJON, Ricardo/0000-0002-8030-7752; Quijada-Maldonado, Esteban/0000-0003-1411-4327; Romero, Julio/0000-0002-1229-1592</t>
  </si>
  <si>
    <t>0736-6299</t>
  </si>
  <si>
    <t>1532-2262</t>
  </si>
  <si>
    <t>NOV 9</t>
  </si>
  <si>
    <t>6-7</t>
  </si>
  <si>
    <t>10.1080/07366299.2024.2438700</t>
  </si>
  <si>
    <t>DEC 2024</t>
  </si>
  <si>
    <t>WOS:001379668500001</t>
  </si>
  <si>
    <t>Mitsi, C; Echeverría, J</t>
  </si>
  <si>
    <t>Mitsi, Christina; Echeverria, Javier</t>
  </si>
  <si>
    <t>The genus Haplopappus: botany, phytochemistry, traditional uses, and pharmacological properties</t>
  </si>
  <si>
    <t>FRONTIERS IN PHARMACOLOGY</t>
  </si>
  <si>
    <t>Background The genus Haplopappus Cass. [Asteraceae] comprises a large number of species distributed mainly in Chile and with various traditional medicinal uses.Purpose The present review addresses the botany, traditional uses, chemistry, biological and pharmacological activities of the genus, aiming to further potentiate the associated research and applications.Study design and Methods Literature data on the chemistry and bioactivity of the genus Haplopappus were mainly retrieved from digital databases such as SciFinder (R), PubMed (R), and Google Scholar (R), as well as from the scientific journal publishers' platforms linked with these databases.Results and discussion Although the majority of the botanical taxa of the genus Haplopappus has been understudied, available information is promising regarding its phytochemistry and bioactivity. A total of more than 400 compounds are present in different Haplopappus species, mostly terpenoids and phenolic compounds. Scientific literature supports various health promoting effects of Haplopappus extracts and isolated compounds, principally their effect against human pathogenic bacteria and their high antioxidant capacity. The existing limitations highlighted hereby are mainly associated to the lack of modern investigation regarding a wider number of Haplopappus species and chemical compounds, as well as to the absence of in vivo bioactivity results and clinical trials.Conclusion Scientific literature supports the ethnopharmacological, phytochemical and bioactive potential of the genus Haplopappus, however the aforementioned limitations need to be addressed in order to further promote and broaden both scientific research and future applications and uses.</t>
  </si>
  <si>
    <t>Echeverría, Javier/AAK-3323-2020</t>
  </si>
  <si>
    <t>Mitsi, Christina/0000-0002-0767-0600</t>
  </si>
  <si>
    <t>1663-9812</t>
  </si>
  <si>
    <t>OCT 21</t>
  </si>
  <si>
    <t>10.3389/fphar.2024.1490243</t>
  </si>
  <si>
    <t>WOS:001347694100001</t>
  </si>
  <si>
    <t>Vergara, I</t>
  </si>
  <si>
    <t>Vergara, I.</t>
  </si>
  <si>
    <t>Geometric property (T) and Kazhdan projections</t>
  </si>
  <si>
    <t>BULLETIN OF THE LONDON MATHEMATICAL SOCIETY</t>
  </si>
  <si>
    <t>We characterise Geometric Property (T) by the existence of a certain projection in the maximal uniform Roe algebra Cu,max &amp; lowast;(X)$C_{u,\max }&lt;^&gt;*(X)$, extending the notion of Kazhdan projection for groups to the realm of metric spaces. We also describe this projection in terms of the decomposition of the metric space into coarsely connected components.</t>
  </si>
  <si>
    <t>Vergara, Ignacio/ABC-6218-2021</t>
  </si>
  <si>
    <t>Vergara, Ignacio/0000-0001-7144-4272</t>
  </si>
  <si>
    <t>0024-6093</t>
  </si>
  <si>
    <t>1469-2120</t>
  </si>
  <si>
    <t>SEP</t>
  </si>
  <si>
    <t>10.1112/blms.13111</t>
  </si>
  <si>
    <t>JUL 2024</t>
  </si>
  <si>
    <t>WOS:001258679500001</t>
  </si>
  <si>
    <t>Donoso-García, P; Henríquez-Vargas, L; González, J; Díaz, I; Fuentes, I</t>
  </si>
  <si>
    <t>Donoso-Garcia, Pablo; Henriquez-Vargas, Luis; Gonzalez, Juan; Diaz, Isaac; Fuentes, Ismael</t>
  </si>
  <si>
    <t>A Study for Estimating the Overall Heat Transfer Coefficient in a Pilot-Scale Indirect Rotary Dryer</t>
  </si>
  <si>
    <t>PROCESSES</t>
  </si>
  <si>
    <t>An experimental study and dimensional analysis of the effective heat transfer coefficient in a continuous-indirect rotatube dryer using forest biomass as the granular material isare developed in the present work. The study employed a factorial design 33 to investigate the effects of feed flow frequency (20-35-50 (Hz)), drum rotational velocity (6-8-10 (rpm)), and saturated vapor pressure (4-5-6 (bar)) on the heat transfer coefficient. During steady state conditions, the moisture content profiles and inlet and outlet temperatures were measured within the experimental region, and parameters, such as the effective heat transfer coefficient, solid retention change, and moisture content ratio were studied. The results showed that heat transfer was optimized with high solid feeding rates, low pressure, and low rotation, with solid feeding being the predominant factor. The moisture content profiles revealed a change in the hydrodynamic behavior, with the center point of the experimental region being the least optimal. The dimensional analysis yielded a Nu number as a function of Pe, Fr, and the feeding dimensionless number. A new dimensionless energy efficiency number improved the coefficient correlation from 85.88 (%) to 94.46 (%), indicating the developed model potential to predict dimensionless variables and scale continuous-indirect rotatube dryers.</t>
  </si>
  <si>
    <t>Donosoga, Pablo/HZI-2632-2023; Henríquez-Vargas, Luis/Q-3617-2019; DIAZ-ABURTO, ISAAC/AAN-4170-2021</t>
  </si>
  <si>
    <t>Fuentes Pereira, Ismael/0009-0000-9016-6976; DIAZ-ABURTO, ISAAC/0000-0002-4850-1125; Henriquez-Vargas, Luis/0000-0002-6825-8505; Donoso Garcia, Pablo/0000-0001-9839-8691</t>
  </si>
  <si>
    <t>2227-9717</t>
  </si>
  <si>
    <t>FEB</t>
  </si>
  <si>
    <t>10.3390/pr12020357</t>
  </si>
  <si>
    <t>WOS:001172277700001</t>
  </si>
  <si>
    <t>Marrero, D; Kern, J; Urrea, C</t>
  </si>
  <si>
    <t>Marrero, Dailin; Kern, John; Urrea, Claudio</t>
  </si>
  <si>
    <t>A Novel Robotic Controller Using Neural Engineering Framework-Based Spiking Neural Networks</t>
  </si>
  <si>
    <t>SENSORS</t>
  </si>
  <si>
    <t>This paper investigates spiking neural networks (SNN) for novel robotic controllers with the aim of improving accuracy in trajectory tracking. By emulating the operation of the human brain through the incorporation of temporal coding mechanisms, SNN offer greater adaptability and efficiency in information processing, providing significant advantages in the representation of temporal information in robotic arm control compared to conventional neural networks. Exploring specific implementations of SNN in robot control, this study analyzes neuron models and learning mechanisms inherent to SNN. Based on the principles of the Neural Engineering Framework (NEF), a novel spiking PID controller is designed and simulated for a 3-DoF robotic arm using Nengo and MATLAB R2022b. The controller demonstrated good accuracy and efficiency in following designated trajectories, showing minimal deviations, overshoots, or oscillations. A thorough quantitative assessment, utilizing performance metrics like root mean square error (RMSE) and the integral of the absolute value of the time-weighted error (ITAE), provides additional validation for the efficacy of the SNN-based controller. Competitive performance was observed, surpassing a fuzzy controller by 5% in terms of the ITAE index and a conventional PID controller by 6% in the ITAE index and 30% in RMSE performance. This work highlights the utility of NEF and SNN in developing effective robotic controllers, laying the groundwork for future research focused on SNN adaptability in dynamic environments and advanced robotic applications.</t>
  </si>
  <si>
    <t>Claudio, URREA/KWU-1600-2024</t>
  </si>
  <si>
    <t>Urrea, Claudio/0000-0001-7197-8928; Marrero, Dailin/0009-0001-6095-8830</t>
  </si>
  <si>
    <t>1424-8220</t>
  </si>
  <si>
    <t>JAN</t>
  </si>
  <si>
    <t>10.3390/s24020491</t>
  </si>
  <si>
    <t>WOS:001151140700001</t>
  </si>
  <si>
    <t>Briceño, S</t>
  </si>
  <si>
    <t>Briceno, Sebastian</t>
  </si>
  <si>
    <t>HOW THE PRINCIPLE OF SUFFICIENT REASON UNDERMINES THE COSMOLOGICAL ARGUMENT</t>
  </si>
  <si>
    <t>KRITERION-REVISTA DE FILOSOFIA</t>
  </si>
  <si>
    <t>My aim here is to show how the Cosmological Argument (CA) is undermined by one of its own premises: the Principle of Sufficient Reason (PSR). Firstly, I explain the type of CA that I am thinking about (I). Secondly, I explain a traditional modal objection against the PSR, which is ultimately based upon our intuitions in favor of contingency (II). Thirdly, I show how this modal objection begs the question against the necessitarian, and then I reformulate the CA in more neutral terms (III). Fourthly, using this more neutral version of the CA, I argue that the main problem with the PSR goes way beyond its apparent necessitarian consequences. As an argument used by Bradley shows, embracing the rationalist path that underlies the PSR seems to commit us to a form of Radical Monism too (IV). Finally, I conclude by showing how this result ultimately undermines the CA itself (V).</t>
  </si>
  <si>
    <t>Briceno Dominguez, Jose Sebastian/0000-0003-3040-4869</t>
  </si>
  <si>
    <t>0100-512X</t>
  </si>
  <si>
    <t>1981-5336</t>
  </si>
  <si>
    <t>10.1590/0100-512X2023n15602sb</t>
  </si>
  <si>
    <t>WOS:001183259200008</t>
  </si>
  <si>
    <t>Sánchez, C; Bustos, O; Artigas, A; Bruna, H</t>
  </si>
  <si>
    <t>Sanchez, Christian; Bustos, Oscar; Artigas, Alfredo; Bruna, Hector</t>
  </si>
  <si>
    <t>Silicon Effect and Microstructural Evolution of Hot Dip Galvanized Coating of Structural Steels</t>
  </si>
  <si>
    <t>METALS</t>
  </si>
  <si>
    <t>The microstructure of the coating during hot-dip galvanizing under industrial conditions of two structural steels, a low-silicon ASTM A36 steel and a high-silicon Q345B steel, both of commercial grade, have been characterized for industrial-relevant times. In both cases, it is noted that the formation of the Fe-Zn phases begins in the early stages in the heating step of the steel, a situation in which all the phases are in the solid state. These last observations have been taken into consideration and the microstructures of short times are analyzed, showing that the effect of silicon is present at longer times. The characterization was carried out through traditional metallographic techniques including SEM-EDS and XRD equipment. The evolution in time of the microstructure of both steels is examined, being able to observe that the mechanism by which silicon accelerates the formation of Fe-Zn phases in galvanizing is related to the presence of the liquid phase in contact with the zeta layer formed in earlier times, accumulating silicon in the zeta-liquid interphase. These results are directing the analysis towards proposing the hypothesis of a mechanism of penetration of the liquid phase through zeta-zeta boundaries by variations in the surface free energies that allow the penetration of the liquid phase according to the Gibbs Smith condition. Finally, the observations provided us with a deeper understanding of the phase evolution in the hot-dip galvanizing of high silicon steels.</t>
  </si>
  <si>
    <t>Artigas, Alfredo/Y-1185-2019</t>
  </si>
  <si>
    <t>Bruna, Hector/0000-0003-0157-3620; Sanchez, Christian/0000-0001-5435-9201</t>
  </si>
  <si>
    <t>2075-4701</t>
  </si>
  <si>
    <t>10.3390/met13111892</t>
  </si>
  <si>
    <t>WOS:001113884100001</t>
  </si>
  <si>
    <t>Fernandez, AM; Barbato, MT; Cordero, B; Acevedo, Y</t>
  </si>
  <si>
    <t>Fernandez, Ana Maria; Barbato, Maria Teresa; Cordero, Belen; Acevedo, Yvone</t>
  </si>
  <si>
    <t>What's love got to do with jealousy?</t>
  </si>
  <si>
    <t>FRONTIERS IN PSYCHOLOGY</t>
  </si>
  <si>
    <t>Romantic love and jealousy seem antagonistic, but the expression of both emotions have evolutionary functions that can go in the same direction of maintaining a relationship. Considering natural selection designed adaptations to solve the problems surrounding reproduction, then love and romantic jealousy are emotions aimed at staying cooperative for a period of time, where love solves the adaptive challenges of promoting pair bonding, cooperation, and protecting offspring; and jealousy is triggered by a threat or the loss of a valuable cooperative relationship, either on behalf of descendants in need of resources, or a close romantic bond. Consequently, understanding love and romantic jealousy points in the same adaptive functional domain of protecting a romantic pair bond. Specifically, love can be comprehended in two different ways and in regard to jealousy. First, conceiving love as the attachment to significant others one develops throughout lifetime, and secondly, it contemplates affective dependence. Results from a sample of single and committed individuals (n = 332) show the predicted positive correlation between attachment and jealousy as stable traits, consistent with previous literature. In addition, there is a non-significant and low correlation, respectively, between attachment and love as a measure of dependence. Furthermore, in the single participants group, jealousy was associated with love. The discussion emphasizes the need for expanding a functional account of love and jealousy as complementary emotions of our human affective endowment. Finally, it would be informative to study attachment as a relational trait and love as a specific affection for a romantic partner that could be manipulated to elucidate the functional design of jealousy.</t>
  </si>
  <si>
    <t>Fernández, Ana/E-6429-2011</t>
  </si>
  <si>
    <t>Barbato, Maria Teresa/0000-0002-0905-2021; Zavalla Cordero, Belen/0009-0007-6631-8918</t>
  </si>
  <si>
    <t>1664-1078</t>
  </si>
  <si>
    <t>SEP 28</t>
  </si>
  <si>
    <t>10.3389/fpsyg.2023.1249556</t>
  </si>
  <si>
    <t>WOS:001081450700001</t>
  </si>
  <si>
    <t>Rojas-Aguilera, G</t>
  </si>
  <si>
    <t>Rojas-Aguilera, Gonzalo</t>
  </si>
  <si>
    <t>Enodiplomacy from the Southern Cone? Enodiplomacy, Peripheral Realism and Eidetic Studies in a Regional Perspective of International Studies</t>
  </si>
  <si>
    <t>RIVAR-REVISTA IBEROAMERICANA DE VITICULTURA AGROINDUSTRIA Y RURALIDAD</t>
  </si>
  <si>
    <t>In this essay, an analysis is carried out on the foundations of Enodiplomacy and the link with other theories of global scope that have emerged from the region in recent years: Peripheral realism and eidetic studies. Likewise, the study analyzes those empirical references that allow contrasting enodiplomacy, as a theoretical formulation, with the practice of international relations that the of Southern South American countries have put forward during the last decades in this same matter, including some State, and national and subnational actors and other non-state actors.</t>
  </si>
  <si>
    <t>0719-4994</t>
  </si>
  <si>
    <t>10.35588/rivar.v10i30.6189</t>
  </si>
  <si>
    <t>WOS:001080565900007</t>
  </si>
  <si>
    <t>Orellana, FB</t>
  </si>
  <si>
    <t>Orellana, Felipe Barrera</t>
  </si>
  <si>
    <t>TRADITIONAL MEDIATION VERSUS E-MEDIATION: DOES ONLINE TECHNOLOGY HAVE A NEGATIVE IMPACT IN THE EFFECTIVENESS OF MEDIATION?</t>
  </si>
  <si>
    <t>REVISTA CHILENA DE DERECHO</t>
  </si>
  <si>
    <t>The paper seeks to assess the impact of online technology on traditional mediation as an alternative dispute resolution mechanism. In particular, it seeks to analyze to what extent online environments do or not alter the effectiveness of mediation according to its natural spirit and purpose.</t>
  </si>
  <si>
    <t>0718-3437</t>
  </si>
  <si>
    <t>APR</t>
  </si>
  <si>
    <t>10.7764/R.501.2</t>
  </si>
  <si>
    <t>WOS:001134796800002</t>
  </si>
  <si>
    <t>Claudia, D; Guerra-Arrau, MR</t>
  </si>
  <si>
    <t>Claudia, Dra.; Guerra-Arrau, Mgtr. Rodrigo</t>
  </si>
  <si>
    <t>Between family and market: Poverty among women in a social welfare program in Chile</t>
  </si>
  <si>
    <t>ICONOS</t>
  </si>
  <si>
    <t>This study presents the results of qualitative and documentary research that aimed to explore the so-called problematization of poverty in the discursive corpus of the Chilean government welfare program Seguridades y Oportunidades. Modes in which poverty is constituted as a problem of governance were traced. A corpus that was elaborated by the government in the frame of the creation of this public policy was collected and analyzed, including presidential messages and debates among senators and deputies. The results indicate that the problematization of poverty is constituted through a discourse in which business rhetoric and conservative rhetoric articulate; thus, the problem is not rooted in the economic model but rather in the dependence of subjects on the state and, in the specific case of women, in the crisis of values and the family. What is the logical consequence? The proposal for an entrepreneurial subject enabled by the state to inhabit the entrepreneurial forces of liberty through a series of individualizing techniques like entrepreneurialism. It is concluded that the production of a government technology based on the cross of a fierce neoliberalism and a new social conservatism reproduces the classic sexual division of labor within an entrepreneurial scheme.</t>
  </si>
  <si>
    <t>Guerra-Arrau, Rodrigo/JYP-3330-2024</t>
  </si>
  <si>
    <t>1390-1249</t>
  </si>
  <si>
    <t>1390-8065</t>
  </si>
  <si>
    <t>JAN-APR</t>
  </si>
  <si>
    <t>10.17141/iconos.75.2023.5528</t>
  </si>
  <si>
    <t>WOS:000908373700010</t>
  </si>
  <si>
    <t>Reyes, A; Gatica, E; Henríquez-Vargas, L; Pailahueque, N</t>
  </si>
  <si>
    <t>Reyes, A.; Gatica, E.; Henriquez-Vargas, L.; Pailahueque, N.</t>
  </si>
  <si>
    <t>Modeling of sawdust drying in spouted beds using solar energy and phase change materials</t>
  </si>
  <si>
    <t>JOURNAL OF ENERGY STORAGE</t>
  </si>
  <si>
    <t>In the present work, the modeling and simulation of the continuous drying of sawdust using spouted beds connected in series and a solar energy accumulator panel to heat the drying air was carried out. The modeling approach for the solar energy accumulator panel was based on energy balances, whereas for the dryer a combination of residence time distribution, drying kinetics and micro-mixing models was considered. Model parameters were adjusted with available experimental data. Simulations results were validated using experimental values, observing that the predicted outlet air temperature of the solar collector presented root mean squared errors lower than 1.9 degrees C for 5 different air flows, while the outlet sawdust moisture deviated less than 5.6%. Finally, the effect of increasing the number of spouted beds and the solids feed rate on the moisture content leaving the dryer was evaluated, showing a greater influence of the increase in spouted bed units compared to increasing the drying air temperature by 10 degrees C.</t>
  </si>
  <si>
    <t>Pailahueque, Nicolas/GYA-3286-2022; Henríquez-Vargas, Luis/Q-3617-2019</t>
  </si>
  <si>
    <t>Gatica Candia, Erick Hernan/0000-0002-8713-6749; Pailahueque Barahona, Nicolas/0009-0006-3051-3888</t>
  </si>
  <si>
    <t>2352-152X</t>
  </si>
  <si>
    <t>2352-1538</t>
  </si>
  <si>
    <t>JUL</t>
  </si>
  <si>
    <t>10.1016/j.est.2022.104441</t>
  </si>
  <si>
    <t>MAR 2022</t>
  </si>
  <si>
    <t>WOS:000806560200001</t>
  </si>
  <si>
    <t>Ureta-Zañartu, MS; Ilabaca, J; Mascayano, C</t>
  </si>
  <si>
    <t>Soledad Ureta-Zanartu, Maria; Ilabaca, Jacqueline; Mascayano, Carolina</t>
  </si>
  <si>
    <t>Influence of structure on the electrooxidation rate of six C-4 alcohols</t>
  </si>
  <si>
    <t>ELECTROCHIMICA ACTA</t>
  </si>
  <si>
    <t>Alcohols are of great interest both for fuel cells and for the preparation of aldehydes. The electrooxidation of six C-4 alcohols (1-, 2- and iso-butanol, crotyl, cis-2-buten-1,4-diol and erythritol on gold in alkaline medium has been studied by cyclic voltammetry (CV), the Electrochemical Quartz Crystal Microbalance (EQCM) and Electrochemical Impedance Spectroscopy (EIS). Furthermore, molecular dynamics calculations were used for determining the probability of solvation of the alcoholic head, g(r), as a function of the distance, r, to the alcoholic head. This probability was found to be maximum at r = 2 angstrom The six alcohols fell into two groups. One group, namely 1-, 2- and iso-butanol, showed first-order electrooxidation kinetics at concentrations &lt;20 mM, without poisoning of the electrode surface. These alcohols, as well as including crotyl, showed relative low reactivity (It was estimated as the ratio of the charge of peak bl in a given alcohol to that of iso-butanol, the less active alcohol) correlation against the Radial Distribution Function (RDF) at a given distance (g(2 angstrom)), in total agreement with our hypothesis about the effect of the hydrophobicity of the analyte on the reactivity of the electrode. The second group, formed by crotyl, cis-2-buten-1,4-diol and erythritol, were almost 10 times more reactive, had a kinetic order near 0.5, showed adsorption on the gold surface, and their activity correlated better with their boiling points, that is, with their dipolar character. So, in the electrooxidation of unsaturated alcohols there is adsorption of residues and/or reaction products, which does not affect their high reactivity. (C) 2021 Elsevier Ltd. All rights reserved.</t>
  </si>
  <si>
    <t>Ureta-Zañartu, Maria/G-5239-2019</t>
  </si>
  <si>
    <t>Mascayano Collado, Carolina Lorena/0000-0002-3488-9309</t>
  </si>
  <si>
    <t>0013-4686</t>
  </si>
  <si>
    <t>1873-3859</t>
  </si>
  <si>
    <t>JAN 10</t>
  </si>
  <si>
    <t>10.1016/j.electacta.2021.139493</t>
  </si>
  <si>
    <t>WOS:000754467300013</t>
  </si>
  <si>
    <t>El Aiss, H; Barbosa, KA; Chavez, H; Rodriguez, C</t>
  </si>
  <si>
    <t>El Aiss, Hicham; Barbosa, Karina A.; Chavez, Hector; Rodriguez, Carlos</t>
  </si>
  <si>
    <t>Takagi-Sugeno State Delayed Feedback and Integral Control for PV Systems: Modeling, Simulation, and Control</t>
  </si>
  <si>
    <t>INTERNATIONAL JOURNAL OF PHOTOENERGY</t>
  </si>
  <si>
    <t>The integration of the large-scale photovoltaic systems has experienced significant growth, which is similarly expected to occur with small-scale photovoltaic systems. Since small-scale systems must be simple in cost-effective components, control strategies must be implemented in low complexity circuits. However, current maximum power point tracking (MPPT) algorithms are generally complex and require electronic components to support variable control gains for different irradiance conditions, preventing simple MPPT implementations suitable for small-scale photovoltaic systems. This paper proposes a new control strategy to tackle the power tracking problem of the power systems. First, a dynamic model of the photovoltaic system is described and converted into a Takagi-Sugeno (T-S) model. Then, an MPPT scheme is proposed in series with a fixed integral and a fuzzy gain state delay feedback controller, which avoids the need for a variable control gain, simplifying the electronic implementation of the control strategy. New delay-dependent stabilization conditions based on the Lyapunov-Krasovskii functional are proposed in terms of a convex optimization problem, where the delayed feedback and integral gains are designed simultaneously. Simulation results using Matlab and Simulink are used to validate the proposed method.</t>
  </si>
  <si>
    <t>El Aiss, Hicham/AAD-6510-2022; Rodriguez ledesma, Carlos Mario/IUP-4591-2023; Barbosa, Karina/A-2236-2014</t>
  </si>
  <si>
    <t>EL AISS, hicham/0000-0003-1098-275X; Barbosa, Karina A./0000-0001-7183-2662</t>
  </si>
  <si>
    <t>1110-662X</t>
  </si>
  <si>
    <t>1687-529X</t>
  </si>
  <si>
    <t>10.1155/2021/7552200</t>
  </si>
  <si>
    <t>WOS:000732823800001</t>
  </si>
  <si>
    <t>Matute, EA</t>
  </si>
  <si>
    <t>Matute, Ernesto A.</t>
  </si>
  <si>
    <t>Low-scale minimal linear seesaw model for neutrino mass and flavor mixing</t>
  </si>
  <si>
    <t>MODERN PHYSICS LETTERS A</t>
  </si>
  <si>
    <t>We consider an extension of the Standard Model with three right-handed (RH) neutrinos and a Dirac pair of extra sterile neutrinos, odd under a discrete Z(2) symmetry, in order to have left-right symmetry in the neutrino content and obtain tiny neutrino masses from the latter ones only. Our working hypothesis is that the heavy RH neutrinos do not influence phenomenology at low energies. We use the usual high-scale seesaw to suppress all of the mass terms involving RH neutrinos and a low-scale minimal variant of the linear seesaw led by the Dirac mass of the extra sterile neutrinos to provide the small mass of active neutrinos. One of the active neutrinos is massless, which fixes the mass of the other two on the basis of a soft breaking of the Z(2) symmetry. The mixing between the extra neutrinos makes for a particle that effectively behaves like a Dirac sterile neutrino with mass around the GeV level.</t>
  </si>
  <si>
    <t>Matute, Ernesto/0000-0002-0547-6732</t>
  </si>
  <si>
    <t>0217-7323</t>
  </si>
  <si>
    <t>1793-6632</t>
  </si>
  <si>
    <t>JUL 20</t>
  </si>
  <si>
    <t>10.1142/S0217732321501595</t>
  </si>
  <si>
    <t>WOS:000679417700004</t>
  </si>
  <si>
    <t>Muñoz-Osses, M; Quiroz, J; Vásquez-Martínez, Y; Flores, E; Navarrete, E; Godoy, F; Torrent, C; Cortez-San Martín, M; Gómez, A; Mascayano, C</t>
  </si>
  <si>
    <t>Munoz-Osses, Michelle; Quiroz, Javiera; Vasquez-Martinez, Yesseny; Flores, Erick; Navarrete, Elizabeth; Godoy, Fernando; Torrent, Claudia; Cortez-San Martin, Marcelo; Gomez, Alejandra; Mascayano, Carolina</t>
  </si>
  <si>
    <t>Evaluation of cyrhetrenyl and ferrocenyl precursors as 5-lipoxygenase inhibitors - biological and computational studies</t>
  </si>
  <si>
    <t>NEW JOURNAL OF CHEMISTRY</t>
  </si>
  <si>
    <t>A series of ferrocenyl and cyrhetrenyl complexes [(eta(5)-C5H4R)MLn] (MLn = [(eta(5)-C5H5Fe) (1); MLn = Re(CO)(3) (2)) with R = H (1a; 2a), R = aldehyde (1b; 2b), R = carboxylic acid (1c; 2c), and R = amino (1d; 2d) were synthesized. A new synthetic route was reported to obtain 2c, using the Tollens reagent. This route allowed us to obtain cyrhetrenyl carboxylic acid as a pale yellow crystalline solid. The anti-inflammatory activity of all complexes was evaluated through the inhibition of 5-hLOX. Complexes 1c and 2c showed a remarkable inhibitory activity against 5-hLOX compared to its organic analog (89%, 41%, and 20% inhibition, respectively); highlighting the ferrocenyl carboxylic acid (1c) with an IC50 of 2.5 +/- 0.2 mu M (mixed inhibitor, K-i = 1.0 +/- 0.4 mu M). Computational studies (docking and molecular dynamics) showed that the carboxylate group of the ferrocenyl complex (1c) could be oriented towards the catalytic site of the enzyme (E-b -10.93 kcal mol(-1)) or could also be located at the cavity entrance of the active site (E-b -3.18 kcal mol(-1)). This suggests that 1c competes with the arachidonic acid (AA) substrate, and the possible interaction at another site (a mixed mechanism), which agrees with the experimental results. Additionally, the antioxidant activity of these complexes was evaluated using DPPH-scavenging, FRAP, and ROS assays, where complexes 1b and 1c showed better antioxidant activity than the known antioxidant Trolox, whereas its cyrhetrenyl analog 2c was an excellent ROS generator.</t>
  </si>
  <si>
    <t>Flores, Erick/GPK-2155-2022</t>
  </si>
  <si>
    <t>Flores, Dr. Erick/0000-0002-2573-6650; Vasquez Martinez, Yesseny Amneris/0000-0002-4184-9815; Mascayano Collado, Carolina Lorena/0000-0002-3488-9309; Gomez San Martin, Alejandra/0000-0001-6483-1565; Munoz-Osses, Michelle/0000-0001-7124-8773</t>
  </si>
  <si>
    <t>1144-0546</t>
  </si>
  <si>
    <t>1369-9261</t>
  </si>
  <si>
    <t>AUG 14</t>
  </si>
  <si>
    <t>10.1039/d1nj01336j</t>
  </si>
  <si>
    <t>JUN 2021</t>
  </si>
  <si>
    <t>WOS:000671840500001</t>
  </si>
  <si>
    <t>Urrea, C; Pascal, J</t>
  </si>
  <si>
    <t>Urrea, Claudio; Pascal, Jose</t>
  </si>
  <si>
    <t>Design and validation of a dynamic parameter identification model for industrial manipulator robots</t>
  </si>
  <si>
    <t>ARCHIVE OF APPLIED MECHANICS</t>
  </si>
  <si>
    <t>This article presents the design and validation of a regression model for the identification of dynamic parameters in manipulator robots. The model exhibits implementation advantages as it is based on the acquisition of position, speed and voltage data from the actuator in each joint rather than on the calculation of acceleration and torque. Actuators can be direct current and/or servomotor type. The regression model developed is simulated using MATLAB/Simulink software to identify the parameters of 2-DoF (Degrees of Freedom) and 5-DoF manipulator robots. Additionally, the model is experimentally validated on a real 5-DoF redundant manipulator robot. The identification model has great advantages in terms of implementation.</t>
  </si>
  <si>
    <t>Urrea, Claudio/0000-0001-7197-8928; Pascal, Jose Luis/0000-0002-2247-2282</t>
  </si>
  <si>
    <t>0939-1533</t>
  </si>
  <si>
    <t>1432-0681</t>
  </si>
  <si>
    <t>MAY</t>
  </si>
  <si>
    <t>10.1007/s00419-020-01865-2</t>
  </si>
  <si>
    <t>JAN 2021</t>
  </si>
  <si>
    <t>WOS:000605527000003</t>
  </si>
  <si>
    <t>Monism, relations, and the limits of metaphysical explanation</t>
  </si>
  <si>
    <t>TRANS-FORM-ACAO</t>
  </si>
  <si>
    <t>My aim in this paper is to explore the limits of a conception of metaphysical explanation based on the Principle of Sufficient Reason (PSR). For this purpose, I will focus on one of the alleged counter-intuitive consequences of an unrestricted application of the PSR, namely: Radical Monism. First, I will articulate such a conception of metaphysical explanation. Then, I will explain how is it that from a famous argument that rests on the PSR (i.e., Bradley's regress) Radical Monism indeed seems to follow. Right away, I will argue against the natural reaction that such argument triggers, namely: that we shall accept pluralism and relations as brute facts. Finally, I will sketch a qualified version of the PSR that allows us to avoid Radical Monism without compromising the essential content of the PSR.</t>
  </si>
  <si>
    <t>0101-3173</t>
  </si>
  <si>
    <t>1980-539X</t>
  </si>
  <si>
    <t>JAN-MAR</t>
  </si>
  <si>
    <t>10.1590/0101-3173.2021.v44n1.29.p385</t>
  </si>
  <si>
    <t>WOS:000667744800029</t>
  </si>
  <si>
    <t>Corral-Molina, C; Valencia-Cordero, C</t>
  </si>
  <si>
    <t>IEEE</t>
  </si>
  <si>
    <t>Corral-Molina, Carlos; Valencia-Cordero, Claudio</t>
  </si>
  <si>
    <t>BER and SNR based physical layer security analysis with cooperative Jamming</t>
  </si>
  <si>
    <t>2021 IEEE IFAC INTERNATIONAL CONFERENCE ON AUTOMATION/XXIV CONGRESS OF THE CHILEAN ASSOCIATION OF AUTOMATIC CONTROL (IEEE IFAC ICA - ACCA2021)</t>
  </si>
  <si>
    <t>IEEE IFAC International Conference on Automation (ICA) / 24th Congress of the Chilean-Association-of-Automatic-Control (ACCA)</t>
  </si>
  <si>
    <t>MAR 22-26, 2021</t>
  </si>
  <si>
    <t>ELECTR NETWORK</t>
  </si>
  <si>
    <t>IEEE,Int Federat Automat Control,IEEE Consejo Chile,Chilean Assoc Automat Control,IEEE Chilean Chapter Control Syst,IEEE Chilean Chapter SMC,IEEE Chilean Chapter Educat,IEEE Syst Man &amp; Cybernet Soc,IEEE Control Syst Soc,IEEE Educ Soc,Asociac Ind Elect Elect Chile</t>
  </si>
  <si>
    <t>Physical layer security has been widely studied by the scientific community from a theoretical point of view, but the lack of practical metrics that can deliver a quick and easy-to-read response for the communications engineer makes it difficult to implement this type of security in current technologies. That is why this article proposes two practical metrics derived from the Bite error rate (BER) vs Signal to noise ratio (SNR) that quantify the security against the eavesdropper and the readability of the message in the legitimate receiver, finding a feasible power distribution for transmission.</t>
  </si>
  <si>
    <t>978-1-6654-0127-2</t>
  </si>
  <si>
    <t>10.1109/ICAACCA51523.2021.9465237</t>
  </si>
  <si>
    <t>WOS:000855764500098</t>
  </si>
  <si>
    <t>B</t>
  </si>
  <si>
    <t>Guerrero, M</t>
  </si>
  <si>
    <t>Vera, CG; Figueroa, CT</t>
  </si>
  <si>
    <t>Guerrero, Marion</t>
  </si>
  <si>
    <t>Chile and Brazil, the close friendship at the time of the Baron of Rio Branco (1902-1905)</t>
  </si>
  <si>
    <t>RELACIONES INTERNACIONALES REGIONALES DE CHILE HACIA 1904</t>
  </si>
  <si>
    <t>978-956-6095-25-5</t>
  </si>
  <si>
    <t>10.26448/ae9789566095255.11</t>
  </si>
  <si>
    <t>WOS:000762754900006</t>
  </si>
  <si>
    <t>Perez, S; Vargas, J; Mellado, M; Caro, RQ; Jarufe, J; Cruz, JPH; Lagos, APM; Muñoz, PPJ</t>
  </si>
  <si>
    <t>Perez, Sebastian; Vargas, Juan; Mellado, Miguel; Caro, Ricardo Quevedo; Jarufe, Juan; Cruz, Juan Pablo Hurtado; Lagos, Angelica Patricia Munz; Munoz, Pamela Paz Jara</t>
  </si>
  <si>
    <t>COMPARISON OF STATISTICAL VERSUS STOCHASTIC MODELS FOR WORK INDEX DETERMINATION IN QUARTZ-MARBLE MIXTURES</t>
  </si>
  <si>
    <t>MINING SCIENCE</t>
  </si>
  <si>
    <t>The required work for ore trituration is represented by the Bond Work Index value and is deter-mined by the grindability test for ball mills. This article examines the grinding behavior of ore blends with different mechanical properties in standard ball mills. The goal of this research was to compare statistic and stochastic models of the Work Index value for mixtures of quartz and marble at different proportions of each material. Quartz and marble bearing rocks were selected for this study due to the high difference between the Work Index value of each material, making the variability of the results more evident. Work Index values obtained for each mixture are shown, from which a deterministic model was proposed defined by data regression. The novelty of this research lies in the non-linear model, which was the best fit for the Work Index value of the quartz-marble blends. Our methodology allows us to build more accurate models and can be used for quartz-marble blends and other materials.</t>
  </si>
  <si>
    <t>Salem, A.Z.M./K-1495-2014; Hurtado Cruz, Juan Pablo/K-2568-2013</t>
  </si>
  <si>
    <t>Perez Cortes, Sebastian Alexander/0000-0003-0366-1747; Jara, Pamela/0000-0002-9717-9283; Munoz, Angelica Patricia/0000-0002-0173-2292; Hurtado Cruz, Juan Pablo/0000-0001-7602-8278; Jarufe Troncoso, juan Andres/0000-0003-2373-785X</t>
  </si>
  <si>
    <t>2300-9586</t>
  </si>
  <si>
    <t>2353-5423</t>
  </si>
  <si>
    <t>10.37190/msc212810</t>
  </si>
  <si>
    <t>WOS:000808546400009</t>
  </si>
  <si>
    <t>Nómez, N</t>
  </si>
  <si>
    <t>Nomez, Nain</t>
  </si>
  <si>
    <t>TRASCENDENCE AND REGENERATION IN DAVID ROSENMANN-TAUB'S POETRY</t>
  </si>
  <si>
    <t>REVISTA CHILENA DE LITERATURA</t>
  </si>
  <si>
    <t>This work it focalizes into the different ways that the poetic subject(s)in Cortejo y epinicio tetralogy of David Rosenmann-Taub, have to actualized in the memory, the need for a transcendence that is focalize in the search for the source and life's regeneration, aspirations that are represented as a desire to exorcize death. This imaginary desire, articulate the poetic production of Rosenmann-Taub, with the aesthetical sources of the avant-gardists, sources that are resignified in it work, through a multiplicity of discourse strategies. In this way, it is articulated with the neo avant-gardes from the fifties (from XX century) in Chile and the continent, according to a insoluble tension between the transcendence search and the impossibility to get it. All this, conduct the poetic subject to the wish for the humanization or world through the search of divinity, love and beauty by one side; and to pain, desperation and existential emptiness for the other.</t>
  </si>
  <si>
    <t>0718-2295</t>
  </si>
  <si>
    <t>WOS:000536124900014</t>
  </si>
  <si>
    <t>Urrea, C; Matteoda, R</t>
  </si>
  <si>
    <t>Urrea, Claudio; Matteoda, Rodrigo</t>
  </si>
  <si>
    <t>Development of a virtual reality simulator for a strategy for coordinating cooperative manipulator robots using cloud computing</t>
  </si>
  <si>
    <t>ROBOTICS AND AUTONOMOUS SYSTEMS</t>
  </si>
  <si>
    <t>This article deals with the development of a simulator that recreates, in virtual reality, a team of Selectively Compliance Assembly Robot Arms (SCARA). This team works cooperatively to fulfill the task of stacking rectangular objects coordinated through a strategy that includes a cloud server responsible for communication between the robots. The execution of the task is based on a leader/follower configuration. In this configuration, the leader performs a computed trajectory constantly reporting its position to the remote server. The remote server, in turn, sends this information back to the follower so this can follow the leader. The application combines MatLab (R) and Java. The latter is specifically used for communication routines, since its versatility makes it easy to be incorporated into any type of machine. This paper seeks to demonstrate the advantages of incorporating cloud resources into a multi-robot system and how its performance can be tested by means of the application developed. (C) 2020 Elsevier B.V. All rights reserved.</t>
  </si>
  <si>
    <t>Urrea, Claudio/0000-0001-7197-8928</t>
  </si>
  <si>
    <t>0921-8890</t>
  </si>
  <si>
    <t>1872-793X</t>
  </si>
  <si>
    <t>10.1016/j.robot.2020.103447</t>
  </si>
  <si>
    <t>WOS:000524382000004</t>
  </si>
  <si>
    <t>Dammert, L</t>
  </si>
  <si>
    <t>Kaltmeier, O; Tittor, A; Hawkins, D; Rohland, E</t>
  </si>
  <si>
    <t>Dammert, Lucia</t>
  </si>
  <si>
    <t>SECURITY</t>
  </si>
  <si>
    <t>ROUTLEDGE HANDBOOK TO THE POLITICAL ECONOMY AND GOVERNANCE OF THE AMERICAS</t>
  </si>
  <si>
    <t>Routledge Handbooks</t>
  </si>
  <si>
    <t>Dammert, Lucia/U-2327-2019</t>
  </si>
  <si>
    <t>978-1-351-13844-4; 978-0-815-35268-6</t>
  </si>
  <si>
    <t>WOS:000787594100046</t>
  </si>
  <si>
    <t>Devés, E</t>
  </si>
  <si>
    <t>Deves, E; Alvarez, ST</t>
  </si>
  <si>
    <t>Deves, Eduardo</t>
  </si>
  <si>
    <t>BRAZIL GREAT POWER SCHOOL</t>
  </si>
  <si>
    <t>PROBLEMATICAS INTERNACIONALES Y MUNDIALES DESDE EL PENSAMIENTO LATINOAMERICANO: TEORIAS, ESCUELAS, CONCEPTOS, DOCTRINAS, FIGURAS</t>
  </si>
  <si>
    <t>Coleccion Estudios de las Ideas</t>
  </si>
  <si>
    <t>978-956-6095-02-6</t>
  </si>
  <si>
    <t>WOS:000608865900007</t>
  </si>
  <si>
    <t>Córdoba, AG</t>
  </si>
  <si>
    <t>Guajardo Cordoba, Alejandro</t>
  </si>
  <si>
    <t>About new forms of colonization in occupational therapy. Reflections on the idea of Occupational Justice from a critical-political philosophy perspective</t>
  </si>
  <si>
    <t>CADERNOS BRASILEIROS DE TERAPIA OCUPACIONAL-BRAZILIAN JOURNAL OF OCCUPATIONAL THERAPY</t>
  </si>
  <si>
    <t>Based on a critical political philosophy position, this is a reflection of the emergence of a variety of new concepts in North-Eurocentric occupational therapy. In this new prolific and technocratic grammar, the idea of Occupational Justice (OJ) has largely resulted in this scenario, as well as in other spaces on the periphery of the global world system of the profession, particularly in academia. I maintain that the idea of Occupational Justice (OJ) has become a new form of epistemic and cognitive colonization of the profession, which operates under universalist, essentialist, liberal assumptions, typical of modern Eurocentric rationality. This idea of a single, homogeneous justice, associated with the notion of occupation would allow occupational therapy (OT) to methodologically fulfill its professional and disciplinary work structured under scientific assumptions and respond appropriately to the new complexities of its work. In the development of the text, the idea of justice is recognized as a notion that derives from political philosophy. The definition of justice and fairness is presented, according to political philosophy in its liberal and communitarian aspects. The scope of the idea of OJ and its colonial implications are delimited, an idea of Justice is proposed based on a critical ethical-political criterion, not an instrumental technical one, based on the idea of good living, under a pluricultural logic, of an anti-capitalist, communitarian order and that it materializes an expression of situated human rights, based on the recognition of difference.</t>
  </si>
  <si>
    <t>2526-8910</t>
  </si>
  <si>
    <t>10.4322/2526-8910.ctoARF2175</t>
  </si>
  <si>
    <t>WOS:000607934300019</t>
  </si>
  <si>
    <t>Zambrano, V; Bustos, R; Mahn, A</t>
  </si>
  <si>
    <t>Zambrano, Victor; Bustos, Ruben; Mahn, Andrea</t>
  </si>
  <si>
    <t>Insights about stabilization of sulforaphane through microencapsulation</t>
  </si>
  <si>
    <t>HELIYON</t>
  </si>
  <si>
    <t>The health-promoting properties of sulforaphane (SFN) are well known, however its instability is still a hurdle for its incorporation into food matrices. SFN can be stabilized by microencapsulation, technique sparingly explored for isothiocyanates so far. This review summarizer the advances in microencapsulation of SFN and other isothiocyanates. Encapsulation efficiency and degradation rate of sulforaphane in different systems are compared and discussed. Ionic gelation and complex coacervation seem more adequate for SFN, both underexplored until now. Drying conditions after chemical encapsulation are determinant, most likely related to thermal degradation of SFN. The current information is insufficient to identify the most adequate encapsulation system and the optimal process conditions to stabilize SFN aiming at its incorporation into food matrices. Accordingly, encapsulation conditions should be investigated, which arises as a new research line Stability studies are encouraged since this information will help in designing SFN microencapsulation strategies that extend the industrial application of this promising health-promoting compound.</t>
  </si>
  <si>
    <t>Bustos, Ruben/AAM-2029-2020</t>
  </si>
  <si>
    <t>Mahn, Andrea/0000-0001-6082-0279; Bustos, Ruben/0000-0003-0183-0324; Zambrano, Victor/0000-0003-4054-059X</t>
  </si>
  <si>
    <t>2405-8440</t>
  </si>
  <si>
    <t>e02951</t>
  </si>
  <si>
    <t>10.1016/j.heliyon.2019.e02951</t>
  </si>
  <si>
    <t>WOS:000500530100170</t>
  </si>
  <si>
    <t>Parker, C</t>
  </si>
  <si>
    <t>Parker, Cristian</t>
  </si>
  <si>
    <t>Popular Religions and Multiple Modernities: A Framework for Understanding Current Religious Transformations</t>
  </si>
  <si>
    <t>RELIGIONS</t>
  </si>
  <si>
    <t>Popular, ethnic, and folk religions endure in all regions of the planet, but specially in underdeveloped or developing non-Western countries. The main objective of this paper was to propose a framework for understanding this popular religious trend. Although religion in general has previously been linked to multiple modernities, the revitalization of popular religions has not. While Eisenstadt's original theory of multiple modernities has been criticized on several aspects, his interpretative approach is valid provided that the contradictory dynamics of modernizing processes are recognized. The epistemological shift suggested by this article involves recognizing the biases that Western sociology has brought to its analysis of religions. Once we treat modernities as multiple, the specificity of each modernity opens up the spectrum of religious alternatives that flourish in every geo-cultural area. The growing diversity of popular religious expressions in the Global South stems from the fact that they are supported by thousands of believers. Their lived religions spills beyond religious institutions. These popular religiosities are the main sources of religious diversities and religious resistance in the context of multiple modernities. Lived religion and symbolic action allow us a better understanding of the magical-religious expressions of peoples of the world.</t>
  </si>
  <si>
    <t>Parker G., Cristian/J-4947-2017</t>
  </si>
  <si>
    <t>Parker G., Cristian/0000-0001-8041-9642</t>
  </si>
  <si>
    <t>2077-1444</t>
  </si>
  <si>
    <t>10.3390/rel10100565</t>
  </si>
  <si>
    <t>WOS:000494721400047</t>
  </si>
  <si>
    <t>Barrios, R</t>
  </si>
  <si>
    <t>Barrios, Raul</t>
  </si>
  <si>
    <t>What Is Complex/Emotional About Emotional Complexity?</t>
  </si>
  <si>
    <t>Affective experiences can fluctuate, be combined, and fused, resulting in various phenomena labeled as being emotionally complex. Despite the lack of a common theoretical framework, several phenomena including mixed emotions, emodiversity, meta-emotions, awe, among several others, have been defined as being emotionally complex. In this conceptual analysis, I aim to integrate the diversity of emotional complexity by describing various phenomena associated with this construct. This integration offers a more comprehensive panorama of the current usage of the concept of emotional complexity compared to previous attempts to consolidate the field. Furthermore, this conceptual analysis intends to disentangle the emotional fingerprints of emotional complexity. In particular, I present evidence and arguments showing that complex emotions can be characterized as having specific facial expressions, appraisals, and functional significance. Finally, I suggest that it is possible to describe emotional complexity using concepts and properties from the complex systems theory. Concepts such as the hierarchical organization of the affect system and emergent self-organization are used to explain current evidence on emotional complexity. I explain that applying complex systems theory to emotional complexity is not only theoretically convenient, but that complex systems theory also serves to advance new forms to conceptualize the affect system. The current conceptual analysis can help to organize current research and theory in order to encourage new research endeavors in the field of emotional complexity and acknowledge the importance of emotional complexity in models of affect, for which I suggest some specific guidelines.</t>
  </si>
  <si>
    <t>Berrios, Raul/G-5167-2019</t>
  </si>
  <si>
    <t>Berrios, Raul/0000-0003-1826-7822</t>
  </si>
  <si>
    <t>JUL 12</t>
  </si>
  <si>
    <t>10.3389/fpsyg.2019.01606</t>
  </si>
  <si>
    <t>WOS:000475425000001</t>
  </si>
  <si>
    <t>Yurisch, KA; Garrido-Vergara, L</t>
  </si>
  <si>
    <t>Arias Yurisch, Karina; Garrido-Vergara, Luis</t>
  </si>
  <si>
    <t>What Propels Municipal Governments to Collaborate? The Case of Thematic Environmental Association in Chile</t>
  </si>
  <si>
    <t>LEX LOCALIS-JOURNAL OF LOCAL SELF-GOVERNMENT</t>
  </si>
  <si>
    <t>Although it is widely accepted that inter-local agreements can enhance municipal governments' capacity to provide complex services, there is little evidence in the Latin American case to explain why municipalities decide to collaborate with each other. What propels municipal governments to collaborate? Using data from Chilean government this paper identifies and analyzes the determinants of inter-local collaboration to address environmental issues. Five logit models are used for the empirical analysis. The results show that this form of cooperation is determined by poverty, population size, municipal fiscal capacity, and the degree of urbanization of local communities.</t>
  </si>
  <si>
    <t>Arias-Yurisch, Karina/LYP-0383-2024</t>
  </si>
  <si>
    <t>Arias-Yurisch, Karina/0000-0001-9820-6581</t>
  </si>
  <si>
    <t>1581-5374</t>
  </si>
  <si>
    <t>1855-363X</t>
  </si>
  <si>
    <t>10.4335/17.1.139-157(2019)</t>
  </si>
  <si>
    <t>WOS:000456819000008</t>
  </si>
  <si>
    <t>Rubio, R; Muñoz, É; Perelló, JL; Hevia, P</t>
  </si>
  <si>
    <t>Rubio, Raquel; Munoz, Edinson; Perello, Juan Luis; Hevia, Pablo</t>
  </si>
  <si>
    <t>Abstracts in Japanese and Spanish of scientific articles in the field of medicine</t>
  </si>
  <si>
    <t>CIRCULO DE LINGUISTICA APLICADA A LA COMUNICACION</t>
  </si>
  <si>
    <t>In spite of the fact that there is no lack of studies on the rethorics about the structure of scientific abstracts, those studies centered both on Spanish and Japanese by themselves and those taken as a contrastive rethoric analysis are sparse or non-existent. In our investigation we propose a contrastive rethoric analysis based on Swales &amp; Peak's rethoric move (2009), applied to abstracts of scientific articles of the Medicine field. These abstracts belonged to indexed journals and 10 of them were originally written in Japanese and the other 10 in Spanish. Results of the analysis show a clear difference between abstracts in Japanese and Spanish were in the latter their structure is more homogeneous, as all the moves analyzed appear more frequently than in Japanese. On the other hand, in both cases the moves backgrounds and objectives are preferred above methods, results and conclusions, which appear less frequently. This fact opens further research to reflect on the possible causes of this lack of coherence with the rethoric organization considered more appropriate. We conclude as well about the need to perform a more detailed analysis of the content of each move, making a differentiation some of the characteristics steps for, in every case, being able to arrive at deeper conclusions about the content and the privileged communicative intention, as well as expanding the research corpus both within the medical field and to other disciplines.</t>
  </si>
  <si>
    <t>Rubio, Amalia/L-1992-2017</t>
  </si>
  <si>
    <t>1576-4737</t>
  </si>
  <si>
    <t>SI</t>
  </si>
  <si>
    <t>10.5209/CLAC.65661</t>
  </si>
  <si>
    <t>WOS:000493993700016</t>
  </si>
  <si>
    <t>Urrea, C</t>
  </si>
  <si>
    <t>Ram, M</t>
  </si>
  <si>
    <t>Urrea, Claudio</t>
  </si>
  <si>
    <t>Trajectory Planning and Control Algorithms of Mobile Robots for Static Environments</t>
  </si>
  <si>
    <t>ADVANCED FUZZY LOGIC APPROACHES IN ENGINEERING SCIENCE</t>
  </si>
  <si>
    <t>Advances in Mechatronics and Mechanical Engineering</t>
  </si>
  <si>
    <t>In this chapter, different types of trajectory control and planning algorithms for mobile robots in static environments are analyzed and assessed. To this end, a mobile robot is made to plan and follow a route between two arbitrary points in an autonomous way. This work goes in depth into the discrete space techniques and those based on search trees. First, kinematics, trajectory planning and contour maps, robot control, etc. are reviewed. Second, computer simulations that validate these theoretical results are also designed and implemented. Finally, the strengths and weaknesses of each trajectory planning methodology are assessed.</t>
  </si>
  <si>
    <t>2328-8205</t>
  </si>
  <si>
    <t>2328-823X</t>
  </si>
  <si>
    <t>978-1-5225-8765-1; 978-1-5225-5710-4; 978-1-5225-5709-8</t>
  </si>
  <si>
    <t>10.4018/978-1-5225-5709-8.ch018</t>
  </si>
  <si>
    <t>10.4018/978-1-5225-5709-8</t>
  </si>
  <si>
    <t>WOS:000487852300019</t>
  </si>
  <si>
    <t>Araya-Córdova, PJ; Vásquez, OC</t>
  </si>
  <si>
    <t>Araya-Cordova, P. J.; Vasquez, Oscar C.</t>
  </si>
  <si>
    <t>The disaster emergency unit scheduling problem to control wildfires</t>
  </si>
  <si>
    <t>INTERNATIONAL JOURNAL OF PRODUCTION ECONOMICS</t>
  </si>
  <si>
    <t>In this paper, we study optimization and mechanism design relative to the disaster emergency unit (DEU) scheduling problem to control wildfires. We consider a single DEU and a set of forestry companies, in a scenario where the resources are constrained and an emergency induces damage to the nearby towns. Each forestry company has information about the forest density, which in addition to the feedrate of wildfires determines its marginal waiting cost. In practice, it generates a waiting cost for each forestry company according to its position in the sequence and the working time for the DEU. The goal is to determine a schedule and the working times of the DEU, so as to minimize the sum of the total damage and the total waiting cost of the forestry companies subject to constraints on the damage and use of the working time of the DEU. We show that the centralized problem can be solved by Karush-Kuhn-Tucker (KKT) conditions and design an easy-to-implement truthful mechanism for the decentralized problem. This design charges the damage to the forestry companies based on the optimal solution properties obtained from the centralized problem, with overcharging bounded by a constant. A numerical example to illustrate the problem and the usefulness of our contributions is described. Finally, we extend our results to similar problems for sequential use of a resource, in which strictly increasing convex isoelastic damage functions are considered.</t>
  </si>
  <si>
    <t>Vasquez, Oscar C./0000-0002-1393-4692</t>
  </si>
  <si>
    <t>0925-5273</t>
  </si>
  <si>
    <t>1873-7579</t>
  </si>
  <si>
    <t>10.1016/j.ijpe.2018.04.004</t>
  </si>
  <si>
    <t>WOS:000434889900024</t>
  </si>
  <si>
    <t>de Dicastillo, CL; Villegas, C; Garrido, L; Roa, K; Torres, A; Galotto, MJ; Rojas, A; Romero, J</t>
  </si>
  <si>
    <t>Lopez de Dicastillo, Carol; Villegas, Carolina; Garrido, Luan; Roa, Karina; Torres, Alejandra; Jose Galotto, Maria; Rojas, Adrian; Romero, Julio</t>
  </si>
  <si>
    <t>Modifying an Active Compound's Release Kinetic Using a Supercritical Impregnation Process to Incorporate an Active Agent into PLA Electrospun Mats</t>
  </si>
  <si>
    <t>POLYMERS</t>
  </si>
  <si>
    <t>The main objective of this work was to study the release of cinnamaldehyde (CIN) from electrospun poly lactic acid (e-PLA) mats obtained through two techniques: (i) direct incorporation of active compound during the electrospinning process (e-PLA-CIN); and (ii) supercritical carbon dioxide (scCO(2)) impregnation of CIN within electrospun PLA mats (e-PLA/CINimp). The development and characterization of both of these active electrospun mats were investigated with the main purpose of modifying the release kinetic of this active compound. Morphological, structural, and thermal properties of these materials were also studied, and control mats e-PLA and e-PLACO2were developed in order to understand the effect of electrospinning and scCO(2) impregnation, respectively, on PLA properties. Both strategies of incorporation of this active compound into PLA matrix resulted in different morphologies that influenced chemical and physical properties of these composites and in different release kinetics of CIN. The electrospinning and scCO(2) impregnation processes and the presence of CIN altered PLA thermal and structural properties when compared to an extruded PLA material. The incorporation of CIN through scCO(2) impregnation resulted in higher release rate and lower diffusion coefficients when compared to active electrospun mats with CIN incorporated during the electrospinning process.</t>
  </si>
  <si>
    <t>Rojas, Adrián/AAR-9441-2021; Romero, Julio/I-6705-2013; Lopez-de-Dicastillo, Carol/C-6347-2019</t>
  </si>
  <si>
    <t>Romero, Julio/0000-0002-1229-1592; Lopez-de-Dicastillo, Carol/0000-0003-0067-9765; Rojas, Adrian/0000-0001-9253-1295</t>
  </si>
  <si>
    <t>2073-4360</t>
  </si>
  <si>
    <t>10.3390/polym10050479</t>
  </si>
  <si>
    <t>WOS:000435199300017</t>
  </si>
  <si>
    <t>León, MJA; Zapata, IT; Reyes, FR</t>
  </si>
  <si>
    <t>Univ Santiago Chile, Fac Tecnologica</t>
  </si>
  <si>
    <t>Araya Leon, Maria Jose; Torres Zapata, Isabel; Ramirez Reyes, Fernanda</t>
  </si>
  <si>
    <t>AAO TK Arts and Crafts Tool Kit, a multidisciplinary learning and service tool for the creative industries</t>
  </si>
  <si>
    <t>OBRA COMPLETA: IMPACTO EN EL SABER Y SENTIR DOCENTE, VOL 2: ABORDANDO DESAFIOS, FORMACION PARA EL ENTORNO SOCIO PRODUCTIVIO</t>
  </si>
  <si>
    <t>A fundamental part for the development of the identity of a place, it is based on its heritage, on the evolution of its history and its industry, where the handicraft sector, the relationship between crafts and applied trades, fulfill a vital function. However, they are in danger of extinction, either because of the globalization of culture, technological advances or others. Promote business ecosystems to promote entrepreneurship and innovation added to the role that universities play with society, which through methods and tools such as learning outcomes and service, -A+S-, are capable of give a critical look And make these ecosystems more complex through interdisciplinarity. The objective of this chapter is to present the design proposal of AAO TK, -Artesania, Artes y Oficios, Toolkit-, based on the results of the research PID project 073-2015, and the application of the probing method, as well as for A+S experiences. For the development of the toolkit, participants from academia and the artisanal sector in the Chilean, Italian and Spanish context, obtaining crucial data through interviews, surveys and field visits. As a result, you get a game that is circulated through different areas that are integrated in the writing of knowledge of its participants, define the units of utility of the university, which are part of its development and how to advance through the proposed topics and sub-topics. AAO TK, will facilitate the support and technical assistance provided by this sector and will put into practice the knowledge and skills of our students, to contribute to the development of greater capacities of both parties.</t>
  </si>
  <si>
    <t>Zapata, Isabel/GQH-8406-2022; Araya, Maria/HSG-3880-2023</t>
  </si>
  <si>
    <t>978-956-303-397-7</t>
  </si>
  <si>
    <t>WOS:000480327100007</t>
  </si>
  <si>
    <t>Martínez, CJ</t>
  </si>
  <si>
    <t>Berrios, C; Garcia, C</t>
  </si>
  <si>
    <t>Jorquera Martinez, Carolina</t>
  </si>
  <si>
    <t>Citizen education as a transforming action of the school</t>
  </si>
  <si>
    <t>CIUDADANIAS EN CONFLICTO: ENFOQUES, EXPERIENCIAS Y PROPUESTAS</t>
  </si>
  <si>
    <t>Jorquera Martínez, Carolina/KQV-1449-2024</t>
  </si>
  <si>
    <t>978-956-8416-59-1</t>
  </si>
  <si>
    <t>10.26448/978-956-8416-59-1/11</t>
  </si>
  <si>
    <t>WOS:000440942900008</t>
  </si>
  <si>
    <t>Gabriela Mistral. We are the Andeans that went</t>
  </si>
  <si>
    <t>TALLER DE LETRAS</t>
  </si>
  <si>
    <t>0716-0798</t>
  </si>
  <si>
    <t>WOS:000456644600017</t>
  </si>
  <si>
    <t>Pujol, J</t>
  </si>
  <si>
    <t>Pujol, Jessica</t>
  </si>
  <si>
    <t>JUGGLING WITH THE DEBRIS: EXPERIMENTAL WRITING AND FAILURE IN LA FOSSE DE BABEL</t>
  </si>
  <si>
    <t>MODERN LANGUAGE REVIEW</t>
  </si>
  <si>
    <t>La Fosse de Babel (1972) is a collaborative volume between Andre Balthazar, Italo Calvino, Julio Cortazar, Reinhoud d'Haese, and Joyce Mansour. It contains lithography and sentences that readers need to cut and paste in order to play a game. In this article I use this playful co-operation to illustrate a series of tensions in experimental writing in the second half of the twentieth century, which some critics attribute to the failure of the historical avant-gardes. My contention is that La Fosse de Babel performs that failure but without this being a cause of despair: on the contrary, it represents a new thriving approach to the creative process in the 1970s.</t>
  </si>
  <si>
    <t>Duran, Jessica/AAQ-2025-2021</t>
  </si>
  <si>
    <t>Pujol Duran, Jessica/0000-0003-0875-2162</t>
  </si>
  <si>
    <t>0026-7937</t>
  </si>
  <si>
    <t>2222-4319</t>
  </si>
  <si>
    <t>+</t>
  </si>
  <si>
    <t>10.5699/modelangrevi.113.1.0026</t>
  </si>
  <si>
    <t>WOS:000419166800002</t>
  </si>
  <si>
    <t>Espinoza, MQ</t>
  </si>
  <si>
    <t>Quiroz Espinoza, Madelaine</t>
  </si>
  <si>
    <t>Strengthening skills towards a deep learning based on the implementation of participatory didactic strategies</t>
  </si>
  <si>
    <t>This project aims to strengthen deep learning of students based on a constructive alignment model. Two methodological strategies were implemented in the III organic agriculture course of the Agribusiness Engineering career, through portfolio preparation and Problem-Based Learning (PBL). To promote deep learning, a module of practical activities articulated with both methodologies was also incorporated. The constructive alignment considers a consistency among learning outcomes, the teaching and learning activities as well as the assessment regime. Modifications were made in each of these elements, which are presented in the Course Program, the teaching material and the evaluation instruments. Information was collected through surveys and questionnaires to the students. Students declared that both methodologies are important in their learning, since these allowed them to establish links between theory and practice, develop their autonomy, and use these tools in the future. Students did not feel disoriented during its realization, although they neither felt the need to inquire about what they had learned, nor always was motivated.</t>
  </si>
  <si>
    <t>WOS:000480327100009</t>
  </si>
  <si>
    <t>Lavarello, JR; Guerrero, EE; Vergara, JFL</t>
  </si>
  <si>
    <t>Roberto Lavarello, Julio; Espinoza Guerrero, Evelyn; Larranaga Vergara, Javiera Francisca</t>
  </si>
  <si>
    <t>Levels of Optimism: Differences between adults in Latin American countries</t>
  </si>
  <si>
    <t>UNIVERSITAS PSYCHOLOGICA</t>
  </si>
  <si>
    <t>Dispositional optimism is the variable within Positive Psychology that has been studied in different environments, as it is presented as related and predictor of psychological variables and health environments. The present study investigated whether there were significant differences in Optimism levels measured through the Life Orientation Test (LOT-R) according to the country of residence of the people, in an accidental sample of 464 people from Argentina, Mexico and Chile. No significant differences were found in the Optimism dimension, but in the Pessimism dimension, where Argentina presents the highest levels. In addition, significant differences were detected in 2 of the items in the Optimism dimension, where Mexican residents presented themselves with better levels, and in an item of the dimension Pessimism. The results are limited to the study that was carried out but they emphasize the importance of carrying out more studies in subjects that the present governments are working to improve the quality of life of the people that can be directly influenced by positive variables like Optimism.</t>
  </si>
  <si>
    <t>Lavarello-Salinas, Julio/0000-0003-0864-4372</t>
  </si>
  <si>
    <t>1657-9267</t>
  </si>
  <si>
    <t>APR-JUN</t>
  </si>
  <si>
    <t>10.11144/Javeriana.upsy16-2.noda</t>
  </si>
  <si>
    <t>WOS:000411841300008</t>
  </si>
  <si>
    <t>Macuada, CJ; Oddershede, AM; Quezada, LE</t>
  </si>
  <si>
    <t>Fertsch, M; Stachowiak, A; Mrugalska, B; OleskowSzlapka, J; Hadas, L; Cyplik, P; GolinskaDawson, P</t>
  </si>
  <si>
    <t>Macuada, C. J.; Oddershede, A. M.; Quezada, L. E.</t>
  </si>
  <si>
    <t>ASSESSMENT OF RISK MANAGEMENT METHOD FOR AUTOMATING AN OPERATIONAL CONTROL CENTRE IN A SANITARY ENTERPRISE</t>
  </si>
  <si>
    <t>24TH INTERNATIONAL CONFERENCE ON PRODUCTION RESEARCH (ICPR)</t>
  </si>
  <si>
    <t>DEStech Transactions on Engineering and Technology Research</t>
  </si>
  <si>
    <t>24th International Conference on Production Research (ICPR)</t>
  </si>
  <si>
    <t>JUL 30-AUG 03, 2017</t>
  </si>
  <si>
    <t>Posnan, POLAND</t>
  </si>
  <si>
    <t>Today's companies encounter a number of risks that can affect the achievement of their goals. These goals might correspond to the most varied areas or activities as strategic initiatives, operations, processes or projects, and so on, which have an effect on their results and may impact directly or indirectly to stakeholders, the environment and society in general. Companies need, therefore, to establish an adequate process of risk management to permit to anticipate and manage possible adverse results and their consequences, in order to ensure their survival, prestige and financial stability. This paper introduces an approach for the selection of a risk management method based on international standards and considering the existing conflicting objectives. The evaluation of remote and control technology is developed through a case study in a sanitary company applying multicriteria analysis.</t>
  </si>
  <si>
    <t>Quezada, Luis/W-8168-2019</t>
  </si>
  <si>
    <t>2475-885X</t>
  </si>
  <si>
    <t>978-1-60595-507-0</t>
  </si>
  <si>
    <t>WOS:000426981800061</t>
  </si>
  <si>
    <t>Neira, H</t>
  </si>
  <si>
    <t>Neira, Hernan</t>
  </si>
  <si>
    <t>THE DIFFICULT DISTINCTION BETWEEN HUMANS AND ANIMAL</t>
  </si>
  <si>
    <t>REVISTA DE FILOSOFIA</t>
  </si>
  <si>
    <t>The concept animal is not frequently analysed, neither the fact of how we can speak about something as animals. On the road leading to come to understanding of how human beings distinguish themselves from other animals, we have examined the proposals of Bimbenet, Heidegger, Rousseau and Levi-Strauss as well as those of the empirical anthropologists Washburn and Moore, and the one of Lee Berger. It is necessary to decide whether what is distinguished is a fact or a criteria settled by the researcher.</t>
  </si>
  <si>
    <t>0034-8236</t>
  </si>
  <si>
    <t>0718-4360</t>
  </si>
  <si>
    <t>WOS:000424545600012</t>
  </si>
  <si>
    <t>Aguirre, D; Firoozabadi, AD; Seguel, F; Soto, I</t>
  </si>
  <si>
    <t>Aguirre, Debora; Firoozabadi, Ali Dehghan; Seguel, Fabian; Soto, Ismael</t>
  </si>
  <si>
    <t>Proposed energy based method for light receiver localization in underground mining</t>
  </si>
  <si>
    <t>2016 IEEE INTERNATIONAL CONFERENCE ON AUTOMATICA (ICA-ACCA)</t>
  </si>
  <si>
    <t>IEEE International Conference on Automatica (ICA-ACCA)</t>
  </si>
  <si>
    <t>OCT 19-21, 2016</t>
  </si>
  <si>
    <t>Univ Talca, Curico, CHILE</t>
  </si>
  <si>
    <t>Univ Talca</t>
  </si>
  <si>
    <t>Light source localization is one of the most functional area in light signal processing. Various methods are used for light localization. Most of these methods are based on image signal processing on 2-D recorded image of environment but they need more devices for image recording. The aim of this paper, is localization of a photodetector or light receiver. These light receivers are used in connection with light sources, because as seen, light is not emitted from these photodetectors. Then, actually, the image processing based methods are useless in this application. The method in this paper is based on energy calculation in different frequency range based on received light from different light sources. Firstly, the effect of different light sources is separated by smart filtering. Then, the place of light receiver is estimated by energy calculation on specific frequency range and finding the intersection of spheres due to each light source. The benefit of the proposed method is using 1-D signal and needless of any specific device and in all of environment conditions. This proposed method can be implemented in real time due to low computational complexity. Also, this method has less complexity in compare with image processing based methods. Moreover, the accuracy of the proposed method is equal or sometimes better than the image processing based methods. The proposed method in this paper has been evaluated in different environmental conditions and the results shows a good accuracy. Also, this method can be used in underground mining applications</t>
  </si>
  <si>
    <t>Dehghan Firoozabadi, Ali/AAD-4858-2019; Seguel, Fabian/ABC-4765-2020</t>
  </si>
  <si>
    <t>Soto, Ismael/0000-0002-5501-5651</t>
  </si>
  <si>
    <t>978-1-5090-1147-6</t>
  </si>
  <si>
    <t>WOS:000390556300058</t>
  </si>
  <si>
    <t>Derpich, IS; Sepúlveda, JM</t>
  </si>
  <si>
    <t>Dzitac, I; Filip, FG; Manolescu, MJ</t>
  </si>
  <si>
    <t>Derpich, Ivan S.; Sepulveda, Juan M.</t>
  </si>
  <si>
    <t>A Model for Storage Facility Design with Energy Costs</t>
  </si>
  <si>
    <t>2016 6TH INTERNATIONAL CONFERENCE ON COMPUTERS COMMUNICATIONS AND CONTROL (ICCCC)</t>
  </si>
  <si>
    <t>6th International Conference on Computers Communications and Control (ICCCC)</t>
  </si>
  <si>
    <t>MAY 10-14, 2016</t>
  </si>
  <si>
    <t>Oradea, ROMANIA</t>
  </si>
  <si>
    <t>IEEE,IEEE Reg 8,Agora Univ</t>
  </si>
  <si>
    <t>The design of a warehouse or distribution center (DC) has become an essential tool for the optimization of the supply chain in most industries. Energy consumption in this type of facilities is an important issue which has not received much attention in the scientific community which has focused instead in two-dimensional routing optimization. In this paper the problem of designing a rectangular warehouse in a fully or partially automated factory or distribution center is addressed. In these facilities the movement is performed either by an AGV (Automated Guided Vehicle) or by automated robotics equipment of Cartesian movement attached to the storage racks. In the literature there exist works with formulas to design shelves in two and three dimensions buy they do not adequately consider the problem of movement in the Z-axis, thereby giving inefficient results with very high shelves and ignoring energy consumption and costs. This occurs because the known approaches consider the movement only on the X-Y plane as expensive as in height movement, which in general does not hold in actual facilities. The problem is exacerbated for heavy materials due to greater energy waste. In this paper the above problem is solved by a model with an extra component for the cost of movement in height. With the model and derived formulas, lower shelves with less energy consumption are generated. The formulas developed are optimal with respect to travel distances and they are obtained from solving a nonlinear optimization problem with linear constraints through a Lagrange transformation. The paper contribution is to optimize warehouse design for reduced energy consumption and pollution both relevant aspects in sustainable engineering systems. A practical application in a distributor of MRO items is presented along with measured energy cost impacts.</t>
  </si>
  <si>
    <t>derpich, ivan/T-1160-2019</t>
  </si>
  <si>
    <t>Sepulveda, Juan M./0000-0003-3755-0981; Derpich, Ivan/0000-0001-9759-7285</t>
  </si>
  <si>
    <t>978-1-5090-1735-5</t>
  </si>
  <si>
    <t>WOS:000391251000023</t>
  </si>
  <si>
    <t>Tarride, MI</t>
  </si>
  <si>
    <t>Ivan Tarride, Mario</t>
  </si>
  <si>
    <t>Human being - organization homomorphism: between autopoiesis and allopoiesis</t>
  </si>
  <si>
    <t>KYBERNETES</t>
  </si>
  <si>
    <t>Purpose - The purpose of this paper is to discuss the condition of human beings and organizations producing goods and/or services as autopoietic and allopoietic machines, with the aim of establishing a functional homomorphism between the productive system of an organization and the productive system of human beings, a matter that involves reflecting on what human beings do that is distinguished as allopoietic by an observer. Design/methodology/approach - Use is made of Ashby's concept of functional homomorphism to establish similarities between human beings and organizations. The definitions of autopoietic and allopoietic machine of Maturana and Varela are used to distinguish similarities and differences between what organizations do and what human beings do. Findings - As a result of using the autopoietic/allopoietic viewpoint, it is proposed to homologate the human nervous system with the production system of an organization, defining the latter as a world-creating energy/communication processing system. Research limitations/implications - A homomorphism is established here between a human nervous system and the production system of an organization; it remains pending the other homomorphisms that can be made between the systems of the human body and the organization. Practical implications - A proposal is made to understand an organization as a world-creating energy/communication processing system, and it is estimated that this would imply displacing attention, at present strongly centered on the generated products and/or services, toward the sense that they have for both persons and society, restating the question on the world we construct/live in, from the organizational standpoint. Originality/value - Human beings are seen as allopoietic machines, aiming to contribute to the discussion about what it is that we call human, homologating it with the work of an organization. As a result a new definition of organization is proposed.</t>
  </si>
  <si>
    <t>0368-492X</t>
  </si>
  <si>
    <t>1758-7883</t>
  </si>
  <si>
    <t>10.1108/K-11-2014-0277</t>
  </si>
  <si>
    <t>WOS:000374169100010</t>
  </si>
  <si>
    <t>Matiacevich, S; Acevedo, N; López, D</t>
  </si>
  <si>
    <t>Matiacevich, Silvia; Acevedo, Natalia; Lopez, Daniel</t>
  </si>
  <si>
    <t>CHARACTERIZATION OF EDIBLE ACTIVE COATING BASED ON ALGINATE-THYME OIL-PROPIONIC ACID FOR THE PRESERVATION OF FRESH CHICKEN BREAST FILLETS</t>
  </si>
  <si>
    <t>JOURNAL OF FOOD PROCESSING AND PRESERVATION</t>
  </si>
  <si>
    <t>Chicken meat presents serious problems of processing and storage. Edible coatings are used commercially to improve the shelf life of fresh foods. The aim of this study is to develop an effective antimicrobial edible coating to improve the shelf life and safety of fresh chicken meat. The effect of propionic acid and thyme essential oils as antimicrobial and antioxidant compounds incorporated into alginate-based edible coating was evaluated. Physical, antimicrobial and sensorial analyses were performed in coated and uncoated samples. Sensorial analysis showed no significant differences between coated and uncoated samples, which do not influence the buying decisions of consumers. The pH of the meat surface, color and sensorial analysis changed during storage time, showing similar behavior between coatings, the principal parameters to determine the shelf life of this product were weight loss and microbiological deterioration, where coatings had different behaviors. The selected coating increased the shelf life by about 33% with the lowest dehydration.</t>
  </si>
  <si>
    <t>López, Daniel/C-9803-2016</t>
  </si>
  <si>
    <t>Lopez Angulo, Daniel/0000-0001-5287-1391</t>
  </si>
  <si>
    <t>0145-8892</t>
  </si>
  <si>
    <t>1745-4549</t>
  </si>
  <si>
    <t>10.1111/jfpp.12530</t>
  </si>
  <si>
    <t>WOS:000368126300245</t>
  </si>
  <si>
    <t>Reyes, A; Henríquez-Vargas, L; Aravena, R; Sepúlveda, F</t>
  </si>
  <si>
    <t>Reyes, A.; Henriquez-Vargas, L.; Aravena, R.; Sepulveda, F.</t>
  </si>
  <si>
    <t>Experimental analysis, modeling and simulation of a solar energy accumulator with paraffin wax as PCM</t>
  </si>
  <si>
    <t>ENERGY CONVERSION AND MANAGEMENT</t>
  </si>
  <si>
    <t>Soft drink cans filled with paraffin wax mixed with 7.5% aluminum stripes, obtained from disposable cans, doubled the thermal conductivity of cans filled only with paraffin wax. Promising results obtained in a prototype heat exchanger encouraged the construction of this unit 6 times bigger. We experimentally evaluated and model a heat exchanger for solar energy accumulation, composed by 300 disposable soft drink cans filled with a total of 59.25 kg of paraffin wax mixed with 7.5% aluminum stripes. The effect of adding 2.75 kg of aluminum fins for enhancing heat transfer from the outer surface of the cans to the circulant air was experimentally analyzed. In sunny days, the wax melted completely in about 4 h. The accumulated energy in form of latent heat (about 13,000 kJ) allowed to increase the temperature of 0.040 kg/s of circulant air in at least 20 degrees C during a period of 2.5 h. For an air mass rate of 0.018 kg/s the period was extended practically to 5 h. The accumulator thermal analysis was presented and a subsequent numerical simulation with Matlab was performed to compare with the experimental results obtaining good agreement specially for higher air mass flow rates. The low cost accumulator presented is of simple construction and will allow extended use of solar energy for applications such as drying processes or household calefaction system. (C) 2015 Elsevier Ltd. All rights reserved.</t>
  </si>
  <si>
    <t>Henríquez-Vargas, Luis/Q-3617-2019; Sepúlveda, Francesca/AAW-8092-2021</t>
  </si>
  <si>
    <t>Sepulveda Palma, Francisco Hernan/0000-0002-1930-3859</t>
  </si>
  <si>
    <t>0196-8904</t>
  </si>
  <si>
    <t>1879-2227</t>
  </si>
  <si>
    <t>NOV 15</t>
  </si>
  <si>
    <t>10.1016/j.enconman.2015.07.068</t>
  </si>
  <si>
    <t>WOS:000363068900017</t>
  </si>
  <si>
    <t>Urrea, C; Muñoz, J</t>
  </si>
  <si>
    <t>Urrea, Claudio; Munoz, Jose</t>
  </si>
  <si>
    <t>Path Tracking of Mobile Robot in Crops</t>
  </si>
  <si>
    <t>JOURNAL OF INTELLIGENT &amp; ROBOTIC SYSTEMS</t>
  </si>
  <si>
    <t>Evaluation of the performance of three controllers: adaptive PID, model reference adaptive controller, and fuzzy controller, is presented, applied to a mobile robot for autonomous path tracking in a crop. Different tests are run in a simulation environment in order to compare the same trajectory performed under each of those controllers. The tests are designed and implemented using SimulinkA (R) programming tools, making the robot follow a desired path across the crop. The results are compared considering the different error indices, curves and actuator requirements of each controller, in order to arrange them in different categories.</t>
  </si>
  <si>
    <t>Urrea, Claudio/0000-0001-7197-8928; MUNOZ, JOSE/0000-0002-8157-8474</t>
  </si>
  <si>
    <t>0921-0296</t>
  </si>
  <si>
    <t>1573-0409</t>
  </si>
  <si>
    <t>10.1007/s10846-013-9989-1</t>
  </si>
  <si>
    <t>WOS:000362418000002</t>
  </si>
  <si>
    <t>Gajardo, AV</t>
  </si>
  <si>
    <t>Vera Gajardo, Andrea</t>
  </si>
  <si>
    <t>A Generalized Weil Representation for the Finite Split Orthogonal Group Oq (2n, 2n), q odd and &gt; 3</t>
  </si>
  <si>
    <t>JOURNAL OF LIE THEORY</t>
  </si>
  <si>
    <t>We construct via generators and relations a generalized Weil representation for the split orthogonal group O-q (2n, 2n) over a finite field of q elements. Besides, we give an initial decomposition of the representation found. We also show that the constructed representation is equal to the restriction of the Weil representation to O-q (2n, 2n) for the reductive dual pair (Sp(2)(F-q), O-q (2n, 2n)) and that the initial decomposition is the same as the decomposition with respect to the action of Sp(2)(F-q).</t>
  </si>
  <si>
    <t>0949-5932</t>
  </si>
  <si>
    <t>WOS:000356124900013</t>
  </si>
  <si>
    <t>Martínez, C; Contreras, A; Aguilera, O; Ganga, A; García, V</t>
  </si>
  <si>
    <t>Martinez, Claudio; Contreras, Angela; Aguilera, Omayra; Ganga, Angelica; Garcia, Veronica</t>
  </si>
  <si>
    <t>The ICY1 gene from Saccharomyces cerevisiae affects nitrogen consumption during alcoholic fermentation</t>
  </si>
  <si>
    <t>ELECTRONIC JOURNAL OF BIOTECHNOLOGY</t>
  </si>
  <si>
    <t>Background: Saccharomyces cerevisiae is the main microorganism responsible for alcoholic fermentation. In this process, the consumption of nitrogen is of great importance since it is found in limiting quantities and its deficiency produces sluggish and/or stuck fermentations generating large economic losses in the wine-making industry. In a previous work we compared the transcriptional profiles between genetically related strains with differences in nitrogen consumption, detecting genes with differential expression that could be associated to the differences in the levels of nitrogen consumed. One of the genes identified was ICY1. With the aim of confirming this observation, in the present work we evaluated the consumption of ammonium during the fermentation of strains that have deleted or overexpressed this gene. Results: Our results confirm the effect of ICY1 on nitrogen uptake by evaluating its expression in wine yeasts during the first stages of fermentation under low (MS60) and normal (MS300) assimilable nitrogen. Our results show that the mRNA levels of ICY1 diminish when the amount of assimilable nitrogen is low. Furthermore, we constructed strains derived from the industrial strain EC1118 as a null mutant in this gene as well as one that overexpressed it. Conclusions: Our results suggest that the expression of ICY1 is regulated by the amount of nitrogen available in the must and it is involved in the consumption of ammonium, given the increase in the consumption of this nitrogen source observed in the null mutant strain. (C) 2014 Pontificia Universidad Catolica de Valparaiso. Production and hosting by Elsevier B.V. All rights reserved.</t>
  </si>
  <si>
    <t>Martinez, Claudio/MGS-9961-2025; Ganga, Maria/S-8176-2019; García, Verónica/AAM-1175-2021; Contreras, Angela/AAD-7854-2019</t>
  </si>
  <si>
    <t>garcia, veronica/0000-0002-5312-925X; Martinez, Claudio/0000-0001-8564-9287</t>
  </si>
  <si>
    <t>0717-3458</t>
  </si>
  <si>
    <t>JUL 15</t>
  </si>
  <si>
    <t>10.1016/j.ejbt.2014.04.006</t>
  </si>
  <si>
    <t>WOS:000342851800001</t>
  </si>
  <si>
    <t>Reyes, A; Mahn, A; Vásquez, F</t>
  </si>
  <si>
    <t>Reyes, Alejandro; Mahn, Andrea; Vasquez, Francisco</t>
  </si>
  <si>
    <t>Mushrooms dehydration in a hybrid-solar dryer, using a phase change material</t>
  </si>
  <si>
    <t>Mushrooms were dehydrated in a hybrid solar dryer provided with a solar panel of a total exposed surface of 10 m(2), electric resistances and paraffin wax as a phase change material. Mushrooms were cut in 8 mm or 12 mm slices. At the outlet of the drying chamber the air was recycled (70% or 80%) and the air temperature was adjusted to 60 degrees C. At the outlet of the solar panel the air temperature rose up to 30 degrees C above the ambient temperature, depending on solar radiation level. The effective diffusivity, estimated by the Simplified Constant Diffusivity Model, considering or not shrinkage, fluctuated between 2.5 . 10(-10) m(2)/s and 8.4 . 10(-10) m(2)/s with R-2 higher than 0.99, agreeing with values reported in literature. The empirical Page's model resulted in a better adjustment, with R-2 above 0.998. In all runs the dehydrated mushrooms showed a notorious darkening and shrinkage. Rehydration assays at 30 degrees C showed that in less than 30 min rehydrated mushrooms reached a moisture content of 1.91 (dry basis). Rehydrated mushrooms had a higher hardness compared with fresh mushrooms. The Simplified Constant Diffusivity Model and the Peleg's model adjusted to the rehydration data with RMSE values below 0.080. Thermal efficiency fluctuated between 22% and 62%, while the efficiency of the accumulator panel varied between 10% and 21%. The accumulator allowed reducing the electric energy input. (C) 2014 Elsevier Ltd. All rights reserved.</t>
  </si>
  <si>
    <t>10.1016/j.enconman.2014.03.077</t>
  </si>
  <si>
    <t>WOS:000336698600026</t>
  </si>
  <si>
    <t>Jara, J; Chacon, M</t>
  </si>
  <si>
    <t>Jara, Jose; Chacon, Max</t>
  </si>
  <si>
    <t>The effect of different body positions on the assessment of dynamic cerebral autoregulation</t>
  </si>
  <si>
    <t>FASEB JOURNAL</t>
  </si>
  <si>
    <t>Jara, JL/J-7254-2015</t>
  </si>
  <si>
    <t>Jara, JL/0000-0002-3348-7017</t>
  </si>
  <si>
    <t>0892-6638</t>
  </si>
  <si>
    <t>1530-6860</t>
  </si>
  <si>
    <t>WOS:000346651002380</t>
  </si>
  <si>
    <t>Alvarez, G</t>
  </si>
  <si>
    <t>Alvarez, Gabriela G.</t>
  </si>
  <si>
    <t>THE PLACE OF NATIONAL PARKS IN THE REPRESENTATION OF A TOURIST PATAGONIA. THE PROCESS OF DISCUSSION AND QUALIFICATION OF PATAGONIAN LANDSCAPE DURING THE TWENTIETH CENTURY</t>
  </si>
  <si>
    <t>MAGALLANIA</t>
  </si>
  <si>
    <t>Our interest is to investigate the key moments of how tourism is involved in the processes of imaginary representation of Patagonia from the twentieth century onward. In particular, narrations that declare Patagonia region in a place of national and international prominence ( on the economic horizon and tourism). First, we describe a summary of the challenges of contemporary tourism. Second, to recognize the discourse about tourism in the discussions and actions that enabled national parks in Argentina and Chile. What social practices suggested as worthy to see, how the image of the Patagonian tourist was organized, and who participated, are some questions to answer in this paper.</t>
  </si>
  <si>
    <t>Alvarez Gamboa, Gabriela Soledad/0000-0002-7251-9819</t>
  </si>
  <si>
    <t>0718-2244</t>
  </si>
  <si>
    <t>10.4067/S0718-22442014000100004</t>
  </si>
  <si>
    <t>WOS:000340694700004</t>
  </si>
  <si>
    <t>de la Cerda, OG; Ulloa, MSS</t>
  </si>
  <si>
    <t>Garcia de la Cerda, Osvaldo; Saavedra Ulloa, Maria Soledad</t>
  </si>
  <si>
    <t>Enactive management: dancing with uncertainty and complexity</t>
  </si>
  <si>
    <t>11th IEEE International Conference on Cybernetic Intelligent Systems (CIS)</t>
  </si>
  <si>
    <t>AUG 23-24, 2012</t>
  </si>
  <si>
    <t>Univ Limerick, Limerick, IRELAND</t>
  </si>
  <si>
    <t>IEEE,IEEE SMC UK &amp; Ireland Chapter,Univ Limerick, Dept Phys Energy,Univ Limerick, Dept Comp Sci &amp; Informat Syst</t>
  </si>
  <si>
    <t>Univ Limerick</t>
  </si>
  <si>
    <t>Purpose - The purpose of this paper is to present and explain an enactive tool to be used by managers to move effectively in the context of high uncertainty and complexity that organizations nowadays operate. Design/methodology/approach - The approach raises in the enactive management that focusses on the ability of the manager to incorporate distinctions as an observer and self-observer to design interactions that can move the situation to be transformed. The key ontological tool that allow this learning is called CLEHES (c). Findings - Using a soft technology as CLEHES, re configures the ways to observe and self- observe of manager and opens the design possibilities of the situation in which the organization is. Managers become choreographers in the sense they can design and move the interactions they observe. The embodied us of this tool requires an educational program that takes the form of hermeneutical laboratory where managers incorporate distinctions in the body and change the perspective they enact. Practical implications - This approach evokes changes in the observer and the enactor situation/situated in the organizational areas where the manager is responsible. Originality/value - A different and nurturing technology to self-observer and observation, allow enactive management in multiples domains and organizational contexts where the manager dance. The structural dynamics of the CLEHES dimensions creates multiples realities, through enactive conversations in a learning self-awareness process.</t>
  </si>
  <si>
    <t>Oussalah, Mourad/0000-0002-4422-8723</t>
  </si>
  <si>
    <t>10.1108/K-01-2014-0003</t>
  </si>
  <si>
    <t>WOS:000343399700010</t>
  </si>
  <si>
    <t>Donoso, IG</t>
  </si>
  <si>
    <t>Goicovic Donoso, Igor</t>
  </si>
  <si>
    <t>From indifference to resistance. Popular sectors and the War of Independence in northern Chile (1817-1823)</t>
  </si>
  <si>
    <t>REVISTA DE INDIAS</t>
  </si>
  <si>
    <t>Chile's independence movement was led by the Creole elite of landowners and merchants based in Santiago and its surroundings. The subsequent phase of construction of the state and the nation was an expression of their political project. Nonetheless, popular sectors consisting of laborers, craftsmen and farmers, slaves and Indians, remained aloof from this plan and, in the context of the disruption of colonial society, developed strategies of social and political empowerment. Expressions of this were the montoneras (irregular armed forces), banditry and military desertion. This article analyzes the development of these phenomena in northern Chile between 1817 and 1823.</t>
  </si>
  <si>
    <t>0034-8341</t>
  </si>
  <si>
    <t>1988-3188</t>
  </si>
  <si>
    <t>10.3989/revindias.2014.005</t>
  </si>
  <si>
    <t>WOS:000339131000005</t>
  </si>
  <si>
    <t>Madero-Cabib, I</t>
  </si>
  <si>
    <t>Madero-Cabib, Ignacio</t>
  </si>
  <si>
    <t>Differentiation and contingency in Latin America</t>
  </si>
  <si>
    <t>REVISTA INTERNACIONAL DE SOCIOLOGIA</t>
  </si>
  <si>
    <t>Cabib, Ignacio/H-5998-2016</t>
  </si>
  <si>
    <t>Cabib, Ignacio/0000-0002-9918-8562</t>
  </si>
  <si>
    <t>0034-9712</t>
  </si>
  <si>
    <t>SEP-DEC</t>
  </si>
  <si>
    <t>WOS:000309200300012</t>
  </si>
  <si>
    <t>Urrea, C; Kern, J</t>
  </si>
  <si>
    <t>Urrea, Claudio; Kern, John</t>
  </si>
  <si>
    <t>Modeling, Simulation and Control of a Redundant SCARA-Type Manipulator Robot Regular Paper</t>
  </si>
  <si>
    <t>INTERNATIONAL JOURNAL OF ADVANCED ROBOTIC SYSTEMS</t>
  </si>
  <si>
    <t>In this paper, the modeling of a redundant SCARA-type manipulator robot with five degrees of freedom is presented. We propose three controllers hyperbolic sine-cosine, sliding mode, and calculated torque - which are applied to the discussed model. A simulation environment is developed using MatLab/Simulink programming tools. This simulation environment is employed to perform several tests (including actuators' dynamics) on the model of the redundant manipulator, with each different controller, under path tracking requirements. Results were obtained from comparative curves and rms index for joints and Cartesian errors.</t>
  </si>
  <si>
    <t>1729-8814</t>
  </si>
  <si>
    <t>AUG 21</t>
  </si>
  <si>
    <t>10.5772/51701</t>
  </si>
  <si>
    <t>WOS:000309936100002</t>
  </si>
  <si>
    <t>Siginer, DA</t>
  </si>
  <si>
    <t>Siginer, Dennis A.</t>
  </si>
  <si>
    <t>Isothermal tube flow of non-linear viscoelastic fluids. Part I: Constitutive instabilities and the longitudinal field</t>
  </si>
  <si>
    <t>INTERNATIONAL JOURNAL OF ENGINEERING SCIENCE</t>
  </si>
  <si>
    <t>Theories and attendant methodologies developed independently of thermodynamic considerations and set within a thermodynamic framework to derive theological constitutive equations for viscoelastic fluids have been reviewed in their historical context. The stability of Maxwell-like differential and single integral type constitutive formulations in current use and their relationship to experimentally observed physical instabilities are reviewed in particular in the light of inherent Hadamard and dissipative type of instabilities they may be subject to as a consequence of defective constitutive formulations. The state of the art in predicting the longitudinal field, the pressure drop and the friction factors for the flow of generalized Newtonian and viscoelastic fluids in circular and non-circular straight tubes is reviewed. (C) 2011 Elsevier Ltd. All rights reserved.</t>
  </si>
  <si>
    <t>0020-7225</t>
  </si>
  <si>
    <t>10.1016/j.ijengsci.2011.10.005</t>
  </si>
  <si>
    <t>WOS:000304848000009</t>
  </si>
  <si>
    <t>Alvarez, C; Sanhueza, B; Ruiz, I; Castillo, J</t>
  </si>
  <si>
    <t>Alvarez Z, Carlos; Sanhueza P, Belen; Ruiz F, Ivan; Castillo A, Jorge</t>
  </si>
  <si>
    <t>Retroperitoneal schwannoma. Report of one case</t>
  </si>
  <si>
    <t>REVISTA MEDICA DE CHILE</t>
  </si>
  <si>
    <t>Retroperitoneal schwannoma is an uncommon and usually benign condition. We report a 51-year-old woman presenting with a palpable pelvic tumor. The patient was operated on and during the intervention, two retroperitoneal tumors were found and resected. The postoperative course was favorable. Pathology confirmed the diagnosis of retroperitoneal benign shwannomas. After eight years of follow up, there is no evidence of malignant transformation. (Rev Med Chile 2012; 140: 767-770).</t>
  </si>
  <si>
    <t>Alvarez, Carlos/B-7652-2019</t>
  </si>
  <si>
    <t>0034-9887</t>
  </si>
  <si>
    <t>0717-6163</t>
  </si>
  <si>
    <t>10.4067/S0034-98872012000600011</t>
  </si>
  <si>
    <t>WOS:000306679400011</t>
  </si>
  <si>
    <t>Maisey, K; Toro-Ascuy, D; Montero, R; Reyes-López, FE; Imarai, M</t>
  </si>
  <si>
    <t>Maisey, Kevin; Toro-Ascuy, Daniela; Montero, Ruth; Reyes-Lopez, Felipe E.; Imarai, Monica</t>
  </si>
  <si>
    <t>Identification of CD3ε, CD4, CD8β splice variants of Atlantic salmon</t>
  </si>
  <si>
    <t>FISH &amp; SHELLFISH IMMUNOLOGY</t>
  </si>
  <si>
    <t>In vertebrates, CD3 complex and CD4 and CD8 co-receptors are essential for signal transduction during T cell activation. In the present study, we report the mRNA spliced variants of the Atlantic salmon CD3 epsilon, CD4 and CD8 beta and the effect of pathogen encounter on the expression of these variants. CD3 epsilon is alternatively spliced in thymus, head kidney, spleen and gills to give rise to the complete mRNA sequence and to an alternative product that lacks the transmembrane exon. CD4 is also alternatively spliced in the thymus, head kidney, spleen and gills to form two variants, although the alternative product is barely detectable. The alternative product lacks the exon 1B encoding the D1 domain, which is essential for binding to MHC class II proteins. Two amplicons were also found for the CD8 beta gene; sequencing analysis revealed that the main PCR product corresponds to the previously reported CD8 beta sequence, whereas the variant sequence encodes a potential protein that lacks the Ig-like domain. The expression of CD3, CD4, CD8 beta genes also analyzed in head kidney of LPS-treated and IPNV infected salmon and different patterns of expression were observed. The presence and balance of the different variants of T cell co-receptors could be related to the ability of fish to induce a particular type of immune response, as well as, the ability of the pathogen to modify the fish immune response. (C) 2011 Elsevier Ltd. All rights reserved.</t>
  </si>
  <si>
    <t>Reyes-López, Felipe/S-1760-2018; Toro-Ascuy, Daniela/JDC-8224-2023; Maisey, Kevin/AAP-2886-2021</t>
  </si>
  <si>
    <t>Imarai, Monica/0000-0001-8767-9180; Toro-Ascuy, Daniela/0000-0002-2563-9711; Maisey, Kevin/0000-0002-7423-6329; Reyes-Lopez, Felipe E./0000-0002-5001-457X; Montero, Ruth Tamara/0000-0002-3019-1800</t>
  </si>
  <si>
    <t>1050-4648</t>
  </si>
  <si>
    <t>10.1016/j.fsi.2011.07.022</t>
  </si>
  <si>
    <t>WOS:000298569700012</t>
  </si>
  <si>
    <t>Galotto, MJ; Torres, A; Guarda, A; Moraga, N; Romero, J</t>
  </si>
  <si>
    <t>Galotto, M. J.; Torres, A.; Guarda, A.; Moraga, N.; Romero, J.</t>
  </si>
  <si>
    <t>Experimental and theoretical study of LDPE versus different concentrations of Irganox 1076 and different thickness</t>
  </si>
  <si>
    <t>FOOD RESEARCH INTERNATIONAL</t>
  </si>
  <si>
    <t>This work presents a theoretical and experimental study on the specific migration process, describing the mass transfer of a model migrant Octadecyl 3-(3,5-di-tert-butyl-4-hydroxyphenyl)propionate (I-1076), an antioxidant commonly used in the polyolefins processing. Film samples (LDPE), with initial concentration of Irganox between 1000 and 6000 (mg/kg), and thickness of 50-190 mu m, were placed in contact with fatty (EtOH 95%) and aqueous (EtOH 10%) food simulants at 40 degrees C for 20 days, in order to obtain the concentration evolution in the food simulant which was measured by HPLC. On the other hand, a phenomenological model based on a resistances-in-series approach was developed considering the diffusion through the polymer film, natural convection in the food simulant and the thermodynamic equilibrium between the polymer and the liquid simulant phase. For the thickest films, the diffusion coefficient of I-1076 through the polymer phase was estimated varying between 1.95.10(-13) (m(2) s(-1)) and 2.0-10(-13) (m(2) s(-1)) at 40 degrees C. On the contrary, the thinnest one shows a significant decrease of the diffusion coefficient value, which was evaluated in 1.0.10(-14) (m(2) s(-1)). This modification can be explained by means of a crystal distribution and size in the thinnest polymer film prepared by CAST extrusion. The mathematical model developed is a tool for prediction and analysis which can be used to facilitate the characterization of polymers, and it could predict the response as packaging for food in a specific application. (C) 2010 Elsevier Ltd. All rights reserved.</t>
  </si>
  <si>
    <t>Romero, Julio/I-6705-2013</t>
  </si>
  <si>
    <t>Romero, Julio/0000-0002-1229-1592</t>
  </si>
  <si>
    <t>0963-9969</t>
  </si>
  <si>
    <t>1873-7145</t>
  </si>
  <si>
    <t>10.1016/j.foodres.2010.12.009</t>
  </si>
  <si>
    <t>WOS:000289184400009</t>
  </si>
  <si>
    <t>Díaz, P; Arratia, C; Vásquez, C; Osorio, F; Enrione, J</t>
  </si>
  <si>
    <t>Saravacos, G; Taoukis, P; Krokida, M; Karathanos, V; Lazarides, H; Stoforos, N; Tzia, C; Yanniotis, S</t>
  </si>
  <si>
    <t>Diaz, Paolo; Arratia, Carol; Vasquez, Corina; Osorio, Fernando; Enrione, Javier</t>
  </si>
  <si>
    <t>Effect of glycerol on water sorption of bovine gelatin films in the glassy state</t>
  </si>
  <si>
    <t>11TH INTERNATIONAL CONGRESS ON ENGINEERING AND FOOD (ICEF11)</t>
  </si>
  <si>
    <t>Procedia Food Science</t>
  </si>
  <si>
    <t>11th International Congress on Engineering and Food (ICEF)</t>
  </si>
  <si>
    <t>MAY 22-26, 2011</t>
  </si>
  <si>
    <t>Athens, GREECE</t>
  </si>
  <si>
    <t>The addition of low molecular weight compounds to a biopolymer in the glassy state can generate changes in macrostructural properties of the matrix. This work studied the effect of glycerol on water sorption properties of gelatin films in the glassy state. Bovine gelatin-glycerol (0-10% dry basis, db) films were equilibrated to moisture contents (MC) in the range of 5 - 30% (db). Results show that the addition of glycerol generated differences in sorption behaviour by the decreasing of sorption parameters (GAB, BET and Freundlich), indicating complex glycerol-matrix interactions. Gas pycnometry showed a densification of the matrix suggesting a reduction in sorption site availability when glycerol content increased. (c) 2011 Published by Elsevier B.V. Selection and/or peer-review under responsibility of 11th International Congress on Engineering and Food (ICEF 11) Executive Committee.</t>
  </si>
  <si>
    <t>Enrione, Javier/I-9225-2014; osorio, fernando/AAY-7304-2021</t>
  </si>
  <si>
    <t>osorio, fernando/0000-0001-7206-0924</t>
  </si>
  <si>
    <t>2211-601X</t>
  </si>
  <si>
    <t>10.1016/j.profoo.2011.09.042</t>
  </si>
  <si>
    <t>WOS:000314355500042</t>
  </si>
  <si>
    <t>Jean-Luc Nancy: Materialism, globalization and phenomenological ontology</t>
  </si>
  <si>
    <t>FILOSOFIA UNISINOS</t>
  </si>
  <si>
    <t>In a collection of articles under the title La creation du monde ou la mondialisation (2002), Nancy seeks to portray a mondialisation, or worldlization, that does not consist of an expanded reproduction of capital and that is not a local phenomenon, but rat her a global one. For that purpose, he affirms that the difference between globalization and worldlization lies in the emergence of an almost metaphysical notion of creation. Nancy distinguishes between the world's globalization and the world's move towards worldlization. Worldlization requires that something new is produced within the world, a break with the simple reproduction of what already exists, yet a break that does not involve an external intervention. This new but not external element is part of the radical materialism that Nancy shares with Marx and Sartre. Nevertheless, Nancy manifests a degree of vacillation and retreats from his own proposal, whose possibilities can be realized by reworking Sartre's phenomenological ontology on the basis of the globalization vs. worldlization problem raised by Nancy himself.</t>
  </si>
  <si>
    <t>Neira, Hernan/0000-0003-3198-7242</t>
  </si>
  <si>
    <t>1519-5023</t>
  </si>
  <si>
    <t>10.4013/fsu.2010.111.02</t>
  </si>
  <si>
    <t>WOS:000280820500002</t>
  </si>
  <si>
    <t>Jara, JL; Acevedo-Crespo, R</t>
  </si>
  <si>
    <t>Kolehmainen, M; Toivanen, P; Beliczynski, B</t>
  </si>
  <si>
    <t>Jara, J. L.; Acevedo-Crespo, Rodrigo</t>
  </si>
  <si>
    <t>Crisp Classifiers vs. Fuzzy Classifiers: A Statistical Study</t>
  </si>
  <si>
    <t>ADAPTIVE AND NATURAL COMPUTING ALGORITHMS</t>
  </si>
  <si>
    <t>Lecture Notes in Computer Science</t>
  </si>
  <si>
    <t>9th International Conference on Adaptive and Natural Computing Algorithms (ICANNGA)</t>
  </si>
  <si>
    <t>APR 23-25, 2009</t>
  </si>
  <si>
    <t>Kuopio, FINLAND</t>
  </si>
  <si>
    <t>Univ Kuopio, Dept Environm Sci, Environm Informat,Univ Kuopio, Dept Comp Sci</t>
  </si>
  <si>
    <t>A study is made of whether there is a significant statistical difference in performance between crisp and fuzzy rule-based classification. To do that, 12 datasets were chosen from the UCI repository that are widely used in the literature, and use was made of four different algorithms for rule induction -two crisp and two fuzzy- to classify them. Then a non-parametric statistical test was used for measuring the significance of the results, which indicated that both paradigms -crisp and fuzzy classification- are not different in the statistical meaning.</t>
  </si>
  <si>
    <t>0302-9743</t>
  </si>
  <si>
    <t>1611-3349</t>
  </si>
  <si>
    <t>978-3-642-04920-0</t>
  </si>
  <si>
    <t>WOS:000279120700045</t>
  </si>
  <si>
    <t>Araya, D; Lizama, C</t>
  </si>
  <si>
    <t>Araya, Daniela; Lizama, Carlos</t>
  </si>
  <si>
    <t>Almost automorphic mild solutions to fractional differential equations</t>
  </si>
  <si>
    <t>NONLINEAR ANALYSIS-THEORY METHODS &amp; APPLICATIONS</t>
  </si>
  <si>
    <t>We introduce the concept of alpha-resolvent families to prove the existence of almost automorphic mild solutions to the differential equation D(1)(alpha)u(t) = Au(t) + t(n)f(t), 1 &lt;= alpha &lt;= 2, n is an element of Z(+) considered in a Banach space X, where f : R -&gt; X is almost automorphic. We also prove the existence and uniqueness of an almost automorphic mild solution of the semilinear equation D(1)(alpha)u(t) = Au(t) + f(t, u(t)), 1 &lt;= alpha &lt;= 2 assuming f(t, x) is almost automorphic in t for each x is an element of X, satisfies a global Lipschitz condition and takes values on X. Finally, we prove also the existence and uniqueness of an almost automorphic mild solution of the semilinear equation D(1)(alpha)u(t) = Au(t) + f(t, u(t), u'(t)), 1 &lt;= alpha &lt;= 2, under analogous conditions as in the previous case. (C) 2007 Elsevier Ltd. All rights reserved.</t>
  </si>
  <si>
    <t>Lizama, Carlos/E-5909-2011</t>
  </si>
  <si>
    <t>Lizama, Carlos/0000-0002-9807-1100; Araya Bastias, Daniela Andrea/0000-0002-3395-3348</t>
  </si>
  <si>
    <t>0362-546X</t>
  </si>
  <si>
    <t>1873-5215</t>
  </si>
  <si>
    <t>DEC 1</t>
  </si>
  <si>
    <t>10.1016/j.na.2007.10.004</t>
  </si>
  <si>
    <t>WOS:000261319500003</t>
  </si>
  <si>
    <t>Vera, CG</t>
  </si>
  <si>
    <t>Garay Vera, Cristian</t>
  </si>
  <si>
    <t>The Acre War and pacific matters: Bolivia, Brazil, Chile and the Unites States, 1898-1909</t>
  </si>
  <si>
    <t>HISTORIA-SANTIAGO</t>
  </si>
  <si>
    <t>This work considers the Acre War as part of a multilateral context where the equilibrium of power was important in the reasoning behind the establishment of foreign relations. It uses the frontier concept developed by F. J. Turner to explain why their open frontier put Brazil and Bolivia in confrontation. This happened because of the Bolivian strategy of granting land to investors from the United States, Great Britain and France, which was interpreted by Brazil as an imperialist action promoted by the United States. This explains why Brazil established a close relationship with Chile to confront together their problems in Acre and Antofagasta, which led to the drafting of the Petr6pilis (1903) and Paz y Amistad (1904) treaties. The article argues that Bolivia proceeded this way to avoid a Brazilian, Peruvian or Paraguayan territorial advance, seeking the support of the United States to compensate the imbalance of power.</t>
  </si>
  <si>
    <t>0073-2435</t>
  </si>
  <si>
    <t>JUL-DEC</t>
  </si>
  <si>
    <t>WOS:000261723600002</t>
  </si>
  <si>
    <t>Garin, JL; Mannheim, RL; Manríquez, FJ</t>
  </si>
  <si>
    <t>Garin, J. L.; Mannheim, R. L.; Manriquez, F. J.</t>
  </si>
  <si>
    <t>Microstructural evolution and mechanical behavior of cast heat-resistant steels subjected to high service temperature</t>
  </si>
  <si>
    <t>REVISTA DE METALURGIA</t>
  </si>
  <si>
    <t>The microstructure and mechanical properties evolution were determined in two cast heat-resistant steels upon annealing processes to induce sigma-phase formation. The research analyzed the influence of heating time at 1053 K on the formation of sigma and its relationship with selected mechanical properties, in HC-type steels (28,6Cr-1,9Ni-0,4C) and HD,type steels (28,3Cr-5,8 Ni-0,4). The obtained results evidenced formation of sigma-phase initially along ferrite-austenite grain boundaries, but at longer times sigma precipitates in the bulk of the ferrite grains, reaching maximum values of approximately 25 % and 55 % in HC and HD respectively, after 120 hours treatment. Precipitation of sigma in both alloys resembled the Johnson-Mehl-Avrami's mechanism stated for nucleation and growth. The mechanical behavior mainly depicted a strong decrease of toughness and a moderated increase of hardness.</t>
  </si>
  <si>
    <t>0034-8570</t>
  </si>
  <si>
    <t>WOS:000260313400008</t>
  </si>
  <si>
    <t>Cordova, FM; Canete, L; Quezada, LE; Yanine, F</t>
  </si>
  <si>
    <t>Cordova, Felisa M.; Canete, Lucio; Quezada, Luis E.; Yanine, Fernando</t>
  </si>
  <si>
    <t>An intelligent supervising system for the operation of an underground mine</t>
  </si>
  <si>
    <t>INTERNATIONAL JOURNAL OF COMPUTERS COMMUNICATIONS &amp; CONTROL</t>
  </si>
  <si>
    <t>Quezada, Luis/W-8168-2019; CORDOVA, FELISA/S-1093-2019; Arratia, Lucio/AAV-6112-2020; Yanine, Franco Fernando/G-6909-2015</t>
  </si>
  <si>
    <t>Yanine, Franco Fernando/0000-0003-1086-0840; Quezada, Luis/0000-0003-1364-9266; Canete Arratia, Lucio/0000-0002-1191-8728; CORDOVA, FELISA/0000-0002-5557-8569</t>
  </si>
  <si>
    <t>1841-9836</t>
  </si>
  <si>
    <t>1841-9844</t>
  </si>
  <si>
    <t>10.15837/ijccc.2008.3.2394</t>
  </si>
  <si>
    <t>WOS:000257275300004</t>
  </si>
  <si>
    <t>Gomez-Pantoja, C; Marin, M</t>
  </si>
  <si>
    <t>ElBaz, D; Bourgeois, J; Spies, F</t>
  </si>
  <si>
    <t>Gomez-Pantoja, Carlos; Marin, Mauricio</t>
  </si>
  <si>
    <t>Load balancing distributed inverted files: Query ranking</t>
  </si>
  <si>
    <t>PROCEEDINGS OF THE 16TH EUROMICRO CONFERENCE ON PARALLEL, DISTRIBUTED AND NETWORK-BASED PROCESSING</t>
  </si>
  <si>
    <t>Euromicro Conference on Parallel, Distributed and Network-Based Processing</t>
  </si>
  <si>
    <t>16th Euromicro International Conference on Parallel, Distributed and Network-Based Processing</t>
  </si>
  <si>
    <t>FEB 13-15, 2008</t>
  </si>
  <si>
    <t>Toulouse, FRANCE</t>
  </si>
  <si>
    <t>Sun Microsyst,Minist Delegue Recherche,Ctr Natl Recherche Sci,Univ Paul Sabatier,CNRS LAAS,SGI,Reg Midi Pyrenees,Mairie Toulouse,Haute Garonne</t>
  </si>
  <si>
    <t>Search engines use inverted files as index data structures to speed up the solution of user queries. The index is distributed on a set of processors forming a cluster of computers and queries are received by a broker machine and scheduled for solution in the cluster The broker must use a scheduling algorithm to assign queries to processors since the computations associated with the ranking of documents that form part of the solutions to queries can take a significant fraction of the total running time. The cost of this task can be highly variable and depends on the particular user preferences for words when formulating queries in a given period of time. Thus the scheduling algorithm must be able to cope efficiently with a highly dynamic and very large amount of jobs being assigned in an on-line manner to the processors. In this paper we evaluate a number of scheduling algorithms proposed in the literature in the context of scheduling queries on a search engine.</t>
  </si>
  <si>
    <t>Marin, Mauricio/GLR-7700-2022</t>
  </si>
  <si>
    <t>Gomez-Pantoja, Carlos/0000-0002-4097-6134; Marin, Mauricio/0000-0003-0662-7149</t>
  </si>
  <si>
    <t>1066-6192</t>
  </si>
  <si>
    <t>978-0-7695-3089-5</t>
  </si>
  <si>
    <t>10.1109/PDP.2008.93</t>
  </si>
  <si>
    <t>WOS:000254266500043</t>
  </si>
  <si>
    <t>Reyes, A; Vega, R; García, G</t>
  </si>
  <si>
    <t>Reyes, A.; Vega, R.; Garcia, G.</t>
  </si>
  <si>
    <t>Drying sawdust in a pulsed fluidized bed</t>
  </si>
  <si>
    <t>DRYING TECHNOLOGY</t>
  </si>
  <si>
    <t>The objective of this work was the experimental and theoretical study of sawdust drying, in batch and continuous experiences, using a pulsed fluidized bed dryer. In the batch experiences, a 23 factorial design was used to determine the kinetics of drying, the critical moisture content, and the effective coefficients of both diffusivity and heat transfer, all of them as a function of the velocity and temperature of the air, the speed of turning of the slotted plate that generates the air pulses in the dryer, using sawdust with 65% moisture in each run. In the continuous operation, a 23 factorial design was used to study the effect of the solid flow and the velocity and temperature of the air on both the product moisture and the distribution of residence times. In order to determine these last ones, digital image processing was used, utilizing sawdust colored by a solution of methylene blue as tracer. The statistically significant factors were the velocity and the temperature of the heating air, for both the continuous and batch operations. Although the speed of turn of the slotted plate was not significant, it was observed that the air pulses increased the movement of particles, facilitating its fluidization, especially at the beginning of drying. The heat transfer coefficients were adjusted according to the equation Nu=0.0014 Rep1.52, whose standard deviation of fit is 0.145. The period of decreasing rate was adjusted to several diffusivity models, giving the best fit the simplified variable diffusivity model (SVDM). The curve of distribution of residence times was adjusted using the model of tanks in series, with values between 2.6 and 5 tanks.</t>
  </si>
  <si>
    <t>0737-3937</t>
  </si>
  <si>
    <t>10.1080/07373930801929508</t>
  </si>
  <si>
    <t>WOS:000255001100013</t>
  </si>
  <si>
    <t>Urrea, C; Jamett, M</t>
  </si>
  <si>
    <t>Filipe, J; Cetto, JA; Ferrier, JL</t>
  </si>
  <si>
    <t>Urrea, Claudio; Jamett, Marcela</t>
  </si>
  <si>
    <t>Detection and control of Non-linear behavior by Sliding Modes control in a 3 d.o.f. robot</t>
  </si>
  <si>
    <t>ICINCO 2008: PROCEEDINGS OF THE FIFTH INTERNATIONAL CONFERENCE ON INFORMATICS IN CONTROL, AUTOMATION AND ROBOTICS, VOL RA-2: ROBOTICS AND AUTOMATION, VOL 2</t>
  </si>
  <si>
    <t>5th International Conference on Informatics in Control, Automation and Robotics</t>
  </si>
  <si>
    <t>MAY 11-15, 2008</t>
  </si>
  <si>
    <t>Funchal, PORTUGAL</t>
  </si>
  <si>
    <t>Inst Syst &amp; Technologies Informat, Control &amp; Commun,Univ Madeira,IEEE Syst, Man &amp; Cybernet Soc,Int Federat Automat Control,Assoc Advancement Artificial Intelligence</t>
  </si>
  <si>
    <t>Results from simulations of a Planar Robot Model, when it is placed in the same plane of the action of the gravity force are reviewed in this paper. The model includes several parameters usually discarded in current models, such as Driving, and Non-linear Friction, for an industrial-type robotic manipulator and its actuators. When we develop more exact representations of the dynamics of a manipulator and their actuators, chaotic behavior is detected for certain parameter values of the robotic manipulator. This chaotic behavior - without external inputs - was exactly controlled by Sliding Modes.</t>
  </si>
  <si>
    <t>Claudio, URREA/KWU-1600-2024; Jamett, Marcela/HLH-3427-2023</t>
  </si>
  <si>
    <t>978-989-8111-31-9</t>
  </si>
  <si>
    <t>WOS:000258901100012</t>
  </si>
  <si>
    <t>Reyes, A; Cerón, S; Zúñiga, R; Moyano, P</t>
  </si>
  <si>
    <t>Reyes, A.; Ceron, S.; Zuniga, R.; Moyano, P.</t>
  </si>
  <si>
    <t>A comparative study of microwave-assisted air drying of potato slices</t>
  </si>
  <si>
    <t>BIOSYSTEMS ENGINEERING</t>
  </si>
  <si>
    <t>Potato slices were dried in a tunnel dryer, a conventional fluidised bed dryer and a fluidised bed dryer with the application of microwaves. A multifactorial experimental design (3 x 2 2) was applied to analyse the effects of type of dryer, temperature, and air speed in studies of drying kinetics, until a final moisture content of 12 +/- 1.5% (wet basis) was reached. Some quality parameters of the dried potato slices for combinations of the process variables are also compared. The type of dryer and the drying temperature had a strong effect on drying rate and on the colour and porosity of the dried potato slices, while rehydration capacity and maximum penetration force were not affected. The statistical analysis showed a marked lowering of drying time when microwaves were applied to a fluidised bed, in agreement with observations reported in the literature. Around a 70% decrease in drying time was observed when the tunnel dryer was replaced by the fluidised bed dryer. Drying time was further reduced to half of that time when microwaves were applied to the fluidised bed, resulting in an 85% drying time reduction in total. The variable diffusivity model, the modified quasi-stationary model and Page's equation were used to fit the experimental drying kinetics, and Page's equation gave the best fit with a root-mean-square error in the range of 1.6-9.1%. Additionally, the effective diffusivity values determined in this work were similar to those reported in the literature. (C) 2007 IAgrE. Published by Elsevier Ltd. All rights reserved.</t>
  </si>
  <si>
    <t>Cerón, Susana/G-4401-2015</t>
  </si>
  <si>
    <t>Zuniga, Rommy/0000-0002-4195-8085</t>
  </si>
  <si>
    <t>1537-5110</t>
  </si>
  <si>
    <t>1537-5129</t>
  </si>
  <si>
    <t>10.1016/j.biosystemseng.2007.07.006</t>
  </si>
  <si>
    <t>WOS:000252141300006</t>
  </si>
  <si>
    <t>Palma, C; Contreras, E; Sepulveda, L</t>
  </si>
  <si>
    <t>Palma, Carolyn; Contreras, Elsa; Sepulveda, Luisa</t>
  </si>
  <si>
    <t>Decolourisation of textile effluents in a battery of continuous sequential bioreactors with immobilized Phanerochaete crhysosporium</t>
  </si>
  <si>
    <t>JOURNAL OF BIOTECHNOLOGY</t>
  </si>
  <si>
    <t>13th European Congress on Biotechnology (ECB 13)</t>
  </si>
  <si>
    <t>SEP 16-19, 2007</t>
  </si>
  <si>
    <t>Barcelona, SPAIN</t>
  </si>
  <si>
    <t>0168-1656</t>
  </si>
  <si>
    <t>1873-4863</t>
  </si>
  <si>
    <t>S146</t>
  </si>
  <si>
    <t>S147</t>
  </si>
  <si>
    <t>10.1016/j.jbiotec.2007.07.857</t>
  </si>
  <si>
    <t>WOS:000249687100246</t>
  </si>
  <si>
    <t>Guzman, AM; Aracena, TA; Cardenas, MJ; Escobar, RA</t>
  </si>
  <si>
    <t>ASME</t>
  </si>
  <si>
    <t>Guzman, Amador M.; Aracena, Tania A.; Cardenas, M. J.; Escobar, Rodrigo A.</t>
  </si>
  <si>
    <t>Heat transfer characteriastics and enhancement in symmetric wavy channels in a frequency-doubling transition scenario</t>
  </si>
  <si>
    <t>PROCEEDINGS OF THE ASME/JSME THERMAL ENGINEERING SUMMER HEAT TRANSFER CONFERENCE 2007, VOL 2</t>
  </si>
  <si>
    <t>7th ASME/JSME Thermal Engineering Conference/Summer Heat Transfer Conference</t>
  </si>
  <si>
    <t>JUL 08-12, 2007</t>
  </si>
  <si>
    <t>Vancouver, CANADA</t>
  </si>
  <si>
    <t>ASME, Heat Transfer Div,JSME, Thermal Engn Div</t>
  </si>
  <si>
    <t>We investigate the heat transfer enhancement due to flow mixing enhancement in a frequency-doubling transition scenario in symmetric wavy channels by direct numerical simulations of the mass, momentum and energy equations. The governing equations are solved for laminar and transitional flow regimes by the spectral element method, using a periodic computational domain, and with a high aspect ratio of r=a/(2L)=0.375, where L is the periodic length, and a, the wavy wall amplitude. The frequency-doubling transition scenario is characterized by one flow bifurcation that develops to a critical Reynolds numbers Rec, leading to a periodic flow. Further increases in the Reynolds number leads to successive periodic flows where the fundamental frequency omega(1), increases continuously. This scenario is different to the Ruelle-Takens-Newhouse transition scenario obtained for a symmetric wavy channel with an aspect ratio of 0.125, where periodic and quasi periodic flow regimes develop as the Reynolds number increases. Heat Transfer simulations are carried out assuming a constant heat flux on one wall and an adiabatic condition on the other wall. Numerical results demonstrate that the time-average mean Nusselt number increases significantly as the flow passes from a laminar to a periodic flow regime. As the flow becomes periodic and for increasing Reynolds numbers, the Nusselt number increases with respect to the laminar flow Nusselt number, up to a factor of 4, depending on the Reynolds number, which represents a significant heat transfer enhancement due to a better flow mixing.. This increase is accompanied by a reasonable increase in both the friction factor and the pumping power. The obtained qualitative and quantitative features are compared to other channel geometries, such as grooved and asymmetric wavy channels, which also develop different transition scenarios.</t>
  </si>
  <si>
    <t>Escobar, Rodrigo/JHU-7720-2023; Guzman, Amador/F-9260-2013</t>
  </si>
  <si>
    <t>Escobar, Rodrigo/0000-0001-9097-7461</t>
  </si>
  <si>
    <t>978-0-7918-4275-1</t>
  </si>
  <si>
    <t>WOS:000254072500087</t>
  </si>
  <si>
    <t>Sebastián, B; Urzúa, AM; Vines, M</t>
  </si>
  <si>
    <t>Sebastian, Betania; Urzua, Alejandro M.; Vines, Marcela</t>
  </si>
  <si>
    <t>Analysis of surface and volatile compounds of flower heads of introduced plants of Chrysanthemum coronarium L. growing wild in Chile</t>
  </si>
  <si>
    <t>FLAVOUR AND FRAGRANCE JOURNAL</t>
  </si>
  <si>
    <t>Surface compounds were obtained by a methylene chloride extract of fresh flower heads of wild plants of Chrysanthemum coronarium L. in Chile. Three fractions were obtained by column chromatography and analyzed by GC-MS leading to the identification of several monoterpenes and sesquiterpene lactones. A hydrocarbon fraction of n-alkanes from C23 to C31 and C33 was also identified. Headspace analysis of the fresh flower heads was carried out. Different proportions of the same mono- and sesquiterpenes were identified in the volatile fraction but not the sesquiterpene lactones. The chemical data was compared with that reported in studies of plants growing in the species' original area of distribution. The proportion of oxygenated terpenoids identified in this report, in relation to those reported in previous communications, is a most relevant characteristic and represents an important difference between the chemistry of individuals of C. coronarium present in Chile and those present in Murcia, Spain and Livorno, Italy. Copyright (c) 2006 John Wiley &amp; Sons, Ltd.</t>
  </si>
  <si>
    <t>Urzua, Alejandro/0000-0003-2638-0921</t>
  </si>
  <si>
    <t>0882-5734</t>
  </si>
  <si>
    <t>10.1002/ffj.1712</t>
  </si>
  <si>
    <t>WOS:000240472600010</t>
  </si>
  <si>
    <t>Núñez, L; Gómez-Barreiro, S; Gracia-Fernández, CA</t>
  </si>
  <si>
    <t>Determination of dielectric and calorimetric properties in the cure reaction of two thermosets by dielectric analysis and differential scanning calorimetry</t>
  </si>
  <si>
    <t>POLYMER INTERNATIONAL</t>
  </si>
  <si>
    <t>Dielectric analysis and differential scanning calorimetry were used to study the cure reaction of an epoxy resin (the diglycidyl ether of bisphenol A (DGEBA) (n = 0)) and two curing agents, ie 1,2-diamine cyclohexane (1,2-DCH) and m-xylylenediamine (m-XDA). Various dielectric properties, such as the relaxed permittivity, unrelaxed permittivity and dipole strength, were determined as a function of the curing time, temperature and conversion. The dielectric curing properties observed were related to geometric and energetic aspects of the samples. Analysis of the results shows that the relaxed permittivity and dipole strength are higher for the system DGEBA (n = 0)/1,2-DCH than for the system DGEBA (n = 0)/m-XDA. (c) 2005 Society of Chemical Industry.</t>
  </si>
  <si>
    <t>0959-8103</t>
  </si>
  <si>
    <t>1097-0126</t>
  </si>
  <si>
    <t>10.1002/pi.1872</t>
  </si>
  <si>
    <t>WOS:000232591700003</t>
  </si>
  <si>
    <t>Valenzuela, T; Carvajal, K; Acuña, G; Chacón, M; Magne, L</t>
  </si>
  <si>
    <t>Wang, J; Liao, X; Yi, Z</t>
  </si>
  <si>
    <t>Neural grey box model for power estimation in semiautogenous mill</t>
  </si>
  <si>
    <t>ADVANCES IN NEURAL NETWORKS - ISNN 2005, PT 3, PROCEEDINGS</t>
  </si>
  <si>
    <t>2nd International Symposium on Neural Networks</t>
  </si>
  <si>
    <t>MAY 30-JUN 01, 2005</t>
  </si>
  <si>
    <t>Chongqing, PEOPLES R CHINA</t>
  </si>
  <si>
    <t>Chongqing Univ,SW Normal Univ,Chongqing Univ, Posts &amp; Telecommun,SW Agr Univ,Chongqing Educ Coll,Chinese Univ Hong Kong,Asia Pacific Neural Network Assembly,European Neural Network Soc,IEEE Circuits &amp; Syst Soc,IEEE Computat Intelligence Soc,Natl Nat Sci Fdn China,K C Wong Educ Fdn Hong Kong</t>
  </si>
  <si>
    <t>Technology advances in semiautogenous milling have not been accompanied by advances in the operation of these mills, mainly in the estimates of load levels and the power of the mill. This article presents a grey box model that improves estimate of power. The obtained results are satisfactory and demonstrate that both the phenomenological model and the neural network strengthen each other, and the results are better than those obtained individually.</t>
  </si>
  <si>
    <t>Acuna Leiva, Gonzalo Pedro/0000-0002-0519-7792</t>
  </si>
  <si>
    <t>3-540-25914-7</t>
  </si>
  <si>
    <t>WOS:000230167700132</t>
  </si>
  <si>
    <t>Vera-Villarroel, P; Fernández, AM</t>
  </si>
  <si>
    <t>Psychoneuroimmunology in the present:: The state of publications in the field</t>
  </si>
  <si>
    <t>REVISTA ECUATORIANA DE NEUROLOGIA</t>
  </si>
  <si>
    <t>Psychoneuroimmunology (PNI) is a field of research that is concerned with bi-directional relationships between the brain, behavior and the immune system. In an effort to assess the present state of the field, we analyzed the scientific production of PNI using the most recognized system of scientific productivity, ISI web of knowledge SM according to the following analysis: publications in PNI by country of origin, years, principal authors, journals, and the language of publication. The results show that in 1987 the field produced four articles, increasing to a total of 47 articles in 2004. The three most productive authors in the field are Glaser, Ader, and Maes. The most prolific institution is Ohio State University (with 33 articles). The three journals that publish the higher number of articles are Brain Behavior and Immunity, Psychosomatic Medicine and Psychotherapy and Psychosomatics. The results are promising in terms of scientific production in the field, showing that the interdisciplinary importance of research in PNI is in the rise.</t>
  </si>
  <si>
    <t>Fernandez, Ana Maria/E-6429-2011; Vera-Villarroel, Pablo/A-1134-2011</t>
  </si>
  <si>
    <t>Fernandez, Ana Maria/0000-0003-4132-5891; Vera-Villarroel, Pablo/0000-0001-9187-8414</t>
  </si>
  <si>
    <t>1019-8113</t>
  </si>
  <si>
    <t>1-3</t>
  </si>
  <si>
    <t>WOS:000234523200004</t>
  </si>
  <si>
    <t>Ramírez, G; Cornejo, G; Lucero, M; Riquelme, A; Azócar, I; Armijo, F; Aguirre, MJ; Trollund, E</t>
  </si>
  <si>
    <t>Chemical metallation of poly-p-tetraaminophenylporphyrin films grown by cyclic voltammetry on conducting glass electrodes.</t>
  </si>
  <si>
    <t>JOURNAL OF THE CHILEAN CHEMICAL SOCIETY</t>
  </si>
  <si>
    <t>In this paper we present a simple and mild procedure to incorporate cations of transition metals to a polymer of the free-ligand para-tetraaminophenylporphyrin (H(2)TAPP) in order to obtain similar responses as in the case of the direct electropolymerization of a metallic complex. Sometimes, it is not possible to obtain an electropolymerized complex under a determined set of conditions. Changes in the conditions of synthesis drastically alter the properties of the polymers and, thus, the modification of the parameters of synthesis is not a feasible method to obtain a desired polymer. In those cases, a polymer of the free-ligand can be obtained and then the metallic ions can be incorporated so that an identical polymer to the one that could be obtained from the direct polymerization of the complex is obtained.</t>
  </si>
  <si>
    <t>Azocar, Manuel/I-1226-2013; Armijo, Francisco/G-3391-2013; Aguirre, Maria/A-3935-2013</t>
  </si>
  <si>
    <t>Aguirre, Maria/0000-0003-1134-4469; Armijo, Francisco/0000-0002-2479-6280; Ramirez, Galo/0000-0002-6217-4730; Azocar Guzman, Manuel/0000-0003-1098-4659</t>
  </si>
  <si>
    <t>0717-9707</t>
  </si>
  <si>
    <t>WOS:000223792700014</t>
  </si>
  <si>
    <t>Celentano, DJ; Cabezas, EE; García, CM; Monsalve, AE</t>
  </si>
  <si>
    <t>Characterization of the mechanical behaviour of materials in the tensile test:: experiments and simulation</t>
  </si>
  <si>
    <t>MODELLING AND SIMULATION IN MATERIALS SCIENCE AND ENGINEERING</t>
  </si>
  <si>
    <t>7th United States National Congress on Computational Mechanics</t>
  </si>
  <si>
    <t>JUL 27-31, 2003</t>
  </si>
  <si>
    <t>Albuquerque, NM</t>
  </si>
  <si>
    <t>US Assoc Computat Mech</t>
  </si>
  <si>
    <t>This paper presents an experimental analysis and a numerical simulation of the mechanical behaviour experienced during the tensile test by both cylindrical and strip specimens of different materials for which the classical so-called Bridgman's procedure aimed at predicting the stress distribution at the necking zone cannot be directly applied. A set of experiments has been carried out in order to derive the elastic and hardening parameters that characterize the material response. The simulation of the deformation process during the whole test is performed with a finite element large strain elastoplasticity-based formulation. Finally, the results obtained with the simulation are experimentally validated.</t>
  </si>
  <si>
    <t>García-Herrera, Claudio/ABE-8991-2020; Celentano, Diego/JQW-5027-2023</t>
  </si>
  <si>
    <t>Garcia-Herrera, Claudio/0000-0002-1283-8551; Monsalve, Alberto/0000-0002-5772-8815</t>
  </si>
  <si>
    <t>0965-0393</t>
  </si>
  <si>
    <t>1361-651X</t>
  </si>
  <si>
    <t>S425</t>
  </si>
  <si>
    <t>S444</t>
  </si>
  <si>
    <t>PII S0965-0393(04)72464-X</t>
  </si>
  <si>
    <t>10.1088/0965-0393/12/4/S09</t>
  </si>
  <si>
    <t>WOS:000222671000023</t>
  </si>
  <si>
    <t>Mannheim, RL; Garin, JL</t>
  </si>
  <si>
    <t>Structural identification of phases in Mo-Re alloys within the range from 5 to 95% Re</t>
  </si>
  <si>
    <t>JOURNAL OF MATERIALS PROCESSING TECHNOLOGY</t>
  </si>
  <si>
    <t>International Conference on Advanced Materials Processing Technologies</t>
  </si>
  <si>
    <t>SEP 18-21, 2001</t>
  </si>
  <si>
    <t>MADRID, SPAIN</t>
  </si>
  <si>
    <t>Molybdenum-rhenium alloys are particularly more advantageous than other refractory alloys for aerospace and energy systems applications, because of availability and high temperature strength levels. Besides the solid solubility found in binary Mo-Re alloys, the existence of sigma- and chi-phases has received much attention because of the important effects that the formation of these phases has on the properties of the industrial alloys. This paper deals with the quantitative identification of those phases as formed under nearly equilibrium cooling of the powder-sintered alloys. Eighteen different compositions were prepared among the range from 5 to 95% of Re in Mo, by sintering of Mo-Re powder mixtures at 1750degreesC under protecting Ar-H-2 atmosphere. The relatively fast cooling rate of the alloys resulted in a modification of the phase stability zones at room temperature; hence sigma- and chi-phases were formed at various compositions in the studied range. The stability zones and relative amount of all phases were determined by means of quantitative X-ray diffraction analysis of the various samples. (C) 2003 Elsevier Science B.V. All rights reserved.</t>
  </si>
  <si>
    <t>0924-0136</t>
  </si>
  <si>
    <t>1873-4774</t>
  </si>
  <si>
    <t>DEC 20</t>
  </si>
  <si>
    <t>10.1016/S0924-0136(03)00342-X</t>
  </si>
  <si>
    <t>WOS:000187510100101</t>
  </si>
  <si>
    <t>Isaacs, M; Canales, JC; Riquelme, A; Lucero, M; Aguirre, MJ; Costamagna, J</t>
  </si>
  <si>
    <t>Contribution of the ligand to the electroreduction of CO2 catalyzed by a cobalt(II) macrocyclic complex</t>
  </si>
  <si>
    <t>JOURNAL OF COORDINATION CHEMISTRY</t>
  </si>
  <si>
    <t>The electrochemical reduction of carbon dioxide using hexa-aza-macrocycles derived from the condensation of 1, 10-phenanthroline and its Co(11) complex as an electrocatalyst dissolved in dimethylformamide has been studied by cyclic voltammetry and UV-visible spectroscopy. The ligand does not show catalytic activity and only generates hydrogen when it is reduced under carbon dioxide. The cobalt complex shows electrocatalytic activity toward the reduction of carbon dioxide, generating carbon monoxide and formic acid. Cyclic voltammetry and UV-visible spectroscopy show that the active site for the reduction is the metal center in oxidation state (1), although the reduced cobalt center alone is not enough to promote reduction of the carbon dioxide. Electrolysis at controlled potential shows that only at potentials corresponding to reduction of the ligand (second reduction) does carbon dioxide reduction occur. Cobalt(I) probably reacts with CO2 forming a non-isolated intermediate which, when reduced, gives CO and formic acid. The second reduction that takes place on the ligand regenerates the catalyst and gives products, thus becoming the rate-determining step of the reaction.</t>
  </si>
  <si>
    <t>Aguirre, Maria/A-3935-2013; Isaacs, Mauricio/N-3027-2013</t>
  </si>
  <si>
    <t>Canales Villalobos, Juan Carlos/0009-0006-3215-4997; Aguirre, Maria/0000-0003-1134-4469; Isaacs Casanova, Mauricio/0000-0003-0503-0949</t>
  </si>
  <si>
    <t>0095-8972</t>
  </si>
  <si>
    <t>1029-0389</t>
  </si>
  <si>
    <t>SEP 20</t>
  </si>
  <si>
    <t>10.1080/00958970310001624447</t>
  </si>
  <si>
    <t>WOS:000188356200002</t>
  </si>
  <si>
    <t>Chemiluminescence associated with amino acid oxidation mediated by hypochlorous acid</t>
  </si>
  <si>
    <t>Although most amino acids readily react with hypochlorous acid (HOCI), only the reaction involving tryptophan (Trp) produces a measurable chemiluminescence (CL). Most of this luminescence takes place after total consumption of HOCI when the process is carried out in an excess of Trp. The quantum yield of the process is relatively low (2 x 10 (8) Einstein/mol HOCI reacted), The luminescence is attributed to free radical-mediated secondary reactions of the initially produced chloramines. This is supported by experiments showing that the chloramines produced when HOCI reacts with alanine are able to induce Trp chemiluminescence, and that this luminescence is partially quenched by free radical scavengers. The spectral changes and the effect of pH upon the observed luminescence are compatible with light emission from products produced in the free radical oxidation of Trp. Copyright (C) 2002 Jolm Wiley Sons. Ltd.</t>
  </si>
  <si>
    <t>1522-7243</t>
  </si>
  <si>
    <t>MAY-JUN</t>
  </si>
  <si>
    <t>10.1002/bio.677</t>
  </si>
  <si>
    <t>WOS:000175537000004</t>
  </si>
  <si>
    <t>Perez, P</t>
  </si>
  <si>
    <t>Latini, G; Brebbia, CA</t>
  </si>
  <si>
    <t>Prediction of maximum of 24-hour average of PM10 concentrations in Santiago, Chile</t>
  </si>
  <si>
    <t>AIR POLLUTION IX</t>
  </si>
  <si>
    <t>9th International Conference on Modelling, Monitoring and Management of Air Pollution</t>
  </si>
  <si>
    <t>SEP 12-14, 2001</t>
  </si>
  <si>
    <t>ANCONA, ITALY</t>
  </si>
  <si>
    <t>Wessex Inst Technol,Ancona Univ</t>
  </si>
  <si>
    <t>According to the value of the 24-hour average of PM10 concentration calculated every hour, three levels of increasing potential harm for the population of Santiago, Chile are defined: alert between 195 and 239, pre-emergency between 240 and 329 and emergency above 330 mug/m(3). We have developed a neural network based model that uses past values of PM10 concentrations plus forecasted values of meteorological variables as input in order to predict the level reached by the maximum of the 24-hour average of PM10 concentration on the next day. We have adjusted the parameters of the model using 1994 data and tested it with 1995 data. By comparing the results of the model with actual data we obtain an overall efficiency of 85%. Correct predictions of high level cases may be increased by giving more weight to the sample cases, given that these occur with less frequency.</t>
  </si>
  <si>
    <t>Perez, Patricio/AAS-7390-2020</t>
  </si>
  <si>
    <t>Perez, Patricio/0000-0003-1234-4233</t>
  </si>
  <si>
    <t>1-85312-877-5</t>
  </si>
  <si>
    <t>WOS:000172548900017</t>
  </si>
  <si>
    <t>Lizama, C</t>
  </si>
  <si>
    <t>A characterization of uniform continuity for Volterra equations in Hilbert spaces</t>
  </si>
  <si>
    <t>PROCEEDINGS OF THE AMERICAN MATHEMATICAL SOCIETY</t>
  </si>
  <si>
    <t>We show that the norm continuity of the resolvent for a Volterra equation of scalar type is equivalent to the decay to zero of a holomorphic operator family along some imaginary axis.</t>
  </si>
  <si>
    <t>Lizama, Carlos/0000-0002-9807-1100</t>
  </si>
  <si>
    <t>0002-9939</t>
  </si>
  <si>
    <t>10.1090/S0002-9939-98-04594-8</t>
  </si>
  <si>
    <t>WOS:000076992800019</t>
  </si>
  <si>
    <t>Blasco, R; Diaz, G; Reyes, A</t>
  </si>
  <si>
    <t>Pneumatic suspension drying: Modeling and computational simulation</t>
  </si>
  <si>
    <t>This paper presents an alternative method for drying suspensions, which consists in wetting inert polypropylene particles with suspension and drying these wet particles while they are pneumatically transported with hot air or combustion gases. A mathematical model was developed to simulate the drying process and the pneumatic transport. Experimental work was carried out in a pilot pneumatic dryer, using polypropylene particles like inert transport phase to verify these models. Apple pulp maltodextrine mixtures was dried and the results confirm the technical feasibility of the proposed technology.</t>
  </si>
  <si>
    <t>10.1080/07373939808917399</t>
  </si>
  <si>
    <t>WOS:000072620000012</t>
  </si>
  <si>
    <t>Vilches, S; Castillo, A</t>
  </si>
  <si>
    <t>A double-stranded RNA mycovirus in Botrytis cinerea</t>
  </si>
  <si>
    <t>FEMS MICROBIOLOGY LETTERS</t>
  </si>
  <si>
    <t>In wild-type Botrytis cinerea CVg25 strain we have detected the presence of extrachromosomal genetic elements corresponding to double-stranded RNA molecules. These genetic elements have been designated L, M-1 and M-2 with molecular sizes of 8.3, 2.0 and 1.4 kb, respectively. The visualization by electron microscopy of mycelium ultrathin sections from B, cinerea CVg25 showed the presence of isometric virus-like particles of about 40 nm in diameter. Linear sucrose gradient centrifugation of mycelium-free extracts was done to determine if the double-stranded RNAs were associated with virus-like particles. The gradient profile obtained at 260 and 280 nm revealed a major peak that was analyzed by both agarose-gel electrophoresis and electron microscopy. It was observed that only the L-double-stranded RNA molecule copurified with isometric virus-like particles. These virus-like particles had a similar morphology and size as those detected by electron microscopy in the mycelium sections. These results suggest that only the L-double-stranded RNA would be encapsidated.</t>
  </si>
  <si>
    <t>Castillo, Antonio/AAE-6832-2020</t>
  </si>
  <si>
    <t>0378-1097</t>
  </si>
  <si>
    <t>OCT 1</t>
  </si>
  <si>
    <t>10.1111/j.1574-6968.1997.tb12696.x</t>
  </si>
  <si>
    <t>WOS:000071091300019</t>
  </si>
  <si>
    <t>Cardenas, H; Acuna, C; Nelson, P; Muller, C; Imarai, C</t>
  </si>
  <si>
    <t>Plasma estradiol (E2) and progesterone (P) relationship with MHC class II and costimulatory molecules of the immune response in the epithelium of the human oviduct.</t>
  </si>
  <si>
    <t>BIOLOGY OF REPRODUCTION</t>
  </si>
  <si>
    <t>0006-3363</t>
  </si>
  <si>
    <t>WOS:A1997XG86500328</t>
  </si>
  <si>
    <t>MOYA, SA; ESCUDEY, M</t>
  </si>
  <si>
    <t>USE OF PH MEASUREMENTS FOR THE CHARACTERIZATION OF MOO3/AL2O3 CATALYSTS</t>
  </si>
  <si>
    <t>JOURNAL OF THE CHEMICAL SOCIETY-CHEMICAL COMMUNICATIONS</t>
  </si>
  <si>
    <t>A new method to estimate the surface coverage of molybdena in MoO3/Al2O3 catalysts based on pH measurements is proposed.</t>
  </si>
  <si>
    <t>0022-4936</t>
  </si>
  <si>
    <t>10.1039/c39940001829</t>
  </si>
  <si>
    <t>WOS:A1994PB81000005</t>
  </si>
  <si>
    <t>ALVAREZ, PI; SHENE, C</t>
  </si>
  <si>
    <t>EXPERIMENTAL-STUDY OF RESIDENCE TIME IN A DIRECT ROTARY DRYER</t>
  </si>
  <si>
    <t>Prediction of residence time in rotary dryers is useful for equipment design as well as for the right selection of operation conditions in order to obtain the optimal unit functioning. An empirical relationship for residence time estimation that may be applied when the dryer slope is zero or different from it is presented in this work. It was derived from experimental testing carried out with biological origin particulated solids (fish and soya meal, sawdust) and from mineral origin (sand) in a pilot rotary dryer. The fitting degree of the experimental data to those predicted by reported equations was also established here.</t>
  </si>
  <si>
    <t>10.1080/07373939408962190</t>
  </si>
  <si>
    <t>WOS:A1994PG40000006</t>
  </si>
  <si>
    <t>SCHMIDT, R; MOYA, SA; FOERSTER, JE; VARELA, AR</t>
  </si>
  <si>
    <t>CARBON ADSORPTION AND LEACHING OF GOLD BY ACID THIOUREA</t>
  </si>
  <si>
    <t>INTERNATIONAL JOURNAL OF MINERAL PROCESSING</t>
  </si>
  <si>
    <t>This work reports on the advantages of using thiourea as a leaching agent to recover gold from auriferous ores containing 10.55 gr. Au/Ton. In terms of gold recovery, leaching time and chemical consumption, the use of carbon-in-pulp in the leaching process with thiourea is more efficient than a normal process. Using carbon in pulp, the gold recovery percentage in 13 hours of leaching was 97.5% of the gold contained in the auriferous ore.</t>
  </si>
  <si>
    <t>0301-7516</t>
  </si>
  <si>
    <t>3-4</t>
  </si>
  <si>
    <t>10.1016/0301-7516(93)90078-O</t>
  </si>
  <si>
    <t>WOS:A1993LL49000006</t>
  </si>
  <si>
    <t>ZUNIGA, GE; MASSARDO, F</t>
  </si>
  <si>
    <t>HYDROXAMIC ACID CONTENT IN UNDIFFERENTIATED AND DIFFERENTIATED TISSUES OF WHEAT</t>
  </si>
  <si>
    <t>PHYTOCHEMISTRY</t>
  </si>
  <si>
    <t>Hydroxamic acid content in wheat tissues was studied by HPLC. Undifferentiated tissues such as callus or meristem produce only the aglucones, 2,4-dihydroxy-1,4-benzoxazin-3-one (DIBOA) and 2,4-dihydroxy-7-methoxy-1,4-benzoxazin-3-one (DIMBOA). DIMBOA beta-glucosidase activity was not detectable in these tissues. In seedlings, DIBOA-glucoside first appeared and then DIMBOA-glucoside. In seven-day-old seedlings a significant amount of aglucone was also detected, although the beta-glucosidase activity was inhibited by liquid nitrogen and methanol. The results suggest that hydroxamic acids are produced by undifferentiated tissues as aglucones; later glucosylation gives rise to the glucosides normally detected in differentiated shoots or roots.</t>
  </si>
  <si>
    <t>Zuñiga, Gustavo/P-8306-2015</t>
  </si>
  <si>
    <t>Zuniga, Gustavo/0000-0002-8286-9468</t>
  </si>
  <si>
    <t>0031-9422</t>
  </si>
  <si>
    <t>10.1016/0031-9422(91)83193-O</t>
  </si>
  <si>
    <t>WOS:A1991GJ02000022</t>
  </si>
  <si>
    <t>ENCINAS, MV; MAJMUD, C; LISSI, EA</t>
  </si>
  <si>
    <t>POLYMERIZATION PHOTOINITIATED BY CARBONYL-COMPOUNDS .9. METHYL-METHACRYLATE POLYMERIZATION PHOTOINITIATED BY ANTHRAQUINONE IN PRESENCE OF TRIETHYLAMINE</t>
  </si>
  <si>
    <t>JOURNAL OF POLYMER SCIENCE PART A-POLYMER CHEMISTRY</t>
  </si>
  <si>
    <t>Encinas, Maria/L-9686-2014</t>
  </si>
  <si>
    <t>0887-624X</t>
  </si>
  <si>
    <t>AUG</t>
  </si>
  <si>
    <t>10.1002/pola.1990.080280919</t>
  </si>
  <si>
    <t>WOS:A1990DQ33500019</t>
  </si>
  <si>
    <t>SAEZ, M; ABUIN, EA; LISSI, EA</t>
  </si>
  <si>
    <t>FLUORESCENCE QUENCHING BY OXYGEN IN REVERSE MICELLAR SOLUTIONS</t>
  </si>
  <si>
    <t>LANGMUIR</t>
  </si>
  <si>
    <t>0743-7463</t>
  </si>
  <si>
    <t>10.1021/la00088a011</t>
  </si>
  <si>
    <t>WOS:A1989AG68500011</t>
  </si>
  <si>
    <t>SARIEGO, R; MARTINEZ, M; CARKOVIC, I; CONTRERAS, R; MOYA, SA</t>
  </si>
  <si>
    <t>CATALYTIC REDUCTION OF NITROBENZENE BY HYDROGEN TRANSFER FROM 2-PROPANOL</t>
  </si>
  <si>
    <t>JOURNAL OF MOLECULAR CATALYSIS</t>
  </si>
  <si>
    <t>0304-5102</t>
  </si>
  <si>
    <t>APR 20</t>
  </si>
  <si>
    <t>10.1016/0304-5102(89)87010-5</t>
  </si>
  <si>
    <t>WOS:A1989T930200010</t>
  </si>
  <si>
    <t>URETAZANARTU, S; PINTO, ME; ZAGAL, J</t>
  </si>
  <si>
    <t>ELECTRO-OXIDATION OF ETHYLENE-GLYCOL ON RU MODIFIED BY COPPER-DEPOSITS</t>
  </si>
  <si>
    <t>Ureta-Zañartu, Maria/G-5239-2019; zagal, jose/L-9648-2014</t>
  </si>
  <si>
    <t>WOS:A1988P037100004</t>
  </si>
  <si>
    <t>CARDEMIL, E; SAAVEDRA, C</t>
  </si>
  <si>
    <t>AFFINITY LABELING OF YEAST PHOSPHOENOLPYRUVATE CARBOXYKINASE (PEPCK) BY THE 2'-3' DIALDEHYDE DERIVATIVE OF ATP (OATP)</t>
  </si>
  <si>
    <t>MAR 20</t>
  </si>
  <si>
    <t>A1025</t>
  </si>
  <si>
    <t>WOS:A1988M598400451</t>
  </si>
  <si>
    <t>ALVEAR, M; JABALQUINTO, AM; CARDEMIL, E</t>
  </si>
  <si>
    <t>SULFHYDRYL-GROUPS IN MEVALONATE DIPHOSPHATE DECARBOXYLASE OF AVIAN LIVER</t>
  </si>
  <si>
    <t>R171</t>
  </si>
  <si>
    <t>WOS:A1986F093100094</t>
  </si>
  <si>
    <t>ZAGAL, JH; LIRA, S; URETAZANARTU, S</t>
  </si>
  <si>
    <t>A MECHANISTIC STUDY OF THE ELECTROOXIDATION OF HYDRAZINE ON PHTHALOCYANINES OF VO, CR, MN, NI, CU AND ZN ATTACHED TO GRAPHITE-ELECTRODES</t>
  </si>
  <si>
    <t>JOURNAL OF ELECTROANALYTICAL CHEMISTRY</t>
  </si>
  <si>
    <t>zagal, jose/L-9648-2014; Ureta-Zañartu, Maria/G-5239-2019</t>
  </si>
  <si>
    <t>0022-0728</t>
  </si>
  <si>
    <t>OCT 10</t>
  </si>
  <si>
    <t>10.1016/0022-0728(86)90316-5</t>
  </si>
  <si>
    <t>WOS:A1986E375200006</t>
  </si>
  <si>
    <t>HENRIQUEZ, HR</t>
  </si>
  <si>
    <t>COSINE OPERATOR FAMILIES SUCH THAT C(T)-I IS COMPACT, FOR ALL T GREATER-THAN 0</t>
  </si>
  <si>
    <t>INDIAN JOURNAL OF PURE &amp; APPLIED MATHEMATICS</t>
  </si>
  <si>
    <t>0019-5588</t>
  </si>
  <si>
    <t>0975-7465</t>
  </si>
  <si>
    <t>WOS:A1985ACK9500007</t>
  </si>
  <si>
    <t>MARQUARDT, FH; BLASCO, R</t>
  </si>
  <si>
    <t>OPTIMIZED PROCEDURE FOR THE EXTRACTION OF GLYCO-ALKALOIDS FROM SOLANUM PLANTS</t>
  </si>
  <si>
    <t>CHEMISTRY &amp; INDUSTRY</t>
  </si>
  <si>
    <t>0009-3068</t>
  </si>
  <si>
    <t>WOS:A1985AHS5000006</t>
  </si>
  <si>
    <t>ZAGAL, J; HERRERA, P; BRINCK, K; URETAZANARTU, S</t>
  </si>
  <si>
    <t>ELECTROCATALYTIC PROPERTIES OF PHTHALOCYANINES</t>
  </si>
  <si>
    <t>JOURNAL OF THE ELECTROCHEMICAL SOCIETY</t>
  </si>
  <si>
    <t>zagal, jose/L-9648-2014</t>
  </si>
  <si>
    <t>0013-4651</t>
  </si>
  <si>
    <t>C126</t>
  </si>
  <si>
    <t>WOS:A1983QF82600773</t>
  </si>
  <si>
    <t>LISSI, E; ABUIN, E; ROCHA, AM</t>
  </si>
  <si>
    <t>PARTITIONING OF AROMATIC ALCOHOLS BETWEEN A WATER SOLUTION AND CATIONIC MICELLES</t>
  </si>
  <si>
    <t>JOURNAL OF PHYSICAL CHEMISTRY</t>
  </si>
  <si>
    <t>0022-3654</t>
  </si>
  <si>
    <t>10.1021/j100456a014</t>
  </si>
  <si>
    <t>WOS:A1980KH90300014</t>
  </si>
  <si>
    <t>Urrea, C; Sari, P</t>
  </si>
  <si>
    <t>Urrea, Claudio; Sari, Pablo</t>
  </si>
  <si>
    <t>Symmetry-Driven Fault-Tolerant Synchronization in Multi-Robot Systems: Comparative Simulation of Adaptive Neural and Classical Controllers</t>
  </si>
  <si>
    <t>SYMMETRY-BASEL</t>
  </si>
  <si>
    <t>This study presents a framework for designing symmetry-aware cooperative controllers to synchronize two SCARA LS3-B401S robots, ensuring precision, adaptability, and fault tolerance in flexible manufacturing environments. Four control strategies-Proportional-Integral-Derivative (PID), Adaptive Sliding Mode Control (ASMC), Adaptation-Enabled Neural Network (ANN), and Inverse-Dynamics with Disturbance Observer (ID-DO)-were evaluated through high-fidelity MATLAB/Simulink simulations (fixed 1 ms step size, ode4 solver), using dynamic SolidWorks 2022 models validated under realistic perturbations, including +/- 0.0005 rad sensor noise and +/- 5% mass variation. Among the strategies, the ANN controller-implemented as an 8-10-4 multi-layer perceptron-achieved the highest performance, consistently reducing trajectory errors by over 99%, maintaining symmetry deviations below 0.001 rad, and recovering from +/- 0.08 rad disturbances in 0.12 s. Its stabilization time averaged 0.247 s across joints, and energy consumption dropped to 0.01 J/s, representing a 98% improvement over PID. Despite a higher computational load (12.5 MFLOPS, 2.80 ms per iteration), GPU acceleration brought execution times below 1.4 ms, ensuring compliance with industrial 5 ms control cycles. These results establish a scalable foundation for next-generation multi-robot systems, with planned physical validation on SCARA LS3-B401S robots equipped with high-resolution encoders and advanced processors. By leveraging symmetry-driven coordination (S=I), the proposed framework supports resilient, sustainable, and high-precision manufacturing, aligned with the goals of Industry 5.0.</t>
  </si>
  <si>
    <t>2073-8994</t>
  </si>
  <si>
    <t>APR 13</t>
  </si>
  <si>
    <t>10.3390/sym17040591</t>
  </si>
  <si>
    <t>WOS:001475707900001</t>
  </si>
  <si>
    <t>Urrea, C; Garcia-Garcia, Y; Kern, J; Rodriguez-Guillen, R</t>
  </si>
  <si>
    <t>Urrea, Claudio; Garcia-Garcia, Yainet; Kern, John; Rodriguez-Guillen, Reinier</t>
  </si>
  <si>
    <t>Neuro-Visual Adaptive Control for Precision in Robot-Assisted Surgery</t>
  </si>
  <si>
    <t>TECHNOLOGIES</t>
  </si>
  <si>
    <t>This study introduces a Neuro-Visual Adaptive Control (NVAC) architecture designed to enhance precision and safety in robot-assisted surgery. The proposed system enables semi-autonomous guidance of the laparoscope based on image input. To achieve this, the architecture integrates the following: (1) a computer vision system based on the YOLO11n model, which detects surgical instruments in real time; (2) a Model Reference Adaptive Control with Proportional-Derivative terms (MRAC-PD), which adjusts the robot's behavior in response to environmental changes; and (3) Closed-Form Continuous-Time Neural Networks (CfC-mmRNNs), which efficiently model the system's dynamics. These networks address common deep learning challenges, such as the vanishing gradient problem, and facilitate the generation of smooth control signals that minimize wear on the robot's actuators. Performance evaluations were conducted in CoppeliaSim, utilizing real cholecystectomy images featuring surgical tools. Experimental results demonstrate that the NVAC achieves maximum tracking errors of 1.80 x 10-3 m, 1.08 x 10-4 m, and 1.90 x 10-3 m along the x, y, and z axes, respectively, under highly significant dynamic disturbances. This hybrid approach provides a scalable framework for advancing autonomy in robotic surgery.</t>
  </si>
  <si>
    <t>2227-7080</t>
  </si>
  <si>
    <t>APR 1</t>
  </si>
  <si>
    <t>10.3390/technologies13040135</t>
  </si>
  <si>
    <t>WOS:001474323700001</t>
  </si>
  <si>
    <t>Morales, CF; Osorio, FA</t>
  </si>
  <si>
    <t>Morales, Carolina F.; Osorio, Fernando A.</t>
  </si>
  <si>
    <t>Food-Grade Microwave-Assisted Depolymerization of Grape Seed Condensed Tannins: Optimizing the Reaction Using Gallic Acid as a Nucleophile</t>
  </si>
  <si>
    <t>Food waste has a significant social impact but can be revalued as a source of bioactive compounds, such as condensed tannins. This abundant biomass, corresponding to a polymeric antioxidant, must be depolymerized to become bioavailable. Previous studies have investigated polymer degradation into oligomers using high temperatures and expensive nucleophiles, often under conditions unsuitable for food applications. In the present investigation, it is proposed that the depolymerization of condensed tannins can occur under food-grade conditions using a Generally Recognized as Safe (GRAS) solvent by optimizing the reaction's heating method with microwave assistance and using gallic acid as a nucleophile. Thermal studies indicate that the degradation of total polyphenols content follows first-order kinetics and occurs above 80 degrees C in microwave. Depolymerization follows second-order kinetics, yielding epicatechin as the primary product with zero-order formation kinetics. The optimized factors were 80% v/v ethanol, 10 mg/mL polymeric tannins, and 5.88 mg/mL gallic acid. Under these conditions, the reaction efficiency was 99.9%, the mean particle diameter was 5.7 nm, the total polyphenols content was 297.3 +/- 15.9 EAG mg/g, and the inhibition of ABTS center dot+ and DPPH center dot radicals was 93.5 +/- 0.9% and 88.2 +/- 1.5%, respectively. These results are promising for future scaling processes.</t>
  </si>
  <si>
    <t>10.3390/polym17050682</t>
  </si>
  <si>
    <t>WOS:001442718800001</t>
  </si>
  <si>
    <t>Urrea, C; Kern, J; Torres, V</t>
  </si>
  <si>
    <t>Urrea, Claudio; Kern, John; Torres, Victor</t>
  </si>
  <si>
    <t>Design, Simulation, and Comparison of Advanced Control Strategies for a 3-Degree-of-Freedom Robot</t>
  </si>
  <si>
    <t>APPLIED SCIENCES-BASEL</t>
  </si>
  <si>
    <t>This study presents the design, simulation, and comparative analysis of three advanced control strategies applied to a 3-Degree-of-Freedom (DoF) robot manipulator. The controllers investigated are a variant from the Computed Torque Control family, a Proportional-Derivative-Integral with fuzzy logic (PD-PI + fuzzy) controller, and a Model Predictive Control (MPC) scheme. The controller performance is evaluated through the tracking of predefined trajectories in the three-dimensional space. The results are analyzed through XYZ coordinate motion graphs and 3D trajectories. To quantify performance, three error indicators are employed: Residual Mean Square (RMS) with a value of 0.0720 for the Computed Torque Controller, Residual Standard Deviation (RSD), and Index of Agreement (IA). The results demonstrate that the proposed controllers achieve accurate trajectory tracking, with IA values close to unity, demonstrating a high degree of concordance between the desired and executed trajectories.</t>
  </si>
  <si>
    <t>2076-3417</t>
  </si>
  <si>
    <t>10.3390/app142311010</t>
  </si>
  <si>
    <t>WOS:001376258400001</t>
  </si>
  <si>
    <t>Vergara, Ignacio</t>
  </si>
  <si>
    <t>Property (TTT) and the Cowling-Haagerup Constant</t>
  </si>
  <si>
    <t>COMPLEX ANALYSIS AND OPERATOR THEORY</t>
  </si>
  <si>
    <t>We show that Property (TTT) is an obstruction to weak amenability with Cowling-Haagerup constant 1. More precisely, if G is a countable group and H is an infinite subgroup of G such that the pair (G, H) has relative Property (TTT), then the weak Haagerup constant Lambda(WH)(G) is strictly greater than 1. We apply this result to some semidirect products and lattices in higher rank algebraic groups.</t>
  </si>
  <si>
    <t>1661-8254</t>
  </si>
  <si>
    <t>1661-8262</t>
  </si>
  <si>
    <t>10.1007/s11785-024-01613-2</t>
  </si>
  <si>
    <t>WOS:001330562200001</t>
  </si>
  <si>
    <t>Cussen, F</t>
  </si>
  <si>
    <t>Cussen, Felipe</t>
  </si>
  <si>
    <t>NOIGANDRES: FROM PROVENÇAL TROUBADOURS TO BRAZILIAN CONCRETISTS</t>
  </si>
  <si>
    <t>ACTA LITERARIA</t>
  </si>
  <si>
    <t>In this essay a network is traced between various poets from different eras and languages: the Proven &amp; ccedil;al troubadour Arnaut Daniel, the Tuscan poet Dante Alighieri, the modernist Ezra Pound and the brothers Haroldo and Augusto de Campos, members of the Noigandres group and founders of the movement of Concrete poetry in Brazil. This network corresponds to a series of mentions, tributes and versions that respond to a common vision of poetry as a technical challenge. In the same way, the translations made in the 20th century seek to emphasize the sound aspects and the procedures used in the originals to constitute new, totally contemporary works.</t>
  </si>
  <si>
    <t>0717-6848</t>
  </si>
  <si>
    <t>10.29393/AL68-1NTFC10001</t>
  </si>
  <si>
    <t>WOS:001362568800002</t>
  </si>
  <si>
    <t>Cayupe, B; Barra, R</t>
  </si>
  <si>
    <t>Cayupe, Bernardita; Barra, Rafael</t>
  </si>
  <si>
    <t>Population characterization of mutations for sickle cell anemia and its treatment: One step towards personalized medicine for the disease</t>
  </si>
  <si>
    <t>ANDES PEDIATRICA</t>
  </si>
  <si>
    <t>Sickle cell anemia (SCA) is the most common genetic disease worldwide. There are countries with massive public health programs for early detection of this condition. In the literature, several specific haplotypes or single -base polymorphic variants (SNPs) have been associated with the SCA prognosis. Objective: To demonstrate the significant correlation of SNPs relevant to the diagnosis and prognosis of SCA among different ethnic groups. Methodology: we analyzed population frequencies and correlations of several SNPs related to the prognosis of SCA (i.e., baseline fetal hemoglobin levels), response to hydroxyurea treatment, and response to other drugs used in the SCA treatment, collected from validated genomic databases among different ethnic groups. Results: The calculation of the Hardy -Weinberg equilibrium and the logistic regression was successful in classifying the ethnic groups as African (0 = 0.78, 1 = 0.89), and with a lower efficiency as American (AMR) (0 = 0.88, 1 = 0.00), East Asian (EAS) (0 = 0.80, 1 = 0.00), European (EUR) (0 = 0.79, 1 = 0.00), and South Asian (SAS) (0 = 0.80, 1 = 0.00). Conclusions: The results extend those from previous reports and show that the profile of most of the SNPs studied presented statistically significant distributions among general ethnic groups, pointing to the need to carry out massive early screening of relevant SNPs for SCA in patients diagnosed with this disease. It is concluded that the application of a broad mutation detection program will lead to a more personalized and efficient response in the treatment of SCA.</t>
  </si>
  <si>
    <t>barra pezo, rafael/0000-0002-2898-3729</t>
  </si>
  <si>
    <t>****_****</t>
  </si>
  <si>
    <t>2452-6053</t>
  </si>
  <si>
    <t>JAN-FEB</t>
  </si>
  <si>
    <t>10.32641/andespediatr.v95i1.4752</t>
  </si>
  <si>
    <t>WOS:001178849200005</t>
  </si>
  <si>
    <t>Cortés, CP; Herceg, JS</t>
  </si>
  <si>
    <t>Cortes, Carolina pizarro; Herceg, JOSe S. A. N. T. O. S.</t>
  </si>
  <si>
    <t>Cultural splinters of social outbreaks in Latin America (2018-2020).</t>
  </si>
  <si>
    <t>KAMCHATKA-REVISTA DE ANALISIS CULTURAL</t>
  </si>
  <si>
    <t>2340-1869</t>
  </si>
  <si>
    <t>10.7203/KAM.24.30124</t>
  </si>
  <si>
    <t>WOS:001411162000001</t>
  </si>
  <si>
    <t>Mendoza, CS</t>
  </si>
  <si>
    <t>Mendoza, Cynthia shuffer</t>
  </si>
  <si>
    <t>Looking Through the Wound: The Photographic Turn of Protest from the Military Dictatorship to the Popular Uprising in Chile</t>
  </si>
  <si>
    <t>It is possible to observe a continuity in the violen-ce directed against those who sought to challenge the Chilean dictatorial regime through photographic images and those who experienced brutal repression during the Popular Revolt of Oc-tober 2019 when attempting to document the crimes and hu-man rights violations that were perpetrated during those days in the country. Although these are contexts with significant diffe-rences, these reprisals were systematic in each of the political scenarios proposed for this analysis: photographers were perse-cuted, beaten, tortured, mutilated, killed and even disappeared, in addition to suffering the destruction of their photographic material and equipment and veiling of their negatives. This ar-ticle explores the survival strategies of images in the face of the photographic turn and the violence suffered by these groups recording their specific historical contexts.</t>
  </si>
  <si>
    <t>10.7203/KAM.24.28378</t>
  </si>
  <si>
    <t>WOS:001411162000003</t>
  </si>
  <si>
    <t>Fathi, M</t>
  </si>
  <si>
    <t>Fathi, Mohsen</t>
  </si>
  <si>
    <t>Analytical study of particle geodesics around a scale-dependent de Sitter black hole</t>
  </si>
  <si>
    <t>ANNALS OF PHYSICS</t>
  </si>
  <si>
    <t>We give a fully analytical description of radial and angular geodesics for massive particles that travel in the spacetime provided by a (3+1)-dimensional scale-dependent black hole in the cosmological background, for which, the quantum corrections are assumed to be small. We show that the equations of motion for radial orbits can be solved by means of Lauricella hypergeometric functions with different numbers of variables. We then classify the angular geodesics and argue that no planetary bound orbits are available. We calculate the epicyclic frequencies of circular orbits at the potential's maximum and the deflection angle of scattered particles is also calculated. Finally, we resolve the raised Jacobi inversion problem for the angular motion by means of a genus-2 Riemannian theta function, and the possible orbits are derived and discussed.&amp; COPY; 2023 Elsevier Inc. All rights reserved.</t>
  </si>
  <si>
    <t>Fathi, Mohsen/T-7031-2017</t>
  </si>
  <si>
    <t>Fathi, Mohsen/0000-0002-1602-0722</t>
  </si>
  <si>
    <t>0003-4916</t>
  </si>
  <si>
    <t>1096-035X</t>
  </si>
  <si>
    <t>10.1016/j.aop.2023.169401</t>
  </si>
  <si>
    <t>JUL 2023</t>
  </si>
  <si>
    <t>WOS:001036791300001</t>
  </si>
  <si>
    <t>ALSamman, MT; Sanchez, J</t>
  </si>
  <si>
    <t>ALSamman, Mohammad T. T.; Sanchez, Julio</t>
  </si>
  <si>
    <t>Adsorption of Copper and Arsenic from Water Using a Semi-Interpenetrating Polymer Network Based on Alginate and Chitosan</t>
  </si>
  <si>
    <t>New biobased hydrogels were prepared via a semi-interpenetrating polymer network (semi-IPN) using polyacrylamide/chitosan (PAAM/chitosan) hydrogel for the adsorption of As(V) or poly acrylic acid/alginate (PAA/alginate) hydrogel for the adsorption of Cu(II). Both systems were crosslinked using N,N 0-methylenebisacrylamide as the crosslinker and ammonium persulfate as the initiating agent. The hydrogels were characterized by SEM, Z-potential, and FTIR. Their performance was studied under different variables, such as the biopolymer effect, adsorbent dose, pH, contact time, and concentration of metal ions. The characterization of hydrogels revealed the morphology of the material, with and without biopolymers. In both cases, the added biopolymer provided porosity and cavities' formation, which improved the removal capacity. The Z-potential informed the surface charge of hydrogels, and the addition of biopolymers modified it, which explains the further metal removal ability. The FTIR spectra showed the functional groups of the hydrogels, confirming its chemical structure. In addition, the adsorption results showed that PAAM/chitosan can efficiently remove arsenic, reaching a capacity of 17.8 mg/g at pH 5.0, and it can also be regenerated by HNO3 for six cycles. On the other hand, copper-ion absorption was studied on PAA/alginate, which can remove with an adsorption capacity of 63.59 mg/g at pH 4.0, and the results indicate that it can also be regenerated by HNO3 for five cycles.</t>
  </si>
  <si>
    <t>Sanchez, Julio/AEO-4360-2022</t>
  </si>
  <si>
    <t>Sanchez, Julio/0000-0003-4245-0096; ALSamman, Mohammad Taha/0009-0004-2712-4588</t>
  </si>
  <si>
    <t>MAY 5</t>
  </si>
  <si>
    <t>10.3390/polym15092192</t>
  </si>
  <si>
    <t>WOS:000987585800001</t>
  </si>
  <si>
    <t>Reyes, NR</t>
  </si>
  <si>
    <t>Reyes, Natalia Raggio</t>
  </si>
  <si>
    <t>Material Forces or Ideational forces? Conflicts and Tensions in the Understanding of Religion in International Studies</t>
  </si>
  <si>
    <t>ESTUDIOS AVANZADOS</t>
  </si>
  <si>
    <t>The studies of foreign policy, economy, geopolitics, and war conflicts are central topics on the agenda of international studies, however, when studying them, we omit everything that seems far from the rational and quantitative, omitting to a great extent the reasoning that understands what is foreign to that. Aspects as powerful as those that circumscribe the religious phenomenon as the engine of international politics disappear in the analytical efforts of international scholars. In this article, we ask why thoughts, feelings, and ideas have been left aside as creative forces within international studies. Carrying out a bibliographical analysis, we can help to understand this omission, seeking at the same time to highlight the importance of this theme for a holistic understanding of the discipline.</t>
  </si>
  <si>
    <t>0718-5022</t>
  </si>
  <si>
    <t>0718-5014</t>
  </si>
  <si>
    <t>WOS:001144754000007</t>
  </si>
  <si>
    <t>Jiménez, A; Castillo, A; Mahn, A</t>
  </si>
  <si>
    <t>Jimenez, Adielis; Castillo, Antonio; Mahn, Andrea</t>
  </si>
  <si>
    <t>Kinetic Study and Modeling of Wild-Type and Recombinant Broccoli Myrosinase Produced in E. coli and S. cerevisiae as a Function of Substrate Concentration, Temperature, and pH</t>
  </si>
  <si>
    <t>CATALYSTS</t>
  </si>
  <si>
    <t>The myrosinase enzyme hydrolyzes glucosinolates, among which is glucoraphanin, the precursor of the anticancer isothiocyanate sulforaphane (SFN). The main source of glucoraphanin is Brassicaceae; however, its natural concentration is relatively low, limiting the availability of SFN. An option to obtain SFN is its exogenous production, through enzymatic processes and under controlled conditions, allowing complete conversion of glucoraphanin to SFN. We characterized the kinetics of wild-type (BMYR) and recombinant broccoli myrosinases produced in E. coli (EMYR) and S. cerevisiae (SMYR) in terms of the reaction conditions. Kinetics was adjusted using empirical and mechanistic models that describe reaction rate as a function of substrate concentration, temperature, and pH, resulting in R-2 values higher than 90%. EMYR kinetics differed significantly from those of BMYR and SMYR probably due to the absence of glycosylations in the enzyme produced in E. coli. BMYR and SMYR were subjected to substrate inhibition but followed different kinetic mechanisms attributed to different glycosylation patterns. EMYR (inactivation Ea = 76.1 kJ/mol) was more thermolabile than BMYR and SMYR. BMYR showed the highest thermostability (inactivation Ea = 52.8 kJ/mol). BMYR and EMYR showed similar behavior regarding pH, with similar pK(1) (3.4 and 3.1, respectively) and pK(2) (5.4 and 5.0, respectively), but differed considerably from SMYR.</t>
  </si>
  <si>
    <t>Jimenez, Adielis/0000-0001-9713-3552; Mahn, Andrea/0000-0001-6082-0279</t>
  </si>
  <si>
    <t>2073-4344</t>
  </si>
  <si>
    <t>10.3390/catal12070683</t>
  </si>
  <si>
    <t>WOS:000831691100001</t>
  </si>
  <si>
    <t>Solar, BM; Reyes, RJ</t>
  </si>
  <si>
    <t>Solar, Belen Merino; Reyes, Rene Jara</t>
  </si>
  <si>
    <t>Feminist Cyberactivism in Chile. The experience of the Observatory against Street Harassment</t>
  </si>
  <si>
    <t>APUNTES-REVISTA DE CIENCIAS SOCIALES</t>
  </si>
  <si>
    <t>This article addresses the issue of feminist cyberactivism, focusing on the experience of the Observatory against Street Harassment (OCAC in Spanish) in Chile, between 2014 and 2017. Based on an analysis centred on its digital strategy, the article explores its effects on three areas: the organization of the collective, identity and their ability to put the issue of gender violence on the public agenda, by promoting a bill proposal named Respeto Callejero (Spanish for Respect in the Streets). Three study techniques were used: interviews with movement participants, analysis of Facebook metrics and keywords analysis in traditional and digital media. Amongst the results, we can point out that before the emergence of this organization there was no media coverage in Chile regarding Street Harassment, and, therefore, the digital strategy of positioning and call to action developed by the OCAC has allowed for a gradual change in these affairs, installing the matter of gender violence in public spaces.</t>
  </si>
  <si>
    <t>jara reyes, rene/JAZ-0211-2023</t>
  </si>
  <si>
    <t>Jara Reyes, Rene Eduardo/0000-0001-8203-5917</t>
  </si>
  <si>
    <t>0252-1865</t>
  </si>
  <si>
    <t>2223-1757</t>
  </si>
  <si>
    <t>10.21678/apuntes.90.1372</t>
  </si>
  <si>
    <t>WOS:000748501500002</t>
  </si>
  <si>
    <t>Herrera, LH; Pérez-Lantero, P</t>
  </si>
  <si>
    <t>Herrera, Luis H.; Perez-Lantero, Pablo</t>
  </si>
  <si>
    <t>On the intersection graph of the disks with diameters the sides of a convex n-gon</t>
  </si>
  <si>
    <t>APPLIED MATHEMATICS AND COMPUTATION</t>
  </si>
  <si>
    <t>Given a convex n-gon, we can draw n disks (called side disks) where each disk has a different side of the polygon as diameter and the midpoint of the side as its center. The intersection graph of such disks is the undirected graph with vertices the n disks and two disks are adjacent if and only if they have a point in common. Such a graph was introduced by Huemer and Perez-Lantero (Discrete Mathematics, 2020), proved to be planar and Hamiltonian. In this paper, we study further combinatorial properties of this graph. We prove that the treewidth is at most 3, by showing an O(n)-time algorithm that builds a tree decomposition of width at most 3, given the polygon as input. This implies that we can construct the intersection graph of the side disks in O(n) time. We further study the independence number, which is the maximum number of pairwise disjoint disks. The planarity condition implies that for every convex n-gon we can select at least inverted right perpendicularn/4inverted left perpendicular pairwise disjoint disks, and we prove that for every n &gt;= 3 there exist convex n-gons in which we cannot select more than this number. Finally, we show that our class of graphs includes all outerplanar Hamiltonian graphs except the cycle of length four, and that it is a proper subclass of the planar Hamiltonian graphs. (C) 2021 Elsevier Inc. All rights reserved.</t>
  </si>
  <si>
    <t>Hernan, Luis/LIG-5999-2024</t>
  </si>
  <si>
    <t>Hernan, Luis/0000-0001-7338-7611</t>
  </si>
  <si>
    <t>0096-3003</t>
  </si>
  <si>
    <t>1873-5649</t>
  </si>
  <si>
    <t>DEC 15</t>
  </si>
  <si>
    <t>10.1016/j.amc.2021.126472</t>
  </si>
  <si>
    <t>JUL 2021</t>
  </si>
  <si>
    <t>WOS:000697153800008</t>
  </si>
  <si>
    <t>Contreras, L; Villarroel, I; Torres, C; Rozas, R</t>
  </si>
  <si>
    <t>Contreras, Leonor; Villarroel, Ignacio; Torres, Camila; Rozas, Roberto</t>
  </si>
  <si>
    <t>Doxorubicin Encapsulation in Carbon Nanotubes Having Haeckelite or Stone-Wales Defects as Drug Carriers: A Molecular Dynamics Approach</t>
  </si>
  <si>
    <t>MOLECULES</t>
  </si>
  <si>
    <t>Doxorubicin (DOX), a recognized anticancer drug, forms stable associations with carbon nanotubes (CNTs). CNTs when properly functionalized have the ability to anchor directly in cancerous tumors where the release of the drug occurs thanks to the tumor slightly acidic pH. Herein, we study the armchair and zigzag CNTs with Stone-Wales (SW) defects to rank their ability to encapsulate DOX by determining the DOX-CNT binding free energies using the MM/PBSA and MM/GBSA methods implemented in AMBER16. We investigate also the chiral CNTs with haeckelite defects. Each haeckelite defect consists of a pair of square and octagonal rings. The armchair and zigzag CNT with SW defects and chiral nanotubes with haeckelite defects predict DOX-CNT interactions that depend on the length of the nanotube, the number of present defects and nitrogen doping. Chiral nanotubes having two haeckelite defects reveal a clear dependence on the nitrogen content with DOX-CNT interaction forces decreasing in the order 0N &gt; 4N &gt; 8N. These results contribute to a further understanding of drug-nanotube interactions and to the design of new drug delivery systems based on CNTs.</t>
  </si>
  <si>
    <t>Torres, Camila/JDW-8755-2023</t>
  </si>
  <si>
    <t>Contreras, Leonor/0000-0002-3552-2728</t>
  </si>
  <si>
    <t>1420-3049</t>
  </si>
  <si>
    <t>10.3390/molecules26061586</t>
  </si>
  <si>
    <t>WOS:000645387700001</t>
  </si>
  <si>
    <t>Cruz, N; González, E; Palma, G</t>
  </si>
  <si>
    <t>Cruz, Norman; Gonzalez, Esteban; Palma, Guillermo</t>
  </si>
  <si>
    <t>Testing dissipative dark matter in causal thermodynamics</t>
  </si>
  <si>
    <t>In this paper we study the consistency of a cosmological model representing a universe filled with a one-component dissipative dark matter fluid, in the framework of the causal Israel-Stewart theory, where a general expression arising from perturbation analysis for the relaxation time tau is used. This model is described by an exact analytic solution recently found in [N. Cruz, E. Gonzalez and G. Palma, Gen. Relat. Gravit. 52, 62 (2020), which depends on several model parameters as well as integration constants, allowing the use of Type Ia Supernovae and Observational Hubble data to perform by an astringent observational tests. The constraint regions found for the parameters of the solution allow the existence of an accelerated expansion of the universe at late times, after the domination era of the viscous pressure, which holds without the need of including a cosmological constant. Nevertheless, the fitted parameter values lead to drawbacks as a very large non-adiabatic contribution to the speed of sound, and some inconsistencies, not totally conclusive, with the description of the dissipative dark matter as a fluid, which is nevertheless a common feature of these kind of models.</t>
  </si>
  <si>
    <t>González, Esteban/AGF-1575-2022</t>
  </si>
  <si>
    <t>Gonzalez Banda, Esteban/0000-0001-6769-5722; Cruz, Norman/0000-0002-0737-3497</t>
  </si>
  <si>
    <t>FEB 28</t>
  </si>
  <si>
    <t>10.1142/S0217732321500322</t>
  </si>
  <si>
    <t>WOS:000625176900006</t>
  </si>
  <si>
    <t>Carbonnel, A; Pérez, H; Lucares, MI; Escobar, D; Jiménez, MP; Gavilanes, D</t>
  </si>
  <si>
    <t>Carbonnel, Alexandre; Perez, Hugo; Ignacia Lucares, Maria; Escobar, Daniel; Paz Jimenez, Maria; Gavilanes, Dayana</t>
  </si>
  <si>
    <t>Upcycling plastic waste for the development of construction materials</t>
  </si>
  <si>
    <t>TECHNE-JOURNAL OF TECHNOLOGY FOR ARCHITECTURE AND ENVIRONMENT</t>
  </si>
  <si>
    <t>Consideration of plastic waste as a secondary raw material obtainable by means of upcycling presents fresh possibilities in the search for new construction and architectural materials. This paper demonstrates the possibility of recycling thermoplastic polyethylene terephthalate (PET) and the potential for enhancement of its properties through the incorporation of nanoparticles. The design of materials by means of managed complexity involving processes of materialisation and configuration is explored by processing film from recycled plastic and their subsequent assessment as a possible semi-finished product with photocatalytic potential.</t>
  </si>
  <si>
    <t>Jiménez, María/ABH-3631-2020</t>
  </si>
  <si>
    <t>Carbonnel, Alexandre/0000-0001-7593-6637; Perez Herrera, Hugo/0000-0002-8610-573X</t>
  </si>
  <si>
    <t>2239-0243</t>
  </si>
  <si>
    <t>10.13128/techne-10704</t>
  </si>
  <si>
    <t>WOS:000632942300033</t>
  </si>
  <si>
    <t>Jorquera-Bravo, N; Pérez, ATE; Vasquez, OC</t>
  </si>
  <si>
    <t>Jorquera-Bravo, Natalia; Espinoza Perez, Andrea Teresa; Vasquez, Oscar C.</t>
  </si>
  <si>
    <t>Toward a sustainable system of wastewater treatment plants in Chile: a multi-objective optimization approach</t>
  </si>
  <si>
    <t>ANNALS OF OPERATIONS RESEARCH</t>
  </si>
  <si>
    <t>Over the past fifty years the population of the world has doubled, while resources as water have become increasingly scarce. In particular, water consumption has far exceeded the available of this resource in some regions of the world. In order to address the above problem, the possibility of reusing grey water by installing wastewater treatment plants could be a suitable alternative for several developing countries. This paper seeks to find the best configuration for these facilities in Chile by considering the economic and environmental aspects conjoint to the social dimension. The problem is modeled as a multi-objective optimization including: minimizing costs, minimizing environmental impact, maximizing phosphorus extraction from wastewater and maximizing the number of workers to be required with the goal of analyzing the sustainability of the system. To find the Pareto frontiers of multi-objective problem, a resolution framework based on an adaptation of elitist non-dominated sorting genetic algorithm (NSGA-II) is provided for the problem. From the obtained results, the non-dominated solutions and a compromise solution are computed, reporting configuration alternatives that integrate the three sustainability dimensions, the economic, the environmental and the social as objectives for the design for a sustainable system of wastewater treatment plants.</t>
  </si>
  <si>
    <t>; Espinoza Perez, Andrea Teresa/M-4426-2014</t>
  </si>
  <si>
    <t>Vasquez, Oscar C./0000-0002-1393-4692; Jorquera-Bravo, Natalia/0009-0007-1762-0598; Espinoza Perez, Andrea Teresa/0000-0002-6362-9100</t>
  </si>
  <si>
    <t>0254-5330</t>
  </si>
  <si>
    <t>1572-9338</t>
  </si>
  <si>
    <t>10.1007/s10479-020-03777-4</t>
  </si>
  <si>
    <t>AUG 2020</t>
  </si>
  <si>
    <t>WOS:000564505100001</t>
  </si>
  <si>
    <t>Hidalgo, RC</t>
  </si>
  <si>
    <t>Catalan Hidalgo, Rene</t>
  </si>
  <si>
    <t>Commercial gentrification in the context of super-diversity? The transformation of local streets shops in Santiago de Chile, downtown and pericenter</t>
  </si>
  <si>
    <t>REVISTA DE URBANISMO</t>
  </si>
  <si>
    <t>This research focuses on the material transformations of the local street shops in Santiago de Chile downtown and pericenter. Its focus is on the joint process of commercial gentrification and super-diversity, which can configure the specific geography of the transformation that gentrification is producing in Santiago. Two analytical tools are used: firstly, a Gentrification Potential Indicator for selecting the areas with the highest gentrification potential. Subsequently, a visual analysis allows us to understand the recent transformations of local street shops. Six trends that have been transforming local street shops were identified. These changes express the joint effect of commercial gentrification and superdiversity and show the particular character of the urban transformation that Santiago is undergoing and provide a different perspective for the study of gentrification in Santiago.</t>
  </si>
  <si>
    <t>Catalan Hidalgo, Rene/0000-0002-6174-0745</t>
  </si>
  <si>
    <t>0717-5051</t>
  </si>
  <si>
    <t>10.5354/0717-5051.2020.54281</t>
  </si>
  <si>
    <t>WOS:000546175900005</t>
  </si>
  <si>
    <t>Castro, JR</t>
  </si>
  <si>
    <t>Rueda Castro, Jorge</t>
  </si>
  <si>
    <t>A POPULAR VOTE, BY ROMAN VIAL: CRITICISM, HUMOR AND DENUNCIATION IN THE CHILEAN THEATER OF THE 19TH CENTURY</t>
  </si>
  <si>
    <t>CHASQUI-REVISTA DE LITERATURA LATINOAMERICANA</t>
  </si>
  <si>
    <t>0145-8973</t>
  </si>
  <si>
    <t>2327-4247</t>
  </si>
  <si>
    <t>WOS:000574911500010</t>
  </si>
  <si>
    <t>Fernández, R; Guerrero, G; Abricot, N; Espinoza, L</t>
  </si>
  <si>
    <t>Editorial Universidad de Santiago de Chile</t>
  </si>
  <si>
    <t>Fernandez, Rocio; Guerrero, Gonzalo; Abricot, Nicole; Espinoza, Lorena</t>
  </si>
  <si>
    <t>Transfer of associative research in initial teacher education</t>
  </si>
  <si>
    <t>INVESTIGANDO JUNTOS: Experiencias Asociativas entre Escuelas y la Universidad de Santiago de Chile. Associative Experiences between Schools and the University of Santiago de Chile</t>
  </si>
  <si>
    <t>The transfer of research in education, from an associative perspective, aims precisely at the construction of relevant knowledge, which emerges from everyday problems and is carried out by those who experience them. Approaching research in this way provides us with a powerful scenario to achieve knowledge transfer processes.</t>
  </si>
  <si>
    <t>espinoza, lorena/I-2215-2015; Abricot, Nicole/KII-3365-2024</t>
  </si>
  <si>
    <t>978-956-303-420-2</t>
  </si>
  <si>
    <t>WOS:000886992800011</t>
  </si>
  <si>
    <t>Torralbo, AC; Quijada, RM</t>
  </si>
  <si>
    <t>Carbonnel Torralbo, Alexandre; Martin Quijada, Rodrigo</t>
  </si>
  <si>
    <t>SIEM: Santiago' (Chile) Integrated Energy Model</t>
  </si>
  <si>
    <t>REVISTA DE LA CONSTRUCCION</t>
  </si>
  <si>
    <t>This paper presents a framework for the Santiago Integrated Energy Model or SIEM. This model establishes an optimized energy balance between the photovoltaic generation potential and the electric consumption curves of a specific Urban Energy District (EUD), designed for the city of Santiago. To validate local data, a methodology has been developed in three stages: the potential prospection and the curves estimation; the data calibration; and the EUD identification. The model has been applied in an hypothetical urban area to develop a consistency test, obtaining adequate results on the balance curves of the model, considering both the potential generation and consumption (according to uses and schedules). The results reflect the relevance of applying this model to a real urban area in Santiago of Chile, to establish optimization correlations for an empirical validation.</t>
  </si>
  <si>
    <t>Carbonnel, Alexandre/0000-0001-7593-6637</t>
  </si>
  <si>
    <t>0718-915X</t>
  </si>
  <si>
    <t>10.7764/RDLC.17.3.412</t>
  </si>
  <si>
    <t>WOS:000457475200006</t>
  </si>
  <si>
    <t>Barrientos, J</t>
  </si>
  <si>
    <t>Barrientos, Jaime</t>
  </si>
  <si>
    <t>DIRECT AND INDIRECT EFFECTS OF PERCEIVED STIGMA ON POSTTRAUMATIC GROWTH IN A SAMPLE OF GAY MEN AND LESBIANS IN CHILE</t>
  </si>
  <si>
    <t>INTERNATIONAL JOURNAL OF BEHAVIORAL MEDICINE</t>
  </si>
  <si>
    <t>Barrientos, Jaime/GMW-8081-2022</t>
  </si>
  <si>
    <t>Barrientos, Jaime/0000-0001-8497-3552</t>
  </si>
  <si>
    <t>1070-5503</t>
  </si>
  <si>
    <t>1532-7558</t>
  </si>
  <si>
    <t>P234</t>
  </si>
  <si>
    <t>S77</t>
  </si>
  <si>
    <t>WOS:000446532700241</t>
  </si>
  <si>
    <t>Abuin, AA; Seco, RA; González, AM; Hrabal, KS; Coña, AS</t>
  </si>
  <si>
    <t>Artigas Abuin, Alfredo; Allende Seco, Rodrigo; Monsalve Gonzalez, Alberto; Sipos Hrabal, Konstantin; Soto Cona, Ariel</t>
  </si>
  <si>
    <t>Accelerated atmospheric corrosion in a cast ASTM A48 gray iron</t>
  </si>
  <si>
    <t>MATERIA-RIO DE JANEIRO</t>
  </si>
  <si>
    <t>Due to the long times required to investigate atmospheric corrosion resistance of metals, data on the subject is scarce. One of these studies is the one made by Southwell et al., where the effect of corrosion in a cast gray iron during 16 years was studied in various environments. This research shows and discusses the behavior of cast gray iron when subject to an accelerated corrosion test, which involves wetting in a salt spray chamber, washing and drying cycles during 40 days. Furthermore, samples were submerged in sea water, both natural and UV-sterilized. A direct relationship amongst the presence of bacteria and an increase of surface roughness was found when subject to these conditions during 14 days. Results show that the cast gray iron shows a bimodal behavior, like the observations reported by Melchers on low-alloy steels and the research by Southwell.et al. As described by Melchers, this behavior generates an inflection point in the evolution of corrosion influenced by the presence of bacteria on the metal/corrosion-products interphase. This is validated observing evidence of bacterial activity identifying the presence of sulphur on the corrosion products by EDS after the accelerated corrosion tests. As observed, accelerated corrosion testing can simulate in a short period the conditions under which marine atmospheric corrosion takes place on cast gray iron during years, including the evidence of bacterial activity.</t>
  </si>
  <si>
    <t>Artigas, Alfredo/Y-1185-2019; Allende, Rodrigo/N-5507-2017</t>
  </si>
  <si>
    <t>Monsalve, Alberto/0000-0002-5772-8815; Allende, Rodrigo/0000-0002-2115-8160</t>
  </si>
  <si>
    <t>1517-7076</t>
  </si>
  <si>
    <t>e-12046</t>
  </si>
  <si>
    <t>10.1590/S1517-707620180002.0382</t>
  </si>
  <si>
    <t>WOS:000439159500056</t>
  </si>
  <si>
    <t>Canales, RG; Ortega, JT; Michel, RM</t>
  </si>
  <si>
    <t>Gallardo Canales, Rodrigo; Torres Ortega, Jorge; Michel Michel, Ricardo</t>
  </si>
  <si>
    <t>Redesign of curricular structure of technology in Industrial Control Career: Bases to improve the relevance with the socio productive environment</t>
  </si>
  <si>
    <t>The article describes the lived experience of curricular renovation did Technology in Industrial Control career at the University of Santiago of Chile, which was articulated around six steps of the process of curricular update of Curriculum Design Manual of the University: curricular development, profile graduated, income profile, curricular structure, subjects and implementation guidelines. The dynamics and sociocultural changes were also considered, as well as the transformations in the fields of production and industry and challenges they generate in Higher Education institutions. The process contemplated the redesign of the academic degree of Bachelor of Technology in the specialties of the Technological Faculty including the Industrial Control, and the launch in 2016 of a new academic curriculum of these specialties, which was developed jointly by a central commission of key players; allowing the university community to reflect on the challenges generated by socio-cultural dynamics and how the role of training people should be in line with the expectations of key stakeholders and the socio-productive environment. The reflection on a curricular renovation is considered as a permanent process that impacts not only the immediate environment, but also the joint construction of a training project that contemplates the long-awaited social transformation in which the social objectives of careers and the concepts of quality that are relevant in the design processes to the creation of value through the revision, updating and permanent monitoring of the curriculum of the training programs. The present book describes the lived experience and the renovation carried out, concluding with the main challenges in the short and medium term for the training program of the Industrial Control Technology career.</t>
  </si>
  <si>
    <t>TORRES-ORTEGA, JORGE/AAP-5339-2020</t>
  </si>
  <si>
    <t>WOS:000480327100004</t>
  </si>
  <si>
    <t>Osorio, AG; Manríquez, GR; Saavedra, JLP; Jorquera, PT</t>
  </si>
  <si>
    <t>Gutierrez Osorio, Antonio; Reyes Manriquez, Gonzalo; Perez Saavedra, Jose Luis; Trigo Jorquera, Pablo</t>
  </si>
  <si>
    <t>Assessment academic journey in the formation of the Technologist in Industrial Automation: A necessary tighten nut on the learning process</t>
  </si>
  <si>
    <t>In the process of redesign curriculum career of technology in Industrial Automation, its race Committee has raised set moments of truth, as bodies to assess the achievements of the training project of the race, as soon as satisfaction of the results of comprehensive learning performances expected in the respective cycles, i.e., cycle training scientific and technological base and training in technologies specialty, as well as their measures of improvements. The objectives of the present teaching innovation project are: to) develop the respective evaluation strategies to observe the performances expected in defined cycles; and, b) generate strategies and remedial action if observed gaps to comprehensive performance declared in the profile of the training project.</t>
  </si>
  <si>
    <t>WOS:000480327100013</t>
  </si>
  <si>
    <t>Espinosa, MRM; Rodríguez, EM</t>
  </si>
  <si>
    <t>Beltramin, JB</t>
  </si>
  <si>
    <t>Mardones Espinosa, Ma Regina; Moraga Rodriguez, Erick</t>
  </si>
  <si>
    <t>Inferential reading comprehension training for university students</t>
  </si>
  <si>
    <t>TECNOLOGIA Y SOCIETY: UNA MIRADA MULTIDISCIPLINARIA, VOL 1</t>
  </si>
  <si>
    <t>In Chile, the persistence of relevant gaps in comprehensive reading skills in workers that impact on productivity and employability has been noted. The 2nd national study of basic competences and functional literacy in Chile 2013, shows that more than 80% of the population between 15 and 65 years old is not able to compare and integrate written information, nor make inferences from the information; 95% of people with complete secondary education between 18 and 24 years old have an insufficient level of reading comprehension. This functional illiteracy implies that a person cannot fill out a form, understand a work contract, follow written instructions, interpret traffic signals, limiting the interaction with information and communication technologies. Reading comprehension is the ability to understand, evaluate, use and involve written texts and participate in society, and in Chile, this low reading comprehension of the adult population, would result in lower employability, low wages and low productivity of the country. Currently, the professors of the career in Technology in Personnel Administration of the Technological Faculty of the University of Santiago de Chile show that students demonstrate insufficient reading comprehension level for academic requirements such as expressing their ideas in dissertations, research and performance academic, thus interfering with learning. A psychopedagogical intervention has been carried out as part of a teaching innovation project, in students between 18 and 20 years, for the diagnosis and training of inferential reading comprehension and extrapolation, with results that reach up to 80% of achievement with respect to university students. that did not participate in the project.</t>
  </si>
  <si>
    <t>978-956-303-399-1</t>
  </si>
  <si>
    <t>WOS:000483366800011</t>
  </si>
  <si>
    <t>Aravena, AM</t>
  </si>
  <si>
    <t>Menanteau Aravena, Alvaro</t>
  </si>
  <si>
    <t>Jazz in Latin America</t>
  </si>
  <si>
    <t>REVISTA MUSICAL CHILENA</t>
  </si>
  <si>
    <t>0716-2790</t>
  </si>
  <si>
    <t>0717-6252</t>
  </si>
  <si>
    <t>JAN-JUN</t>
  </si>
  <si>
    <t>WOS:000439240300002</t>
  </si>
  <si>
    <t>Navas, A</t>
  </si>
  <si>
    <t>Navas, Andres</t>
  </si>
  <si>
    <t>WANDERING DOMAINS FOR DIFFEOMORPHISMS OF THE k-TORUS: A REMARK ON A THEOREM BY NORTON AND SULLIVAN</t>
  </si>
  <si>
    <t>ANNALES ACADEMIAE SCIENTIARUM FENNICAE-MATHEMATICA</t>
  </si>
  <si>
    <t>We show that there is no Ck+1 diffeomorphism of the k-torus which is semiconjugate to a minimal translation and has a wandering domain all of whose iterates are Euclidean balls.</t>
  </si>
  <si>
    <t>1239-629X</t>
  </si>
  <si>
    <t>1798-2383</t>
  </si>
  <si>
    <t>10.5186/aasfm.2018.4314</t>
  </si>
  <si>
    <t>WOS:000429434500024</t>
  </si>
  <si>
    <t>Bustamante, JPV</t>
  </si>
  <si>
    <t>Estenssoro, F; Vasquez, JP</t>
  </si>
  <si>
    <t>Vasquez Bustamante, Juan Pablo</t>
  </si>
  <si>
    <t>GOVERNMENTS OF STRUCTURAL CHANGE AND RADICAL ECOLOGISM: Conflicts and tensions in the Ecuadorian case: Regime change and development in dispute</t>
  </si>
  <si>
    <t>PERSPECTIVAS LATINOAMERICANAS EN EL DEBATE AMBIENTAL MUNDIAL: El Medio Ambiente y los Recursos Naturales como Variables Politicas y Estrategicas de America Latina en el Siglo XXI. The Environment and Natural Resources as Political and Strategic Variables of Latin America in the XXI Century</t>
  </si>
  <si>
    <t>978-956-303-364-9</t>
  </si>
  <si>
    <t>WOS:000668284400015</t>
  </si>
  <si>
    <t>Eugenin, J; Beltrán-Castillo, S; Olivares, MJ; Contreras, R; Zúñiga, G</t>
  </si>
  <si>
    <t>Eugenin, J.; Beltran-Castillo, S.; Olivares, M. J.; Contreras, R.; Zuniga, G.</t>
  </si>
  <si>
    <t>Metabolic inhibition of astrocytes impairs central chemoreception in caudal brainstem slices</t>
  </si>
  <si>
    <t>GLIA</t>
  </si>
  <si>
    <t>13th European Meeting on Glial Cells in Health and Disease</t>
  </si>
  <si>
    <t>JUL 08-11, 2017</t>
  </si>
  <si>
    <t>Edinburgh, SCOTLAND</t>
  </si>
  <si>
    <t>Beltran Castillo, Sebastian/AAT-2028-2021; Olivares, Maria Jose/M-9606-2017</t>
  </si>
  <si>
    <t>Olivares, Maria Jose/0000-0002-0109-0672</t>
  </si>
  <si>
    <t>0894-1491</t>
  </si>
  <si>
    <t>1098-1136</t>
  </si>
  <si>
    <t>T09-037B</t>
  </si>
  <si>
    <t>E272</t>
  </si>
  <si>
    <t>E273</t>
  </si>
  <si>
    <t>WOS:000403071700422</t>
  </si>
  <si>
    <t>Adasme, P; Soto, I; Seguel, F</t>
  </si>
  <si>
    <t>Younas, M; Awan, I; Holubova, I</t>
  </si>
  <si>
    <t>Adasme, Pablo; Soto, Ismael; Seguel, Fabian</t>
  </si>
  <si>
    <t>New Formulations for an Optimal Connectivity Approach for Mobile Ad-hoc Networks</t>
  </si>
  <si>
    <t>MOBILE WEB AND INTELLIGENT INFORMATION SYSTEMS, MOBIWIS 2017</t>
  </si>
  <si>
    <t>14th International Conference on Mobile Web and Intelligent Information Systems (MobiWis)</t>
  </si>
  <si>
    <t>AUG 21-23, 2017</t>
  </si>
  <si>
    <t>Prague, CZECH REPUBLIC</t>
  </si>
  <si>
    <t>In this paper, we propose new formulations for the optimal connectivity of a tree backbone topology for mobile ad-hoc networks (MANETs). Applications of MANETs include military communications, emergency and disaster recovery, and e-commerce to name a few. Formally, given a graph G = (V boolean OR K, E) with set of wireless sensor nodes V, a set of connection links E, and a set of K users, the problem is to find a backbone spanning tree network topology with as many leaves as possible in order to maximize capacity at the lowest power costs for the users which are connected to the leaf nodes of the backbone network. For this purpose, we model a MANET by means of disk graphs where each disk represents the Euclidean distance transmission range of a node v is an element of V. We propose an exponential and a compact polynomial formulation for the problem. The exponential model is characterized with constraints from the classical maximum leaf spanning tree polytope [18] whilst the compact formulation is characterized with constraints adapted from the classical minimum dominating tree problem [2]. The latter formulation is further strengthened with selected valid inequalities referred to as generalized sub-tour elimination constraints [9]. Our preliminary numerical results indicate that the compact model with additional valid inequalities allows to solve instances to optimality in significantly short CPU time for transmission distances ranging from 100 to 150 ms.</t>
  </si>
  <si>
    <t>Seguel, Fabian/ABC-4765-2020; Adasme, Pablo/U-1735-2019</t>
  </si>
  <si>
    <t>Adasme, Pablo/0000-0003-2500-3294; Seguel, Fabian/0000-0001-6567-8988</t>
  </si>
  <si>
    <t>978-3-319-65515-4; 978-3-319-65514-7</t>
  </si>
  <si>
    <t>10.1007/978-3-319-65515-4_21</t>
  </si>
  <si>
    <t>WOS:000441450500021</t>
  </si>
  <si>
    <t>Gil, SR</t>
  </si>
  <si>
    <t>Reyes Gil, Sebastian</t>
  </si>
  <si>
    <t>Afro-latin escorts in the digital era, or the art of masseurs</t>
  </si>
  <si>
    <t>STUDIES IN LATIN AMERICAN POPULAR CULTURE</t>
  </si>
  <si>
    <t>This article explores images of Afro-Latin men that appeared in gay dating phone applications during 2015. Photographs and profiles of escorts traveling to Chile are analyzed to discuss, among other themes, the ambivalent structure of African cultural representations in Chile, considering the change from printed to digital media, their respective contents, modes of production, and circulation. The article studies the forms of interaction that these devices and platforms encourage, the constructions of the Afro-Latin as stereotype, as well as other methods that escorts use to promote themselves. These profiles reveal how the prejudices of the African man or mulatto are reproduced. At the same time, the article argues that in these virtual profiles we can find autonomous strategies of self-representation.</t>
  </si>
  <si>
    <t>Gil, Sara/KHE-3663-2024</t>
  </si>
  <si>
    <t>0730-9139</t>
  </si>
  <si>
    <t>10.7560/SLAPC3503</t>
  </si>
  <si>
    <t>WOS:000401924900003</t>
  </si>
  <si>
    <t>Mobile Robot Based on the Selection of Fuzzy Behaviours for Following Trajectories in Crops</t>
  </si>
  <si>
    <t>This article addresses the problem of trajectory tracking in crops by a weed sprayer mobile robot (WSMR). This problem arises because to fumigate, the robot must follow a predefined path and avoid any obstacles it may encounter. To achieve both trajectory tracking and obstacle avoidance, a control scheme based on different behaviours is proposed, which consists essentially of an adaptive controller with a reference model for trajectory tracking and a fuzzy reactive for obstacle avoidance. Each of these controllers is executed according to the selection of the fuzzy behaviour controller, which uses information delivered by anti-collision sensors located on the robot. As a result of the implementation of this behaviour-based architecture and by means of computer simulations and experimental laboratory tests, the WSMR demonstrates the capability of autonomously following a desired trajectory between the rows of a crop in the presence of obstacles. The results are evaluated by taking into account trajectory tracking curves and the operating requirements of each controller, as well as the application of different errors indices for quantitatively evaluating the proposed control scheme.</t>
  </si>
  <si>
    <t>JUN 2</t>
  </si>
  <si>
    <t>10.5772/63966</t>
  </si>
  <si>
    <t>WOS:000377334500001</t>
  </si>
  <si>
    <t>Abarca, RL; Rodríguez, FJ; Guarda, A; Galotto, MJ; Bruna, JE</t>
  </si>
  <si>
    <t>Abarca, Romina L.; Rodriguez, Francisco J.; Guarda, Abel; Galotto, Maria J.; Bruna, Julio E.</t>
  </si>
  <si>
    <t>Characterization of beta-cyclodextrin inclusion complexes containing an essential oil component</t>
  </si>
  <si>
    <t>FOOD CHEMISTRY</t>
  </si>
  <si>
    <t>An important issue in food technology is that antimicrobial compounds can be used for various applications, such as the development of antimicrobial active packaging materials. Yet most antimicrobial compounds are volatile and require protection. In the present study, the inclusion complexes of 2-nonanone (2-NN) with beta-cyclodextrin (beta-CD), were prepared by a co-precipitation method. Entrapment efficiency (EE), thermal analysis (DSC and TGA), X-ray diffractometry (XRD), Fourier transform infrared spectroscopy (FT-IR), sorption isotherms and antifungal activity were evaluated for the characterization of the inclusion complex (beta-CD:2-NN). A higher EE was obtained (34.8%) for the inclusion complex 1:0.5 than for other molar rates. Both DSC and TGA of the inclusion complexes showed the presence of endothermic peaks between 80 degrees C and 150 degrees C, attributed to a complexation phenomenon. Antimicrobial tests for mycelial growth reduction under atmospheric conditions proved the fungistatic behaviour of the inclusion complexes against Botrytis cinerea. (C) 2015 Elsevier Ltd. All rights reserved.</t>
  </si>
  <si>
    <t>Rodríguez, Francisco/I-5283-2018; bruna, julio/AAM-6867-2021; Abarca, Romina/AAF-9196-2019</t>
  </si>
  <si>
    <t>Bruna, Julio E./0000-0001-9656-6022; Rodriguez-Mercado, Francisco/0000-0002-0530-6653</t>
  </si>
  <si>
    <t>0308-8146</t>
  </si>
  <si>
    <t>1873-7072</t>
  </si>
  <si>
    <t>10.1016/j.foodchem.2015.10.023</t>
  </si>
  <si>
    <t>WOS:000366223800122</t>
  </si>
  <si>
    <t>Llorca-Jaña, M</t>
  </si>
  <si>
    <t>LlorcaJana, M</t>
  </si>
  <si>
    <t>Llorca-Jana, Manuel</t>
  </si>
  <si>
    <t>The Globalization of Merchant Banking before 1850 The case of Huth &amp; Co. Conclusions</t>
  </si>
  <si>
    <t>GLOBALIZATION OF MERCHANT BANKING BEFORE 1850: THE CASE OF HUTH &amp; CO.</t>
  </si>
  <si>
    <t>Financial History</t>
  </si>
  <si>
    <t>Llorca-Jaña, Manuel/AAB-9317-2020</t>
  </si>
  <si>
    <t>978-1-781-44880-9; 978-1-848-93607-2</t>
  </si>
  <si>
    <t>WOS:000458913900008</t>
  </si>
  <si>
    <t>Parraga-Alava, J; Inostroza-Ponta, M</t>
  </si>
  <si>
    <t>Parraga-Alava, Jorge; Inostroza-Ponta, Mario</t>
  </si>
  <si>
    <t>A Bi-Objective model for Gene Clustering Combining Expression Data and External Biological Knowledge</t>
  </si>
  <si>
    <t>PROCEEDINGS OF THE 2016 XLII LATIN AMERICAN COMPUTING CONFERENCE (CLEI)</t>
  </si>
  <si>
    <t>Proceedings of the Latin American Computing Conference</t>
  </si>
  <si>
    <t>42nd Latin American Computing Conference (CLEI)</t>
  </si>
  <si>
    <t>OCT 10-14, 2016</t>
  </si>
  <si>
    <t>Valparaiso, CHILE</t>
  </si>
  <si>
    <t>Pontificia Univ Catolica Valparaiso, Fac Ingn, Edificio IBC,Univ Tecnica Federico Santa Maria, Casa Cent,RyC Consultores Asociados,CONICYT,Accenture,NIC Chile,Telefonica I D,Natl Lab High Performance Comp,ALMA,Oracle Acad,ThoughtWorks,IEEE,Soc Chilena Ciencia Computac,ESO,NAOJ,NRAO,Pontificia Univ Catolica Valparaiso,Univ Tecnica Federico Santa Maria</t>
  </si>
  <si>
    <t>Clustering algorithms have been widely used by biologists to identify clusters of co-related genes. Traditional approaches consider the gene clustering as an optimization problem, where an ad-hoc cluster quality index is optimized which can be defined in terms of gene expression data or biological information. However, these approaches may not be sufficient since they cannot guarantee to generate clusters with similar expression patterns and biological coherence. In this paper we propose a bi-objective gene clustering model to produce clusters of genes with high levels of co-expression and biological coherence. Our approach uses NSGA-II algorithm which receives as input a combined distance matrix and optimizes two index based on gene expression level and biological functional classes. The model is applied for clustering of real-life gene expression datasets to verify its performance. Results show that the proposed approach produce gene clusters with higher levels of co-expression and biological coherence than traditional approaches.</t>
  </si>
  <si>
    <t>Párraga-Alava, Jorge/GZA-8759-2022; Inostroza-Ponta, Mario/G-7548-2012</t>
  </si>
  <si>
    <t>2381-1609</t>
  </si>
  <si>
    <t>978-1-5090-1633-4</t>
  </si>
  <si>
    <t>WOS:000400692400006</t>
  </si>
  <si>
    <t>Contreras, S; Torres, J; Palominos, P; Lippi, L</t>
  </si>
  <si>
    <t>Chova, LG; Martinez, AL; Torres, IC</t>
  </si>
  <si>
    <t>Contreras, S.; Torres, J.; Palominos, P.; Lippi, L.</t>
  </si>
  <si>
    <t>EDUCATIONAL QUALITY IN VOCATIONAL HIGH SCHOOLS: THEORETICAL APPROXIMATION, RESEARCH QUESTIONS AND PROPOSAL OF INDICATORS</t>
  </si>
  <si>
    <t>ICERI2015: 8TH INTERNATIONAL CONFERENCE OF EDUCATION, RESEARCH AND INNOVATION</t>
  </si>
  <si>
    <t>ICERI Proceedings</t>
  </si>
  <si>
    <t>8th International Conference of Education, Research and Innovation (ICERI)</t>
  </si>
  <si>
    <t>NOV 16-20, 2015</t>
  </si>
  <si>
    <t>Seville, SPAIN</t>
  </si>
  <si>
    <t>Chile's long-awaited Educational Reform seeks to provide quality public education to the majority, especially to those who are at most socioeconomic risk. However, the inflection point in this reform will be the quality factor. Thus, our research seeks to answer the following questions: How can educational quality be defined, and what are the indicators that give administrators a clear indication of having obtained quality in their processes? Should these indicators be constructed and implemented only by the State and the administration? Together with the challenge of implementing a total quality management (TQM) system in an educational organization, it is necessary to define Educational Quality in a theoretical and empirical sense. The Universidad de Santiago of Chile, as a managing institution of several vocational high schools, has started the implementation of a TQM system in one of these schools. Methodological models for this implementation come from national and international studies and experiences, yet we hope to contribute to the current knowledge, by analysing the different approaches to the quality concept in educational organizations, with focus on secondary vocational education, and in all the end-users of the system, and holistically way the realization of quality taking into account the perception of quality from each user's point of view (student, parent, teacher, and administrator). We expect that our systematization can contribute to the discussion on the quality of education and the development of relevant indicators for measuring it.</t>
  </si>
  <si>
    <t>2340-1095</t>
  </si>
  <si>
    <t>978-84-608-2657-6</t>
  </si>
  <si>
    <t>WOS:000377304002100</t>
  </si>
  <si>
    <t>Urrea, C.; Kern, J.</t>
  </si>
  <si>
    <t>Characterization, Simulation and Implementation of a New Dynamic Model for a DC Servomotor</t>
  </si>
  <si>
    <t>IEEE LATIN AMERICA TRANSACTIONS</t>
  </si>
  <si>
    <t>In this paper a new dynamic model for analogic servomotors is proposed. Then, an analytical model is initially developed, after which, through computer simulations the obtained theoretical results are validated. Those results are contrasted, with practical implementations, by employing a real analog servo motor. This new model can capture the dynamics resulting from the servomotor axis of rotation by including the internal position feedback; as well as considering the increased torque on the axle load, reached by means of their gear train. The development of this new proposed model permits the recovery of relevant properties of the servo motors. This will allow the study and develop more advanced control techniques, compared to those currently can be used by employing a classic DC motor model.</t>
  </si>
  <si>
    <t>1548-0992</t>
  </si>
  <si>
    <t>10.1109/TLA.2014.6893992</t>
  </si>
  <si>
    <t>WOS:000342055200007</t>
  </si>
  <si>
    <t>Abarca, P; Silva, P; Almodovar, I; Rezende, MC</t>
  </si>
  <si>
    <t>Abarca, Priscilla; Silva, Patricia; Almodovar, Iriux; Rezende, Marcos Caroli</t>
  </si>
  <si>
    <t>PREPARATION AND PROPERTIES OF PERICHROMIC DYE: AN UNDERGRADUATE LABORATORY</t>
  </si>
  <si>
    <t>QUIMICA NOVA</t>
  </si>
  <si>
    <t>An undergraduate experiment that illustrates the phenomenon of perichromism-the sensitivity of a dye to its microenvironment, as assessed by color changes of its solutions-is described. An easily prepared perichromic imine is synthesized and characterized, and its solvatochromism, thermochromism, halochromism, and preferential solvation in binary solvent mixtures are demonstrated by visual inspection of its solutions. The results are rationalized by invoking solute-solvent interactions in the various media.</t>
  </si>
  <si>
    <t>Caroli, Marcos/H-3570-2019</t>
  </si>
  <si>
    <t>Rezende, Marcos/0000-0003-2040-9009</t>
  </si>
  <si>
    <t>0100-4042</t>
  </si>
  <si>
    <t>1678-7064</t>
  </si>
  <si>
    <t>10.5935/0100-4042.20140120</t>
  </si>
  <si>
    <t>WOS:000340357600027</t>
  </si>
  <si>
    <t>Magaña, I; Ramírez, C; Menéndez, L</t>
  </si>
  <si>
    <t>Magana, Irene; Ramirez, Carlos; Menendez, Luciano</t>
  </si>
  <si>
    <t>Sexual Child Abuse: Understanding and Representing Clinical Practices within Mental Health Practices</t>
  </si>
  <si>
    <t>TERAPIA PSICOLOGICA</t>
  </si>
  <si>
    <t>This study investigates Sexual Child Abuse (SCA) in its clinical context, including its representational, conceptual, and cultural expressions. Working with professionals of institutions, following an analytic yet understanding method, this study traces their approaches at the clinical level as well as intervention policies. Methodologically, the investigation is observational, analytic, and longitudinal, and qualitative design study, including two temporal cohorts (2005-2006 and 2011-2012). These methods were chosen to acquire better knowledge regarding the strategies used in clinics. Relevant results include: excessive tendencies to treat the matter as a juridical case and as pathology; the need for interdisciplinary work; the difficulty of repairing and preventing; the presence of discontent and unease in professionals related to their work; social relations in the presence of SCA of an authoritarian type; and the devastating psychic damage, both direct and indirect, in its victims.</t>
  </si>
  <si>
    <t>Ramirez, Carlos/JYQ-4601-2024</t>
  </si>
  <si>
    <t>0718-4808</t>
  </si>
  <si>
    <t>WOS:000347634100006</t>
  </si>
  <si>
    <t>Morales, D</t>
  </si>
  <si>
    <t>Morales B, Diego</t>
  </si>
  <si>
    <t>TIMBER BUSINESS: WOODCUTTERS AND MERCHANTS OF CHILOE, 1850-1875</t>
  </si>
  <si>
    <t>This paper refers to the exploitation of forest resources by the inhabitants of Chiloe Archipelago between 1850 and 1875. Likewise explains the trade flow of wood from Guaitecas and the east mountains upto its arrival at Ancud Port. On the other hand, highlights the role of the timber merchants in the archipelago and explains the mandatory debt strategy imposed to peasants.</t>
  </si>
  <si>
    <t>10.4067/S0718-22442014000200003</t>
  </si>
  <si>
    <t>WOS:000348347200003</t>
  </si>
  <si>
    <t>Prado, H; Reyes, EG</t>
  </si>
  <si>
    <t>Vagenas, EC; Vlachos, DS</t>
  </si>
  <si>
    <t>Prado, Humberto; Reyes, Enrique G.</t>
  </si>
  <si>
    <t>On equations with infinitely many derivatives: integral transforms and the Cauchy problem</t>
  </si>
  <si>
    <t>2ND INTERNATIONAL CONFERENCE ON MATHEMATICAL MODELING IN PHYSICAL SCIENCES 2013 (IC-MSQUARE 2013)</t>
  </si>
  <si>
    <t>Journal of Physics Conference Series</t>
  </si>
  <si>
    <t>2nd International Conference on Mathematical Modeling in Physical Sciences (IC-MSQUARE)</t>
  </si>
  <si>
    <t>SEP 01-05, 2013</t>
  </si>
  <si>
    <t>We analyze initial value problems for ordinary differential equations with infinitely many derivatives such as (linearized versions of) nonlocal field equations of motion appearing in particle physics, nonlocal cosmology and string theory. We show that the corresponding initial value problem on a half line is well-posed and that it requires only a finite number of initial conditions. We also investigate nonlinear pseudo-equations defined by functions of the Laplace operator, that is, nonlinear partial differential equations with infinitely many derivatives.</t>
  </si>
  <si>
    <t>Reyes, Enrique/AAD-1308-2019</t>
  </si>
  <si>
    <t>Reyes, Enrique G./0000-0001-8460-444X</t>
  </si>
  <si>
    <t>1742-6588</t>
  </si>
  <si>
    <t>1742-6596</t>
  </si>
  <si>
    <t>10.1088/1742-6596/490/1/012044</t>
  </si>
  <si>
    <t>WOS:000335909300044</t>
  </si>
  <si>
    <t>Aranzubía, S; Labarca, R</t>
  </si>
  <si>
    <t>Ibanez, S; DelRio, JSP; Pumarino, A; Rodriguez, JA</t>
  </si>
  <si>
    <t>Aranzubia, Solange; Labarca, Rafael</t>
  </si>
  <si>
    <t>Combinatorial Dynamics and an Elementary Proof of the Continuity of the Topological Entropy at θ =(101)under-bar, in the Milnor Thurston World</t>
  </si>
  <si>
    <t>PROGRESS AND CHALLENGES IN DYNAMICAL SYSTEMS</t>
  </si>
  <si>
    <t>Springer Proceedings in Mathematics &amp; Statistics</t>
  </si>
  <si>
    <t>International Conference on Dynamical Systems - 100 Years after Poincare</t>
  </si>
  <si>
    <t>SEP 03-07, 2012</t>
  </si>
  <si>
    <t>Gijon, SPAIN</t>
  </si>
  <si>
    <t>Dept Math</t>
  </si>
  <si>
    <t>In the present paper we deal with the Milnor-Thurston world and we present elementary proofs of some results by combining dynamics, combinatory, linear algebra and entropy.</t>
  </si>
  <si>
    <t>2194-1009</t>
  </si>
  <si>
    <t>978-3-642-38830-9; 978-3-642-38829-3</t>
  </si>
  <si>
    <t>10.1007/978-3-642-38830-9_3</t>
  </si>
  <si>
    <t>WOS:000337594300003</t>
  </si>
  <si>
    <t>Contreras, ML; Avila, D; Alvarez, J; Rozas, R</t>
  </si>
  <si>
    <t>Leonor Contreras, M.; Avila, Diego; Alvarez, Jose; Rozas, Roberto</t>
  </si>
  <si>
    <t>Computational algorithms for fast-building 3D carbon nanotube models with defects</t>
  </si>
  <si>
    <t>JOURNAL OF MOLECULAR GRAPHICS &amp; MODELLING</t>
  </si>
  <si>
    <t>Algorithms for generating defective carbon nanotubes have been developed and implemented in software. The algorithms were designed to create arrays of carbon atoms that form layers and interconnect. The parameters for construction were the following: Hamada indices that respond to topology (armchair, zigzag or chiral nanotubes) and diameter, the saturated or unsaturated nature of the nanotube, the length and, most importantly, the presence of defects that can be built individually or repetitively by rotating bonds, removing atoms, or adding additional carbon atoms. The output was written in a standard, exportable file format that contained atomic coordinates useful for further computational chemistry work. (C) 2012 Elsevier Inc. All rights reserved.</t>
  </si>
  <si>
    <t>1093-3263</t>
  </si>
  <si>
    <t>1873-4243</t>
  </si>
  <si>
    <t>10.1016/j.jmgm.2012.05.001</t>
  </si>
  <si>
    <t>WOS:000313392800042</t>
  </si>
  <si>
    <t>Ross, C</t>
  </si>
  <si>
    <t>Ross, Cesar</t>
  </si>
  <si>
    <t>History of International Relationship between Argentina and China, 1945-2010</t>
  </si>
  <si>
    <t>WOS:000306396500025</t>
  </si>
  <si>
    <t>Ponce, I; Silva, JF; Oñate, R; Rezende, MC; Páez, MA; Pavez, J; Zagal, JH</t>
  </si>
  <si>
    <t>Ponce, Ingrid; Francisco Silva, J.; Onate, Ruben; Caroli Rezende, Marcos; Paez, Maritza A.; Pavez, Jorge; Zagal, Jose H.</t>
  </si>
  <si>
    <t>Enhanced catalytic activity of Fe phthalocyanines linked to Au(111) via conjugated self-assembled monolayers of aromatic thiols for O2 reduction</t>
  </si>
  <si>
    <t>ELECTROCHEMISTRY COMMUNICATIONS</t>
  </si>
  <si>
    <t>We have obtained and characterized self assembled monolayers (SAMs) of 4-aminothiophenol (4-ATP) and 1-(4-mercaptophenyl)-2,6-diphenyl-4-(4-pyridyl)pyridinium tetrafluoroborate (MDPP) functionalized with iron phthalocyanine (FePc) adsorbed on gold (111) electrodes. The catalytic activity of these SAMs/FePc was examined for the reduction of O-2 in aqueous media (pH = 4) and compared with that of bare gold and of gold coated directly with FePc molecules. Scanning tunneling microscopy (STM) studies confirm the functionalization of the 4-ATP by FePc. The electrocatalytic studies carried out with Au/FePc, Au/4-ATP/FePc and Au/MDPP/FePc electrodes show that the O-2 reduction takes place by a 4-electron transfer to give water in contrast to a 2-electron-transfer process observed on the bare gold. The activity of the electrodes increases as follows: Au</t>
  </si>
  <si>
    <t>zagal, jose/L-9648-2014; Paez, Maritza/M-2010-2014; Ponce, Ingrid/L-9679-2014; PAVEZ, JORGE/K-6904-2014</t>
  </si>
  <si>
    <t>PAVEZ, JORGE/0000-0002-5100-6707; Rezende, Marcos/0000-0003-2040-9009; paez, maritza/0000-0001-5881-884X; Ponce Hormazabal, Ingrid/0000-0002-3896-9576</t>
  </si>
  <si>
    <t>1388-2481</t>
  </si>
  <si>
    <t>1873-1902</t>
  </si>
  <si>
    <t>10.1016/j.elecom.2011.08.050</t>
  </si>
  <si>
    <t>WOS:000297492800009</t>
  </si>
  <si>
    <t>Cardenas-Jiron, G; Leal, D; Matsuhiro, B; Osorio-Roman, IO</t>
  </si>
  <si>
    <t>Cardenas-Jiron, G.; Leal, D.; Matsuhiro, B.; Osorio-Roman, I. O.</t>
  </si>
  <si>
    <t>Vibrational spectroscopy and density functional theory calculations of poly-D-mannuronate and heteropolymeric fractions from sodium alginate</t>
  </si>
  <si>
    <t>JOURNAL OF RAMAN SPECTROSCOPY</t>
  </si>
  <si>
    <t>The tetrasaccharide of 1 -&gt; 4 beta-D-mannopyranuronate (MM) and the alternating tetrasaccharide of 1 -&gt; 4 b-D-mannopyranuronate and 1 -&gt; 4 alpha-L-gulopyranuronate (MG) were analyzed based on density functional theory (DFT) by employing the Gaussian 03 W package. The molecular geometries were fully optimized by using the Becke's three-parameter hybrid exchange functional combined with Lee-Yang-Parr correlation functional (B3LYP) and using a 6-31G(d,p) basis set. The calculated IR spectrum of MM presents a band at 1093 cm(-1) for C-C stretching vibration, which is in good agreement with the experimental observation (1096 cm(-1)) for the polymannuronate fraction obtained by partial hydrolysis of sodium alginate extracted from the hybrid brown seaweed Lessonia-Macrocystis. The calculated value at 826 cm(-1) for MM is in close agreement with the experimental value and confirms that this band is characteristic of polymannuronate blocks. Most of the bands in the IR spectrum are also present in the observed Raman spectrum of the polymannuronate fraction. The experimental IR spectrum of heteropolymeric fraction obtained by partial hydrolysis of sodium alginate shows absorbances similar to those calculated for the model tetrasaccharide (MG). Surface-enhanced Raman scattering (SERS) allows differentiation between the homopolymeric and heteropolymeric fractions of sodium alginate. The SERS spectrum of the heteropolymeric fraction shows an enhanced signal at 731 cm(-1) which is present in the calculated Raman spectrum of the tetrasaccharide MG at 729 cm(-1). This band is assigned to the ring-breathing deformation of the beta-D-mannopyranuronate and alpha-L-gulopyranuronate residues. Copyright (C) 2010 John Wiley &amp; Sons, Ltd.</t>
  </si>
  <si>
    <t>Osorio, Igor/AEX-9230-2022; Cardenas-Jiron, Gloria/H-9508-2012</t>
  </si>
  <si>
    <t>Cardenas-Jiron, Gloria/0000-0003-4305-8088; Osorio-Roman, Igor/0000-0001-7502-8698</t>
  </si>
  <si>
    <t>0377-0486</t>
  </si>
  <si>
    <t>1097-4555</t>
  </si>
  <si>
    <t>10.1002/jrs.2760</t>
  </si>
  <si>
    <t>WOS:000290484700041</t>
  </si>
  <si>
    <t>Noguera, J</t>
  </si>
  <si>
    <t>Noguera, Jose</t>
  </si>
  <si>
    <t>Barter, centralized merchants and geographical spread</t>
  </si>
  <si>
    <t>PAPERS IN REGIONAL SCIENCE</t>
  </si>
  <si>
    <t>This essay analyses the circumstances under which a redistributive barter system with centralized merchants dominates over primitive unstructured barter. It emphasizes the role of the geographical spread to explain the emergence of structured trade. The model analytically shows how, in the presence of taste for variety and increasing returns to scale in the production of commodities, the opportunity cost of direct bartering interacts with the transport costs and the geographical spread to explain the existence of intermediaries, and provides some interesting links between the literature on market emergence and the birth and growth of cities.</t>
  </si>
  <si>
    <t>1056-8190</t>
  </si>
  <si>
    <t>10.1111/j.1435-5957.2010.00311.x</t>
  </si>
  <si>
    <t>WOS:000287932300010</t>
  </si>
  <si>
    <t>Rocco, M; Rubio, MA</t>
  </si>
  <si>
    <t>Rocco, Marcelo; Rubio, Maria A.</t>
  </si>
  <si>
    <t>CHEMICAL BEHAVIOR OF CHROMIUM, IRON, LEAD, MOLYBDENUM, MANGANESE AND ZINC IN THE SURFACE WATER OF TWO URBAN LAGOONS IN SANTIAGO, CHILE</t>
  </si>
  <si>
    <t>FRESENIUS ENVIRONMENTAL BULLETIN</t>
  </si>
  <si>
    <t>Two water-bodies were studied: the Batuco wetland and the Caren lagoon, which belong to the Chacabuco hydrogaphic basin in Santiago, in the Metropolitan Region of Chile. Water and sediment samples were obtained at different times of the year: June 2008 (cold and rainy winter season), September 2008 (temperate spring season), and January 2008 (dry and warm summer season). It was determined that analysis of the distribution of trace metals using the conservative and thermodynamic behavior index would be an indicator of which metals were being added/removed to and from the surface water. The increase in Fe, Cr, Zn, Mn and Mo concentrations in the surface water of Batuco could be related to mineral dissolution and desorption processes from Fe/Mn hydrooxides. The decrease in trace metals, such as Cr, Zn and Mo, in the surface water of Caren would be due to adsorption and/or co-precipitation processes associated with the precipitation of hydrooxides. The presence of Pb in the water of both lagoons is related to external anthropogenic processes, since Pb was not detected in the sediment samples.</t>
  </si>
  <si>
    <t>Rocco, Marcelo/AAI-4918-2020; Bajo, Maria/ABF-6991-2020</t>
  </si>
  <si>
    <t>1018-4619</t>
  </si>
  <si>
    <t>1610-2304</t>
  </si>
  <si>
    <t>WOS:000277345900005</t>
  </si>
  <si>
    <t>Torres-Tramon, P; Vega-Acevedo, N; Rannou, FR</t>
  </si>
  <si>
    <t>Torres-Tramon, Pablo; Vega-Acevedo, Nicolas; Rannou, Fernando R.</t>
  </si>
  <si>
    <t>Multithreading GATE</t>
  </si>
  <si>
    <t>2010 IEEE NUCLEAR SCIENCE SYMPOSIUM CONFERENCE RECORD (NSS/MIC)</t>
  </si>
  <si>
    <t>IEEE Nuclear Science Symposium and Medical Imaging Conference</t>
  </si>
  <si>
    <t>IEEE Nuclear Science Symposium (NSS)/Medical Imaging Conference (MIC)/17th International Workshop on Room-Temperature Semiconductor X-ray and Gamma-ray Detectors</t>
  </si>
  <si>
    <t>OCT 30-NOV 06, 2010</t>
  </si>
  <si>
    <t>Knoxville, TN</t>
  </si>
  <si>
    <t>Inst Elect &amp; Elect Engineers, Nucl &amp; Plasma Sci Soc,IEEE</t>
  </si>
  <si>
    <t>Rannou, Fernando/G-5749-2019</t>
  </si>
  <si>
    <t>Rannou, Fernando/0000-0002-3244-1893</t>
  </si>
  <si>
    <t>1095-7863</t>
  </si>
  <si>
    <t>978-1-4244-9106-3</t>
  </si>
  <si>
    <t>WOS:000306402903039</t>
  </si>
  <si>
    <t>Chandía, NP; Matsuhiro, B</t>
  </si>
  <si>
    <t>Chandia, N. P.; Matsuhiro, B.</t>
  </si>
  <si>
    <t>Characterization of a fucoidan from Lessonia vadosa (Phaeophyta) and its anticoagulant and elicitor properties</t>
  </si>
  <si>
    <t>INTERNATIONAL JOURNAL OF BIOLOGICAL MACROMOLECULES</t>
  </si>
  <si>
    <t>Blades of Lessonia vadosa (Phaeophyta) were extracted with 2% CaCl2 solution, affording in 4.4% yield a polysaccharide which contained fucose and sulfate groups in the molar ratio 1.0: 1.12. The high negative optical activity value ([alpha](d)(22) = -134.0 degrees), FT-IR and NMR analysis suggest the presence of a fucoidan. C-13 NMR spectrum of the polysaccharide obtained by solvolytic desulfation of native fucoidan indicated the major presence of 1 --&gt; 3 linked alpha-L-fucan. Depolymerization of the native fucoidan with H2O2 in the presence of copper(II) acetate gave in 54.8% yield a fraction with 33.7% of sulfate content. The native fucoidan (MW 320,000) showed good anticoagulant activity whereas the radical depolymerized fraction (MW 32,000) presented a weak anticoagulant activity. These polysaccharides showed significant activation of phenylalanine-ammonia lyase (PAL), lipooxygenase (LOX) and glutathione-S-transferase (GST) defence enzyme activities in tobacco plants. (C) 2007 Elsevier B.V. All rights reserved.</t>
  </si>
  <si>
    <t>0141-8130</t>
  </si>
  <si>
    <t>1879-0003</t>
  </si>
  <si>
    <t>10.1016/j.ijbiomac.2007.10.023</t>
  </si>
  <si>
    <t>WOS:000254784100003</t>
  </si>
  <si>
    <t>Gutiérrez, AC</t>
  </si>
  <si>
    <t>Contreras Gutierrez, Alejandra</t>
  </si>
  <si>
    <t>Criticism of the educational system in colonial Quito and the influence of Luis Antonio Verney in Eugenio Santa Cruz y Espejo's Quit's New Luciano</t>
  </si>
  <si>
    <t>REVISTA DE CRITICA LITERARIA LATINOAMERICANA</t>
  </si>
  <si>
    <t>0252-8843</t>
  </si>
  <si>
    <t>WOS:000265620500005</t>
  </si>
  <si>
    <t>Urzúa, A; Santander, R; Echeverría, J</t>
  </si>
  <si>
    <t>Urzua, Alejandro; Santander, Rocio; Echeverria, Javier</t>
  </si>
  <si>
    <t>Analysis of surface and volatile compounds of flower heads of Flourensia thurifera (Mol) DC</t>
  </si>
  <si>
    <t>Surface compounds were obtained by a methylene chloride extraction of fresh flower heads of Flourensia thurifera. The methylene chloride extract was purified by column chromatography and analyzed by GC-MS, leading to the identification of several monoterpenes, sesquiterpenes and diterpenes. A hydrocarbon fraction of n-alkanes from C23 to C31 and C33 was also identified. Headspace analysis of the fresh flower heads was also carried out. Different proportions of the same mono- and some of the sesquiterpenes were identified in the volatile fraction. The presence of mono- and sesquiterpenes in the flower heads is in agreement with the fact that these families of compounds have been identified in other Flourensia species.</t>
  </si>
  <si>
    <t>Santander, Rocio/K-7645-2013; Echeverría, Javier/AAK-3323-2020</t>
  </si>
  <si>
    <t>Urzua, Alejandro/0000-0003-2638-0921; Echeverria, Javier/0000-0002-1688-968X</t>
  </si>
  <si>
    <t>0717-9324</t>
  </si>
  <si>
    <t>WOS:000249169500010</t>
  </si>
  <si>
    <t>Guzman, AM; Beiza, MP; Fischer, PF</t>
  </si>
  <si>
    <t>Guzman, Amador M.; Beiza, Maximiliano P.; Fischer, Paul F.</t>
  </si>
  <si>
    <t>Transition scenario of periodic and quasiperiodic flow bifurcations in symmetric communicating channels</t>
  </si>
  <si>
    <t>FEDSM 2007: PROCEEDINGS OF THE 5TH JOINT AMSE/JSME FLUIDS ENGINEERING SUMMER CONFERENCE VOL 1, PTS A AND B</t>
  </si>
  <si>
    <t>5th Joint ASME/JSME Fluids Engineering Summer Conference</t>
  </si>
  <si>
    <t>JUL 30-AUG 02, 2007</t>
  </si>
  <si>
    <t>San Diego, CA</t>
  </si>
  <si>
    <t>Amer Soc Mech Engineers, Fluids Engn Div,Japanese Soc Mech Engn</t>
  </si>
  <si>
    <t>The flow transition scenario in symmetric communicating channels has been investigated using direct numerical simulations of the mass and momentum conservation equations in the Reynolds numbers range of Re=[170-227]. The governing equations are solved for laminar and time-dependent transitional flow regimes by the spectral element method, using a periodic computational domain, for a periodic length of nL and an aspect ratio of r = (a) over cap/(2 (L) over cap) =0.0405, where (a) over cap =2a is the height of block within the channel, n an integer and (L) over cap = L + 1 is the periodic length. Periodic computational domains with n=1 and 2 are used in this investigation to determine the periodic length effect on the flow pattern characteristics. Numerical investigations with different domain meshes are carried out for determining the appropriate discretization for capturing transitional time-dependent flows. The numerical results show a transition scenario with two-flow Hopf bifurcations which develop as the pressure gradient is increased from a laminar to a time-dependent flow regime. The first Hopf bifurcation occurs to a critical Reynolds number of Re,, and leads to a time-dependent periodic flow characterized by a fundamental frequency omega(1). Further increases in the pressure gradient lead to successive quasi periodic flows after a second Hopf bifurcation B-2 occurring to a critical Reynolds number Re-c2 &lt; Re-c1, with two fundamental frequencies omega(1) and omega(2), and linear combinations of both frequencies--where the fundamental frequency omega(1) increases continuously--and omega(2) &gt; omega(1). This transition scenario is somewhat different from the Ruelle-Takens-Newhouse transition scenario obtained for symmetric wavy channels; in symmetric wavy channels, periodic and quasi periodic flow regimes develop as the Reynolds number increases. The friction factor for the symmetric communicating channel in the transitional regime is higher than the friction factor for the Poiseuille plane channel. The qualitative and quantitative behavior is compared to other channel geometries that also develop other transition scenarios.</t>
  </si>
  <si>
    <t>Guzman, Amador/F-9260-2013</t>
  </si>
  <si>
    <t>978-0-7918-4288-1</t>
  </si>
  <si>
    <t>WOS:000252340100146</t>
  </si>
  <si>
    <t>Pedreschi, F; Moyano, P</t>
  </si>
  <si>
    <t>Oil uptake and texture development in fried potato slices</t>
  </si>
  <si>
    <t>JOURNAL OF FOOD ENGINEERING</t>
  </si>
  <si>
    <t>The objective of this work was to study oil absorption and the kinetics of texture development of fried potato slices during frying Prior to frying, potato slices were blanched in hot water at 85 degrees C for 3.5min. Unblanched slices were used as the control. Control and blanched potato slices (Panda variety, diameter: 37mm, width: 2.2mm) were fried at 120, 150 and 180 degrees C until reaching moisture contents of similar to 1.8% (total basis) and their texture and oil content were measured periodically. Oil uptake was higher in similar to 15% for blanched samples than for control samples after 20s of frying. Besides, the higher the frying temperature, the lower the oil absorption in control samples. Textural changes in fried potato slices were followed by the parameter maximum force (MF) extracted from the force vs. distance curves corresponding to different sampling times. Normalized maximum force (MF*) was used in modeling textural changes in the potato slices during frying in both the initial tissue softening ptocess and the later crust development process. Higher temperatures accelerated these processes; however neither the temperature nor the pre-treatment had a significant effect (P &gt; 0.05) over the final texture of the fried potato chips. (c) 2004 Elsevier Ltd. All rights reserved.</t>
  </si>
  <si>
    <t>pedreschi, franco/F-8844-2013</t>
  </si>
  <si>
    <t>0260-8774</t>
  </si>
  <si>
    <t>1873-5770</t>
  </si>
  <si>
    <t>10.1016/j.jfoodeng.2004.10.010</t>
  </si>
  <si>
    <t>WOS:000230102000011</t>
  </si>
  <si>
    <t>Imarai, M; Varela-Nallar, L; Figueroa-Gaete, C; González, P; Valdés, D; Velásquez, L; Cárdenas, H; Maisey, K</t>
  </si>
  <si>
    <t>Fas ligand in the uterus of the non-pregnant mouse induces apoptosis of CD4+T cells</t>
  </si>
  <si>
    <t>JOURNAL OF REPRODUCTIVE IMMUNOLOGY</t>
  </si>
  <si>
    <t>The role of FasL in the reproductive tissues of the non-pregnant mouse may be the induction of apoptosis of activated T cells for the prevention of unwanted inflammatory responses secondary to infection. This study was undertaken to identify cell and tissue types that typically express FasL in the uterus and oviduct of the mouse and to establish whether FasL on the surface of these cells was able to induce T cell apoptosis. FasL in the mouse uterus and oviduct was demonstrated using three independent methods: RT-PCR, Western blot and immunocytochemistry. The protein was present in the epithelial and mesenchymal cells of the uterus and showed a granular pattern in the apical epithelial portion. Although this suggests the presence of vesicles, surface expression was also detected by flow cytometry of isolated uterine cells. Exogenous administration of estradiol and progesterone had no significant effect on the expression and localization of FasL. The ability of uterine cells to induce FasL-dependent apoptosis of activated CD4+T cells was examined by incubation of phytohemagglutinin-treated T cells with cultured uterine cells. TUNEL and flow cytometric analyses showed that CD4+ T cells experienced apoptosis after 5 h of coincubation. Neutralizing antibodies inhibited apoptosis demonstrating that a biologically active FasL is present in the reproductive tissues of the mouse. Results indicate that FasL is a biologically active molecule present in epithelial and mesenchymal cells of the uterus and the oviduct of the non-pregnant mouse that might restrain local immune response by induction of apoptosis of CD4+T lymphocytes. (c) 2005 Elsevier Ireland Ltd. All rights reserved.</t>
  </si>
  <si>
    <t>Maisey, Kevin/AAP-2886-2021; Varela-Nallar, Lorena/AAV-3304-2021</t>
  </si>
  <si>
    <t>Imarai, Monica/0000-0001-8767-9180; Varela-Nallar, Lorena/0000-0003-2588-6437; Velasquez, Luis/0000-0002-9479-1792; Maisey, Kevin/0000-0002-7423-6329</t>
  </si>
  <si>
    <t>0165-0378</t>
  </si>
  <si>
    <t>10.1016/j.jri.2005.03.003</t>
  </si>
  <si>
    <t>WOS:000230187200002</t>
  </si>
  <si>
    <t>Cruz, N; Olivares, M; Villanueva, JR</t>
  </si>
  <si>
    <t>The geodesic structure of the Schwarzschild anti-de Sitter black hole</t>
  </si>
  <si>
    <t>CLASSICAL AND QUANTUM GRAVITY</t>
  </si>
  <si>
    <t>In this work, we find the geodesic structure of an AdS black hole. By means of a detailed analysis of the corresponding effective potentials for particles and photons, we find all possible motions which are allowed by the energy levels. Radial and non-radial trajectories were exactly evaluated for both geodesics. The orbits found were plotted in order to have a direct visualization of the allowed motions. We show that the geodesic structure of this black hole presents new types of motion not allowed by the Schwarzschild spacetime.</t>
  </si>
  <si>
    <t>Villanueva, Jairo/AAB-4646-2019</t>
  </si>
  <si>
    <t>0264-9381</t>
  </si>
  <si>
    <t>1361-6382</t>
  </si>
  <si>
    <t>MAR 21</t>
  </si>
  <si>
    <t>10.1088/0264-9381/22/6/016</t>
  </si>
  <si>
    <t>WOS:000228771100016</t>
  </si>
  <si>
    <t>Alvarez, PI; Blasco, R; Gomez, J; Cubillos, FA</t>
  </si>
  <si>
    <t>A first principles-neural networks approach to model a vibrated fluidized bed dryer: Simulations and experimental results</t>
  </si>
  <si>
    <t>This article presents the modeling and simulation of a batch pilot-scale vibrofluidized bed dryer. The model considers the effect of back-mixing by establishing interconnected drying zones. The model's equations consist of the mass and energy balances for each zone in the solid phase, while a complete mixing is assumed in the gas phase. The drying and heat transfer parameters are correlated with the operating conditions by means of three neural networks that have been adapted from data obtained experimentally. The system of algebraic-differential equations provides the solid's moisture content and temperature profiles as a function of time. The model was validated by experiments with turnip seeds. Good fit was obtained using only four drying zones.</t>
  </si>
  <si>
    <t>Gomez Lopez, Jaime Eduardo/0000-0002-6175-1583; CUBILLOS, FRANCISCO/0000-0001-7863-4394</t>
  </si>
  <si>
    <t>1532-2300</t>
  </si>
  <si>
    <t>10.1081/DRT-200047661</t>
  </si>
  <si>
    <t>WOS:000227713700012</t>
  </si>
  <si>
    <t>Vera-Villarroel, P; Moyano Díaz, E</t>
  </si>
  <si>
    <t>Accreditation of psychology programs in Chile:: contextual background and current status</t>
  </si>
  <si>
    <t>REVISTA MEXICANA DE PSICOLOGIA</t>
  </si>
  <si>
    <t>The career of psychology began in Chile in 1948, while the accreditation process assessing the quality of higher education is quite recent. Some of the main highlights and diagnosis in the development of higher education and its linkage to quality are analyzed, describing the process of accreditation. This process includes four phases: a request to undertake the process of accreditation, an autoevaluation phase, a peer review phase, and a final decision. The assessment of accreditation conveys an autoevaluation analysis and an external assessment referred to nine criteria: career proposal; institutional integrity; organizational, administrative and financial structure; professional and curricular structure; human resources; teaching and learning process; administrative process results; infrastructure technical aid and teaching resources; and media involvement.</t>
  </si>
  <si>
    <t>Vera-Villarroel, Pablo/A-1134-2011</t>
  </si>
  <si>
    <t>Vera-Villarroel, Pablo/0000-0001-9187-8414</t>
  </si>
  <si>
    <t>0185-6073</t>
  </si>
  <si>
    <t>WOS:000235719200007</t>
  </si>
  <si>
    <t>Chandía, NP; Matsuhiro, B; Mejías, E; Moenne, A</t>
  </si>
  <si>
    <t>Alginic acids in Lessonia vadosa:: Partial hydrolysis and elicitor properties of the polymannuronic acid fraction</t>
  </si>
  <si>
    <t>JOURNAL OF APPLIED PHYCOLOGY</t>
  </si>
  <si>
    <t>Extraction of Lessonia vadosa (Laminariales, Phaeophyta) collected in three different localities near Punta Arenas in the south of Chile, with 3% aqueous sodium carbonate solutions gave a sodium alginate yield in the range 3.0-17.7% dry weight. There were marked differences in the mannuronic acid to guluronic acid ratio (M/G) (0.21-1.69) in the alginic acids, samples collected in Puerto del Hambre in winter were composed mainly of mannuronic acid residues. The alginate samples were characterized by partial hydrolysis and FT-IR spectroscopy. No relationship was found between tissue type and polyguluronic acid content. The elicitor activity of the polymannuronic acid enriched fraction from alginic acid of blades from Puerto del Hambre was assayed in wheat plants. The polymannuronic acid enriched fraction induced substancial elicitation of phenylalanine ammonia-lyase (PAL) and peroxidase (POD) activities.</t>
  </si>
  <si>
    <t>Mejias, Enrique/ABF-1155-2022; Mejias, Enrique/N-3564-2017</t>
  </si>
  <si>
    <t>Mejias, Enrique/0000-0001-5577-3025</t>
  </si>
  <si>
    <t>0921-8971</t>
  </si>
  <si>
    <t>1573-5176</t>
  </si>
  <si>
    <t>10.1023/B:JAPH.0000044778.44193.a8</t>
  </si>
  <si>
    <t>WOS:000224436600006</t>
  </si>
  <si>
    <t>Palma, G; Meyer, T; Labbé, R</t>
  </si>
  <si>
    <t>Finite size scaling in the two-dimensional XY model and generalized universality -: art. no. 026108</t>
  </si>
  <si>
    <t>PHYSICAL REVIEW E</t>
  </si>
  <si>
    <t>In recent works [S. T. Bramwell, P. C. W. Holdsworth, and J.-F. Pinton, Nature (London) 396, 552 (1998); S. T. Bramwell , Phys. Rev. Lett. 84, 3744 (2000)], a generalized universality has been proposed, linking phenomena as dissimilar as two-dimensional (2D) magnetism and turbulence. To test these ideas, we performed Monte Carlo simulations of the 2D XY model. We found that the shape of the probability distribution function for the magnetization M is non-Gaussian and independent of the system size-in the range of the lattice sizes studied-below the Kosterlitz-Thoules temperature. However, our results suggest that in the full 2D XY model the shape of these distributions has a slight dependence on temperature-for finite volume-below the lattice-shifted critical temperature T*(L). This behavior can be explained by using renormalization group arguments and an extended finite-size scaling analysis, and by the existence of bounds for M.</t>
  </si>
  <si>
    <t>Labbe, Raul/C-4581-2008</t>
  </si>
  <si>
    <t>Labbe, Raul/0000-0003-4233-8387</t>
  </si>
  <si>
    <t>1539-3755</t>
  </si>
  <si>
    <t>1550-2376</t>
  </si>
  <si>
    <t>10.1103/PhysRevE.66.026108</t>
  </si>
  <si>
    <t>WOS:000177971300017</t>
  </si>
  <si>
    <t>Lissi, E; Pino, E</t>
  </si>
  <si>
    <t>Antioxidant capacity evaluations. Kinetic and mechanistic aspects</t>
  </si>
  <si>
    <t>S248</t>
  </si>
  <si>
    <t>WOS:000177096300656</t>
  </si>
  <si>
    <t>Ardiles, P; Trollund, E; Isaacs, M; Armijo, F; Aguirre, MJ</t>
  </si>
  <si>
    <t>Evidence of a stable charge-transfer adduct between 2-mercaptoethanol and cobalt-polytetraaminophthalocyanine</t>
  </si>
  <si>
    <t>The electro-oxidation of 2-mercaptoethanol by poly-Co-tetraaminophthalocyanine (p-CoTAPc) and poly-metal-free-tetraarainophthalocyanine (p-H(2)TAPc), absorbed on electrode surfaces has been investigated by UV-visible spectroelectrochemistry and electrochemical techniques. In the case of p-CoTAPc, an irreversible oxidation wave is obtained by cyclic voltammetry, whereas p-H(2)PcTA practically does not show activity. The foot of the oxidation, as the open circuit potential measurements indicate that the responsible redox couple is Co(II)/Co(I). The p-CoTAPc modified-electrode loses its activity after a first potential cycle. UV-visible spectroelectrochemical measurements show a charge transfer band (metal to ligand) for the p-CoTAPc between Q and Soret bands when negative potentials are applied and Co(I) is obtained. The presence of 2-mercaptoethanol promotes the appearance of the charge transfer band at open circuit potential and retain this band even at potentials as positive as +0.2V where normally the Co center is in +2 oxidation state. The permanence of a stable charge transfer band indicates the formation of a stable charge-transfer adduct between Co(I) and the thiol. This adduct would be responsible for the loss of catalytic activity for p-CoTAPc after the first oxidation cycle.</t>
  </si>
  <si>
    <t>Aguirre, Maria/A-3935-2013; Armijo, Francisco/G-3391-2013; Isaacs, Mauricio/N-3027-2013</t>
  </si>
  <si>
    <t>Isaacs Casanova, Mauricio/0000-0003-0503-0949; Aguirre, Maria/0000-0003-1134-4469; Armijo, Francisco/0000-0002-2479-6280</t>
  </si>
  <si>
    <t>10.1080/00958970108022634</t>
  </si>
  <si>
    <t>WOS:000172387600001</t>
  </si>
  <si>
    <t>Bruzzone, MS; Fuentes, L; Spencer, E</t>
  </si>
  <si>
    <t>Specific subgroup B adenovirus diagnosis by PCR of the fibre gene</t>
  </si>
  <si>
    <t>JOURNAL OF INFECTION</t>
  </si>
  <si>
    <t>Objective: A highly sensitive and specific PCR assay targeting regions of the fibre gene was developed for the identification of subgroup B adenovirus strains, This is critical, since these adenovirus strains are frequently associated with severe respiratory infections in infants and new-borns, Methods: Clinical samples from nasopharyngeal aspirates were analysed by PCR using several sets of primers corresponding to sequences of the gene coding for the fibre protein, Results: The assay allowed the detection and identification of all the genotypes of adenovirus subgroup B, based on the size of the amplified product when analysed on polpacrilamide gel electrophoresis, Specifically, one set of primers was able to amplify DNA of subgroup B but not subgroup C and E viruses. Conclusion: The detection of adenovirus and the genotyping can be done on a routine basis by a PCR assay using the fibre gene as a target, The assay allows the identification of ADV subgroup B, including genotype 7h, which is the single most important viral pathogen associated with respiratory diseases in infants and young children in the southern part of South America, (C) 2000 The British Infection Society.</t>
  </si>
  <si>
    <t>Spencer, Eugenio/0000-0001-6109-140X</t>
  </si>
  <si>
    <t>0163-4453</t>
  </si>
  <si>
    <t>10.1053/jinf.1999.0632</t>
  </si>
  <si>
    <t>WOS:000087137000010</t>
  </si>
  <si>
    <t>Moraga, NO; Medina, EE</t>
  </si>
  <si>
    <t>Conjugate forced convection and heat conduction with freezing of water content in a plate shaped food</t>
  </si>
  <si>
    <t>INTERNATIONAL JOURNAL OF HEAT AND MASS TRANSFER</t>
  </si>
  <si>
    <t>The finite volume method is used to describe unsteady forced convection and heat conduction in a meat plate during freezing. External fluid mechanics and internal solidification of water content in the meat are predicted from a mathematical model that includes continuity, Navier-Stokes and energy equations for air around the food and the heat diffusion equation inside the meat. Unsteady results, are presented for both velocity vectors and temperature distributions in air, temperature variations in the food and for heat transfer coefficients. Experimental data for the temperature variation in time are used to assess the accuracy of the predicted values. (C) 1999 Elsevier Science Ltd. All rights reserved.</t>
  </si>
  <si>
    <t>Medina, Euler/LSI-8673-2024</t>
  </si>
  <si>
    <t>0017-9310</t>
  </si>
  <si>
    <t>10.1016/S0017-9310(99)00119-2</t>
  </si>
  <si>
    <t>WOS:000083263800005</t>
  </si>
  <si>
    <t>Aliaga, C; Galdames, JS; Rezende, MC</t>
  </si>
  <si>
    <t>On the solvatochromic reversal of merocyanine dyes .2. An experimental and semi-empirical study of the solvatochromism of alpha- and gamma-vinylogous pyridones</t>
  </si>
  <si>
    <t>JOURNAL OF THE CHEMICAL SOCIETY-PERKIN TRANSACTIONS 2</t>
  </si>
  <si>
    <t>The vinylogous alpha-pyridone 1,2-dihydro-1-(4-methoxyphenyl)-2-(4-oxocyclohexa-2,4-dienylidene)-4,6-diphenylpyridine 3 was prepared and its solvatochromic behaviour in several solvents recorded and compared to that of its gamma-isomer 1. The relative behaviour of these dyes, which differed from that of other solvatochromic vinylogous alpha/gamma-pyridones, could be reproduced by a previously described theoretical model.</t>
  </si>
  <si>
    <t>Caroli, Marcos/H-3570-2019; Aliaga, Carolina/G-6024-2019</t>
  </si>
  <si>
    <t>Aliaga, Carolina/0000-0002-1352-3164; Rezende, Marcos/0000-0003-2040-9009</t>
  </si>
  <si>
    <t>0300-9580</t>
  </si>
  <si>
    <t>10.1039/a605966j</t>
  </si>
  <si>
    <t>WOS:A1997WZ75400036</t>
  </si>
  <si>
    <t>Campos, AM; Escobar, J; Lissi, EA</t>
  </si>
  <si>
    <t>The total reactive antioxidant potential (TRAP) and total antioxidant reactivity (TAR) of Ilex paraguayensis extracts and red wine</t>
  </si>
  <si>
    <t>JOURNAL OF THE BRAZILIAN CHEMICAL SOCIETY</t>
  </si>
  <si>
    <t>The charge of antioxidants in Ilex paraguayensis extracts and in red wines were determined employing procedures based on the quenching of luminol chemiluminescence induced by free radicals and the bleaching of preformed radical cations derived from ABTS. Both methodologies give similar results, allowing the evaluation of the total reactive antioxidant potential (TRAP) and the total antioxidant reactivity (TAR) indexes. The results obtained employing both tea bags and dry tea leaves from different trademarks indicate that Ilex paraguayensis infusions present large TRAP values (in Trolox equivalents) of 6.6 +/- 1.3 mM (ABTS method) and 3.4 +/- 1.1 mM (luminol method). The TAR of the samples was 4.7 +/- 1.5 mM. These results, as well as those obtained for red wine, indicate that both beverages present high antioxidant concentrations, a fraction of which is constituted by compounds of high reactivity towards free radicals.</t>
  </si>
  <si>
    <t>0103-5053</t>
  </si>
  <si>
    <t>10.5935/0103-5053.19960007</t>
  </si>
  <si>
    <t>WOS:A1996TV23500008</t>
  </si>
  <si>
    <t>ASPEE, A; LISSI, E</t>
  </si>
  <si>
    <t>SOLUBILIZATION OF ALKANOLS IN DPPC LUVS - DEPENDENCE ON THE ALKANOL CONCENTRATION AND TOPOLOGY</t>
  </si>
  <si>
    <t>JOURNAL OF COLLOID AND INTERFACE SCIENCE</t>
  </si>
  <si>
    <t>The incorporation of 1-alkanols (1-octanol, 1-nonanol, and 1-decanol) and their isomers (2-nonanol, 5-nonanol, 2,6-dimethyl-4-heptanol, 3,7-dimethyl-3-octanol, and 3,7-dimethyl-1-octanol) into DPPC LUVs was evaluated by a procedure based on surface tension measurements. The fraction of the alkanols associated with the vesicles increases, for all the compounds considered, when the concentration in the aqueous phase increases, indicating cooperativity in the intravesicular solubilization process. This cooperativity is higher for the 1-alkanols than for their isomers. A pseudo-partition constant (K-V/W) was defined as the ratio between the intravesicular and the aqueous mole fraction of the alkanols. Values of K-V/W for the different alkanols were compared at a fixed (0.17) intravesicular mole fraction. Although the value of K-V/W is primarily determined by the alkanol hydrophobicity, the topology of the solute also plays a significant role. The data indicate that, when differences in hydrophobicity are taken into account, displacement of the hydroxyl group toward the center of the molecule and branching significantly reduce the incorporation of the alkanols into the vesicles. (C) 1995 Academic Press, Inc.</t>
  </si>
  <si>
    <t>0021-9797</t>
  </si>
  <si>
    <t>10.1006/jcis.1995.1450</t>
  </si>
  <si>
    <t>WOS:A1995RW12200029</t>
  </si>
  <si>
    <t>Arias, M; Sanhueza, H</t>
  </si>
  <si>
    <t>Kezunovic, M; Meyer, B; McLaren, PG; Sakaguchi, T; Sollero, RB</t>
  </si>
  <si>
    <t>Microcomputer-based simulator for small distribution systems</t>
  </si>
  <si>
    <t>ICDS '95 - DIGITAL POWER SYSTEM SIMULATORS, PROCEEDINGS</t>
  </si>
  <si>
    <t>1st International Conference on Digital Power Systems Simulators (ICDS 95)</t>
  </si>
  <si>
    <t>APR 05-07, 1995</t>
  </si>
  <si>
    <t>COLLEGE STN, TX</t>
  </si>
  <si>
    <t>Texas A&amp;M Univ,IEEE, Power Engn Soc,FPL Com,US DOE, W Area Power Adm,Natl Sci Fdn,Elect France,Elect Power Res Inst</t>
  </si>
  <si>
    <t>0-7803-3227-X</t>
  </si>
  <si>
    <t>WOS:A1995BF11C00039</t>
  </si>
  <si>
    <t>FINITE-DIMENSIONAL COMPENSATORS FOR LINEAR DISTRIBUTED CONTROL-SYSTEMS WITH DELAYS IN OUTPUTS</t>
  </si>
  <si>
    <t>JOURNAL OF MATHEMATICAL ANALYSIS AND APPLICATIONS</t>
  </si>
  <si>
    <t>0022-247X</t>
  </si>
  <si>
    <t>SEP 1</t>
  </si>
  <si>
    <t>10.1016/0022-247X(92)90105-M</t>
  </si>
  <si>
    <t>WOS:A1992JN52000007</t>
  </si>
  <si>
    <t>MATSUHIRO, B; URZUA, CC</t>
  </si>
  <si>
    <t>AGARS FROM CHILEAN GELIDIACEAE</t>
  </si>
  <si>
    <t>HYDROBIOLOGIA</t>
  </si>
  <si>
    <t>INTERNATIONAL WORKSHOP ON GELIDIUM</t>
  </si>
  <si>
    <t>SEP 03-08, 1990</t>
  </si>
  <si>
    <t>SANTANDER, SPAIN</t>
  </si>
  <si>
    <t>INT SEAWEED ASSOC,DIPUTAC REG CANTABRIA</t>
  </si>
  <si>
    <t>Cystocarpic, tetrasporic and vegetative thalli of Gelidium chilense were extracted with water at 95-degrees-C. The contents of 3,6-anhydro-galactose and sulfate group of the hydrocolloids correspond to those of an agar-type polysaccharide. The percentages of 6-O-methyl-galactose and of pyruvic acid ranged between 5.7-6.2% and 0.42-0.54%, respectively. The gel melting and gelation temperatures of Gelidium chilense, G. rex and G. lingulatum agars were determined. A correlation between 6-O-methylgalactose content and gelation temperatures was not observed. It was found by anion-exchange chromatography that 19.8% of tetrasporic and 4.9% of vegetative G. chilense agars are unsulfated polymers. Structural studies on the neutral fraction from tetrasporic G. chilense agar by partial hydrolysis and H-1 NMR spectroscopy have shown that it is mainly composed of agarose. Methylation analysis, oxidative hydrolysis and partial hydrolysis, followed by H-1 NMR spectroscopy, have shown that the neutral fraction of the agar from tetrasporic Gelidium rex is agarose. The results obtained in this work are compared with previously reported data on studies of agars from Chilean Gelidium species.</t>
  </si>
  <si>
    <t>0018-8158</t>
  </si>
  <si>
    <t>AUG 22</t>
  </si>
  <si>
    <t>10.1007/BF00028371</t>
  </si>
  <si>
    <t>WOS:A1991GP24600017</t>
  </si>
  <si>
    <t>PEREZ, P</t>
  </si>
  <si>
    <t>COLLISIONS BETWEEN A DAVYDOV SOLITON AND LATTICE SOLITONS</t>
  </si>
  <si>
    <t>PHYSICS LETTERS A</t>
  </si>
  <si>
    <t>0375-9601</t>
  </si>
  <si>
    <t>10.1016/0375-9601(89)90672-5</t>
  </si>
  <si>
    <t>WOS:A1989T853600008</t>
  </si>
  <si>
    <t>JABALQUINTO, AM; ALVEAR, M; CARDEMIL, E</t>
  </si>
  <si>
    <t>PHYSIOLOGICAL-ASPECTS AND MECHANISM OF ACTION OF MEVALONATE 5-DIPHOSPHATE DECARBOXYLASE</t>
  </si>
  <si>
    <t>COMPARATIVE BIOCHEMISTRY AND PHYSIOLOGY B-BIOCHEMISTRY &amp; MOLECULAR BIOLOGY</t>
  </si>
  <si>
    <t>1096-4959</t>
  </si>
  <si>
    <t>1879-1107</t>
  </si>
  <si>
    <t>10.1016/0305-0491(88)90321-5</t>
  </si>
  <si>
    <t>WOS:A1988P830300003</t>
  </si>
  <si>
    <t>ENCINAS, MV; LEMP, E; LISSI, EA</t>
  </si>
  <si>
    <t>INTERACTION OF SINGLET OXYGEN [O-2(1-DELTA)] WITH ALIPHATIC-AMINES AND HYDROXYLAMINES</t>
  </si>
  <si>
    <t>10.1039/p29870001125</t>
  </si>
  <si>
    <t>WOS:A1987J940700030</t>
  </si>
  <si>
    <t>ARAVENA, JL</t>
  </si>
  <si>
    <t>ON FEEDBACK FREE STOCHASTIC-PROCESSES</t>
  </si>
  <si>
    <t>IEEE TRANSACTIONS ON AUTOMATIC CONTROL</t>
  </si>
  <si>
    <t>0018-9286</t>
  </si>
  <si>
    <t>10.1109/TAC.1984.1103588</t>
  </si>
  <si>
    <t>WOS:A1984SV23300014</t>
  </si>
  <si>
    <t>ZAGAL, JH; PAEZ, M; STURM, J; URETAZANARTU, S</t>
  </si>
  <si>
    <t>ELECTROREDUCTION OF OXYGEN ON MIXTURES OF PHTHALOCYANINES CO-ADSORBED ON A GRAPHITE ELECTRODE</t>
  </si>
  <si>
    <t>zagal, jose/L-9648-2014; Paez, Maritza/M-2010-2014; Ureta-Zañartu, Maria/G-5239-2019</t>
  </si>
  <si>
    <t>paez, maritza/0000-0001-5881-884X</t>
  </si>
  <si>
    <t>10.1016/0368-1874(84)83637-0</t>
  </si>
  <si>
    <t>WOS:A1984AAM6200022</t>
  </si>
  <si>
    <t>LISSI, EA; ENCINA, MV</t>
  </si>
  <si>
    <t>POLYMERIZATION PHOTOSENSITIZED BY CARBONYL-COMPOUNDS</t>
  </si>
  <si>
    <t>10.1002/pol.1979.170170916</t>
  </si>
  <si>
    <t>WOS:A1979HL98700016</t>
  </si>
  <si>
    <t>Urrea, C; Vélez, M</t>
  </si>
  <si>
    <t>Urrea, Claudio; Velez, Maximiliano</t>
  </si>
  <si>
    <t>Enhancing Autonomous Visual Perception in Challenging Environments: Bilateral Models with Vision Transformer and Multilayer Perceptron for Traversable Area Detection</t>
  </si>
  <si>
    <t>The development of autonomous vehicles has grown significantly recently due to the promise of improving safety and productivity in cities and industries. The scene perception module has benefited from the latest advances in computer vision and deep learning techniques, allowing the creation of more accurate and efficient models. This study develops and evaluates semantic segmentation models based on a bilateral architecture to enhance the detection of traversable areas for autonomous vehicles on unstructured routes, particularly in datasets where the distinction between the traversable area and the surrounding ground is minimal. The proposed hybrid models combine Convolutional Neural Networks (CNNs), Vision Transformer (ViT), and Multilayer Perceptron (MLP) techniques, achieving a balance between precision and computational efficiency. The results demonstrate that these models outperform the base architectures in prediction accuracy, capturing distant details more effectively while maintaining real-time operational capabilities.</t>
  </si>
  <si>
    <t>Urrea, Claudio/0000-0001-7197-8928; Velez, Maximiliano/0009-0007-4171-4148</t>
  </si>
  <si>
    <t>10.3390/technologies12100201</t>
  </si>
  <si>
    <t>WOS:001341892800001</t>
  </si>
  <si>
    <t>Carrizo, JPA</t>
  </si>
  <si>
    <t>Carrizo, Juan Pablo Arancibia</t>
  </si>
  <si>
    <t>Hamartia, amatia and katastrophe: semantics of anagnorisis around a tragic-political langue</t>
  </si>
  <si>
    <t>HYBRIS-REVISTA DE FILOSOFIA</t>
  </si>
  <si>
    <t>This article examines the semantics of anagnorisis in the diegesis of Thucydides and the tragic poets. Linking the narrative corpus of Greek tragedy and of stasis in the democracy of Classical Greece, the text formulates two exercises: First, through the examination of some lexical items that constitute the semantic field of tragedy (hamartia, amatia and katastrophe), it is established a link between &lt;&lt; tragic &gt;&gt; flaw &gt;&gt; and anagnorisis that occur to the tragic hero and the Athenian citizen narrated by Thucydides. Second, through the investigation of the lexemes enunciated in the anagnorisis of the tragic hero and the Athenian citizen, with the notion of &lt;&lt; tragic syntagm &gt;&gt; , the article overlaps the semantic field of the tragic and historiographic diegesis to postulate the conjunction of a tragic-political langue in common.</t>
  </si>
  <si>
    <t>0718-8382</t>
  </si>
  <si>
    <t>10.5281/zenodo.10951755</t>
  </si>
  <si>
    <t>WOS:001206994300004</t>
  </si>
  <si>
    <t>Fernandez-Grandon, C; Alavia, W; Soto, I</t>
  </si>
  <si>
    <t>Fernandez-Grandon, Carlos; Alavia, Wilson; Soto, Ismael</t>
  </si>
  <si>
    <t>Hybrid model for estimating State of Charge of lithium-ion batteries</t>
  </si>
  <si>
    <t>2024 14TH INTERNATIONAL SYMPOSIUM ON COMMUNICATION SYSTEMS, NETWORKS AND DIGITAL SIGNAL PROCESSING, CSNDSP 2024</t>
  </si>
  <si>
    <t>International Symposium on Communication Systems Networks and Digital Signal Processing</t>
  </si>
  <si>
    <t>14th International Symposium on Communication Systems, Networks and Digital Signal Processing (CSNDSP)</t>
  </si>
  <si>
    <t>JUL 17-19, 2024</t>
  </si>
  <si>
    <t>Rome, ITALY</t>
  </si>
  <si>
    <t>The objective of this study is to develop hybrid models to estimate the state of charge (SoC) of lithium-ion batteries (LiB). An LiB dataset from Bayerische Motoren Werke (BMW) i3 60Ah containing physical variables such as voltage, current, and temperature was studied, and a fourth variable was derived, which was the charge obtained by integrating the current over time. The parameters of the equivalent circuit of an RC branch (ECM1RC) were estimated, and Machine Learning (ML) models were trained and evaluated for regression, such as the Extreme Learning Machine (ELM), Decision Tree (DT), and a combination of these, through hybrid and ensemble models and through Linear Regression (LR) to increase the individual performance of the models. After 5 folds of cross-validation and subsequent testing on a Raspberry Pi 4, a fitting curve R-2 of 0.9999 and RMSE of 0.0018% were obtained for the ECM1RC+DT hybrid model using 100,232 testing data. In addition, using the same models retrained using the National Aeronautics and Space Administration (NASA) 18650 LiB data, an R-2 of 1.0, and an RMSE of 0.0% were obtained for the ECM1RC+DT using 201,501 testing data.</t>
  </si>
  <si>
    <t>Alavia, Wilson/AGY-3117-2022</t>
  </si>
  <si>
    <t>, Carlos Fernandez-Grandon/0009-0005-9613-2415</t>
  </si>
  <si>
    <t>2475-6415</t>
  </si>
  <si>
    <t>979-8-3503-4875-0; 979-8-3503-4874-3</t>
  </si>
  <si>
    <t>10.1109/CSNDSP60683.2024.10636680</t>
  </si>
  <si>
    <t>WOS:001324588800085</t>
  </si>
  <si>
    <t>Pulido, WQ; Pavez, L</t>
  </si>
  <si>
    <t>Pulido, Wilfredo Quezada; Pavez, Luis</t>
  </si>
  <si>
    <t>PHYSICAL ENTITIES AND SPATIOTEMPORAL JUNK. A CRITICAL RECONSTRUCTION OF P. DOWE'S PHYSICAL ONTOLOGY</t>
  </si>
  <si>
    <t>REVISTA COLOMBIANA DE FILOSOFIA DE LA CIENCIA</t>
  </si>
  <si>
    <t>A classic challenge for any theory of physical causation based on conserved quantities and formulated within the framework of special relativity theory, has been to distinguish two regions, that of genuine causal relationships and that of those spurious or noncausal ones. In the causal processes theory defended by P. Dowe, this is done by introducing a criterion based on the possession of a conserved quantity, which would seem to efficiently demarcate between causal processes and causal pseudoprocesses. However, faced with criticism about the inadequacy of his criteria, Dowe has proposed modifying his physical ontology and introducing, along with processes and pseudo-processes, two types of physical gerrymander entities, both temporal and spatial. In this article, we analyze and criticize, from the perspective of ERT, Dowe's characterization of these quasi-entities and the theoretical need to make a clear-cut distinction between them. This implies a fundamental modification of Dowe's ontology and raises other doubts about its original motivation.</t>
  </si>
  <si>
    <t>0124-4620</t>
  </si>
  <si>
    <t>2463-1159</t>
  </si>
  <si>
    <t>10.18270/rcfc.4303</t>
  </si>
  <si>
    <t>WOS:001267919900005</t>
  </si>
  <si>
    <t>OFFICIAL HISTORY OF CHILEAN POETRY</t>
  </si>
  <si>
    <t>ANALES DE LITERATURA CHILENA</t>
  </si>
  <si>
    <t>0717-6058</t>
  </si>
  <si>
    <t>0719-0913</t>
  </si>
  <si>
    <t>WOS:001178769900033</t>
  </si>
  <si>
    <t>Vota, SS</t>
  </si>
  <si>
    <t>Vota, Silvina Sosa</t>
  </si>
  <si>
    <t>TERROR IN THE GRAY. POLITICAL VIOLENCE AFTER THE WAR OF THE PACIFIC</t>
  </si>
  <si>
    <t>UNIVERSUM-REVISTA DE HUMANIDADES Y CIENCIAS SOCIALES</t>
  </si>
  <si>
    <t>0718-2376</t>
  </si>
  <si>
    <t>0716-498X</t>
  </si>
  <si>
    <t>10.4067/S0718-23762023000100323</t>
  </si>
  <si>
    <t>WOS:001023895400019</t>
  </si>
  <si>
    <t>Sandoval, EA</t>
  </si>
  <si>
    <t>Sandoval, Esteban Arratia</t>
  </si>
  <si>
    <t>Negotiating Lives: Criminal agendas and gang truce under the Peace Triangle</t>
  </si>
  <si>
    <t>REVISTA CIENTIFICA GENERAL JOSE MARIA CORDOVA</t>
  </si>
  <si>
    <t>How do criminal agendas affect a peace process with violent non-state actors? This article endeavors to resolve this question by presenting a qualitative analysis of the gang truce in El Salvador during the government of Mauricio Funes, using the Peace Triangle as an analytical framework based on three study variables: issues, behavior, and attitudes. It aims to make a double contribution to peace studies, filling a gap in academic knowledge about the sustainability of peace processes and examining the relationship between criminal agendas and conflict resolution. The study reveals that the former Salvadoran president's inadequate management of criminal agendas transformed the peace negotiation into a damage control strategy, as it was not intended to modify the scale of gang-committed predatory crimes but rather, to shape its behavior.</t>
  </si>
  <si>
    <t>1900-6586</t>
  </si>
  <si>
    <t>2500-7645</t>
  </si>
  <si>
    <t>OCT-DEC</t>
  </si>
  <si>
    <t>10.21830/19006586.973</t>
  </si>
  <si>
    <t>WOS:001296528400014</t>
  </si>
  <si>
    <t>Godoy, C</t>
  </si>
  <si>
    <t>Godoy, Camilo</t>
  </si>
  <si>
    <t>Lithium Mining in Chile and Social Conflict: A Look at the Political-Commercial, Geopolitical and Socio-Enviromental Aspects from a Intermestic Perspective</t>
  </si>
  <si>
    <t>The present work seeks to investigate the social conflict associated with mining in Chile, from three dimensions: political-commercial, geopolitical and socio- environmental. For this purpose, a methodology for document review on the topic was used, putting emphasis on the international legislation in force in our country. The theoretical focus is based on the intermestic concept, which seeks to describe phenomena with an indissoluble link between the national and the international, in addition to the concepts of aperturismo, and extractivism. The current state of lithium mining in the country does not allow for a greater development in terms of added value, at the same time that it favors the transgression of international obligations in matters of indigenous consultation and protection of the environment by a highly economistic approach. As a conclusion, a critical review of the promotion of green development policies such as electromobility is proposed, favoring a more detailed observation on the unequal impacts in socio-environmental terms in the international concert and the North/South inequalities, expressed at the local level.</t>
  </si>
  <si>
    <t>10.35588/estudav.v0i36.5650</t>
  </si>
  <si>
    <t>WOS:000835672800006</t>
  </si>
  <si>
    <t>Varas, S; Elorrieta, F; Vargas, C; Dintrans, PV; Castillo, C; Martinez, Y; Ayala, A; Maddaleno, M</t>
  </si>
  <si>
    <t>Varas, Simon; Elorrieta, Felipe; Vargas, Claudio; Dintrans, Pablo Villalobos; Castillo, Claudio; Martinez, Yerko; Ayala, Andres; Maddaleno, Matilde</t>
  </si>
  <si>
    <t>Factors associated with change in adherence to COVID-19 personal protection measures in the Metropolitan Region, Chile</t>
  </si>
  <si>
    <t>PLOS ONE</t>
  </si>
  <si>
    <t>Personal protective measures such use of face masks, hand washing and physical distancing have proven to be effective in controlling the spread of the Covid-19 pandemic. However, adherence to these measures may have been relaxed over time. The objective of this work is to assess the change in adherence to these measures and to find factors that explain the change For this purpose, we conducted a survey in the Metropolitan Region of Chile in which we asked the adherence to these measures in August-September 2021 and retrospectively for 2020. With the answers obtained we fit a logistic regression model in which the response variable is the relaxation of each of the self-care preventive actions. The explanatory variables used are socio-demographic characteristics such as the age, sex, income, and vaccination status of the respondents. The results obtained show that there has been a significant decrease in adherence to the three personal protection measures in the Metropolitan Region of Chile. In addition, it was observed that younger people are more likely to relax these measures. The results show the importance of generating new incentives for maintaining adherence to personal protection measures.</t>
  </si>
  <si>
    <t>Elorrieta, Felipe/AAX-2057-2020; Vargas, Claudio/AAX-6076-2020; Dintrans, Pablo/AAM-6248-2020</t>
  </si>
  <si>
    <t>Elorrieta, Felipe/0000-0002-1835-7433; Villalobos Dintrans, Pablo/0000-0002-2236-6447</t>
  </si>
  <si>
    <t>1932-6203</t>
  </si>
  <si>
    <t>MAY 12</t>
  </si>
  <si>
    <t>e0267413</t>
  </si>
  <si>
    <t>10.1371/journal.pone.0267413</t>
  </si>
  <si>
    <t>WOS:000868164600024</t>
  </si>
  <si>
    <t>Donoso, BAG; Avudaiappan, S; Flores, EIS</t>
  </si>
  <si>
    <t>Galaz Donoso, Belfor A.; Avudaiappan, Siva; Saavedra Flores, Erick, I</t>
  </si>
  <si>
    <t>Feasibility of Using Shear Wave Ultrasonic Probes as Pump-Wave Sources in Concrete Microcrack Detection and Monitoring by Nonlinear Ultrasonic Coda Wave Interferometry</t>
  </si>
  <si>
    <t>This paper represents a first attempt to study the feasibility of using shear wave (SW) ultrasonic probes as pump-wave sources in concrete microcrack detection and monitoring by Nonlinear Ultrasonic Coda Wave Interferometry (NCWI). The premise behind our study is that the nonlinear elastic hysteretic behavior at microcracks may depend on their orientation with respect to the stationary wave-field induced by the pump-wave source. In this context, the use of a SW probe as a pump-wave source may induce the nonlinear elastic behavior of microcracks oriented in directions not typically detected by a conventional longitudinal pump-wave source. To date, this premise is hard to address by current experimental and numerical methods, however, the feasibility of using SW probes as a pump-wave source can be experimentally tested. This idea is the main focus of the present work. Under laboratory conditions, we exploit the high sensitivity of the CWI technique to capture the transient weakening behaviour induced by the SW pump-wave source in concrete samples subjected to loading and unloading cycles. Our results show that after reaching a load level of 40% of the ultimate stress, the material weakening increases as a consequence of microcrack proliferation, which is consistent with previous studies. Despite the lack of exhaustive experimental studies, we believe that our work is the first step in the formulation of strategies that involve an appropriate selection and placement of pump-wave sources to improve the NCWI technique. These improvements may be relevant to convert the NCWI technique into a more suitable non-destructive testing technique for the inspection of microcracking evolution in concrete structures and the assessment of their structural integrity.</t>
  </si>
  <si>
    <t>Avudaiappan, Siva/AAV-7579-2021; Flores, Erick/I-7646-2012</t>
  </si>
  <si>
    <t>AVUDAIAPPAN, SIVA/0000-0002-4289-4298</t>
  </si>
  <si>
    <t>10.3390/s22062105</t>
  </si>
  <si>
    <t>WOS:000774346700001</t>
  </si>
  <si>
    <t>Riquelme, E; Chavez, H; Barbosa, KA</t>
  </si>
  <si>
    <t>Riquelme, Esteban; Chavez, Hector; Acosta Barbosa, Karina</t>
  </si>
  <si>
    <t>RoCoF-Minimizing H2 Norm Control Strategy for Multi-Wind Turbine Synthetic Inertia</t>
  </si>
  <si>
    <t>IEEE ACCESS</t>
  </si>
  <si>
    <t>The reduction in system inertia under the penetration of power electronic-interfaced generation has fostered various proposals on wind synthetic inertia. Several works in the state of the art propose control strategies to optimize synthetic inertia performance; however, most of the performance metrics indirectly represent frequency control adequacy indicators such as rate of change of frequency or frequency nadir. Also, control definitions assume that there is one variable speed wind turbine and one controller, which limits the applicability of the proposals as power systems normally count with various wind turbines/farms over extended geographical areas with different wind regimes. This work presents a H-2 optimal control approach for a variable speed wind turbine synthetic inertia controller. First, the objective of the formulation is to explicitly minimize the rate of change of power system frequency. Second, a stability proof for the multi-wind turbine case is proposed, allowing optimal controllers to be independently implemented for an arbitrary number of wind turbines and wind regimes. The effectiveness of the proposed control scheme is demonstrated with a numerical example, considering an empirically-validated, reduced-order model of the Electric Reliability Council of Texas frequency dynamics.</t>
  </si>
  <si>
    <t>Barbosa, Karina/A-2236-2014</t>
  </si>
  <si>
    <t>Barbosa, Karina A./0000-0001-7183-2662</t>
  </si>
  <si>
    <t>2169-3536</t>
  </si>
  <si>
    <t>10.1109/ACCESS.2022.3149273</t>
  </si>
  <si>
    <t>WOS:000760736200001</t>
  </si>
  <si>
    <t>Ayala, A; Dintrans, PV; Elorrieta, F; Castillo, C; Vargas, C; Maddaleno, M</t>
  </si>
  <si>
    <t>Ayala, Andres; Villalobos Dintrans, Pablo; Elorrieta, Felipe; Castillo, Claudio; Vargas, Claudio; Maddaleno, Matilde</t>
  </si>
  <si>
    <t>Identification of COVID-19 Waves: Considerations for Research and Policy</t>
  </si>
  <si>
    <t>INTERNATIONAL JOURNAL OF ENVIRONMENTAL RESEARCH AND PUBLIC HEALTH</t>
  </si>
  <si>
    <t>The identification of COVID-19 waves is a matter of the utmost importance, both for research and decision making. This study uses COVID-19 information from the 52 municipalities of the Metropolitan Region, Chile, and presents a quantitative method-based on weekly accumulated incidence rates-to define COVID-19 waves. We explore three different criteria to define the duration of a wave, and performed a sensitivity analysis using multivariate linear models to show their commonalities and differences. The results show that, compared to a benchmark definition (a 100-day wave), the estimations using longer periods of study are worse in terms of the model's overall fit (adjusted R-2). The article shows that defining a COVID-19 wave is not necessarily simple, and has consequences when performing data analysis. The results highlight the need to adopt well-defined and well-justified definitions for COVID-19 waves, since these methodological choices can have an impact in research and policy making.</t>
  </si>
  <si>
    <t>Elorrieta, Felipe/AAX-2057-2020; Dintrans, Pablo/AAM-6248-2020; Vargas, Claudio/AAX-6076-2020</t>
  </si>
  <si>
    <t>VARGAS, CLAUDIO/0000-0002-8705-0873; Castillo, Claudio A./0000-0001-8925-2236; Villalobos Dintrans, Pablo/0000-0002-2236-6447; Ayala, Andres/0000-0002-4181-5746; Elorrieta, Felipe/0000-0002-1835-7433; maddaleno, matilde/0000-0001-8725-4086</t>
  </si>
  <si>
    <t>1660-4601</t>
  </si>
  <si>
    <t>10.3390/ijerph182111058</t>
  </si>
  <si>
    <t>WOS:000718493400001</t>
  </si>
  <si>
    <t>Espinosa-Méndez, C</t>
  </si>
  <si>
    <t>Espinosa-Mendez, Christian</t>
  </si>
  <si>
    <t>Integration of financial markets during COVID-19: a dynamic correlation analysis on Euronext</t>
  </si>
  <si>
    <t>APPLIED ECONOMICS LETTERS</t>
  </si>
  <si>
    <t>This article investigates the reaction of integrated financial markets to the COVID-19 pandemic. Using a dynamic conditional correlation model on Euronext Stock Exchange, I find that the integration of financial markets can act as a buffer against negative shocks such as COVID-19. However, this benefit begins to fade as the number of deaths from COVID-19 increases. In this case, a negative relationship with the dynamic correlation is found in some pairs of member countries.</t>
  </si>
  <si>
    <t>Espinosa-Méndez, Christian/G-5177-2019</t>
  </si>
  <si>
    <t>Espinosa-Mendez, Christian/0000-0001-6499-2414</t>
  </si>
  <si>
    <t>1350-4851</t>
  </si>
  <si>
    <t>1466-4291</t>
  </si>
  <si>
    <t>FEB 6</t>
  </si>
  <si>
    <t>10.1080/13504851.2021.1983133</t>
  </si>
  <si>
    <t>OCT 2021</t>
  </si>
  <si>
    <t>WOS:000711341000001</t>
  </si>
  <si>
    <t>Guerra, I</t>
  </si>
  <si>
    <t>Guerra, Ignacio</t>
  </si>
  <si>
    <t>A SEMILINEAR PROBLEM WITH A GRADIENT TERM IN THE NONLINEARITY</t>
  </si>
  <si>
    <t>DISCRETE AND CONTINUOUS DYNAMICAL SYSTEMS</t>
  </si>
  <si>
    <t>We consider the following semilinear problem with a gradient term in the nonlinearity -Delta u = lambda (1 + |Sigma u|(q))/(1 - u)(p) in Omega, u &gt; 0 in Omega, u = 0 on partial derivative Omega. where lambda, p, q &gt; 0 and Omega be a bounded, smooth domain in R-N. We prove that when Omega is a unit ball and p = 1 for q is an element of (0, q*(N)) with q*(N) is an element of (1, 2), we have infinitely many radial solutions for 2 &lt;= N &lt; 2 6-q+2 root 8-2q/(2-q)(2) + 1 and lambda = &lt;(lambda)over tilde&gt;. On the other hand, for N &gt; 26-q+2 root 8-2q/(2-q)(2) +1 there exists a unique radial solution for 0 &lt; lambda &lt; (lambda) over tilde.</t>
  </si>
  <si>
    <t>1078-0947</t>
  </si>
  <si>
    <t>1553-5231</t>
  </si>
  <si>
    <t>10.3934/dcds.2021110</t>
  </si>
  <si>
    <t>AUG 2021</t>
  </si>
  <si>
    <t>WOS:000706703200001</t>
  </si>
  <si>
    <t>Bravo, J; Lizama, C; Rueda, S</t>
  </si>
  <si>
    <t>Bravo, Jennifer; Lizama, Carlos; Rueda, Silvia</t>
  </si>
  <si>
    <t>Second and third order forward difference operator: what is in between?</t>
  </si>
  <si>
    <t>REVISTA DE LA REAL ACADEMIA DE CIENCIAS EXACTAS FISICAS Y NATURALES SERIE A-MATEMATICAS</t>
  </si>
  <si>
    <t>In this article, we present a new geometrical notion for a real-valued function defined in a discrete domain that depends on a parameter alpha &gt;= 2. We give examples to illustrate connections between convexity and this new concept. We then prove two criteria based on the sign of the discrete fractional operator of a function u, Delta(alpha)u with 2 &lt;= alpha &lt; 4. Two examples show that the given criteria are optimal with respect to the established geometrical notion.</t>
  </si>
  <si>
    <t>; Lizama, Carlos/E-5909-2011</t>
  </si>
  <si>
    <t>Rueda, Silvia/0000-0001-7031-1718; Lizama, Carlos/0000-0002-9807-1100</t>
  </si>
  <si>
    <t>1578-7303</t>
  </si>
  <si>
    <t>1579-1505</t>
  </si>
  <si>
    <t>MAR 22</t>
  </si>
  <si>
    <t>10.1007/s13398-021-01015-5</t>
  </si>
  <si>
    <t>WOS:000632702300002</t>
  </si>
  <si>
    <t>Henríquez-Vargas, L; Reyes, A; Quiroga, M; Angel, F; Pailahueque, N; Donoso-García, P</t>
  </si>
  <si>
    <t>Henriquez-Vargas, L.; Reyes, A.; Quiroga, M.; Angel, F.; Pailahueque, N.; Donoso-Garcia, P.</t>
  </si>
  <si>
    <t>Thermoelectric generation in a PCM-based energy accumulator</t>
  </si>
  <si>
    <t>HEAT AND MASS TRANSFER</t>
  </si>
  <si>
    <t>An existing laboratory scale solar energy accumulator based on phase change materials was adapted to study experimental and analytically its thermoelectric capabilities. Electric power generation levels were assessed to energize low powered systems. Variables of the study were the circulating air velocity at two levels and the cooling convection mechanism on the cold face of the thermoelectric modules. Temperature measurements were made for the circulating air, phase change material and thermoelectric module faces, complementing with voltage measurements for the equivalent electrical circuit. Energy balances carried out in all phases procured three expressions to calculate the efficiencies of air heating and conversion to electrical work. During an hour of operation the system provided electric power within the range 1-65 mW, being this sufficient to energize modern wireless sensors. The use of more thermoelectric modules could produce more electric power without a significant impact on the air heating efficiencies due to the low heat extraction of the modules.</t>
  </si>
  <si>
    <t>Donosoga, Pablo/HZI-2632-2023; Henríquez-Vargas, Luis/Q-3617-2019; Pailahueque, Nicolas/GYA-3286-2022</t>
  </si>
  <si>
    <t>Donoso Garcia, Pablo/0000-0001-9839-8691; Henriquez-Vargas, Luis/0000-0002-6825-8505; Pailahueque Barahona, Nicolas/0009-0006-3051-3888</t>
  </si>
  <si>
    <t>0947-7411</t>
  </si>
  <si>
    <t>1432-1181</t>
  </si>
  <si>
    <t>10.1007/s00231-021-03019-8</t>
  </si>
  <si>
    <t>FEB 2021</t>
  </si>
  <si>
    <t>WOS:000614349700001</t>
  </si>
  <si>
    <t>Gonzalez-Ibanez, R; Chourio-Acevedo, L; Gacitua, D; Marquez, C; Mellado, J; Villarreal, F; Becerra, C; Kohler, J; Proano-Rios, V; Joglar, C; Contreras-Moral, C; Ponce, HR; Silva, J</t>
  </si>
  <si>
    <t>Gonzalez-Ibanez, Roberto; Chourio-Acevedo, Luz; Gacitua, Daniel; Marquez, Camila; Mellado, Jose; Villarreal, Fernando; Becerra, Cristobal; Kohler, Jacqueline; Proano-Rios, Veronica; Joglar, Carol; Contreras-Moral, Catalina; Ponce, Hector R.; Silva, Juan</t>
  </si>
  <si>
    <t>Let's Play: Toward an Effective Approach to Assess Online Inquiry Competences at School Level</t>
  </si>
  <si>
    <t>2021 40TH INTERNATIONAL CONFERENCE OF THE CHILEAN COMPUTER SCIENCE SOCIETY (SCCC)</t>
  </si>
  <si>
    <t>40th International Conference of the Chilean-Computer-Science-Society (SCCC)</t>
  </si>
  <si>
    <t>NOV 15-19, 2021</t>
  </si>
  <si>
    <t>Univ La Serena, La Serena, CHILE</t>
  </si>
  <si>
    <t>Chilean Comp Sci Soc</t>
  </si>
  <si>
    <t>Univ La Serena</t>
  </si>
  <si>
    <t>In the current information age, information literacy is crucial to face the overwhelming amount of content on the Web. Specifically, knowing and being capable of searching for information, assessing information sources, identifying main ideas, and using information to solve problems, constitute a set of fundamental competences for online inquiry. At school level, this set of competences, which can be referred to as online inquiry competences (OIC), are necessary not only to deal with school assignments, but also with daily life where exposure to web content is quite common even at an early age. Given its importance, a major problem is how to effectively assess students' OIC. To address this problem, in this article we first offer a review and comparison of different approaches to tackle OIC assessment and then, based on the results of our review, we introduce the Trivia and Adventure serious games platforms, which are designed to engage students and support the assessment of OIC at school level. These games are unique because of their open source orientation, innovative approach to assess OIC through behavioral data, user-centered design, flexibility, and potential to be used by both researchers and teachers, who will be empowered to create their own studies and assessments.</t>
  </si>
  <si>
    <t>Márquez, Camila/ITT-1306-2023; Ponce, Hector/H-9545-2019; Köhler, Jacqueline/HOC-7820-2023</t>
  </si>
  <si>
    <t>Silva Quiroz, Juan Eusebio/0000-0002-9817-402X; Kohler, Jacqueline/0000-0002-9506-2989; Proano-Rios, Veronica/0000-0001-8993-7489</t>
  </si>
  <si>
    <t>978-1-6654-0956-8</t>
  </si>
  <si>
    <t>10.1109/SCCC54552.2021.9650401</t>
  </si>
  <si>
    <t>WOS:000765927700021</t>
  </si>
  <si>
    <t>Labarca, M</t>
  </si>
  <si>
    <t>Labarca, Mariana</t>
  </si>
  <si>
    <t>Beyond financial mismanagement Interdictions by reason of demenza</t>
  </si>
  <si>
    <t>ITINERARIES AND LANGUAGES OF MADNESS IN THE EARLY MODERN WORLD: Family Experience, Legal Practice, and Medical Knowledge in Eighteenth-Century Tuscany</t>
  </si>
  <si>
    <t>Routledge Studies in Renaissance and Early Modern Worlds of Knowledge</t>
  </si>
  <si>
    <t>978-0-367-52829-4; 978-1-003-05855-7; 978-0-367-52828-7</t>
  </si>
  <si>
    <t>10.4324/9781003058557</t>
  </si>
  <si>
    <t>WOS:000807304300004</t>
  </si>
  <si>
    <t>Carrasco, CN; Valenzuela, BD</t>
  </si>
  <si>
    <t>Norambuena Carrasco, Carmen; Duhalde Valenzuela, Byron</t>
  </si>
  <si>
    <t>Hukou, register of households in China: challenges of internal migration (1958-2018)</t>
  </si>
  <si>
    <t>SI SOMOS AMERICANOS-REVISTA DE ESTUDIOS TRANSFRONTERIZOS</t>
  </si>
  <si>
    <t>Internal migration in China became a demographic problem in the early days of the People's Republic due to the inequality between rural and urban populations. To exercise more effective control, the government introduced the hukou system in 1958, which linked people to their place of birth, thus deepening the inequalities between the two areas. Sixty years after its implementation, this system has undergone various reforms, although its purpose remains the same. In the 21st century, the programme's objective is to control migration from the rural sector to the city so as not to overpopulate the country's megacities, maintaining the balance between internal migration and economic growth. This article offers a historical examination of institutional characteristics and a review of official documentation and the domestic press. The authors reflect on how this approach continues the institutionalised limitation of internal migration movements in the country, despite the social and economic transformations of China, and reforms to the system in the last decade.</t>
  </si>
  <si>
    <t>Duhalde, Byron/KIB-6636-2024</t>
  </si>
  <si>
    <t>0718-2910</t>
  </si>
  <si>
    <t>0719-0948</t>
  </si>
  <si>
    <t>10.4067/S0719-09482021000100152</t>
  </si>
  <si>
    <t>WOS:000680822300007</t>
  </si>
  <si>
    <t>Retamales, N; Chavez, H</t>
  </si>
  <si>
    <t>Retamales, Nicolas; Chavez, Hector</t>
  </si>
  <si>
    <t>Frequency-responsive Appliances: The case of Chile</t>
  </si>
  <si>
    <t>The growing concerns on the deterioration of frequency control and inertia levels due to renewable integration has lead to an increasing interest in new ways to improve the frequency response of power systems. In such a scenario, demand response from house appliances has been proposed for as a contribution in this sense. This work presents an study on the impact of the integration of frequency-responsive fridges on the Chilean Power System. A simulation is provided to show numerical results.</t>
  </si>
  <si>
    <t>10.1109/ICAACCA51523.2021.9465174</t>
  </si>
  <si>
    <t>WOS:000855764500066</t>
  </si>
  <si>
    <t>Schilkrut, YZ</t>
  </si>
  <si>
    <t>Schilkrut, Yael Zaliasnik</t>
  </si>
  <si>
    <t>Theatricality of Power in Chile Today</t>
  </si>
  <si>
    <t>ANAGNORISIS-REVISTA DE INVESTIGACION TEATRAL</t>
  </si>
  <si>
    <t>Georges Balandier takes the concept of 'theatercracy', from the director, playwright and historian of the Russian theater of the 1920s, Nikolai Evreinov. This concept is useful today to understand certain elements in the development of the social movement that began in Chile in October 2019. For better understanding of this, in this article, we will analyze some of the messages / actions of both, the power of domination and the power of resistance, in the scenario of this national social. Following Balandier, we will look for elements in common between his theories and what has happened in this country.</t>
  </si>
  <si>
    <t>2013-6986</t>
  </si>
  <si>
    <t>WOS:000596881500014</t>
  </si>
  <si>
    <t>Laporte, D; González, A; Moenne, A</t>
  </si>
  <si>
    <t>Laporte, Daniel; Gonzalez, Alberto; Moenne, Alejandra</t>
  </si>
  <si>
    <t>Copper-Induced Activation of MAPKs, CDPKs and CaMKs Triggers Activation of Hexokinase and Inhibition of Pyruvate Kinase Leading to Increased Synthesis of ASC, GSH and NADPH inUlva compressa</t>
  </si>
  <si>
    <t>FRONTIERS IN PLANT SCIENCE</t>
  </si>
  <si>
    <t>In order to analyze whether copper induces activation of CaMK, CDPK and/or MAPK signaling pathways leading to carbon flux reprogramming and to the synthesis of ascorbate (ASC), glutathione (GSH) and NADPH in order to buffer copper-induced oxidative stress,U. compressawas initially cultivated with 10 mu M copper for 0 to 10 days. The activities of hexokinase (HK), pyruvate kinase (PK), L-galactone 1,4 lactone dehydrogenase (L-GLDH) and glucose 6-P dehydrogenase (G6PDH) were analyzed. HK activity was increased whereas PK was inhibited, and L-GLDH and G6PDH activities were increased indicating a copper-induced modulation of glycolysis leading to carbon flux reprogramming. Then, the alga was cultivated with an inhibitor of CaMs and CaMKs, CDPKs and MAPKs, and with 10 mu M of copper for 5 days and the activities of HK, PK, L-GLDH, G6PDH and glutathione synthase (GS), the levels of ASC/DHA, GSG/GSSG and NADPH/NADP, the levels of superoxide anions (SA) and hydrogen peroxide (HP) and the integrity of plasma membrane were determined. The activation of HK was dependent on MAPKs, the inhibition of PK on CDPKs/MAPKs, the activation of L-GLDH on MAPKs, the activation GS on CDPKs/MAPKs, and the activation of G6PDH on MAPKs. Increases in the level of ASC/DHA were dependent on activation of CaMKs/CDPKs/MAPKs, those of GSG/GSSG on MAPKs and those NADPH/NADP on CaMKs/CDPKs/MAPKs. The accumulation of superoxide anions and hydrogen peroxide and the integrity of plasma membrane were dependent on CaMKs/CDPKs/MAPKs. Thus, copper induced the activation of MAPKs, CDPKs and CaMKs leading to the modulation of glycolysis and carbon flux reprogramming which trigger an increase in ASC, GSH and NADPH syntheses and the activation of antioxidant enzymes in order to buffer copper-induced oxidative stress inU. compressa.</t>
  </si>
  <si>
    <t>Figueroa, Alberto/AAA-7911-2020</t>
  </si>
  <si>
    <t>Moenne, Alejandra/0000-0002-7309-9713; Gonzalez Figueroa, Alberto/0000-0002-5777-9022</t>
  </si>
  <si>
    <t>1664-462X</t>
  </si>
  <si>
    <t>JUL 9</t>
  </si>
  <si>
    <t>10.3389/fpls.2020.00990</t>
  </si>
  <si>
    <t>WOS:000555807800001</t>
  </si>
  <si>
    <t>Lizarraga, AP; Rodríguez, SG</t>
  </si>
  <si>
    <t>Pavez Lizarraga, Amaya; Gonzalez Rodriguez, Sergio</t>
  </si>
  <si>
    <t>CONSTRUCTION OF RAILWAY MASCULINITY AND CULTURE: THE CHILEAN STATE RAILWAY COMPANY, 1857-1980</t>
  </si>
  <si>
    <t>TZINTZUN-REVISTA DE ESTUDIOS HISTORICOS</t>
  </si>
  <si>
    <t>The railway culture has been a space for the reproduction of hegemonic masculinity in practically the entire world. In Chile, for more than 160 years, the State Railway Company was established in a secularized space in which transversely, in all its states, the categories of an exclusive and closed masculinity group were reproduced. The conditions of this process of gender construction in the company of the most important State in the country for territorial articulation and connectivity are analyzed. Its relevance is marked by being the model institution in Fordist industrialization from the mid-nineteenth century until its decline at the end of the twentieth century. The areas of socialization of masculinities in the railway world are characterized in the context of a culture that makes feminine invisible by relegating it to a vicarious alterity.</t>
  </si>
  <si>
    <t>1870-719X</t>
  </si>
  <si>
    <t>2007-963X</t>
  </si>
  <si>
    <t>WOS:000569028000005</t>
  </si>
  <si>
    <t>Bachelet, VC</t>
  </si>
  <si>
    <t>Bachelet, Vivienne C.</t>
  </si>
  <si>
    <t>Do we know the diagnostic properties of the tests used in COVID-19? A rapid review of recently published literature</t>
  </si>
  <si>
    <t>COVID-19 has brought death and disease to large parts of the world. Governments must deploy strategies to screen the population and subsequently isolate the suspect cases. Diagnostic testing is critical for epidemiological surveillance, but the accuracy (sensitivity and specificity) and clinical utility (impact on health outcomes) of the current diagnostic methods used for SARS-CoV-2 detection are not known. I ran a quick search in PubMed/MEDLINE to find studies on laboratory diagnostic tests and rapid viral diagnosis. After running the search strategies, I found 47 eligible articles that I discuss in this review, commenting on test characteristics and limitations. I did not rind any papers that report on the clinical utility of the tests currently used for COVID-19 detection, meaning that we are fighting a battle without proper knowledge of the proportion of false negatives that current testing is resulting in. This shortcoming should not be overlooked as it might hamper national efforts to contain the pandemic through testing community-based suspect cases.</t>
  </si>
  <si>
    <t>Bachelet, Vivienne/JAN-7158-2023</t>
  </si>
  <si>
    <t>Bachelet, Vivienne C./0000-0002-5715-9755</t>
  </si>
  <si>
    <t>e7891</t>
  </si>
  <si>
    <t>10.5867/medwave.2020.03.7891</t>
  </si>
  <si>
    <t>WOS:000544225100012</t>
  </si>
  <si>
    <t>González-Camus, J; Lizama, C</t>
  </si>
  <si>
    <t>Gonzalez-Camus, Jorge; Lizama, Carlos</t>
  </si>
  <si>
    <t>GLOBALLY ATTRACTIVE MILD SOLUTIONS FOR NON-LOCAL IN TIME SUBDIFFUSION EQUATIONS OF NEUTRAL TYPE</t>
  </si>
  <si>
    <t>TOPOLOGICAL METHODS IN NONLINEAR ANALYSIS</t>
  </si>
  <si>
    <t>We prove the existence of at least one globally attractive mild solution to the equation partial derivative(t) (b * [x -h(., x(.))])(t) + A(x(t) - h (t,x(t))) = f(t, x(t)), t &gt;= 0, under the assumption, among other hypothesis, that A is an almost sectorial operator on a Banach space X and the kernel b belongs to a large class, which covers many relevant cases from physics applications, in particular the important case of time- fractional evolution equations of neutral type.</t>
  </si>
  <si>
    <t>Gonzalez-Camus, Jorge/ABG-8235-2021; Lizama, Carlos/E-5909-2011</t>
  </si>
  <si>
    <t>Gonzalez-Camus, Jorge/0000-0001-6198-5403; Lizama, Carlos/0000-0002-9807-1100</t>
  </si>
  <si>
    <t>1230-3429</t>
  </si>
  <si>
    <t>10.12775/TMNA.2019.061</t>
  </si>
  <si>
    <t>WOS:000522653200006</t>
  </si>
  <si>
    <t>Jeftanovic, A; Garrido, L</t>
  </si>
  <si>
    <t>Jeftanovic, Andrea; Garrido, Lorena</t>
  </si>
  <si>
    <t>History of the blood of the company Memory Theater: the social trauma registered in the post-dictatorial body</t>
  </si>
  <si>
    <t>LATIN AMERICAN THEATRE REVIEW</t>
  </si>
  <si>
    <t>0023-8813</t>
  </si>
  <si>
    <t>2161-0576</t>
  </si>
  <si>
    <t>SPR</t>
  </si>
  <si>
    <t>10.1353/ltr.2020.0013</t>
  </si>
  <si>
    <t>WOS:000541862000002</t>
  </si>
  <si>
    <t>CENTRAL AMERICAN UNIONIST SCHOOL</t>
  </si>
  <si>
    <t>WOS:000608865900013</t>
  </si>
  <si>
    <t>Berríos, RL</t>
  </si>
  <si>
    <t>Lagos Berrios, Rodrigo</t>
  </si>
  <si>
    <t>Classify in Psychiatry and the DSM-V: some Reflections with and Beyond Georges Canguilhem</t>
  </si>
  <si>
    <t>This article addresses the issues related to the problem of classification of mental disorders in psychiatry in the context of the fifth edition of the Diagnostic and Statistical Manual of Mental Disorders (DSM-V). First, some background information is provided on the history of the classification of mental disorders and the evolution that DSM has had over time is shown. Secondly, the delimitation of the normal and the pathological in psychiatry is investigated through Canguilhem's medical-philosophical thought. Thirdly, the biopolitical management of psychic sufferings is reflected in the diagnostic criteria of the DSM-V and its increasing medicalization. Finally, an approach to the concepts of health and disease in Canguilhem is made as it incorporates existential and experiential variables absent in the DSM-V classifications and in the psychiatric diagnosis..</t>
  </si>
  <si>
    <t>10.5281/zenodo.4320769</t>
  </si>
  <si>
    <t>WOS:000599999700002</t>
  </si>
  <si>
    <t>Escobar, LR</t>
  </si>
  <si>
    <t>Rodriguez Escobar, Luz</t>
  </si>
  <si>
    <t>The social time of transnational public-private partnerships in Latin America: a case study (2002-2010)</t>
  </si>
  <si>
    <t>IZQUIERDAS</t>
  </si>
  <si>
    <t>Based on the case of the Project of Experiences in Social Innovation in Latin America and the Caribbean, which was designed and executed by ECLAC and the W.K. Kellogg between 2002 and 2010, this research analyzes the social time of public-private partnerships for development between transnational actors that settled in the region at the beginning of the 21st century. The social time category refers to a cultural construct that captures the social rhythm of the processes and that allows to identify the role played by each actor within the system that they configured. We analyzed tis case from the perspective of the history of the present that has as its inaugural event the external debt crisis of the eighties.</t>
  </si>
  <si>
    <t>0718-5049</t>
  </si>
  <si>
    <t>WOS:000451966900007</t>
  </si>
  <si>
    <t>Epic poem on wolf</t>
  </si>
  <si>
    <t>WOS:000527373400010</t>
  </si>
  <si>
    <t>Velásquez, EJ; Garrido, L; Guarda, A; Galotto, MJ; de Dicastillo, CL</t>
  </si>
  <si>
    <t>Velasquez, E. J.; Garrido, L.; Guarda, A.; Galotto, M. J.; Lopez de Dicastillo, C.</t>
  </si>
  <si>
    <t>Increasing the incorporation of recycled PET on polymeric blends through the reinforcement with commercial nanoclays</t>
  </si>
  <si>
    <t>APPLIED CLAY SCIENCE</t>
  </si>
  <si>
    <t>The effect of increasing post-consumer bottle recycled poly (ethylene terephthalate) (RPET) on optical, thermal (DSC and TGA) and mechanical properties of films prepared by extrusion blending of RPET and virgin PET (vPET) was investigated. Furthermore, morphology (XRD and TEM) and physical properties of vPET/RPET nanocomposites prepared with commercial organoclays were studied. Calorimetric and mechanical parameters of the vPET/RPET films without clay were mostly changed at concentrations &gt; 80% of RPET. On the other hand, nanocomposites showed a combined intercalated/tactoid morphology. Higher percentages of short RPET chains favored polymer intercalation, increased elastic modulus, and produced a smaller impact on opacity in nanocomposites. Tensile strength was decreased by the formation of tactoid agglomerates. Ductility was increased by the occurrence of the stress oscillation phenomenon (SO) during the tensile test. SO was promoted with the increase of RPET concentration while the presence of clays inhibited it.</t>
  </si>
  <si>
    <t>Lopez-de-Dicastillo, Carol/C-6347-2019</t>
  </si>
  <si>
    <t>Lopez-de-Dicastillo, Carol/0000-0003-0067-9765; VELASQUEZ, ELIEZER/0000-0001-8858-8926</t>
  </si>
  <si>
    <t>0169-1317</t>
  </si>
  <si>
    <t>1872-9053</t>
  </si>
  <si>
    <t>NOV 1</t>
  </si>
  <si>
    <t>10.1016/j.clay.2019.105185</t>
  </si>
  <si>
    <t>WOS:000506424800017</t>
  </si>
  <si>
    <t>Gutiérrez, A; Ahues, D; González, F; Merino, P</t>
  </si>
  <si>
    <t>Gutierrez, Alejandro; Ahues, David; Gonzalez, Felipe; Merino, Paola</t>
  </si>
  <si>
    <t>Simulation of Material Transport in a SAG Mill with Different Geometric Lifter and Pulp Lifter Attributes Using DEM</t>
  </si>
  <si>
    <t>MINING METALLURGY &amp; EXPLORATION</t>
  </si>
  <si>
    <t>A Discrete Elements Method (DEM) study of load movement within a SAG mill 12,192 x 7620 (40' x 25') in normal operating conditions is performed. The purpose is to determine how the geometry of the lifters affects the kinetics of the load inside the mill. Specifically, the changes produced by the incorporation of inclined lifters and spiral or helicoidal pulp lifters to the kinetics are evaluated. Four study cases are identified: first, the base case corresponds to a conventional geometry; the second case corresponds to inclined lifters incorporation; third case corresponds to a mill with helicoidal discharge; and the fourth case corresponds to a mill with inclined lifters and helicoidal pulp lifters. To save computational resources, the water that enters the mill has been modeled by varying the coefficient of restitution. The results of a series of experiments are presented to determine how this coefficient varies when having impacts on surfaces with different liquid levels. A comparative analysis is made of the following variables: mean transport speed and material flow, for normal operating conditions. Taking as reference the mill with straight lifters and radial pulp lifters (case 1), the case with the inclined lifters and radial pulp lifters increases the material discharge flow less to 76 mm of size by 5.1%, and this value increases even more when the helicoidal pulp lifters are incorporated reaching a 58.6%. The most significant change is seen in the flow through the grates and the pulp lifters discharge, which can increase substantially improving the operation.</t>
  </si>
  <si>
    <t>2524-3462</t>
  </si>
  <si>
    <t>2524-3470</t>
  </si>
  <si>
    <t>10.1007/s42461-018-0007-9</t>
  </si>
  <si>
    <t>WOS:000474227100018</t>
  </si>
  <si>
    <t>Adasme, P</t>
  </si>
  <si>
    <t>Adasme, Pablo</t>
  </si>
  <si>
    <t>Optimal sub-tree scheduling for wireless sensor networks with partial coverage</t>
  </si>
  <si>
    <t>COMPUTER STANDARDS &amp; INTERFACES</t>
  </si>
  <si>
    <t>In this paper, we consider the problem of scheduling optimal sub-trees at different time intervals for wireless sensor network (WSN) communications with partial coverage. More precisely, we minimize the total power consumption of the network while taking into account time dimension and multichannel diversity where different disjoint subsets of nodes are required to be active and connected under a tree topology configuration. Optimization problems of these types may arise when designing new wireless communication protocols in order to increase network lifetime. We propose mixed integer quadratic and linear programming (resp. MIQP and MILP) models to compute optimal solutions for the problem. Subsequently, we propose Kruskal-based variable neighborhood search (VNS) and simulated annealing (SA) meta-heuristic procedures. In particular, we introduce a new embedded guided local search strategy in our VNS algorithm to further strengthen the solutions obtained. Our numerical results indicate that some of the proposed models allow to obtain optimal solutions with CPLEX in significantly less CPU time. Similarly, VNS and SA algorithms proved to be highly efficient when compared to the optimal solutions and allow to obtain near optimal solutions for large instances. In particular, VNS and guided VNS strategies allow to obtain solutions in less CPU time whilst SA methods can reach better solutions at higher CPU times. Finally, optimizing over time dimension allows one to obtain important reductions in power savings which has never been reported before in the literature.</t>
  </si>
  <si>
    <t>Adasme, Pablo/U-1735-2019</t>
  </si>
  <si>
    <t>Adasme, Pablo/0000-0003-2500-3294</t>
  </si>
  <si>
    <t>0920-5489</t>
  </si>
  <si>
    <t>1872-7018</t>
  </si>
  <si>
    <t>10.1016/j.csi.2018.04.002</t>
  </si>
  <si>
    <t>WOS:000446148000002</t>
  </si>
  <si>
    <t>Alarcón-Moyano, J; Matiacevich, S</t>
  </si>
  <si>
    <t>Alarcon-Moyano, Jessica; Matiacevich, Silvia</t>
  </si>
  <si>
    <t>Active emulsions based on alginate and lemongrass/citral essential oils: effect of encapsulating agents on physical and antimicrobial properties</t>
  </si>
  <si>
    <t>INTERNATIONAL JOURNAL OF FOOD PROPERTIES</t>
  </si>
  <si>
    <t>For the development of a natural antimicrobial additive based on natural compounds (AC) such as lemongrass essential oil and its active compound citral, encapsulating agents (EA) are required to incorporate it inside food matrixes. Therefore, the effects of type and concentration of EA (maltodextrin and modified-starch called Capsul (R)) on physical and antimicrobial properties of alginate-based and Lemongrass/citral emulsions were evaluated. Emulsions using different AC:EA ratios were prepared, measuring their antimicrobial (Escherichia coli and Listeria innocua) and physical properties. Antimicrobial activities were observed in all emulsions independently of AC:EA ratio and EA or AC types. However, color differences (Delta E2000) depended on AC:EA ratio and AC used. For both AC, samples with maltodextrin showed higher viscosity and physical stability than Capsul (R) samples, while the latter showed the highest oxidative stability. In conclusion, EA type affected both physical and oxidative stability of alginate-AC-emulsions; however, both EA could be used for the development of natural antimicrobial additives.</t>
  </si>
  <si>
    <t>Alarcon Moyano, Jessica Katherine/0000-0003-3262-4312</t>
  </si>
  <si>
    <t>1094-2912</t>
  </si>
  <si>
    <t>1532-2386</t>
  </si>
  <si>
    <t>JAN 1</t>
  </si>
  <si>
    <t>10.1080/10942912.2019.1698605</t>
  </si>
  <si>
    <t>WOS:000505160100008</t>
  </si>
  <si>
    <t>Guerrero, G; Fernández, R; Watson, G</t>
  </si>
  <si>
    <t>Guerrero, Gonzalo; Fernandez, Rocio; Watson, Gisela</t>
  </si>
  <si>
    <t>RESEARCHING TOGETHER: ASSOCIATIVE EXPERIENCES BETWEEN SCHOOLS AND THE UNIVERSITY OF SANTIAGO DE CHILE Conclusions and challenges of associative research</t>
  </si>
  <si>
    <t>WOS:000886992800012</t>
  </si>
  <si>
    <t>Reyes, REJ; Alvarez, ER</t>
  </si>
  <si>
    <t>Jara Reyes, Rene E.; Roman Alvarez, Eduardo</t>
  </si>
  <si>
    <t>The Great Electoral Battle. The photographic cliche evolution about the vote in the beginners twenty century in Chile</t>
  </si>
  <si>
    <t>HISTORIA Y COMUNICACION SOCIAL</t>
  </si>
  <si>
    <t>The present article describes the relationship between electoral practice and its representation in the context of an incipient mass culture. To do this, we have selected a list of photo-reports published in Chilean illustrated magazines of the time (1903-1920), in which we analyze the continuities and discontinuities in the forms of representation of the modem ritual of the vow. In this way, we observe how the use of certain cliches is part of a strategy of journalistic representation of the elections that collaborates with the work of legitimizing the vote as the main republican ceremonial. This article reports on two simultaneous processes: on the one hand, it is about the representation of the expansion of the right to vote and, on the other hand, about how the printed images assume as their own the challenge of democratizing society from the images.</t>
  </si>
  <si>
    <t>1137-0734</t>
  </si>
  <si>
    <t>1988-3056</t>
  </si>
  <si>
    <t>10.5209/HICS.64489</t>
  </si>
  <si>
    <t>WOS:000493991100011</t>
  </si>
  <si>
    <t>Dintrans, PV</t>
  </si>
  <si>
    <t>Villalobos Dintrans, Pablo</t>
  </si>
  <si>
    <t>Dependency in Chile. Advances and challenges</t>
  </si>
  <si>
    <t>Chile is facing a process of rapid aging which poses several challenges. Among these challenges is the increase of dependency in the population. Despite its relevance, the topic has not been prioritized in the agenda. One explanation for this low-priority is the lack of information on the concept of dependency. This article shows that, in fact, no consensus exists in Chile on how to define and measure dependency. Additionally, it provides an updated estimation of dependency in the country, aiming to foster further debate on the topic.</t>
  </si>
  <si>
    <t>Dintrans, Pablo/AAM-6248-2020</t>
  </si>
  <si>
    <t>Villalobos Dintrans, Pablo/0000-0002-2236-6447</t>
  </si>
  <si>
    <t>10.4067/S0034-98872019000100083</t>
  </si>
  <si>
    <t>WOS:000460163000012</t>
  </si>
  <si>
    <t>Contreras, S</t>
  </si>
  <si>
    <t>Contreras, S.</t>
  </si>
  <si>
    <t>THE PEDAGOGICAL KNOWLEDGE OF PRE-SERVICE SCIENCE TEACHERS. ANALYSIS OF BELIEFS TO IMPROVE INITIAL TEACHER TRAINING IN CHILE</t>
  </si>
  <si>
    <t>11TH INTERNATIONAL CONFERENCE OF EDUCATION, RESEARCH AND INNOVATION (ICERI2018)</t>
  </si>
  <si>
    <t>11th Annual International Conference of Education, Research and Innovation (ICERI)</t>
  </si>
  <si>
    <t>NOV 12-14, 2018</t>
  </si>
  <si>
    <t>We propose a way to bring research to practice and thus contribute to improving processes for teacher training. For this we work with constructs such as knowledge and pedagogical thinking, from a theoretical, empirical and curricular perspective, understanding the pedagogical-curricular as an important and specific aspect of the didactic knowledge of content (PCK) for the teaching of science. Specifically, we deal with the beliefs and actions of professors and future teachers of different levels, using a mixed methodology and with various instruments (Fondecyt-11130150; Fonide-911415), we observe differences in the pedagogical-curricular thinking according to the discipline, where the variable content it is highly significant. In addition, we observed a relationship between the types of concepts (qualitative or quantitative) and levels of representation and the most commonly used strategies. We believe that these results have implications for the initial and ongoing training of science teachers, which should be translated into the design and implementation of training courses that promote reflection and metacognition.</t>
  </si>
  <si>
    <t>978-84-09-05948-5</t>
  </si>
  <si>
    <t>WOS:000568991700135</t>
  </si>
  <si>
    <t>Candia, JCG; Campillay, MP</t>
  </si>
  <si>
    <t>Gonzalez Candia, Julio Cesar; Portugal Campillay, Miguel</t>
  </si>
  <si>
    <t>Institutional financing for the cost -free in the new law of chilean education, a look from the intentions of the social movement for the education and the challenges for the universities of the State</t>
  </si>
  <si>
    <t>the Law N degrees 21.091 on Top Education was finally promulgated on May 11, 2018, in his title V the institutional financing appears for the gratuitousness, indicating expressly that the universities, professional institutes and centers of technical formation, which should expire with the requirements indicated in this law, will be able to accede to the institutional financing for the gratuitousness of conformity to the conditions that this title establishes. This chapter has for principal aim describe critically this law in his paragraph on institutional financing for the gratuitousness, linking this offer with the intentions or aims that the social movement was defining for the education in 2011, in whose student demand as flag of principal fight the existence of a public, free education and of quality. A social movement that generated repercussions in individual and collective actions on the part of diverse actors who continue until today, after having had great relevance in the schedule transformer of the government of the ex-chairwoman Michelle Bachelet during his second period. On the other hand, it is also important to link the law in reference with the different challenges that were facing the universities of the State as soon as his process of implementation begins.</t>
  </si>
  <si>
    <t>WOS:000483366800009</t>
  </si>
  <si>
    <t>Llorca-Jaña, M; Ortiz, CR; Navarrete-Montalvo, J</t>
  </si>
  <si>
    <t>Llorca-Jana, Manuel; Robles Ortiz, Claudio; Navarrete-Montalvo, Juan</t>
  </si>
  <si>
    <t>CHILOE, AN EGALITARIAN RURAL SOCIETY. AGRICULTURAL INCOME AND LAND DISTRIBUTION AFTER INDEPENDENCE</t>
  </si>
  <si>
    <t>This article assesses both agricultural income distribution and land distribution in Chiloe during the 1830s-1850s, comparing both variables with the rest of the Chilean provinces at that time, in a rather unexplored period in Chile's agrarian historiography. We have used several untapped sources such as the Catastro ( agricultural census). From this source, we have built and processed an over half a million records database for the first three agricultural censuses of 1832, 1837 and 1852. Our results show a very egalitarian distribution of both agricultural income and land in Chiloe c. 1830-1855, an exceptionality within Chile. This uniqueness of Chiloe is mainly explained by policies applied from late colonial times, in particular the granting of land to creole and indigenous people, as well as by a process of land partition soon after independence, being both processes unique to Chile.</t>
  </si>
  <si>
    <t>Robles-Ortiz, Claudio/IAQ-6409-2023; Llorca-Jaña, Manuel/AAB-9317-2020</t>
  </si>
  <si>
    <t>10.4067/S0718-22442018000200085</t>
  </si>
  <si>
    <t>WOS:000456941900005</t>
  </si>
  <si>
    <t>Cortés, CP</t>
  </si>
  <si>
    <t>Pizarro Cortes, Carolina</t>
  </si>
  <si>
    <t>Violence of Gender and Representation: Ways of Saying -and resist in the testimony of political ex-prisoners</t>
  </si>
  <si>
    <t>ARCHIV FUR DAS STUDIUM DER NEUEREN SPRACHEN UND LITERATUREN</t>
  </si>
  <si>
    <t>0003-8970</t>
  </si>
  <si>
    <t>WOS:000459232600007</t>
  </si>
  <si>
    <t>Vicente Bianchi Alarcon, a musical biography, and the implications of having won the National Prize of Musical Arts in 2016</t>
  </si>
  <si>
    <t>This article consists of two sections. In the first part we review the musical trajectory of Vicente Bianchi Alarcon, in his varied dimensions as a pianist, arranger, orchestral conductor and composer. Most of the information contained was obtained from conversations with Vicente Bianchi, especially from an interview made in 2002. The second part contains a list of data and considerations regarding the obtaining of the National Prize for Musical Arts 2016.</t>
  </si>
  <si>
    <t>WOS:000417910500002</t>
  </si>
  <si>
    <t>The Seven Sisters versus OPEC: Solving the mystery of the petroleum market structure</t>
  </si>
  <si>
    <t>ENERGY ECONOMICS</t>
  </si>
  <si>
    <t>This paper provides an explanation of the changing behavior of the crude oil market and tests it using the U.S. data from January 1913 to September 2014. We claim that the crude oil market has experienced two important structural breaks in its industrial organization. The first occurred when Venezuela and the Arab crude oil exporting countries forced the so-called Seven Sisters to sign the Fifty-Fifty profit-sharing agreements. The second occurred after OPEC succeeded in cracking the secrets of the international crude oil marketing and in undertaking the wave of nationalizations of the 1970s. (C) 2017 Elsevier B.V. All rights reserved.</t>
  </si>
  <si>
    <t>0140-9883</t>
  </si>
  <si>
    <t>1873-6181</t>
  </si>
  <si>
    <t>10.1016/j.eneco.2017.03.024</t>
  </si>
  <si>
    <t>WOS:000404704900027</t>
  </si>
  <si>
    <t>Galleguillos-Silva, R; Vargas-Hernández, Y; Gaete-Garretón, L</t>
  </si>
  <si>
    <t>Galleguillos-Silva, R.; Vargas-Hernandez, Y.; Gaete-Garreton, L.</t>
  </si>
  <si>
    <t>Wettability of a surface subjected to high frequency mechanical vibrations</t>
  </si>
  <si>
    <t>ULTRASONICS SONOCHEMISTRY</t>
  </si>
  <si>
    <t>Ultrasonic radiation can modify some physical properties in liquid/solid interactions, such as wettability. The dependence of solid surface wettability on its vibrational state was studied. Experiments with an interface formed by distilled water deposited on a titanium alloy and surrounded by air were carried out. It is shown that it is possible to control the apparent wettability of a given liquid/solid/gas system by applying sonic-ultrasonic vibrations of controlled amplitude at the interface. The system studied is composed of a drop of distilled water deposited on a flat titanium surface in air. The contact angle was used as an indicator of apparent wettability. It is shown that the apparent wettability of a surface is linearly dependent on the peak vibration velocity and independent of the vibration frequency. Higher vibration speed lowers the contact angle and therefore causes greater surface wettability. (C) 2016 Elsevier B.V. All rights reserved.</t>
  </si>
  <si>
    <t>Gaete-Garreton, Luis/0000-0002-2234-8783; Galleguillos, Renato/0000-0001-6065-5218</t>
  </si>
  <si>
    <t>1350-4177</t>
  </si>
  <si>
    <t>1873-2828</t>
  </si>
  <si>
    <t>A</t>
  </si>
  <si>
    <t>10.1016/j.ultsonch.2016.09.011</t>
  </si>
  <si>
    <t>WOS:000390494300013</t>
  </si>
  <si>
    <t>Ortiz-Calderon, C; Silva, HC; Vásquez, DB</t>
  </si>
  <si>
    <t>Tumuluru, JS</t>
  </si>
  <si>
    <t>Ortiz-Calderon, Claudia; Cid Silva, Hector; Barros Vasquez, Daniel</t>
  </si>
  <si>
    <t>Metal Removal by Seaweed Biomass</t>
  </si>
  <si>
    <t>BIOMASS VOLUME ESTIMATION AND VALORIZATION FOR ENERGY</t>
  </si>
  <si>
    <t>Environmental metal pollution is a serious public problem, and it has become an issue leading to research in the effluent remediation area. Techniques involving biosorption processes have been found to be promising due to the low cost of nonliving biomaterials, which have the potential to adsorb metal ions from wastewaters. One of the most promising types of biomasses to be used as biosorbents is the seaweed biomass, particularly from brown algae. The biosorption capability of the seaweed biomass relies on their cell wall chemical composition, mainly composed of alginates and fucoidans, molecules with a high presence of functional groups that interact with metal ions. This book chapter focuses on the use of seaweed biomass for metal biosorption and the chemical basis underlying the process. The current state of the commercial status of biosorption technology based on seaweed biomass is presented. Examples of complementary uses of the algae biomass other than industrial wastewater cleaning processes are presented, and the potential reuse of the biomass after the biosorption focused on biofuel production is discussed.</t>
  </si>
  <si>
    <t>Cid, Héctor/AAH-5471-2020</t>
  </si>
  <si>
    <t>Cid Silva, Hector A./0000-0001-5942-608X</t>
  </si>
  <si>
    <t>978-953-51-2938-7; 978-953-51-2937-0</t>
  </si>
  <si>
    <t>10.5772/65682</t>
  </si>
  <si>
    <t>10.5772/62678</t>
  </si>
  <si>
    <t>WOS:000412225100017</t>
  </si>
  <si>
    <t>Torres, J; Lippi, L; Huaiquimilla, M; Gallardo, R</t>
  </si>
  <si>
    <t>Torres, J.; Lippi, L.; Huaiquimilla, M.; Gallardo, R.</t>
  </si>
  <si>
    <t>TEACHING CHALLENGES BEFORE A COMPETENCY TRAINING MODULE FOR ENTREPRENEURSHIP: PILOT EXPERIENCE IN CHILE</t>
  </si>
  <si>
    <t>10TH INTERNATIONAL CONFERENCE OF EDUCATION, RESEARCH AND INNOVATION (ICERI2017)</t>
  </si>
  <si>
    <t>10th Annual International Conference of Education, Research and Innovation (ICERI)</t>
  </si>
  <si>
    <t>NOV 16-18, 2017</t>
  </si>
  <si>
    <t>Within the framework of a project that seeks to develop entrepreneurship skills in technical and vocational education students in Chile, a group of teachers from four technical professional schools, from both technical specializations (differentiated training) and common plan subjects (general training), have been faced with the challenge of being pioneers in teaching in the entrepreneurship module to first and last year students in technical and vocational education. In this context, the following study explores teachers' experience in the first six months of the year with the new module. Through a qualitative approach, it reconstructs a set of experiences that provide valuable information of the challenges faced by teachers, the institutions and the educational communities involved in bringing the world of entrepreneurship closer to young people in this formative stage.</t>
  </si>
  <si>
    <t>Gallardo Canales, Rodrigo/0000-0001-9774-3916</t>
  </si>
  <si>
    <t>978-84-697-6957-7</t>
  </si>
  <si>
    <t>WOS:000429975306137</t>
  </si>
  <si>
    <t>Esposito, M</t>
  </si>
  <si>
    <t>Esposito, Maurizio</t>
  </si>
  <si>
    <t>From human science to biology: The second synthesis of Ronald Fisher</t>
  </si>
  <si>
    <t>HISTORY OF THE HUMAN SCIENCES</t>
  </si>
  <si>
    <t>Scholars have paid great attention to the neo-Darwinism of Ronald Fisher. He was one of the founding fathers of the modern synthesis and, not surprisingly, his writings and life have been widely scrutinized. However, less attention has been paid to his interests in the human sciences. In assessing Fisher's uses of the human sciences in his seminal book the Genetical Theory of Natural Selection and elsewhere, the article shows how Fisher's evolutionary thought was essentially eclectic when applied to the human context. In order to understand how evolution works among humans, Fisher made himself also a sociologist and historian. More than a eugenically minded Darwinist, Fisher was also a sophisticated scholar combining many disciplines without the ambition to reduce, simplistically, the human sciences to biology.</t>
  </si>
  <si>
    <t>Esposito, Maurizio/0000-0001-6476-7997</t>
  </si>
  <si>
    <t>0952-6951</t>
  </si>
  <si>
    <t>1461-720X</t>
  </si>
  <si>
    <t>10.1177/0952695116653866</t>
  </si>
  <si>
    <t>WOS:000380958200004</t>
  </si>
  <si>
    <t>Perez, P; Gramsch, E</t>
  </si>
  <si>
    <t>Perez, Patricio; Gramsch, Ernesto</t>
  </si>
  <si>
    <t>Forecasting hourly PM2.5 in Santiago de Chile with emphasis on night episodes</t>
  </si>
  <si>
    <t>We present the results of an hourly PM2.5 concentrations forecasting model in Santiago, Chile. The study concentrates on the comparison between model and observed values at the monitoring station with the highest concentrations (Cerro Navia station) for the time period between April and August, which is the season when high concentration episodes are frequent. The forecasting model is a feed forward neural network, The input variables are past values of hourly PM10 and PM2.5 concentrations measured at the city station with the highest values during episodes, concentrations from a neighboring station and some observed and forecasted meteorological variables. Training is performed with 2010 and 2011 data and the model is tested with 2012 values. Information is collected until 7 PM of the present day and percent error forecasting up to 15 h in advance, starting at 8 PM of the present day, is of the order of 30%. Accuracy of forecasting is significantly better than different forms of persistence and may be considered as a useful tool for anticipating episodes. (C) 2015 Elsevier Ltd. All rights reserved.</t>
  </si>
  <si>
    <t>Perez, Patricio/AAS-7390-2020; Gramsch, Ernesto/M-5507-2017</t>
  </si>
  <si>
    <t>Perez, Patricio/0000-0003-1234-4233; Gramsch, Ernesto/0000-0002-6787-7355</t>
  </si>
  <si>
    <t>1873-2844</t>
  </si>
  <si>
    <t>10.1016/j.atmosenv.2015.11.016</t>
  </si>
  <si>
    <t>WOS:000367860000003</t>
  </si>
  <si>
    <t>Huiliñir, C; Villegas, M</t>
  </si>
  <si>
    <t>Huilinir, Cesar; Villegas, Manuel</t>
  </si>
  <si>
    <t>Simultaneous effect of initial moisture content and airflow rate on biodrying of sewage sludge</t>
  </si>
  <si>
    <t>WATER RESEARCH</t>
  </si>
  <si>
    <t>The simultaneous effect of initial moisture content (initial Mc) and air-flow rate (AFR) on biodrying performance was evaluated. For the study, a 3(2) factorial design, whose factors were AFR (1,2 and 3 L/min kg(TS)) and initial Mc (59, 68 and 78% w.b.), was used. Using energy and water mass balance the main routes of water removal, energy use and efficiencies were determined. The results show that initial Mc has a stronger effect on the biodrying than the AFR, affecting the air outlet temperature and improving the water removal, with higher maximum temperatures obtained around 68% and the lowest maximum matrix temperature obtained at initial Mc = 78%.Through the water mass balance it was found that the main mechanism for water removal was the aeration, with higher water removal at intermediate initial Mc (68%) and high AFR (3 L/min kg(TS)). The energy balance indicated that bioreaction is the main energy source for water evaporation, with higher energy produced at intermediate initial Mc (68%). Finally, it was found that low values of initial Mc (59%) improve biodrying efficiency. (C) 2015 Elsevier Ltd. All rights reserved.</t>
  </si>
  <si>
    <t>Huilinir, Cesar/IYS-6899-2023</t>
  </si>
  <si>
    <t>Huilinir, Cesar/0000-0002-3487-684X</t>
  </si>
  <si>
    <t>0043-1354</t>
  </si>
  <si>
    <t>10.1016/j.watres.2015.04.046</t>
  </si>
  <si>
    <t>WOS:000360950600013</t>
  </si>
  <si>
    <t>Garrido, L</t>
  </si>
  <si>
    <t>Garrido, Lorena</t>
  </si>
  <si>
    <t>Latin American Women Poets and Their Strategies for Self-Definition at the Beginning of the Twentieth Century</t>
  </si>
  <si>
    <t>JOURNAL OF LANGUAGE LITERATURE AND CULTURE</t>
  </si>
  <si>
    <t>At the beginning of the twentieth century, Latin America experienced important social transformations in the transition towards modernismo. This helped the emergence of female voices, which at this time began to fight for social rights and a place within spheres of cultural production. It is within this context that women in Latin America began to write professionally. This article addresses the writing of the Uruguayan Delmira Agustini, analysing the social and literary strategies she developed in order to be an active cultural participant within a literary sphere shaped and dominated up to that point by her male counterparts.</t>
  </si>
  <si>
    <t>2051-2856</t>
  </si>
  <si>
    <t>2051-2864</t>
  </si>
  <si>
    <t>10.1179/2051285615Z.00000000052</t>
  </si>
  <si>
    <t>WOS:000359189800005</t>
  </si>
  <si>
    <t>González-Ibáñez, R</t>
  </si>
  <si>
    <t>Hansen, P; Shah, C; Klas, CP</t>
  </si>
  <si>
    <t>Gonzalez-Ibanez, Roberto</t>
  </si>
  <si>
    <t>Affective Dimension in Collaborative Information Seeking</t>
  </si>
  <si>
    <t>COLLABORATIVE INFORMATION SEEKING: BEST PRACTICES, NEW DOMAINS AND NEW THOUGHTS</t>
  </si>
  <si>
    <t>Computer Supported Cooperative Work</t>
  </si>
  <si>
    <t>This chapter aims to reflect about the importance and challenges of research on the affective dimension in collaborative information seeking (CIS). This is achieved through three major parts. First, an overview of the relevance of the affective dimension is provided. Second, research on the affective dimension in individual information seeking in general, and CIS in particular is discussed. Finally, research approaches, challenges, and ethical aspects in this type of studies are discussed. This chapter hopes to encourage researchers to formulate new questions, hypotheses, and more importantly further investigate this interesting topic.</t>
  </si>
  <si>
    <t>Gonzalez-Ibanez, Roberto/0000-0002-4193-6548</t>
  </si>
  <si>
    <t>1431-1496</t>
  </si>
  <si>
    <t>978-3-319-18988-8; 978-3-319-18541-5</t>
  </si>
  <si>
    <t>10.1007/978-3-319-18988-8_10</t>
  </si>
  <si>
    <t>10.1007/978-3-319-18988-8</t>
  </si>
  <si>
    <t>WOS:000368107600011</t>
  </si>
  <si>
    <t>Araneda, MJR</t>
  </si>
  <si>
    <t>Rodriguez Araneda, Maria Jose</t>
  </si>
  <si>
    <t>Social Representation of Happiness in Students and Both Education and Health Professionals from Chile and Italy</t>
  </si>
  <si>
    <t>Happiness is a symbolic polysemic construction, with multiple- philosophical roots, which brings sense to the good and desirable for human life. In social sciences and psychology it is approached from multiple concepts, and accordingly their results orient public policy. One emic approach is proposed, through a cross-cultural study of its social representation on samples of students and professionals from health and educational areas of Chile and Italy, which are socializing agents on well-being and quality of life. The research included two qualitative studies, the first using an open-ended questionnaire to 164 participants and the second conducting eight focus groups with 65 subjects. Inductive content analysis was used to generate categories and socio-semantic dimensions. A common nucleus to both countries was found, for the notion, components and three types of happiness. It was concluded that the meanings of happiness influence the experiences, interpretations, trials of life and the vital project orientation of individuals. These results were problematized in light of global studies of happiness and the treatment of the construct in the social scenario.-</t>
  </si>
  <si>
    <t>WOS:000367989500023</t>
  </si>
  <si>
    <t>Espejo, A; Ortiz, J; Rios, E; Herrera, F; Alburquenque, D; Gautier, JL</t>
  </si>
  <si>
    <t>Espejo, Andres; Ortiz, Juan; Rios, Edmundo; Herrera, Francisco; Alburquenque, Daniela; Luis Gautier, Juan</t>
  </si>
  <si>
    <t>OXYGEN REDUCTION ON Cu1.4Mn1.6O4 SPINEL PARTICLES COMPOSITE ELECTRODES EFFECT OF PARTICLES SIZE</t>
  </si>
  <si>
    <t>The oxygen reduction reaction (orr) was studied on CG/PPy/PPy(Ox)/PPy and CG/paint/CC(Ox)PPy composite electrodes, CG representing conducting glass, PPy polypyrrole, CC carbon cloth and Ox mixed valence spinel oxide particles of transition metals Cu1.4Mn1.6O4 in 0.2 M KCl pH = 9.2, at room temperature. PPy is electrochemically polymerized and serves as a protective layer to dispersed oxide particles in the carbon cloth. Oxide particles size varied from 7.6 to 11.2 mu m. The orr takes place on the oxide particles with formation of hydrogen peroxide which diffuses to electrolyte solution. The amount of peroxide ions produced was detected using the rotating ring-disk electrode technique and determined indirectly by iodine spectroscopy. The peroxide ions production depends strongly on the oxide particle size.</t>
  </si>
  <si>
    <t>Alburquenque, Daniela/0000-0001-9236-3308; Herrera, Francisco/0000-0001-7783-2970</t>
  </si>
  <si>
    <t>10.4067/S0717-97072014000200023</t>
  </si>
  <si>
    <t>WOS:000342613100023</t>
  </si>
  <si>
    <t>Gutierrez, A; Guichou, J</t>
  </si>
  <si>
    <t>Gutierrez, Alejandro; Guichou, Jules</t>
  </si>
  <si>
    <t>Computational simulation of fracture of materials in comminution devices</t>
  </si>
  <si>
    <t>MINERALS ENGINEERING</t>
  </si>
  <si>
    <t>Three different comminution devices: crushers, mills and hybrid-mills (a synergistic combination of a mill and a crusher) are studied. To achieve the objective, benchmarking was performed for the three devices. Specifically, a computer code was developed based on the discrete element method (DEM), which is capable of capturing comminution variables such as material fracture, load motion, power consumed, and number of impacts, among others. The milled material has been modeled through a set of spheres (basic elements of DEM), joined together by beam elements similar to those used in the finite element method (FEM). The beams have mechanical properties that are defined by the type of material being ground and they can be broken through a failure criterion established by the stress level attained. The comparison is made on equal terms for the three devices, using the same size and granulometric distribution of the material to be ground. The hybrid mill has advantages over the other two particular case of operation. (C) 2014 Elsevier Ltd. All rights reserved.</t>
  </si>
  <si>
    <t>0892-6875</t>
  </si>
  <si>
    <t>10.1016/j.mineng.2014.03.010</t>
  </si>
  <si>
    <t>WOS:000336695800010</t>
  </si>
  <si>
    <t>Reyes, A; Cubillos, F; Mahn, A; Vásquez, J</t>
  </si>
  <si>
    <t>Reyes, A.; Cubillos, F.; Mahn, A.; Vasquez, J.</t>
  </si>
  <si>
    <t>Control System in a Hybrid Solar Dryer</t>
  </si>
  <si>
    <t>2014 5TH INTERNATIONAL RENEWABLE ENERGY CONGRESS (IREC)</t>
  </si>
  <si>
    <t>5th International Renewable Energy Congress (IREC)</t>
  </si>
  <si>
    <t>MAR 25-27, 2014</t>
  </si>
  <si>
    <t>Hammamet, TUNISIA</t>
  </si>
  <si>
    <t>Drying is one of the most energy-intensive processes in agro-products industry; for this reason using solar energy appears as an attractive not polluting alternative to be used in drying processes. However the daily and seasonal fluctuations in the radiation level requires using energy accumulators with phase change materials (paraffin wax), to have a continuous drying processes. In hybrid solar dryers with energy accumulation system, a control system is essential to coordinate the control valves that allow the income of air that comes from the solar panel or from the energy accumulator. In this work we implemented an advances multivariable control system that uses fuzzy logic in the hybrid solar dryer. The dryer includes an energy accumulator panel with paraffin wax as phase change material. The input variables were ambient temperature and solar radiation, both not controllable. The controlled variables were the opening level of the solar panel and accumulator energy valves. The control program consisted in an algorithm implemented with the Fuzzy toolbox in Matlab. Data were acquired with OPTO 22. The control system performed adequately, by closing or opening the respective valves as a response to the variations of solar radiation and ambient air temperature. This system will allow optimizing the use of solar energy.</t>
  </si>
  <si>
    <t>CUBILLOS, FRANCISCO/0000-0001-7863-4394</t>
  </si>
  <si>
    <t>978-1-4799-2195-9</t>
  </si>
  <si>
    <t>WOS:000347870800039</t>
  </si>
  <si>
    <t>Lissi, E; Calderón, C; Campos, A</t>
  </si>
  <si>
    <t>Lissi, Eduardo; Calderon, Cristian; Campos, Ana</t>
  </si>
  <si>
    <t>Evaluation of the Number of Binding Sites in Proteins from their Intrinsic Fluorescence: Limitations and Pitfalls</t>
  </si>
  <si>
    <t>PHOTOCHEMISTRY AND PHOTOBIOLOGY</t>
  </si>
  <si>
    <t>Changes in the intrinsic protein fluorescence with the additive concentration provide one of the most employed methodologies for the evaluation of the binding constant and the number of binding sites. In the last years, more than 175 studies have been published where the double logarithmic plot shown below is used toward determining the number of equivalent binding sites (n). Log [(F degrees-F)/F]=log K+nlog [Q(0)]. However, the value of n evaluated by this procedure is unrelated to the number of equivalent binding sites; rather it represents the stoichiometry of the binding step. The confusion on the meaning of n arises upon assuming that the binding process is represented by the forward and backward elementary steps shown below, implying that binding of the n solutes takes place simultaneously, i.e.there are no intermediate species. nQ+P? Q(n)P. The conclusion that nis unrelated to the number of equivalent binding sites is supported by the fact that in all the systems considered (99% of them) n values are close to one and much smaller than those obtained by ultrafiltration. It is then remarkable, the profusion of publications in peer-reviewed, specialized journals including a conceptual error that confuses Hills coefficient and/or the stoichiometry of the binding step with the number of independent binding sites. Here, we discuss the origin of this common misconception and provide alternative methods to determine the number of binding sites.</t>
  </si>
  <si>
    <t>Calderon, cristian/GQA-7422-2022</t>
  </si>
  <si>
    <t>0031-8655</t>
  </si>
  <si>
    <t>1751-1097</t>
  </si>
  <si>
    <t>10.1111/php.12112</t>
  </si>
  <si>
    <t>WOS:000326507100020</t>
  </si>
  <si>
    <t>Vera-Villarroel, P; Pavez, P; Celis-Atenas, K; Díaz-Pardo, N</t>
  </si>
  <si>
    <t>Vera-Villarroel, Pablo; Pavez, Paula; Celis-Atenas, Karem; Diaz-Pardo, Natalia</t>
  </si>
  <si>
    <t>RELATIONSHIP OF SOURCES OF EMOTIONAL SUPPORT AND SUBJECTIVE WELL- BEING: A PRELIMINARY ANALYSIS</t>
  </si>
  <si>
    <t>There is certainty of the many benefits of social support on subjective wellbeing of people. However, we see less evidence on the effect of different sources of emotional support, such as family relations and friendship on subjective wellbeing. 566 adults aged 18 to 65 years old participated in the study, which evaluated the influence of different sources of emotional support on subjective wellbeing. The best predictive model showed that relationships with parents and siblings, couples, friends and marital status predict wellbeing. Relationship with children showed no statistical significance as a predictor. The importance of the possible effects of the different dimensions of social support on subjective wellbeing is discussed.</t>
  </si>
  <si>
    <t>Vera-Villarroel, Pablo/AAQ-8476-2020; pavez, paula/ITT-0755-2023; Vera-Villarroel, Pablo/A-1134-2011</t>
  </si>
  <si>
    <t>WOS:000321681400004</t>
  </si>
  <si>
    <t>Vivanco, F; Melo, F</t>
  </si>
  <si>
    <t>Vivanco, F.; Melo, F.</t>
  </si>
  <si>
    <t>The effect of rock decompaction on the interaction of movement zones in underground mining</t>
  </si>
  <si>
    <t>INTERNATIONAL JOURNAL OF ROCK MECHANICS AND MINING SCIENCES</t>
  </si>
  <si>
    <t>An increased interest in scientific applications for underground mining, mainly to extend the productive life of open pit mines such as Chuquicamata in Chile, has motivated a growing effort to model experimental and theoretically phenomena found in these mines as well as the processes involved in their operation. There is a general consensus that contamination as a result of dilution, a critical problem found in the operation of underground mines, might be reduced by an adequate design of draw point grids and the appropriate handling of them. This requires understanding of the flow of rock fragments and the evolution of the movement zone created by the interaction of multiple draw points. In this paper, we present a theoretical study focused on determining the movement zone created by the interaction of two neighboring draw points operating in alternate mode that simulate those found in a sub-level caving mine. We employ a modified 2D kinematic model that includes a dilation front and assumes that rocks are restricted to move only along streamlines so that we may determine the modification of an isolated movement zone that results from the extraction of material from a neighboring draw point. The volume of extracted material required to initiate the interaction and the location where it occurs are predicted in terms of the material's previously extracted volume, diffusion coefficient, density variations, and extraction rate. The results show that the top surface of the previously isolated movement zone is modified in order to permit the surface to reach greater heights and displace its maximum position closer to the operating draw point. We also find that the regions outside of the operating draw point's isolated movement zone are affected by the interaction and this is confirmed by the deflection of tracer lines. This could have significant negative effects in underground mining operations because dilution, initially located out of range of an operating draw point, might be carried to either the neighboring draw points or the operating draw point's opening, consequently increasing pollution. The results presented can be extrapolated to 3D systems and generalized to other type of flows described by more complex models than a kinematic model. (C) 2013 Elsevier Ltd. All rights reserved.</t>
  </si>
  <si>
    <t>Vivanco, Francisco/AAB-8928-2019; Melo, Francisco/M-3923-2014</t>
  </si>
  <si>
    <t>Melo, Francisco Esteban/0000-0001-6818-5476</t>
  </si>
  <si>
    <t>1365-1609</t>
  </si>
  <si>
    <t>10.1016/j.ijrmms.2013.01.013</t>
  </si>
  <si>
    <t>WOS:000317802000039</t>
  </si>
  <si>
    <t>Arriagada, DC</t>
  </si>
  <si>
    <t>Cortes Arriagada, Diego</t>
  </si>
  <si>
    <t>Global and local reactivity indexes applied to understand the chemistry of graphene oxide and doped graphene</t>
  </si>
  <si>
    <t>JOURNAL OF MOLECULAR MODELING</t>
  </si>
  <si>
    <t>At the density functional theory level, the electronic reactivity of oxidized and doped (with N, B, and P) graphene (G) has been analyzed. Molecular hardness and electrophilicity were used as global reactivity descriptors, while those at the local level, Fukui functions, Mulliken charges and molecular electrostatic potential were used in the order to characterize the intramolecular and intermolecular reactivity. These descriptors show that in GO, the global and local reactivity of the basal plane is improved mainly by hydroxyl groups, which improve besides the physisorption of small molecules, while, the active carbon atoms around the functional group would allow enhancement of the consecutively chemisorption. Furthermore, epoxide, carbonyl and carboxyl groups allow mainly enhancement of intermolecular non-covalent interactions. On the other hand, doping with N and B atoms increases the electrophilic character and the reactivity in the bulk. Specifically, in N-doped G, N and around carbon atoms would be able to serve as active sites of detection by frontier-controlled processes, explaining the improvement in electrochemical sensing; in addition, electron-deficient carbon atoms around N enhance the physisorption. Respecting the B-doped G, dopant and carbon atoms adjacent to B act as donor sites, suggesting that adsorption of cations on B-doped G is a frontier-controlled process; moreover, positively-charged B atoms enhance charge-controlled interactions with polarized molecules, and consecutively, in a frontier-controlled step, chemisorption is possible. Finally, P-doping increases the electrophilic reactivity in the bulk; also, P atoms enhance the physisorption of chemical species with negatively-charged centers or lone-pair electrons, and consecutively, chemisorption on P is possible.</t>
  </si>
  <si>
    <t>Cortés-Arriagada, Diego/J-5940-2019</t>
  </si>
  <si>
    <t>Cortes-Arriagada, Diego/0000-0002-6709-1723</t>
  </si>
  <si>
    <t>1610-2940</t>
  </si>
  <si>
    <t>0948-5023</t>
  </si>
  <si>
    <t>10.1007/s00894-012-1642-6</t>
  </si>
  <si>
    <t>WOS:000314051200042</t>
  </si>
  <si>
    <t>A note on nonlinear biharmonic equations with negative exponents</t>
  </si>
  <si>
    <t>JOURNAL OF DIFFERENTIAL EQUATIONS</t>
  </si>
  <si>
    <t>In this paper we study radially symmetric entire solutions of Delta(2)u = -u(-q), u &gt; 0 in R-3. We find the asymptotic behavior of these solutions for any q &gt; 1 and prove that for any q &gt; 3 there exists a solution with exactly linear growth. (C) 2012 Elsevier Inc. All rights reserved.</t>
  </si>
  <si>
    <t>0022-0396</t>
  </si>
  <si>
    <t>1090-2732</t>
  </si>
  <si>
    <t>10.1016/j.jde.2012.08.037</t>
  </si>
  <si>
    <t>WOS:000309894800011</t>
  </si>
  <si>
    <t>Arancibia, A; Plyushchay, MS</t>
  </si>
  <si>
    <t>Arancibia, Adrian; Plyushchay, Mikhail S.</t>
  </si>
  <si>
    <t>Extended supersymmetry of the self-isospectral crystalline and soliton chains</t>
  </si>
  <si>
    <t>PHYSICAL REVIEW D</t>
  </si>
  <si>
    <t>We study supersymmetric structure of the self-isospectral crystalline chains formed by N copies of the mutually displaced one-gap Lame systems. It is generated by the N(N - 1) integrals of motion which are the first order matrix differential operators, by the same number of the nontrivial second order integrals, and by the N third order Lax integrals. We show that the structure admits distinct alternatives for a grading operator, and in dependence on its choice one of the third order matrix integrals plays either the role of the bosonic central charge or the role of the fermionic supercharge to be a square root of the spectral polynomial. Yet another peculiarity is that the set of all the second order integrals of motion generates a nonlinear sub-superalgebra. We also investigate the associated self-isospectral soliton chains, and discuss possible physical applications of the unusual extended supersymmetry.</t>
  </si>
  <si>
    <t>Arancibia, Adrian/W-1889-2018</t>
  </si>
  <si>
    <t>Arancibia, Adrian/0000-0002-9170-0891</t>
  </si>
  <si>
    <t>1550-7998</t>
  </si>
  <si>
    <t>1550-2368</t>
  </si>
  <si>
    <t>FEB 13</t>
  </si>
  <si>
    <t>10.1103/PhysRevD.85.045018</t>
  </si>
  <si>
    <t>WOS:000300241200005</t>
  </si>
  <si>
    <t>Díaz, M</t>
  </si>
  <si>
    <t>Bassols, AT</t>
  </si>
  <si>
    <t>Diaz, Marcelo</t>
  </si>
  <si>
    <t>PRIVILEGED ACCESS, LANGUAGE GAMES AND LANGUAGE AND FORMS OF LIFE: RYLE AND WITTGENSTEIN</t>
  </si>
  <si>
    <t>WITTGENSTEIN EN ESPANOL III</t>
  </si>
  <si>
    <t>3rd Wittgenstein International Congress on English</t>
  </si>
  <si>
    <t>SEP 05-09, 2011</t>
  </si>
  <si>
    <t>Veracruz, MEXICO</t>
  </si>
  <si>
    <t>978-607-502-189-8</t>
  </si>
  <si>
    <t>WOS:000410301000005</t>
  </si>
  <si>
    <t>Galotto, M; Quintero, R; Rodriguez, F; Bruna, J; Guarda, A</t>
  </si>
  <si>
    <t>Anonymous</t>
  </si>
  <si>
    <t>Galotto, Maria; Quintero, Rosa; Rodriguez, Francisco; Bruna, Julio; Guarda, Abel</t>
  </si>
  <si>
    <t>Cellulose Acetate Butyrate Nanocomposites with Antimicrobial Properties for Food Packaging</t>
  </si>
  <si>
    <t>18TH IAPRI WORLD PACKAGING CONFERENCE</t>
  </si>
  <si>
    <t>18th IAPRI World Conference on Packaging</t>
  </si>
  <si>
    <t>JUN 17-21, 2012</t>
  </si>
  <si>
    <t>Calif Polytechn State Univ, Orfalea Coll Business, Packaging Program, San Luis Obispo, CA</t>
  </si>
  <si>
    <t>Int Assoc Packaging Res Inst,Lansmont,Innovated Packaging Co Inc,Packaging World,West,PTIS,Tobii,GREIF,Bay Cities,BEMIS,Anheuser Busch,Mitsubishi Electr,Ista,Corrugated Packaging Alliance,Morning Star,Fox Packaging,Packaging Fores Associates Inc,Mocon,Dow,Westpak Inc,Epson,Multisorb Technologies,Landsberg,Amcor</t>
  </si>
  <si>
    <t>Calif Polytechn State Univ, Orfalea Coll Business, Packaging Program</t>
  </si>
  <si>
    <t>The cellulose acetate butyrate/modified motmorillonite (Cloisite20A and Cloisite30B) nanocomposites were prepared by two different sol vent casting methods. All antimicrobial nanofillers were characterized using X-Ray Diffraction (XRD), Fourier Transform Infrared Spectroscopy (FTIR) and antimicrobial components (carvacrol and cinnamaldehyde) included in the nanofillers were determined by gas and HPLC chromatography. These analyses confirmed the inclusion of antimicrobial agents in organoclay. The nanocomposite films were characterized by XRD, TGA, Differential Scanning Calorimetry (DSC), Oxygen and Water Vapor Permeability, mechanical properties and antimicrobial behavior against E coli, L. innocua, S. cerevisiae. All films presented a reduction of at least 2.0 log cfu/mL when applied film nanocomposites procedure in which antimicrobial components are included in the last stage of the process and they are not previously included in the organoclay.</t>
  </si>
  <si>
    <t>bruna, julio/AAM-6867-2021; Rodriguez, Francisco/A-5934-2019</t>
  </si>
  <si>
    <t>978-1-60595-084-6</t>
  </si>
  <si>
    <t>WOS:000351916500035</t>
  </si>
  <si>
    <t>Martinez, JL</t>
  </si>
  <si>
    <t>Martinez, Jose L.</t>
  </si>
  <si>
    <t>SILAE 2011 in Fortaleza - Brazil</t>
  </si>
  <si>
    <t>BOLETIN LATINOAMERICANO Y DEL CARIBE DE PLANTAS MEDICINALES Y AROMATICAS</t>
  </si>
  <si>
    <t>Martinez, Jose/A-4725-2013</t>
  </si>
  <si>
    <t>Martinez, Jose/0000-0002-0177-4847</t>
  </si>
  <si>
    <t>0717-7917</t>
  </si>
  <si>
    <t>WOS:000297723700001</t>
  </si>
  <si>
    <t>TWIN AND MIRROR SYMMETRIES FROM PRESYMMETRY</t>
  </si>
  <si>
    <t>INTERNATIONAL JOURNAL OF MODERN PHYSICS A</t>
  </si>
  <si>
    <t>We argue that presymmetry, a hidden predynamical electroweak quark-lepton symmetry that explains the fractional charges and triplication of families, must be extended beyond the Standard Model as to have a residual presymmetry that embraces partner particles and includes the strong sector, so accounting for the twin or mirror partners proposed to alleviate the naturalness problem of the weak scale. It leads to the full duplication of fermions and gauge boson of the Standard Model independently of the ultraviolet completion of the theory, even if the Higgs particle is discarded by experiment, which adds robustness to twin and mirror symmetries. The established connection is so strongly motivated that the search for twin or mirror matter becomes the possible test of presymmetry. If the physics beyond the Standard Model repairs its left-right asymmetry, mirror symmetry should be the one realized in nature.</t>
  </si>
  <si>
    <t>0217-751X</t>
  </si>
  <si>
    <t>1793-656X</t>
  </si>
  <si>
    <t>10.1142/S0217751X11053766</t>
  </si>
  <si>
    <t>WOS:000292741400005</t>
  </si>
  <si>
    <t>Sáez, L</t>
  </si>
  <si>
    <t>Saez, Leopoldo</t>
  </si>
  <si>
    <t>Chupa-</t>
  </si>
  <si>
    <t>ESTUDIOS FILOLOGICOS</t>
  </si>
  <si>
    <t>V + N compounds have a long and uninterrupted tradition in the Romance languages. They make up one of the productive and usual procedures for the creation of neologisms, predominantly of a popular character. In Chilean Spanish three compounds of chupa- have consolidated their use and have spread geographically and socially: chupasangre, chupamedia(s) and chupacabra(s). Others have less diffusion and frequency of use, are limited to specific actvity oriented groups or are marked as regards social stratification and valuation: chupatinta, chupacabras 2, chupamangas, chupapatas, chupapico, chupacabeza, chupacalceta. For studying current Spanish, Internet, thanks to search engines like Google open huge possibilities, complementing linguistic corpora like CREA or CORDE.</t>
  </si>
  <si>
    <t>0071-1713</t>
  </si>
  <si>
    <t>10.4067/S0071-17132010000200007</t>
  </si>
  <si>
    <t>WOS:000286403600007</t>
  </si>
  <si>
    <t>Poza, SP</t>
  </si>
  <si>
    <t>Pereira Poza, Sergio</t>
  </si>
  <si>
    <t>The anarchistic dramaturgy in Chile. A discourse of cultural resistance</t>
  </si>
  <si>
    <t>The anarchistic Chilean dramaturgy of the early 20th century is seen as one of the many forms of cultural resistance that the libertarian movement putted up against a closed, elitist and excluding system, intending to polemically contrast the positive and complaisant discourse of an order that established a single way of comprehension and representation of reality and which fought, concealed or suppressed all other alternative forms of vision. The strategy followed was that of symbolically disputing the spaces of significance administered by the bourgeois power, and in this connection the approach was to replicate the current means of production and media, although stating a discourse independent from the power and any form of cultural hegemony.</t>
  </si>
  <si>
    <t>WOS:000269722700009</t>
  </si>
  <si>
    <t>Zúñiga, MAF</t>
  </si>
  <si>
    <t>Figueroa Zuniga, Marcos Antonio</t>
  </si>
  <si>
    <t>THE RELATIONSHIP OF THE ANONYMOUS JESUIT: THE USE OF QUIPO AS A STRATEGY OF LIKELIHOOD AND ITS REAL PURPOSE</t>
  </si>
  <si>
    <t>WOS:000286786100009</t>
  </si>
  <si>
    <t>De los Rios, V</t>
  </si>
  <si>
    <t>De los Rios, Valeria</t>
  </si>
  <si>
    <t>Reproduction, murder and spectrality in Horacio Quiroga</t>
  </si>
  <si>
    <t>REVISTA DE ESTUDIOS HISPANICOS</t>
  </si>
  <si>
    <t>0034-818X</t>
  </si>
  <si>
    <t>WOS:000256198500005</t>
  </si>
  <si>
    <t>Correa, F; Plyushchay, MS</t>
  </si>
  <si>
    <t>Correa, Francisco; Plyushchay, Mikhail S.</t>
  </si>
  <si>
    <t>Hidden supersymmetry in quantum bosonic systems</t>
  </si>
  <si>
    <t>We show that some simple well-studied quantum mechanical systems without fermion (spin) degrees of freedom display, surprisingly, a hidden supersymmetry. The list includes the bound state Aharonov-Bohm, the Dirac delta and the Poschl-Teller potential problems, in which the unbroken and broken N = 2 supersymmetry of linear and nonlinear (polynomial) forms is revealed. (c) 2007 Published by Elsevier Inc.</t>
  </si>
  <si>
    <t>Correa, Francisco/S-4564-2018</t>
  </si>
  <si>
    <t>Correa, Francisco/0000-0003-1735-2822</t>
  </si>
  <si>
    <t>10.1016/j.aop.2006.12.002</t>
  </si>
  <si>
    <t>WOS:000249994100011</t>
  </si>
  <si>
    <t>Electroweak quark lepton symmetry and weak topolo gical-charge confinement in the standard model with Dirac neutrinos</t>
  </si>
  <si>
    <t>The standard electroweak model with Dirac neutrinos is extended by way of the principles of electroweak quark lepton symmetry and weak topological-charge confinement to account for quark lepton charge relations which, if not accidental, are indicative of charge structures. A mixing in quarks and leptons of underlying integer local charges with integer weak topological charges associated with an additive group Z(3), fixed by the anomaly cancellation requirement, is discussed. It is found that the electroweak difference between topological quarks and leptons is the nonequivalence between the topological vacua of their weak field configurations, produced by a four-instanton which carries the topological charge, induces the universal fractional piece of charge distinguishing quarks from leptons, and breaks the underlying symmetry. The constituent quarks of the standard model appear as coming from topological quarks, via the weak four-instanton event. Dual transitions occur for leptons. It is shown that several other fundamental problems left open in the standard electroweak model with Dirac neutrinos are solved: the one-to-one correspondence between quark and lepton flavors, the existence of three generations, the conservation and ungauging of B - L, the electric charge quantization, and the confinement of fractional electric charges.</t>
  </si>
  <si>
    <t>AUG 20</t>
  </si>
  <si>
    <t>10.1142/S0217751X0703683X</t>
  </si>
  <si>
    <t>WOS:000251713200008</t>
  </si>
  <si>
    <t>Gaete-Garretón, L; Vargas-Hernández, Y; León-Vidal, C; Pettorino-Besnier, A</t>
  </si>
  <si>
    <t>A novel noninvasive ultrasonic method to assess avocado ripening</t>
  </si>
  <si>
    <t>JOURNAL OF FOOD SCIENCE</t>
  </si>
  <si>
    <t>A novel method to assess the ripening state of Persea Americana Mill avocados was developed. The method was validated and its results compared with standard ones such as the penetrometer method. Also, comparison were made between the proposed method and the ultrasonic system reported by other authors. The correlation between the proposed method and both the standard and former ultrasonic method is quite good. The measurement system overcomes the problem of alignment between the emitter and receiver found in the resent execution development for the same purposes. Extension of proposed systems could allow the measurement with a single ultrasonic source and possibility the development of an online evaluation system for all the fruits.</t>
  </si>
  <si>
    <t>Gaete-Garreton, Luis/0000-0002-2234-8783</t>
  </si>
  <si>
    <t>0022-1147</t>
  </si>
  <si>
    <t>1750-3841</t>
  </si>
  <si>
    <t>E187</t>
  </si>
  <si>
    <t>E191</t>
  </si>
  <si>
    <t>WOS:000228529200020</t>
  </si>
  <si>
    <t>Garin, JL; Mannheim, RL</t>
  </si>
  <si>
    <t>Garin, Jorge L.; Mannheim, Rodolfo L.</t>
  </si>
  <si>
    <t>Quantitative X-ray Diffraction Study of Welded Joints in Heat-resistant Steels</t>
  </si>
  <si>
    <t>ACTA CRYSTALLOGRAPHICA A-FOUNDATION AND ADVANCES</t>
  </si>
  <si>
    <t>2053-2733</t>
  </si>
  <si>
    <t>P.17.04.1</t>
  </si>
  <si>
    <t>C448</t>
  </si>
  <si>
    <t>10.1107/S0108767305081171</t>
  </si>
  <si>
    <t>WOS:000478085802342</t>
  </si>
  <si>
    <t>Mery, D; Berti, MA</t>
  </si>
  <si>
    <t>Automatic detection of welding defects using texture features</t>
  </si>
  <si>
    <t>INSIGHT</t>
  </si>
  <si>
    <t>In this paper a new approach to detecting weld defects from digitised film images based on texture features is presented. Texture is one of the most important features used in recognising patterns in an image. However, these features are not yet commonly exploited in the automated analysis of X-ray images in NDT The paper describes two groups of widely used texture features: 1) features based on the co-occurrence matrix, which gives a measurement of how often one grey value will appear in a specified spatial relationship to another grey value on the image; and 2) features based on 2D Gabor functions, ie, Gaussian-shaped bandpass filters, with dyadic treatment of the radial spatial frequency range and multiple orientations, which represent an appropriate choice for tasks requiring simultaneous measurement in both space and frequency domains. The proposed approach to detecting weld defects follows a general pattern recognition scheme based on three steps: segmentation, feature extraction and classification. That is, in this case: 1) potential defects are segmented using an edge detector based on the Laplacian-of-Gauss operator; 2) texture features of the potential defects are extracted; and 3) the most relevant features are used as input data on a statistical classifier. This preliminary study makes a contribution to the improvement of the automatic detection of welding defects.</t>
  </si>
  <si>
    <t>1354-2575</t>
  </si>
  <si>
    <t>1754-4904</t>
  </si>
  <si>
    <t>10.1784/insi.45.10.676.52952</t>
  </si>
  <si>
    <t>WOS:000185891500012</t>
  </si>
  <si>
    <t>Ammann, JJ; Galaz, B</t>
  </si>
  <si>
    <t>Sound velocity determination in gel-based emulsions</t>
  </si>
  <si>
    <t>ULTRASONICS</t>
  </si>
  <si>
    <t>Sound velocity is a main parameter in non destructive characterization, closely related to the elastic properties and to the microstructure of heterogeneous materials. The accurate determination of the sound velocity using pulse-echo technique relies on the ability to reduce pulse distortion and to measure specimen dimensions with a high precision. In the field of bio-mimetic materials and biological tissues, the nature of the specimen makes this last requirement highly difficult or inappropriate. The present work, using a through-transmission configuration, allows, in a stress free environment, to access the sound velocity in soft, low acoustic contrast materials without requiring the specimen dimensions. The specimen sound velocity is obtained from the echo time-of-flights through a Z-scan process providing the absolute medium sound velocity as reference. The technique uses an excitation burst at a frequency below the transducer resonance to ensure a significantly reduction in pulse distortions and improve signal-to-noise ratio. The accurate determination of the echo time-of-flight relies oil a highly efficient crosscorrelation/Hilbert transform signal processing. The method has been applied to gel-based emulsions of different microstructures considered as biomimetic phantoms, as well as to their constituents: pure gelatin and vegetable oil. (C) 2003 Elsevier B.V. All rights reserved.</t>
  </si>
  <si>
    <t>0041-624X</t>
  </si>
  <si>
    <t>10.1016/S0041-624X(03)00157-4</t>
  </si>
  <si>
    <t>WOS:000185105300009</t>
  </si>
  <si>
    <t>Melo, F</t>
  </si>
  <si>
    <t>Kenkre, VM; Lindenberg, K</t>
  </si>
  <si>
    <t>Waves and topological structures in vibrated granular materials</t>
  </si>
  <si>
    <t>MODERN CHALLENGES IN STATISTICAL MECHANICS: PATTERNS, NOISE, AND THE INTERPLAY OF NONLINEARITY AND COMPLEXITY</t>
  </si>
  <si>
    <t>AIP Conference Proceedings</t>
  </si>
  <si>
    <t>Conference of the Pan-American-Advanced-Studies-Institute</t>
  </si>
  <si>
    <t>JUN 02-15, 2002</t>
  </si>
  <si>
    <t>SAN CARLOS BARILO, ARGENTINA</t>
  </si>
  <si>
    <t>Pan Amer Adv Studies Inst,Natl Sci Fdn,US DOE,Off Naval Res,Univ New Mexico,Ctr Atom Bariloche,CONICET</t>
  </si>
  <si>
    <t>Parametric surface waves arise spontaneously when a thin layer of granular material is oscillated vertically. Several models proposed at present account well for the observed instability threshold and the appearance of a variety of patterns but fail in connecting the peculiarities of granular materials with the observed pattern. In general, the proposed instability mechanism is due to two competing processes: a focusing effect that concentrates particles in space, and a diffusion effect that relaxes large thickness gradients in the layer. In these lectures, the dynamics of these waves is described and contrasted with the proposed theoretical models. When the layer is in a fluid type state, close to a solid-complex-fluid transition that we describe, localized waves, oscillons, are observed. Achievements of theoretical models and open questions are briefly addressed.</t>
  </si>
  <si>
    <t>Melo, Francisco/M-3923-2014</t>
  </si>
  <si>
    <t>0094-243X</t>
  </si>
  <si>
    <t>0-7354-0118-7</t>
  </si>
  <si>
    <t>WOS:000182216000013</t>
  </si>
  <si>
    <t>Pérez, P</t>
  </si>
  <si>
    <t>Characterization and prediction of SO2 concentrations in the atmosphere of Santiago, Chile</t>
  </si>
  <si>
    <t>12th Chilean Symposium of Physics</t>
  </si>
  <si>
    <t>NOV 22-24, 2000</t>
  </si>
  <si>
    <t>SANTIAGO, CHILE</t>
  </si>
  <si>
    <t>Emissions of sulfur dioxide in the city of Santiago are due mainly to industries and construction. Analyzing the hourly averages of this pollutant measured at a station located in Av. La Paz ( three kilometers north of downtown) we observe that most of the days (including Saturdays and Sundays) maximum concentrations occur between 10 A.M. and noon. We have investigated the possibility to build a model for SO2 forecasting based on values of concentrations of the pollutant on the previous day and forecasted values of temperature, relative humidity and wind speed. We have compared the results obtained with three different models, using different combinations of input variables: persistence, linear regression and a three layer neural network (which is equivalent t a non linear regression). We have found that that best fit is obtained with a neural network that has SO2 concentrations every six hours on the previous day plus the forecasted meteorological variables as input. Our findings can be used to do practical forecasts Of SO2 the following years.</t>
  </si>
  <si>
    <t>WOS:000180065500040</t>
  </si>
  <si>
    <t>Villablanca, M; Rojas, J; Urrea, C</t>
  </si>
  <si>
    <t>High-efficiency HVd.c. generating stations</t>
  </si>
  <si>
    <t>ELECTRIC POWER SYSTEMS RESEARCH</t>
  </si>
  <si>
    <t>HVd.c. generating stations are advantageous for power transmission over long distances. In the case of remote generation, the possibility of operating these systems with generation and rectification equipment intimately connected, with the a.c. filters removed, has been discussed frequently in the past, with its many advantages presented, but as yet without such a system being realized. Among other concerns, it would seem that the removal of the a.c. filters is not feasible. In this paper a new configuration is proposed, whereby harmonics are eliminated within the converter, and thus the a.c. filters may be removed without further implications. (C) 2001 Elsevier Science B.V. All rights reserved.</t>
  </si>
  <si>
    <t>0378-7796</t>
  </si>
  <si>
    <t>10.1016/S0378-7796(01)00136-5</t>
  </si>
  <si>
    <t>WOS:000171548700001</t>
  </si>
  <si>
    <t>Encinas, MV; Lissi, EA; Rufs, AM</t>
  </si>
  <si>
    <t>Effect of the monomer hydrophobicity on the microemulsion polymerization. A comparison of the efficiency of water- and oil-soluble photoinitiators.</t>
  </si>
  <si>
    <t>Meeting of the Chilean-Chemical-Society</t>
  </si>
  <si>
    <t>JUN 14-16, 2000</t>
  </si>
  <si>
    <t>CHILE</t>
  </si>
  <si>
    <t>Chilean Chem Soc</t>
  </si>
  <si>
    <t>Polymerization rates in SDS/monomer/water oil-in-water microemulsions were measured employing a water-soluble (2,2'-azobis(2-amidinopropano), ABAP) and an oil-soluble (2,2'-azobis(isobutyronitrile), A1BN) photoinitiators. Monomers of widely different hydrophobicity, ranging from acrylamide and methacrylic acid to ethylhexyl methacrylate (EH MA) and styrene, were employed in order to evaluate the role of the monomer distribution between the aqueous and microaggregate pseudophases on the photoinitiation efficiency. ABAP was more efficient initiator, irrespective of the monomer distribution. The lower efficiency of AIBN was explained in terms of intracage geminate recombination. The initiation efficiency of AIBN relative to ABAP varied from 0.35 (EHMA) to 0.02 (styrene). The high value for EHMA indicates that the initiation is due to radicals generated in the microaggegates, and that nearly one third of radicals avoids recombination in the original supercage. The low value of styrene is explained in terms of a fast addition to the monomer that reduces the radical exit rate.</t>
  </si>
  <si>
    <t>WOS:000089763300011</t>
  </si>
  <si>
    <t>Abuin, E; Leon, A; Lissi, E; Varas, JM</t>
  </si>
  <si>
    <t>Binding of sodium dodecylsulfate to poly(N-isopropylacrylamide) microgels at different temperatures</t>
  </si>
  <si>
    <t>COLLOIDS AND SURFACES A-PHYSICOCHEMICAL AND ENGINEERING ASPECTS</t>
  </si>
  <si>
    <t>213th American-Chemical-Society National Meeting</t>
  </si>
  <si>
    <t>APR 13-17, 1997</t>
  </si>
  <si>
    <t>SAN FRANCISCO, CALIFORNIA</t>
  </si>
  <si>
    <t>Amer Chem Soc</t>
  </si>
  <si>
    <t>The binding of sodium dodecylsulfate (SDS) to poly (N-isopropylacrylamide), (PNIPAM) microgels at different temperatures (below and above the transition temperature from swollen to shrunken particles, T-s) has been investigated by fluorescence probe methods complemented with surface tension and dynamic light scattering measurements. Pyrene and 1-anilinonaphthalene-8-sulfonate (ANS) were employed as fluorescence probes. At 21 degrees C, the association of the surfactant with the particles occurs at a critical aggregation concentration (cac). Values obtained were (cac) = 1 mM form surface tension data and (cac) congruent to 0.75 mM from the dependence of the fine structure of pyrene fluorescence spectra with SDS addition. The binding isotherm derived from surface tension data at 21 degrees C is highly cooperative, implying that the binding takes place with formation of surfactant aggregates. At 42 degrees C (a temperature above T-s), the (cac) shifts to 1.7 mM indicating that the interaction of SDS with shrunken PNIPAM microgels is weaker than with the swollen species. The microenvironment sensed by pyrene probe in both, the SDS aggregates formed onto PNIPAM swollen (21 degrees C) and shrunken(42 degrees C) species is less polar than that corresponding to SDS micelles in pure water. The T-s of the particles and the effect of SDS on it can be determined from the temperature dependence of ANS fluorescence intensity or emission band position. At temperatures higher than T-s, coulombic repulsion effects (probably due to the higher charge density of the collapsed particles) are evidenced by the fluorescence behaviour of both probes employed. (C) 1999 Elsevier Science B.V. All rights reserved.</t>
  </si>
  <si>
    <t>0927-7757</t>
  </si>
  <si>
    <t>JAN 30</t>
  </si>
  <si>
    <t>10.1016/S0927-7757(98)00753-5</t>
  </si>
  <si>
    <t>WOS:000078762400006</t>
  </si>
  <si>
    <t>Hernandez, E; Henriquez, HR</t>
  </si>
  <si>
    <t>Existence results for partial neutral functional differential equations with unbounded delay</t>
  </si>
  <si>
    <t>This work is concerned with a class of quasi-linear partial neutral functional differential equations with unbounded delay. Specifically, we establish existence of mild and strong solutions for equations that can be described as an abstract functional differential equation d/dt(x(t) + F(t, x(t))) = Ax(t) + G(t, x(t)), where A is the infinitesimal generator of a strongly continuous semigroup of linear operators on a Banach space and F and G are appropriate functions defined on a phase space. (C) 1998 Academic Press.</t>
  </si>
  <si>
    <t>Hernández, Eduardo/N-4531-2013</t>
  </si>
  <si>
    <t>Hernandez, Eduardo/0000-0002-4279-8570</t>
  </si>
  <si>
    <t>MAY 15</t>
  </si>
  <si>
    <t>10.1006/jmaa.1997.5875</t>
  </si>
  <si>
    <t>WOS:000073589100004</t>
  </si>
  <si>
    <t>Escudey, M; Diaz, P; Forster, JE; Briceno, M; Antilen, M; Galindo, G</t>
  </si>
  <si>
    <t>Ternary cation exchange equilibria (K, Ca, Mg) on synthetic aluminosilicates</t>
  </si>
  <si>
    <t>The K-Ca-Mg exchange selectivity on a synthetic aluminosilicate (Al-Si) was studied through ternary cation exchange equilibria. The effects of equilibrium temperature (4 degrees C and 25 degrees C), the equivalent fraction of K in solution (0-0.6), and sequential coatings of iron oxide and organic matter were considered. In general, the selectivity sequence K &gt; Ca &gt; Mg was observed. There is no temperature effect on exchange selectivity but the Cation Exchange Capacity (CEC) slightly increases when temperature changes from 4 degrees C to 25 degrees C. The iron oxide and organic matter coatings result in a 20 to 30% reduction of CEC and decreases the selectivity of Ca over Mg in relation to that of Al-Si. When the equivalent fraction of K in solution increases, the selectivity of Ca over Mg decreases in both samples (with and without coatings), and the CEC associated with Ca + Mg decreases. With these results, it is concluded that there are K selective exchange sites.</t>
  </si>
  <si>
    <t>WOS:A1996UX54900006</t>
  </si>
  <si>
    <t>LISSI, E; ABUIN, E; ESPINOZA, C; RUBIO, MA</t>
  </si>
  <si>
    <t>PARTITIONING AND HYDRATION EQUILIBRIA OF ALPHA-DIKETONES IN MICELLAR SOLUTIONS</t>
  </si>
  <si>
    <t>The partitioning and hydration of 2,3-butanedione and 2,3-pentanedione have been measured in sodium dodecyl sulfate micelles and AOT reverse micelles. In the latter system, the incorporation of both compounds to the micellar pseudophase is proportional to the amount of water at water/AOT ratios higher than 9. This result is interpreted in terms of a dominant incorporation of the diketones to the water pools. With regard to both solubilization and hydration, the water of the reverse micelle pools behaves nearly as bulk water (at water/AOT ratios higher than 9). The addition of sodium dodecyl sulfate to an aqueous solution of 2,3-pentanedione decreases the extent of hydration of the diketone. Measurement of the quenching of 2,3-pentanedione fluorescence by iodide allows an evaluation of the extent of solubilization in the micellar pseudophase. From these data and the changes in absorbance of the alpha-dicarbonyl band with the surfactant concentration (which is a measure of the degree of hydration) the partition constant of the hydrated and nonhydrated forms of 2,3-pentanedione are evaluated. The results obtained indicate that the hydration of 2,3-pentanedione molecules bound to sodium dodecyl sulfate micelles is nearly 4.6 times less efficient than in bulk water.</t>
  </si>
  <si>
    <t>Rubio, Miguel/F-1278-2016</t>
  </si>
  <si>
    <t>10.1021/la00016a019</t>
  </si>
  <si>
    <t>WOS:A1994NH59700020</t>
  </si>
  <si>
    <t>SAAVEDRA, I</t>
  </si>
  <si>
    <t>SCIENTISTS, THE INTERNATIONAL SCIENTIFIC COMMUNITY AND THE TRANSITION INTO DEMOCRACY</t>
  </si>
  <si>
    <t>INTERCIENCIA</t>
  </si>
  <si>
    <t>0378-1844</t>
  </si>
  <si>
    <t>WOS:A1991FX13900008</t>
  </si>
  <si>
    <t>CARDEMIL, E; ENCINAS, MV; JABALQUINTO, AM</t>
  </si>
  <si>
    <t>REACTIVE SULFHYDRYL-GROUPS IN SACCHAROMYCES-CEREVISIAE PHOSPHOENOLPYRUVATE CARBOXYKINASE</t>
  </si>
  <si>
    <t>BIOCHIMICA ET BIOPHYSICA ACTA</t>
  </si>
  <si>
    <t>S. cerevisiae phosphoenolpyruvate carboxykinase (ATP;oxaloacetate carboxy-lyase (transphosphorylating), EC 4.1.1.49) is inactivated by several thiol- and vicinal dithiol-specific reagents. Titration experiments of the enzyme with 5,5''-dithiobis(2-nitrobenzoate) (DTNB) show the presence of reactive monothiol and vicinal dithiol groups, whose modifications lead to enzyme inactivation. The enzyme is also inactivated by N-(1-pyrenyl)iodoacetamide (PyrIAM), with a binding stiochiometry of approx. 2 mol per mol of enzyme subunit. A high level of pyrene excimer fluorescence is detected on the labeled enzyme, thus implying the reaction of the reagent with two spatially close sulfhydryl groups in the protein. The carboxykinase is not completely inactivated by different vicinal dithiol-specific reagents, thus implying a catalytically non-essential character for these groups. From substrate protection experiments of the enzyme inactivation by DTNB, PyrIAM and vicinal dithiol-specific reagents, it is concluded that the loss of enzyme activity is caused by the modification of both thiol and vicinal dithiol groups in the substrate binding region.</t>
  </si>
  <si>
    <t>0006-3002</t>
  </si>
  <si>
    <t>AUG 1</t>
  </si>
  <si>
    <t>10.1016/0167-4838(90)90147-8</t>
  </si>
  <si>
    <t>WOS:A1990DU89500009</t>
  </si>
  <si>
    <t>PASTORE, G; MONTES, S; PAEZ, M; ZAGAL, JH</t>
  </si>
  <si>
    <t>ELECTROCOLORING OF ANODIZED ALUMINUM WITH COPPER - EFFECT OF POROUS AND BARRIER OXIDE FILM THICKNESSES</t>
  </si>
  <si>
    <t>THIN SOLID FILMS</t>
  </si>
  <si>
    <t>zagal, jose/L-9648-2014; Paez, Maritza/M-2010-2014</t>
  </si>
  <si>
    <t>0040-6090</t>
  </si>
  <si>
    <t>JUN 15</t>
  </si>
  <si>
    <t>10.1016/0040-6090(89)90146-6</t>
  </si>
  <si>
    <t>WOS:A1989AK67200017</t>
  </si>
  <si>
    <t>ASYMPTOTIC STABILITY PROPERTIES OF SELF-ACCESSIBLE CONTROL-SYSTEMS</t>
  </si>
  <si>
    <t>LECTURE NOTES IN CONTROL AND INFORMATION SCIENCES</t>
  </si>
  <si>
    <t>0170-8643</t>
  </si>
  <si>
    <t>WOS:A1986F701000012</t>
  </si>
  <si>
    <t>VALENZUELA, E; ABUIN, E; LISSI, EA</t>
  </si>
  <si>
    <t>SOLUBILITY OF NORMAL-PENTANE AND CHLOROFORM IN SODIUM DODECYL-SULFATE MICELLES - EFFECT OF THE SURFACTANT CONCENTRATION AND ADDITIVES</t>
  </si>
  <si>
    <t>10.1016/0021-9797(84)90199-1</t>
  </si>
  <si>
    <t>WOS:A1984TR36100005</t>
  </si>
  <si>
    <t>ENCINAS, MV; RUBIO, MA; LISSI, E</t>
  </si>
  <si>
    <t>QUENCHING AND PHOTOBLEACHING OF EXCITED POLYCYCLIC AROMATIC-HYDROCARBONS BY CARBON-TETRACHLORIDE AND CHLOROFORM IN MICELLAR SYSTEMS</t>
  </si>
  <si>
    <t>10.1111/j.1751-1097.1983.tb04447.x</t>
  </si>
  <si>
    <t>WOS:A1983QE17000001</t>
  </si>
  <si>
    <t>MATSUHIRO, B; ZANLUNGO, AB</t>
  </si>
  <si>
    <t>COLORIMETRIC DETERMINATION OF 3,6-ANHYDROGALACTOSE IN POLYSACCHARIDES FROM RED SEAWEEDS</t>
  </si>
  <si>
    <t>CARBOHYDRATE RESEARCH</t>
  </si>
  <si>
    <t>0008-6215</t>
  </si>
  <si>
    <t>10.1016/0008-6215(83)88056-2</t>
  </si>
  <si>
    <t>WOS:A1983RD25600028</t>
  </si>
  <si>
    <t>Caputo, R; Ordóñez, F</t>
  </si>
  <si>
    <t>Caputo, Rodrigo; Ordonez, Felix</t>
  </si>
  <si>
    <t>Failed shock therapy during the Chilean military dictatorship (1974-1979)</t>
  </si>
  <si>
    <t>CEPAL REVIEW</t>
  </si>
  <si>
    <t>This article analyzes Chile's monetary policy after the 1973 military coup and the failed attempt at nominal stabilization during the dictatorship. Two causes of the persistent inflation are identified: i) the reduction of the fiscal deficit in 1974 did not curb the high monetary issuance and inflation, due to the insufficiency of such reduction, which perpetuated the inflation necessary to finance the fiscal deficits, and ii) economic agents perceived that the fiscal needs, financed with seigniorage, would not allow reducing the growth of the monetary base or inflation. This perception maintained the high levels of inflation after the coup. Successful shock therapy would have required a further reduction in the fiscal deficit and the perception that these lower deficits would be permanent. Without a credible deficit reduction policy, inflation stabilized only in the late 1970s.</t>
  </si>
  <si>
    <t>0251-2920</t>
  </si>
  <si>
    <t>1684-0348</t>
  </si>
  <si>
    <t>WOS:001417169600004</t>
  </si>
  <si>
    <t>Urrea, C; Domínguez, C</t>
  </si>
  <si>
    <t>Urrea, Claudio; Dominguez, Carlos</t>
  </si>
  <si>
    <t>Fault Diagnosis in a Four-Arm Delta Robot Based on Wavelet Scattering Networks and Artificial Intelligence Techniques</t>
  </si>
  <si>
    <t>This paper presents a comprehensive fault diagnosis approach for a delta robot utilizing advanced feature extraction and classification techniques. A four-arm delta robot prototype is designed in SolidWorks for realistic fault analysis. Two case studies investigate faults through control effort and vibration signals, with control effort detecting motor and encoder faults, while vibration signals identify bearing faults. This study compares time-domain signal features and wavelet scattering networks, applied by classification algorithms including wide neural networks (WNNs), efficient linear support vector machine (ELSVM), efficient logistic regression (ELR), and kernel naive Bayes (KNB). Results indicate that a WNN, using wavelet scattering features ranked by one-way anova, is optimal due to its consistency and reliability, while these features enhance computational efficiency by reducing classifier size. Sensitivity analysis demonstrates the classifier's capacity to detect untrained faults, highlighting the importance of effective feature extraction and classification methods for fault diagnosis in complex robotic systems. This research significantly contributes to fault diagnosis in delta robots and lays the groundwork for future studies on fault tolerance control and predictive maintenance planning. Future work will focus on the physical implementation of the delta robot in laboratory settings, aiming to improve operational efficiency and reliability in industrial applications.</t>
  </si>
  <si>
    <t>Claudio, URREA/KWU-1600-2024; Domínguez Acosta, Carlos/KBA-8477-2024</t>
  </si>
  <si>
    <t>Urrea, Claudio/0000-0001-7197-8928; Dominguez Acosta, Carlos/0000-0002-0626-1186</t>
  </si>
  <si>
    <t>10.3390/technologies12110225</t>
  </si>
  <si>
    <t>WOS:001366415900001</t>
  </si>
  <si>
    <t>Flores, EIS; Yanez, SJ; Norambuena, LB</t>
  </si>
  <si>
    <t>Flores, Erick I. Saavedra; Yanez, Sergio J.; Norambuena, Leonardo Brescia-</t>
  </si>
  <si>
    <t>Preface: Advanced experimental mechanics, testing procedures and characterisation of materials</t>
  </si>
  <si>
    <t>MATERIALS TODAY COMMUNICATIONS</t>
  </si>
  <si>
    <t>Yanez, Sergio/G-5230-2019</t>
  </si>
  <si>
    <t>2352-4928</t>
  </si>
  <si>
    <t>10.1016/j.mtcomm.2024.109425</t>
  </si>
  <si>
    <t>WOS:001260462900001</t>
  </si>
  <si>
    <t>Pasmanik, D; Jorquera, C</t>
  </si>
  <si>
    <t>Pasmanik, Diana; Jorquera, Carolina</t>
  </si>
  <si>
    <t>Deepening class insight through participatory lesson study: An experience with students specializing in school psychology</t>
  </si>
  <si>
    <t>PSYCHOLOGY IN THE SCHOOLS</t>
  </si>
  <si>
    <t>Class phenomena have primary significance for the diagnosis and intervention at both an individual and a whole-class level for school psychologists. Trying to bring undergraduate psychology students closer to class and teaching, a learning experience based on an adaptation of Lesson Study, a professional development method for teachers, was designed and evaluated with a group of undergraduate psychology students attending two preparatory and consecutive courses for professional performance in educational environments. Students made participants observations of classes they attended, participated in collaborative reflection with their teachers, and issued a report. Meetings were transcribed, conforming, altogether with their written reports 12 texts, analyzed using thematic analysis. Four primary themes were generated concerning benefits, difficulties, perceived learning facilitators and this experience's contribution to professionalization. The results stress a favorable self-perceived effect in students' comprehension of the class and the teaching, backed up by an internship experience. Additionally, content expressing empathy toward teachers and an increased perceived self-knowledge as students was reported. Having a previous experience with the method within the first course and a part time internship in the second course, along with the profile of the second course and its emphasis on procedural content, seemed to foster these outcomes. The use of Participatory Lesson Study (PLS), an adaptation of Lesson Study-an original Japanese collaborative method for improving teaching practices-can bring undergraduate psychology students attending courses preparatory to school psychology practice closer to class experience.The PLS experience can promote greater empathy towards teachers and the teaching profession.Students reported they experienced PLS as a facilitator in their engagement and performance in a part-time internship as School Psychologists.</t>
  </si>
  <si>
    <t>Pasmanik, Diana/0000-0002-3996-3619</t>
  </si>
  <si>
    <t>0033-3085</t>
  </si>
  <si>
    <t>1520-6807</t>
  </si>
  <si>
    <t>10.1002/pits.23136</t>
  </si>
  <si>
    <t>JAN 2024</t>
  </si>
  <si>
    <t>WOS:001140121800001</t>
  </si>
  <si>
    <t>Fathia, M; Cruzb, N</t>
  </si>
  <si>
    <t>Fathia, Mohsen; Cruzb, Norman</t>
  </si>
  <si>
    <t>Observational signatures of a static f(R) black hole with thin accretion disk</t>
  </si>
  <si>
    <t>EUROPEAN PHYSICAL JOURNAL C</t>
  </si>
  <si>
    <t>In this study, we focus on a static spherically symmetric f(R) black hole spacetime characterized by a linear dark matter-related parameter. Our investigation delves into understanding the influence of different assumed values of this parameter on the observable characteristics of the black hole. To fulfill this task, we investigate the light deflection angles, which are inferred from direct analytical calculations of null geodesics. To examine the black hole's properties further, we assume an optically thin accretion disk and explore various emission profiles. Additionally, we investigate the shadow cast by the illuminated black hole when affected by the disk. Furthermore, we simulate the brightness of an infalling spherical accretion in the context of silhouette imaging for the black hole. Our findings indicate that, except for some specific cases, the observed brightness of the accretion disk predominantly arises from direct emission, rather than lensing and photon rings. Moreover, we reveal that the linear dark parameter of the black hole significantly influences the shadow size and brightness. Our discussion covers both analytical and numerical approaches, and we utilize ray-tracing methods to produce accurate visualizations.</t>
  </si>
  <si>
    <t>1434-6044</t>
  </si>
  <si>
    <t>1434-6052</t>
  </si>
  <si>
    <t>10.1140/epjc/s10052-023-12341-w</t>
  </si>
  <si>
    <t>WOS:001144251900001</t>
  </si>
  <si>
    <t>Ferreira, CC</t>
  </si>
  <si>
    <t>Ferreira, Cleyton Cortes</t>
  </si>
  <si>
    <t>Identity and indigenouspeoples: opening alternatives to patrimonial discipline</t>
  </si>
  <si>
    <t>CUHSO-CULTURA-HOMBRE-SOCIEDAD</t>
  </si>
  <si>
    <t>In the present context of indigenous articulation and mobilization, cultural heritage has played an important role in the efforts for identity vindication. Considering the above, this essay proposes that cultural heritage is a cultural, historical, and socially specific response to the historical identity issue. In that specificity, indigenous peoples could devise new specific solutions to their identity issues without submitting to assumptions about heritage. The objective is to propose a reinterpretation of cultural heritage that favors a creative openness to deal with the issue of identity. To carry it out, different debates on culture and the use of cultural heritage as a resource for the vindication of indigenous identities are analyzed. The review of these debates makes it possible to identify theoretical and practical difficulties of patrimonialization related to the indigenous identity issue. For the development of the analysis, cultural heritage is understood as a resource that is part of the processes of politicization of culture carried out by indigenous movements. In other words, it does not necessarily seek to discuss the correct definition or use of the 'culture' concept but rather to explore how 'culture' has been used as a political tool. The need to devise new ways of taking responsibility for identity issues is concluded. For this, the idea of seizing the place occupied by the category is proposed to create new solutions to issues related to historical identities without submitting to assumptions about heritage.</t>
  </si>
  <si>
    <t>0716-1557</t>
  </si>
  <si>
    <t>0719-2789</t>
  </si>
  <si>
    <t>10.7770/CUHSD-V33N2-ARTB18</t>
  </si>
  <si>
    <t>WOS:001199083200008</t>
  </si>
  <si>
    <t>Mascayano, C; Munoz-Osses, M; Navarrete, E; Torres, P; Torres-Gonzalez, S; Morales, P; Huidobro-Toro, JP</t>
  </si>
  <si>
    <t>Mascayano, Carolina; Munoz-Osses, Michelle; Navarrete, Elizabeth; Torres, Paulina; Torres-Gonzalez, Simon; Morales, Pilar; Huidobro-Toro, Juan Pablo</t>
  </si>
  <si>
    <t>Natural pentacyclic triterpenoid as allosteric modulators of human 5-lipoxygenase with potential anti-inflammatory activity</t>
  </si>
  <si>
    <t>JOURNAL OF BIOMOLECULAR STRUCTURE &amp; DYNAMICS</t>
  </si>
  <si>
    <t>This study explored new methods to inhibit human 5-lipoxygenase (5-hLOX) by analyzing natural terpenes that share structural similarities with acetoxyboswellic acid (AKBA). Enzymatic assays were used to evaluate the terpene's ability to inhibit the enzyme, potentially providing anti-inflammatory benefits. Our research focused on how certain types of triterpenes can inhibit 5-hLOX allosterically via a newly discovered allosteric site identified by enzyme crystallization. To determine whether natural boswellic acid analogs mimicked the allosteric known inhibitor AKBA, we combined 5-hLOX inhibition with in silico modeling. Our research has discovered that certain amino acids, specifically Arg 138, Arg 101, Arg 68, and Gln129, located in the allosteric 5-hLOX pocket, play a critical role in stabilizing glycyrrhetinic isomers. These amino acids form hydrogen bonds and hydrophobic interactions that contribute to the inhibitory potency of boswellic acid derivatives. We have found that alpha and beta glycyrrhetinic acid isomers, carbenoxolone, and to a minor extent, prednisolone, have a potent inhibitory effect against 5-hLOX with IC50 values of 8.64, 3.94, 52.98, and 291.20 mu M, respectively. These values are in line with our calculated in silico allosteric site binding energy estimations. In contrast, other steroidal or non-steroidal anti-inflammatory agents exhibited inhibitory potencies larger than 500 mu M. However, the specific pharmacodynamic mechanisms are currently unknown. We propose that AKBA analogs may lead to the future development of novel anti-inflammatory agents.Communicated by Ramaswamy H. Sarma</t>
  </si>
  <si>
    <t>Torres, Paulina/AAA-6852-2020</t>
  </si>
  <si>
    <t>0739-1102</t>
  </si>
  <si>
    <t>1538-0254</t>
  </si>
  <si>
    <t>10.1080/07391102.2023.2276875</t>
  </si>
  <si>
    <t>OCT 2023</t>
  </si>
  <si>
    <t>WOS:001092288400001</t>
  </si>
  <si>
    <t>Barría, SBN</t>
  </si>
  <si>
    <t>Barria, Sandra Beatriz Navarrete</t>
  </si>
  <si>
    <t>Approaches to the Violence against Women in the Recent Narrative Fiction from Latino America</t>
  </si>
  <si>
    <t>CATEDRAL TOMADA-REVISTA DE CRITICA LITERARIA LATINOAMERICANA-JOURNAL OF LATIN AMERICAN LITERARY CRITICISM</t>
  </si>
  <si>
    <t>This study proposes a panoramic approach to the recents narratives that represent the theme of violence against women's bodies. To this end, we will focused on a group of novels from Mexico, Colombia, Chile and Argentina that address this issue from different thematic angles and aesthetic nuances. This corpus allowed us to work the following hypothesis: the recent narrative fictions that draw up the violence against women configure an innovative interpretative framework of interpretation about this issue that lay out and expand the ways of understood the violence. Our main aim is to explore and analize the different ways in which these narratives weave a reformulation of the meaning of gender violence, in our current Latin American context.</t>
  </si>
  <si>
    <t>2169-0847</t>
  </si>
  <si>
    <t>10.5195/ct/2023.604</t>
  </si>
  <si>
    <t>WOS:001134207000016</t>
  </si>
  <si>
    <t>Santibáñez, C; Kern, J</t>
  </si>
  <si>
    <t>Santibanez, Carlos; Kern, John</t>
  </si>
  <si>
    <t>TASK ALLOCATION IN A MULTI-AGENT SYSTEM USING HUMAN-BASED INTERACTION AS AN MDP</t>
  </si>
  <si>
    <t>MECHATRONIC SYSTEMS AND CONTROL</t>
  </si>
  <si>
    <t>A task allocation algorithm for non-homogenous multi-agent systems based on human interaction is proposed. Through simulations, the algorithm has shown improvements in both operation time and energy usage over other task allocation algorithms. The interaction the capacity of a selected agent to perform a specific task while navigating in a dynamic environment. The proposed method aims workshops and industries.</t>
  </si>
  <si>
    <t>2561-1771</t>
  </si>
  <si>
    <t>2561-178X</t>
  </si>
  <si>
    <t>10.2316/J.2023.201-0359</t>
  </si>
  <si>
    <t>WOS:001114046800006</t>
  </si>
  <si>
    <t>Salfate, G; Sánchez, J</t>
  </si>
  <si>
    <t>Salfate, Gabriel; Sanchez, Julio</t>
  </si>
  <si>
    <t>Rare Earth Elements Uptake by Synthetic Polymeric and Cellulose-Based Materials: A Review</t>
  </si>
  <si>
    <t>Contemporary industrial processes and the application of new technologies have increased the demand for rare earth elements (REEs). REEs are critical components for many applications related to semiconductors, luminescent molecules, catalysts, batteries, and so forth. REEs refer to a group of 17 elements that have similar chemical properties. REE mining has increased considerably in the last decade and is starting an REE supply crisis. Recently, the viability of secondary REE sources, such as mining wastewaters and acid mine drainage (AMD), has been considered. A strategy to recover REEs from secondary water-related sources is through the usage of adsorbents and ion exchange materials in preconcentration steps due to their presence in low concentrations. In the search for more sustainable processes, the evaluation of synthetic polymers and natural source materials, such as cellulose-based materials, for REE capture from secondary sources should be considered. In this review, the chemistry, sources, extraction, uses, and environmental impact of REEs are briefly described to finally focus on the study of different adsorption/ion exchange materials and their performance in capturing REEs from water sources, moving from commercially available ion exchange resins to cellulose-based materials.</t>
  </si>
  <si>
    <t>Salfate, Gabriel/0000-0001-5218-7004; Sanchez, Julio/0000-0003-4245-0096</t>
  </si>
  <si>
    <t>10.3390/polym14214786</t>
  </si>
  <si>
    <t>WOS:000883964100001</t>
  </si>
  <si>
    <t>Inzunza, L; Plyushchay, MS</t>
  </si>
  <si>
    <t>Inzunza, Luis; Plyushchay, Mikhail S.</t>
  </si>
  <si>
    <t>Conformal bridge transformation, PT - and super-symmetry</t>
  </si>
  <si>
    <t>JOURNAL OF HIGH ENERGY PHYSICS</t>
  </si>
  <si>
    <t>Supersymmetric extensions of the 1D and 2D Swanson models are investigated by applying the conformal bridge transformation (CBT) to the first order Berry-Keating Hamiltonian multiplied by i and its conformally neutral enlargements. The CBT plays the role of the Dyson map that transforms the models into supersymmetric generalizations of the 1D and 2D harmonic oscillator systems, allowing us to define pseudo-Hermitian conjugation and a suitable inner product. In the 1D case, we construct a PT-invariant supersymmetric model with N subsystems by using the conformal generators of supersymmetric free particle, and identify its complete set of the true bosonic and fermionic integrals of motion. We also investigate an exotic N = 2 supersymmetric generalization, in which the higher order supercharges generate nonlinear superalgebras. We generalize the construction for the 2D case to obtain the PT-invariant supersymmetric systems that transform into the spin-1/2 Landau problem with and without an additional Aharonov-Bohm flux, where in the latter case, the well-defined integrals of motion appear only when the flux is quantized. We also build a 2D supersymmetric Hamiltonian related to the exotic rotational invariant harmonic oscillator system governed by a dynamical parameter gamma. The bosonic and fermionic hidden symmetries for this model are shown to exist for rational values of gamma.</t>
  </si>
  <si>
    <t>Inzunza, Luis/KDM-9912-2024</t>
  </si>
  <si>
    <t>Inzunza, Luis/0000-0002-3659-6956</t>
  </si>
  <si>
    <t>1029-8479</t>
  </si>
  <si>
    <t>AUG 23</t>
  </si>
  <si>
    <t>10.1007/JHEP08(2022)228</t>
  </si>
  <si>
    <t>WOS:000844211100013</t>
  </si>
  <si>
    <t>Urrea, C; Kern, J; Alvarez, E</t>
  </si>
  <si>
    <t>Urrea, Claudio; Kern, John; Alvarez, Exequiel</t>
  </si>
  <si>
    <t>Design and implementation of fault-tolerant control strategies for a real underactuated manipulator robot</t>
  </si>
  <si>
    <t>COMPLEX &amp; INTELLIGENT SYSTEMS</t>
  </si>
  <si>
    <t>This paper presents the design and implementation of four control strategies applied to a real underactuated manipulator robot with 3-DOF (Degrees of Freedom). Additionally, an original methodology for controlled oscillatory compensations is designed and implemented to mitigate the effect of a passive joint on the overall performance of this manipulator robot. The objective of this methodology is to create controlled oscillations that allow the faulty link and its (passive) joint to physically align with their adjacent previous link. The implemented control techniques are sinh-cosh, neural compensation, gain scheduling PID, and gain scheduling sinh-cosh. The real robot in which these four control strategies and oscillatory compensation methodology are implemented is a SCARA (Selective Compliant Assembly Robot Arm) robot. To assess controller performance-once the 3-DOF underactuated manipulator robot starts its trajectory-after t = 4.5 s, a fault is activated in its joint No. 2, converting it into a passive joint. The performance indicators IA (index of agreement), RMS (Root Mean Square), and RSD (Residual Standard Deviation) are used to analyze, compare, and evaluate the behavior of the four control strategies and the compensation methodology.</t>
  </si>
  <si>
    <t>2199-4536</t>
  </si>
  <si>
    <t>2198-6053</t>
  </si>
  <si>
    <t>10.1007/s40747-022-00740-7</t>
  </si>
  <si>
    <t>MAY 2022</t>
  </si>
  <si>
    <t>WOS:000790609100003</t>
  </si>
  <si>
    <t>Henríquez-Vargas, L; Angel, F; Lackey, L; Donoso-García, P</t>
  </si>
  <si>
    <t>Henriquez-Vargas, Luis; Angel, Francisco; Lackey, Lawrence; Donoso-Garcia, Pablo</t>
  </si>
  <si>
    <t>Evaluation of Interpolation Scheme Alternatives and Variation of the Number of Slave Cells in a Cut-Cell Methodology</t>
  </si>
  <si>
    <t>MATHEMATICS</t>
  </si>
  <si>
    <t>The present work determines numerical solutions applied to flow problems in a cut-cell framework, introducing and evaluating two interpolation alternatives for the treatment of the convective terms and the effect of the variation of the number of slave cells generated near the solid interfaces. Using the upwind, QUICK and WAHYD (TVD) schemes, three benchmark cases were studied in the laminar regime, namely, flow between concentric cylindrical walls, flow in an inclined channel and flow around a cylinder. The numerical results obtained were favorable for the proposed interpolation methodology that prevents velocity over/under-estimations on the finite control volume faces, observing a tendency to produce smaller errors and mid-to-high computational efficiencies when coupled with a smaller number of slave cells generated at the boundaries. Although the magnitude of the errors found were small, improvements are of more significance for quantities that depend on gradient estimations at surfaces.</t>
  </si>
  <si>
    <t>Henríquez-Vargas, Luis/Q-3617-2019; Donosoga, Pablo/HZI-2632-2023</t>
  </si>
  <si>
    <t>Henriquez-Vargas, Luis/0000-0002-6825-8505; Lackey, Lawrence/0000-0003-2382-8364; Donoso Garcia, Pablo/0000-0001-9839-8691</t>
  </si>
  <si>
    <t>2227-7390</t>
  </si>
  <si>
    <t>10.3390/math10060895</t>
  </si>
  <si>
    <t>WOS:000774153300001</t>
  </si>
  <si>
    <t>Revolutionary Suicide and civil disobedience: Huey P. Newton</t>
  </si>
  <si>
    <t>ARAUCARIA-REVISTA IBEROAMERICANA DE FILOSOFIA POLITICA Y HUMANIDADES</t>
  </si>
  <si>
    <t>Our aim is to analyse the concept and the practice of revolutionary suicide, as it was conceived by Huey Pierce Newton, founder of the Black Panther Party for Self Defense. The historical-theoretical context of our work is some political revolutionary self-sacrificial theories, which stablish the difference and the link between Newton and other conceptions of civil resistance. We focus in Newton's collection of essays entitled The Huey P. Newton Reader (1970) and in his autobiography, Revolutionary Suicide (1973). The concept of revolutionary suicide has been scarcely developed and it was absent in the special issue about the Black Panther Party published in 2017 by the Journal of African American Studies. Our conclusion is that Newton was a leader with a complex intellectual inspiration, from Plato to Fanon. Revolutionary self-sacrifice is the key that allows him to embrace, renew and transmit a specific theoretical inflexion of civil resistance, which also stems from some authors who are rarely quoted by him.</t>
  </si>
  <si>
    <t>1575-6823</t>
  </si>
  <si>
    <t>2340-2199</t>
  </si>
  <si>
    <t>10.12795/araucaria.2022.i49.06</t>
  </si>
  <si>
    <t>WOS:000795225700006</t>
  </si>
  <si>
    <t>Cerro, DA; Maldonado, AP; Matiacevich, SB</t>
  </si>
  <si>
    <t>Cerro, D. A.; Maldonado, A. P.; Matiacevich, S. B.</t>
  </si>
  <si>
    <t>Comparative study of the physicochemical properties of a vegan dressing-type mayonnaise and traditional commercial mayonnaise</t>
  </si>
  <si>
    <t>GRASAS Y ACEITES</t>
  </si>
  <si>
    <t>The food industry has developed a vegan dressing-type mayonnaise due to new consumer demands. The aim of this study was to compare three commercial mayonnaise types with a vegan dressing, measuring their physicochemical properties. Four dressing samples were analyzed: vegan, homemade recipe, creamy, and light. The following properties were measured: water activity, color, droplet size, rheological properties, structural analysis, and oxidative stability. A high color difference was observed between vegan and the other samples due to the presence of chickpea protein. The size and distribution of droplets of the vegan sample were greater than the others. The rheological properties indicated that all samples are non-Newtonian pseudoplastic fluids. The FT-IR results indicated that the highest peak for vegan corresponded to its content in mono-unsaturated fat. Therefore, it showed the lowest oxidative stability. In conclusion, the mayonaise formulations were affected by physicochemical properties such as the content and composition of the oil, thickener and protein contents, along with processing technology.</t>
  </si>
  <si>
    <t>Maldonado, Alba/0000-0003-2430-6015</t>
  </si>
  <si>
    <t>0017-3495</t>
  </si>
  <si>
    <t>1988-4214</t>
  </si>
  <si>
    <t>e439</t>
  </si>
  <si>
    <t>10.3989/gya.0885201</t>
  </si>
  <si>
    <t>WOS:000756092800013</t>
  </si>
  <si>
    <t>Dinamarca, L; Escayola, M</t>
  </si>
  <si>
    <t>Dinamarca, Leonardo; Escayola, Maximiliano</t>
  </si>
  <si>
    <t>Examples of distorted interval diffeomorphisms of intermediate regularity</t>
  </si>
  <si>
    <t>ERGODIC THEORY AND DYNAMICAL SYSTEMS</t>
  </si>
  <si>
    <t>We improve a recent construction of Andres Navas to produce the first examples of C-2-undistorted diffeomorphisms of the interval that are C1+alpha-distorted (for every alpha &lt; 1). We do this via explicit computations due to the failure of an extension to class C1+alpha of a classical lemma related to the work of Nancy Kopell.</t>
  </si>
  <si>
    <t>0143-3857</t>
  </si>
  <si>
    <t>1469-4417</t>
  </si>
  <si>
    <t>10.1017/etds.2021.87</t>
  </si>
  <si>
    <t>SEP 2021</t>
  </si>
  <si>
    <t>WOS:000767021900001</t>
  </si>
  <si>
    <t>Aurenque, D</t>
  </si>
  <si>
    <t>Aurenque, Diana</t>
  </si>
  <si>
    <t>Is there a contradiction between medical ethos and euthanasia?</t>
  </si>
  <si>
    <t>The practice of euthanasia in the medical context has a plurality of actors and interests, has ethical issues and the definition of good death is complicated. Therefore, it is necessary to be clear about the key concepts in the debate about this practice. But, above all we must ask ourselves to what extent euthanasia or assisted suicide contradicts the medical ethos in contemporary culture, aiming to evaluate the most acceptable medical and ethical options in our pluralistic societies. Only after such reflection and clarification, we will be able to understand the ethical conflicts of this practice and propose the appropriate ethical guidelines.</t>
  </si>
  <si>
    <t>Aurenque, Diana/0000-0002-0979-2847</t>
  </si>
  <si>
    <t>WOS:000766213100016</t>
  </si>
  <si>
    <t>Vera, CG; Cabrera, DJ</t>
  </si>
  <si>
    <t>Garay Vera, Cristian; Jimenez Cabrera, Diego</t>
  </si>
  <si>
    <t>THE BALANCE OF POWER AS A RESOURCE FOR DEBATE OF INTERNATIONAL RELATIONS INTHE SOUTHAMERICAN CONE (1830-1910)</t>
  </si>
  <si>
    <t>HISTORIA 396</t>
  </si>
  <si>
    <t>In international relations, the theory of balance of power explains the behavior of antagonistic states, and the making of support (or opposition) networks. Thus, its main principle is the balance of power. So, the main objective of our survey consists into analyzing the foundations of the aforementioned theory from a discourse of decision-makers that controverts border issues, and that shows an intuitive balance of power concept. Finally, we argue that the South American balance of power is focused in an asymmetric distribution of power. Likewise, the law of nations works in favor of the weaker states as a compensatory factor.</t>
  </si>
  <si>
    <t>0719-0719</t>
  </si>
  <si>
    <t>0719-7969</t>
  </si>
  <si>
    <t>WOS:000744121900003</t>
  </si>
  <si>
    <t>Conformal generation of an exotic rotationally invariant harmonic oscillator</t>
  </si>
  <si>
    <t>An exotic rotationally invariant harmonic oscillator (ERIHO) is constructed by applying a nonunitary isotropic conformal bridge transformation (CBT) to a free planar particle. It is described by the isotropic harmonic oscillator Hamiltonian supplemented by a Zeeman type term with a real coupling constant g. The model reveals the Euclidean (vertical bar g vertical bar &lt; 1) and Minkowskian (vertical bar g vertical bar &gt; 1) phases separated by the phases g = +1 and g = - 1 of the Landau problem in the symmetric gauge with opposite orientation of the magnetic field. A hidden symmetry emerges in the system at rational values of g. Its generators, together with the Hamiltonian and angular momentum produce nonlinearly deformed u(2) and g -&gt; -1/g algebras in the cases of 0 &lt; vertical bar g vertical bar &lt; 1 and infinity &gt; vertical bar g vertical bar&gt; 1, which transmute one into another under the inversion g. -1=g. Similarly, the true, u(2), and extended conformal, g -&gt; -1/g, symmetries of the isotropic Euclidean oscillator (g = 0) interchange their roles in the isotropic Minkowskian oscillator vertical bar g vertical bar = 8), while two copies of the gl(2, R) algebra of analogous symmetries mutually transmute in Landau phases. We show that the ERIHO system is transformed by a peculiar unitary transformation into the anisotropic harmonic oscillator generated, in turn, by anisotropic CBT. The relationship between the ERIHO and the subcritical phases of the harmonically extended Landau problem, as well as with a plane isotropic harmonic oscillator in a uniformly rotating reference frame, is established.</t>
  </si>
  <si>
    <t>2470-0010</t>
  </si>
  <si>
    <t>2470-0029</t>
  </si>
  <si>
    <t>MAY 4</t>
  </si>
  <si>
    <t>10.1103/PhysRevD.103.106004</t>
  </si>
  <si>
    <t>WOS:000655874400011</t>
  </si>
  <si>
    <t>Intellectual ecosystem as a unit of analysis: places where the ideas are self-developed</t>
  </si>
  <si>
    <t>This work aims to show how to investigate the intellectual work of a set of intelligences located in a territory. First, the notion of intellectual ecosystem is presented. This concept seeks to name the set of intellectual organisms that interact in a space, as well as to explain its possibilities in relation to other nearby notions, in particular the notion of intellectual field. It gives arguments about the possibilities of this notion to study ideas and intellectual work within the place. Second, working methods and procedures are proposed, considering matters such as classification of intellectual ecosystems, specific procedures for classes, and ways of processing information. Third, one case is synthetically addressed: La Paz-El Alto, Bolivia, around the year 2000. Finally, conclusions that articulate intellectual ecosystem with other notions are offered, simultaneously asking several questions for future research.</t>
  </si>
  <si>
    <t>WOS:000766714700016</t>
  </si>
  <si>
    <t>Araneda, SG</t>
  </si>
  <si>
    <t>Gonzalez Araneda, Sergio</t>
  </si>
  <si>
    <t>Sartre reader of Husserl: Is Sartrean existentialism a Husserlian heresie?</t>
  </si>
  <si>
    <t>THEMATA-REVISTA DE FILOSOFIA</t>
  </si>
  <si>
    <t>The philosophical relationship between Husserl and Sartre can be traced back not only as a teacher-disciple, but also as a disciple trying to outdo his teacher. This article is an effort to show the direct relationship between Sartre's reading of Husserl, noting to what extent the French philosopher understands the project of the father of phenomenology, and the way in which this reading allows Sartre to elaborate an authentic thought existentialist. With this we highlight the presumed debt of Sartrean existentialism regarding the Husserlian phenomenology.</t>
  </si>
  <si>
    <t>Gonzalez, Sergio/KPJ-6764-2024</t>
  </si>
  <si>
    <t>Gonzalez Araneda, Sergio/0000-0003-2109-1389</t>
  </si>
  <si>
    <t>0212-8365</t>
  </si>
  <si>
    <t>2253-900X</t>
  </si>
  <si>
    <t>10.12795/themata.2021.i63.13</t>
  </si>
  <si>
    <t>WOS:000744186900012</t>
  </si>
  <si>
    <t>Kaschel, H; Rojas, R</t>
  </si>
  <si>
    <t>Kaschel, Hector; Rojas, Ricardo</t>
  </si>
  <si>
    <t>Security, energy efficiency, routing protocols and algorithms applied to underwater wireless sensor network</t>
  </si>
  <si>
    <t>2021 IEEE CHILEAN CONFERENCE ON ELECTRICAL, ELECTRONICS ENGINEERING, INFORMATION AND COMMUNICATION TECHNOLOGIES (IEEE CHILECON 2021)</t>
  </si>
  <si>
    <t>IEEE Chilean Conference on Electrical, Electronics Engineering, Information and Communication Technologies (CHILECON)</t>
  </si>
  <si>
    <t>DEC 06-09, 2021</t>
  </si>
  <si>
    <t>IEEE,IEEE Consejo Chile, IEEE Chile Centro,Asociac Chilena Control Automatico,IEEE Chilean Chapter Control Syst,IEEE Chilean Chapter SMC,IEEE Chilean Chapter Educ,Int Federat Automat Control,IEEE Syst, Man &amp; Cybernet Soc,IEEE Control Syst Soc,IEEE Educ Soc,Chilean Assoc Elect &amp; Elect Ind,IEEE Consejo Chile, Chile Sur,Chilean Assoc Engineeres</t>
  </si>
  <si>
    <t>Currently, Underwater Wireless Sensor Networks (UWSN) have taken on great relevance since they have applications both in the military field and the protection of marine edges, but also in the field of research such as monitoring of seismic activity, the environment and exploration of the seabed among others. However, these networks present great challenges for the scientific community and researchers given the different factors that affect their correct operation, some of them being energy consumption, reliability, ocean noise, high interferences, security, etc. This work addresses security, energy efficiency, protocols and algorithms applied to UWSN.</t>
  </si>
  <si>
    <t>Kaschel, Hector/0000-0002-0868-7834</t>
  </si>
  <si>
    <t>978-1-6654-0873-8</t>
  </si>
  <si>
    <t>10.1109/CHILECON54041.2021.9703076</t>
  </si>
  <si>
    <t>WOS:000788072700052</t>
  </si>
  <si>
    <t>Loyola, O; Kern, J; Urrea, C</t>
  </si>
  <si>
    <t>Loyola, Oscar; Kern, John; Urrea, Claudio</t>
  </si>
  <si>
    <t>Novel Algorithm for Agent Navigation Based on Intrinsic Motivation Due to Boredom</t>
  </si>
  <si>
    <t>INFORMATION TECHNOLOGY AND CONTROL</t>
  </si>
  <si>
    <t>We propose a novel algorithm for the navigation of agents based on reinforcement learning, using boredom as an element of intrinsic motivation. Improvements obtained with the inclusion of this element over classic strategies are shown through simulations. Boredom is modeled through a chaotic element that generates conditions for the creation of routes when the environment does not offer any reward, allowing prompting the robot to navigate. Our proposal seeks to avoid what classical algorithms suffer in scenarios without rewards, generating losses of time in the resolution. We demonstrate experimentally that by adding the element of boredom it is possible to generate routes in scenarios in which rewards do not exist, allowing the use of these strategies in real circumstances and facilitating the robot's navigation towards its objective. The most important contribution sustained by this work corresponds to the fact that it is possible to improve navigation in completely adverse scenarios for a navigation algorithm based on rewards.</t>
  </si>
  <si>
    <t>1392-124X</t>
  </si>
  <si>
    <t>10.5755/j01.itc.50.3.29242</t>
  </si>
  <si>
    <t>WOS:000709572900006</t>
  </si>
  <si>
    <t>Díaz, CM; Barbosa, KA; El Aiss, H; Rodriguez, C; Chávez, H</t>
  </si>
  <si>
    <t>Mellado Diaz, Cristofer; Barbosa, Karina A.; El Aiss, Hicham; Rodriguez, Carlos; Chavez, Hector</t>
  </si>
  <si>
    <t>Observer Design Method for Discrete-Time LPV Descriptor Systems</t>
  </si>
  <si>
    <t>This paper deals with observer design for the class of discrete time-varying descriptor systems. In particular, it is assumed that the dynamical system matrix is a function of time-varying parameters that are not precisely known. For this class of system, a Linear Matrix Inequality (LMI) based approach is proposed to the design of complete state observers. An affine parameter-dependent Lyapunov function is considered in order to ensure the error convergence between the actual and estimated state. A numerical example is presented in order to show the proposed observer performance.</t>
  </si>
  <si>
    <t>El Aiss, Hicham/AAD-6510-2022; Barbosa, Karina/A-2236-2014; Rodriguez ledesma, Carlos Mario/IUP-4591-2023</t>
  </si>
  <si>
    <t>EL AISS, hicham/0000-0003-1098-275X</t>
  </si>
  <si>
    <t>10.1109/ICAACCA51523.2021.9465308</t>
  </si>
  <si>
    <t>WOS:000855764500014</t>
  </si>
  <si>
    <t>Concha, JM</t>
  </si>
  <si>
    <t>Miguel Concha, Jose</t>
  </si>
  <si>
    <t>Impact of the Treaty of 1904 on the Chileanization process of Arica</t>
  </si>
  <si>
    <t>WOS:000762754900009</t>
  </si>
  <si>
    <t>Perez, R; Chavez, H</t>
  </si>
  <si>
    <t>Perez, Roberto; Chavez, Hector</t>
  </si>
  <si>
    <t>Impact of Various Factors on the Identification of Inertia in Power Systems</t>
  </si>
  <si>
    <t>The growing integration of renewable energies has displaced synchronous generation, reducing the inertia of power system. The increasing availability of data from SCADA control rooms and synchrophasor systems has opened the opportunity for the development of purely data-based inertia estimation methods. The identified inertia, independent of the method, seems to be poorly related with net load. This work presents the existence of this phenomenon in different electrical systems and looks for reasons for its existence. Through simulations, preliminary results are shown, showing the inertial relationship with the net load in the Chilean power system and the influence of the economic operation on the identified inertia value.</t>
  </si>
  <si>
    <t>10.1109/CHILECON54041.2021.9703005</t>
  </si>
  <si>
    <t>WOS:000788072700084</t>
  </si>
  <si>
    <t>Ross, C; López, E</t>
  </si>
  <si>
    <t>Ross, Cesar; Lopez, Eduardo</t>
  </si>
  <si>
    <t>The Chile-South Korea Economic Cooperation Committee: public-private partnership, a solution against uncertainty</t>
  </si>
  <si>
    <t>ENCRUCIJADA AMERICANA</t>
  </si>
  <si>
    <t>This essay studies the constitution of the Chile-South Korea Economic Cooperation Committee (1979), in a complex context for the world economy, due to the oil crisis and the foreign debt crisis in Latin America; and for Chile's international relations, due to the wide isolation of the civil-military government of the time, and to the profound transformations in the entrepreneurial role of the State in Chile, which implied the privatization of many state-owned companies. In the same period and year, South Korea was going through a very critical scenario, in which the assassination of the head of state, Park Chung-hee was the main event. We propose, as a general hypothesis, that despite the adverse scenario of those years, a very successful bilateral relationship was developed, which constituted the basis of relations between the two countries since then and up to the present. This hypothesis puts pressure on those versions that until now now have described this type of link as unlikely. For the preparation of this article we examined specialized bibliography, documentation from the Historical Archives of the Ministry of Foreign Affairs of Chile, as well as the archives of the business organizations mentioned.</t>
  </si>
  <si>
    <t>0719-3432</t>
  </si>
  <si>
    <t>0718-5766</t>
  </si>
  <si>
    <t>WOS:000656695900002</t>
  </si>
  <si>
    <t>Medical Books in 18th Century Chile: Typologies, Owners, and Circulation Dynamics</t>
  </si>
  <si>
    <t>ANUARIO COLOMBIANO DE HISTORIA SOCIAL Y DE LA CULTURA</t>
  </si>
  <si>
    <t>The objective of the article is to provide an account of the analytical possibilities deriving form the study of the medical books that circulated in Chile during the 18th century. On the basis of the study of private library inventories, commercial inventories, and customs documents, it explores the links between the availability of titles and the tastes of owners/readers. To that effect, it identifies the main characteristics of the medical books that circulated in Chile, and then goes on to examine the profiles of their owners, the possible uses of those books, and their connection to the dynamics of trade flows. The article shows the visibility acquired by medical books, and suggests that the availability of titles was not merely subordinated to commercial flows, but was also determined by the owners, who played an active role in constituting themselves as a specific reading audience and creating alternative access routes.</t>
  </si>
  <si>
    <t>Labarca, Mariana/0000-0002-5080-3018</t>
  </si>
  <si>
    <t>0120-2456</t>
  </si>
  <si>
    <t>2256-5647</t>
  </si>
  <si>
    <t>10.15446/achsc.v47n2.86169</t>
  </si>
  <si>
    <t>WOS:000546049900012</t>
  </si>
  <si>
    <t>Herceg, JS</t>
  </si>
  <si>
    <t>Santos Herceg, Jose</t>
  </si>
  <si>
    <t>The Silences of Torture in Chile</t>
  </si>
  <si>
    <t>REVISTA DE CIENCIA POLITICA</t>
  </si>
  <si>
    <t>The aim of this manuscript is to argue that the silence played a very important role in the phenomenon of torture in Chile. The dictatorial authorities were silent about its occurrence, the direct perpetrators are silent and all those who are part of the pact of silence, as well as those who benefited from it. The torturer is silent when he is interrogating with the aim of spreading terror, but so is the victim who does not inform on the crime. The survivor who cannot articulate a story about his or her experience is silent, and everyone is terrified by the threat of being tortured. Finally, the transitional authorities who seek to put an end to the investigation into a painful past remain silent.</t>
  </si>
  <si>
    <t>0718-090X</t>
  </si>
  <si>
    <t>WOS:000527371200006</t>
  </si>
  <si>
    <t>Crespo, R; Hernandez, I</t>
  </si>
  <si>
    <t>Crespo, Ricardo; Hernandez, Ignacio</t>
  </si>
  <si>
    <t>On the spatially explicit Gini coefficient: the case study of Chile-a high-income developing country</t>
  </si>
  <si>
    <t>LETTERS IN SPATIAL AND RESOURCE SCIENCES</t>
  </si>
  <si>
    <t>This study suggests the use of a geographically-varying Gini coefficient to better understand local dynamics between income inequality and socioeconomic attributes. We estimate local Gini coefficients by disaggregating the traditional Lorenz curve approach at small census areas using spatial microsimulation techniques. As our case study, we chose the city of Santiago, Chile. Despite being ranked as a high-income country by the World Bank, Chile is the most unequal OECD country and the seventh worst in the world. Results reveal interesting spatial patterns that relate income inequality to income and educational level. For instance, the most unequal areas of the city correspond, perhaps against all odds, to the most well-off neighbourhoods having, in addition, the highest educational level. This result suggests that from a certain level of high income in areas with high-income inequality, the spatial cohesion of neighbourhoods may be mainly caused by the educational level of households. Results also reveal that the least unequal areas are mostly observed across neighbourhoods with low educational levels and low per capita incomes.</t>
  </si>
  <si>
    <t>Crespo, Ricardo/JUF-6435-2023</t>
  </si>
  <si>
    <t>Crespo, Ricardo/0000-0003-0211-0548</t>
  </si>
  <si>
    <t>1864-4031</t>
  </si>
  <si>
    <t>1864-404X</t>
  </si>
  <si>
    <t>10.1007/s12076-020-00243-4</t>
  </si>
  <si>
    <t>JAN 2020</t>
  </si>
  <si>
    <t>WOS:000515647700001</t>
  </si>
  <si>
    <t>Mediano, AT; Carter, JS; Vallejos, CV</t>
  </si>
  <si>
    <t>Torres Mediano, Alejandra; Sepulveda Carter, Javiera; Villegas Vallejos, Carolina</t>
  </si>
  <si>
    <t>Development of public policies on the use of plastic materials: the green awakening</t>
  </si>
  <si>
    <t>TECNOLOGIA Y SOCIEDAD: APORTES PARA EL DESARROLLO DE POLITICAS EN CHILE, VOL 2</t>
  </si>
  <si>
    <t>In recent years, worldwide concern has grown with respect to pollution caused by the large amount of plastic waste found both on land and in the oceans. One of the origins of this problem is the fact that we are immersed in a society that has based its development on a linear economy, oriented to the raw materials extraction, manufacture and commercialization of products and then discard them. Therefore, it is imperative to reduce this generated environmental impact and for this, both in Chile and globally, various strategies and measures have been established with the objective of reducing and mitigating the increasing accumulation of plastic waste in the environment.</t>
  </si>
  <si>
    <t>978-956-6095-05-7</t>
  </si>
  <si>
    <t>WOS:000608874800013</t>
  </si>
  <si>
    <t>Torres, C; Villarroel, I; Rozas, R; Contreras, L</t>
  </si>
  <si>
    <t>Torres, Camila; Villarroel, Ignacio; Rozas, Roberto; Contreras, Leonor</t>
  </si>
  <si>
    <t>Carbon Nanotubes Having Haeckelite Defects as Potential Drug Carriers. Molecular Dynamics Simulation</t>
  </si>
  <si>
    <t>Carbon nanotubes (CNTs) are valuable drug carriers since when properly functionalized they transport drugs and anchor directly to cancerous tumors whose more acidic pH causes the drug release. Herein, we study the so-called zigzag and armchair CNTs with haeckelite defects to rank their ability to adsorb doxorubicin (DOX) by determining the DOX-CNT binding free energies using the MM/PBSA and MM/GBSA methods implemented in AMBER. Our results reveal stronger DOX-CNT interactions for encapsulation of the drug inside the nanotube compared to its adsorption onto the defective nanotube external surface. Armchair CNTs with one and two defects exhibit better results compared with those with four and fifteen defects. Each haeckelite defect consists of a pair of square and octagonal rings. DOX-CNT binding free energies are predicted to be dependent on: (i) nanotube chirality and diameter, (ii) the number of defects, (iii) nitrogen doping and (iv) the position of the encapsulated DOX inside the nanotube. Armchair (10,10) nanotubes with two haeckelite defects, doped with nitrogen, exhibit the best drug-nanotube binding free energies compared with zigzag and fully hydrogenated nanotubes and, also previously reported ones with bumpy defects. These results contribute to further understanding drug-nanotube interactions and their potential application to the design of new drug delivery systems.</t>
  </si>
  <si>
    <t>10.3390/molecules24234281</t>
  </si>
  <si>
    <t>WOS:000507294400080</t>
  </si>
  <si>
    <t>Quiroz, M; Flores, F</t>
  </si>
  <si>
    <t>Quiroz, Madelaine; Flores, Felipe</t>
  </si>
  <si>
    <t>Nitrogen availability, maturity and stability of bokashi-type fertilizers elaborated with different feedstocks of animal origin</t>
  </si>
  <si>
    <t>ARCHIVES OF AGRONOMY AND SOIL SCIENCE</t>
  </si>
  <si>
    <t>Organic amendments, such as bokashi, are applied to the soil to increase the N. However, the available N provided by these fertilizers and the feedstocks with which they are produced have been poorly documented. In this work, the available N in bokashi was evaluated as well as their biological stability and chemical maturity. The treatments bokashi poultry (WVP); bokashi swine (WVS) and bokashi control (WVC) contained wheat straw and vegetable wastes; WVP and WVS also included poultry and swine manure, respectively. The temperature, mineral N, pH, EC, CO2 production rate and germination index (IG) were measured. At the end of the trial, all of the treatments' temperatures exceeded room temperature. The WVP presented a higher mineral N (1,054 mg kg(-1)) than the WVS (844 mg kg(-1)) and the WVC (907 mg kg(-1)). In all treatments, the NH4+ and NO3- decreased. EC reached phytotoxicity levels in all treatments (EC &gt; 3 dS m(-1)). None of the treatments showed biological stability or chemical maturity (IG of WVP, WVS and WVC: 10%, 29% and 19%, respectively). Therefore, it is concluded that applying these bokashi to soils could limit crop growth due to phytotoxic effects and immobilization of transient N.</t>
  </si>
  <si>
    <t>Flores, Felipe/HPC-9190-2023; Quiroz, Madelaine/ACG-9162-2022</t>
  </si>
  <si>
    <t>0365-0340</t>
  </si>
  <si>
    <t>1476-3567</t>
  </si>
  <si>
    <t>10.1080/03650340.2018.1524138</t>
  </si>
  <si>
    <t>WOS:000463788000011</t>
  </si>
  <si>
    <t>Baeriswyl, MVC</t>
  </si>
  <si>
    <t>IOP</t>
  </si>
  <si>
    <t>Correa Baeriswyl, Maria Victoria</t>
  </si>
  <si>
    <t>Rio Seco, One of the First Freezer Plants of Chilean Patagonia. An Unknown Industrial Site in Magallanes</t>
  </si>
  <si>
    <t>3RD WORLD MULTIDISCIPLINARY CIVIL ENGINEERING, ARCHITECTURE, URBAN PLANNING SYMPOSIUM (WMCAUS 2018)</t>
  </si>
  <si>
    <t>IOP Conference Series-Materials Science and Engineering</t>
  </si>
  <si>
    <t>3rd World Multidisciplinary Civil Engineering, Architecture, Urban Planning Symposium (WMCAUS)</t>
  </si>
  <si>
    <t>JUN 18-22, 2018</t>
  </si>
  <si>
    <t>During recent years, the valorization of architectural heritage has been an important subject of national debate in Chilean society. After decades of neglect, local heritage is achieving an important role in the country. In recent years, local legal regulations are evolving in order to guarantee a better heritage conservation. Even if listed heritage is increasing year by year in Chile, there are still several cultural sites not yet detected and studied. The present article exposes the main results of an historical research, related to the Freezer Plant of Rio Seco, an historical industrial site located in Patagonia, at Rio Seco district, near the city of Punta Arenas, in the South region of Chile, Magallanes. This site is not yet listed as heritage, even if it presents highly potential to be officially recognized The Freezer Plant of Rio Seco, was one of the first industries of its type in Magallanes Region. This plant was built in the beginning of the 20th century, founded by a British company operating in Chile at that time. This company was called The South American Export Syndicate, and it was conformed at London, England, in 1903. The industry of Rio Seco processed sheep meat, for international export. When sheep breeding was successfully introduced in this Chilean region, exceeding internal consumption, different freezer plants were established in this territory. Rio Seco was one of the first industries of this type. With the incipient technology of that time, frozen meet could last long periods of time, and reach far destinations in different continents by ship, as Europe and North America, starting from the plant's port at Chilean Patagonia.The installation of this Freezer Plant, started the conformation of a whole town, called Rio Seco, where housing, and urban services were provided directly by the company to local workers. Due to its conformation and connections to the economic and urban history of Magallanes Region, this site can be considered as Chilean industrial heritage, with highly cultural interest. In spite of its historical value, the industrial site of Rio Seco is not yet listed as national heritage. In recent decades, its decay has go on progressively. Spread the cultural relevance of this Freezer Plant and its history, could motivate its safeguard, and future conservation.</t>
  </si>
  <si>
    <t>1757-8981</t>
  </si>
  <si>
    <t>10.1088/1757-899X/471/7/072021</t>
  </si>
  <si>
    <t>WOS:000465811803017</t>
  </si>
  <si>
    <t>Echeverría, CF</t>
  </si>
  <si>
    <t>Echeverria, Cristobal Friz</t>
  </si>
  <si>
    <t>REVISITING THE DISCUSSION BETWEEN AUGUSTO SALAZAR AND LEOPOLDO ZEA</t>
  </si>
  <si>
    <t>This paper aims the discussion between Augusto Salazar Bondy and Leopoldo Zea about lateinamerican philosophy, that takes place towards the end of the 1960s. The objective is to show that this discussion is the place of a differendum; that means, of confict between dissimilar positions and representations, in some cases irreconcilable. As proposed, what is discussed in that controversy is the meaning of philo.sophy and the philosophical, in contexs of enunciation such Latin America. For this, we review some conceptual nuclei of the dispute, showing it as a current philosophical discussion.</t>
  </si>
  <si>
    <t>WOS:000594488700005</t>
  </si>
  <si>
    <t>Robles-Ortiz, C</t>
  </si>
  <si>
    <t>Robles-Ortiz, Claudio</t>
  </si>
  <si>
    <t>Mechanisation in the Periphery: The Experience of Chilean Agriculture, c. 1850-90</t>
  </si>
  <si>
    <t>RURAL HISTORY-ECONOMY SOCIETY CULTURE</t>
  </si>
  <si>
    <t>This article examines mechanisation during the period of export-led growth in Chilean agriculture, c. 1850-90. According to conventional wisdom, since labour was cheap, landowners did not modernise their haciendas. The introduction of machinery was late and superficial; the large estate remained backward and inefficient. This view is flawed by lack of quantitative evidence and a narrow approach. Using imports and stocks data, and case material from the National Agricultural Society's bulletin, the article presents an alternative interpretation. The development of the market for agricultural equipment involved a fruitful exchange of technical expertise between the foreign importing companies and local landowners and experts. Mechanisation solved labour supply bottlenecks, and developed primarily on harvest tasks, above all the threshing of wheat. The scale and pattern of mechanisation were consistent with the development of this process in other countries' older agricultures. The area mechanically harvested was much larger than previously estimated. Mechanisation was a significant transformation in the agricultural sector.</t>
  </si>
  <si>
    <t>Robles-Ortiz, Claudio/IAQ-6409-2023</t>
  </si>
  <si>
    <t>Robles-Ortiz, Claudio/0000-0003-3041-7838</t>
  </si>
  <si>
    <t>0956-7933</t>
  </si>
  <si>
    <t>1474-0656</t>
  </si>
  <si>
    <t>10.1017/S0956793318000067</t>
  </si>
  <si>
    <t>WOS:000444083600004</t>
  </si>
  <si>
    <t>Vallejos, REA</t>
  </si>
  <si>
    <t>Alvarez Vallejos, Rolando Eugenio</t>
  </si>
  <si>
    <t>Latin America in the Communist International, 1919 - 1943. Biographical Dictionary</t>
  </si>
  <si>
    <t>HISTORIA MEXICANA</t>
  </si>
  <si>
    <t>0185-0172</t>
  </si>
  <si>
    <t>JUL-SEP</t>
  </si>
  <si>
    <t>WOS:000438170800022</t>
  </si>
  <si>
    <t>Rojas, A; Torres, A; Añazco, A; Villegas, C; Galotto, MJ; Guarda, A; Romero, J</t>
  </si>
  <si>
    <t>Rojas, Adrian; Torres, Alejandra; Anazco, Alejandro; Villegas, Carolina; Jose Galotto, Maria; Guarda, Abel; Romero, Julio</t>
  </si>
  <si>
    <t>Effect of pressure and time on scCO2-assisted incorporation of thymol into LDPE-based nanocomposites for active food packaging</t>
  </si>
  <si>
    <t>JOURNAL OF CO2 UTILIZATION</t>
  </si>
  <si>
    <t>In this work, the scCO(2)-assisted incorporation of thymol in LDPE nanocomposites with different concentrations of an organo-modified montmorillonite (OM-MMT) nanoclay is proposed as the preparation method of an antimicrobial food packaging system. Mass transfer characterization of thymol, for both incorporation and release processes, as a function of the nanoclay content of the material and the CO2 pressure during the impregnation at 313 K was carried out as well as the structural characterization of the nanocomposites, which was developed for a better understanding of the impregnation and release processes. From the incorporation and release experiments and their theoretical analysis, it was obtained that the intercalated structure of the nanocomposite materials did not involve an additional resistance to the thymol incorporation in the polymer structure during the scCO(2)-assisted impregnation process. Nevertheless, the decrease of the diffusion coefficient of thymol in the nanocomposite, D-eff, during the release process from the material to a food simulant was observed. Thus, the D-eff associated to thymol uptake in the nanocomposite materials took values between 2.17 x 10(-12) and 2.44 x 10(-11) m(2) s(-1). Meanwhile, the D-eff of thymol associated to its release from the nanocomposite took values between 7.0 and 9.0 x 10(-14) m(2) s(-1). Finally, the developed nanocomposite materials showed a thymol concentration that allows a strong antibacterial activity against S. aureus and E. coli.</t>
  </si>
  <si>
    <t>Rojas, Adrián/AAR-9441-2021; Torres, Alejandra/LPQ-5664-2024; Romero, Julio/I-6705-2013</t>
  </si>
  <si>
    <t>Romero, Julio/0000-0002-1229-1592; Rojas, Adrian/0000-0001-9253-1295</t>
  </si>
  <si>
    <t>2212-9820</t>
  </si>
  <si>
    <t>2212-9839</t>
  </si>
  <si>
    <t>10.1016/j.jcou.2018.05.031</t>
  </si>
  <si>
    <t>WOS:000439069700045</t>
  </si>
  <si>
    <t>Hidden superconformal symmetry: Where does it come from?</t>
  </si>
  <si>
    <t>It is known that a single quantum harmonic oscillator is characterized by a hidden spectrum generating superconformal symmetry, but its origin has remained rather obscure. We show how this hidden superconformal symmetry can be derived by applying a nonlocal Foldy-Wouthuysen transformation to three extended systems with fermion degrees of freedom. The associated systems have essentially different nature from the point of view of conventional supersymmetric quantum mechanics, and generate the desired hidden symmetry in three different ways. We also trace out how the hidden superconformal symmetry of the quantum free particle system is produced in the limit of zero frequency.</t>
  </si>
  <si>
    <t>FEB 5</t>
  </si>
  <si>
    <t>10.1103/PhysRevD.97.045002</t>
  </si>
  <si>
    <t>WOS:000424090300004</t>
  </si>
  <si>
    <t>Brower Beltramin, Jorge</t>
  </si>
  <si>
    <t>Brief reflection on an epistemic/scientific condition prior to technological development</t>
  </si>
  <si>
    <t>WOS:000483366800001</t>
  </si>
  <si>
    <t>Zamorano, CN</t>
  </si>
  <si>
    <t>Negrete Zamorano, Catalina</t>
  </si>
  <si>
    <t>IMPACT ON TEACHER KNOWLEDGE AND FEELING TACKLING CHALLENGES, TRAINING FOR THE SOCIO-PRODUCTIVE ENVIRONMENT Prologue</t>
  </si>
  <si>
    <t>WOS:000480327100001</t>
  </si>
  <si>
    <t>Peredo, S; Barrera, C</t>
  </si>
  <si>
    <t>Peredo, Santiago; Barrera, Claudia</t>
  </si>
  <si>
    <t>Ethnobotanical uses, action strategies and cultural transmission of plant resources in the Maule Region, South Central Chile</t>
  </si>
  <si>
    <t>The aims of this research are a) to identify the main plant resources used by the community of the locality of Armerillo, their use and / or application; b) to establish the seasonality of such products and strategies developed by families of Armerillo for their availability and, c) to determine the main mechanism of transmission of local knowledge used by the community. The field work was developed in two phases, a first one, in which a survey was conducted with closed questionnaire supplemented with transects in the environment. In the second phase, in which in-depth interviews were carried out with those people who showed a greater knowledge regarding the attributes of the different products and mechanisms of transmission of the adverted knowledge. It is concluded that popular knowledge has revealed uses that had not been reported before for the species described for this sector. In the same way, some uses and attributes of some species were unknown to the surveyed population. The seasonality of the species is handled with the implementation of various techniques that make possible total or partial availability out of season. The main mechanism of cultural transmission is vertical, with the family being the main socialization agency. Besides, horizontal transmission is less important.</t>
  </si>
  <si>
    <t>WOS:000405695600005</t>
  </si>
  <si>
    <t>Plyushchay, MS</t>
  </si>
  <si>
    <t>Plyushchay, Mikhail S.</t>
  </si>
  <si>
    <t>Schwarzian derivative treatment of the quantum second-order supersymmetry anomaly, and coupling-constant metamorphosis</t>
  </si>
  <si>
    <t>A canonical quantization scheme applied to a classical supersymmetric system with quadratic in momentum supercharges gives rise to a quantum anomaly problem described by a specific term to be quadratic in Planck constant. We reveal a close relationship between the anomaly and the Schwarzian derivative, and specify a quantization prescription which generates the anomaly-free supersymmetric quantum system with second order supercharges. We also discuss the phenomenon of a coupling-constant metamorphosis that associates quantum systems with the first-order super symmetry to the systems with the second-order supercharges. (C) 2016 Elsevier Inc. All rights reserved.</t>
  </si>
  <si>
    <t>10.1016/j.aop.2016.12.003</t>
  </si>
  <si>
    <t>WOS:000394197800015</t>
  </si>
  <si>
    <t>Adasme, P; Seguel, F; Soto, I; Juan, ES</t>
  </si>
  <si>
    <t>Adasme, Pablo; Seguel, Fabian; Soto, Ismael; San Juan, Enrique</t>
  </si>
  <si>
    <t>Spatial Time Division Multiple Access for Visible Light Communication Networks</t>
  </si>
  <si>
    <t>2017 FIRST SOUTH AMERICAN COLLOQUIUM ON VISIBLE LIGHT COMMUNICATIONS (SACVLC)</t>
  </si>
  <si>
    <t>1st South American Colloquium on Visible Light Communications (IEEE SACVLC)</t>
  </si>
  <si>
    <t>NOV 13, 2017</t>
  </si>
  <si>
    <t>Santiago, CHILE</t>
  </si>
  <si>
    <t>IEEE Chile Sect,Univ Santiago Chile,Telefonica Fundac,Movistar</t>
  </si>
  <si>
    <t>Visible light communication (VLC) technology has recently emerged as a new complementarity approach to radio frequency (RF) methods as it allows transmission data rates of significantly high orders of magnitude [3], [6]. Since power transmission in a VLC network is directly affected by the quality of the channel between the emitter and receiver, it is highly necessary to find minimum slot schedules with minimum power cost while ensuring the whole connectivity of the network. Spatial Time Division Multiple Access (STDMA) protocol achieves full connectivity in wireless networks by allowing simultaneous data rate transmission of multiple nodes within each time slot [10]. In this paper, we propose a weighted mixed integer linear programming (MIP) model to minimize the total number of slots and power consumption in a VLC network. First, we solve the optimization problem assuming that the number of slots can be as large as the number of edges in the network. Then, as second strategy we further propose a greedy algorithm that allows to obtain a reduced slot feasible schedule required to establish communication for every node in the network. The number of slots found by the greedy algorithm is used as input to solve the optimization problem as well. We consider disk graph instances with different densities, radial transmission ranges for direct Line of Sight (LOS) communication and generate power data using VLC formulas. Our preliminary numerical results indicate that the greedy algorithm reduces significantly the CPU time and number of variables of the proposed MIP model leading to optimal solutions with more efficiency.</t>
  </si>
  <si>
    <t>Seguel, Fabian/0000-0001-6567-8988; Soto, Ismael/0000-0002-5501-5651</t>
  </si>
  <si>
    <t>978-1-5386-1782-3</t>
  </si>
  <si>
    <t>WOS:000428142700005</t>
  </si>
  <si>
    <t>Gutiérrez, A; Lillo, F; Ugalde, S</t>
  </si>
  <si>
    <t>Li, X; Feng, Y; Mustoe, G</t>
  </si>
  <si>
    <t>Gutierrez, Alejandro; Lillo, Fernando; Ugalde, Sebastian</t>
  </si>
  <si>
    <t>Material Transport Study into a SAG Mill by DEM Impact on the Inclination of Lifter</t>
  </si>
  <si>
    <t>PROCEEDINGS OF THE 7TH INTERNATIONAL CONFERENCE ON DISCRETE ELEMENT METHODS</t>
  </si>
  <si>
    <t>Springer Proceedings in Physics</t>
  </si>
  <si>
    <t>7th International Conference on Discrete Element Methods (DEM)</t>
  </si>
  <si>
    <t>AUG 01-04, 2016</t>
  </si>
  <si>
    <t>Dalian Univ Technol, Dalian, PEOPLES R CHINA</t>
  </si>
  <si>
    <t>State Key Lab Struct Anal Ind Equipment,Beijing Hi Key Tech Co Ltd</t>
  </si>
  <si>
    <t>Dalian Univ Technol</t>
  </si>
  <si>
    <t>This research studies the application of the discrete element method in the kinematics and dynamics of the flux of material and milling methods occurring inside a SAG mill of 40' x 26', working on normal operation conditions with a capacity of 120.000 ton/day. It is used a feeding granularity F80 of 150 mm at a critical speed rate of 72 %. Also, the study works with a DEM contact model between bodies which contains elastic and shock-absorber elements, the last ones have been varied to consider the presence of liquid inside the mill that changes the impact coefficients between the different surfaces to consider. The study begins with straight-line lifters, as they are used nowadays in the concentrators of the world. Then, there are proposed 4 cases which consider inclined lifters of 10, 15, 20, 25, 30 and 45 degrees. The flux behavior will be studied, determining the exit flux and the wear produced on each case. With these results obtained it is possible to conclude whether it's feasible to add inclined lifters or not.</t>
  </si>
  <si>
    <t>0930-8989</t>
  </si>
  <si>
    <t>978-981-10-1926-5; 978-981-10-1925-8</t>
  </si>
  <si>
    <t>10.1007/978-981-10-1926-5_133</t>
  </si>
  <si>
    <t>WOS:000416515400133</t>
  </si>
  <si>
    <t>García-Hermoso, A</t>
  </si>
  <si>
    <t>Garcia-Hermoso, A.</t>
  </si>
  <si>
    <t>Aerobic capacity as a mediator of the influence of birth weight and school performance</t>
  </si>
  <si>
    <t>JOURNAL OF DEVELOPMENTAL ORIGINS OF HEALTH AND DISEASE</t>
  </si>
  <si>
    <t>Low birth weight is associated with cognitive impairments persisting into adolescence and early adulthood. The purposes of this study was two-fold: to analyse the association between birth weight (BW) and school performance, and to determine the influence of adolescent aerobic capacity and muscular strength on the association between BW and school performance in children at 12-13 years. The study included 395 children (50.4% boys, aged 12-13 years). Self-reported BW was evaluated. We measured school performance (mean of the grades obtained in language and mathematics) and two physical fitness tests (aerobic capacity and muscular strength). Analysis of variance was used to analyse the differences in school performance according to BW categories (&lt;= 2500, 2500-3500 and &gt;= 3500 g). Linear regression models fitted for mediation analyses examined whether the association between BW and school performance was mediated by aerobic capacity and/or muscular strength. Higher BW was associated with better school performance independent of current body mass index. These differences disappeared after controlling for aerobic capacity, which also mediated the association between BW and school performance (13.4%). The relationship between BW and school performance seems to be dependent on aerobic capacity fitness. Our results are of importance because the consequences of BW tend to continue into childhood, and current physical fitness of the children may potentially be modified to improve school performance.</t>
  </si>
  <si>
    <t>García-Hermoso, Antonio/ADU-2591-2022; Garcia-Hermoso, Antonio/P-1857-2017</t>
  </si>
  <si>
    <t>Garcia-Hermoso, Antonio/0000-0002-1397-7182</t>
  </si>
  <si>
    <t>2040-1744</t>
  </si>
  <si>
    <t>2040-1752</t>
  </si>
  <si>
    <t>10.1017/S204017441600012X</t>
  </si>
  <si>
    <t>WOS:000379780300001</t>
  </si>
  <si>
    <t>Ispolatov, Y</t>
  </si>
  <si>
    <t>Ispolatov, Yaroslav</t>
  </si>
  <si>
    <t>Small-scale universality and large-scale diversity Comment on Drivers of structural features in gene regulatory networks: From biophysical constraints to biological function by OC Martin, A. Krzywicki, and M. Zagorski</t>
  </si>
  <si>
    <t>PHYSICS OF LIFE REVIEWS</t>
  </si>
  <si>
    <t>Ispolatov, Iaroslav/E-8544-2010</t>
  </si>
  <si>
    <t>Ispolatov, Iaroslav/0000-0002-0201-3396</t>
  </si>
  <si>
    <t>1571-0645</t>
  </si>
  <si>
    <t>1873-1457</t>
  </si>
  <si>
    <t>10.1016/j.plrev.2016.06.003</t>
  </si>
  <si>
    <t>WOS:000381544100032</t>
  </si>
  <si>
    <t>Gonzalez, P; Bonacic, C; Marin, M</t>
  </si>
  <si>
    <t>Cotronis, Y; Daneshtalab, M; Papadopoulos, GA</t>
  </si>
  <si>
    <t>Gonzalez, Pablo; Bonacic, Carolina; Marin, Mauricio</t>
  </si>
  <si>
    <t>A Hybrid load-balancing solution for S4 stream processing systems</t>
  </si>
  <si>
    <t>2016 24TH EUROMICRO INTERNATIONAL CONFERENCE ON PARALLEL, DISTRIBUTED, AND NETWORK-BASED PROCESSING (PDP)</t>
  </si>
  <si>
    <t>24th Euromicro International Conference on Parallel, Distributed, and Network-Based Processing (PDP)</t>
  </si>
  <si>
    <t>FEB 17-19, 2016</t>
  </si>
  <si>
    <t>Heraklion, GREECE</t>
  </si>
  <si>
    <t>Natl Kapodistrian Univ Athens,KTH Vetenskap Och Konst</t>
  </si>
  <si>
    <t>Stream processing systems (SPSs) are created by the need to process a continuous flow of information with variable magnitude in order to detect and process events as close as possible to real time. These systems are deployed in clusters of processors to get benefits from the distributed processing in order to scale up applications. The present work addresses the load balancing problem in SPSs that appears when working on distributed systems. A hybrid solution is presented which is assessed in the S4 system. The results show that it is possible to generate a solution that is decentralized, information lossless and transparent to application developers, that is capable of evenly distributing the load on the processors.</t>
  </si>
  <si>
    <t>Marin, Mauricio/0000-0003-0662-7149</t>
  </si>
  <si>
    <t>978-1-4673-8776-7</t>
  </si>
  <si>
    <t>WOS:000381810900029</t>
  </si>
  <si>
    <t>Rodríguez, F; Galotto, MJ; Guarda, A; Bruna, J</t>
  </si>
  <si>
    <t>Ramawat, KG; Ahuja, MR</t>
  </si>
  <si>
    <t>Rodriguez, Francisco; Galotto, Maria J.; Guarda, Abel; Bruna, Julio</t>
  </si>
  <si>
    <t>Modification of Cellulose Acetate Films</t>
  </si>
  <si>
    <t>FIBER PLANTS: BIOLOGY, BIOTECHNOLOGY AND APPLICATIONS</t>
  </si>
  <si>
    <t>Sustainable Development and Biodiversity</t>
  </si>
  <si>
    <t>In the last decades, the petroleum-based plastic materials have become essential materials for many industries. This kind of materials has excellent physical properties with a wide range of applications, and moreover, they are low cost and easy processing materials. However, despite the advantages offered by these materials, a massive accumulation of their wastes has produced a negative impact on the environment. So, the development of plastic materials based on bio-based polymers has been proposed as a solution to address this issue, because these materials are more environmentally friendly. A very interesting option to develop eco-friendly plastics is cellulose because this polysaccharide is the most abundant in the nature. New development based on cellulose is focused on its derivatives because they have better processability than pure cellulose. A good option is cellulose acetate because it is a biodegradable polysaccharide with good physical properties such as optical clarity and high toughness. Moreover, it is a very interesting material because its physical properties can be modified by mean of different strategies. In this context, this chapter focuses primarily to describe the use of nanofillers to produce reinforced cellulose acetate nanocomposites, and the use of active substances to generate active materials.</t>
  </si>
  <si>
    <t>Rodríguez, Francisco/I-5283-2018; bruna, julio/AAM-6867-2021</t>
  </si>
  <si>
    <t>2352-474X</t>
  </si>
  <si>
    <t>978-3-319-44570-0; 978-3-319-44569-4</t>
  </si>
  <si>
    <t>10.1007/978-3-319-44570-0_11</t>
  </si>
  <si>
    <t>10.1007/978-3-319-44570-0</t>
  </si>
  <si>
    <t>WOS:000402839200012</t>
  </si>
  <si>
    <t>Mur, T; Henriquez, HR</t>
  </si>
  <si>
    <t>Mur, Therese; Henriquez, Hernan R.</t>
  </si>
  <si>
    <t>RELATIVE CONTROLLABILITY OF LINEAR SYSTEMS OF FRACTIONAL ORDER WITH DELAY</t>
  </si>
  <si>
    <t>MATHEMATICAL CONTROL AND RELATED FIELDS</t>
  </si>
  <si>
    <t>In this paper we are concerned with the controllability of control systems governed by a fractional differential equations with delay. Using the Mittag-Leffler function we define the concept of solution, and applying the properties of the Laplace transform we characterize the relative or pointwise controllability of the system. Our results generalize those of Kirillova and Churakova, which were established for first order systems. Finally, we show that functionally controllable fractional systems are rare.</t>
  </si>
  <si>
    <t>2156-8472</t>
  </si>
  <si>
    <t>2156-8499</t>
  </si>
  <si>
    <t>10.3934/mcrf.2015.5.845</t>
  </si>
  <si>
    <t>WOS:000364578500007</t>
  </si>
  <si>
    <t>Larraguibel, RW; Gonzalez, M; Fuenzalida, CAP; Walton, L</t>
  </si>
  <si>
    <t>Walton Larraguibel, Roderick; Gonzalez, Marcela; Palma Fuenzalida, Camilo Andres, Sr.; Walton, Lindsay</t>
  </si>
  <si>
    <t>Concurrent Cesarean Surgery and Abdominoplasty A Plausible Alternative-Review of 21 Cases</t>
  </si>
  <si>
    <t>OBSTETRICS AND GYNECOLOGY</t>
  </si>
  <si>
    <t>61st Annual Clinical Meeting of the American-College-of-Obstetricians-and-Gynecologists - Women's Health Care Physicians</t>
  </si>
  <si>
    <t>MAY 07, 2013</t>
  </si>
  <si>
    <t>New Orleans, LA</t>
  </si>
  <si>
    <t>Amer Coll Obstetricians &amp; Gynecologists</t>
  </si>
  <si>
    <t>0029-7844</t>
  </si>
  <si>
    <t>65S</t>
  </si>
  <si>
    <t>10.1097/01.AOG.0000463767.26060.e9</t>
  </si>
  <si>
    <t>WOS:000354128700217</t>
  </si>
  <si>
    <t>More than the Parts: W. E. Ritter, the Scripps Marine Association, and the Organismal Conception of Life</t>
  </si>
  <si>
    <t>HISTORICAL STUDIES IN THE NATURAL SCIENCES</t>
  </si>
  <si>
    <t>In 1903, the Scripps Marine Association was founded in La Jolla, San Diego. It was rechristened the Scripps Institution of Oceanography two decades later. Today it is one of the largest marine research institutions in the world. The present study aims to reconstruct the history of this institution during the first years of its existence, the life of its first director, W. E. Ritter, and the cultural and scientific background of both. In particular, through the use of archival sources and unpublished materials, the essay reports on Ritter's dream to import a form of holistic biology from Europe to southern California This biology, which Ritter termed organismal, had to challenge reductionist and mechanist approaches to life sciences, including Weismann's and Mendelian's theories of heredity, both considered ideologically biased, politically dangerous, and scientifically flawed. Ritter believed that his new biology had to be grounded in a pluralist approach where laboratory and field investigations went hand in hand. In addition, the new biology had to support a progressivist political agenda whereby biological studies were linked with the political progress and the democratization of California and the United States. Despite its ambitions, Ritter's research program was rapidly forgotten after the 1930s. In the conclusion, the article explores a few possible hypotheses explaining why this happened.</t>
  </si>
  <si>
    <t>1939-1811</t>
  </si>
  <si>
    <t>1939-182X</t>
  </si>
  <si>
    <t>10.1525/hsns.2015.45.2.273</t>
  </si>
  <si>
    <t>WOS:000353366100002</t>
  </si>
  <si>
    <t>Valenzuela, B; Imarai, M; Catalán, R; Parra, M; Soto, S; Sandino, AM; Torres, R; Modak, B</t>
  </si>
  <si>
    <t>Valenzuela, Beatriz; Imarai, Monica; Catalan, Romina; Parra, Mick; Soto, Sarita; Maria Sandino, Ana; Torres, Rene; Modak, Brenda</t>
  </si>
  <si>
    <t>Evaluation of the bactericidal activity of secondary metabolites isolated from Heliotropium genus against Piscirickettsia salmonis</t>
  </si>
  <si>
    <t>The intracellular bacteria Piscirickettsia salmonis is the most prevalent pathogen in the Chilean salmon industry, responsible for 50% of losses in recent years. So far, there are no effective treatments to control infections by this pathogen due to the emergence of antibiotics resistance. Therefore, it is extremely important to conduct research to find successful antibacterial therapies. In this paper, we evaluated the in vitro bactericidal activity of flavonoids and aromatic geranyl derivatives isolated from the resinous exudate of species Heliotropium filifolium, H. sinuatum y H. huascoense. The results showed that the compounds Filifolinone, Naringenine and 3-O-methylgalangine cause different percentage of mortality of bacteria and therefore they are good candidates to continue its evaluation in vitro and in vivo.</t>
  </si>
  <si>
    <t>WOS:000351495000007</t>
  </si>
  <si>
    <t>Vásquez, OC; Osorio-Valenzuela, L; Quezada, F</t>
  </si>
  <si>
    <t>LeThi, HA; Dinh, TP; Nguyen, NT</t>
  </si>
  <si>
    <t>Vasquez, Oscar C.; Osorio-Valenzuela, Luis; Quezada, Franco</t>
  </si>
  <si>
    <t>Exploring a Resolution Method Based on an Evolutionary Game-Theoretical Model for Minimizing the Machines with Limited Workload Capacity and Interval Constraints</t>
  </si>
  <si>
    <t>MODELLING, COMPUTATION AND OPTIMIZATION IN INFORMATION SYSTEMS AND MANAGEMENT SCIENCES - MCO 2015 - PT II</t>
  </si>
  <si>
    <t>Advances in Intelligent Systems and Computing</t>
  </si>
  <si>
    <t>3rd International Conference on Modelling, Computation and Optimization in Information Systems and Management Sciences (MCO)</t>
  </si>
  <si>
    <t>MAY 11-13, 2015</t>
  </si>
  <si>
    <t>Univ Lorraine, FRANCE</t>
  </si>
  <si>
    <t>Univ Lorraine, Lab Theoret &amp; Appl Comp Sci,UFR Mathematique Informatique Mecanique Automatique,Conseil Reg Lorraine,Conseil Gen Moselle,Springer,IEEE France Sect,Mairie Metz,Metz Metropole</t>
  </si>
  <si>
    <t>Univ Lorraine</t>
  </si>
  <si>
    <t>We present an extension of the machines minimization for scheduling jobs with interval constraints, adding a limited machines workload capacity. We are motivated by the fixed-speed processors minimization problem subject to energy constraints, in which the time resolution is a critical factor for the quality of service in the system. We propose a mixed integer linear programming (MILP) model for an exact solution and explore an alternative resolution method based on a noncooperative evolutionary theoretical-game model. Our resolution method guarantees a feasible solution to the problem and the computational experiments with a timeout of 3 minutes show that it finds a solution with a number of machines less than or equal to the number of machines for a 97,19% of instances in comparison with the MILP solution over CPLEX 12.6.1.0, in only deciseconds.</t>
  </si>
  <si>
    <t>2194-5357</t>
  </si>
  <si>
    <t>978-3-319-18167-7; 978-3-319-18166-0</t>
  </si>
  <si>
    <t>10.1007/978-3-319-18167-7_28</t>
  </si>
  <si>
    <t>WOS:000377866400028</t>
  </si>
  <si>
    <t>Valdebenito, HV</t>
  </si>
  <si>
    <t>Venegas Valdebenito, Hernan</t>
  </si>
  <si>
    <t>WELFARE, POLITICAL AND SOCIAL CONTROL IN COAL MINING. THE EXPERIENCE OF LOTA AND CORONEL IN THE 20TH CENTURY</t>
  </si>
  <si>
    <t>ATENEA</t>
  </si>
  <si>
    <t>This article discusses the strategies of social control established by coal companies in Chile, since 1920 until mid-century and the ability of workers to resist them. It recognizes the control mechanisms exercised by these companies, associated with practices of industrial paternalism, perfected in those decades through a more complex design represented by the creation of the Welfare Departments.</t>
  </si>
  <si>
    <t>0718-0462</t>
  </si>
  <si>
    <t>WOS:000361271500012</t>
  </si>
  <si>
    <t>Urrea, C; Acosta, S</t>
  </si>
  <si>
    <t>Urrea, C.; Acosta, S.</t>
  </si>
  <si>
    <t>Design and Implementation of Electronic Controllers and its Automated Vision System</t>
  </si>
  <si>
    <t>In this paper three electronic controllers are designed and implemented. A model for a two axes gimbal is revised. Their performance, in front of the external perturbation, is presented for a PD controller, a fuzzy logic controller and a model reference adaptive controller. A robotized gimbal system is designed and implemented in which real and practical experiments are performed. Its dynamic performance, in front of external perturbations, is analyzed, evaluated, and the results are presented.</t>
  </si>
  <si>
    <t>10.1109/TLA.2014.6868852</t>
  </si>
  <si>
    <t>WOS:000341576900002</t>
  </si>
  <si>
    <t>Madrid, R; Pertusa, M</t>
  </si>
  <si>
    <t>Islas, LD; Qin, F</t>
  </si>
  <si>
    <t>Madrid, Rodolfo; Pertusa, Maria</t>
  </si>
  <si>
    <t>Intimacies and Physiological Role of the Polymodal Cold-Sensitive Ion Channel TRPM8</t>
  </si>
  <si>
    <t>THERMAL SENSORS</t>
  </si>
  <si>
    <t>Current Topics in Membranes</t>
  </si>
  <si>
    <t>The detection of environmental temperature is critical for the survival of the most diverse organisms. Thermosensitive transient receptor potential (thermoTRP) channels have evolved as a class of ion channels activated by a wide range of temperatures. These molecular thermal sensors are spread through the different TRP channel subfamilies. Among the Melastatin subfamily of TRP channels, the eighth member, TRPM8, is a calcium-permeable cationic ion channel activated by cold, by substances that evokecold sensation such as menthol, and by voltage. This channel is considered the main molecular entity responsible for the sensitivity to cold of primary sensory neurons of the somatosensory system. Here we present to the readers a summary of some the most relevant biophysical properties, physiological role, and molecular intimacies of this polymodal thermoTRP channel.</t>
  </si>
  <si>
    <t>Madrid, Rodolfo/MCJ-4974-2025</t>
  </si>
  <si>
    <t>Madrid, Rodolfo/0000-0002-8623-5761; Pertusa, Maria/0000-0003-3856-9019</t>
  </si>
  <si>
    <t>1063-5823</t>
  </si>
  <si>
    <t>978-0-12-800181-3</t>
  </si>
  <si>
    <t>10.1016/B978-0-12-800181-3.00011-7</t>
  </si>
  <si>
    <t>WOS:000449376400012</t>
  </si>
  <si>
    <t>Richards, H</t>
  </si>
  <si>
    <t>Richards, Howard</t>
  </si>
  <si>
    <t>Unbounded organisation and the future of socialism</t>
  </si>
  <si>
    <t>EDUCATION AS CHANGE</t>
  </si>
  <si>
    <t>This article starts with the question whether the socialism Neville Alexander advocated is a thing of the past or a prospect for the future. It considers two forms of 20(th)-century socialism, the centrally planned economy and social democracy, in the light of Marx's concept of accumulation. Accumulation' names both the logic of capitalism and the dynamic that drives it. A focus on the need to deal with the probability that the accumulation dynamic will falter in the process of moving from capitalism to socialism helps to explain socialism's decline. Unbounded organisation' is introduced as a broader concept that includes the bounded' social organisation that frames capitalism and its accumulation dynamic as a special case. It helps to both explain the decline of socialism and to suggest how to reverse that decline. It is suggested that the socialism of the future can best be defined not as a certain form of social organisation, but rather as the power of the people to choose the set of economic and other institutions that works best for them. Three of Alexander's contributions to building an unbounded socialism are found in his proposals for grass-roots organising at the neighbourhood level, in his promotion of multilingualism, and in his advocacy of alternative education.</t>
  </si>
  <si>
    <t>1682-3206</t>
  </si>
  <si>
    <t>1947-9417</t>
  </si>
  <si>
    <t>10.1080/16823206.2013.803662</t>
  </si>
  <si>
    <t>WOS:000320359700007</t>
  </si>
  <si>
    <t>Ortega, L</t>
  </si>
  <si>
    <t>Ortega, Luis</t>
  </si>
  <si>
    <t>Mining for the Nation: The Politics of Chile's Coal Communities from the Popular Front to the Cold War</t>
  </si>
  <si>
    <t>LABOUR-LE TRAVAIL</t>
  </si>
  <si>
    <t>0700-3862</t>
  </si>
  <si>
    <t>1911-4842</t>
  </si>
  <si>
    <t>FAL</t>
  </si>
  <si>
    <t>WOS:000327907200061</t>
  </si>
  <si>
    <t>Mendoza, L; Cotoras, M; Vivanco, M; Matsuhiro, B; Torres, S; Aguirre, M</t>
  </si>
  <si>
    <t>Mendoza, Leonora; Cotoras, Milena; Vivanco, Marcela; Matsuhiro, Betty; Torres, Simonet; Aguirre, Maria</t>
  </si>
  <si>
    <t>EVALUATION OF ANTIFUNGAL PROPERTIES AGAINST THE PHYTOPATHOGENIC FUNGUS BOTRYTIS CINEREA OF ANTHOCYANIN RICH-EXTRACTS OBTAINED FROM GRAPE POMACES</t>
  </si>
  <si>
    <t>The anthocyanin content of grape pomace from different Chilean grape varieties (Vitis vinifera var. Cabernet Sauvignon, Carmenere and Syrah) from two vineyards (Misiones de Rengo and Miguel Torres) was determined by the differential pH method and the anthocyanin perfile was characterized by HPLC. In all chromatograms, a major peak corresponding to malvidin-3-O-glucoside was observed. Also, the in vitro antifungal activity of these extracts against mycelia growth of the phytopathogenic fungus Botrytis cinerea was evaluated. The anthocyanin containing extract from Cabernet Sauvignon grape pomace of Misiones de Rengo vineyard was the most active. The extract from the same variety form Miguel Torres vineyard did not inhibit mycelia growth of B. cinerea. In general, the other extracts were less active against the fungus.</t>
  </si>
  <si>
    <t>Aguirre, Maria/A-3935-2013</t>
  </si>
  <si>
    <t>Cotoras, Milena/0000-0002-6228-1587; Aguirre, Maria/0000-0003-1134-4469</t>
  </si>
  <si>
    <t>WOS:000331237700018</t>
  </si>
  <si>
    <t>Oil prices: Breaks and trends</t>
  </si>
  <si>
    <t>This paper contributes to the literature of the stationarity of financial time series and the literature on oil and macroeconomics in several ways. First, it uses Kejriwal and Perron (2010) sequential procedure to endogenously determine multiple structural changes in real oil prices without facing the circular testing problem between structural changes and stationary assumptions of previous tests. Second, it performs a diagnostic check to detect the significance and magnitude of the potential breaks. Third, it uses the above information to test for the existence of stochastic trends in real oil prices, and fourth, it speculates about possible explanations for the break dates found in order to encourage further work and discussions. The exercise uses monthly data from January 1861 to August 2011. (C) 2012 Elsevier B.V. All rights reserved.</t>
  </si>
  <si>
    <t>10.1016/j.eneco.2012.12.008</t>
  </si>
  <si>
    <t>WOS:000317710000006</t>
  </si>
  <si>
    <t>Olivares, IE</t>
  </si>
  <si>
    <t>Olivares, Ignacio E.</t>
  </si>
  <si>
    <t>Transmission of tunable diode laser emission, through rubidium vapor, as a function of laser intensity</t>
  </si>
  <si>
    <t>JOURNAL OF THE OPTICAL SOCIETY OF AMERICA B-OPTICAL PHYSICS</t>
  </si>
  <si>
    <t>We study laser intensity absorption, at the wavelength of 780 nm, in neutral rubidium vapor using a tunable external cavity diode laser close to the (RbD2)-Rb-85 line. The dependence of laser transmission, as a function of laser intensity, was calculated using the optical Bloch equations and compared with the experiment. The calculations were extended to the saturated absorption case and compared to saturated absorption spectra. Excellent agreement between theory and experiment is observed. (C) 2013 Optical Society of America</t>
  </si>
  <si>
    <t>Olivares, Ignacio/AAU-9355-2021</t>
  </si>
  <si>
    <t>Olivares, Ignacio/0000-0001-8440-7665</t>
  </si>
  <si>
    <t>0740-3224</t>
  </si>
  <si>
    <t>10.1364/JOSAB.30.000945</t>
  </si>
  <si>
    <t>WOS:000316994100026</t>
  </si>
  <si>
    <t>Henríquez, HR</t>
  </si>
  <si>
    <t>Henriquez, Hernan R.</t>
  </si>
  <si>
    <t>Asymptotically periodic solutions of abstract differential equations</t>
  </si>
  <si>
    <t>In this paper, we introduce the concept of S-asymptotically omega-periodicity in the Stepanov sense. We study some properties of the space consisting of S-asymptotically omega-periodic functions, and we use this notion to establish the existence of S-asymptotically omega-periodic solutions to linear and semi-linear first-order abstract differential equations. In particular, we characterize the strongly continuous semigroups of bounded linear operators defined on reflexive spaces which are S-asymptotically omega-periodic as those semigroups which are the direct sum of an omega-periodic and a strongly stable semigroup. (C) 2012 Elsevier Ltd. All rights reserved.</t>
  </si>
  <si>
    <t>10.1016/j.na.2012.10.010</t>
  </si>
  <si>
    <t>WOS:000314873300013</t>
  </si>
  <si>
    <t>Santoni, A</t>
  </si>
  <si>
    <t>Santoni, Alessandro</t>
  </si>
  <si>
    <t>RELIGION, POLITICS AND CHRISTIAN DEMOCRACY: CHILE AND ITALY IN COMPARATIVE PERSPECTIVE</t>
  </si>
  <si>
    <t>HISTORIA Y POLITICA</t>
  </si>
  <si>
    <t>This paper analyzes in comparative key, the trajectory of the Chilean and Italian Christian Democratic parties in the second half of the twentieth century, paying special attention to the impact that changes in the agenda of the Catholic Church had on the fortunes of this political actor. The analysis begins with the postwar years, when the Church developed a concern about an atheistic Marxism that challenged catholic views of society; as a consequence, the Church established a special relationship with Christian Democratic parties. Then, the paper describes the political impact of the second Vatican Council. Finally, the paper considers Church's recent emphasis on individual morality as well as the adoption of forms of political action akin to pressure groups. The comparative analysis shows the similarities of the Italian and Chilean cases regarding the left and right-wing alignments facing religious matters. The analogies help us to understand the identity crisis which affects, in both cases, Catholic political groups which converged to center-left coalitions.</t>
  </si>
  <si>
    <t>1575-0361</t>
  </si>
  <si>
    <t>1989-063X</t>
  </si>
  <si>
    <t>WOS:000327165500007</t>
  </si>
  <si>
    <t>Gougain, SZ</t>
  </si>
  <si>
    <t>Zuniga Gougain, Sebastian</t>
  </si>
  <si>
    <t>Cantus Firmus: myth and narrative of Chilean music on XX century art</t>
  </si>
  <si>
    <t>WOS:000324346300008</t>
  </si>
  <si>
    <t>Rodríguez, FJ; Galotto, MJ; Guarda, A; Bruna, JE</t>
  </si>
  <si>
    <t>Rodriguez, Francisco J.; Galotto, Maria J.; Guarda, Abel; Bruna, Julio E.</t>
  </si>
  <si>
    <t>Modification of cellulose acetate films using nanofillers based on organoclays</t>
  </si>
  <si>
    <t>The present work has been oriented on the development of cellulose acetate films with nanofillers of montmorillonite/alkylammonium (hexa- and tetra-decyltrimethylammonium) and montmorillonite/ chitosan which have been synthesized using a cationic exchange process. All synthesized organoclays have been characterized using X-ray diffraction (XRD), thermogravimetric analysis (TGA) and Fourier transform infrared spectroscopy (FTIR). These analyses confirmed the modification of clay structures which proved to be dependent on the chemical structure of chosen organic precursor. On the other hand, the different organoclays have been used to produce cellulose acetate nanocomposites by solvent-casting technique. The nanocomposite films have been characterized by XRD, TGA, Differential scanning calorimetry (DSC), oxygen and water vapor permeability and scanning electronic microscopy (SEM). All nanocomposites obtained showed the intercalation of polymer inside the clay structure and an important reduction of oxygen transmission rate (OTR) compared to cellulose acetate films without nanofillers. (C) 2011 Elsevier Ltd. All rights reserved.</t>
  </si>
  <si>
    <t>Rodriguez-Mercado, Francisco/0000-0002-0530-6653; Bruna, Julio E./0000-0001-9656-6022</t>
  </si>
  <si>
    <t>10.1016/j.jfoodeng.2011.05.004</t>
  </si>
  <si>
    <t>WOS:000301273300016</t>
  </si>
  <si>
    <t>Devés-Valdés, E</t>
  </si>
  <si>
    <t>Deves-Valdes, Eduardo</t>
  </si>
  <si>
    <t>SOCIO-ECONOMIC IDEAS OF LATIN AMERICA AND THE CARIBBEAN IN PAKISTAN: RECEPTION AND RE-ELABORATION (1965-1980)</t>
  </si>
  <si>
    <t>The main objective of this article is to present the reception and re-elaboration of Latin-American social and economic thought in Pakistan. Some authors that have worked with Latin-American ideas are introduced, such as M. A. Mannan and Mahbub ul-Haq, as well as the eidetic context or intellectual environment in which these ideas were received and re-elaborated. First of all, the article defines which were the ideas, authors and works considered by the Pakistani authors; secondly, it shows the differences in the ways each Pakistani writer received the ideas of Latin American and Caribbean authors and the ways that Latin American and Caribbean thought was hybridated in relation to other eidetic trajectories with the aim of elaborating formulas that would correspond to ideal types of hybridations.</t>
  </si>
  <si>
    <t>0716-1840</t>
  </si>
  <si>
    <t>10.4067/S0718-04622012000100011</t>
  </si>
  <si>
    <t>WOS:000309380600011</t>
  </si>
  <si>
    <t>Palma, G; Raff, U</t>
  </si>
  <si>
    <t>Palma, Guillermo; Raff, Ulrich</t>
  </si>
  <si>
    <t>A novel application of a Fourier integral representation of bound states in quantum mechanics</t>
  </si>
  <si>
    <t>AMERICAN JOURNAL OF PHYSICS</t>
  </si>
  <si>
    <t>A method is developed to find the bound state eigenvalues and eigenfunctions of one-dimensional and rotational symmetric three-dimensional quantum mechanical problems. The method is based on the fact that eigenfunctions of bound states are square integrable. We use this property and a judicious ansatz inspired on its asymptotic behavior to obtain a differential equation that can be solved straightforwardly using a Fourier transform. The main advantage of the method is that it avoids the traditional and tedious convergence analysis using a series representation. The method leads to an integral representation of the wave function and provides insight into concepts such as energy quantization, spectrum degeneracy, and bound states. (C) 2011 American Association of Physics Teachers. [DOI: 10.1119/1.3531975]</t>
  </si>
  <si>
    <t>0002-9505</t>
  </si>
  <si>
    <t>10.1119/1.3531975</t>
  </si>
  <si>
    <t>WOS:000286519700008</t>
  </si>
  <si>
    <t>Letelier, MF; Cuevas, CC; Oliva, CL; Sandoval, MJ; Manhood, MD</t>
  </si>
  <si>
    <t>Hernandez, W</t>
  </si>
  <si>
    <t>Letelier, Mario F.; Cuevas, Cristian C.; Oliva, Claudia L.; Sandoval, Maria J.; Manhood, Maria D.</t>
  </si>
  <si>
    <t>Learning speed evaluation of first year engineering students</t>
  </si>
  <si>
    <t>RESEARCH IN ENGINEERING EDUCATION SYMPOSIUM</t>
  </si>
  <si>
    <t>Research in Engineering Education Symposium</t>
  </si>
  <si>
    <t>OCT 04-07, 2011</t>
  </si>
  <si>
    <t>Univ Politecnica Madrid, Madrid, SPAIN</t>
  </si>
  <si>
    <t>UPM, Vicerrectorado Ordenac Acad &amp; Planificac Estrategica,UPM, EUIT Telecomunicac,UPM, EU Informatica,UPM, ETS Ingenieros Aeronauticos,UPM, EUIT Aeronautica,Madrid Convent Bur,Journal Engn Educ,Politecnica Ingeniamos Futuro,Taylor &amp; Francis Grp</t>
  </si>
  <si>
    <t>Univ Politecnica Madrid</t>
  </si>
  <si>
    <t>In this paper it is tested the hypothesis that some dynamic variables, especially energy, power and velocity, can be applied to the better understanding of learning processes relevant to engineering students success. Is in this context the Center for Research in Creativity and Higher Education, has designed a psychometric test battery that intend to measure some variables that may be pertinent. These variables were defined considering their possible biological substratum. They are mind power (MP), mind resistance (MR) and learning speed (LS). The instruments have been applied to 93 students, enrolled in Engineering Technology Programs; obtaining a Cronbach's alpha of.88 reliability. The main outcomes are correlations among MP and LS, and MP/MR2 (rho=.40). Results shows that the tests are able to detect significant individual differences as to all dynamic variables considered. The relation between learning speed and academic success has not been yet tested.</t>
  </si>
  <si>
    <t>Sandoval, Maria/LSL-1657-2024</t>
  </si>
  <si>
    <t>978-84-695-2615-6</t>
  </si>
  <si>
    <t>WOS:000393815900078</t>
  </si>
  <si>
    <t>Palma, G; Prado, H; Reyes, EG</t>
  </si>
  <si>
    <t>Palma, G.; Prado, H.; Reyes, E. G.</t>
  </si>
  <si>
    <t>Completeness in quantum mechanics and the Weyl-Titchmarsh-Kodaira theorem</t>
  </si>
  <si>
    <t>JOURNAL OF PHYSICS A-MATHEMATICAL AND THEORETICAL</t>
  </si>
  <si>
    <t>We discuss the completeness of (generalized) eigenfunctions in quantum mechanics using the classical theory developed by Weyl, Titchmarsh, and Kodaira. As applications, we rigorously prove the completeness of generalized eigenfunctions for the step and well potentials.</t>
  </si>
  <si>
    <t>1751-8113</t>
  </si>
  <si>
    <t>JUN 25</t>
  </si>
  <si>
    <t>10.1088/1751-8113/43/25/255301</t>
  </si>
  <si>
    <t>WOS:000278267700010</t>
  </si>
  <si>
    <t>Bubnovich, V; Henríquez, L; Díaz, C; Avila, E</t>
  </si>
  <si>
    <t>Bulucea, CA; Mladenov, V; Pop, E; Leba, M; Mastorakis, N</t>
  </si>
  <si>
    <t>Bubnovich, Valeri; Henriquez, Luis; Diaz, Catalina; Avila, Emilio</t>
  </si>
  <si>
    <t>Stabilization Operation Region for a Reciprocal Flow Burner</t>
  </si>
  <si>
    <t>PROCEEDINGS OF THE 5TH WSEAS INTERNATIONAL CONFERENCE ON APPLIED AND THEORETICAL MECHANICS (MECHANICS '09)</t>
  </si>
  <si>
    <t>Mathematics and Computers in Science and Engineering</t>
  </si>
  <si>
    <t>5th WSEAS International Conference on Applied and Theoretical Mechanics</t>
  </si>
  <si>
    <t>DEC 14-16, 2009</t>
  </si>
  <si>
    <t>Puerto de la Cruz, SPAIN</t>
  </si>
  <si>
    <t>WSEAS</t>
  </si>
  <si>
    <t>A reciprocal gas flow burner is computationally simulated for obtaining its stable operation region in terms of equivalence ratio and filtration velocity, for two energy losses configurations schemes. Equivalence ratio and filtration velocity were considered over the range [0.1, 1.0] and [0.25, 1.0] (m/s). Lateral heat losses were studied at two scenarios: reactor coupled with and without heat exchangers. Results demonstrated increased stabilization in temperature profile, thus increased stabilization region for the reactor coupled with heat exchangers.</t>
  </si>
  <si>
    <t>Henríquez-Vargas, Luis/Q-3617-2019</t>
  </si>
  <si>
    <t>1792-4308</t>
  </si>
  <si>
    <t>978-960-474-140-3</t>
  </si>
  <si>
    <t>WOS:000276594500019</t>
  </si>
  <si>
    <t>Cárdenas-Jirón, GI; Berríos, C</t>
  </si>
  <si>
    <t>Cardenas-Jiron, Gloria I.; Berrios, Cristhian</t>
  </si>
  <si>
    <t>Theoretical evidence of the Ni(III) participation in the chlorophenol oxidation on tetrasulphonated nickel phthalocyanine</t>
  </si>
  <si>
    <t>INTERNATIONAL JOURNAL OF QUANTUM CHEMISTRY</t>
  </si>
  <si>
    <t>14th Brazilian Symposium of Theoretical Chemistry</t>
  </si>
  <si>
    <t>NOV 18-21, 2007</t>
  </si>
  <si>
    <t>BRAZIL</t>
  </si>
  <si>
    <t>A theoretical methodology at B3LYP/LACVP(d)++ level for describing the oxidation of six chlorophenols (CP) on a nickel tetrasulphonated phthalocyanine (NiTSPc) is presented. The chlorophenols studied are: 2-chlorophenol (2-CP), 4-chlorophenol (4-CP), 2,4-dichlorophenol (2,4-CP), 2,6-dichlorophenol (2,6-CP), 2,4,6-trichlorophenol (2,4,6-CP), and pentachlorophenol (P-CP). On the basis of the experimental facts obtained by cyclic voltammetry, where the CP oxidation was carried out on poly-NiTSPc modified glassy carbon electrodes, the different stages (A-D) produced along the oxidation-reduction process were characterized at theoretical level, thereby obtaining their molecular and electronic structures. We found that the stage C, represented by the interaction of a chlorophenol anion with the Ni(III) complex shows, except in 2,4-CP and P-CP, the CP oxidation in all chlorophenols. These results predict Ni(III) to be the oxidation state that produce the oxidation of chlorophenol, in complete agreement with the experimental results. Natural bonds analysis gives evidence for explaining why 2,4-CP and P-CP do not show a CP oxidation. A strong delocalization toward a alpha-carbon of the phenolic ring from a beta-carbon (206.31 kcal/mol for 2,4 CP, 200.66 kcal/mol for P-CP) and from the oxygen atom (58.67 kcal/mol for 2,4-CP, 83.91 kcal/mol for P-CP) seems to be the responsible for avoiding the CP oxidation with the Ni(III) complex. (C) 2008 Wiley Periodicals, Inc. Int J Quantum Chem 108: 2586-2594, 2008.</t>
  </si>
  <si>
    <t>Cardenas-Jiron, Gloria/H-9508-2012</t>
  </si>
  <si>
    <t>Cardenas-Jiron, Gloria/0000-0003-4305-8088</t>
  </si>
  <si>
    <t>0020-7608</t>
  </si>
  <si>
    <t>1097-461X</t>
  </si>
  <si>
    <t>NOV 5</t>
  </si>
  <si>
    <t>10.1002/qua.21732</t>
  </si>
  <si>
    <t>WOS:000259708300035</t>
  </si>
  <si>
    <t>THE VALLEY LOST ITS ATMOSPHERE</t>
  </si>
  <si>
    <t>0048-7651</t>
  </si>
  <si>
    <t>WOS:000272722400013</t>
  </si>
  <si>
    <t>Laporte, D; Vera, J; Chandia, NP; Zúñiga, EA; Matsuhiro, B; Moenne, A</t>
  </si>
  <si>
    <t>Laporte, Daniel; Vera, Jeannette; Chandia, Nancy P.; Zuniga, Elisa A.; Matsuhiro, Betty; Moenne, Alejandra</t>
  </si>
  <si>
    <t>Structurally unrelated algal oligosaccharides differentially stimulate growth and defense against tobacco mosaic virus in tobacco plants</t>
  </si>
  <si>
    <t>Tobacco plants were treated with structurally unrelated oligosaccharides obtained from Chilean marine macroalgae. These oligosaccharides were prepared by chemical depolymerization of native polysaccharides extracted from brown and red algae and correspond to pure polymers of around 20 units of guluronic acid (Poly-Gu), mannuronic acid (Poly-Ma) and sulphated galactan (Poly-Ga). These oligosaccharides were solubilized in water, at a final concentration of 500 mu g mL(-1), and sprayed on tobacco leaves, once a week for a month. Their effects on the stimulation of growth and defense against tobacco mosaic virus (TMV) were determined 7 and 15 days after the final spraying, respectively. The activities of several defense and antioxidant enzymes and the levels of water-soluble antioxidant compounds were determined. Plants treated with Poly-Ga and Poly-Ma showed an increase in height of 23% and 49%, respectively, whereas Poly-Gu did not stimulate growth. Plants treated with Poly-Gu, Poly-Ma and Poly-Ga showed an increase in defense against TMV corresponding to decreases in the number of necrotic lesions of 9%, 22% and 74%, respectively. The stimulation of plant growth correlates with activation of the antioxidant enzyme ascorbate peroxidase (AP) and with a decrease in ascorbate level. On the other hand, the stimulation of defense against TMV is correlated with the activation of the defense enzyme phenylalanine ammonia-lyase (PAL). These results indicate that algal oligosaccharides differentially stimulate growth and defense against TMV in tobacco plants and that these processes involve the activation of the enzymes AP and PAL, respectively.</t>
  </si>
  <si>
    <t>Zuniga, Elisa/0000-0002-9232-6651; Laporte, Daniel/0000-0003-0883-0917</t>
  </si>
  <si>
    <t>10.1007/s10811-006-9114-y</t>
  </si>
  <si>
    <t>WOS:000244689300009</t>
  </si>
  <si>
    <t>López, CE; Lastra, F; Romero, G; Retamal, JC</t>
  </si>
  <si>
    <t>Orszag, M; Retamal, JC; Saavedra, C; Wallentowitz, S</t>
  </si>
  <si>
    <t>Lopez, C. E.; Lastra, F.; Romero, G.; Retamal, J. C.</t>
  </si>
  <si>
    <t>Concurrence in the inhomogeneous Tavis-Cummings model</t>
  </si>
  <si>
    <t>QUANTUM OPTICS III</t>
  </si>
  <si>
    <t>Conference on Quantum Optics III</t>
  </si>
  <si>
    <t>NOV 27-30, 2006</t>
  </si>
  <si>
    <t>Pucon, CHILE</t>
  </si>
  <si>
    <t>Iniciativa Cientifica Milenio,Univ Concepcion,Univ Santiago,Pontificia Univ Catolica,Univ Catolica Norte,Univ New Mexico,Centro Latinamer Fisica</t>
  </si>
  <si>
    <t>We study the problem of a collection of two-level atoms interacting inhomogeneously with a quantized mode of the electromagnetic field, that is, an inhomogeneous version of the Tavis-Cummings model. In this system we analyze the entanglement properties of the eigenstate spectrum and analytically we found strong dependence on the inhomogeneity.</t>
  </si>
  <si>
    <t>Retamal, Juan/G-6425-2010; LOPEZ, CARLOS/AAU-7238-2020; Romero, Guillermo/C-8245-2009; Romero, Guillermo/C-8245-2009</t>
  </si>
  <si>
    <t>Retamal Abarzua, Juan Carlos/0000-0002-7174-7879; Romero, Guillermo/0000-0003-4366-4950; Romero, Guillermo/0000-0003-2917-7814</t>
  </si>
  <si>
    <t>10.1088/1742-6596/84/1/012013</t>
  </si>
  <si>
    <t>WOS:000295087600013</t>
  </si>
  <si>
    <t>Celentano, DJ; Cruchaga, MA; Schulz, BJ</t>
  </si>
  <si>
    <t>On the effect of natural convection on the thermal-microstructural evolution in gray cast-iron solidification</t>
  </si>
  <si>
    <t>METALLURGICAL AND MATERIALS TRANSACTIONS B-PROCESS METALLURGY AND MATERIALS PROCESSING SCIENCE</t>
  </si>
  <si>
    <t>A coupled analysis involving natural convection, thermal balance, and microstructural evolution that take place in the solidification process of a hypoeutectic gray cast iron is presented in this work. The microstructural formulation used in this study includes classical models of primary-austenite and eutectic (gray and white) transformations. The influence of both natural convection and heat-transfer conditions on the thermal - microstructural response is particularly assessed in a simple cylindrical casting system. The evolutions of temperature and different microstructural variables are compared and validated with available experimental measurements.</t>
  </si>
  <si>
    <t>Celentano, Diego/JQW-5027-2023; Cruchaga, Marcela/M-7522-2014</t>
  </si>
  <si>
    <t>Cruchaga, Marcela/0000-0002-8708-2402</t>
  </si>
  <si>
    <t>1073-5615</t>
  </si>
  <si>
    <t>1543-1916</t>
  </si>
  <si>
    <t>10.1007/BF02693155</t>
  </si>
  <si>
    <t>WOS:000236750000012</t>
  </si>
  <si>
    <t>Chaná, P; Kuntsmann, C; Reyes-Parada, M; Sáez-Briones, P</t>
  </si>
  <si>
    <t>Delayed early morning turn ON'' in response to a single dose of levodopa in advanced Parkinson's disease:: pharmacokinetics should be considered</t>
  </si>
  <si>
    <t>JOURNAL OF NEUROLOGY NEUROSURGERY AND PSYCHIATRY</t>
  </si>
  <si>
    <t>Chana, Pedro/ABG-9944-2020</t>
  </si>
  <si>
    <t>0022-3050</t>
  </si>
  <si>
    <t>10.1136/jnnp.2003.034553</t>
  </si>
  <si>
    <t>WOS:000225162400035</t>
  </si>
  <si>
    <t>Llona, I; Ampuero, E; Eugenín, JL</t>
  </si>
  <si>
    <t>Somatostatin inhibition of fictive respiration is modulated by pH</t>
  </si>
  <si>
    <t>We studied the respiratory effects of the tetradecapeptide somatostatin (SST) upon fictive respiration using the in vitro brain stem spinal cord preparation from new-born mouse. We found that SST inhibits respiration, an effect that was potentiated when the chemical drive to respiration was increased. SST inhibited fictive respiration decreasing both the frequency and amplitude in a dose-dependent way. SST inhibition was not antagonized by cyclosomatostatin (cyclo [7-aminoheptanoyl-Phe-D-Trp-Lys-Thr(Bzl)]), a putative SST antagonist, which in contrast behaved as a partial agonist. When the chemical drive to respiration was increased, by lowering the pH of the brain stem superfusion medium from 7.4 to 7.3, the inhibitory effect of SST on respiratory frequency was potentiated. These results suggest an interaction between SST and respiratory central chemoreception in new-born mouse. (C) 2004 Elsevier B.V. All rights reserved.</t>
  </si>
  <si>
    <t>Ampuero, Estibaliz/0000-0001-5543-1594</t>
  </si>
  <si>
    <t>10.1016/j.brainres.2004.08.028</t>
  </si>
  <si>
    <t>WOS:000224713200014</t>
  </si>
  <si>
    <t>Moyano, PC; Zúñiga, RN</t>
  </si>
  <si>
    <t>Enthalpy-entropy compensation for browning of potato strips during deep-fat frying</t>
  </si>
  <si>
    <t>By applying the transition state theory, enthalpy-entropy compensation was studied for browning kinetic data obtained during deep-fat frying of both impregnated and control potato strips (Solanum tuberosum L., Desiree variety). The main objective was to study an eventual change in the browning mechanism during frying, and the effect on it of solutes impregnation (corn syrup DE 42 and NaCl). Two alternative approaches were used in order to obtain the isokinetic temperature: enthalpy/entropy relationship and frequency factor/activation energy relationship. Values of 333.1 and 335.9 K were found respectively. Both values are significantly lower than the harmonic mean temperature which was found to be 397.0 K, meaning that the mechanism of reaction is entropy controlled. A statistical analysis carried out for the data of enthalpy of activation against the entropy of activation showed that only one mechanism is present for browning during frying and that the impregnation of the strips with the studied solutes had no effect on the reaction mechanism. (C) 2003 Elsevier Ltd. All rights reserved.</t>
  </si>
  <si>
    <t>10.1016/S0260-8774(03)00282-6</t>
  </si>
  <si>
    <t>WOS:000188954200008</t>
  </si>
  <si>
    <t>Lanio, ME; Alvarez, C; Pazos, F; Martinez, D; Martínez, Y; Casallanovo, F; Abuin, E; Schreier, S; Lissi, E</t>
  </si>
  <si>
    <t>Effects of sodium dodecyl sulfate on the conformation and hemolytic activity of St I and St II, two isotoxins purified from Stichodactyla helianthus</t>
  </si>
  <si>
    <t>TOXICON</t>
  </si>
  <si>
    <t>The effect of sodium dodecyl sulfate (SDS) upon the conformation and hemolytic activity of St I and St II strongly depends on its concentration. At relatively low surfactant concentrations (ca. 0.5-5 mM range) the surfactant leads to the formation of agregates,as suggested by the turbidity observed even at relatively low (micromolar range) protein concentrations. In this surfactant range, the proteins show an increase in intrinsic fluorescence intensity and reduced quenching by acrylamide, with an almost total loss of its hemolytic activity. At higher surfactant concentrations the protein adducts disaggregates. This produces a decrease in fluorescence intensity, increase in quenching efficiency by acrylamide, loss of the native tertiary conformation (as reported by the near UV-CD spectra), and increase in alpha-helix content (as evidenced by the far UV-CD spectra). However, and in spite of these substantial changes, the toxins partially recover their hemolytic activity. The reasons for this recovering of the activity at high surfactant concentrations is discussed. (C) 2002 Elsevier Science Ltd. All rights reserved.</t>
  </si>
  <si>
    <t>Schreier, Shirley/F-7001-2014; Casallanovo, Fabio/AHE-5422-2022</t>
  </si>
  <si>
    <t>Fabiola, Isabel/0000-0002-9502-2186</t>
  </si>
  <si>
    <t>0041-0101</t>
  </si>
  <si>
    <t>PII S0041-0101(02)00210-6</t>
  </si>
  <si>
    <t>10.1016/S0041-0101(02)00210-6</t>
  </si>
  <si>
    <t>WOS:000180450100009</t>
  </si>
  <si>
    <t>Matsuhiro, B; Miller, LG</t>
  </si>
  <si>
    <t>Soluble polysaccharides from Rhodymenia:: Characterization by FT-IR spectroscopy</t>
  </si>
  <si>
    <t>The soluble polysaccharides of few species of the family Rhodymenaceae (Rhodophyta) have been studied. According to the literature members of this family are agarophytes. Dried samples of tetrasporic, cystocarpic and gametophytic Rhodymenia howeana and tetrasporic R. corallina were analysed by FT-IR spectroscopy. Results indicate that these seaweeds are not agar producers. Aqueous extraction followed by chemical and FT-IR analysis showed that the extracts are very similar in composition. Carrageenotype structures in the polysaccharides were not found.</t>
  </si>
  <si>
    <t>WOS:000177975100009</t>
  </si>
  <si>
    <t>Wilkens, M; Alarcón, C; Urzúa, A; Mendoza, L</t>
  </si>
  <si>
    <t>Characterization of the bactericidal activity of the natural diterpene kaurenoic acid</t>
  </si>
  <si>
    <t>PLANTA MEDICA</t>
  </si>
  <si>
    <t>Kaurenoic acid is a diterpene with selective antibacterial activity against Gram-positive bacteria. The compound is bacteriolytic for Bacillus cereus. This activity was only partially affected by the composition and pH of the culture medium. Loss of the ability to retain the Gram stain and morphological alterations were produced in B. cereus cells exposed to kaurenoic acid. On the other hand, LPS mutants of Salmonella typhi were resistant to the compound, but spheroplasts of Escherichia coli became more sensitive to kaurenoic acid.</t>
  </si>
  <si>
    <t>Wilkens, Marcela/G-5928-2019</t>
  </si>
  <si>
    <t>0032-0943</t>
  </si>
  <si>
    <t>10.1055/s-2002-32086</t>
  </si>
  <si>
    <t>WOS:000176221600015</t>
  </si>
  <si>
    <t>Leiva-Lobos, EP; Covarrubias, E</t>
  </si>
  <si>
    <t>Haake, JM; Pino, JA</t>
  </si>
  <si>
    <t>The 3-ontology: A framework to place cooperative awareness</t>
  </si>
  <si>
    <t>GROUPWARE: DESIGN, IMPLEMENTATION, AND USE, PROCEEDINGS</t>
  </si>
  <si>
    <t>8th International Workshop on Groupware (CRIWG 2002)</t>
  </si>
  <si>
    <t>SEP 01-04, 2002</t>
  </si>
  <si>
    <t>LA SERENA, CHILE</t>
  </si>
  <si>
    <t>Understanding and supporting cooperative awareness in CSCW have no definitive answer. Actual awareness models have addressed spatial aspects of interaction rather than other forms of awareness. While technology has privileged event notification by specialized servers it is not clear how both spatial and temporal aspects can be met together in a coherent framework. This paper presents a framework called 3-ontology which takes events, places, and communities as starting points to conceptualize cooperative awareness. Each element in the 3-ontology represents a perspective to cope with cooperative awareness. Technologically, this model has been mapped to a software architecture called JAZZ which has a pool of shared data with 3 servers representing each element of the model. From the client side, this arrangement allows us always to gather information from any cooperative system relative to 3-ontology. So, one way to prove the generality of our cooperative awareness formulation is to see how other models can be mapped to our model.</t>
  </si>
  <si>
    <t>Pino Urtubia, Jose/G-6404-2016</t>
  </si>
  <si>
    <t>Pino Urtubia, Jose/0000-0002-8466-6453</t>
  </si>
  <si>
    <t>3-540-44112-3</t>
  </si>
  <si>
    <t>WOS:000182748200013</t>
  </si>
  <si>
    <t>On approximation and representation of K-regularized resolvent families</t>
  </si>
  <si>
    <t>INTEGRAL EQUATIONS AND OPERATOR THEORY</t>
  </si>
  <si>
    <t>We study the problem of approximation and representation for a family of strongly continuous operators defined in a Banach space. It allows us to extend, and in some cases to improve results from the theory of C-0-semigroups of operators to, among others, the theories of cosine families, n-times integrated semigroups, resolvent families and k-generalized solutions by means of an unified method.</t>
  </si>
  <si>
    <t>0378-620X</t>
  </si>
  <si>
    <t>10.1007/BF01295306</t>
  </si>
  <si>
    <t>WOS:000171640900004</t>
  </si>
  <si>
    <t>Antilen, M; Escudey, M; Förster, JE</t>
  </si>
  <si>
    <t>Effect of homoionizing cation in phosphate-phthalate-chloride adsorption on Chilean andisol.</t>
  </si>
  <si>
    <t>The effect of K and Ca homoionization in chloride, phthalate-chloride, phosphate-chloride, and phthalate-phosphate-chloride adsorption on the &lt;2 mu m size fraction of the Osorno B unfertilized soil sample is studied. Results show that chloride adsorption on Ca2+ homoionized sample is higher than on K+ homoionized sample. Phthalate adsorption an Osorno-K+ is higher than on Osorno-Ca2+ when phthalate is equilibrated in presence of chloride, due to the high affinity of Ca2+ homoionized surface for chloride. These results showed the importance of electrostatic factors as one of the mechanisms involved in phthalate adsorption. Minimal differences due to homoionization were observed in phosphate adsorbed in competence with chloride, showing that phosphate adsorption mechanisms are highly selective. In phosphate-phthalate-chloride competence, no effect of phthalate on phosphate adsorption was observed, but phthalate adsorption is drastically reduced from 46 to 17 cmolkg(-1) due to phosphate.</t>
  </si>
  <si>
    <t>WOS:000086415500006</t>
  </si>
  <si>
    <t>Infante, CD; Eugenín, J</t>
  </si>
  <si>
    <t>Lahiri, S; Prabhakar, NR; Forster, RE</t>
  </si>
  <si>
    <t>pH sensitivity in the isolated CNS of newborn mouse</t>
  </si>
  <si>
    <t>OXYGEN SENSING: MOLECULE TO MAN</t>
  </si>
  <si>
    <t>ADVANCES IN EXPERIMENTAL MEDICINE AND BIOLOGY</t>
  </si>
  <si>
    <t>XIVth International Symposium on Arterial Chemoreception</t>
  </si>
  <si>
    <t>JUN 24-28, 1999</t>
  </si>
  <si>
    <t>PHILADELPHIA, PENNSYLVANIA</t>
  </si>
  <si>
    <t>Int Soc Arterial Chemorecept,Barra Fdn,USA Res Adm,Ecosyst Tech Transfer Inc,Merck &amp; Co</t>
  </si>
  <si>
    <t>0065-2598</t>
  </si>
  <si>
    <t>0-306-46367-9</t>
  </si>
  <si>
    <t>WOS:000088717700078</t>
  </si>
  <si>
    <t>Rios, E; Chen, YY; Gautier, JL</t>
  </si>
  <si>
    <t>Electrocatalytic oxygen evolution on lithium manganese ferrites in KOH medium</t>
  </si>
  <si>
    <t>Manganese concentration effect containing lithium ferrites of Li1-0.5xFe1.5x+1Mn1-xO4 (with x = 1, 0.8, 0.6) formulae on oxygen evolution reaction in KOH medium was studied. The oxides were prepared by thermal decomposition of solid salts at 800 degrees C in air yielding complex oxides with cubic spinel structure. It was found that Li0.6Fe2.2Mn0.2O4 oxide electrode shows highest electrocatalytical activity on water electrolysis.</t>
  </si>
  <si>
    <t>WOS:000081380600015</t>
  </si>
  <si>
    <t>Rabagliati, FM; Perez, MA; Quijada, R</t>
  </si>
  <si>
    <t>Polymerization of styrene by diphenylzinc-additive systems -: Part VII:: Ph2Zn-(n-BuCp)2TiCl2-MAO systems</t>
  </si>
  <si>
    <t>POLYMER BULLETIN</t>
  </si>
  <si>
    <t>The polymerization of styrene using the combined system diphenyl zinc-bis(n-butylcyclopentadienyl) titanium dichloride-methylaluminoxane, Ph2Zn-(n-BuCp)(2)TiCl2-MAO, in toluene at 60 degrees C, produced highly syndiotactic polystyrene, confirming that Ph2Zn-titanocene-MAO are good initiator systems for the stereoregular polymerization of styrene. The syndiotacticity of PS was established by its insolubility in chloroform, benzene or toluene, and after continuous extraction in boiling butanone. DSC analysis showed endotherm signals corresponding to the melting temperature, T-m, of syndiotactic polystyrene.</t>
  </si>
  <si>
    <t>QUIJADA, RAUL/0000-0003-0791-6954</t>
  </si>
  <si>
    <t>0170-0839</t>
  </si>
  <si>
    <t>10.1007/s002890050385</t>
  </si>
  <si>
    <t>WOS:000076751800007</t>
  </si>
  <si>
    <t>Zeise, M; Espinoza, J; Jofré, D</t>
  </si>
  <si>
    <t>Methyl bromide is not acutely neurotoxic in rat hippocampal neurons.</t>
  </si>
  <si>
    <t>EUROPEAN JOURNAL OF NEUROSCIENCE</t>
  </si>
  <si>
    <t>Jofré, David/GPF-6054-2022</t>
  </si>
  <si>
    <t>0953-816X</t>
  </si>
  <si>
    <t>WOS:000074749400554</t>
  </si>
  <si>
    <t>Abuin, E; Lissi, E; Velazquez, J</t>
  </si>
  <si>
    <t>Effect of additives on the I-2+I-&lt;-&gt;I-3(-) reaction in micellar solutions of sodium dodecylsulfate: Partitioning and solubilization site of iodine</t>
  </si>
  <si>
    <t>The partition constants (K-p) of iodine between sodium dodecylsulfate micelles and the external media have been measured in the presence of water-soluble (sodium sulfate) and micelle-soluble (n-hexane and n-hexanol) additives. A spectrophotometric method based in the analysis of the alterations provoked by the presence of the surfactant plus the additives upon the reversible reaction taking place between iodine and iodide to give tri-iodide ions was employed (Abuin, E., and Lissi, E., J. Chem. Ed. 69, 340(1992)). The effect of the additives upon the n-octanol/water partitioning (K-o/w) of iodine was also determined. The results obtained for K-p and its relationship with the K-o/w values are indicative of a preferential localization of iodine at the surface of the micelles. (C) 1996 Academic Press, Inc.</t>
  </si>
  <si>
    <t>JAN 15</t>
  </si>
  <si>
    <t>10.1006/jcis.1996.0025</t>
  </si>
  <si>
    <t>WOS:A1996TN49100025</t>
  </si>
  <si>
    <t>LISSI, EA</t>
  </si>
  <si>
    <t>ON THE EVALUATION OF INHIBITION RATE CONSTANTS FROM KINETIC DATA IN THE FULLY INHIBITED REGION</t>
  </si>
  <si>
    <t>The efficiency of an antioxidant can be evaluated in terms of the average number of free radicals trapped per consumed antioxidant molecule (n), and the specific rate constant for the inhibition step (k(inh)). The latter rate constant is generally determined from the rate of the process under fully inhibited conditions. However, the consumption of the antioxidant makes difficult the treatment of the data obtained under these conditions. In the present communication we discuss the type of data required to allow the simultaneous evaluation of n and k(inh).</t>
  </si>
  <si>
    <t>WOS:A1995QV98900014</t>
  </si>
  <si>
    <t>ROSAS, CE; LETELIER, MF; MORAGA, NO; MADARIAGA, NE</t>
  </si>
  <si>
    <t>BOUNDARY EFFECTS IN FLOW IN ANNULAR POROUS-MEDIA</t>
  </si>
  <si>
    <t>POLYMER-PLASTICS TECHNOLOGY AND ENGINEERING</t>
  </si>
  <si>
    <t>An analytical method for flow calculations in an annular porous media bounded by a solid outer wall and subject to a countercurrent flow in its inner boundary is presented. The analysis is rigorous and makes it possible to evaluate the effect of the boundaries in the transport capacity of porous channels. The mathematical model is applicable to wicks, such as those found in heat pipes. The paper explores the conditions, that is, the value of critical parameters, under which boundary effects are not negligible and should be taken into account in wick design.</t>
  </si>
  <si>
    <t>0360-2559</t>
  </si>
  <si>
    <t>10.1080/03602559508012185</t>
  </si>
  <si>
    <t>WOS:A1995TG84800007</t>
  </si>
  <si>
    <t>COSTAMAGNA, JA; MATSUHIRO, B; VILLAGRAN, M</t>
  </si>
  <si>
    <t>TAUTOMERIC EQUILIBRIA IN SCHIFF-BASES OF AMINOSUGARS</t>
  </si>
  <si>
    <t>It was found by H-1 and C-13-NMR and by optical activity measurements that the 2-hydroxynaphtaldimines of D-galactosamine, D-glucosamine and D-mannosamine exhibit the keto-amine/enol-imine and the anomeric equilibria in dimethylsulfoxide solutions.</t>
  </si>
  <si>
    <t>WOS:A1994NK09000007</t>
  </si>
  <si>
    <t>Lissi, E; SalimHanna, M; Pascual, C; delCastillo, MD</t>
  </si>
  <si>
    <t>Humeres, E</t>
  </si>
  <si>
    <t>Luminescence of luminol induced by pyrolysis of 2,2'-azo-bis(2-amidinopropane)</t>
  </si>
  <si>
    <t>ATUALIDADES DE FISICO-QUIMICA ORGANICA - 1993</t>
  </si>
  <si>
    <t>2nd Latin-American Conference on Organic Physical-Chemistry</t>
  </si>
  <si>
    <t>MAR 29-APR 02, 1993</t>
  </si>
  <si>
    <t>ARGENTINA</t>
  </si>
  <si>
    <t>del Castillo, MD/J-6283-2012</t>
  </si>
  <si>
    <t>del Castillo, MD/0000-0001-6309-5383</t>
  </si>
  <si>
    <t>WOS:A1993BH62F00018</t>
  </si>
  <si>
    <t>URZUA, A; RODRIGUEZ, YR</t>
  </si>
  <si>
    <t>TERPENOIDS FROM THE ROOTS OF ARISTOLOCHIA-CHILENSIS INHIBITORS OF GERMINATION</t>
  </si>
  <si>
    <t>From a non polar fraction of compounds obtained from Aristolochia chilensis Miers roots the following terpenoids were isolated: Beta-aromadendrene (1). 1(10)-aristolene (2), alpha-trans-bergamotene (3), alpha-himachalene (4), beta-caryophyllene (5). tetrahydro-gamma-cadinene (6), alpha-cedrene (7). Beta-franesene (8). (-)-beta-bisabolene (9). (+)-beta-sesquiphellandrene (10), alpha-aromadendrene (11), beta-elemene (12). guaiol (13) and 16-kaurene (14). The terpenoid mixture completely inhibits the germination of lettuce and wheat seeds. partially the germination of anion and carrot seeds, and is inactive with radish and beans. The principal components of the terpenoid mixture. (-)-beta-bisabolene (9) and (+)-beta-sesquiphellandrene (10). show different inhibitory properties from those of the mixture.</t>
  </si>
  <si>
    <t>WOS:A1992JT84200007</t>
  </si>
  <si>
    <t>GARIN, JL; BLANC, JM</t>
  </si>
  <si>
    <t>SYNTHESIS AND CRYSTAL-CHEMISTRY OF NH3(MOO3)3</t>
  </si>
  <si>
    <t>JOURNAL OF SOLID STATE CHEMISTRY</t>
  </si>
  <si>
    <t>0022-4596</t>
  </si>
  <si>
    <t>10.1016/0022-4596(85)90272-5</t>
  </si>
  <si>
    <t>WOS:A1985AJT8400009</t>
  </si>
  <si>
    <t>SULFONYL DERIVATIVES OF ALDITOLS .2. SYNTHESIS OF 1,5-ANHYDRO-3,4-DI-O-PARA-TOLYLSULFONYL-D-MANNITOL</t>
  </si>
  <si>
    <t>10.1016/S0008-6215(00)80957-X</t>
  </si>
  <si>
    <t>WOS:A1978FJ22700034</t>
  </si>
  <si>
    <t>Araya-Flores, A; Núñez-Carrillo, E; Tolvett-Tolvett, D; Sánchez-Ramírez, C; Cofré-Bolados, C; Vera-Salazar, R; Márquez, JL</t>
  </si>
  <si>
    <t>Araya-Flores, Alejandro; Nunez-Carrillo, Esteban; Tolvett-Tolvett, Diego; Sanchez-Ramirez, Celso; Cofre-Bolados, Cristian; Vera-Salazar, Roberto; Marquez, Jose Luis</t>
  </si>
  <si>
    <t>Comparative physiological impact of television viewing and video gaming in young adults: Cardiopulmonary and metabolic responses</t>
  </si>
  <si>
    <t>COMPUTERS IN HUMAN BEHAVIOR</t>
  </si>
  <si>
    <t>Introduction: This study examines cardiopulmonary and metabolic responses in young adults during two sedentary activities: watching television and playing seated video games. Sedentary behavior (SB), defined as activities with &lt;= 1.5 METs performed while seated, is associated with increased cardiovascular risks and mortality. While television viewing correlates with adverse health outcomes, video gaming in adolescence is linked to fewer cardiovascular risks. However, their impacts on young adults remain unclear. Methods: Twelve male kinesiology students (mean age: 22.6 +/- 2.1 years) from the Universidad de Santiago de Chile participated in a cross-sectional study. Two 80-min sessions-television viewing and video gaming-were structured into Pre-Activity (10 min), Activity (60 min), and Post-Activity (10 min) phases. Oxygen consumption (VO2), carbon dioxide production (VCO2), heart rate (HR), and breathing parameters were measured. Energy expenditure (EE) and metabolic equivalents (METs) were calculated from expired gas samples. Results: Video gaming elicited significantly higher HR and breathing rates (p &lt; 0.01), as well as greater VO2, VCO2, EE, and METs (p &lt; 0.05) compared to television viewing, indicating higher metabolic and cardiovascular demand. However, the energy expenditure during gaming remained within the sedentary range, failing to exceed basal metabolic rates. Conclusion: Video gaming is more metabolically demanding than television viewing but does not qualify as light physical activity. These findings emphasize the need for public health strategies that differentiate between sedentary behaviors and promote more vigorous activities to mitigate sedentary lifestyle risks.</t>
  </si>
  <si>
    <t>Marquez, Jose/AEV-0575-2022</t>
  </si>
  <si>
    <t>Marquez, Jose Luis/0000-0002-5606-9731</t>
  </si>
  <si>
    <t>0747-5632</t>
  </si>
  <si>
    <t>1873-7692</t>
  </si>
  <si>
    <t>10.1016/j.chb.2024.108528</t>
  </si>
  <si>
    <t>WOS:001376724500001</t>
  </si>
  <si>
    <t>Chávez-Bravo, C</t>
  </si>
  <si>
    <t>Chavez-Bravo, Cristobal</t>
  </si>
  <si>
    <t>Carmela and La Alborada</t>
  </si>
  <si>
    <t>COMUNICACION Y MEDIOS</t>
  </si>
  <si>
    <t>0716-3991</t>
  </si>
  <si>
    <t>0719-1529</t>
  </si>
  <si>
    <t>WOS:001273937000018</t>
  </si>
  <si>
    <t>Silva, CP; Moreno, IM</t>
  </si>
  <si>
    <t>Silva, Claudio Perez; Moreno, Ignacio Mendez</t>
  </si>
  <si>
    <t>Militant practices and political conflicts in the process of forming the Valparaiso sectional of the Socialist Party of Chile, 1933-1935</t>
  </si>
  <si>
    <t>REVISTA NOTAS HISTORICAS Y GEOGRAFICAS</t>
  </si>
  <si>
    <t>This article analyses the main dynamics of conflict and militant practices experienced during the process of creation and consolidation of the Valparaiso sectional of the Socialist Party of Chile between 1933 and 1935. The aim is to problematise the dominant general and national assertions about the party's initial trajectory. For this purpose, from the perspective of the new political history, we will examine press and police archives that give an account of the militant socialist experience in Valparaiso. In this respect, we maintain that the formative process of PSCh in Valparaiso sectional was articulated in two major aspects. On the one hand, a permanent dynamic of conflict. On the other, the confluence of a diversity of actors with common and generic political conceptions of socialism, nationalism, anti-oligarchy, anti-fascism, anti-imperialism, statism and Latin Americanism. The aforementioned articulation partly complements the explanations of the process of shaping militant practices and the rapid installation and prominence of socialism in the political scene of the city and its surroundings.</t>
  </si>
  <si>
    <t>0717-036X</t>
  </si>
  <si>
    <t>0719-4404</t>
  </si>
  <si>
    <t>WOS:001367372400007</t>
  </si>
  <si>
    <t>Reyes-Garcia, P; Jofre, D</t>
  </si>
  <si>
    <t>Reyes-Garcia, Pedro; Jofre, David</t>
  </si>
  <si>
    <t>Climate actions in the face of severe drought: The case of rural coastal communities in central Chile</t>
  </si>
  <si>
    <t>This research aims to understand and describe perceptions and actions of rural inhabitants challenged by severe drought and climate change affecting Chile's central areas. It considers the cases of Santa Julia and Valle Alegre, two rural communities within the coastal city of Quintero. This area is inhabited by family agricultural households impacted by drought conditions in the last decades and close to several polluting industries. The analysis is based on the sense -making theoretical model to explain the problems that affect people's everyday lives and their attempts to solve them by means of information produced with their own resources, within their communities and with the support of state and private agents. Between November and December 2021, the authors carried out in-depth interviews with 13 informants from both communities. The research findings suggest that severe drought leads to discontinuities both in their productive activities and community and family ties. In their search for solutions, both communities struggle with weak social bonds when attempting to organize collective action. Furthermore, they distrust local companies' and neighbors' help. People thus feel insecure about the future and hope that seasonal rains eventually return. In the meantime, they try to adapt and mitigate environmental impacts with the help of some public and international institutions and the application of agricultural innovations.</t>
  </si>
  <si>
    <t>Jofre, David/MCY-5734-2025</t>
  </si>
  <si>
    <t>Jofre, David/0000-0003-0925-9302; Reyes Garcia, Pedro Leonardo/0000-0001-7980-7103</t>
  </si>
  <si>
    <t>MAY-AUG</t>
  </si>
  <si>
    <t>10.17141/iconos.79.2024.5962</t>
  </si>
  <si>
    <t>WOS:001222828100008</t>
  </si>
  <si>
    <t>Castro, VC; Rubio, MR</t>
  </si>
  <si>
    <t>Bernardi, A; Mazzanti, M; Monni, S</t>
  </si>
  <si>
    <t>Caro Castro, Victor; Radrigan Rubio, Mario</t>
  </si>
  <si>
    <t>Circular Economy and Sustainability for the Provision of Drinking Water in Rural Areas. The Case of the Federation of Rural Drinking Water and Sanitation Cooperatives of Chile, FESAN</t>
  </si>
  <si>
    <t>INNOVATIONS FOR CIRCULARITY AND KNOWLEDGE CREATION: Participation and Cooperative Approaches for Sustainability</t>
  </si>
  <si>
    <t>978-3-031-59525-7; 978-3-031-59523-3; 978-3-031-59522-6</t>
  </si>
  <si>
    <t>10.1007/978-3-031-59523-3_10</t>
  </si>
  <si>
    <t>10.1007/978-3-031-59523-3</t>
  </si>
  <si>
    <t>WOS:001410904500010</t>
  </si>
  <si>
    <t>Letelier, MF; Siginer, DA; González, E</t>
  </si>
  <si>
    <t>Letelier, Mario F.; Siginer, Dennis A.; Gonzalez, Edgardo</t>
  </si>
  <si>
    <t>On the flow of viscoplastic fluids in non-circular tubes</t>
  </si>
  <si>
    <t>INTERNATIONAL JOURNAL OF NON-LINEAR MECHANICS</t>
  </si>
  <si>
    <t>Steady flow of the viscoplastic Bingham and Herschel-Bulkley (H-B) fluids in tubes of non-circular cross-section is investigated analytically. The solution methodology is general in scope, does not put any restrictions on the Bingham number and thus allows the mapping of the flow field for high Bingham numbers in straight tubes with non-circular axially-symmetric but otherwise arbitrary cross-sectional contours. The circular tube contour is mapped onto an arbitrary non-circular contour on which the no-slip condition is satisfied via a one-to-one and continuous mapping. Governing equations are solved for the full spectrum of axially symmetrical cross-sectional shapes and a specific example is developed for the viscoplastic H-B fluid flow in a tube with an equilateral triangular cross-section. The shape and the extent of the plug zones centered on the tube axis and the stagnant zones in the corners are predicted for both Bingham and H-B fluids. The effect of the shear rate dependent viscosity of the H-B fluids, leading to either shear-thickening or shear-thinning behavior, on the formation of the plug and stagnation zones is examined.</t>
  </si>
  <si>
    <t>0020-7462</t>
  </si>
  <si>
    <t>1878-5638</t>
  </si>
  <si>
    <t>10.1016/j.ijnonlinmec.2023.104408</t>
  </si>
  <si>
    <t>APR 2023</t>
  </si>
  <si>
    <t>WOS:000989570900001</t>
  </si>
  <si>
    <t>Carmona, B; Abejón, R</t>
  </si>
  <si>
    <t>Carmona, Benjamin; Abejon, Ricardo</t>
  </si>
  <si>
    <t>Innovative Membrane Technologies for the Treatment of Wastewater Polluted with Heavy Metals: Perspective of the Potential of Electrodialysis, Membrane Distillation, and Forward Osmosis from a Bibliometric Analysis</t>
  </si>
  <si>
    <t>MEMBRANES</t>
  </si>
  <si>
    <t>A bibliometric analysis, using the Scopus database as a source, was carried out in order to study the scientific documents published up to 2021 regarding the use of electrodialysis, membrane distillation, and forward osmosis for the removal of heavy metals from wastewater. A total of 362 documents that fulfilled the search criteria were found, and the results from the corresponding analysis revealed that the number of documents greatly increased after the year 2010, although the first document was published in 1956. The exponential evolution of the scientific production related to these innovative membrane technologies confirmed an increasing interest from the scientific community. The most prolific country was Denmark, which contributed 19.3% of the published documents, followed by the two main current scientific superpowers: China and the USA (with 17.4% and 7.5% contributions, respectively). Environmental Science was the most common subject (55.0% of contributions), followed by Chemical Engineering (37.3% of contributions) and Chemistry (36.5% of contribution). The prevalence of electrodialysis over the other two technologies was clear in terms of relative frequency of the keywords. An analysis of the main hot topics identified the main advantages and drawbacks of each technology, and revealed that examples of their successful implementation beyond the lab scale are still scarce. Therefore, complete techno-economic evaluation of the treatment of wastewater polluted with heavy metals via these innovative membrane technologies must be encouraged.</t>
  </si>
  <si>
    <t>Abejon, Ricardo/I-7171-2019</t>
  </si>
  <si>
    <t>ABEJON, Ricardo/0000-0002-8030-7752</t>
  </si>
  <si>
    <t>2077-0375</t>
  </si>
  <si>
    <t>10.3390/membranes13040385</t>
  </si>
  <si>
    <t>WOS:000977472200001</t>
  </si>
  <si>
    <t>Jara-Reyes, R; Faure, A; Orellana, ND</t>
  </si>
  <si>
    <t>Jara-Reyes, Rene; Faure, Antoine; Orellana, Nicolas Del Valle</t>
  </si>
  <si>
    <t>LOOKING FOR A MEDIA BUSINESS MODEL: an exploratory study focusing on six native Chilean digital media</t>
  </si>
  <si>
    <t>BRAZILIAN JOURNALISM RESEARCH</t>
  </si>
  <si>
    <t>- This paper seeks to understand the undergoing digital transformations of the Chilean media system, based on the gaps, challenges, and opportunities that are currently facing the industrial and commercial organization of native digital media in Chile. In the Chilean case, the emergence of native digital media was developed with the new media business models in a context of a crisis of traditional modes of media financing. To study this process, we propose a descriptive-exploratory study focusing on six paradigmatic cases based on a campaign of semi-structured interviews (12) and a platform biography (6) to gather information on the structures, dynamics, and evolution of business models in the journalistic sites of these digital native media. Semi-structured interviews with founders/ owners (FD) and monetization managers (MM), allow us to understand the reasons and objectives that underpin these transformations. Our sample is composed of six Chilean native digital media, which are legally registered in the relevant national information system in the Chilean public sphere (Reuters, 2022). The results of this analytical exercise show the tensions that occur in the business model's five key dimensions: sustainability, innovation, associativity, community building, and journalistic added value. Towards the end, we list the study's limitations and the understanding of the development of digital native media in Chile.</t>
  </si>
  <si>
    <t>jara reyes, rene/JAZ-0211-2023; Faure, Antoine/M-7944-2019</t>
  </si>
  <si>
    <t>Faure, Antoine/0000-0002-9140-5980; Jara Reyes, Rene Eduardo/0000-0001-8203-5917</t>
  </si>
  <si>
    <t>1808-4079</t>
  </si>
  <si>
    <t>1981-9854</t>
  </si>
  <si>
    <t>e1550</t>
  </si>
  <si>
    <t>10.25200/BJR.v19n1.2023.1550</t>
  </si>
  <si>
    <t>WOS:000972434100001</t>
  </si>
  <si>
    <t>Palacios, LS</t>
  </si>
  <si>
    <t>Palacios, Luis Santiago</t>
  </si>
  <si>
    <t>Functional equation of the p-adic L-function of Bianchi modular forms</t>
  </si>
  <si>
    <t>JOURNAL OF NUMBER THEORY</t>
  </si>
  <si>
    <t>Let K be an imaginary quadratic field with class number 1, in this paper we obtain the functional equation of the p-adic L -function of small slope p-stabilised Bianchi modular forms. Then, using p-adic families of Bianchi modular forms, we extend our result to Sigma-smooth base-change Bianchi modular forms.(c) 2022 Elsevier Inc. All rights reserved.</t>
  </si>
  <si>
    <t>Palacios, Luis Santiago/0000-0003-0051-6608</t>
  </si>
  <si>
    <t>0022-314X</t>
  </si>
  <si>
    <t>1096-1658</t>
  </si>
  <si>
    <t>10.1016/j.jnt.2022.05.011</t>
  </si>
  <si>
    <t>SEP 2022</t>
  </si>
  <si>
    <t>WOS:000869968500028</t>
  </si>
  <si>
    <t>Curiqueo, C; Mahn, A; Castillo, A</t>
  </si>
  <si>
    <t>Curiqueo, Carolina; Mahn, Andrea; Castillo, Antonio</t>
  </si>
  <si>
    <t>Broccoli Myrosinase cDNA Expression in Escherichia coli and Saccharomyces cerevisiae</t>
  </si>
  <si>
    <t>BIOMOLECULES</t>
  </si>
  <si>
    <t>Myrosinases (EC 3.2.1.147) are enzymes known for the generation of hydrolysis products that have a potential beneficial effect on human health. Their reaction mechanisms are widely studied, in order to improve and optimize secondary metabolite production processes. In this work, kinetic and biochemical properties of the broccoli myrosinase enzyme produced from its cDNA cloned in Escherichia coli and Saccharomyces cerevisiae were investigated. The results revealed that the thermal stability of the enzyme produced in S. cerevisiae was slightly higher (30 to 60 degrees C) than that of myrosinase produced in E. coli (20 to 50 degrees C). The effect of pH on the enzymatic activity was similar in both enzymes, with pH 3 being the optimum value under the reaction conditions used. The kinetic behavior of both enzymes was adjusted to the Michaelis-Menten model. The catalytic efficiency was up to 4 times higher in myrosinase produced in S. cerevisiae, compared to myrosinase produced in E. coli. The glycosylations present in the enzyme would be related to the formation of a dimeric quaternary structure and would not play an essential role in enzymatic activity, since both enzymes were biologically active. These results will probably allow the development of strategies for the production of bioactive metabolites of medical interest.</t>
  </si>
  <si>
    <t>Castillo, Antonio/0000-0003-0639-6045; Mahn, Andrea/0000-0001-6082-0279</t>
  </si>
  <si>
    <t>2218-273X</t>
  </si>
  <si>
    <t>10.3390/biom12020233</t>
  </si>
  <si>
    <t>WOS:000764293000001</t>
  </si>
  <si>
    <t>(Un)distorted diffeomorphisms in different regularities</t>
  </si>
  <si>
    <t>ISRAEL JOURNAL OF MATHEMATICS</t>
  </si>
  <si>
    <t>We build the first examples of diffeomorphisms that are distorted in a group of C-1 diffeomorphisms yet undistorted in the corresponding group of C-2 diffeomorphisms. This explicit construction is performed for the closed interval.</t>
  </si>
  <si>
    <t>Navas Flores, Andres Ignacio/0000-0002-0853-5136</t>
  </si>
  <si>
    <t>0021-2172</t>
  </si>
  <si>
    <t>1565-8511</t>
  </si>
  <si>
    <t>10.1007/s11856-021-2188-z</t>
  </si>
  <si>
    <t>WOS:000687017400005</t>
  </si>
  <si>
    <t>Vargas, B</t>
  </si>
  <si>
    <t>Vargas, Blas</t>
  </si>
  <si>
    <t>Characteristics and trends in mortality from eye and ocular adnexal cancer in Chile</t>
  </si>
  <si>
    <t>REVISTA MEDICA CLINICA LAS CONDES</t>
  </si>
  <si>
    <t>Purpose: To describe and analyze the characteristics and trends of mortality from eye and adnexal cancer in Chile, by age and sex during 1990-2018. Material and methods: A retrospective cohort study to analyze the age-adjusted mortality rate, by sex and age groups was carried out. With these data, a trend analysis for the standardized mortality rate was performed using a joinpoint regression analysis, allowing the annual percentage change (APC) to be estimated to find significant changes in trends. Results: 407 people (201 men and 206 women) died due to these causes from 1990-2018. Mortality rate has a bimodal presentation: in childhood and in old adults. Slightly higher in men than women (age-standardized rate: 0,12 vs 0,08 per 100.000, respectively), but a decrease of 53% was observed in both sexes. During the period, there was a statistically significant fall in the APC of-3,43% per year in both sexes, more in men (-3,31%) than in women (-3,66%). Conclusions: Mortality from malignant neoplasm of eye and adnexa peaks in childhood and later in older adults. In children, the majority correspond to malignant neoplasm of retina and in older adults of the orbit. Mortality is higher in men than women, but both rates have been decreasing, resembling those of industrialized countries. Despite the absence of incidence data in Chile, this decline could be due to the improvement of diagnostic protocols and treatment, leading to lower mortality rates.</t>
  </si>
  <si>
    <t>Vargas Contreras, Blas/JPE-5384-2023</t>
  </si>
  <si>
    <t>Vargas Contreras, Blas/0000-0001-9050-9406</t>
  </si>
  <si>
    <t>0716-8640</t>
  </si>
  <si>
    <t>10.1016/j.rmclc.2021.04.006</t>
  </si>
  <si>
    <t>WOS:000678329300015</t>
  </si>
  <si>
    <t>Dynamic Parameter Identification Based on Lagrangian Formulation and Servomotor-type Actuators for Industrial Robots</t>
  </si>
  <si>
    <t>INTERNATIONAL JOURNAL OF CONTROL AUTOMATION AND SYSTEMS</t>
  </si>
  <si>
    <t>This article presents the design of a parameter identification model for industrial manipulator robots. This model includes the dynamics of servomotor-type actuators and therefore is formulated based on acceleration, speed, position and voltage applied to the actuator. In this way, calculating the torque of a joint during motion to estimate parameters, as in the Inverse Dynamic Identification Model (IDIM), is unnecessary. The model proposed is satisfactorily applied to the parameter identification of an industrial redundant robot with 5 Degrees of Freedom (DoF).</t>
  </si>
  <si>
    <t>1598-6446</t>
  </si>
  <si>
    <t>2005-4092</t>
  </si>
  <si>
    <t>10.1007/s12555-020-0476-8</t>
  </si>
  <si>
    <t>WOS:000662152700014</t>
  </si>
  <si>
    <t>Gamboa, J; Méndez, F</t>
  </si>
  <si>
    <t>Gamboa, J.; Mendez, F.</t>
  </si>
  <si>
    <t>Deformed quantum mechanics and the Landau problem</t>
  </si>
  <si>
    <t>A deformation of the Landau problem based on a modification of Fock algebra is considered. Systems with the Hamiltonians f((H) over cap) where (H) over cap is the Landau Hamiltonian in the lowest level are discussed. The case f((H) over cap) = alpha(1)(H) over cap + alpha(2)(H) over cap (2) is studied and it is shown that in this particular example, parameters of the problem can be fixed by using the quadratic Zeeman effect data and the Breit-Rabi formula.</t>
  </si>
  <si>
    <t>JUN 14</t>
  </si>
  <si>
    <t>10.1142/S0217732321501261</t>
  </si>
  <si>
    <t>WOS:000664585000007</t>
  </si>
  <si>
    <t>Bravo, J; Lizama, C</t>
  </si>
  <si>
    <t>Bravo, Jennifer; Lizama, Carlos</t>
  </si>
  <si>
    <t>Normal periodic solutions for the fractional abstract Cauchy problem</t>
  </si>
  <si>
    <t>BOUNDARY VALUE PROBLEMS</t>
  </si>
  <si>
    <t>We show that if A is a closed linear operator defined in a Banach space X and there exist t(0) &gt;= 0 and M &gt; 0 such that {(im)(alpha)}| m|&gt;t(0) subset of rho(A), the resolvent set of A, and parallel to(im)(alpha) (A + (im)I-alpha)(-1)parallel to &lt;= M for all |m| &gt; t(0), m is an element of Z, then, for each 1/p &lt; alpha &lt;= 2/p and 1 &lt; p &lt; 2, the abstract Cauchy problem with periodic boundary conditions {D-GL(t)alpha Au(t) = f (t), t is an element of (0, 2 pi); u(0) = u(2 pi), where D-GL(alpha) denotes the Grunwald-Letnikov derivative, admits a normal 2 pi-periodic solution for each f is an element of L-2 pi(p) (R, X) that satisfies appropriate conditions. In particular, this happens if A is a sectorial operator with spectral angle phi(A) is an element of (0, alpha pi/2) and integral(2 pi)(0) f (t) dt is an element of Ran(A).</t>
  </si>
  <si>
    <t>1687-2770</t>
  </si>
  <si>
    <t>MAY 22</t>
  </si>
  <si>
    <t>10.1186/s13661-021-01529-2</t>
  </si>
  <si>
    <t>WOS:000653046500001</t>
  </si>
  <si>
    <t>Torres, AA</t>
  </si>
  <si>
    <t>Armijo Torres, Alvaro</t>
  </si>
  <si>
    <t>PHILOSOPHY OF SOCIAL SCIENCES: DEVELOPMENT, APPROACHES AND ONTOLOGICAL COMMITMENTS</t>
  </si>
  <si>
    <t>Philosophy of the social sciences has traditionally occupied a secondary role within the philosophy of science. However, this situation has changed in recent decades. Given the above, in this article I show the development of a philosophy of social sciences motivated by both the philosophy of science and the social sciences. Three are the main ideas developed in this paper: 1) there is a connection between the philosophy of the social sciences and the philosophy of science; 2) this connection is explained from the recent transformations in the philosophy of science and 3) this connection offers new approaches to understanding the social reality and the practice of the social sciences.</t>
  </si>
  <si>
    <t>10.18270/rcfc.v21i42.3478</t>
  </si>
  <si>
    <t>WOS:000705899100002</t>
  </si>
  <si>
    <t>Donoso, CC; Fernández, DH</t>
  </si>
  <si>
    <t>Gonzalez, RS; Barraza, GM; Magana, FI; Calquin, DC; Castillo, D</t>
  </si>
  <si>
    <t>Calquin Donoso, Claudia; Henriquez Fernandez, Daniel</t>
  </si>
  <si>
    <t>Pandemic COVID-19, the Mapuche and frames of war: which deaths are the ones that matter?</t>
  </si>
  <si>
    <t>CHILE EN EL VERTICE DE LA TRANSFORMACION SOCIAL: (Re) Planteamientos Psicosociales en Tiempos de Crisis Global. Aportes y Miradas Con-movedoras sobre Conflictividad Social y Pandemia. (Re) Psychosocial Approaches in Times of Global Crisis. Contributions and Con-moving Looks on Social Conflict and Pandemic</t>
  </si>
  <si>
    <t>978-956-303-478-3</t>
  </si>
  <si>
    <t>WOS:000651158400005</t>
  </si>
  <si>
    <t>Montealegre, J; Chavarría, R</t>
  </si>
  <si>
    <t>Montealegre, Jorge; Chavarria, Rafael</t>
  </si>
  <si>
    <t>Presence of Violeta Parra in the construction of the popular imaginary of the Chilean road to socialism. La Pena de los Parra and la Carpa de La Reina: the reconstruction of a testimonial memory</t>
  </si>
  <si>
    <t>Violeta Parra's work, as well as her artistic/folkloric legacy, was instrumental to the emergence of an insurgent popular culture which left its mark on the Allende presidency and post-dictatorial memorializations. The Pena de los Parra and the Carpa de la Reina were cultural artifacts born out of the Parra family's artistic practices. Their reconstruction by means of testimonial memories brings back the complex socio-cultural context in which they were immersed. Both artifacts contain memories which connote forms of artistic involvement that announce symbolic associations with the political process unleashed by the Unidad Popular, subsequently crushed by the 1973 military coup. This article attempts an ex post reading of both experiences, resorting to the testimonial reconstruction of those memories, and applying notions born out of cultural and memorial studies. The chronology thus pieced together enables a recreation of the Pena's and the Carpa's accomplishments that emerges as a useful inquiry into the significant partaking of the distinguished Parra family, led by Violeta Parra, in major historical processes.</t>
  </si>
  <si>
    <t>Chavarria Contreras, Rafael/0000-0001-8975-5685</t>
  </si>
  <si>
    <t>10.7203/KAM.17.17618</t>
  </si>
  <si>
    <t>WOS:000680725300007</t>
  </si>
  <si>
    <t>Gálvez, CP</t>
  </si>
  <si>
    <t>Poblete Galvez, Carolina</t>
  </si>
  <si>
    <t>The Mapuche Palin as a teachable bodily practice in Chilean physical education: reflections for critical thinking in education</t>
  </si>
  <si>
    <t>AGORA PARA LA EDUCACION FISICA Y EL DEPORTE</t>
  </si>
  <si>
    <t>This article puts in tension two educational sociocultural realities that frame Chilean education. On the one hand, the recognition that everything Chilean is impregnated with an uprooting of the Mapuche on the basis of a whitewashed and racist construction of the conformation of Chilean society and, on the other hand, what distinguishes the history of physical education in this country, the tribute to the hegemony of Eurocentric knowledge. Both aspects come to reveal the contradictions and limitations of the circulation of an ancestral knowledge such as the physical practice of the palin in physical education classes.</t>
  </si>
  <si>
    <t>1578-2174</t>
  </si>
  <si>
    <t>1989-7200</t>
  </si>
  <si>
    <t>10.24197/aefd.0.2021.218-240</t>
  </si>
  <si>
    <t>WOS:000733242800012</t>
  </si>
  <si>
    <t>Zúñiga, G; Acuña, G</t>
  </si>
  <si>
    <t>Zuniga, Gerardo; Acuna, Gonzalo</t>
  </si>
  <si>
    <t>Probabilistic Multistep Time Series Forecasting Using Conditional Generative Adversarial Networks</t>
  </si>
  <si>
    <t>2021 IEEE LATIN AMERICAN CONFERENCE ON COMPUTATIONAL INTELLIGENCE (LA-CCI)</t>
  </si>
  <si>
    <t>IEEE Latin American Conference on Computational Intelligence (LA-CCI)</t>
  </si>
  <si>
    <t>NOV 02-04, 2021</t>
  </si>
  <si>
    <t>Temuco, CHILE</t>
  </si>
  <si>
    <t>Time series forecasting is a problem that has been studied for many years due to the impact it can have on the world economy and well-being. Predicting multiple future values is an especially complex problem due to the increasing error. This is why there is a need to design and evaluate more and better methods for this forecasting problem. The adversarial generative networks seem to have an excellent performance generating time series indistinguishable from real series. It has been shown that a probabilistic prediction of time series called ForGAN adversary generative network has been successfully used for one-step-ahead predictions. In this work, a modified architecture of ForGAN with multiple outputs is proposed in order to perform multiple-step-ahead predictions. We show by means of experiments using a real dataset that statistically significant improvement of multiple-step-ahead predictions with the proposed modified architecture of ForGAN compared with the use of the original ForGAN network is achieved, decreasing RMSE by 17.6% and CRPS by 17.3% when predicting 5 steps ahead.</t>
  </si>
  <si>
    <t>978-1-7281-8864-5</t>
  </si>
  <si>
    <t>10.1109/LA-CCI48322.2021.9769836</t>
  </si>
  <si>
    <t>WOS:000925148800038</t>
  </si>
  <si>
    <t>Pagés-Díaz, J; Huiliñir, C</t>
  </si>
  <si>
    <t>Pages-Diaz, Jhosane; Huilinir, Cesar</t>
  </si>
  <si>
    <t>Valorization of the liquid fraction of co-hydrothermal carbonization of mixed biomass by anaerobic digestion: Effect of the substrate to inoculum ratio and hydrochar addition</t>
  </si>
  <si>
    <t>BIORESOURCE TECHNOLOGY</t>
  </si>
  <si>
    <t>The effect of the substrate to inoculum ratio (SIR) on the anaerobic digestion (AD) of the liquid fractions (LFs) of co-hydrothermally treated mixed biomass (sewage sludge (SS) and the organic fraction of municipal solid waste (MSW)) was evaluated. The impact of SS + MSW-hydrochar was also studied at different hydrochar concentrations (0, 1, 5, 10, 15, 20 and 25 g(hydrocbar)/L), in two of the LFs studied. The SIR had a significant impact on methane yield (YCH4) and organic matter degradation, with low methane production (4-44 NmLCH(4)/g tCOD(added)) observed for all LFs at SIR = 1:3. Hydrochar significantly improved YCH4 and specific methane production rate. Compared with the AD without hydrochar, the YCH4 improved up to 1.95 times at 15 g/L. Hydrochar doses from 1 to 10 g/L shortened the lag phase, while higher concentrations (15 to 25 g/L) showed an increment with respect to the control reactor without hydrochar.</t>
  </si>
  <si>
    <t>Huilinir, Cesar/IYS-6899-2023; Pagés-Díaz, Jhosané/AAD-5648-2020</t>
  </si>
  <si>
    <t>Huilinir, Cesar/0000-0002-3487-684X; Pages Diaz, Jhosane/0000-0002-2956-5705</t>
  </si>
  <si>
    <t>0960-8524</t>
  </si>
  <si>
    <t>1873-2976</t>
  </si>
  <si>
    <t>10.1016/j.biortech.2020.123989</t>
  </si>
  <si>
    <t>WOS:000577077100016</t>
  </si>
  <si>
    <t>Mallol, J; Riquelme, C; Aguirre, V; Martínez, M; Gallardo, A; Sánchez, C; Córdova, P</t>
  </si>
  <si>
    <t>Mallol, Javier; Riquelme, Carlos; Aguirre, Viviana; Martinez, Marcela; Gallardo, Alejandro; Sanchez, Carlos; Cordova, Pablo</t>
  </si>
  <si>
    <t>Value of bronchial reversibility to salbutamol, exhaled nitric oxide and responsiveness to methacholine to corroborate the diagnosis of asthma in children</t>
  </si>
  <si>
    <t>ALLERGOLOGIA ET IMMUNOPATHOLOGIA</t>
  </si>
  <si>
    <t>Introduction and Objectives: Functional and inflammatory measures have been recommended to corroborate asthma diagnosis in schoolchildren, but the evidence in this regard is conflicting. We aimed to determine, in real-life clinical situation, the value of spirometry, spirometric bronchial reversibility to salbutamot (BDR), bronchial responsiveness to methacholine (MCT) and fractional exhaled nitric oxide (FENO), to corroborate the diagnosis of asthma in children on regular inhaled corticosteroids (ICS) referred from primary care. Methods: One hundred and seventy-seven schoolchildren with mild-moderate persistent asthma, on treatment with regular ICS, participated in the study. Abnormal tests were defined as FENO &gt;= 27 ppb, BDR (FEV1 &gt;= 12%) and methacholine PC20 &lt;= 4 mg/mL. Results: The proportions of positive BDR, FENO and MCT, were 16.4%, 33.3%, and 87.0%, respectively. MCT was associated with FEND (p &lt; 0.03) and BDR (p = 0.001); FEND was associated with BDR (p 0.0.45), family history of asthma (p = 0.003) and use of asthma medication in the first two years of life (p =0.004). BDR was significantly related with passive tobacco exposure (p = 0.003). Conclusions: Spirometry, BDR and BDR had a poor performance for corroborating diagnosis in our asthmatic children on ICS treatment; on the contrary, MCI was positive in most of them, which agrees with previous reports. Although asthma tests are useful to corroborate asthma when positive, clinical diagnosis remains the best current approach for asthma diagnosis, at least while better objective and feasible measurements at the daily practice are available. At present, these tests may have a better role for assessing the management and progression of the condition. (C) 2020 SEICAP. Published by Elsevier Espana, S.L.U. All rights reserved.</t>
  </si>
  <si>
    <t>sanchez, carlos/HDO-1962-2022</t>
  </si>
  <si>
    <t>0301-0546</t>
  </si>
  <si>
    <t>1578-1267</t>
  </si>
  <si>
    <t>10.1016/j.aller.2019.11.001</t>
  </si>
  <si>
    <t>WOS:000538107900002</t>
  </si>
  <si>
    <t>Vota, MSS</t>
  </si>
  <si>
    <t>Sosa Vota, Maria Silvina</t>
  </si>
  <si>
    <t>Nos que aqui estamos por vos esperamos. Approaches between Cinema and History</t>
  </si>
  <si>
    <t>LABORHISTORICO</t>
  </si>
  <si>
    <t>The main objective of this article is to think about the possibilities of the documentary film regarding to the past representation and the contemporary absence of what it was present, time ago, from de movie directed by the Brazilian Marcelo Masagao, Nos que aqui estamos por vos esperamos (1999). It is considered that history does not have the monopoly of the representations of the past. Documentary films can be understood as a way of historical explanations and interpretations of the past. They explain and communicate facts of the past form a particular language, different form the one used by history.</t>
  </si>
  <si>
    <t>2359-6910</t>
  </si>
  <si>
    <t>10.24206/lh.v6i2.31530</t>
  </si>
  <si>
    <t>WOS:000604647000018</t>
  </si>
  <si>
    <t>Rojas, A; Torres, A; Galotto, MJ; Guarda, A; Julio, R</t>
  </si>
  <si>
    <t>Rojas, Adrian; Torres, Alejandra; Galotto, Maria Jose; Guarda, Abel; Julio, Romero</t>
  </si>
  <si>
    <t>Supercritical impregnation for food applications: a review of the effect of the operational variables on the active compound loading</t>
  </si>
  <si>
    <t>CRITICAL REVIEWS IN FOOD SCIENCE AND NUTRITION</t>
  </si>
  <si>
    <t>The scCO(2)-assisted impregnation process has arisen as an effective method to impregnate solid materials. Its multiple advantages include high diffusion, it allows to obtain free-solvent materials and to operate under low temperatures, which permits to process thermolabile solutes. These characteristics have allowed its application at industrial scale for the impregnation of wood with fungicides and in the last years for textile dyeing. Meanwhile, other numerous applications are still being studied at laboratory scale. One potential field of application corresponds to the food-related industry, which includes the use of scCO(2)-assisted impregnation process to develop active materials for food packaging and to generate food-grade materials loaded with nutraceuticals for functional food applications. In this framework, this article summarizes the advantages and the main drawbacks with the scCO(2)-assisted impregnation process. The effect of the processing variables of the scCO(2)-assisted impregnation process is discussed in terms of the incorporation of active compounds within polymer structures. Including the principles and description of the process and a review of the investigated systems for a better understanding.</t>
  </si>
  <si>
    <t>Rojas, Adrián/AAR-9441-2021; Romero, Julio/I-6705-2013; Torres, Alejandra/LPQ-5664-2024</t>
  </si>
  <si>
    <t>Rojas, Adrian/0000-0001-9253-1295; Romero, Julio/0000-0002-1229-1592</t>
  </si>
  <si>
    <t>1040-8398</t>
  </si>
  <si>
    <t>1549-7852</t>
  </si>
  <si>
    <t>APR 27</t>
  </si>
  <si>
    <t>10.1080/10408398.2019.1567459</t>
  </si>
  <si>
    <t>WOS:000522424200003</t>
  </si>
  <si>
    <t>Frontier Capitalism: Agrarian Expansion in Southern Chile, c. 1890-1930</t>
  </si>
  <si>
    <t>BULLETIN OF LATIN AMERICAN RESEARCH</t>
  </si>
  <si>
    <t>This article argues that the agrarian expansion that took place in Chile's southern frontier region after the military occupation of the Mapuche territory (1862-1883) was the first phase of the development of agrarian capitalism in the region. This process was shaped by ecological conditions. In a territory covered by forests, sharecropping with tenant labourers was crucial for land clearance in the formation of the hacienda system, when landowners needed to create fields for commercial crops. As the domestic demand for agricultural products increased, mechanisation intensified, sharecropping declined, and wage labour became dominant. Frontier capitalist agriculture expanded dramatically, and consequently the region became the breadbasket of Chile.</t>
  </si>
  <si>
    <t>0261-3050</t>
  </si>
  <si>
    <t>1470-9856</t>
  </si>
  <si>
    <t>10.1111/blar.12955</t>
  </si>
  <si>
    <t>WOS:000526089300010</t>
  </si>
  <si>
    <t>Berrios, Rodrigo Lagos</t>
  </si>
  <si>
    <t>HEIDEGGER AND THE QUESTION OF THE BODY IN BEING AND TIME: SEARCHING THE PLACE OF THE BODY IN THE EXISTENTIAL ANALYTIC OF DASEIN</t>
  </si>
  <si>
    <t>LIMITE-REVISTA DE FILOSOFIA Y PSICOLOGIA</t>
  </si>
  <si>
    <t>From the field of French phenomenology and feminist and gender studies, the absence of the body in the fundamental ontology in Being and Time developed by Heidegger has been criticized. On this matter, the present contribution does not stop to analyze these critiques but rather undertakes the task of tracking those places and passages contained in Being and Time that could illuminate a Heideggerian conception of the body. Furthermore, these passages point out the possible relationships that can be traced with the Zollikon Seminars, in which Heidegger pronounces his own approach about the body, in order to analyze its possible scopes and limitations.</t>
  </si>
  <si>
    <t>0718-1361</t>
  </si>
  <si>
    <t>0718-5065</t>
  </si>
  <si>
    <t>WOS:000617097000003</t>
  </si>
  <si>
    <t>Covarrubias, E; Leiva-Lobos, EP</t>
  </si>
  <si>
    <t>Covarrubias, Eliana; Leiva-Lobos, Edmundo P.</t>
  </si>
  <si>
    <t>An Integrative Method for Active Learning: Convergencia 3.0</t>
  </si>
  <si>
    <t>2020 39TH INTERNATIONAL CONFERENCE OF THE CHILEAN COMPUTER SCIENCE SOCIETY (SCCC)</t>
  </si>
  <si>
    <t>Proceedings of the International Conference of the Chilean Computer Science Society</t>
  </si>
  <si>
    <t>39th International Conference of the Chilean-Computer-Science-Society (SCCC)</t>
  </si>
  <si>
    <t>NOV 16-20, 2020</t>
  </si>
  <si>
    <t>Univ Catolica Norte, ELECTR NETWORK</t>
  </si>
  <si>
    <t>Chilean Comp Sci Soc,IEEE Chile Sect C Chapter</t>
  </si>
  <si>
    <t>Univ Catolica Norte</t>
  </si>
  <si>
    <t>This article presents Convergence 3.0, a comprehensive method for the design of active learning environments in distance education. It is based on a class of generative learning objects coined by the name boki. It was implemented using the new functionalities offered by Google Sites in a blended learning context. Convergence 3.0 uses the TPACK framework to design learning environments that brings together pedagogical, technological, and content aspects. Specifically, a connectionist learning style is adopted by applying various active learning techniques used in education 3.0. The versatility of the artifact is shown by presenting it as a design pattern adaptable to different contexts in distance education. To illustrate this characteristic, Convergence 3.0 was used to implement a final year course in a computing engineering degree. Finally, some reflections are made based on the experience achieved in recent years using this method, such as the</t>
  </si>
  <si>
    <t>Leiva-Lobos, Edmundo P./0000-0002-0832-3117</t>
  </si>
  <si>
    <t>1522-4902</t>
  </si>
  <si>
    <t>978-1-7281-8328-2</t>
  </si>
  <si>
    <t>WOS:000848755600045</t>
  </si>
  <si>
    <t>Osorio, AG; Saavedra, JLP</t>
  </si>
  <si>
    <t>Gutierrez Osorio, Antonio; Perez Saavedra, Jose L.</t>
  </si>
  <si>
    <t>Collaborative, coordinated, and effective educational model for technical careers, technology and engineering in Chile</t>
  </si>
  <si>
    <t>What is postulated in this work is that, through a collaborative work, employer sector and educational institutions, are established clear professional profiles - called sectoral qualifications framework - and then exit, profiles by institution of education, to every place of work and occupational levels. If any institution wishes to satisfy only a sector or economic sub-sector, as for example the mining industry, is in its legitimate right to do so, but well and with a clear commitment of the companies in the sector for feedback on their learning processes.</t>
  </si>
  <si>
    <t>WOS:000608874800010</t>
  </si>
  <si>
    <t>Huallcca, L; Madrid, G; Mellado, J; Vega-Araya, D; Villalobos-Cid, M</t>
  </si>
  <si>
    <t>Huallcca, Liliana; Madrid, Graciela; Mellado, Jose; Vega-Araya, Daniel; Villalobos-Cid, Manuel</t>
  </si>
  <si>
    <t>An informatics tool for class-to-class planning and academic-load evaluation</t>
  </si>
  <si>
    <t>Given its importance with regards to the health and performance of the students, the evaluation and control of the academic load have come to form part of a critical component of the educational process. Several universities around the world have performed studies evaluating their programs by contrasting the planned and effective academic load using a credit system. Most of them have used strategies based on interviews, surveys, questionnaires and logbooks to quantify the effective load. In addition, it has become necessary to define academic programs with activities and load planned according to a uniform criterion. To evaluate the programs of our department, we propose a strategy based on three stages: (1) the designing of an informatic tool which allows academics to plan the class-to-class activities of each course by considering load, (2) holding a set of meetings with academics and students to discuss the planned and effective load of the courses, and (3) a study of the balance of the load between the different weeks of the semesters. In this manuscript, we describe the first stage of the strategy associated with the informatics tool.</t>
  </si>
  <si>
    <t>Villalobos-Cid, Manuel/AFK-0866-2022</t>
  </si>
  <si>
    <t>Villalobos-Cid, Manuel/0000-0002-1145-2016</t>
  </si>
  <si>
    <t>WOS:000848755600047</t>
  </si>
  <si>
    <t>Teixeira, JR</t>
  </si>
  <si>
    <t>Rodrigues Teixeira, Juliane</t>
  </si>
  <si>
    <t>DECOLONIAL APPROACH TO INTERNATIONAL STUDIES</t>
  </si>
  <si>
    <t>WOS:000608865900003</t>
  </si>
  <si>
    <t>Urrea, C; Morales, C</t>
  </si>
  <si>
    <t>Urrea, Claudio; Morales, Claudio</t>
  </si>
  <si>
    <t>Enhancing Modbus-RTU Communications for Smart Metering in Building Energy Management Systems</t>
  </si>
  <si>
    <t>SECURITY AND COMMUNICATION NETWORKS</t>
  </si>
  <si>
    <t>In this work, a method for detecting and correcting errors in Modbus-RTU communications is designed, implemented, and assessed in a smart metering application. This is a low-cost solution for improving communication quality in conventional Modbus-RTU architectures with copper fieldbus. It consists of introducing error detection and correction devices in the network segments most susceptible to errors caused by electromagnetic interference. Experimental validations were conducted and demonstrated the effectiveness of this method for isolating noisy segments in the communication bus, maintaining full compatibility with commercial devices and improving the performance of the entire network.</t>
  </si>
  <si>
    <t>Morales Diaz, Claudio/0000-0003-0030-9828; Urrea, Claudio/0000-0001-7197-8928</t>
  </si>
  <si>
    <t>1939-0114</t>
  </si>
  <si>
    <t>1939-0122</t>
  </si>
  <si>
    <t>NOV 16</t>
  </si>
  <si>
    <t>UNSP 7010717</t>
  </si>
  <si>
    <t>10.1155/2019/7010717</t>
  </si>
  <si>
    <t>WOS:000499164300002</t>
  </si>
  <si>
    <t>Díaz, AR; Flores, EIS; Yanez, SJ; Vasco, DA; Pina, JC; Guzmán, CF</t>
  </si>
  <si>
    <t>Diaz, Ariel R.; Saavedra Flores, Erick, I; Yanez, Sergio J.; Vasco, Diego A.; Pina, Juan C.; Guzman, Carlos F.</t>
  </si>
  <si>
    <t>Multiscale modeling of the thermal conductivity of wood and its application to cross-laminated timber</t>
  </si>
  <si>
    <t>INTERNATIONAL JOURNAL OF THERMAL SCIENCES</t>
  </si>
  <si>
    <t>In this work, a computational homogenization-based multiscale modeling strategy is adopted to compute the thermal conductivity of wood and to study the thermal performance of cross-laminated timber. In order to determine the thermal conductivity of wood within a multiscale modeling framework, the behavior of its microscopic constituents is investigated. By following a bottom-up approach, the computational homogenization of the material is sequentially carried out at the nanometer level and then, at the micrometer scale, resulting in the effective thermal conductivity of wood. Furthermore, the influence of the cellulose volume fraction and the microfibril angle on the cell-wall material's thermal conductivity is analyzed. These studies lead to the effective thermal conductivity components of 0.308 W/(m K), 0.107 W/(m K), and 0.115 W/(m K), along the longitudinal, radial and tangential axes of wood, respectively. These values are compared to published data and are validated successfully. Several macroscopic applications are investigated. In particular, the influence of two types of panel-to-panel connections on the thermal dissipation is assessed in a cross-laminated timber panel.</t>
  </si>
  <si>
    <t>Yanez, Sergio/G-5230-2019; Pina, Juan/AAC-3455-2021; Flores, Erick/I-7646-2012; Vasco, Diego/Y-2934-2019; Guzman, Carlos Felipe/D-7722-2013</t>
  </si>
  <si>
    <t>Pina, Juan Carlos/0000-0003-2556-3638; Guzman, Carlos Felipe/0000-0002-5537-3854; Yanez, Sergio/0000-0002-8856-0955; Vasco, Diego Andres/0000-0001-7456-4683</t>
  </si>
  <si>
    <t>1290-0729</t>
  </si>
  <si>
    <t>1778-4166</t>
  </si>
  <si>
    <t>10.1016/j.ijthermalsci.2019.05.016</t>
  </si>
  <si>
    <t>WOS:000478788300008</t>
  </si>
  <si>
    <t>Martínez, VA; Vasco, DA; García-Herrera, CM; Ortega-Aguilera, R</t>
  </si>
  <si>
    <t>Martinez, Victor A.; Vasco, Diego A.; Garcia-Herrera, Claudio M.; Ortega-Aguilera, Roberto</t>
  </si>
  <si>
    <t>Numerical study of TiO2-based nanofluids flow in microchannel heat sinks: Effect of the Reynolds number and the microchannel height</t>
  </si>
  <si>
    <t>APPLIED THERMAL ENGINEERING</t>
  </si>
  <si>
    <t>In the present work, we have studied the laminar (200 &lt;= Re &lt;= 1200) three-dimensional flow of a water-based nanofluid in rectangular microchannels of constant wide cross section (283 gm) and three different heights (800 mu m, 600 mu m, and 400 mu m). Moreover, we analyse the concentration of dispersed TiO2 nanoparticles (&lt;6 nm) on the thermal and hydraulic performance of heat sinks with the microchannels. The numerical analysis required the use of experimental models of the viscosity and the thermal conductivity with respect to temperature TiO2 nanoparticles concentration (1 wt% and 3 wt%). Using a code based on the finite volume method to solve the transport equations that govern the studied flows, the friction factor, the Nusselt number, the convective heat transfer coefficient, and the mean temperature of the hot wall have been determined. The results show that both the use of nanofluids and the reduction of the microchannel height favour heat transfer at low Reynolds numbers, an improvement that decreases as this parameter increases. With a nanoparticles concentration of 3 wt% and a Reynolds of 200, we found a maximum 19.66% increase of the convective heat transfer coefficient with respect to the pure base fluid. However, also at low Reynolds, the greatest increases of the skin friction coefficient were registered, reaching a maximum increase of 137.68% with respect to the pure base fluid in the case of the 1 wt% nanofluid.</t>
  </si>
  <si>
    <t>Ortega, Roberto/IZE-4038-2023; Vasco, Diego/Y-2934-2019; García-Herrera, Claudio/ABE-8991-2020; Ortega, Roberto/H-2046-2015</t>
  </si>
  <si>
    <t>Martinez, Victor A./0000-0002-1750-8180; Vasco, Diego Andres/0000-0001-7456-4683; Ortega, Roberto/0000-0002-2218-0845</t>
  </si>
  <si>
    <t>1359-4311</t>
  </si>
  <si>
    <t>1873-5606</t>
  </si>
  <si>
    <t>10.1016/j.applthermaleng.2019.114130</t>
  </si>
  <si>
    <t>WOS:000488887200045</t>
  </si>
  <si>
    <t>González-Bustamante, B</t>
  </si>
  <si>
    <t>Gonzalez-Bustamante, Bastian</t>
  </si>
  <si>
    <t>Gaps, Representation, and Elite-Mass Congruence in Chile and Uruguay</t>
  </si>
  <si>
    <t>CONVERGENCIA-REVISTA DE CIENCIAS SOCIALES</t>
  </si>
  <si>
    <t>This paper analyzes three dimensions of elite-mass congruence in Chile and Uruguay: (a) ideological; (b) public issues, support, and satisfaction with democracy; and, (c) economic preferences on the role of the State. Data from probabilistic national surveys and surveys on elites financed by IDRC-Canada and carried out from 2013 to 2014 in each country are used. Congruence indexes are calculated to identify gaps between citizens and representatives. The main indexes used are Relative Citizen Congruence and Earth Mover's Distance, a recent innovation borrowed from computer science. The findings show a greater ideological congruence in Chile, a greater congruence on support to democracy in Uruguay, and important gaps on education issues in Chile. Furthermore, in both countries there is greater congruence regarding relevant public issues between higher socioeconomic level population and the political elite.</t>
  </si>
  <si>
    <t>González-Bustamante, Bastián/HLQ-1514-2023</t>
  </si>
  <si>
    <t>Gonzalez-Bustamante, Bastian/0000-0003-1510-6820</t>
  </si>
  <si>
    <t>2448-5799</t>
  </si>
  <si>
    <t>10.29101/crcs.v26i80.11097</t>
  </si>
  <si>
    <t>WOS:000483351700008</t>
  </si>
  <si>
    <t>Labbé, R; Vergara, L; Olivares, I</t>
  </si>
  <si>
    <t>Labbe, Raul; Vergara, Lautaro; Olivares, Ignacio</t>
  </si>
  <si>
    <t>Time-of-flight of solitary waves in dry and wet chains of beads: Experimental results and phenomenological models</t>
  </si>
  <si>
    <t>PHYSICS OF FLUIDS</t>
  </si>
  <si>
    <t>A highly nonlinear solitary wave is generated by impacting a dry chain of beads on one of its ends. Its speed depends on the speed vo of the striker and the details of the contact force. The force on the bead at the site n = 7 and the end of the chain, as well as the time-of-flight (ToF) of both, the incident and reflected waves, is measured as a function of vo. This study was performed on a chain of stainless steel beads in two general cases: the dry chain and wet chains having three different types of oil on and around the contact points between the beads. The ToF displays a complex dependence on the fluid's rheological properties not seen in previous studies. Power-law dependencies of the ToF on vo in both, dry and wet, cases were found. It turned out that the Hertz plus viscoelastic interactions are not enough to account for the measured data. Two phenomenological models providing a unified and accurate account of our results were developed. Published under license by AIP Publishing.</t>
  </si>
  <si>
    <t>Olivares, Ignacio/AAU-9355-2021; Labbe, Raul/C-4581-2008</t>
  </si>
  <si>
    <t>Labbe, Raul/0000-0003-4233-8387; Olivares, Ignacio/0000-0001-8440-7665</t>
  </si>
  <si>
    <t>1070-6631</t>
  </si>
  <si>
    <t>1089-7666</t>
  </si>
  <si>
    <t>10.1063/1.5100041</t>
  </si>
  <si>
    <t>WOS:000483976700003</t>
  </si>
  <si>
    <t>Contreras, ML; Torres, C; Villarroel, I; Rozas, R</t>
  </si>
  <si>
    <t>Leonor Contreras, M.; Torres, Camila; Villarroel, Ignacio; Rozas, Roberto</t>
  </si>
  <si>
    <t>Molecular dynamics assessment of doxorubicin-carbon nanotubes molecular interactions for the design of drug delivery systems</t>
  </si>
  <si>
    <t>STRUCTURAL CHEMISTRY</t>
  </si>
  <si>
    <t>Carbon nanotubes (CNTs) constitute an interesting material for nanomedicine applications because of their unique properties, especially their ability to penetrate membranes, to transport drugs specifically and to be easily functionalized. In this work, the energies of the intermolecular interactions of single-walled CNTs and the anticancer drug doxorubicin (DOX) were determined using the AMBER 12 molecular dynamics MM/PBSA and MM/GBSA methods with the aim of better understanding how the structural parameters of the nanotube can improve the interactions with the drug and to determine which structural parameters are more important for increasing the stability of the complexes formed between the CNTs and DOX. The armchair, zigzag, and chiral nanotubes were finite hydrogen-terminated open tubes, and the DOX was encapsulated inside the tube or adsorbed on the nanotube surface. Pentagon/heptagon bumpy defects and polyethylene glycol (PEG) nanotube functionalization were also studied. The best interaction occurred when the drug was located inside the cavity of the nanotube. Armchair and zigzag nanotubes doped with nitrogen, favored interaction with the drug, whereas chiral nanotubes exhibited better drug interactions when having bumpy defects. The - stacking and N-H... electrostatic interactions were important components of the attractive drug-nanotube forces, enabling significant flattening of the nanotube to favor a dual strong interaction with the encapsulated drug, with DOX-CNT equilibrium distances of 3.1-3.9 angstrom. These results can contribute to the modeling of new drug-nanotube delivery systems.</t>
  </si>
  <si>
    <t>1040-0400</t>
  </si>
  <si>
    <t>1572-9001</t>
  </si>
  <si>
    <t>10.1007/s11224-018-1210-5</t>
  </si>
  <si>
    <t>WOS:000456291900034</t>
  </si>
  <si>
    <t>Urrea, C; Valenzuela, L</t>
  </si>
  <si>
    <t>Urrea, Claudio; Valenzuela, Luis</t>
  </si>
  <si>
    <t>Design, Comparison, and Evaluation of Controllers for Direct Current Servomotors</t>
  </si>
  <si>
    <t>The results and comparison of controller performance based on fuzzy logic and neural networks with the purpose of improving the performance of PID controllers currently used in servomotors is presented. The performance comparisons will be made with no load and with load (consisting of a robotic type rotational link). The results show that as the number of links in a robot increases, the precision of the movements desired from it decreases, affecting the tasks that require a high degree of precision, so the design of controllers like those presented in this chapter is required. This work is the basis for implementing improvements in the performance of DC servomotor control systems in general.</t>
  </si>
  <si>
    <t>10.4018/978-1-5225-5709-8.ch019</t>
  </si>
  <si>
    <t>WOS:000487852300020</t>
  </si>
  <si>
    <t>Martínez, VA; Vasco, DA; García-Herrera, CM</t>
  </si>
  <si>
    <t>Martinez, Victor A.; Vasco, Diego A.; Garcia-Herrera, Claudio M.</t>
  </si>
  <si>
    <t>Transient measurement of the thermal conductivity as a tool for the evaluation of the stability of nanofluids subjected to a pressure treatment</t>
  </si>
  <si>
    <t>INTERNATIONAL COMMUNICATIONS IN HEAT AND MASS TRANSFER</t>
  </si>
  <si>
    <t>Nanofluids are a type of composite material with a demonstrated potential for improving heat transfer processes present in industries such as computers, electronics, and automobile. However, they have a limitation, which is that the suspended nanoparticles tend to agglomerate and in that way decrease their thermophysical properties. The present work studies experimentally the stability of a nanofluid synthesized with TiO2 nanoparticles (6 nm) dispersed by continuous ultrasonication in water, determining the effect that exposure of the nanofluid to an atmosphere pressurized with N-2 at 1000 kPa has on its stability. A method is proposed for the quantitative measurement of the stability of a nanofluid based on the transient study of its thermal conductivity and the implementation of a model that describes such behavior. The results allow inferring statistically that the pressure treatment improves the stability of the nanofluid due to a presumed decrease of the average diameter of the agglomerations of the suspended nanoparticles. However, this improvement depends on the temperature.</t>
  </si>
  <si>
    <t>Vasco, Diego/Y-2934-2019; García-Herrera, Claudio/ABE-8991-2020</t>
  </si>
  <si>
    <t>Vasco, Diego Andres/0000-0001-7456-4683; Martinez, Victor A./0000-0002-1750-8180; Garcia-Herrera, Claudio/0000-0002-1283-8551</t>
  </si>
  <si>
    <t>0735-1933</t>
  </si>
  <si>
    <t>1879-0178</t>
  </si>
  <si>
    <t>10.1016/j.icheatmasstransfer.2017.12.016</t>
  </si>
  <si>
    <t>WOS:000426030300029</t>
  </si>
  <si>
    <t>Dzitac, I; Filip, FG; Manolescu, MJ; Dzitac, S; Oros, H; Dzitac, D</t>
  </si>
  <si>
    <t>Macuada, Claudio J.; Oddershede, Astrid M.; Quezada, Luis E.</t>
  </si>
  <si>
    <t>DM Methodology for Automating Technology System in Water Treatment Plants.</t>
  </si>
  <si>
    <t>2018 7TH INTERNATIONAL CONFERENCE ON COMPUTERS COMMUNICATIONS AND CONTROL (ICCCC 2018)</t>
  </si>
  <si>
    <t>7th International Conference on Computers Communications and Control (ICCCC)</t>
  </si>
  <si>
    <t>MAY 08-12, 2018</t>
  </si>
  <si>
    <t>IEEE,IEEE Reg 08,Agora Univ Oradea,R &amp; D Agora, Cercetare Dezvoltare Agora</t>
  </si>
  <si>
    <t>This paper proposes a methodology to support decision making for improving the efficiency in processes and upgrading the technological standard of drinking water treatment (WT) and wastewater treatment (WWT) plants. In this regard, it should be noted that progressively more requirements are required in terms of environmental and quality of service. At present, the industry is adopting new technologies for its processes and there is confidence that this is a way to improve their function. There is concern about automatism and tele controlled infrastructure requirements, the main critical factors for renewing infrastructure and planning methodology. Thus, it is necessary to determine the current level of technological system of WT and WWT plants and generate actions to make improvements in those plants showing poor quality of service. A case study has been carry out in a main sanitary company in Chile with the purpose to identify priority plants that must improve its technological standard. It has been considered the technological systems that are indispensable in the process. With empirical data, using multicriteria approach, expert opinions and combining scoring method with the Analytic Hierarchy Process (AHP) it was possible to obtain a plant ranking for the problem in study.</t>
  </si>
  <si>
    <t>978-1-5386-1934-6</t>
  </si>
  <si>
    <t>WOS:000437157500040</t>
  </si>
  <si>
    <t>Melendez, C; Diaz, M; Cerda, S; Rojas, F; Chavez, H</t>
  </si>
  <si>
    <t>DuranFaundez, C; Lefranc, G; FernandezFernandez, M; Munoz, C; Rubio, E</t>
  </si>
  <si>
    <t>Melendez, Carlos; Diaz, Matias; Cerda, Simon; Rojas, Felix; Chavez, Hector</t>
  </si>
  <si>
    <t>Frequency Support Control of a Modular Multilevel Matrix Converter based Wind Energy Conversion System</t>
  </si>
  <si>
    <t>2018 IEEE INTERNATIONAL CONFERENCE ON AUTOMATION/XXIII CONGRESS OF THE CHILEAN ASSOCIATION OF AUTOMATIC CONTROL (ICA-ACCA)</t>
  </si>
  <si>
    <t>IEEE International Conference on Automation (ICA) / 23rd Congress of the Chilean-Association-of-Automatic-Control (ACCA)</t>
  </si>
  <si>
    <t>OCT 17-19, 2018</t>
  </si>
  <si>
    <t>Concepcion, CHILE</t>
  </si>
  <si>
    <t>IEEE,IEEE Chile Sect,Chilean Assoc Automat Control,Univ Bio Bio</t>
  </si>
  <si>
    <t>This paper discusses the application of the Modular Multilevel Matrix Converter ((MC)-C-3) to interface Multi-MW Wind Turbines. The modelling and control systems required for this application are analysed and discussed. A Vector Control Strategy based on nested controllers is proposed to provide decoupled operation of the converter, maximum power point tracking capability at the generator-side, and grid code compliance at the grid-side. Additionally, the proposed Strategy uses the energy stored in the floating capacitors of the converter to provide limited frequency support control. Finally, the effectiveness of the proposed control strategy is validated using simulations.</t>
  </si>
  <si>
    <t>Diaz, Matias/R-7570-2018; Rojas, Felix/U-3305-2019</t>
  </si>
  <si>
    <t>978-1-5386-5586-3</t>
  </si>
  <si>
    <t>WOS:000458417600042</t>
  </si>
  <si>
    <t>Barrera, HN</t>
  </si>
  <si>
    <t>Neira Barrera, Hernan</t>
  </si>
  <si>
    <t>Citizenship: fundamental concepts</t>
  </si>
  <si>
    <t>WOS:000440942900002</t>
  </si>
  <si>
    <t>Nicholls, FM; Barbosa, KA</t>
  </si>
  <si>
    <t>Nicholls, Felipe M.; Barbosa, Karina A.</t>
  </si>
  <si>
    <t>State feedback regulation on port-Hamiltonian systems: a convex based approach</t>
  </si>
  <si>
    <t>This paper focuses on the state feedback control design for a class of non-linear port-Hamiltonian systems. Attention is given for non-linear systems which can be modeled as a port-Hamiltonian systems with affine state-dependent interconnection and damping matrices, and quadratic state-dependent Hamiltonian function. In particular, an LMI based characterization of the energy balance equation is achieved. Moreover, an hyper-rectangle is established on the state space domain, attempting to maximize the domain of attraction iteratively. The proposed method is applied to the third order Lotka Volterra food chain system, with good results on the convergence to steady state at the origin.</t>
  </si>
  <si>
    <t>WOS:000458417600137</t>
  </si>
  <si>
    <t>Olivares, V; Oddershede, A</t>
  </si>
  <si>
    <t>Olivares, Victor; Oddershede, Astrid</t>
  </si>
  <si>
    <t>Technological Options Selection to Produce Ferric Chloride using Analytic Hierarchy Process Enhanced with Fuzzy Logic</t>
  </si>
  <si>
    <t>This paper presents a method to characterize, select and evaluate technological options to produce ferric chloride. The methodology uses AHP (Analytic Hierarchy Process) enhanced with fuzzy logic (FEAHP). With this methodology it is possible to include the vagueness associated with the evaluators in the decision making to evaluate a new business and select technologies.Producing ferric chloride will reduce or eliminate effluents from the molybdenum production process, such as ferrous chloride, reducing environmental contamination of the process and achieving a potential new business. A model was designed using existing literature on AHP, FEAHP and other assessment tools to select technologies and evaluate new businesses that reduce environmental impact. The model was validated using a case study related to using ferrous chloride, which is an effluent from the molybdenum leaching process, producing ferric chloride that can be transformed into a new business with the benefit of reducing environmental pollution. By applying the extended AHP method with fuzzy logic to model the uncertainty of the experts regarding the comparative judgments, the analysis performed in this work allowed to discard technological options to reprocess the ferrous chloride and to obtain ferric chloride, leaving finally two options that were the alternatives with greater weight, which later were evaluated economically. The method facilitates decision making regarding the selection or prioritization of technologies to evaluate new business in environmentally sensitive areas. The contribution of this work is the proposed method based in FEAHP to select technologies to produce a product and open a new market. The method allowed selecting options of technology in a rare business with great environmental impact for the zone. In the case study the results indicated the desirability of not increasing the production by more than 25%, discarding, for example, options of doubling the production because of the environmental risks.</t>
  </si>
  <si>
    <t>WOS:000437157500006</t>
  </si>
  <si>
    <t>Ibacache, LT</t>
  </si>
  <si>
    <t>Toro Ibacache, Lenissett</t>
  </si>
  <si>
    <t>THE FOUNDATIONS OF JAPAN'S FOREIGN SECURITY POLICY 2001-2015</t>
  </si>
  <si>
    <t>POLITICA EXTERIOR DE SEGURIDAD JAPONESA: HISTORIA Y TEORIA</t>
  </si>
  <si>
    <t>978-956-8416-67-6</t>
  </si>
  <si>
    <t>WOS:000608876200004</t>
  </si>
  <si>
    <t>Riquelme, MZ; Zamorano, CN; Mena, VG; Bugueño, JB; Mercado, FR</t>
  </si>
  <si>
    <t>Zamorano Riquelme, Marcela; Negrete Zamorano, Catalina; Garcia Mena, Veronica; Bruna Bugueno, Julio; Rodriguez Mercado, Francisco</t>
  </si>
  <si>
    <t>Curricular update in the food Engineering Career of the University of Santiago de Chile: A challenge to improve enrollment and increase effective labor insertion in new areas of professional performance</t>
  </si>
  <si>
    <t>The process of update and curricular design of Food Engineering Career, was a complex task that prolonged for 4 years approximatley. For its realization, a curricular committee was constituted and with this purpose was taked the Institutional Model of Curricular Update of the University of Santiago of Chile. In this way, was completed the phases of: Diagnosis, Graduate Profile, Curricular Structure, Programs and Implementation Guidelines. The process was systematically developed with many instances of gathering informationg, which included opinion polls and meeting with the stakeholders of this career such as graduates and employers which make possible develop a detailed representation of this, and the status of this career. Due to the gathered information, a profile graduate and curriculum were developed, based on integral performances, with a strong background in basic sciences complemented with times of leveling and early approach to the professional field, followed by a growing disciplinary and professional specialization.</t>
  </si>
  <si>
    <t>García, Verónica/AAM-1175-2021; bruna, julio/AAM-6867-2021</t>
  </si>
  <si>
    <t>WOS:000480327100003</t>
  </si>
  <si>
    <t>Sequeida, A; Maisey, K; Imarai, M</t>
  </si>
  <si>
    <t>Sequeida, A.; Maisey, K.; Imarai, M.</t>
  </si>
  <si>
    <t>Interleukin 4/13 receptors: An overview of genes, expression and functional role in teleost fish</t>
  </si>
  <si>
    <t>CYTOKINE &amp; GROWTH FACTOR REVIEWS</t>
  </si>
  <si>
    <t>In superior vertebrates, Interleukin 4 (IL-4) and Interleukin 13 (IL-13) play key and diverse roles to support immune responses acting on cell surface receptors. When stimulated, receptors activate intracellular signalling cascades switching cell phenotypes according to stimuli. In teleost fish, Interleukin 4/13 (IL-4/13) is the ancestral family cytokine related to both IL-4 and IL-13. Every private and common receptor subunit for IL-4/13 have in fish at least two paralogues and, as in mammals, soluble forms are also part of the receptor system. Reports for findings of fish IL-4/13 receptors have covered comparative analysis, transcriptomic profiles and to a lesser extent, functional analysis regarding ligand-receptor interactions and their biological effects. This review addresses available information from fish IL-4/13 receptors and discusses overall implications on teleost immunity, summarized gene induction strategies and pathogen-induced gene modulation, which may be useful tools to enhance immune response. Additionally, we present novel coding sequences for Atlantic salmon (Salmo salar) common gamma chain receptor (gamma C), Interleukin 13 receptor alpha 1A chain (IL-13R alpha 1A) and Interleukin 13 receptor alpha 1B chain (IL-13R alpha 1B).</t>
  </si>
  <si>
    <t>Maisey, Kevin/AAP-2886-2021</t>
  </si>
  <si>
    <t>Imarai, Monica/0000-0001-8767-9180; Maisey, Kevin/0000-0002-7423-6329</t>
  </si>
  <si>
    <t>1359-6101</t>
  </si>
  <si>
    <t>1879-0305</t>
  </si>
  <si>
    <t>10.1016/j.cytogfr.2017.09.004</t>
  </si>
  <si>
    <t>WOS:000416532200007</t>
  </si>
  <si>
    <t>Noguera-Santaella, J</t>
  </si>
  <si>
    <t>Noguera-Santaella, Jose</t>
  </si>
  <si>
    <t>Is Sub-Saharan Africa catching up?</t>
  </si>
  <si>
    <t>EMPIRICAL ECONOMICS</t>
  </si>
  <si>
    <t>This paper examines the catching-up process of sub-Saharan African countries. For that purpose, it investigates whether sub-Saharan African countries have shown a change in trend in their per capita GDP and whether these countries are closing the gap with developed economies, taking as reference the long-run per capita income growth rate of the USA. To test for changes in the level or in the trend, we use the algorithm developed by Kejriwal and Perron (J Time Ser Anal 31:305-328, 2010. doi:10.1111/j.1467-9892.2010.00666.x) to detect structural breaks for each sub-Saharan African country for the period 1950-2010 and then verify whether per capita income paths eventually converge to their long-run trend. We find evidence that some countries have been doing well since their independence. They include Botswana, Equatorial Guinea, Ghana, Lesotho, Mauritius, Rwanda and Seychelles. After having a poor performance, we also find that some others have changed their luck and have started a catching up process. They include Angola, Cape Verde, Eritrea-Ethiopia, Mauritania, Mozambique, Sierra Leone, Sudan, Tanzania and Uganda. All other are still falling behind.</t>
  </si>
  <si>
    <t>0377-7332</t>
  </si>
  <si>
    <t>1435-8921</t>
  </si>
  <si>
    <t>10.1007/s00181-016-1086-4</t>
  </si>
  <si>
    <t>WOS:000395064100005</t>
  </si>
  <si>
    <t>Olivares, MB</t>
  </si>
  <si>
    <t>Barrientos Olivares, Monica</t>
  </si>
  <si>
    <t>Earth tremor: the female subject in Downstream of Marta Brunet</t>
  </si>
  <si>
    <t>CRITICA HISPANICA</t>
  </si>
  <si>
    <t>0278-7261</t>
  </si>
  <si>
    <t>WOS:000409159600001</t>
  </si>
  <si>
    <t>Riquelme, MZ</t>
  </si>
  <si>
    <t>Gonzalez, J</t>
  </si>
  <si>
    <t>Zamorano Riquelme, Marcela</t>
  </si>
  <si>
    <t>PORT OF NEW TRANSFORMATIONS 2017 Prologue</t>
  </si>
  <si>
    <t>SERIE IMPACTO EN EL SABER Y SENTIR DOCENTE, VOL 1: PUERTO DE NOVEDADES - TRANSFORMACIONES 2017</t>
  </si>
  <si>
    <t>978-956-303-352-6</t>
  </si>
  <si>
    <t>WOS:000430135000001</t>
  </si>
  <si>
    <t>Bongain, S; Jamett, M</t>
  </si>
  <si>
    <t>Bongain, Sebastian; Jamett, Marcela</t>
  </si>
  <si>
    <t>Electrohydraulic Active Suspension Neural-Based Control System</t>
  </si>
  <si>
    <t>This paper presents an artificial neural networks (ANN) and proportional-integral-derivative (PID) controller design for electrohydraulic active vehicle suspension model, considering nonlinear dynamics of the actuator. First, the PID controller is used to estimate the suspension control force required for the system stabilization. An ANN configuration is proposed to deal with the nonlinear actuator dynamics. Two ANN configuration is used by mapping the actuator model and training it, for the force-tracking problem by a voltage control signal estimation. Simulations and the obtained results for the active suspension show that the control scheme proposed can deal with the actuator nonlinearity and improve the suspension performance.</t>
  </si>
  <si>
    <t>Jamett, Marcela/HLH-3427-2023</t>
  </si>
  <si>
    <t>WOS:000390556300087</t>
  </si>
  <si>
    <t>Risk-management credit strategies</t>
  </si>
  <si>
    <t>WOS:000458913900007</t>
  </si>
  <si>
    <t>Barrientos, DAM</t>
  </si>
  <si>
    <t>Morales Barrientos, Diego A.</t>
  </si>
  <si>
    <t>A TIMBER PORT IN SOUTHERN CHILE. ANCUD IN THE 1850s</t>
  </si>
  <si>
    <t>The article discusses the consolidated commercial activity in the port of Ancud in the 1850, when this activity unexpectedly increased. We propose that this situation helped in the consolidation of a limited group of important traders at the province. For this reason their trajectory was followed by studying the records of the Chilo customs and the Ministerio de Marina. Their activities and commercial networks were identified.</t>
  </si>
  <si>
    <t>WOS:000390400400005</t>
  </si>
  <si>
    <t>Poblete, JL</t>
  </si>
  <si>
    <t>Luis Poblete, Jose</t>
  </si>
  <si>
    <t>Clear speech: Pronunciation and listening comprehension in North American English, 4th edition</t>
  </si>
  <si>
    <t>JOURNAL OF THE INTERNATIONAL PHONETIC ASSOCIATION</t>
  </si>
  <si>
    <t>0025-1003</t>
  </si>
  <si>
    <t>1475-3502</t>
  </si>
  <si>
    <t>10.1017/S0025100315000201</t>
  </si>
  <si>
    <t>WOS:000367191200005</t>
  </si>
  <si>
    <t>Vidal, J; Salazar, R; Huiliñir, C</t>
  </si>
  <si>
    <t>Vidal, Jorge; Salazar, Ricardo; Huilinir, Cesar</t>
  </si>
  <si>
    <t>Remediation of bovine slurry wastewater using a combination of anaerobic biological digestion and solar photoelectro-Fenton processes</t>
  </si>
  <si>
    <t>ABSTRACTS OF PAPERS OF THE AMERICAN CHEMICAL SOCIETY</t>
  </si>
  <si>
    <t>Salazar, Ricardo/L-7870-2013; Huilinir, Cesar/IYS-6899-2023</t>
  </si>
  <si>
    <t>0065-7727</t>
  </si>
  <si>
    <t>AUG 16</t>
  </si>
  <si>
    <t>WOS:000432475505070</t>
  </si>
  <si>
    <t>Durán, MG</t>
  </si>
  <si>
    <t>Garces Duran, Mario</t>
  </si>
  <si>
    <t>THE SOCIAL MOVEMENT OF POBLADORES DURING THE POPULAR UNITY, 1970-1973</t>
  </si>
  <si>
    <t>This article argues that the urban poor in Chilean cities, los pobladores, expanded their mobilizations and demands for housing starting in the late 1960s but especially during the Popular Unity government (1970-1973). They did so through their own organizational efforts and popular organizations as well as in conjunction with political parties. Greater mobilization by pobladores coupled with the State's response favored the creation of new working-class neighborhoods, which permitted the individuals who mobilized to change their way of life in Chile's largest cities.</t>
  </si>
  <si>
    <t>WOS:000371528900003</t>
  </si>
  <si>
    <t>Huidobro-Toro, JP; Donoso, MV; Raso, S; Gajardo, R</t>
  </si>
  <si>
    <t>Pablo Huidobro-Toro, J.; Veronica Donoso, Maria; Raso, Shantal; Gajardo, Rosario</t>
  </si>
  <si>
    <t>Thrombin and related peptides increased extracellular release of ATP from endothelial cells elicited by mechanical stimulation</t>
  </si>
  <si>
    <t>PURINERGIC SIGNALLING</t>
  </si>
  <si>
    <t>1573-9538</t>
  </si>
  <si>
    <t>1573-9546</t>
  </si>
  <si>
    <t>G114</t>
  </si>
  <si>
    <t>WOS:000348578700343</t>
  </si>
  <si>
    <t>The Economic Development of Latin America since Independence</t>
  </si>
  <si>
    <t>ENTERPRISE &amp; SOCIETY</t>
  </si>
  <si>
    <t>1467-2227</t>
  </si>
  <si>
    <t>1467-2235</t>
  </si>
  <si>
    <t>10.1093/es/khu002</t>
  </si>
  <si>
    <t>WOS:000336480100006</t>
  </si>
  <si>
    <t>Portilla, G; Robert, P; Sepúlveda, B; Romero, N</t>
  </si>
  <si>
    <t>Serman, FV; Searles, P; Torres, M</t>
  </si>
  <si>
    <t>Portilla, G.; Robert, P.; Sepulveda, B.; Romero, N.</t>
  </si>
  <si>
    <t>Carotenoid Pigments, Polyphenols, Tocopherols and Fat Composition of Extra Virgin Olive Oils Produced in Chile</t>
  </si>
  <si>
    <t>VII INTERNATIONAL SYMPOSIUM ON OLIVE GROWING</t>
  </si>
  <si>
    <t>Acta Horticulturae</t>
  </si>
  <si>
    <t>7th International Symposium on Olive Growing</t>
  </si>
  <si>
    <t>SEP 25-29, 2012</t>
  </si>
  <si>
    <t>San Juan, ARGENTINA</t>
  </si>
  <si>
    <t>Int Soc Hort Sci</t>
  </si>
  <si>
    <t>Bioactive and minor compounds (carotenoid pigments, polyphenols and tocopherols) and fat composition of Chilean extra virgin olive oils were determined in 52 Chilean monovarietal oils. Cultivars of 'Arbequina', 'Frantoio' and 'Picual' were grown in various geographical areas along 1100 km (latitude 26-35 degrees). Olives were sampled during May and June, which corresponded to stage of ripeness 2-4 during two consecutive crops (2008 and 2009). The results of this study indicate that the contents of fatty acid were within the limits established by the International Olive Council (IOC). 'Picual' showed significantly higher values (P&lt;0.05) for oleic acid than 'Arbequina' and 'Frantoio'. On the other hand, linoleic acid in 'Picual' was significantly lower than in 'Arbequina' and 'Frantoio'. beta-carotene and lutein contents were the main carotenoid pigments, exhibiting values up to 8.1 and 17.4 mg/kg oil, respectively, with no significant differences between varieties. Alpha tocopherol and polyphenols showed no significant differences between cultivars, except for the 2008 crop, which presented alpha-tocopherol values ranging from 141 to 326 mg/kg, slightly higher than the 2009 crop (94-205 mg/kg), and a different behaviour was also observed for polyphenols, ranging from 93 to 378 mg/kg in 2008 and from 197 to 769 mg/kg in 2009.</t>
  </si>
  <si>
    <t>Robert, Paz/G-8198-2014</t>
  </si>
  <si>
    <t>0567-7572</t>
  </si>
  <si>
    <t>2406-6168</t>
  </si>
  <si>
    <t>978-94-62610-47-7</t>
  </si>
  <si>
    <t>WOS:000357732500078</t>
  </si>
  <si>
    <t>Sepúlveda, JM; Derpich, IS</t>
  </si>
  <si>
    <t>Shi, Y; Lepskiy, A; Aleskerov, F</t>
  </si>
  <si>
    <t>Sepulveda, Juan M.; Derpich, Ivan S.</t>
  </si>
  <si>
    <t>Automated Reasoning for Supplier Performance Appraisal in Supply Chains</t>
  </si>
  <si>
    <t>2ND INTERNATIONAL CONFERENCE ON INFORMATION TECHNOLOGY AND QUANTITATIVE MANAGEMENT, ITQM 2014</t>
  </si>
  <si>
    <t>Procedia Computer Science</t>
  </si>
  <si>
    <t>2nd International Conference on Information Technology and Quantitative Management (ITQM)</t>
  </si>
  <si>
    <t>JUN 03-05, 2014</t>
  </si>
  <si>
    <t>Natl Res Univ, Higher Sch Econ, Moscow, RUSSIA</t>
  </si>
  <si>
    <t>Int Acad Informat Technol &amp; Quantitat Management,Yandex LLC,Chinese Acad Sci, Res Ctr Fictitious Econ &amp; Data Sci,Univ Nebraska Omaha,Global Act Inc,CurrexSole</t>
  </si>
  <si>
    <t>Natl Res Univ, Higher Sch Econ</t>
  </si>
  <si>
    <t>Supplier sorting after an evaluation process in many organizations is a routine task required by a quality assurance program or as a Supply Chain Management (SCM) regular practice in order to ensure service and efficiency, two main objectives of SCM. By using a fuzzy multicriteria over-ranking method, it is possible to create automated reasoning systems for dealing with high volume of data in a timely manner. The contribution of this paper is to show an actual industrial application solved with a new method derived from the classical Promethee (R) approach. The problem deals with assigning a category to the supplier which is different from the well-known problem of supplier ranking very abundant in the literature. The method uses Flowsort (R) algorithm for classifying providers into categories. The categories are in order to decide the outcome of a Logistics Service Provider; that is, to continue being a partner until a new appraisal exercise, to continue but with correcting measures, or to be dismissed due to low performance. An example of the application is developed for a major supplier of mining operations in Chile and directions for other uses of the method are given. (C) 2014 Published by Elsevier B.V. Open access under CC BY-NC-ND license.</t>
  </si>
  <si>
    <t>1877-0509</t>
  </si>
  <si>
    <t>10.1016/j.procs.2014.05.349</t>
  </si>
  <si>
    <t>WOS:000360713800111</t>
  </si>
  <si>
    <t>Sepúlveda, EAG</t>
  </si>
  <si>
    <t>Godoy Sepulveda, Eduardo A.</t>
  </si>
  <si>
    <t>Culture and politics of anarchism in Spain and Iberian America</t>
  </si>
  <si>
    <t>0717-7194</t>
  </si>
  <si>
    <t>WOS:000321934400016</t>
  </si>
  <si>
    <t>Antileo, EL</t>
  </si>
  <si>
    <t>Loncon Antileo, Elisa</t>
  </si>
  <si>
    <t>Functions and features of changing classes derivational suffixes of words in the mapudungun</t>
  </si>
  <si>
    <t>ALPHA-REVISTA DE ARTES LETRAS Y FILOSOFIA</t>
  </si>
  <si>
    <t>This study analyzes word classes changes process in Mapudungun through derivation, from the typological perspective of word class formation (Aikhenvald, 2007). Words, in the Mapuche language, use certain morphological and syntactic processes that make possible word class changes, in either of three ways: the intervention of a derivational suffix, by the polysemic property of derivational suffixes, or by changing the position of the word with respect to a principal word. While the most productive processes of word formation often are composition and derivation, due to length reasons this article will focus on the derivation process and analysis of only the suffixes -tu, -kule/-le,-meke, and -nge.</t>
  </si>
  <si>
    <t>0716-4254</t>
  </si>
  <si>
    <t>0718-2201</t>
  </si>
  <si>
    <t>WOS:000326735800009</t>
  </si>
  <si>
    <t>Stockle, JS; Letelier, MF; Siginer, DA; Maria, JA</t>
  </si>
  <si>
    <t>Stockle, Juan S.; Letelier, Mario F.; Siginer, Dennis A.; Maria, Jesus A.</t>
  </si>
  <si>
    <t>PLASTIC FLOW ESTABLISHMENT IN CIRCULAR PIPES UNDER THE EFFECT OF A MAGNETIC FIELD</t>
  </si>
  <si>
    <t>PROCEEDINGS OF THE ASME INTERNATIONAL MECHANICAL ENGINEERING CONGRESS AND EXPOSITION - 2010, VOL 7, PTS A AND B</t>
  </si>
  <si>
    <t>ASME International Mechanical Engineering Congress and Exposition (IMECE)</t>
  </si>
  <si>
    <t>NOV 12-18, 2010</t>
  </si>
  <si>
    <t>Amer Soc Mech Engineers</t>
  </si>
  <si>
    <t>In many biological, chemical and industrial applications the time for discharging a pipe in a process is very important in order to obtain optimal mixing. Particulary in the case of stationary rate processes it may mean lower cost and improved optimization. In this paper a new method to compute the velocity profile in established plastic flow in circular pipes under the effect of a magnetic field is presented. Results are presented for a variety of pressure gradients and yield stresses for different values of the Hartmann number.</t>
  </si>
  <si>
    <t>978-0-7918-4444-1</t>
  </si>
  <si>
    <t>WOS:000320625900072</t>
  </si>
  <si>
    <t>Almarza, FA; Ponce, HR; López, MJ</t>
  </si>
  <si>
    <t>Almarza, F. A.; Ponce, H. R.; Lopez, M. J.</t>
  </si>
  <si>
    <t>Software Component Development based on the Mediator Pattern Design: the Interactive Graphic Organizer case</t>
  </si>
  <si>
    <t>This article presents the redesign of a software application denominated interactive graphic organizer (IGO) using a software component architecture and the mediator pattern design. The original IGO application presented high level of coupling and primitive communication interface which generated problems in the composition of more complex software applications. The main results were a new IGO version that fulfills the characteristics associated with software components, in particular, a robust interface; and mainly, a low coupling level derived from the use of the mediator pattern design. This new version has permitted the reuse of the IGO in the composition of more complex applications.</t>
  </si>
  <si>
    <t>Ponce, Hector/H-9545-2019</t>
  </si>
  <si>
    <t>Ponce, Hector R./0000-0002-7984-3945; Lopez, Mario/0000-0003-0909-7702</t>
  </si>
  <si>
    <t>10.1109/TLA.2011.6129710</t>
  </si>
  <si>
    <t>WOS:000300191300020</t>
  </si>
  <si>
    <t>Urzúa, A; Sotes, G; Echeverría, J</t>
  </si>
  <si>
    <t>Urzua, Alejandro; Sotes, Gaston; Echeverria, Javier</t>
  </si>
  <si>
    <t>Presence of 3-(pentadec-10-enyl)-catechol allergen in the epicuticular components of Lithrea caustica (Anacardiaceae)</t>
  </si>
  <si>
    <t>Epicuticular components were obtained using methylene chloride extraction of fresh leaves from two populations of Lithrea caustica. The methylene chloride extracts were analyzed using GC and GC-MS. The extracts from both sampled populations showed a mixture of a hydrocarbon fraction of n-alkanes from C-21 to C-33 as their main components and small amounts of monoterpene hydrocarbons. The allergen 3-(pentadec-10-enyl)-catechol was also identified in the epicuticular sample in very different proportions in both extracts. A second extract obtained after the epicuticle had been removed from the sample revealed oxygenated monoterpenes, sesquiterpene hydrocarbons and an increased amount of the allergen 3-(Pentadec-10-enyl)-catechol. These results demonstrate that the cuticle hydrocarbons of the leaves function as a lipophylic barrier that controls allergen release.</t>
  </si>
  <si>
    <t>Echeverria, Javier/0000-0002-1688-968X; Urzua, Alejandro/0000-0003-2638-0921</t>
  </si>
  <si>
    <t>WOS:000297724500011</t>
  </si>
  <si>
    <t>Carlsson, M</t>
  </si>
  <si>
    <t>Carlsson, M.</t>
  </si>
  <si>
    <t>On subnormal operators whose spectrum are multiply connected domains</t>
  </si>
  <si>
    <t>NEW YORK JOURNAL OF MATHEMATICS</t>
  </si>
  <si>
    <t>Let Omega be a connected bounded domain with a finite amount of holes and nice boundary. We study subnormal operators with spectrum equal to (Omega) over bar, while the spectrum of their normal extensions are supported on the boundary, partial derivative Omega.</t>
  </si>
  <si>
    <t>Carlsson, Marcus/0000-0002-3761-9072</t>
  </si>
  <si>
    <t>1076-9803</t>
  </si>
  <si>
    <t>17A</t>
  </si>
  <si>
    <t>WOS:000309669100011</t>
  </si>
  <si>
    <t>Arias, P; Gamboa, J</t>
  </si>
  <si>
    <t>Arias, Paola; Gamboa, J.</t>
  </si>
  <si>
    <t>NEUTRINO OSCILLATIONS IN A MINIMAL CPT VIOLATION FRAME</t>
  </si>
  <si>
    <t>The oscillation neutrino problem in the extended standard model with minimal number of parameters is considered. The dispersion relations with explicit neutrino-antineutrino asymmetry are discussed and an explanation to the MINIBooNE and solar neutrino controversy is offered. Bounds for the CPT violation symmetry are also found.</t>
  </si>
  <si>
    <t>Gamboa, Jorge/R-8744-2019; Arias, Paola/Q-5912-2017</t>
  </si>
  <si>
    <t>Arias, Paola/0000-0001-5551-9182</t>
  </si>
  <si>
    <t>FEB 10</t>
  </si>
  <si>
    <t>10.1142/S0217732310031671</t>
  </si>
  <si>
    <t>WOS:000274914600005</t>
  </si>
  <si>
    <t>Lopez, MJ; Ponce, HR</t>
  </si>
  <si>
    <t>Jorna, R; Liu, K; Jiang, G; Nakata, K; Sun, L</t>
  </si>
  <si>
    <t>Lopez, Mario J.; Ponce, Hector R.</t>
  </si>
  <si>
    <t>TOWARDS AN INITIAL SEMIOTIC VIEW OF THE INTERACTIVE GRAPHIC ORGANISER</t>
  </si>
  <si>
    <t>ICISO 2010: PROCEEDINGS OF THE TWELFTH INTERNATIONAL CONFERENCE ON INFORMATICS AND SEMIOTICS IN ORGANISATIONS</t>
  </si>
  <si>
    <t>12th International Conference on Informatics and Semiotics in Organisations (ICISO 2010)</t>
  </si>
  <si>
    <t>JUL 19-21, 2010</t>
  </si>
  <si>
    <t>Reading, UNITED KINGDOM</t>
  </si>
  <si>
    <t>Univ Reading, Informat Res Ctr, Henley Business Sch</t>
  </si>
  <si>
    <t>This paper presents a first approach to understand a visual software application, named Interactive Graphic Organiser (IGO), from a semiotic point of view. The paper begins with the original conceptual background review, which came from both component software engineering and visual learning. The paper then moves to describe the technology and its impacts; the visual technology developed are IGOs, that allows cognitive skills development, and IGO based applications. Next and under the working hypothesis that the use of graphic organisers significantly improved involved cognitive skills, the paper describes some results from experimental research conducted to measure some of the visual technology's impacts. The paper concludes that, although initial treatment cannot claim to be comprehensive, it does provide a conceptual view and provides insight into the practices of those involved around IGOs and their applications.</t>
  </si>
  <si>
    <t>Lopez, Mario/0000-0003-0909-7702; Ponce, Hector R./0000-0002-7984-3945</t>
  </si>
  <si>
    <t>978-989-8425-26-3</t>
  </si>
  <si>
    <t>WOS:000393365300017</t>
  </si>
  <si>
    <t>ON THE DYNAMICS OF (LEFT) ORDERABLE GROUPS</t>
  </si>
  <si>
    <t>ANNALES DE L INSTITUT FOURIER</t>
  </si>
  <si>
    <t>We develop dynamical methods for studying left-orderable groups as well as the spaces of orderings associated to them. We give new and elementary proofs of theorems by Linnell (if a left-orderable group has infinitely many orderings, then it has uncountably many) and McCleary (the space of orderings of the free group is a Cantor set). We show that this last result also holds for countable torsion-free nilpotent groups which are not rank-one Abelian. Finally, we apply our methods to the case of braid groups. In particular, we show that the positive cone of the Dehornoy ordering is not finitely generated as a semigroup. To do this, we define the Conradian soul of an ordering as the maximal convex subgroup restricted to which the ordering is Conradian, and we elaborate on this notion.</t>
  </si>
  <si>
    <t>0373-0956</t>
  </si>
  <si>
    <t>10.5802/aif.2570</t>
  </si>
  <si>
    <t>WOS:000285215400008</t>
  </si>
  <si>
    <t>Mannheim, R; Garin, J</t>
  </si>
  <si>
    <t>Mannheim, R.; Garin, J.</t>
  </si>
  <si>
    <t>Hot tearing in extruded brass for machining applications</t>
  </si>
  <si>
    <t>Hot tearing failure in 101-mm rods in a direct 20 MN Schlomann press was studied. After the fracture, a zone of fine tearing was observed in the area of the rods with the highest temperature. These fine cracks run in the direction of extrusion and obviously strongly reduced the air and water-tightness properties of the rods. The failure under study appeared in the last stage of solidification, in the temperature range close to the solidus line, which produces an insufficient capacity in the material to absorb tension. Lead condensation, which is the product of a heterogeneous distribution of temperature, is the source of the cracks observed in the rods. Nevertheless, the high temperature of the billet and the low ram speed of extrusion are the main parameters of the failure under study. To avoid this failure, the following is recommended: lower the temperature of the billet to between 660-680 degrees C and increase the extrusion ram speed to 40 mm/sec. to reduce the extruded die-rod contact time.</t>
  </si>
  <si>
    <t>1988-4222</t>
  </si>
  <si>
    <t>NOV-DEC</t>
  </si>
  <si>
    <t>10.3989/revmetalm.0907</t>
  </si>
  <si>
    <t>WOS:000274491700005</t>
  </si>
  <si>
    <t>Asymptotically almost periodic solutions of abstract retarded functional differential equations of second order</t>
  </si>
  <si>
    <t>ZEITSCHRIFT FUR ANGEWANDTE MATHEMATIK UND PHYSIK</t>
  </si>
  <si>
    <t>We establish existence of asymptotically almost periodic mild solutions for a class of semi-linear second-order abstract retarded functional differential equations with infinite delay.</t>
  </si>
  <si>
    <t>0044-2275</t>
  </si>
  <si>
    <t>1420-9039</t>
  </si>
  <si>
    <t>10.1007/s00033-008-7151-x</t>
  </si>
  <si>
    <t>WOS:000269212400001</t>
  </si>
  <si>
    <t>Comman, H</t>
  </si>
  <si>
    <t>Comman, Henri</t>
  </si>
  <si>
    <t>Strengthened large deviations for rational maps and full shifts, with unified proof</t>
  </si>
  <si>
    <t>NONLINEARITY</t>
  </si>
  <si>
    <t>For any hyperbolic rational map and any net of Borel probability measures on the space of Borel probability measures on the Julia set, we show that this net satisfies a strong form of the large deviation principle with a rate function given by the entropy map if and only if the large deviation and the pressure functionals coincide. To each such principle corresponds an expression for the entropy of invariant measures. We explicit the rate function of the corresponding large deviation principle in the real line for the net of image measures obtained by evaluating the function log vertical bar T vertical bar'. These results are applied to various examples including those considered in the literature where only upper bounds have been proved. The proof rests on some entropy-approximation property (independent of the net of measures), which in a suitable formulation, is nothing but the hypothesis involving exposed points in Baldi's theorem. In particular, it works verbatim for general dynamical systems. After stating the corresponding general version, as another example we consider the multidimensional full shift for which the above property has been recently proved, and we establish large deviation principles for nets of measures analogous to those of the rational maps case.</t>
  </si>
  <si>
    <t>0951-7715</t>
  </si>
  <si>
    <t>10.1088/0951-7715/22/6/008</t>
  </si>
  <si>
    <t>WOS:000266072500009</t>
  </si>
  <si>
    <t>Moraga, F</t>
  </si>
  <si>
    <t>Moraga, Fernanda</t>
  </si>
  <si>
    <t>Regarding difference: poetry of Mapuche women</t>
  </si>
  <si>
    <t>WOS:000267810700011</t>
  </si>
  <si>
    <t>Bustos, O; Leiva, R; Sánchez, C; Ordoñez, S; Carvajal, L; Mannheim, R</t>
  </si>
  <si>
    <t>Bustos, O.; Leiva, R.; Sanchez, C.; Ordonez, S.; Carvajal, L.; Mannheim, R.</t>
  </si>
  <si>
    <t>Microstructural evolution and rheological properties of AA6063 alloy produced by semisolid processing (SIMA and MHD)</t>
  </si>
  <si>
    <t>In this work the theological behaviour and the microstructural evolution of alloy AA6063 submitted to two different processing routes were studied: cold deformation and partial fusion (SIMA process) and magneto hydrodynamic stirring during its solidification (MHD process). The microstructural evolution during the isothermal holding was studied to verify if the Ostwald ripening mechanisms, classic growth and coalescence, are applicable to alloys made by these processing routes. The rheological properties were evaluated using a compression rheometer with parallel plates and digital capture of position and time data. Compression tests were made in short cylinders extracted from ingots that showed: a dendritic microstructure typical of as cast material, a typical microstructure of cold deformed material and a microstructure of materials obtained by MHD process. It was found that a globular microstructure has a typical behaviour of a fluid when being formed in semisolid state, contrary to the behaviour of the as cast dendritic microstructure. In addition, the mechanisms that operate in the microstructural evolution during the isothermal holdings were verified, through metallographic analysis.</t>
  </si>
  <si>
    <t>Carvajal Ortega, Linton Patricio/0000-0002-5414-2755</t>
  </si>
  <si>
    <t>WOS:000247828900001</t>
  </si>
  <si>
    <t>Martinez, C; Gertosio, C; Labbe, A; Pérez, R; Ganga, MA</t>
  </si>
  <si>
    <t>Martinez, Claudio; Gertosio, Cecilia; Labbe, Angelica; Perez, Rafael; Ganga, Maria Angelica</t>
  </si>
  <si>
    <t>Production of Rhodotorula glutinis:: a yeast that secretes α-L-arabinofuranosidase</t>
  </si>
  <si>
    <t>Rhodotorula glutinis is a yeast that secretes the enzyme alpha-L-arabinofuranosidase (E. C. 3.2.1.55) into the culture medium and thus has an interesting biotechnological potential. To determine improved culture conditions of this organism, different factors of the culture media were evaluated such as the use of peptone as nitrogen source, salts composition, pH and growth temperature. Likewise, beet molasses and beet cosette were tested as industrial carbon sources to induce the production of the enzyme and how they influence the yeast growth. Based on these studies a culture medium is proposed for growth of this yeast in a continuous system. By assaying different dilution rates an average specific activity for the enzyme of 82.4 U/mg of protein was obtained.</t>
  </si>
  <si>
    <t>Ganga, Maria/S-8176-2019; Martinez, Claudio/MGS-9961-2025</t>
  </si>
  <si>
    <t>Martinez, Claudio/0000-0001-8564-9287</t>
  </si>
  <si>
    <t>10.2225/vol9-issue4-fulltext-8</t>
  </si>
  <si>
    <t>WOS:000248639000009</t>
  </si>
  <si>
    <t>Palma, G</t>
  </si>
  <si>
    <t>Temperature dependence of universal fluctuations in the two-dimensional harmonic XY model</t>
  </si>
  <si>
    <t>We compute exact analytical expressions for the skewness and kurtosis in the two-dimensional harmonic XY model. These quantities correspond to the third and fourth normalized moments of the probability density function (PDF) of the magnetization of the model. From their behavior, we conclude that they depend explicitly on the system temperature even in the thermodynamic limit, and hence the PDF itself must depend on it. Our results correct the hypothesis called universal fluctuations, they confirm and extend previous results which showed a T dependence of the PDF, including perturbative expansions within the XY model up to first order in temperature.</t>
  </si>
  <si>
    <t>10.1103/PhysRevE.73.046130</t>
  </si>
  <si>
    <t>WOS:000237146800038</t>
  </si>
  <si>
    <t>González, HA; Moraga, NO</t>
  </si>
  <si>
    <t>On predicting unsteady non-Newtonian blood flow</t>
  </si>
  <si>
    <t>The influence of the non-Newtonian stress-strain relation of blood on the oscillatory shear index (OSI) and mean wall shear stress (WSS) are described. A mathematical non-dimensional model based on the momentum equation for a modified Casson's fluid is formulated in terms of the dimensionless yield shear stress tau(0)*. An original direct numerical procedure is presented to predict the flow patterns. Results obtained by using it finite difference approach show a difference in OSI when blood is assumed to be a Newtonian fluid instead of a modified Casson's fluid. The calculation of the OSI in human normal conditions Under the Newtonian approach diners in 5% from the result obtained from using the Casson model. (c) 2005 Elsevier Inc. All rights reserved.</t>
  </si>
  <si>
    <t>González Rojas, Hernán A./HTQ-1244-2023</t>
  </si>
  <si>
    <t>Gonzalez Rojas, Hernan Alberto/0000-0001-8911-0115</t>
  </si>
  <si>
    <t>10.1016/j.amc.2004.12.029</t>
  </si>
  <si>
    <t>WOS:000233054500014</t>
  </si>
  <si>
    <t>Reyes, EG</t>
  </si>
  <si>
    <t>Nonlocal symmetries and the Kaup-Kupershmidt equation</t>
  </si>
  <si>
    <t>JOURNAL OF MATHEMATICAL PHYSICS</t>
  </si>
  <si>
    <t>Computational and geometric aspects of nonlocal (infinitesimal) symmetries of nonlinear partial differential equations are considered. In particular, the relation of nonlocal symmetries with classical, generalized and internal symmetries is briefly discussed. A nonlocal symmetry for the Kaup-Kupershmidt equation is introduced and studied in some detail. Some explicit particular solutions are found with its help, and a Darboux-like transformation is also obtained. (C) 2005 American Institute of Physics.</t>
  </si>
  <si>
    <t>0022-2488</t>
  </si>
  <si>
    <t>1089-7658</t>
  </si>
  <si>
    <t>10.1063/1.1939988</t>
  </si>
  <si>
    <t>WOS:000230602900030</t>
  </si>
  <si>
    <t>Cotoras, M; Silva, E</t>
  </si>
  <si>
    <t>Differences in the initial events of infection of Botrytis cinerea strains isolated from tomato and grape</t>
  </si>
  <si>
    <t>MYCOLOGIA</t>
  </si>
  <si>
    <t>Various stages of the infection process among B. cinerea strains isolated from tomatoes or grapes, belonging to different genetic groups, were compared. It was found that strains of B. cinerea isolated from either grapes or tomatoes showed differences in adhesion patterns and in the percentage of germination on tomato cutin. In strains isolated from tomato the first stage of adhesion occurred faster than in strains isolated from grape. At the same time strains isolated from tomato showed a higher percentage of germination on tomato cutin than the other strains after 9 h of incubation. The production and isoenzymatic patterns of poly-galacturonases, pectin methyl esterases, pectin lyases, p-nitrophenylbutyrate esterases and laccases by B. cinerea in solid-state fermentation also were analyzed. Correlation between the production of these enzymes and the origin of the strains was not found. On the other hand all strains produced different isoenzymes and a common pattern between the strains was not observed. The ability of B. cinerea strains to colonize tomato leaves also differs between the isolated strains obtained from grapes and tomato. Strains isolated from tomato were more virulent on tomato leaves than strains isolated from grapes.</t>
  </si>
  <si>
    <t>Silva-Moreno, Evelyn/B-9545-2012</t>
  </si>
  <si>
    <t>Silva-Moreno, Evelyn/0000-0001-8745-7916</t>
  </si>
  <si>
    <t>0027-5514</t>
  </si>
  <si>
    <t>1557-2536</t>
  </si>
  <si>
    <t>MAR-APR</t>
  </si>
  <si>
    <t>10.3852/mycologia.97.2.485</t>
  </si>
  <si>
    <t>WOS:000230336600021</t>
  </si>
  <si>
    <t>Functional approach of large deviations in general spaces</t>
  </si>
  <si>
    <t>JOURNAL OF THEORETICAL PROBABILITY</t>
  </si>
  <si>
    <t>Let X be a topological space, (mu(alpha)) a net of Borel probability measures on X, and (t(alpha)) a net in ]0, infinity[ converging to 0. Let A be a set of continuous functions such that for all x. X that can be suitably distinguished by some continuous functions from any closed set not containing x, A contains such a distinguishing function. Assuming that Lambda(h) = log lim (integral(X) e(h(x)/t alpha) mu(alpha)(dx))(t alpha) exists for all h is an element of A, we give a sufficient condition in order that (mu(alpha)) satisfies a large deviation principle with powers ( ta) and not necessary tight rate function. When X is completely regular ( not necessary Hausdorff), this condition is also necessary, and so strictly weaker than exponential tightness; this allows us to strengthen Bryc's theorem in various ways. We give the general form of a rate function in terms of A. A Prohorov-type theorem with a weaker notion than exponential tightness is obtained, which improves known results.</t>
  </si>
  <si>
    <t>0894-9840</t>
  </si>
  <si>
    <t>10.1007/s10959-004-2594-2</t>
  </si>
  <si>
    <t>WOS:000227744200007</t>
  </si>
  <si>
    <t>Llona, I; Eugenín, J</t>
  </si>
  <si>
    <t>Central actions of somatostatin in the generation and control of breathing</t>
  </si>
  <si>
    <t>BIOLOGICAL RESEARCH</t>
  </si>
  <si>
    <t>The neuropeptide somatostatin is involved in many functions in the central nervous system as well as in the periphery. When it is centrally injected, an irreversible apnea is often developed. In the present review, we discuss the effects of somatostatin as the result of its actions at three levels of the respiratory neural network: a) by modulating the output of cranial or spinal motoneurons: b) by altering the genesis of the respiratory rhythm in the brainstem: and c) by regulating the chemosensory drive input into the respiratory pattern generator.</t>
  </si>
  <si>
    <t>0716-9760</t>
  </si>
  <si>
    <t>0717-6287</t>
  </si>
  <si>
    <t>WOS:000236190300006</t>
  </si>
  <si>
    <t>Osorio-Olivares, M; Rezende, MC; Sepúlveda-Boza, S; Cassels, BK; Fierro, A</t>
  </si>
  <si>
    <t>MAO inhibition by arylisopropylamines:: the effect of oxygen substituents at the β-position</t>
  </si>
  <si>
    <t>BIOORGANIC &amp; MEDICINAL CHEMISTRY</t>
  </si>
  <si>
    <t>Twenty-nine arylisopropylamines, substituted at the beta-position of their side chain by an oxo, hydroxy, or methoxy group, were evaluated in vitro as MAO-A and MAO-B inhibitors. The oxo derivatives ('cathinones') were in general less active as MAO-A inhibitors than the corresponding arylisopropylamines, but exhibited an interesting MAO-13 inhibiting activity, which was absent in the hydroxy, methoxy, and beta-unsubstituted analogues. These results suggest that selective affinity for the two MAO isoforms in this family of compounds is modulated not only by the aryl substitution pattern but also by the side-chain substituents on the aryl-alkylamine scaffold. (C) 2004 Elsevier Ltd. All rights reserved.</t>
  </si>
  <si>
    <t>Caroli, Marcos/H-3570-2019; Cassels, Bruce/H-6937-2013</t>
  </si>
  <si>
    <t>Osorio-Olivares, Mauricio/0000-0003-4391-1739; Fierro Huerta, Angelica/0000-0002-6507-4188; Rezende, Marcos/0000-0003-2040-9009</t>
  </si>
  <si>
    <t>0968-0896</t>
  </si>
  <si>
    <t>1464-3391</t>
  </si>
  <si>
    <t>10.1016/j.bmc.2004.05.033</t>
  </si>
  <si>
    <t>WOS:000222886700012</t>
  </si>
  <si>
    <t>Kinetic analysis of osmotic dehydration carried out with reused sucrose syrup</t>
  </si>
  <si>
    <t>Processing times required to achieve a target level of soluble solids were determined in apple pieces during sequential osmotic dehydrations carried out with reused sucrose syrup, in which new loads of fruits were charged in each turn. Effective diffusivities for water and sucrose in apple pieces were experimentally determined as a function of syrup soluble solids. A computer program was written to predict soluble solids change both in apple pieces and in syrup during the sequential osmotic dehydration process. Experimental data on the change of soluble solids for apples and syrup for 10 batches arranged in 2 sets of 5 were obtained. A good agreement between observed and predicted values of soluble solids in both fruit and the syrup was obtained, with root mean square values ranging from 1.3% to 4.6%.</t>
  </si>
  <si>
    <t>10.1111/j.1365-2621.2003.tb05791.x</t>
  </si>
  <si>
    <t>WOS:000187350600013</t>
  </si>
  <si>
    <t>Idíogoras, MC; Christie, DD; Díaz, EM; Herborn, JP; de León, FSP</t>
  </si>
  <si>
    <t>Persuasive communication and attitude change towards road safety in pedestrians</t>
  </si>
  <si>
    <t>REVISTA LATINOAMERICANA DE PSICOLOGIA</t>
  </si>
  <si>
    <t>An experimental design with pre-post test measures with a control group, based on the theory of planned behavior, was developed to assess the influence on attitudes of two experimental videos with road safety contents - one with predominantly cognitive contents and the other of predominantly emotive nature - with a sample of 60 young Chilean pedestrians. The Scale of Attitudes Toward Transgressive Behavior (Escala de Actitud hacia el Comportamiento Infractor, EACI) was used as a proxy to attitude change. The sample also was requested to fill in a thought list for a better understanding of their answers and its relationship with attitude change. A group of hypotheses related to the treatment's effects over the sample attitudes were also assessed. Even though the results show that both experimental treatments were able to change attitudes towards non-transgression, the cognitive nature video probed to be more effective than the emotive one, if we consider the number of attitude aspects, which actually changed. On the other hand, the thought list shows that both experimental treatments were able to cause more favorable than negative thoughts towards the security message of both videos, and highlights the role of identification as the principal process involved in persuasion.</t>
  </si>
  <si>
    <t>Moyano-Diaz, Emilio/G-9522-2012</t>
  </si>
  <si>
    <t>Moyano-Diaz, Emilio/0000-0003-2433-9271</t>
  </si>
  <si>
    <t>0120-0534</t>
  </si>
  <si>
    <t>WOS:000181408100007</t>
  </si>
  <si>
    <t>Urzúa, A</t>
  </si>
  <si>
    <t>Monoterpenes and sesquiterpenes in the headspace volatiles from intact plants of Pseudognaphalium vira vira, P-heterotrichium, P-cheiranthifolium and P-robustum:: Their insect repellent function.</t>
  </si>
  <si>
    <t>Thirty-seven monoterpenes and sesquiterpenes have been identified in the headspace of four Pseudognaphalium spp. The major compound identified was alpha-(z)-ocimene [1]: 87.0% in P vira vira, 45.0% in P. heterotrichium, 41.0% in P cheiranthifolium and 76.0% in P robustum. Other major components were germacrene D [2] (6.4%) in P. vira vira, beta-phellandrene [3] (45.4% and 27.4%) in P heterotrichium and P cheiranthifolium, germacrene B [4](17.9%) in F cheiranthifolium and (E)-3,7,11-trimethyl-1,6,10-dodecatriene-3-ol [5] (9.5%) in P robustum. The insect repellent function of the mixture of volatile compounds is discussed.</t>
  </si>
  <si>
    <t>WOS:000176814300004</t>
  </si>
  <si>
    <t>Palma, G; Cárdenas, VH</t>
  </si>
  <si>
    <t>Resonance enhancement of particle production during reheating</t>
  </si>
  <si>
    <t>We found a consistent equation of reheating after inflation which shows that for small quantum fluctuations the frequencies of resonance are slighted different from the standard ones. Quantum interference is taken into account and we found that at large fluctuations the process mimics very well the usual parametric resonance, but proceeds in a different dynamical way. The analysis is made in a toy quantum mechanical model and we discuss further its extension to quantum field theory.</t>
  </si>
  <si>
    <t>Cardenas, Victor/A-5403-2012</t>
  </si>
  <si>
    <t>Cardenas, Victor Hugo/0000-0002-9788-3967</t>
  </si>
  <si>
    <t>JUN 7</t>
  </si>
  <si>
    <t>10.1088/0264-9381/18/11/316</t>
  </si>
  <si>
    <t>WOS:000169442200017</t>
  </si>
  <si>
    <t>Magne, L; Navarro, P; Vargas, C; Carrasco, S</t>
  </si>
  <si>
    <t>Electrochemical corrosion of grinding media and effect of anions present in industrial waters</t>
  </si>
  <si>
    <t>The steel used in the minerals processing as grinding media (balls or bars), is an important input in terms of cost of the process. Considering the importance of the steel consumption in these processes, this work is guided to evaluate to laboratory scale the effect of the anions present in the industrial waters on the electrochemical corrosion of grinding media. Tests in electrochemical cell, were accomplished measuring potential and corrosion current to four electrodes that were manufactured using sufficiently pure samples of chalcopirite, bornite, enargite and steel ball. The ions used in the tests were chlorides, sulfates, nitrates and carbonates in concentrations from 1 to 180 ppm in individual form or in mixtures, according to the levels measurement of these in industrial waters.</t>
  </si>
  <si>
    <t>Vargas, Cristian/0000-0002-7360-6201</t>
  </si>
  <si>
    <t>10.3989/revmetalm.2001.v37.i1.435</t>
  </si>
  <si>
    <t>WOS:000168241800001</t>
  </si>
  <si>
    <t>Reyes, A; Díaz, G; Marquardt, FH</t>
  </si>
  <si>
    <t>Analysis of mechanically agitated fluid-particle contact dryers</t>
  </si>
  <si>
    <t>Incorporation of agitation to spouted and fluidized bed dryer result in significant increases in the drying capacity (Q(s)), although product retention persist, which is reduced by increasing the air flow. The physical phenomena occurring in these dryers with several liquid substrates was analyzed and the residence time distributions (RTD) were obtained by the use of dye tracers. The residence time (tau) was found to be a function of the rate of agitation (n) and reaches a minimum at n = n(opt), which was characteristic for each type of substrate, and where maxima also appeared for the drying capacity (Q(s) = Q(smax)) and the heat transfer coefficient (Nu(p) = Nu(pmax))The RTD can be modeled by series of consecutive dryers and a modified Vanderschuren and Delvosalle model can be employed to calculated moisture of the dry product.</t>
  </si>
  <si>
    <t>10.1081/DRT-100107496</t>
  </si>
  <si>
    <t>WOS:000172553300009</t>
  </si>
  <si>
    <t>Gramsch, E; Catalán, L; Ormeño, I; Palma, G</t>
  </si>
  <si>
    <t>Traffic and seasonal dependence of the light absorption coefficient in Santiago de Chile</t>
  </si>
  <si>
    <t>APPLIED OPTICS</t>
  </si>
  <si>
    <t>We have designed and built a compact, low-cost automated system to measure the optical absorption coefficient of air. Because most of the light absorption is due to black carbon, this method is a direct measure of the amount of black carbon in the atmosphere. The equipment was used to measure absorption over a period of one year in a central area of Santiago. Our results show a strong correlation with the daily traffic pattern. The highest value of the absorption coefficient during most of the year occurs during the morning rush hour (0700-0800), and the lowest value either early in the morning (0300-0500) or in the afternoon (1400-1700). The absorption coefficient also shows a strong dependence with the season of the year, with values 10-20 times higher in winter than in summer. The data show that, during most of the year, the amount of black carbon present in the atmosphere is due to traffic. At night, during winter, the high concentration of black carbon is due to the temperature inversion effect. (C) 2000 Optical Society of America OCIS codes: 010.1120, 010.1320, 010.1100.</t>
  </si>
  <si>
    <t>Gramsch, Ernesto/M-5507-2017</t>
  </si>
  <si>
    <t>Gramsch, Ernesto/0000-0002-6787-7355</t>
  </si>
  <si>
    <t>1559-128X</t>
  </si>
  <si>
    <t>2155-3165</t>
  </si>
  <si>
    <t>10.1364/AO.39.004895</t>
  </si>
  <si>
    <t>WOS:000089252400004</t>
  </si>
  <si>
    <t>Infante, CD; Llona, I; Constandil, L; Eugenín, J</t>
  </si>
  <si>
    <t>Respiratory chemosensory drive is reduced by somatostatin in the isolated CNS of newborn mouse</t>
  </si>
  <si>
    <t>JOURNAL OF PHYSIOLOGY-LONDON</t>
  </si>
  <si>
    <t>0022-3751</t>
  </si>
  <si>
    <t>130P</t>
  </si>
  <si>
    <t>131P</t>
  </si>
  <si>
    <t>WOS:000085937100194</t>
  </si>
  <si>
    <t>Lissi, EA; Modak, B; Torres, R; Escobar, J; Urzua, A</t>
  </si>
  <si>
    <t>Total antioxidant potential of resinous exudates from Heliotropium species, and a comparison of the ABTS and DPPH methods</t>
  </si>
  <si>
    <t>FREE RADICAL RESEARCH</t>
  </si>
  <si>
    <t>Total reactive antioxidant potential (TRAP) of resinous exudates from Heliotropium species was evaluated by measuring the bleaching of stable free radicals. The antioxidant capacity of the resinous exudates in Trolox equivalents, evaluated from the bleaching of ABTS derived radical cations, ranged from 2.0 M (H. huascoense) to 5.2 M (H. stenophyllum), indicating a very high concentration of phenolic compounds. Considerably smaller values were obtained by measuring the bleaching of DPPH radicals. The ratio between the values obtained employing ABTS derived radicals and DPPH, ranged from 37 (H. megalanthum) to 4.5 (H. chenopodiaceum variety typica). The magnitude of the difference can be considered as an indication of the relative reactivity of the antioxidants present in the exudates. Similar ratios were observed when stoichiometric coefficients were evaluated for representative purified flavonoids obtained from the resinous exudates.</t>
  </si>
  <si>
    <t>1071-5762</t>
  </si>
  <si>
    <t>10.1080/10715769900300511</t>
  </si>
  <si>
    <t>WOS:000080985100006</t>
  </si>
  <si>
    <t>Cortés, J; Puschmann, H; Vaencia, E</t>
  </si>
  <si>
    <t>Mean-field hierarchical equations for some A+BC catalytic reaction models</t>
  </si>
  <si>
    <t>JOURNAL OF CHEMICAL PHYSICS</t>
  </si>
  <si>
    <t>A mean-field study of the (A + BC--&gt;AC+ 1/2B(2)) system is developed from hierarchical equations, considering mechanisms that include dissociation, reaction with finite rates, desorption, and diffusion of the adsorbed species. The phase diagrams are compared to Monte Carlo simulations. (C) 1998 American Institute of Physics.</t>
  </si>
  <si>
    <t>0021-9606</t>
  </si>
  <si>
    <t>1089-7690</t>
  </si>
  <si>
    <t>OCT 8</t>
  </si>
  <si>
    <t>10.1063/1.477235</t>
  </si>
  <si>
    <t>WOS:000076216900046</t>
  </si>
  <si>
    <t>Gamboa, J</t>
  </si>
  <si>
    <t>Initial singularity problem in two-dimensional quantum cosmology</t>
  </si>
  <si>
    <t>The problem of how to put interactions in two-dimensional quantum gravity in the strong coupling regime is studied. It shows that the most general interaction consistent with this symmetry is a Liouville term that contains two parameters (alpha,beta) satisfying the algebraic relation 2 beta-alpha=2 in order to assure the closure of the diffeomorphism algebra. The model is classically soluble and it contains as a general solution the temporal singularity. The theory is quantized and we show that the propagation amplitude falls to zero in tau=0. This result shows that the classical singularities are smoothed by quantum effects and the big-bang concept could be considered as a classical extrapolation instead of a physical concept.</t>
  </si>
  <si>
    <t>Gamboa, Jorge/R-8744-2019</t>
  </si>
  <si>
    <t>Gamboa, Jorge/0000-0001-7992-7199</t>
  </si>
  <si>
    <t>0556-2821</t>
  </si>
  <si>
    <t>10.1103/PhysRevD.53.6991</t>
  </si>
  <si>
    <t>WOS:A1996UT16800031</t>
  </si>
  <si>
    <t>DOlivo, JC; Fernandez, A; Perez, MA</t>
  </si>
  <si>
    <t>Quantum mechanics on multiply connected manifolds with applications to anyons in one and two dimensions</t>
  </si>
  <si>
    <t>WORKSHOPS ON PARTICLES AND FIELDS AND PHENOMENOLOGY OF FUNDAMENTAL INTERACTIONS</t>
  </si>
  <si>
    <t>AIP CONFERENCE PROCEEDINGS</t>
  </si>
  <si>
    <t>5th Workshop on Particles and Fields / 5th Latin-American Workshop on Phenomenology of the Fundamental Interactions</t>
  </si>
  <si>
    <t>OCT 30-NOV 03, 1995</t>
  </si>
  <si>
    <t>PUEBLA, MEXICO</t>
  </si>
  <si>
    <t>Mexican Phys Soc, Div Particles &amp; Fields,Latin Amer Network Phenomenol Fundamental Interact</t>
  </si>
  <si>
    <t>1-56396-548-8</t>
  </si>
  <si>
    <t>WOS:A1996BG55P00009</t>
  </si>
  <si>
    <t>Garin, JL; Mannheim, RL; Costamagna, JA</t>
  </si>
  <si>
    <t>Garin, J. L.; Mannheim, R. L.; Costamagna, J. A.</t>
  </si>
  <si>
    <t>PARTICLE SIZE AND STRAIN MEASUREMENT IN RHENIUM POWDER BY MEANS OF THE WARREN-AVERBACH METHOD.</t>
  </si>
  <si>
    <t>PS10.03.16</t>
  </si>
  <si>
    <t>C371</t>
  </si>
  <si>
    <t>10.1107/S0108767396084711</t>
  </si>
  <si>
    <t>WOS:000410483200661</t>
  </si>
  <si>
    <t>UBILLA, P</t>
  </si>
  <si>
    <t>HOMOCLINIC ORBITS FOR A QUASI-LINEAR HAMILTONIAN SYSTEM</t>
  </si>
  <si>
    <t>The aim of this paper is to prove existence of nontrivial homoclinic orbits for the following Quasilinear Hamiltonian System (a(\u'\(p))\u'\(p-2)u')' - b(\u\(p))\u\(p-2)u + W-u'(t, u) = 0 in R that is, to prove existence of u : R --&gt; R(n) satisfying the system above and u(-infinity) = u'(-infinity) = u(+infinity) = u'(+infinity) = 0. (C) 1995 Academic Press, Inc.</t>
  </si>
  <si>
    <t>10.1006/jmaa.1995.1254</t>
  </si>
  <si>
    <t>WOS:A1995RH90100014</t>
  </si>
  <si>
    <t>ON THE COMPACTNESS OF STRONGLY CONTINUOUS SEMIGROUPS AND COSINE FUNCTIONS OF OPERATORS</t>
  </si>
  <si>
    <t>In this note we relate two notions of compactness for strongly continuous semigroups of linear operators and cosine functions of linear operators. Specifically, if T denotes a strongly continuous semigroup of linear operators defined on a Banach space X, we will show that T is compact if and only if the set {(T(.)x : x is an element of X, parallel to x parallel to less than or equal to 1} is relatively compact in any space L(p)([0, a]); X) for 1 less than or equal to p &lt; infinity and a &gt; 0. We establish similar results for (T(t) - I)(n), n is an element of N, and for cosine and sine functions of operators.</t>
  </si>
  <si>
    <t>10.2307/2161129</t>
  </si>
  <si>
    <t>WOS:A1995QV36300016</t>
  </si>
  <si>
    <t>BRIONES, L; BUSTAMANTE, P; SERNA, MA</t>
  </si>
  <si>
    <t>WALL-CLIMBING ROBOT FOR INSPECTION IN NUCLEAR-POWER-PLANTS</t>
  </si>
  <si>
    <t>1994 IEEE INTERNATIONAL CONFERENCE ON ROBOTICS AND AUTOMATION: PROCEEDINGS, VOLS 1-4</t>
  </si>
  <si>
    <t>IEEE INTERNATIONAL CONFERENCE ON ROBOTICS AND AUTOMATION</t>
  </si>
  <si>
    <t>1994 IEEE International Conference on Robotics and Automation</t>
  </si>
  <si>
    <t>MAY 08-13, 1994</t>
  </si>
  <si>
    <t>SAN DIEGO, CA</t>
  </si>
  <si>
    <t>IEEE, ROBOT &amp; AUTOMAT SOC</t>
  </si>
  <si>
    <t>Serna, Miguel Angel/E-3997-2018</t>
  </si>
  <si>
    <t>Serna, Miguel Angel/0000-0002-0248-3566</t>
  </si>
  <si>
    <t>1050-4729</t>
  </si>
  <si>
    <t>0-8186-5330-2</t>
  </si>
  <si>
    <t>10.1109/ROBOT.1994.351292</t>
  </si>
  <si>
    <t>WOS:A1994BA72M00207</t>
  </si>
  <si>
    <t>LABARCA, R; PLAZA, S</t>
  </si>
  <si>
    <t>GLOBAL STABILITY OF FAMILIES OF VECTOR-FIELDS</t>
  </si>
  <si>
    <t>We consider one-parameter families with simple recurrent set. Among these families we characterize the (structurally) stables ones.</t>
  </si>
  <si>
    <t>Plata, Sergio/AAA-6144-2019</t>
  </si>
  <si>
    <t>10.1017/S0143385700007641</t>
  </si>
  <si>
    <t>WOS:A1993MZ23000009</t>
  </si>
  <si>
    <t>GAETEGARRETON, L; VARGASHERRERA, R; VARGASHERNANDEZ, Y; GALLEGOJUAREZ, J; RODRIGUEZCORRAL, G</t>
  </si>
  <si>
    <t>ULTRASONICS; ULTRASONICS; ULTRASONICS</t>
  </si>
  <si>
    <t>CONDITIONS FOR ULTRASONIC-INDUCED CAVITATION IN WATER</t>
  </si>
  <si>
    <t>ULTRASONICS INTERNATIONAL 93 - CONFERENCE PROCEEDINGS</t>
  </si>
  <si>
    <t>Ultrasonics International Conference</t>
  </si>
  <si>
    <t>JUL 06-08, 1993</t>
  </si>
  <si>
    <t>VIENNA, AUSTRIA</t>
  </si>
  <si>
    <t>0-750618-77-9</t>
  </si>
  <si>
    <t>WOS:A1993BA27D00176</t>
  </si>
  <si>
    <t>GALINDO, G; FOERSTER, JE; DIAZ, P; ESCUDEY, M</t>
  </si>
  <si>
    <t>ISOELECTRIC POINT DETERMINATION ON VOLCANIC MATERIALS DERIVED SOILS AND THEIR FRACTIONS</t>
  </si>
  <si>
    <t>Based on theoretical and experimental considerations it is concluded that the best conditions to determine isoelectric points (IEP) of volcanic materials derived soils, through electrophoretic mobilities, are diluted dispersions suspended in 10(-3) M KCl or NaCl solution. Precise and reliable IEP values are obtained when the proposed method for soils is applied. This method starts electrophoretic mobility measurements within the minimum dissolution pH range (4-8). A significant inverse correlation between IEP and organic matter content was established, which allows the differentiation of horizons with andic properties. in volcanic materials derived soils, by means of a simple and rapid method.</t>
  </si>
  <si>
    <t>WOS:A1992KH70700011</t>
  </si>
  <si>
    <t>LETELIER, MF; PEREZ, JR</t>
  </si>
  <si>
    <t>FLOW OF BINGHAM FLUIDS IN CONDUITS OF COMPLEX SHAPE</t>
  </si>
  <si>
    <t>INTERNATIONAL JOURNAL OF ENGINEERING FLUID MECHANICS</t>
  </si>
  <si>
    <t>0893-3960</t>
  </si>
  <si>
    <t>WOS:A1989T821400005</t>
  </si>
  <si>
    <t>FIRINGUETTI, LL</t>
  </si>
  <si>
    <t>A SIMULATION STUDY OF RIDGE-REGRESSION ESTIMATORS WITH AUTO-CORRELATED ERRORS</t>
  </si>
  <si>
    <t>COMMUNICATIONS IN STATISTICS-SIMULATION AND COMPUTATION</t>
  </si>
  <si>
    <t>0361-0918</t>
  </si>
  <si>
    <t>10.1080/03610918908812784</t>
  </si>
  <si>
    <t>WOS:A1989AM14600017</t>
  </si>
  <si>
    <t>ABUIN, EB; LISSI, EA; AVARIA, L</t>
  </si>
  <si>
    <t>EFFECT OF PH ON THE BEHAVIOR OF HYDROGEN-PEROXIDE AS AN INHIBITOR OR CHAIN TRANSFER AGENT</t>
  </si>
  <si>
    <t>JOURNAL OF POLYMER SCIENCE PART C-POLYMER LETTERS</t>
  </si>
  <si>
    <t>0887-6258</t>
  </si>
  <si>
    <t>10.1002/pol.1988.140261202</t>
  </si>
  <si>
    <t>WOS:A1988Q825100002</t>
  </si>
  <si>
    <t>JABALQUINTO, AM</t>
  </si>
  <si>
    <t>INACTIVATION OF MEVALONATE-5-DIPHOSPHATE DECARBOXYLASE BY THIONUCLEOTIDES</t>
  </si>
  <si>
    <t>R212</t>
  </si>
  <si>
    <t>WOS:A1987L151200246</t>
  </si>
  <si>
    <t>ZAGAL, J; PAEZ, C; BARBATO, S</t>
  </si>
  <si>
    <t>ELECTROCATALYSIS OF THE OXIDATION AND REDUCTION OF SULFUR-CONTAINING-COMPOUNDS ON N4-METAL CHELATES AND SOME IMPLICATIONS IN ENERGY-CONVERSION DEVICES</t>
  </si>
  <si>
    <t>1945-7111</t>
  </si>
  <si>
    <t>C145</t>
  </si>
  <si>
    <t>WOS:A1987G410200579</t>
  </si>
  <si>
    <t>ZAGAL, J; PAEZ, M</t>
  </si>
  <si>
    <t>CORRELATION BETWEEN THE ELECTRONIC AND REDOX PROPERTIES OF METAL MACROCYCLES AND THEIR ELECTROCATALYTIC ACTIVITY FOR ELECTROCHEMICAL REACTIONS</t>
  </si>
  <si>
    <t>WOS:A1987G410200578</t>
  </si>
  <si>
    <t>LISSI, E; DELAFUENTE, J</t>
  </si>
  <si>
    <t>CHEMILUMINESCENT RECOMBINATION OF BENZOYL RADICALS</t>
  </si>
  <si>
    <t>De la Fuente, Julio R./I-2474-2013</t>
  </si>
  <si>
    <t>De la Fuente, Julio R./0000-0002-3875-6263</t>
  </si>
  <si>
    <t>10.1039/p29860000819</t>
  </si>
  <si>
    <t>WOS:A1986C942300007</t>
  </si>
  <si>
    <t>URZUA, A; TORRES, R</t>
  </si>
  <si>
    <t>6A, 7-DEHYDROBOLDINE FROM THE BARK OF PEUMUS-BOLDUS</t>
  </si>
  <si>
    <t>JOURNAL OF NATURAL PRODUCTS</t>
  </si>
  <si>
    <t>0163-3864</t>
  </si>
  <si>
    <t>10.1021/np50033a021</t>
  </si>
  <si>
    <t>WOS:A1984TB86900021</t>
  </si>
  <si>
    <t>GAUTIER, JL; CABEZAS, C</t>
  </si>
  <si>
    <t>CATHODIC REDUCTION OF THE MNXCO3-XO4 SYSTEM IN H2SO4 MEDIUM</t>
  </si>
  <si>
    <t>10.1016/S0022-0728(83)80320-9</t>
  </si>
  <si>
    <t>WOS:A1983RV92100011</t>
  </si>
  <si>
    <t>CASSELS, BK; HERREROS, S; IBANEZ, C; REZENDE, MC; SEBASTIAN, C; SEPULVEDA, S</t>
  </si>
  <si>
    <t>SYNTHESIS OF ANTI-TUMORAL 1-ARYL-2-NITROALKENES</t>
  </si>
  <si>
    <t>ANALES DE LA ASOCIACION QUIMICA ARGENTINA</t>
  </si>
  <si>
    <t>0365-0375</t>
  </si>
  <si>
    <t>WOS:A1982NL92300013</t>
  </si>
  <si>
    <t>ZAGAL, J; COSTAMAGNA, JA</t>
  </si>
  <si>
    <t>COMPLEXES FROM TRI NORMAL BUTYLPHOSPHINE AND XANTHATES OF NICKEL(II)</t>
  </si>
  <si>
    <t>INORGANIC &amp; NUCLEAR CHEMISTRY LETTERS</t>
  </si>
  <si>
    <t>0020-1650</t>
  </si>
  <si>
    <t>10.1016/0020-1650(77)80030-5</t>
  </si>
  <si>
    <t>WOS:A1977DS58000002</t>
  </si>
  <si>
    <t>BARRERA, R; BAUMGARTEN, J; PINO, DD; LECLERCQ, I; BEAS, F</t>
  </si>
  <si>
    <t>PREPARATION OF HUMAN PLACENTAL UTEROTROPHIC HORMONE WITH HIGHLY SPECIFIC ACTION - LABELING VIA HUNTER AND GREENWOOD METHOD</t>
  </si>
  <si>
    <t>REPRODUCCION</t>
  </si>
  <si>
    <t>0303-5220</t>
  </si>
  <si>
    <t>WOS:A1975AT72100057</t>
  </si>
  <si>
    <t>Alvarez, GD; Letelier, MF; Siginer, DA</t>
  </si>
  <si>
    <t>Alvarez, Gonzalo D.; Letelier, Mario F.; Siginer, Dennis A.</t>
  </si>
  <si>
    <t>Forced convection in laminar flow with nonlinear viscoelastic fluids in non-circular ducts including viscous dissipation: Giesekus fluids</t>
  </si>
  <si>
    <t>Heat transfer enhancement for a steady, laminar, incompressible and axially fully developed flow of nonlinear viscoelastic shear-thinning fluids abiding by the Giesekus constitutive structure in straight microtubes of arbitrary non-circular contour under constant heat flux at the walls is investigated. The governing equations are solved based on an embedded double asymptotic series expansion pivoted around the elasticity measure Weissenberg number Wi and a mapping parameter e. The effects of the constitutive parameters of the Giesekus model as well as the dimensionless flow parameters on the flow and heat transfer in microtubes of a wide-ranging spectrum of non-circular cross-sectional contours are investigated. The flow and thermal fields of representative tubes with equilateral triangular, square, rectangular, and pentagonal cross-sections are investigated in detail. The analysis reveals that the constitutive mobility parameter alpha, viscosity ratio /3 and the Weissenberg number Wi significantly influence the Nusselt number Nu together with the flow characteristics, the Peclet Pe, Brinkman Br and Reynolds Re numbers. Effects of the viscous dissipation in wall cooling and wall heating is studied. At a given value of Wi heat transfer is enhanced regardless the process considered at the boundary. In all cases, heat transfer is improved compared to Newtonian fluids, with the strongest enhancement observed in rectangular microtubes for low-inertia flows.</t>
  </si>
  <si>
    <t>10.1016/j.ijthermalsci.2025.109873</t>
  </si>
  <si>
    <t>MAR 2025</t>
  </si>
  <si>
    <t>WOS:001458119400001</t>
  </si>
  <si>
    <t>Parra, M; Izquierdo, K; Rubio, M; de la Fuente, A; Tello, M; Modak, B</t>
  </si>
  <si>
    <t>Parra, Mick; Izquierdo, Katherin; Rubio, Meraiot; de la Fuente, Antonia; Tello, Mario; Modak, Brenda</t>
  </si>
  <si>
    <t>Quercetin and Silybin Decrease Intracellular Replication of Piscirickettsia salmonis in SHK-1 Cell</t>
  </si>
  <si>
    <t>INTERNATIONAL JOURNAL OF MOLECULAR SCIENCES</t>
  </si>
  <si>
    <t>Piscirickettsia salmonis is the pathogen that has most affected the Chilean salmon industry for over 30 years. Considering the problems of excessive use of antibiotics, it is necessary to find new strategies to control this pathogen. Antivirulence therapy is an alternative to reduce the virulence of pathogens without affecting their growth. Polyphenolic compounds have been studied for their antiviral capacity. In this study, the capacity of quercetin and silybin to reduce the intracellular replication of P. salmonis in SHK-1 cells was evaluated. For this, three different infection protocols in Salmon Head Kidney-1(SHK-1) cells were used: co-incubation for 24 h, pre-incubation for 24 h prior to infection, and post-incubation for 24 h after infection. In addition, the effect of co-incubation in rainbow trout intestinal epithelial cells (RTgutGC) and the effect on the phagocytic capacity of SHK-1 cells were evaluated. The results obtained showed that quercetin and silybin decreased the intracellular replication of P. salmonis in SHK-1 cells when they were co-incubated for 24 h; however, they did not have the same effect in RTgutGC cells. On the other hand, both compounds decreased the phagocytosis of SHK-1 cells during co-incubation. These results are promising for the study of new treatments against P. salmonis.</t>
  </si>
  <si>
    <t>Tello, Mario/N-4198-2019</t>
  </si>
  <si>
    <t>1661-6596</t>
  </si>
  <si>
    <t>1422-0067</t>
  </si>
  <si>
    <t>10.3390/ijms26031184</t>
  </si>
  <si>
    <t>WOS:001418612000001</t>
  </si>
  <si>
    <t>Santiago de Chile 1968-1972 as an intellective ecosystem: attempt at theorization and empirical example</t>
  </si>
  <si>
    <t>ESTUDOS IBERO-AMERICANOS</t>
  </si>
  <si>
    <t>It is about explaining a fact as unusual as it is important: that an intellectual community from a peripheral city, during a very short period of time (Santiago de Chile 1968-1972) has been transformed into one of the world capitals of thought, generating and exporting some of the most influential eidetic expressions (dependentism, liberationism, social-e-clacism, socialist Christianity and almost immediately the Chilean version of neoliberalism), while reflecting on the possibilities of replicating similar situations. For this, the notion of intellective ecosystem is formulated. Five hypotheses are developed, rather than tested, that would allow us to understand various ways to explain the creativity boom, in a dynamic that goes beyond the ecosystem itself. The space is mapped, pointing out the most important institutional groups, highlighting in each case the eidetic expressions and figures. The relationships that articulated these places are established, allowing the circulation of ideas, as well as the relationships between the inside and outside of the ecosystem, focusing importantly on exogamy, on the ways of receiving ideas and foreign and intellectual figures. Chileans with recent postgraduate degrees abroad. Finally, an attempt is made to account for the exceptionality that allowed this explosion of creativity and good reception of ideas that emerged in Santiago in other intellectual ecosystems in the world.</t>
  </si>
  <si>
    <t>0101-4064</t>
  </si>
  <si>
    <t>1980-864X</t>
  </si>
  <si>
    <t>JAN-DEC</t>
  </si>
  <si>
    <t>e45287</t>
  </si>
  <si>
    <t>10.15448/1980-864X.2025.1.45287</t>
  </si>
  <si>
    <t>WOS:001426672600003</t>
  </si>
  <si>
    <t>Lacoste, P</t>
  </si>
  <si>
    <t>Lacoste, Pablo</t>
  </si>
  <si>
    <t>AGRARIAN REFORM, INFLATION, PRICE CONTROL: THE CONTROL PISQUERO COOPERATIVE (CHILE, 1970-1973)</t>
  </si>
  <si>
    <t>It examines the impact of high inflation and price control on the processes of Agrarian Reform in Chile through the case of the Control Pisquero cooperative. This was the main actor of the largest agroindustry in northern Chile in the 20th century, with its consequent socioeconomic impact on the territory, focused on the production of pisco, a patrimonial distillate, delimited as a Denomination of Origin since 1931. The study has a double perspective: on the one hand, the Minutes of the Board of Directors of Control Pisquero; on the other, from the official speeches that explained and monitored the government's action. It is detected that the socially valuable objective of the AR, in the sense of dignifying and improving the situation of the peasants, was supported by the incorporation of rural workers into the cooperative, which housed hundreds of small winegrowers who were beneficiaries of the Agrarian Reform. However, expansive fiscal policies and hyperinflation compromised Control's finances, which ended up hurting the farmers, compromised the Agrarian Reforms' objectives and the viability of the first Denomination Origen in America.</t>
  </si>
  <si>
    <t>WOS:001282337500006</t>
  </si>
  <si>
    <t>Escudero, JC</t>
  </si>
  <si>
    <t>Escudero, Jaime Caiceo</t>
  </si>
  <si>
    <t>Políticas Públicas sobre financiamiento de la educación superior en Chile: 1970-2020</t>
  </si>
  <si>
    <t>FORO DE EDUCACION</t>
  </si>
  <si>
    <t>Until 1973 Higher Education in Chile was free for the 8 existing universities-2 publics and 6 privates-. The military dictatorship began to reduce the state's contribution of funding through the implementation of a market policy in education; from 1981 on a larger decline begins and private universities are enabled to be created; to this end, it issues three decrees amending the composition of higher education. This situation was maintained with the return to democracy in 1990 and scholarships and financial support were established with a return. Starting in 2016, the gratuitousness's policy began again, initially for 50% of students from lower-income families; it was then increased to 60% and will gradually increase in time by increasing the percentage to reach 100%. It is pursued, on the basis of the relevant legislation, to analyze the period under study with a historical-analytical methodology.</t>
  </si>
  <si>
    <t>1698-7799</t>
  </si>
  <si>
    <t>1698-7802</t>
  </si>
  <si>
    <t>10.14516/fde.971</t>
  </si>
  <si>
    <t>WOS:001137429300001</t>
  </si>
  <si>
    <t>Pavelic, MR; Salinas, SC</t>
  </si>
  <si>
    <t>Ramirez Pavelic, Monica; Contreras Salinas, Sylvia</t>
  </si>
  <si>
    <t>THE DEVIL WITHIN: REFLECTIONS ON SEX/GENER IDENTITIES IN THE LIGHT OF STORY A TRANS</t>
  </si>
  <si>
    <t>ANDAMIOS</t>
  </si>
  <si>
    <t>The objective of the research is to identify the main elements that come together in the conformation of the identity of a male transsexual subject. A qualitative research design is used for this, through case study and thematic content analysis. Six categories merge from the results: difference, transit, specialists, confusion, name and anger. From the analysis of Victor's discourse, the adoption of cultural prejudices and normalizing psychological models, which would mostly be at the service of the hegemonic power, can be seen. It concludes in the urgency of collecting the approaches of critical psychology, in order to deconstruct and reconstruct the concept of diversity.</t>
  </si>
  <si>
    <t>Ramírez, Mónica/HIU-0655-2022</t>
  </si>
  <si>
    <t>1870-0063</t>
  </si>
  <si>
    <t>2594-1917</t>
  </si>
  <si>
    <t>10.29092/uacm.v20i51.1009</t>
  </si>
  <si>
    <t>WOS:001067748900001</t>
  </si>
  <si>
    <t>Vivas, L; Singh, DP</t>
  </si>
  <si>
    <t>Vivas, Leonardo; Singh, Dinesh Pratap</t>
  </si>
  <si>
    <t>A Highly Efficient Graphene Gold Based Green Supercapacitor Coin Cell Device for Energy Storage</t>
  </si>
  <si>
    <t>FRONTIERS IN ENERGY RESEARCH</t>
  </si>
  <si>
    <t>Inclination to exploit renewable energy and their potential storage by facile, cost-effective, and above all in a green way are exactly what the current alternative energy research is looking for. The high-performance supercapacitor devices made up with the electrode materials synthesized in a simple and ecofriendly way are in utmost demand and the ultimate goal for widespread commercialization. Keeping these points in view, one pot green synthesis of active electrode material rGO-Au composite is achieved which not only performs as a very good supercapacitor in three-electrode configuration but also demonstrates extremely well as a coin cell device, ready to use. Ascorbic acid, which is commonly found in citrus fruits, plays an important role to reduce graphene oxide into rGO and simultaneously gold salt into gold nanoparticles, resulting in rGO-Au composite. The maximum recorded specific capacitance by CV measurement is 303.02 Fg(-1) at a scan rate of 5 mVs(-1). Hindrance in the commercialization is caused by the differences in the supercapacitor performances between three electrode configurations and finally the proposed device. Here the proposed coin cell device exhibits maximum areal and mass specific capacitance of 62.43 mFcm(-2) and 56.09 Fg(-1), respectively, that is very high among all reported graphene based composite devices benefitted over with commercially viable high capacity retention up to 80% even after 10,000 cycles. The proposed device demonstrates high energy density (similar to E-D = 7.79 Wh/Kg) comparable to batteries and an optimum power density (similar to P-D = 2512.9 W/Kg) close to supercapacitor insinuating it is an effective green supercapacitor for commercialization.</t>
  </si>
  <si>
    <t>Vivas, Leonardo/S-1584-2019; SINGH, DINESH/A-2509-2011</t>
  </si>
  <si>
    <t>SINGH, DINESH/0000-0002-2893-7749; Vivas, Leonardo/0000-0001-5044-9680</t>
  </si>
  <si>
    <t>2296-598X</t>
  </si>
  <si>
    <t>JAN 11</t>
  </si>
  <si>
    <t>10.3389/fenrg.2021.794604</t>
  </si>
  <si>
    <t>WOS:000748047600001</t>
  </si>
  <si>
    <t>Millaleo, A</t>
  </si>
  <si>
    <t>Millaleo, H. Ana</t>
  </si>
  <si>
    <t>Epu Pullu, Epu Pillan and other sexuality-affectivity themes in the Mapuche context: approaching Poyewun</t>
  </si>
  <si>
    <t>ESTUDIOS ATACAMENOS</t>
  </si>
  <si>
    <t>Using a video from social media about sexual diversity within the Mapuche people as a starting point, this article reflects on affectivity and sexuality in the contemporary Mapuche context. The video features the concepts of Epu Piillii and Epu Pillan and invites dialogue, creating tension around the feminine/masculine, the body, spirituality and, fundamentally, binary sex-uality. This article argues that these tensions are rooted in colonial masculinity pacts that make female and feminized bodies invisible within Mapuche society. It proposes the concept of Poyewiin as a vanishing point for these pacts, which, from a Mapuche epistemological perspec-tive, requires reviving the debate on love, advancing toward decolonization of spirituality and bodies in the reciprocity of affective bonds, which would enable the rejected bodies to emerge, forcing us to revisit Mapuche history and current affairs from our own perspective. To prepare this text, researchers held group and individual interviews with people who identify as Mapu-che and are recognized activists within the movement. These interviews were held face-to-face until the emergence of COVID-19 when researchers added an online modality.</t>
  </si>
  <si>
    <t>0718-1043</t>
  </si>
  <si>
    <t>e4716</t>
  </si>
  <si>
    <t>10.22199/issn.0718-1043-2022-0014</t>
  </si>
  <si>
    <t>WOS:000879860600001</t>
  </si>
  <si>
    <t>Zamorano-Illanes, R; Soto, I; Alavia, W; Garcia, V; Adasme, P; Rau, F</t>
  </si>
  <si>
    <t>Zamorano-Illanes, Raul; Soto, Ismael; Alavia, Wilson; Garcia, Veronica; Adasme, Pablo; Rau, Francisco</t>
  </si>
  <si>
    <t>Remote detection of COVID-19 using 5G and AI</t>
  </si>
  <si>
    <t>2022 13TH INTERNATIONAL SYMPOSIUM ON COMMUNICATION SYSTEMS, NETWORKS AND DIGITAL SIGNAL PROCESSING, CSNDSP</t>
  </si>
  <si>
    <t>13th International Symposium on Communication Systems, Networks and Digital Signal Processing (CSNDSP)</t>
  </si>
  <si>
    <t>JUL 20-22, 2022</t>
  </si>
  <si>
    <t>Porto, PORTUGAL</t>
  </si>
  <si>
    <t>This work presents a novel solution for the detection of the Severe Acute Respiratory Syndrome Coronavirus 2 (SARS-CoV-2) that produces the disease COVID-19 from gel electrophoresis images for the application of the analysis of samples from sewage systems for the control of the pandemic, using the fifth generation mobile network (5G) and artificial intelligence (AI) for the reduction of noise in the samples and the detection of characteristic bands of the virus. It is composed of five steps, allowing to reduce the fatigue of the experts and the cost to perform the SARS-CoV-2 detection process compared to an RT-qPCR. In terms of energy savings in transmission, a gain was achieved that stops the value of a BER of 10-4, it is 0.5 dB when going from N from 64 to 128, similar for the difference from 32 to 64 and a gain of 1dB when going from N from 16 to 32, respectively.</t>
  </si>
  <si>
    <t>Adasme, Pablo/U-1735-2019; Rau, Francisco/JEP-6394-2023</t>
  </si>
  <si>
    <t>Rau, Francisco/0000-0003-3890-4876; Zamorano-Illanes, Raul/0000-0002-3995-697X</t>
  </si>
  <si>
    <t>978-1-6654-1044-1</t>
  </si>
  <si>
    <t>10.1109/CSNDSP54353.2022.9907995</t>
  </si>
  <si>
    <t>WOS:001331792600074</t>
  </si>
  <si>
    <t>López, JJV; Lizárraga, AP; Ojeda, PM</t>
  </si>
  <si>
    <t>Vanegas Lopez, Jairo Javier; Pavez Lizarraga, Amaya; Munoz Ojeda, Patricia</t>
  </si>
  <si>
    <t>Cesarean section trend: A reflection from ethics</t>
  </si>
  <si>
    <t>ACTA BIOETHICA</t>
  </si>
  <si>
    <t>World statistics show an upward trend in Cesarean section rates that exceed the 15% recommended by PAHO / WHO. This surgery has become the most common in high- and middle-income countries. Some studies suggest that not all these caesarean sections would be justified. In this regard, some reflections are made on the ethical dilemmas that can be observed from various theoretical positions such as consequentialism, Kantianism, the ethics of virtue and feminist theory. In turn, these dilemmas are immersed in multiple individuals, social and cultural factors, among others. From Public Health, the current parameter defined as the acceptable range of Caesarean sections should be reviewed as it may be too low. It is also recommended that measures be applied to strengthen patients' desire for a normal delivery whenever possible through timely information and education during prenatal care. The decisions of the health professional and women must be supported by the best information available.</t>
  </si>
  <si>
    <t>Vanegas, Jairo/ACV-6689-2022</t>
  </si>
  <si>
    <t>Vanegas Lopez, Jairo Javier/0000-0001-5281-483X</t>
  </si>
  <si>
    <t>1726-569X</t>
  </si>
  <si>
    <t>WOS:000661299600012</t>
  </si>
  <si>
    <t>Rojas, A; Velásquez, E; Piña, C; Galotto, MJ; de Dicastillo, CL</t>
  </si>
  <si>
    <t>Rojas, Adrian; Velasquez, Eliezer; Pina, Constanza; Jose Galotto, Maria; Lopez de Dicastillo, Carol</t>
  </si>
  <si>
    <t>Designing active mats based on cellulose acetate/polycaprolactone core/shell structures with different release kinetics</t>
  </si>
  <si>
    <t>CARBOHYDRATE POLYMERS</t>
  </si>
  <si>
    <t>Core/shell electrospun mats based on cellulose acetate (CA) and polycaprolactone (PCL) were developed as novel active materials for releasing quercetin (Quer) and curcumin (Cur). The effect of polymeric uniaxial and coaxial electrospun systems and the chemical structures of Quer and Cur on the structural, thermal, and mass transfer properties of the developed mats were investigated. Release modelling indicated that the diffusion of the active agents from the uniaxial PCL fibers was highly dependent on the type of food simulant. Higher diffusion coefficients were obtained for both active agents in acid food simulant due to the higher swelling of the electrospun mats. In addition, CA/PCL coaxial structures slowed down the diffusion of both active agents into both food simulants. CA increased the retention of the active compounds in the polymer structure, resulting in partition coefficients values higher than the values obtained for uniaxial active PCL mats.</t>
  </si>
  <si>
    <t>Rojas, Adrián/AAR-9441-2021; Lopez-de-Dicastillo, Carol/C-6347-2019</t>
  </si>
  <si>
    <t>Rojas, Adrian/0000-0001-9253-1295; Lopez-de-Dicastillo, Carol/0000-0003-0067-9765; VELASQUEZ, ELIEZER/0000-0001-8858-8926</t>
  </si>
  <si>
    <t>0144-8617</t>
  </si>
  <si>
    <t>1879-1344</t>
  </si>
  <si>
    <t>JUN 1</t>
  </si>
  <si>
    <t>10.1016/j.carbpol.2021.117849</t>
  </si>
  <si>
    <t>MAR 2021</t>
  </si>
  <si>
    <t>WOS:000634107300002</t>
  </si>
  <si>
    <t>ITINERARIES AND LANGUAGES OF MADNESS IN THE EARLY MODERN WORLD Introduction</t>
  </si>
  <si>
    <t>WOS:000807304300001</t>
  </si>
  <si>
    <t>Mad spendthrift men Prodigality as a category of mental incapacity</t>
  </si>
  <si>
    <t>WOS:000807304300003</t>
  </si>
  <si>
    <t>Rajendran, S; Diaz, M; Chavez, H; Cruchaga, M; Castillo, E</t>
  </si>
  <si>
    <t>Rajendran, Saravanakumar; Diaz, Matias; Chavez, Hector; Cruchaga, Marcela; Castillo, Ernesto</t>
  </si>
  <si>
    <t>Terminal Synergetic Control for Variable Speed Wind Turbine Using a Two Mass Model</t>
  </si>
  <si>
    <t>This paper proposes three different synergetic control algorithms for two mass models of variable speed wind turbine with wind estimator. The wind turbine is modeled by a two-mass model that deals with wind turbine nonlinear aerodynamics and its flexible models. The controllers aim to maximize the captured energy from the wind whilst reducing the load level of the drive train. Initially, some of the conventional controllers such as sliding mode and integral sliding mode controllers are considered. Nonetheless, these controllers introduce more transient loads. To overcome these issues, a synergetic and terminal synergetic with integral based macro variable are proposed for a two-mass model wind turbine. These proposed controllers are verified through simulation and Fatigue, aerodynamics, structures, and turbulence 600kW model. The simulation results affirm that the terminal synergetic-based integral controller improves transient load reduction than other controllers.</t>
  </si>
  <si>
    <t>Diaz, Matias/R-7570-2018; Castillo, Ernesto/D-1612-2015; Cruchaga, Marcela/M-7522-2014; Rajendran, SaravanaKumar/ABI-6522-2020</t>
  </si>
  <si>
    <t>10.1109/CHILECON54041.2021.9703058</t>
  </si>
  <si>
    <t>WOS:000788072700089</t>
  </si>
  <si>
    <t>Viera, E; Kaschel, H; Valencia, C</t>
  </si>
  <si>
    <t>Viera, Eduardo; Kaschel, Hector; Valencia, Claudio</t>
  </si>
  <si>
    <t>Physiological Behavior of COVID-19 Patients Using Wearable System and Markov Chains</t>
  </si>
  <si>
    <t>This study seeks to continuously monitor key physiological parameters in progression and development in people infected with the COVID-19 virus. This will be developed through a wearable system where physiological and some hemodynamic data will be obtained. Based on this data collection, Markov chains will be applied in order to establish the probability of change in the progression of the disease. That is, the probability of complications from this condition or improvement of the infected patient. For the development of this study, a data collection system based mainly on MEMS-type sensors will be used, as well as the use of stochastic simulations to verify the development of Markov chains. It is important to mention that this is a study in development that seeks the rapid application for the monitoring of patients with this condition.</t>
  </si>
  <si>
    <t>Viera, Eduardo/X-4490-2019</t>
  </si>
  <si>
    <t>Kaschel, Hector/0000-0002-0868-7834; Viera Riquelme, Eduardo/0000-0001-5264-1377</t>
  </si>
  <si>
    <t>10.1109/CHILECON54041.2021.9702977</t>
  </si>
  <si>
    <t>WOS:000788072700038</t>
  </si>
  <si>
    <t>Velásquez, E; Garrido, L; Valenzuela, X; Galotto, MJ; Guarda, A; de Dicastillo, CL</t>
  </si>
  <si>
    <t>Velasquez, Eliezer; Garrido, Luan; Valenzuela, Ximena; Jose Galotto, Maria; Guarda, Abel; Lopez de Dicastillo, Carol</t>
  </si>
  <si>
    <t>Physical properties and safety of 100% post-consumer PET bottle-organoclay nanocomposites towards a circular economy</t>
  </si>
  <si>
    <t>SUSTAINABLE CHEMISTRY AND PHARMACY</t>
  </si>
  <si>
    <t>Polyethylene terephthalate from bottle waste (RPET) was compounded with an organically modified nanoclay at increasing concentrations by extrusion to improve its physical-mechanical properties. Nanocomposites evidenced combined intercalated/tactoid structures by XRD and TEM. The higher tactoid proportion increased the color variation and the opacity of the films but did not affect the transparency. Although clay addition did not affect the thermal properties of PET samples, crystallinity and the barrier effect against volatile release increased with clay concentration. The elastic modulus of nanocomposites was higher than control RPET film. Mechanical parameters of RPET film with 5 wt% of organoclay were similar to those obtained from virgin polymer (PET). Global migration and metal traces migration from nanocomposite films to food simulants were below current European Union legislation.</t>
  </si>
  <si>
    <t>; Lopez-de-Dicastillo, Carol/C-6347-2019</t>
  </si>
  <si>
    <t>VELASQUEZ, ELIEZER/0000-0001-8858-8926; Lopez-de-Dicastillo, Carol/0000-0003-0067-9765</t>
  </si>
  <si>
    <t>2352-5541</t>
  </si>
  <si>
    <t>10.1016/j.scp.2020.100285</t>
  </si>
  <si>
    <t>WOS:000573856500005</t>
  </si>
  <si>
    <t>Pinto, J</t>
  </si>
  <si>
    <t>Pinto, Julio</t>
  </si>
  <si>
    <t>Bread, Justice, and Liberty: Grassroots Activism and Human Rights in Pinochet's Chile.</t>
  </si>
  <si>
    <t>AMERICAN HISTORICAL REVIEW</t>
  </si>
  <si>
    <t>0002-8762</t>
  </si>
  <si>
    <t>1937-5239</t>
  </si>
  <si>
    <t>10.1093/ahr/rhaa173</t>
  </si>
  <si>
    <t>WOS:000536528800116</t>
  </si>
  <si>
    <t>Henríquez-Vargas, L; Angel, F; Reyes, A; Pailahueque, N; Donoso-García, P</t>
  </si>
  <si>
    <t>Henriquez-Vargas, L.; Angel, F.; Reyes, A.; Pailahueque, N.; Donoso-Garcia, P.</t>
  </si>
  <si>
    <t>Simulation of a solar energy accumulator based on phase change materials</t>
  </si>
  <si>
    <t>NUMERICAL HEAT TRANSFER PART A-APPLICATIONS</t>
  </si>
  <si>
    <t>A combined numerical approach featuring an immersed boundary and a cut cell method was implemented to discretize the conservation equations that model the discharge period of a solar energy accumulator based on phase change materials. The mathematical model consider three phases, i.e., the circulating fluid where a Low Reynolds model is used and the solid and liquid states of the phase change material for which a conjugate semi-implicit heat transfer scheme was implemented. Simulation results are compared with experimental data obtained from a laboratory scale solar accumulator containing paraffin wax as a phase change material finding good overall agreement.</t>
  </si>
  <si>
    <t>Pailahueque, Nicolas/GYA-3286-2022; Donosoga, Pablo/HZI-2632-2023; Henríquez-Vargas, Luis/Q-3617-2019</t>
  </si>
  <si>
    <t>Henriquez-Vargas, Luis/0000-0002-6825-8505; Pailahueque Barahona, Nicolas/0009-0006-3051-3888; Donoso Garcia, Pablo/0000-0001-9839-8691</t>
  </si>
  <si>
    <t>1040-7782</t>
  </si>
  <si>
    <t>1521-0634</t>
  </si>
  <si>
    <t>MAR 3</t>
  </si>
  <si>
    <t>10.1080/10407782.2020.1713633</t>
  </si>
  <si>
    <t>WOS:000508500900001</t>
  </si>
  <si>
    <t>Ahumada, NR; Osses, AP; Estela, MC; Soto, I</t>
  </si>
  <si>
    <t>Ruminot Ahumada, Nicolas; Perez Osses, Analuisa; Constanza Estela, Maria; Soto, Ismael</t>
  </si>
  <si>
    <t>SINR analysis in a tunnel using multiple VLC cells with TDMA</t>
  </si>
  <si>
    <t>2020 SECOND SOUTH AMERICAN COLLOQUIUM ON VISIBLE LIGHT COMMUNICATIONS (IEEE SACVC 2020)</t>
  </si>
  <si>
    <t>2nd South American Colloquium on Visible Light Communications (IEEE SACVLC)</t>
  </si>
  <si>
    <t>JUN 04-05, 2020</t>
  </si>
  <si>
    <t>IEEE Chile Sect,Univ Santiago Chile,IEEE,IEEE Commun,Gobierno Chile, Minist Educ, Fondo Nacl Desarrollo Cientifico Tecnologico,Gobierno Chile, Minist Educ, Fondo Fomento Desarrollo Cientifico Tecnologico,Gobierno Chile, Minist Educ, Programa Cooperac Int</t>
  </si>
  <si>
    <t>In this paper, intercell interference (ICI) produced by adjacent / neighboring cells in a user who moves through a mining tunnel is studied. For this, a visible light communication (VLC) system is modeled that uses Time Division Multiplexing access(TDMA) and two possible topologies of LED distribution are presented within a mining tunnel to be analysed. The interference of an optical cell in its neighboring cells is analysed and compared in detail, as well as the signal to interference plus noise ratio (SINR) for different paths within the tunnel.</t>
  </si>
  <si>
    <t>Ruminot, Nicolas/KVB-8647-2024</t>
  </si>
  <si>
    <t>Ruminot, Nicolas/0009-0005-0893-3993</t>
  </si>
  <si>
    <t>978-1-7281-6341-3</t>
  </si>
  <si>
    <t>10.1109/sacvlc50805.2020.9129859</t>
  </si>
  <si>
    <t>WOS:000856038700007</t>
  </si>
  <si>
    <t>Ortiz, LS</t>
  </si>
  <si>
    <t>Simon Ortiz, Lisbeth</t>
  </si>
  <si>
    <t>Trend to a 4.0 government</t>
  </si>
  <si>
    <t>States and their respective governments are being forced into the Industrial Revolution 4.0 as they approach 2020. Modern companies in many countries of the world, the global economy, business, finance and technology have been adapting to this powerful new revolution, so that the industrial processes of the countries that have adopted it are called Industry 4.0. This brings great social changes, labor changes, reinvention of professionals and entrepreneurs and adjustments in the way of doing things that, many of them, are regulated and strictly regulated by governments. Therefore, for Latin-Americans countries, to survive and empower themselves with the 4.0 revolution, states and government 4.0 are required. Not participating can mean poverty and marginality.</t>
  </si>
  <si>
    <t>WOS:000608874800008</t>
  </si>
  <si>
    <t>Neculhueque, CS</t>
  </si>
  <si>
    <t>Sottorff Neculhueque, Carlos</t>
  </si>
  <si>
    <t>GENESIS AND DEVELOPMENT OF A RAILWAY POLICY: BACKGROUND AND OPINIONS ON THE CONSTRUCTION OF RAILWAYS IN THE CENTRAL VALLEY O CHILE IN THE MID-19TH CENTURY</t>
  </si>
  <si>
    <t>Towards the end of the 1840s, Chile began to discuss in the high public and private spheres, about the installation of railway lines in the central area of the country and its potential effects on the productive apparatus and the commercial system. From the possible expectations, various opinions, ideas and judgments were presented, both in favor and against the railroad. It was, in the National Congress, the instance where debates and discussions took place, which finally became the legal-administrative framework that governed the future railway projects of the Chilean central valley. In this sense, and as a result of which there was not a single trial that prevailed over the railroad, the objective of this work is to be an approximation to the feelings that were pointed out around the subject under discussion by the mid-19th century. The documentary base corresponds to the Proceedings of the National Congress, from where the expositions made by different parliamentarians were obtained, and which were complemented by memoirs and ministerial reports that gave account of the contexts in which the genesis of the railway policy was developed.</t>
  </si>
  <si>
    <t>WOS:000538050700004</t>
  </si>
  <si>
    <t>Prudant, E</t>
  </si>
  <si>
    <t>Prudant, Elisabet</t>
  </si>
  <si>
    <t>From Horse to Electricity: An Environmental and Technological Outlook in the Transformation of the Tram System in Chile towards the End of the Nineteenth Century</t>
  </si>
  <si>
    <t>HISTORIA CRITICA</t>
  </si>
  <si>
    <t>Objective/Context: This article analyzes the environmental dimension of the debate that prompted the replacing of the tramway system from animal-drawn trams for electrical ones in Santiago de Chile towards the end of the nineteenth century. The objective is to delve into the correlation between the use of energy resources and urban progress through the study of the modernization of the collective locomotive system in Chile's capital. Methodology: Based on data from newspapers, technical, business and municipal documents, it is argued that the negative consequences of horse use for inhabitants' transportation in the city had an impact on the technological and cultural legitimacy on the exploitation of hydric resources for energy production. Originality: In a context prone to the removal of animals from the urban setting and its subsequent substitution for new means of transport, Santiago was the site of the coalescing of transnational investors in the tecno-electric industry, the circulation of medical and sanitary discourses and the spreading of a bourgeois urban imaginary. Thus, electricity would replace animal-driven means in the tramway system, which led to the re-signifying of nature's contribution to urbanization and the industrialization of the country. Conclusions: The water ways in central Chile became the much-needed new source for locomotive energy that would change the traditional image of Santiago. This process led to its transformation into a modern and international metropolis. Even though the urban elite did favor the use of electricity for the public transport system, other actors, in contrast, voiced their dissent against the alleged contribution, and expressed fears and distrust with respect to the benefits that such technology would bring forth to the population, especially to the poorer inhabitants.</t>
  </si>
  <si>
    <t>0121-1617</t>
  </si>
  <si>
    <t>10.7440/histcrit74.2019.03</t>
  </si>
  <si>
    <t>WOS:000489059300003</t>
  </si>
  <si>
    <t>Cortés, M; Wong, V; Navarro, C; Imarai, M</t>
  </si>
  <si>
    <t>Cortes, M.; Wong, V.; Navarro, C.; Imarai, M.</t>
  </si>
  <si>
    <t>Macrophage-like cells from primary cell culture of Atlantic salmon are capable to phagocyte Piscirickettsia salmonis: Apoptosis of phagocytes also occurs during infection</t>
  </si>
  <si>
    <t>1095-9947</t>
  </si>
  <si>
    <t>P-049</t>
  </si>
  <si>
    <t>10.1016/j.fsi.2019.04.118</t>
  </si>
  <si>
    <t>WOS:000474676700091</t>
  </si>
  <si>
    <t>Klein four-group and Darboux duality in conformal mechanics</t>
  </si>
  <si>
    <t>We study the Klein four-group (K-4 ) symmetry of the time-dependent Schrodinger equation for the conformal mechanics model of de Alfaro-Fubini-Furlan (AFF) with confining harmonic potential and coupling constant g = nu(nu + 1) &gt;= -1/4. We show that it undergoes a complete or partial (at half-integer v) breaking on eigenstates of the system, and is the automorphism of the osp(2,2) superconformal symmetry in super-extensions of the model by inducing a transformation between the exact and spontaneously broken phases of Ar = 2 Poincare supersymmetry. We exploit the K-4 symmetry and its relation with the conformal symmetry to construct the dual Darboux transformations which generate spectrally shifted pairs of the rationally deformed AFF models. Two distinct pairs of intertwining operators originated from Darboux duality allow us to construct complete sets of the spectrum generating ladder operators that identify specific finite-gap structure of a deformed system and generate three distinct related versions of nonlinearly deformed sl(2, R) algebra as its symmetry. We show that at half-integer v, the Jordan states associated with confluent Darboux transformations enter the construction, and the spectrum of rationally deformed AFF systems undergoes structural changes.</t>
  </si>
  <si>
    <t>JUN 27</t>
  </si>
  <si>
    <t>10.1103/PhysRevD.99.125016</t>
  </si>
  <si>
    <t>WOS:000473028100007</t>
  </si>
  <si>
    <t>Guajardo-Correa, E; Mena-Silva, D; Diaz, P; Godoy-Guzmán, C; Cardenas, H; Orihuela, PA</t>
  </si>
  <si>
    <t>Guajardo-Correa, Emanuel; Mena-Silva, Denisse; Diaz, Patricia; Godoy-Guzman, Carlos; Cardenas, Hugo; Orihuela, Pedro A.</t>
  </si>
  <si>
    <t>2-Methoxyoestradiol impairs mouse embryo implantation via F-spondin</t>
  </si>
  <si>
    <t>REPRODUCTION FERTILITY AND DEVELOPMENT</t>
  </si>
  <si>
    <t>The anti-implantation effects of high oestradiol (E-2) concentrations could be mediated by E-2 metabolites. Herein, we examined whether 2-methoxyoestradiol (2ME) impairs embryo implantation via its target protein F-spondin. Mice on Day 3 of pregnancy were treated with E-2 concomitantly with the cathecol-O-methyl transferase inhibitor OR486 and the number of implanted embryos was recorded 5 days later. The effect of 2ME or 4-methoxyoestradiol (4ME) on embryo implantation was also investigated. Plasma and uterine levels of 2ME were measured 0.5, 1 or 3h after E-2 treatment while the mRNA for spondin 1 (Spon1) and F-spondin were determined in the uterus 3, 6, 12 or 24h after 2ME treatment. Finally, the effect of a neutralising F-spondin antibody on the anti-implantation effect of 2ME was explored. OR486 blocked the anti-implantation effect of E-2; 2ME, but not 4ME, affected embryo implantation. The 2ME concentration was increased after 0.5 and 1h in plasma and 3h in uterine fluid following E-2 treatment. 2ME increased levels of Spon1 at 12 and 24h although F-spondin was increased at 12h. F-spondin antibody blocked the effect of 2ME on embryo implantation. We conclude that 2ME impairs mouse embryo implantation via activation of F-spondin in the uterus.</t>
  </si>
  <si>
    <t>Guajardo, Emanuel/LKL-0134-2024; Godoy-Guzman, Carlos Ignacio/IUO-1065-2023; Díaz, Patricia/GOV-2972-2022</t>
  </si>
  <si>
    <t>Orihuela, Pedro/0000-0002-4238-0932; Guajardo-Correa, Emanuel/0000-0002-6091-6745; Godoy-Guzman, Carlos/0000-0001-8451-7047; Diaz, Patricia/0000-0003-2099-1019</t>
  </si>
  <si>
    <t>1031-3613</t>
  </si>
  <si>
    <t>1448-5990</t>
  </si>
  <si>
    <t>10.1071/RD18114</t>
  </si>
  <si>
    <t>WOS:000462339000006</t>
  </si>
  <si>
    <t>Hidden symmetries of rationally deformed superconformal mechanics</t>
  </si>
  <si>
    <t>We study the spectrum generating closed nonlinear superconformal algebra that describes N = 2 superextensions of rationally deformed quantum harmonic oscillator and conformal mechanics models with coupling constant g = m(m + 1), m is an element of N. It has a nature of a nonlinear finite W superalgebra being generated by higher-derivative integrals and generally contains several different copies of either deformed superconformal osp(2 vertical bar 2) algebra in the case of superextended rationally deformed conformal mechanics models or deformed super-Schrodinger algebra in the case of the superextension of rationally deformed harmonic oscillator systems.</t>
  </si>
  <si>
    <t>JAN 2</t>
  </si>
  <si>
    <t>10.1103/PhysRevD.99.025001</t>
  </si>
  <si>
    <t>WOS:000454769300012</t>
  </si>
  <si>
    <t>Pertusa, M; Rivera, B; González, A; Ugarte, G; Madrid, R</t>
  </si>
  <si>
    <t>Pertusa, Maria; Rivera, Bastian; Gonzalez, Alejandro; Ugarte, Gonzalo; Madrid, Rodolfo</t>
  </si>
  <si>
    <t>Critical role of the pore domain in the cold response of TRPM8 channels identified by ortholog functional comparison</t>
  </si>
  <si>
    <t>JOURNAL OF BIOLOGICAL CHEMISTRY</t>
  </si>
  <si>
    <t>In mammals, the main molecular entity involved in innocuous cold transduction is TRPM8. This polymodal ion channel is activated by cold, cooling compounds such as menthol and voltage. Despite its relevance, the molecular determinants involved in its activation by cold remain elusive. In this study we explored the use of TRPM8 orthologs with different cold responses as a strategy to identify new molecular determinants related with their thermosensitivity. We focused on mouse TRPM8 (mTRPM8) and chicken TRPM8 (cTRPM8), which present complementary thermosensitive and chemosensitive phenotypes. Although mTRPM8 displays larger responses to cold than cTRPM8 does, the avian ortholog shows a higher sensitivity to menthol compared with the mouse channel, in both HEK293 cells and primary somatosensory neurons. We took advantage of these differences to build multiple functional chimeras between these orthologs, to identify the regions that account for these discrepancies. Using a combination of calcium imaging and patch clamping, we identified a region encompassing positions 526-556 in the N terminus, whose replacement by the cTRPM8 homolog sequence potentiated its response to agonists. More importantly, we found that the characteristic cold response of these orthologs is due to nonconserved residues located within the pore loop, suggesting that TRPM8 has evolved by increasing the magnitude of its cold response through changes in this region. Our results reveal that these structural domains are critically involved in cold sensitivity and functional modulation of TRPM8, and support the idea that the pore domain is a key molecular determinant in temperature responses of this thermo-transient receptor potential (TRP) channel.</t>
  </si>
  <si>
    <t>Madrid, Rodolfo/MCJ-4974-2025; Gonzalez, Alejandro/MFI-1717-2025</t>
  </si>
  <si>
    <t>Pertusa, Maria/0000-0003-3856-9019; Rivera, Bastian/0000-0003-1848-8334; Gonzalez, Alejandro/0000-0001-7513-2516; Madrid, Rodolfo/0000-0002-8623-5761</t>
  </si>
  <si>
    <t>1083-351X</t>
  </si>
  <si>
    <t>AUG 10</t>
  </si>
  <si>
    <t>10.1074/jbc.RA118.002256</t>
  </si>
  <si>
    <t>WOS:000441408500012</t>
  </si>
  <si>
    <t>Araya-Córdova, PJ; Rojo-González, L; Tarride, MI; Vásquez, OC</t>
  </si>
  <si>
    <t>Araya-Cordova, P. J.; Rojo-Gonzalez, Luis; Tarride, Mario I.; Vasquez, Oscar C.</t>
  </si>
  <si>
    <t>Toward a health situation index with uncertain availability of experts: The case of the countries associated to the Pan American Health Organization (PAHO)</t>
  </si>
  <si>
    <t>In literature, several health situation index (HSI) have been developed from different perspective. These HSI require to compute many variables and generally consider the experts opinion to provide a tangible and consensus result due to the different realities under study, e.g, the different countries associated to the Pan American Health Organization (PAHO). However, the question about its practical implementation remains open under a more real scenario where the availability of experts is not necessarily guaranteed. This work proposes a HSI for the countries associated to the PAHO with uncertain availability of experts. We consider the variables in the official yearbooks published by PAHO, during the years 2005-2017, and apply a principal component analysis (PCA) to select a representative subset of them. This information is used for the design of a survey based on Majority Judgment method, which is to be answered by experts not necessarily available. Under this scenario, the behavior of those unavailable experts is modeled by an specific artificial neural network (ANN) based on a set of historical information. The obtained results allow to compute the proposed health situation index and to obtain a health situation raking for the countries associated to the PAHO.</t>
  </si>
  <si>
    <t>WOS:000458417600001</t>
  </si>
  <si>
    <t>Derpich, I; Miranda, D; Sepulveda, J</t>
  </si>
  <si>
    <t>Derpich, Ivan; Miranda, Daniela; Sepulveda, Juan</t>
  </si>
  <si>
    <t>Using Drones in a Warehouse with Minimum Energy Consumption</t>
  </si>
  <si>
    <t>In this paper we analyze the feasibility of using drones in a manufacturing factory that requires multiple transports from the warehouse to the workstations. Considering low cost drones it is understood that they have little autonomy and low load capacity. To minimize energy consumption a mathematical model of vehicle routing type is used, in three dimensions, which is solved using a heuristic method based on the structure of the problem. The problem is complex because the routes must be planned in order to avoid collisions, therefore they must follow time windows in the deliveries.</t>
  </si>
  <si>
    <t>Derpich, Ivan/0000-0001-9759-7285; Sepulveda, Juan M./0000-0003-3755-0981</t>
  </si>
  <si>
    <t>WOS:000437157500015</t>
  </si>
  <si>
    <t>Muller, G; Locane, JJ; Loy, B</t>
  </si>
  <si>
    <t>Towards a theory of circulation, with emphasis on the circulation of ideas</t>
  </si>
  <si>
    <t>RE-MAPPING WORLD LITERATURE: WRITING, BOOK MARKETS AND EPISTEMOLOGIES BETWEEN LATIN AMERICA AND THE GLOBAL SOUTH</t>
  </si>
  <si>
    <t>Latin American Literatures in the World-Literaturas Latinoamericanas en el Mundo</t>
  </si>
  <si>
    <t>2513-0757</t>
  </si>
  <si>
    <t>978-3-11-054957-7; 978-3-11-054952-2</t>
  </si>
  <si>
    <t>10.1515/9783110549577-018</t>
  </si>
  <si>
    <t>WOS:000474197000018</t>
  </si>
  <si>
    <t>González-Bustamante, B; Garrido-Vergara, L</t>
  </si>
  <si>
    <t>Gonzalez-Bustamante, Bastian; Garrido-Vergara, Luis</t>
  </si>
  <si>
    <t>Socialization, Trajectories and Post-career of Ministers in Chile, 1990-2010</t>
  </si>
  <si>
    <t>POLITICA Y GOBIERNO</t>
  </si>
  <si>
    <t>We analyze the political careers of the ministers in the Chilean cabinets from 1990 to 2010. We consider data from a survey of 386 members of the political elite who held top positions within Chilean government during the mentioned period. Considering this sample, only 108 cases were appointed as ministers, which represents more than 60 per cent of the appointments for the whole period. We describe the group and present a Qualitative Comparative Analysis (qca) of their political careers with long-standing trajectories. We also carry out a trajectory and post-ministerial careers analysis in order to find common circulation patterns. One of the main findings of the analysis is that a group of individuals share social circles and specific forms of capital.</t>
  </si>
  <si>
    <t>1665-2037</t>
  </si>
  <si>
    <t>WOS:000425180500002</t>
  </si>
  <si>
    <t>Ascencio, JL; Tejos, TS</t>
  </si>
  <si>
    <t>Llanos Ascencio, Jose; Sepulveda Tejos, Teresa</t>
  </si>
  <si>
    <t>Ecoefficiency in irrigation water consumption in the production of table grapes in central valley of Chile</t>
  </si>
  <si>
    <t>The competitiveness of the production of table grapes for export in Chile is affected by the concern of consumers about the water consumption in production processes. The objective of this work was to determine productive factors associated with the level of eco-efficiency in the water consumption for irrigation in a table grapes production. The eco-efficiency level was determined from the proportion of blue water footprint on the gray water footprint calculated from the productive process, which were quantified in 12 production units located in the Commune of Placilla, O'Higgins Region, Central Valley of Chile. The results show a positive correlation between the eco-efficiency level and yield (kg/plant), while other factors such as plants density and nitrogen dose were not significantly correlated with eco-efficiency. Likewise, yield and Nitrogen quantity applied to the crop are parameters that predict the eco-efficiency value of the production process. In conclusion, the yield of the crop together with the use of nitrogen are specific indicators of the level of eco-efficiency in the consumption of water for irrigation, therefore, any management practice aimed at increasing yield or decreasing nitrogen fertilization should improve the value of eco-efficiency of water consumption reached in the productive process.</t>
  </si>
  <si>
    <t>WOS:000483366800006</t>
  </si>
  <si>
    <t>Duran, JP</t>
  </si>
  <si>
    <t>Duran, Jessica Pujol</t>
  </si>
  <si>
    <t>Currently &amp; Emotion: Translations</t>
  </si>
  <si>
    <t>POETRY WALES</t>
  </si>
  <si>
    <t>0032-2202</t>
  </si>
  <si>
    <t>SUM</t>
  </si>
  <si>
    <t>WOS:000406255000060</t>
  </si>
  <si>
    <t>The Temptations of Trade: Britain, Spain and the Struggle for Empire</t>
  </si>
  <si>
    <t>JOURNAL OF LATIN AMERICAN STUDIES</t>
  </si>
  <si>
    <t>0022-216X</t>
  </si>
  <si>
    <t>1469-767X</t>
  </si>
  <si>
    <t>10.1017/S0022216X1700013X</t>
  </si>
  <si>
    <t>WOS:000406073300010</t>
  </si>
  <si>
    <t>Texier, BD; Ibarra, A; Melo, F</t>
  </si>
  <si>
    <t>Darbois Texier, Baptiste; Ibarra, Alejandro; Melo, Francisco</t>
  </si>
  <si>
    <t>Low-resistive vibratory penetration in granular media</t>
  </si>
  <si>
    <t>Non-cohesive materials such as sand, dry snow or cereals are encountered in various common circumstances, from everyday situations to industry. The process of digging into these materials remains a challenge to most animals and machines. Within the animal kingdom, different strategies are employed to overcome this issue, including excavation methods used by ants, the two-anchor strategy employed by soft burrowers such as razor-clams, and undulatory motions exhibited by sandfish lizards. Despite the development of technology to mimic these techniques in diggers and robots, the limitations of animals and machines may differ, and mimicry of natural processes is not necessarily the most efficient technological strategy. This study presents evidence that the resisting force for the penetration of an intruder into a dry granular media can be reduced by one order of magnitude with small amplitude (A similar or equal to 10 mu m) and low frequency (f = 50-200 Hz) mechanical vibrations. This observed result is attributed to the local fluidization of the granular bed which induces the rupture of force chains. The drop in resistive force on entering dry granular materials may be relevant in technological development in order to increase the efficiency of diggers and robots.</t>
  </si>
  <si>
    <t>Melo, Francisco/M-3923-2014; Darbois Texier, Baptiste/F-2747-2015</t>
  </si>
  <si>
    <t>Darbois Texier, Baptiste/0000-0002-8772-3433; Ibarra, Alejandro/0000-0002-6916-8608; Melo, Francisco Esteban/0000-0001-6818-5476</t>
  </si>
  <si>
    <t>APR 18</t>
  </si>
  <si>
    <t>e0175412</t>
  </si>
  <si>
    <t>10.1371/journal.pone.0175412</t>
  </si>
  <si>
    <t>WOS:000399875200020</t>
  </si>
  <si>
    <t>Cardeñoso, JAR</t>
  </si>
  <si>
    <t>Redondo Cardenoso, Jesus Angel</t>
  </si>
  <si>
    <t>The Mapuche conflict in Chile during the agricultural reform process: the case of the Cautin province between 1960 and 1973</t>
  </si>
  <si>
    <t>HISTORIA AGRARIA</t>
  </si>
  <si>
    <t>In this article we examine the social disputes involving the Mapuche communities of Cautin province during the agricultural reform period in Chile. For this purpose we analyze journalistic documentation (mainly El Diario Austral, the most important newspaper of the region) and governmental files (essentially the Intendencia de Cautin section stored in the Archivo Regional de la Araucania). First, we contextualize the research, offering a review of the historical precedents to the Mapuche conflict and the general background of the agrarian and indigenous question in Chile during the years spanned by our research. Then we focus on the analysis of indigenous social disputes in the Cautin province, in particular the land takeovers (tomas de fundos) that were the main Mapuche expression of protest. This supports the conclusion, first, that these were the most important indigenous disputes since the military occupation of the Araucania region; second, that the land takeovers achieved their main aim, that is, to increase land expropriations in favour of the Mapuche communities; and, lastly, that certain sweeping generalizations on land takeovers and the participation of indigenous peoples are now refutable.</t>
  </si>
  <si>
    <t>Redondo Cardeñoso, Jesús/Z-2435-2019</t>
  </si>
  <si>
    <t>Redondo Cardenoso, Jesus-Angel/0000-0002-9781-6254</t>
  </si>
  <si>
    <t>1139-1472</t>
  </si>
  <si>
    <t>2340-3659</t>
  </si>
  <si>
    <t>WOS:000388910400005</t>
  </si>
  <si>
    <t>Bravo, M</t>
  </si>
  <si>
    <t>Bravo, Mario</t>
  </si>
  <si>
    <t>An Adjusted Payoff-Based Procedure for Normal Form Games</t>
  </si>
  <si>
    <t>MATHEMATICS OF OPERATIONS RESEARCH</t>
  </si>
  <si>
    <t>We study a simple adaptive model in the framework of an N -player normal form game. The model consists of a repeated game where the players only know their own action space and their own payoff scored at each stage, not those of the other agents. Each player, in order to update her mixed action, computes the average vector payoff she has obtained by using the number of times she has played each pure action. The resulting stochastic process is analyzed via the ODE method from stochastic approximation theory. We are interested in the convergence of the process to rest points of the related continuous dynamics. Results concerning almost sure convergence and convergence with positive probability are obtained and applied to a traffic game. We also provide some examples where convergence occurs with probability zero.</t>
  </si>
  <si>
    <t>Bravo, Mario/0000-0002-4312-9600</t>
  </si>
  <si>
    <t>0364-765X</t>
  </si>
  <si>
    <t>1526-5471</t>
  </si>
  <si>
    <t>10.1287/moor.2016.0785</t>
  </si>
  <si>
    <t>WOS:000393130800013</t>
  </si>
  <si>
    <t>Ahumada, M; Lissi, E; Calderón, C</t>
  </si>
  <si>
    <t>Ahumada, Manuel; Lissi, Eduardo; Calderon, Cristian</t>
  </si>
  <si>
    <t>Anomalous Hammett's plot in the quenching of Ru(bpy)32+ phosphorescence by p-substituted phenols</t>
  </si>
  <si>
    <t>JOURNAL OF PHOTOCHEMISTRY AND PHOTOBIOLOGY A-CHEMISTRY</t>
  </si>
  <si>
    <t>Tris(2,2'-bipyridine) Ru(II) (Ru(bpy)(3)(2+)) phosphorescence is readily quenched by p-substituted phenols in a bimolecular process whose rate, in aqueous solution, is determined by the pH of the solution and the electron-affinity of the substituent. A Hammett's type plot based on data obtained at pH 10.4 in terms of sigma parameters conforms to a parabola with a minimum rate for phenol and two branches, one comprising compounds with negative sigma values (electron donors) and other with positive sigma values (electron acceptors groups). This anomalous behaviour takes place at a constant pH and it can be explained in terms of two quenching mechanisms: a simple electron transfer from the phenolate to the Ru(II) complex when pKa &lt;&lt; pH, and a PCET (proton coupled electron transfer) mechanism for compounds where the protonated phenol predominates (pKa &gt; pH). (C) 2016 Elsevier B.V. All rights reserved.</t>
  </si>
  <si>
    <t>Calderon, cristian/GQA-7422-2022; Ahumada, Manuel/L-2401-2018</t>
  </si>
  <si>
    <t>Ahumada, Manuel/0000-0002-0589-3296</t>
  </si>
  <si>
    <t>1010-6030</t>
  </si>
  <si>
    <t>JUL 1</t>
  </si>
  <si>
    <t>10.1016/j.jphotochem.2016.03.026</t>
  </si>
  <si>
    <t>WOS:000376708700002</t>
  </si>
  <si>
    <t>Cortez, MI; Navas, A</t>
  </si>
  <si>
    <t>Isabel Cortez, Maria; Navas, Andres</t>
  </si>
  <si>
    <t>Some examples of repetitive, nonrectifiable Delone sets</t>
  </si>
  <si>
    <t>GEOMETRY &amp; TOPOLOGY</t>
  </si>
  <si>
    <t>Burago and Kleiner and, independently, McMullen, gave examples of Delone sets (that is, subsets of Euclidean space that are discrete and separated in a uniform way) that are non-bi-Lipschitz equivalent to the standard lattice. We refine their methods of construction via a discretization technique, thus giving the first examples of Delone sets as above that are also repetitive, in the sense that a translated copy of each patch appears in every large enough ball.</t>
  </si>
  <si>
    <t>Cortez, Maria Isabel/0000-0002-1819-032X; Navas Flores, Andres Ignacio/0000-0002-0853-5136</t>
  </si>
  <si>
    <t>1465-3060</t>
  </si>
  <si>
    <t>1364-0380</t>
  </si>
  <si>
    <t>10.2140/gt.2016.20.1909</t>
  </si>
  <si>
    <t>WOS:000386278900003</t>
  </si>
  <si>
    <t>Kaschel, H; Ortega, J</t>
  </si>
  <si>
    <t>Kaschel, Hector; Ortega, Johanna</t>
  </si>
  <si>
    <t>Energy efficiency in routing protocols applied to WSN</t>
  </si>
  <si>
    <t>The Wireless Sensor Network (WSN), have been technological advances that have improved some features to achieve low cost, low power consumption and tiny sizes in wireless sensor nodes. However, one of the issues still restless in Wireless Sensor Networks is the limited battery power of sensor nodes. This paper, share with mechanisms to achieve energy efficiency in a WSN, focusing particularly on routing protocols. Based on the state of the art, is presented a complete taxonomy of routing protocols used in WSN exposing their level of energy efficiency.</t>
  </si>
  <si>
    <t>WOS:000390556300018</t>
  </si>
  <si>
    <t>Sanhueza, S; Chavez, H</t>
  </si>
  <si>
    <t>Sanhueza, Sebastian; Chavez, Hector</t>
  </si>
  <si>
    <t>CPSI-Complaint Economic Dispatch for a Single Balancing Authority System Including Ramp Rate</t>
  </si>
  <si>
    <t>Various formulations have consider the compliance of control performance standards into account. In terms of secondary frequency control, it is necessary to perform second-by-second, several moths long simulations of system frequency that most commercial software cannot perform. This paper presents a model framework to simulate frequency control dynamics over periods of time of the order of months, considering frequency dynamics and economic dispatch. An Economic Dispatch formulation that ensures CPSl compliance in a single balancing authority scenario is simulated, and an explanatory dynamic simulation is presented.</t>
  </si>
  <si>
    <t>WOS:000390556300079</t>
  </si>
  <si>
    <t>Vásquez, J; Reyes, A; Mahn, A; Cubillos, F</t>
  </si>
  <si>
    <t>Vasquez, Jose; Reyes, Alejandro; Mahn, Andrea; Cubillos, Francisco</t>
  </si>
  <si>
    <t>Experimental evaluation of fuzzy control solar drying with thermal energy storage system</t>
  </si>
  <si>
    <t>Drying is a highly energy-demanding operation, traditionally taken up from fossil fuels, with high-operating costs and CO2 emissions. Solar energy has great potential as an alternative energy source. However, variations in solar radiation require the use of additional energy sources, to keep a continuous drying process. An option is to accumulate solar energy using phase-change materials. In the present work, an advanced multivariable control system using fuzzy logic was implemented and applied to a solar dryer equipped with thermal energy storage system, with a capacity of 25kg of agro-products. Two control systems were implemented: the first considering the ambient temperature and solar radiation as input variables, where the manipulated variables were the opening level of the solar panel and energy solar accumulator valves. The controlled variable in the second control system was the relative humidity content at the outlet of the drying chamber, and the manipulated variable was the opening of the air recirculation valve. The opening of the valves in both control systems was performed properly with variations of solar radiation, ambient temperature, and air moisture during the dehydration of mushrooms, plumbs, and peaches. Solar drying, together with a proper control system, reached 80% energy savings compared to conventional drying.</t>
  </si>
  <si>
    <t>10.1080/07373937.2015.1137001</t>
  </si>
  <si>
    <t>WOS:000385564200003</t>
  </si>
  <si>
    <t>Sepúlveda, LA; Cuevas, FA; Contreras, EG</t>
  </si>
  <si>
    <t>Sepulveda, Luisa A.; Cuevas, Fernando A.; Contreras, Elsa G.</t>
  </si>
  <si>
    <t>Valorization of agricultural wastes as dye adsorbents: characterization and adsorption isotherms</t>
  </si>
  <si>
    <t>ENVIRONMENTAL TECHNOLOGY</t>
  </si>
  <si>
    <t>The purpose of this work is to evaluate the valorization of agricultural waste, wheat straw (WS) and corn cob leaves (CCLs) as textile dye adsorbents. Physico-chemical and superficial characteristics of the agricultural wastes, together with the interactions with the CI Basic Violet 4 (BV4) dye, were investigated by means of the determination of the isotherm adsorption at different temperatures. The morphological characterization showed that the solid surface is coarse with a low pore level. However, through Fourier transformed infrared analysis, the presence of carboxylic and hydroxylic acid groups and hydrophobic methyl groups was detected. The concentration of acid groups is determined by the Boehm method and was found to be 1.00 and 0.89 meq/g for WS and CCLs, respectively. The point zero charge for each adsorbent was 5.76 and 4.08. Adsorption experimental data presented a better-fit Langmuir model, indicating that adsorption occurred in a monolayer with preferential interaction. The maximum adsorption capacity was determined to be 70.0-89.0 and 47.0-68.0 mg/g for CCLs and WS, respectively. The thermodynamic analysis of the Langmuir parameter b showed that the adsorption of the BV4 dye is spontaneous and exothermic with adsorption energies of 14.43 and 5.58 KJ/mol for CCLs and WS, respectively.</t>
  </si>
  <si>
    <t>0959-3330</t>
  </si>
  <si>
    <t>1479-487X</t>
  </si>
  <si>
    <t>AUG 3</t>
  </si>
  <si>
    <t>10.1080/09593330.2015.1016119</t>
  </si>
  <si>
    <t>WOS:000354452600006</t>
  </si>
  <si>
    <t>Chávez, H</t>
  </si>
  <si>
    <t>Chavez, Hector</t>
  </si>
  <si>
    <t>An Ex-post Energy Rate Mechanism for Distribution Networks based on Real Time Metering</t>
  </si>
  <si>
    <t>2015 IEEE PES INNOVATIVE SMART GRID TECHNOLOGIES LATIN AMERICA (ISGT LATAM)</t>
  </si>
  <si>
    <t>IEEE PES Innovative Smart Grid Technologies Latin America (ISGT LATAM) Conference</t>
  </si>
  <si>
    <t>OCT 05-07, 2015</t>
  </si>
  <si>
    <t>Montevideo, TURKEY</t>
  </si>
  <si>
    <t>IEEE PES</t>
  </si>
  <si>
    <t>The integration of generation units into distribution networks has led to a definition for the rates associated with the injections of power, as traditional distribution networks only consider tariffs for energy consumption. Such rate definitions have considered several aspects of the problem (such as the cost of operating the distribution network, the nature of the injections and feed-in tariff), so rates amongst different systems differ, not only because of the different energy prices but also because of different definitions that may not be consistent. This paper proposes a systematic definition for the injection tariff in distribution systems. The definition considers that the distribution system has a given operation cost, and that the tariff must be dynamic to represent the contribution of the injection (negative or positive) to the cost of operating the distribution system.</t>
  </si>
  <si>
    <t>978-1-4673-6605-2</t>
  </si>
  <si>
    <t>WOS:000398603600153</t>
  </si>
  <si>
    <t>Urrea, C; Henríiquez, G; Jamett, M</t>
  </si>
  <si>
    <t>Urrea, Claudio; Henriquez, Gloria; Jamett, Marcela</t>
  </si>
  <si>
    <t>Development of an expert system to select materials for the main structure of a transfer crane designed for disabled people</t>
  </si>
  <si>
    <t>EXPERT SYSTEMS WITH APPLICATIONS</t>
  </si>
  <si>
    <t>This paper shows the development of an expert system for the selection of materials to be used in the construction of the main structure of a crane-like device for transporting persons with physical disabilities. The proposed method includes a stage in which the theory of the characteristics of the materials was used and another one that involves solely computational development with the application of fuzzy logic. For this, the fuzzy logic toolbox of Matlae (R) was used and both the data input and output of the solution were worked out on Simulink (R). The data used were 32 alloys with features such as ultimate stress, yield stress, elongation, availability in the country (Chile), cost, ease of welding, hardness, fracture type, and corrosion (fresh water, water vapor or air). The end result gave a material that met 100% of the requirements, three met 90% and two only 75%. The most important conclusions are two: (1) the selection characteristics were based on the particular needs, but a great advantage of this system is that it can be used countless times in similar tasks or it can be modified only in those parts that need to be changed, also serving as a reference for creating other expert systems, and (2) it combines the use of an expert system with fuzzy logic, so that the overall system is enhanced. (C) 2014 Elsevier Ltd. All rights reserved.</t>
  </si>
  <si>
    <t>0957-4174</t>
  </si>
  <si>
    <t>1873-6793</t>
  </si>
  <si>
    <t>10.1016/j.eswa.2014.08.017</t>
  </si>
  <si>
    <t>WOS:000344034300058</t>
  </si>
  <si>
    <t>Bruna, JE; Galotto, MJ; Guarda, A; Rodríguez, F</t>
  </si>
  <si>
    <t>Bruna, J. E.; Galotto, M. J.; Guarda, A.; Rodriguez, F.</t>
  </si>
  <si>
    <t>A novel polymer based on MtCu2+/cellulose acetate with antimicrobial activity</t>
  </si>
  <si>
    <t>Cellulose acetate (CA)/copper montmorillonite modified (MtCu(2+)) antimicrobial nanocomposites for food packaging containing 1, 3 and 5 wt.% nanoparticles were prepared by solution casting technique. X-ray diffraction (XRD) and transmission electron microscopy revealed the existence of intercalated and no intercalated clay form in the CA matrix. The thermal stability of the MtCu(2+)/CA nanocomposites was measured by TGA and DSC, which indicated that the nanocomposites were less thermally stable in comparison to CA pure. Mechanical testing of material did not show differences when MtCu(2+) was added in CA. On the other hand, antimicrobial effect was observed for nanocomposites films, obtaining a 98% reduction against Escherichia coli. (C) 2013 Elsevier Ltd. All rights reserved.</t>
  </si>
  <si>
    <t>FEB 15</t>
  </si>
  <si>
    <t>10.1016/j.carbpol.2013.11.038</t>
  </si>
  <si>
    <t>WOS:000331779600040</t>
  </si>
  <si>
    <t>Alburquerque, G</t>
  </si>
  <si>
    <t>Alburquerque, German</t>
  </si>
  <si>
    <t>The third-worldism in the Argentinian intellectual field: a hegemonic sensibility (1961-1987)</t>
  </si>
  <si>
    <t>TEMPO-NITEROI</t>
  </si>
  <si>
    <t>This article studies the trajectory of the Third World and third-worldism in Argentina and tries to explain how its sensibility occupied a decisive place in the Argentinian intellectual field in the 1960s and 1970s. With this purpose, the disciplines, political tendencies, and cultural movements that put the Third World between their main worries were reviewed.</t>
  </si>
  <si>
    <t>Alburquerque, German/0000-0002-1820-1703</t>
  </si>
  <si>
    <t>1413-7704</t>
  </si>
  <si>
    <t>10.5533/TEM-1980-542X-2013173512</t>
  </si>
  <si>
    <t>WOS:000336524300012</t>
  </si>
  <si>
    <t>How to think about international-world affairs from Latin American thought: An analysis of the theorization</t>
  </si>
  <si>
    <t>HISTORIA UNISINOS</t>
  </si>
  <si>
    <t>This article is a bibliographical analysis of the publications on international-world affairs by Latin American authors from 2000 onwards. I intend to show that this bibliography is oriented to the elaboration of a Latin American theoretical approach. This topic was treated in relation to themes such as paradigms, schools of thought, ideal types and theories (structuralism, peripheral realism, autonomy, among others). The hypothesis I intend to prove is the existence of a reflection about the epistemological possibility of a Latin American theoretical approach and the discussion about the need for it and its potential contributions.</t>
  </si>
  <si>
    <t>1519-3861</t>
  </si>
  <si>
    <t>2236-1782</t>
  </si>
  <si>
    <t>10.4013/htu.2013.171.05</t>
  </si>
  <si>
    <t>WOS:000318215400005</t>
  </si>
  <si>
    <t>Olea, R</t>
  </si>
  <si>
    <t>Olea, Raquel</t>
  </si>
  <si>
    <t>Ta in fijke xipa rakizuameluwuen. History, colonialism and resistance in the Mapuche</t>
  </si>
  <si>
    <t>WOS:000322050500012</t>
  </si>
  <si>
    <t>Models and Countermodels of the socialist renewal. Convergencia and the worldwide crisis of socialism (1981-1991)</t>
  </si>
  <si>
    <t>This article aims to analyze the existing connection between the Chilean socialist renewal and the crisis of the European left during the eighties. Starting from the articles published between 1981 and 1991 in the journal Convergencia, this article explores the interpretation that renewed socialism made of the different European paradigms that intervened in its process of ideological redefinition (Eurocommunism, Social Democracy, Real Socialism). The article also highlights how this sector rethought its identity, without limiting themselves to the importation of foreign models, sharing in this process, many of the dilemmas that affected the western European workers movement.</t>
  </si>
  <si>
    <t>WOS:000321934400005</t>
  </si>
  <si>
    <t>Garay, C</t>
  </si>
  <si>
    <t>Garay, Cristian</t>
  </si>
  <si>
    <t>Naval arms race between Argentina, Chile and Brazil (1891-1923)</t>
  </si>
  <si>
    <t>The overview of the issue of South American naval competition between the late nineteenth and early twentieth century' has been hindered by a bilateral perspective. Based on a perception of the hard power, naval competition is not interpreted as an episode restricted to the case of Chile-Argentina or Argentina-Brazil, but as a regional political determination induced by the belief that naval competition would increase the chances for success in the international system. This search for prestige ended in the 19205 due to cultural reasons, Wilsonianism, the path of collective security being discredited after World War I, and the global pro-disarmament climate.</t>
  </si>
  <si>
    <t>10.7440/histcrit48.2012.03</t>
  </si>
  <si>
    <t>WOS:000311523500003</t>
  </si>
  <si>
    <t>Valdivia-González, M; Pérez-Donoso, JM; Vásquez, CC</t>
  </si>
  <si>
    <t>Valdivia-Gonzalez, Mauricio; Perez-Donoso, Jose M.; Vasquez, Claudio C.</t>
  </si>
  <si>
    <t>Effect of tellurite-mediated oxidative stress on the Escherichia coli glycolytic pathway</t>
  </si>
  <si>
    <t>BIOMETALS</t>
  </si>
  <si>
    <t>To unveil the metabolic impact of tellurite in the bacterial cell, the effect of this toxicant on the expression and activity of key enzymes of the Escherichia coli glycolytic pathway was analyzed. E. coli exposure to tellurite results in: (i) increased glucose consumption, which was paralleled by an increased expression of the glucose transporter-encoding gene ptsG, (ii) augmented phosphoglucoisomerase activity and pgi transcription, (iii) decreased activity of the enzymatic regulators phosphofructokinase and pyruvate kinase. In spite of these observations, increased intracellular pyruvate, phosphoenol pyruvate and phosphorylated sugars was observed. E. coli lacking key glycolytic enzymes was considerably more sensitive to tellurite than the parental, isogenic, wild type strain. Taken together, these results suggest that increasing the availability of key metabolites (pyruvate, phosphoenol pyruvate, NADPH), required to respond to tellurite mediated-stress, E. coli shifts the carbon flux towards the pentose phosphate pathway thus facilitating the functioning of the Entner-Doudoroff pathway and/or the glycolytic productive phase.</t>
  </si>
  <si>
    <t>Perez-Donoso, Jose/G-3668-2013</t>
  </si>
  <si>
    <t>Perez-Donoso, Jose/0000-0002-9506-1716</t>
  </si>
  <si>
    <t>0966-0844</t>
  </si>
  <si>
    <t>1572-8773</t>
  </si>
  <si>
    <t>10.1007/s10534-012-9518-x</t>
  </si>
  <si>
    <t>WOS:000301543900017</t>
  </si>
  <si>
    <t>González, A; Cabrera, MD; Henríquez, MJ; Contreras, RA; Morales, B; Moenne, A</t>
  </si>
  <si>
    <t>Gonzalez, Alberto; de los Angeles Cabrera, M.; Josefa Henriquez, M.; Contreras, Rodrigo A.; Morales, Bernardo; Moenne, Alejandra</t>
  </si>
  <si>
    <t>Cross Talk among Calcium, Hydrogen Peroxide, and Nitric Oxide and Activation of Gene Expression Involving Calmodulins and Calcium-Dependent Protein Kinases in Ulva compressa Exposed to Copper Excess</t>
  </si>
  <si>
    <t>PLANT PHYSIOLOGY</t>
  </si>
  <si>
    <t>To analyze the copper-induced cross talk among calcium, nitric oxide (NO), and hydrogen peroxide (H2O2) and the calcium-dependent activation of gene expression, the marine alga Ulva compressa was treated with the inhibitors of calcium channels, ned-19, ryanodine, and xestospongin C, of chloroplasts and mitochondrial electron transport chains, 3-(3,4-dichlorophenyl)-1,1-dimethylurea and antimycin A, of pyruvate dehydrogenase, moniliformin, of calmodulins, N-(6-aminohexyl)-5-chloro-1-naphtalene sulfonamide, and of calcium-dependent protein kinases, staurosporine, as well as with the scavengers of NO, 2-(4-carboxyphenyl)-4,4,5,5-tetramethylimidazoline-1-oxyl-3-oxide, and of H2O2, ascorbate, and exposed to a sublethal concentration of copper (10 mu M) for 24 h. The level of NO increased at 2 and 12 h. The first peak was inhibited by ned-19 and 3-(2,3-dichlorophenyl)-1,1-dimethylurea and the second peak by ned-19 and antimycin A, indicating that NO synthesis is dependent on calcium release and occurs in organelles. The level of H2O2 increased at 2, 3, and 12 h and was inhibited by ned-19, ryanodine, xestospongin C, and moniliformin, indicating that H2O2 accumulation is dependent on calcium release and Krebs cycle activity. In addition, pyruvate dehydrogenase, 2-oxoxglutarate dehydrogenase, and isocitrate dehydrogenase activities of the Krebs cycle increased at 2, 3, 12, and/or 14 h, and these increases were inhibited in vitro by EGTA, a calcium chelating agent. Calcium release at 2, 3, and 12 h was inhibited by 2-(4-carboxyphenyl)-4,4,5,5-tetramethylimidazoline-1-oxyl-3-oxide and ascorbate, indicating activation by NO and H2O2. In addition, the level of antioxidant protein gene transcripts decreased with N-(6-aminohexyl)-5-chloro-1-naphtalene sulfonamide and staurosporine. Thus, there is a copper-induced cross talk among calcium, H2O2, and NO and a calcium-dependent activation of gene expression involving calmodulins and calcium-dependent protein kinases.</t>
  </si>
  <si>
    <t>González, Alberto/IYJ-8593-2023; Contreras, Rodrigo/I-1871-2013; Morales Castañeda, Bernardo/GPP-1642-2022</t>
  </si>
  <si>
    <t>Gonzalez Figueroa, Alberto/0000-0002-5777-9022; Contreras, Rodrigo/0000-0001-9970-3125</t>
  </si>
  <si>
    <t>0032-0889</t>
  </si>
  <si>
    <t>10.1104/pp.111.191759</t>
  </si>
  <si>
    <t>WOS:000301280500029</t>
  </si>
  <si>
    <t>Velez, MA; Guzman, AM</t>
  </si>
  <si>
    <t>Velez, Maximiliano A.; Guzman, Amador M.</t>
  </si>
  <si>
    <t>STUDY OF THE EFFECT OF PHOTONIC CRYSTALS ON ABSORPTANCE AND EFFICIENCY OF ABSORPTION OF TWO ORGANIC PHOTOVOLTAIC CELLS BY THE FINITE ELEMENT METHOD</t>
  </si>
  <si>
    <t>PROCEEDINGS OF THE ASME MICRO/NANOSCALE HEAT AND MASS TRANSFER INTERNATIONAL CONFERENCE, 2012</t>
  </si>
  <si>
    <t>3rd ASME Micro/Nanoscale Heat and Mass Transfer International Conference (MNHMT2012)</t>
  </si>
  <si>
    <t>MAR 03-06, 2012</t>
  </si>
  <si>
    <t>Georgia Tech Global Learn Ctr, Atlanta, GA</t>
  </si>
  <si>
    <t>ASME, Nanotechnol Inst,ASME, Heat Transfer Div,Georgia Inst Technol,Natl Sci Fdn,Off Naval Res</t>
  </si>
  <si>
    <t>Georgia Tech Global Learn Ctr</t>
  </si>
  <si>
    <t>The present numerical work describes the simulation and analysis of the absorptance and absorption efficiency of a solar cell, where the effect of utilizing photonic crystals as an active material of the cell was studied. The study was performed by numerical simulations using a computational code based on the Finite Element Method [1]. The results were obtained for photonic crystals with periodicity in both one and two dimensions [2]. In the first one, periodicity, thickness of the active material, and distance with respect to the electrode for hole collection were varied, and two organic materials for the active zone were tested, P3HT:PCBM and TDPT:PCBM. In the case of crystals with periodicity in two dimensions, only the period in one of the two dimensions was varied, based on the cell with the highest efficiency of absorption proposed for cells with periodic photonic crystals in one dimension. All simulations were obtained for waves with TM polarization, zero angle of incidence and wavelengths between 400 and 700 nm.</t>
  </si>
  <si>
    <t>Velez, Maximiliano/0009-0007-4171-4148</t>
  </si>
  <si>
    <t>978-0-7918-5477-8</t>
  </si>
  <si>
    <t>WOS:000324346800066</t>
  </si>
  <si>
    <t>Sandoval, JM; Arenas, FA; Vásquez, CC</t>
  </si>
  <si>
    <t>Sandoval, Juan M.; Arenas, Felipe A.; Vasquez, Claudio C.</t>
  </si>
  <si>
    <t>Glucose-6-Phosphate Dehydrogenase Protects Escherichia coli from Tellurite-Mediated Oxidative Stress</t>
  </si>
  <si>
    <t>The tellurium oxyanion tellurite induces oxidative stress in most microorganisms. In Escherichia coli, tellurite exposure results in high levels of oxidized proteins and membrane lipid peroxides, inactivation of oxidation-sensitive enzymes and reduced glutathione content. In this work, we show that tellurite-exposed E. coli exhibits transcriptional activation of the zwf gene, encoding glucose 6-phosphate dehydrogenase (G6PDH), which in turn results in augmented synthesis of reduced nicotinamide adenine dinucleotide phosphate (NADPH). Increased zwf transcription under tellurite stress results mainly from reactive oxygen species (ROS) generation and not from a depletion of cellular glutathione. In addition, the observed increase of G6PDH activity was paralleled by accumulation of glucose-6-phosphate (G6P), suggesting a metabolic flux shift toward the pentose phosphate shunt. Upon zwf overexpression, bacterial cells also show increased levels of antioxidant molecules (NADPH, GSH), better-protected oxidation-sensitive enzymes and decreased amounts of oxidized proteins and membrane lipids. These results suggest that by increasing NADPH content, G6PDH plays an important role in E. coli survival under tellurite stress.</t>
  </si>
  <si>
    <t>Appanna, Vasu/0000-0002-0138-5665</t>
  </si>
  <si>
    <t>SEP 30</t>
  </si>
  <si>
    <t>e25573</t>
  </si>
  <si>
    <t>10.1371/journal.pone.0025573</t>
  </si>
  <si>
    <t>WOS:000295941300044</t>
  </si>
  <si>
    <t>Lizama, C; Ponce, R</t>
  </si>
  <si>
    <t>Lizama, Carlos; Ponce, Rodrigo</t>
  </si>
  <si>
    <t>Bounded solutions to a class of semilinear integro-differential equations in Banach spaces</t>
  </si>
  <si>
    <t>Let A be the generator of an immediately norm continuous C-0-semigroup defined on a Banach space X. We study the existence and uniqueness of bounded solutions for the semilinear integro-differential equation with infinite delay u'(t) = Au(t) + alpha integral(t)(-infinity) e(-beta(t-s))Au(s)ds + f(t,u(t)) t is an element of R; alpha, beta is an element of R, for each f : R x X -&gt; X satisfying diverse Lipschitz type conditions. Sufficient conditions are established for the existence and uniqueness of an almost periodic, almost automorphic and asymptotically almost periodic solution, among other types of distinguished solutions. These results have significance in viscoelasticity theory. Finally, an example is presented to illustrate the feasibility and effectiveness of the results. (C) 2011 Elsevier Ltd. All rights reserved.</t>
  </si>
  <si>
    <t>Lizama, Carlos/0000-0002-9807-1100; Ponce, Rodrigo/0000-0002-1337-8083</t>
  </si>
  <si>
    <t>10.1016/j.na.2011.02.018</t>
  </si>
  <si>
    <t>WOS:000289191800027</t>
  </si>
  <si>
    <t>Gambi, MO</t>
  </si>
  <si>
    <t>Olavarria Gambi, Mauricio</t>
  </si>
  <si>
    <t>Health Policy in Chile</t>
  </si>
  <si>
    <t>REVISTA VENEZOLANA DE GERENCIA</t>
  </si>
  <si>
    <t>This article analyzes the political process that led to establishment of the universal health access policy with explicit guarantees (AUGE-GES), expounds the ideas and beliefs that supported the main actors, describes the stages the process went through and explains why the Chilean health reform was possible in the decade of the 2000s and not before. The article is based on the discontinuous equilibrium theory and the scheme of the promoting coalition. It constitutes an explanatory case study analyzing evolution of the Chilean health sector from 1990 to 2006. The analysis is based on 36 indepth interviews with people who have outstanding roles in public policy change, the review of 1400 press clippings, documents drawn up by public organizations and on expert publications. The study concludes that public policies can be seen as the result of a confrontation among belief systems from which influential political actors select problems in which they intervene and ideas that represent the solutions and on the decided actions of actors who reconcile positions and articulate agreements that make it possible to bring about a new intervention.</t>
  </si>
  <si>
    <t>Olavarria-Gambi, Mauricio/K-9521-2019</t>
  </si>
  <si>
    <t>1315-9984</t>
  </si>
  <si>
    <t>WOS:000298453800002</t>
  </si>
  <si>
    <t>Valdebenito, A; Espinoza, P; Lissi, EA; Encinas, MV</t>
  </si>
  <si>
    <t>Valdebenito, A.; Espinoza, P.; Lissi, E. A.; Encinas, M. V.</t>
  </si>
  <si>
    <t>Bovine serum albumin as chain transfer agent in the acrylamide polymerization. Protein-polymer conjugates</t>
  </si>
  <si>
    <t>POLYMER</t>
  </si>
  <si>
    <t>Acrylamide photopolymerization at 25 degrees C, using as chain transfer agent the single exposed cysteine residue of bovine serum albumin (BSA), resulted in a conjugate where a single poly(acrylamide) chain is bound to the cysteine residue of the protein. Studies of the intrinsic fluorescence of the protein and of the extrinsic probe, 1-anilino-8-naphthalene-sulfonic acid, indicate that the protein mostly maintains its native structure in the conjugate. Kinetic studies showed that the chain transfer efficiency of thiols depends on the microenvironment where the -SH group is located. The single exposed cysteine residue of BSA is a more efficient chain transfer agent of the acrylamide polymerization than the free cysteine or glutathione tripeptide. Other potentially reactive amino acids, such as tryptophan, tyrosine and histidine, are two orders of magnitude less efficient than the protein as chain transfer agents. (C) 2010 Elsevier Ltd. All rights reserved.</t>
  </si>
  <si>
    <t>0032-3861</t>
  </si>
  <si>
    <t>1873-2291</t>
  </si>
  <si>
    <t>MAY 28</t>
  </si>
  <si>
    <t>10.1016/j.polymer.2010.04.015</t>
  </si>
  <si>
    <t>WOS:000278188500009</t>
  </si>
  <si>
    <t>Velozo, LF; Segovia, LA; Zapata, LA; Peralta, S; Rodriguez, NA</t>
  </si>
  <si>
    <t>Velozo, Luis F.; Segovia, Laura A.; Zapata, Luis A.; Peralta, Susan; Rodriguez, Natalie A.</t>
  </si>
  <si>
    <t>Measurements of Valve Circumferences and Ventricular Wall of Fetal Hearts in Chile</t>
  </si>
  <si>
    <t>PEDIATRIC AND DEVELOPMENTAL PATHOLOGY</t>
  </si>
  <si>
    <t>Diagnosis of cardiac pathology, valvular stenosis, cardiac dilation, and/or cardiac hypertrophy is underestimated if measures of weight, wall thickness, and valve circumference are not obtained. Routine study methodology protocols allow us to obtain values of these measurements for a correct diagnosis of these cardiopathies. The aim of the study is to establish reference values for cardiac measurements in fetuses and to compare them with an international curve of reference. One hundred seventy-one autopsies from week 17 through 41 of gestation were performed on fetuses from the Pathology Unit at the Hospital Barros Luco in Santiago de Chile. Cases with malformations were not considered. Anthropometric and cardiac measurements for each gestational week were taken. A tabulation of data with values (in percentiles) of cardiac weight, valve circumference, and ventricular wall thickness was obtained. Values were similar to an international reference. The curves of values obtained allow for identification of normal parameters of heart weight, valve circumference, and ventricular wall thickness, thereby providing easily accessible data for each gestational week. Abnormal values that fall outside of the curve must be attributed to cardiac fetal pathology.</t>
  </si>
  <si>
    <t>Zapata, Luis/KPQ-8616-2024</t>
  </si>
  <si>
    <t>1093-5266</t>
  </si>
  <si>
    <t>10.2350/08-02-0422.1</t>
  </si>
  <si>
    <t>WOS:000277474300002</t>
  </si>
  <si>
    <t>Henríquez, HR; Lizama, C</t>
  </si>
  <si>
    <t>Henriquez, Hernan R.; Lizama, Carlos</t>
  </si>
  <si>
    <t>Compact almost automorphic solutions to integral equations with infinite delay</t>
  </si>
  <si>
    <t>Given a is an element of L-1(R) and the generator A of an L-1-integrable resolvent family of linear bounded operators defined on a Banach space X, we prove the existence of compact almost automorphic solutions of the semilinear integral equation u(t) = integral(t)(-infinity) a(t - s)[Au(s) + f(s, u(s))]ds for each f : R x X -&gt; X compact almost automorphic in t, for each x is an element of X, and satisfying Lipschitz and Holder type conditions. In the scalar linear case, we prove that a is an element of L-1(R) positive, nonincreasing and log-convex is sufficient to obtain the existence of compact almost automorphic solutions. (C) 2009 Elsevier Ltd. All rights reserved.</t>
  </si>
  <si>
    <t>10.1016/j.na.2009.05.042</t>
  </si>
  <si>
    <t>WOS:000272606300012</t>
  </si>
  <si>
    <t>Coddou, C; Bravo, E; Eugenín, J</t>
  </si>
  <si>
    <t>Coddou, Claudio; Bravo, Eduardo; Eugenin, Jaime</t>
  </si>
  <si>
    <t>Alterations in cholinergic sensitivity of respiratory neurons induced by pre-natal nicotine: a mechanism for respiratory dysfunction in neonatal mice</t>
  </si>
  <si>
    <t>PHILOSOPHICAL TRANSACTIONS OF THE ROYAL SOCIETY B-BIOLOGICAL SCIENCES</t>
  </si>
  <si>
    <t>Royal-Society Discussion Meeting on Brainstem - Neural Networks Vital for Life</t>
  </si>
  <si>
    <t>Royal Soc, London, ENGLAND</t>
  </si>
  <si>
    <t>Royal Soc</t>
  </si>
  <si>
    <t>Nicotine may link cigarette smoking during pregnancy with sudden infant death syndrome (SIDS). Pre-natal nicotine leads to diminished ventilatory responses to hypercarbia and reduced central chemoreception in mice at post-natal days 0-3. We studied how pre-natal nicotine exposure changes the cholinergic contribution to central respiratory chemoreception in neonatal isolated brainstem-spinal cord and slice preparations. Osmotic minipumps, implanted subcutaneously into 5-7 days pregnant mice, delivered saline or nicotine ditartrate 60 mg kg(-1) d(-1) for up to 28 days. In control preparations, acidification of the superfusion medium from pH 7.4 to 7.3 increased the frequency and reduced the amplitude of fictive respiration. In nicotine-exposed neonatal mice, the reduction in amplitude induced by acidification was reduced. In control preparations, atropine suppressed respiratory responses to acidification, while hexamethonium did not. By contrast, in nicotine-exposed preparations, hexamethonium blocked chemosensory responses but atropine did not. Our results indicate that pre-natal nicotine exposure switches cholinergic mechanisms of central chemosensory responses from muscarinic receptors to nicotinic receptors. Modification of the cholinergic contribution to central chemoreception may produce respiratory dysfunctions, as suggested by receptor-binding studies in victims of SIDS.</t>
  </si>
  <si>
    <t>Bravo, Eduardo/0000-0001-9209-841X; Coddou, Claudio/0000-0002-5297-3694</t>
  </si>
  <si>
    <t>0962-8436</t>
  </si>
  <si>
    <t>1471-2970</t>
  </si>
  <si>
    <t>10.1098/rstb.2009.0078</t>
  </si>
  <si>
    <t>WOS:000268569000009</t>
  </si>
  <si>
    <t>Villagrán, M; Costamagna, J; Zagal, JH; Cárdenas-Jirón, G; Páez, M</t>
  </si>
  <si>
    <t>Villagran, M.; Costamagna, J.; Zagal, J. H.; Cardenas-Jiron, G.; Paez, M.</t>
  </si>
  <si>
    <t>Nickel(II) complexes with tetraaza macrocycles in the electrocatalytic oxidation of sulfite</t>
  </si>
  <si>
    <t>The electrocatalytic oxidation of sulfite (SO32-) in basic medium (pH = 10.2) at [Ni(II)-5,7,12,14-tetramethyldinaphtho[b, i]-1,4,8,11-tetraaza[14] annuleneH](++)/ glassy carbon (mono[Ni(II) tmdnTAA](++)/ GC), and poly-[Ni( II)-5,7,12,14-tetramethyldinaphtho[b, i]-1,4,8,11-tetraaza [14] annuleneH](++)/glassy carbon(poly-[Ni(II) tmdnTAA](++)/GC) modified electrodes was investigated. Both modified electrodes were characterized by cyclic voltammetry. These modified electrodes show an important catalytic effect for sulfite oxidation mediated by the Ni(III)/Ni(II) redox couple. The potential shifted about 570 mV in cathodic direction with respect to bare Glassy carbon. The amperometric response (I-pa) for sulfite oxidation at pH = 10.2 in phosphate buffer or a carbonate buffer with both modified electrodes gives a linear correlation between 0.92 - 1.8 mM for mono-[Ni(II) tmdnTAA](++)/GC, and 0.25 - 1.50 mM for poly[ Ni(II) tmdnTAA](++)/GC respectively.</t>
  </si>
  <si>
    <t>Paez, Maritza/M-2010-2014; zagal, jose/L-9648-2014; Cardenas-Jiron, Gloria/H-9508-2012</t>
  </si>
  <si>
    <t>Cardenas-Jiron, Gloria/0000-0003-4305-8088; paez, maritza/0000-0001-5881-884X</t>
  </si>
  <si>
    <t>SEP 10</t>
  </si>
  <si>
    <t>10.1080/00958970600559484</t>
  </si>
  <si>
    <t>WOS:000240824700005</t>
  </si>
  <si>
    <t>Unification of standard and exotic matter through a Z2 symmetry</t>
  </si>
  <si>
    <t>We consider a scenario in which the discrete weak symmetry between quarks and leptons is extended to the weak force by introducing exotic partners. We conjecture that there exists a hidden discrete symmetry (P) over tilde, defining a Z(2) group, between standard and exotic quarks and leptons. The unified model SU(3)(q) X SU(3)(q) over tilde X SU(2)(q (l) over tilde) X SU(2)((q) over tildel) X U(1)(Y) X (P) over tilde is discussed, where the unifying discrete symmetry extends over particles and forces. It is shown that the lighter neutral and charged weak bosons generated upon spontaneous symmetry breaking have the same properties as those of the standard model. Cabbibo-Kobayashi-Maskawa unitarity is used to set a mass of order 2.8 TeV for the nonstandard weak bosons, which do not exhibit quark-lepton universality. A grand unified theory of (GUT)(q (l) over tilde) X (GUT)((q) over tildel) X (P) over tilde type, with decay of exotic matter into standard matter and no decay of the ordinary nucleon, is put forward.</t>
  </si>
  <si>
    <t>10.1103/PhysRevD.73.055008</t>
  </si>
  <si>
    <t>WOS:000236465800079</t>
  </si>
  <si>
    <t>Salinas, RA; Raff, U; Farfan, C</t>
  </si>
  <si>
    <t>Automated estimation of rock fragment distributions using computer vision and its application in mining</t>
  </si>
  <si>
    <t>IEE PROCEEDINGS-VISION IMAGE AND SIGNAL PROCESSING</t>
  </si>
  <si>
    <t>Size distribution of rock fragments obtained from blasting and crushing in the mining industry has to be monitored for optimal control of a variety of processes before reaching the final grinding, milling and the froth flotation processes. Whenever feasible, mechanical sieving is the routine procedure to determine the cumulative rock weight distribution on conveyor belts or free falling off the end of transfer chutes. This process is tedious and very time consuming, even more so if a complete set of sieving meshes is used. A computer vision technique is proposed based on a series of segmentation, filtering and morphological operations specially designed to determine rock fragment sizes from digital images. The final step uses an area-based approach to estimate rock volumes. This segmentation technique was implemented and results of cumulative rock volume distributions obtained from this approach were compared to the mechanical fragment distributions. The technique yielded rock distribution curves which represents an alternative to the mechanical sieving distributions.</t>
  </si>
  <si>
    <t>Salinas Domínguez, Rafael/HKN-4842-2023</t>
  </si>
  <si>
    <t>1350-245X</t>
  </si>
  <si>
    <t>10.1049/ip-vis:20050810</t>
  </si>
  <si>
    <t>WOS:000227949100001</t>
  </si>
  <si>
    <t>Carbon monoxide concentration forecasting in santiago, chile</t>
  </si>
  <si>
    <t>JOURNAL OF THE AIR &amp; WASTE MANAGEMENT ASSOCIATION</t>
  </si>
  <si>
    <t>In the city of Santiago, Chile, air quality is defined in terms of particulate matter with an aerodynamic diameter less than or equal to10 mum (PM10) concentrations. An air quality forecasting model based on past concentrations of PM10 and meteorological conditions currently is used by the metropolitan agency for the environment, which allows restrictions to emissions to be imposed in advance. This model, however, fails to forecast between 40 and 50% of the days considered to be harmful for the inhabitants every year. Given that a high correlation between particulate matter and carbon monoxide (CO) concentrations is observed at monitoring stations in the city, a model for CO concentration forecasting would be a useful tool to complement information about expected air quality in the city. Here, the results of a neural network-based model aimed to forecast maximum values of the 8-hr moving average of CO concentrations for the next day are presented. Forecasts from the neural network model are compared with those produced with linear regressions. The neural network model seems to leave more room to adjust free parameters with 1-yr data to predict the following year's values. We have worked with 3 yr of data measured at the monitoring station located in the zone with the worst air quality in the city of Santiago, Chile.</t>
  </si>
  <si>
    <t>1047-3289</t>
  </si>
  <si>
    <t>10.1080/10473289.2004.10470966</t>
  </si>
  <si>
    <t>WOS:000223164000002</t>
  </si>
  <si>
    <t>Cardemil, E; Ravanal, MC; Flores, M; Aroca, F; Llanos, L</t>
  </si>
  <si>
    <t>Function of Arg70 in Saccharomyces cerevisiae phosphoenolpyruvate carboxykinase.</t>
  </si>
  <si>
    <t>BIOCHEMISTRY</t>
  </si>
  <si>
    <t>226th National Meeting of the American-Chemical-Society</t>
  </si>
  <si>
    <t>SEP 07-11, 2003</t>
  </si>
  <si>
    <t>NEW YORK, NEW YORK</t>
  </si>
  <si>
    <t>Ravanal, Maria/G-8682-2018</t>
  </si>
  <si>
    <t>0006-2960</t>
  </si>
  <si>
    <t>JUL 22</t>
  </si>
  <si>
    <t>WOS:000184249000116</t>
  </si>
  <si>
    <t>Moraga, NO; Barraza, HG</t>
  </si>
  <si>
    <t>Predicting heat conduction during solidification of a food inside a freezer due to natural convection</t>
  </si>
  <si>
    <t>A new mathematical model for numerical simulation of two dimensional food freezing due to natural convection is presented. Fluid mechanics and heat transfer by natural convection between air and a solid food in a freezer are predicted along with the heat conduction inside a plate shaped Food. The mathematical model used includes continuity, linear momentum and energy partial differential equations for air and the non-linear heat diffusion equation for the solidification of the x ater content in the food. Unsteady two dimensional results of the velocity and temperatures distributions in the air around the food obtained by using the finite volume method are presented. Experimental data of temperature variation in time for a slab shaped food inside a freezer are used to assess the accuracy of the mathematical model and the solution procedure. It is found that the use of this model, that does not require heat transfer coefficients. allo vs to simulate two dimensional freezing experiments in a slab shaped food by natural convection with maximum and mean deviations of 5.2% and 1.2%, respectively. (C) 2002 Elsevier Science Ltd. All rights reserved.</t>
  </si>
  <si>
    <t>PII S0260-8774(02)00135-8</t>
  </si>
  <si>
    <t>10.1016/S0260-8774(02)00135-8</t>
  </si>
  <si>
    <t>WOS:000179270600002</t>
  </si>
  <si>
    <t>Geraldo, D; Linares, C; Chen, YY; Ureta-Zañartu, S; Zagal, JH</t>
  </si>
  <si>
    <t>Volcano correlations between formal potential and Hammett parameters of substituted cobalt phthalocyanines and their activity for hydrazine electro-oxidation</t>
  </si>
  <si>
    <t>In this work we have examined the effect of the Co(II)/(I) formal potential of cobalt phthalocyanines (CoPcs) on their catalytic activity for the electro-oxidation of hydrazine. The activity of the different phthalocyanines was examined using these complexes adsorbed on graphite electrodes. When activities for the different metal chelates are compared as a plot of log I (at constant potential) versus the Co(II)/(I) formal potential an asymmetric volcano curve is obtained. For some complexes the rate of the reaction increases very sharply with the driving force of the catalyst (measured as its formal potential) and then it decreases for higher driving forces. The same plot is obtained when plotting log I versus the sum of the Hammett parameters of the substituents on the periphery of the phthalocyanine ring. (C) 2002 Published by Elsevier Science B.V.</t>
  </si>
  <si>
    <t>Geraldo, Daniela/0000-0001-6029-5697</t>
  </si>
  <si>
    <t>PII S1388-2481(01)00300-9</t>
  </si>
  <si>
    <t>10.1016/S1388-2481(01)00300-9</t>
  </si>
  <si>
    <t>WOS:000176729200019</t>
  </si>
  <si>
    <t>Rabagliati, FM; Cancino, RA; Rodríguez, FJ</t>
  </si>
  <si>
    <t>Copolymerization of styrene by diphenylzinc-additive systems.: Part II:: Copolymerization of styrene/1-alkene by Ph2Zn-metallocene-MAO systems</t>
  </si>
  <si>
    <t>38th Macromolecular IUPAC Symposium</t>
  </si>
  <si>
    <t>JUL 09-14, 2000</t>
  </si>
  <si>
    <t>WARSAW, POLAND</t>
  </si>
  <si>
    <t>IUPAC</t>
  </si>
  <si>
    <t>The copolymerization of styrene with I-alkene (1-hexene, 1-decene and 1-hexadecene) has been tested using combined diphenylzinc-additive initiator systems, including diphenylzinc (Ph2Zn), a metallocene and methylaluminoxane (MAO). The metallocene were biscyclopentadienyltitanium dichloride, bis(n-butylcyclopentadienyl)titanium dichloride, cyclopentadienyltitanium trichloride and bisindenylzirconium dichloride. For Ph2Zn-metallocene-MAO systems, titanocenes gave mainly syndiotactic homo polystyrene irrespective of the styrene/1-alkene proportion in the initial feed. Systems including Ind(2)ZrCl(2) were able to copolymerize styrene I-alkene with the copolymers incorporating alkene in a lower proportion than the present in the initial feed.</t>
  </si>
  <si>
    <t>Rodríguez, Francisco/I-5283-2018</t>
  </si>
  <si>
    <t>Rodriguez-Mercado, Francisco/0000-0002-0530-6653</t>
  </si>
  <si>
    <t>10.1007/s002890170028</t>
  </si>
  <si>
    <t>WOS:000170434900001</t>
  </si>
  <si>
    <t>Salgado, L; Filho, FA; Muccilo, R</t>
  </si>
  <si>
    <t>Sintering of Mo-25W-25Re and Mo-25W-50Re alloys</t>
  </si>
  <si>
    <t>ADVANCED POWDER TECHNOLOGY II</t>
  </si>
  <si>
    <t>KEY ENGINEERING MATERIALS</t>
  </si>
  <si>
    <t>2nd International Latin-American Conference on Power Technology</t>
  </si>
  <si>
    <t>NOV, 1999</t>
  </si>
  <si>
    <t>FOZ DO IGUACU, BRAZIL</t>
  </si>
  <si>
    <t>Air Liquide,Belgo Brasileira,brassinter,CCDM,Cofap,Combusto Metalpo,CCP,Degussa Huls,Forjisnter,Gasbarre Sinterite,Hoeganaes,Hoganas,Mahle Metal Leve Miba,OMG Amer,Osterwalder,Penn Team,Zoz</t>
  </si>
  <si>
    <t>The most important technological advances in the refractory-metal alloys have been achieved by use of Mo and W as main components of binary and ternary systems of alloys. Based upon the interesting mechanical and thermal properties of binary Mo-Re alloys, a research on powder sintering of ternary Mo-W-Re at medium temperatures was carried out. For this purpose, powder mixtures of molybdenum, tungsten and rhenium with particle size distribution bearing 2 mum average,were sintered at various temperatures to fabricate Mo-25%W-25%Re and Mo-25%W50%Re alloys. The mixtures were first homogenized in a planetary mill and then compacted at various pressures from 400 to 800 MPa, to the shape of tablets and small billets. The sintering process was conducted at several temperatures in the ranging from 1400 to 1700 degreesC under protecting argon-hydrogen atmosphere. The solubility of rhenium in the molybdenum-tungsten BCC matrix was followed by means of X-ray powder diffraction; it was found that at all sintering temperatures rhenium was almost totally dissolved in the 25%Re alloy, while larger amounts of intermediate phases were detected in the case of the 50%Re material. The densification of the sintered parts increased with temperature and compaction pressure up to values around 80%.</t>
  </si>
  <si>
    <t>1013-9826</t>
  </si>
  <si>
    <t>0-87849-864-8</t>
  </si>
  <si>
    <t>189-1</t>
  </si>
  <si>
    <t>10.4028/www.scientific.net/KEM.189-191.302</t>
  </si>
  <si>
    <t>WOS:000168303300048</t>
  </si>
  <si>
    <t>Pesce, ME; Acevedo, X; Bustamante, D; Miranda, HF; Pinardi, G</t>
  </si>
  <si>
    <t>Progesterone and testosterone modulate the convulsant actions of pentylenetetrazol and strychnine in mice</t>
  </si>
  <si>
    <t>PHARMACOLOGY &amp; TOXICOLOGY</t>
  </si>
  <si>
    <t>The influence of progesterone and testosterone on the incidence of seizures after administration of intraperitoneal pentylenetetrazol and subcutaneous strychnine was evaluated in mice. Pentylenetetrazol and strychnine were administered in doses that induced seizures in 40-50% of control mice in dioestrus (48 and 0.9 mg/kg, respectively). The percentage of seizures induced by pentylenetetrazol and strychnine was significantly lower in female mice in prooestrus/oestrus, when progesterone levels are high, than in dioestrus, when progesterone levels are low. Pretreatment of pentylenetetrazol-challenged mice with progesterone (250 mu g/kg) increased the incidence of seizures in prooestrus/oestrus, without affecting seizures in dioestrus. The same pretreatment in strychnine-challenged mice also increased the incidence of seizures in prooestrus-dioestrus. but significantly reduced the incidence of seizures in dioestrus. In addition, progesterone pretreatment significantly increased the percentage of deaths induced by strychnine in prooestrus-oestrus, reducing deaths in dioestrus. Orchidectomized male mice had a significantly higher incidence of seizures after administration of pentylenetetrazol and strychnine than control mice. Administration of 11 daily doses of 250 mu g/kg of testosterone to castrated mice significantly reduced the incidence of seizures induced by pentylenetetrazol. These results confirm the modulatory influence of reproductive steroids on the excitability of the central nervous system and the possible clinical importance of progesterone and testosterone in the management of partial epilepsy.</t>
  </si>
  <si>
    <t>Miranda, Florencio/AAK-8373-2021</t>
  </si>
  <si>
    <t>0901-9928</t>
  </si>
  <si>
    <t>10.1111/j.0901-9928.2000.870303.x</t>
  </si>
  <si>
    <t>WOS:000089615100003</t>
  </si>
  <si>
    <t>Pérez, P; Trier, A; Reyes, J</t>
  </si>
  <si>
    <t>Prediction of PM2.5 concentrations several hours in advance using neural networks in Santiago, Chile</t>
  </si>
  <si>
    <t>Hourly average concentrations of PM2.5 have been measured at a fixed point in the downtown area of Santiago, Chile. We have focused our attention on data for the months that register higher values, from May to September, on years 1994 and 1995. We show that it is possible to predict concentrations at any hour of the day, by fitting a function of the 24 hourly average concentrations measured on the previous day. We have compared the predictions produced by three different methods: multilayer neural networks, linear regression and persistence. Overall, the neural network gives the best results. Prediction errors go from 30% for early hours to 60% for late hours. In order to improve predictions, the effect of noise reduction, rearrangement of the data and explicit consideration of meteorological variables are discussed. (C) 2000 Elsevier Science Ltd. All rights reserved.</t>
  </si>
  <si>
    <t>Perez, Patricio/AAS-7390-2020; Reyes, Jorge/N-2640-2014</t>
  </si>
  <si>
    <t>10.1016/S1352-2310(99)00316-7</t>
  </si>
  <si>
    <t>WOS:000085908400004</t>
  </si>
  <si>
    <t>Yarur, CS</t>
  </si>
  <si>
    <t>A priori estimates for positive solutions for a class of semilinear elliptic systems</t>
  </si>
  <si>
    <t>10.1016/S0362-546X(97)00726-8</t>
  </si>
  <si>
    <t>WOS:000078504100007</t>
  </si>
  <si>
    <t>Rodriguez, L</t>
  </si>
  <si>
    <t>Comment on A ball rolling on a freely spinning turntable by Warren Weckesser [Am. J. Phys. 65 (8), 736-738 (1997)]</t>
  </si>
  <si>
    <t>10.1119/1.19043</t>
  </si>
  <si>
    <t>WOS:000076234500018</t>
  </si>
  <si>
    <t>Aspee, A; Lissi, EA</t>
  </si>
  <si>
    <t>Interfacial free energies and surface areas of cycloalkanols and α,ω-alkanediols at the air-water interface</t>
  </si>
  <si>
    <t>The surface area occupied at the air/water interface for cycloalkanols and alpha,omega-alkanediols has been estimated from surface tension measurements. From these data, standard free energies of transfer of the alkanols from the bulk of the solution to the interface were obtained. Cycloalkanols constitute a family whose surface excess diminishes when the size of the alkyl ring increases and whose free energies of transfer at zero surface pressure are similar to those of 1-alkanols of similar hydrophobicities. alpha,omega-Alkanediols occupy considerably larger surface areas than 1-alkanols, a result that can be interpreted in terms of a different geometrical arrangement of the molecules at the interface. In particular, for alkanediols with n &gt; 7, the data suggest an important contribution of bent conformations to the average arrangement of the molecules in the monolayer. The need to adopt bent conformations to allow the interaction of both hydroxyl groups with the aqueous interface results in a less favorable change in free energy when they are transferred from the solution standard state to the interface at constant surface pressure. (C) 1998 Academic Press</t>
  </si>
  <si>
    <t>SEP 15</t>
  </si>
  <si>
    <t>10.1006/jcis.1998.5580</t>
  </si>
  <si>
    <t>WOS:000075911700031</t>
  </si>
  <si>
    <t>Alvarez, J; Lissi, EA; Encinas, MV</t>
  </si>
  <si>
    <t>Effect of the initiator absorbance on the transition-metal complex photoinitiated polymerization</t>
  </si>
  <si>
    <t>10.1002/(SICI)1099-0518(19980115)36:1&lt;207::AID-POLA25&gt;3.0.CO;2-M</t>
  </si>
  <si>
    <t>WOS:000071294700024</t>
  </si>
  <si>
    <t>Pereda, J; Zorn, TM; Soto, M; Motta, PM</t>
  </si>
  <si>
    <t>Macchiarelli, G; Nottola, SA; Correr, S; Motta, PM</t>
  </si>
  <si>
    <t>Morphological and cytochemical study of extracellular matrix during the migratory phase of human and mouse primordial germ cells</t>
  </si>
  <si>
    <t>NEW TRENDS IN MICROANATOMY OF REPRODUCTION</t>
  </si>
  <si>
    <t>MARCELLO MALPIGHI SYMPOSIA SERIES</t>
  </si>
  <si>
    <t>XIVth International Symposium on Morphological Sciences</t>
  </si>
  <si>
    <t>SEP 09-13, 1997</t>
  </si>
  <si>
    <t>BEIJING, PEOPLES R CHINA</t>
  </si>
  <si>
    <t>Primordial germ cells (PGCs), the ancestors of functional gametes in mammals, originate in an extragonadal location, and then migrate to and colonize the genital ridges during early organogenesis period. PGCs move actively from their original site, the wall. of the hindgut, through the extracellular matrix (ECM) of the dorsal mesentery. This movement is controlled in part by components of the ECM. Cells are known to bind to individual ECM glycoproteins in a complex and poorly understood way. During migration in embryos, PGCs must alter their overall adhesiveness to the endodermal epithelium to allow locomotion. This study examined the ECM: material of the migratory route during mouse and human PGCs migration. Mouse embryos obtained from Swiss Rockefeller mouse and normal human embryos between 4 and 7 weeks of development, collected during salpingectomy performed on patients with tubal ectopic pregnancies, were analyzed. The study was based on a morphological analysis using scanning electron microscopy (SEM), and on the histochemical and ultracytochemical identification of glycosaminoglycans (GAGs) and proteoglycans. In each age group, the mesenchyme was widely separated by intercellular spaces and materials. Fine filamentous strands extended between the surface of mesenchymal cells and the surface of PGCs. Hyaluronan and chondroitin and/or dermatan sulfate were localized in the ECM of the PGC migratory pathway both in mouse and human embryos. Hyaluronan was clearly reduced in the later stage of the migratory processes; on the contrary, the chondroitin sulfate reaction product increased. These results are consistent with previous observations showing that hyaluronan is a major component of the ECM, and are also suggestive of the significant role played by hyaluronan, chondroitin sulfate and dermatan sulfate during migration, thus providing a permissive substrate for cell migration during development. The observed temporal and regional patterns suggest that these GAGs are important morphogenetic factors both in the mouse and human although the precise biological function of the proteoglycans are not currently clear.</t>
  </si>
  <si>
    <t>Zorn, Telma/C-4065-2008</t>
  </si>
  <si>
    <t>WOS:000083909900004</t>
  </si>
  <si>
    <t>Villagran, M; Costamagna, J; Moya, SA</t>
  </si>
  <si>
    <t>Spectroscopic and electroreductive characterization of new mu-oxo-diiron(III) compounds with acyclic tetradentate ligands</t>
  </si>
  <si>
    <t>TRANSITION METAL CHEMISTRY</t>
  </si>
  <si>
    <t>We report the FT-i.r., FT-Raman, electronic, and Mossbauer spectra for several new mu-oxo-monobridge (FeOFeIII)-O-III compounds with acyclic tetradentate ligands. Mossbauer spectra confirm the oxidation states for these complexes. The symmetric and asymmetric stretching frequencies determined for Fe-O-Fe bonds have allowed changes to be predicted in the M-O-M angle (from 144.6 to 150.7 degrees). The electronic absorption spectra surprisingly resemble features exhibited by the spectrum of hemerythrine. Voltammetric results in DMF with a vitreous carbon electrode reveal three one-electron reduction stages which correspond to the dimeric processes Fe-III Fe-III/Fe-II Fe-III and Fe-II Fe-III/Fe-II Fe-II, and to the monomeric process Fe-II/Fe-I.</t>
  </si>
  <si>
    <t>0340-4285</t>
  </si>
  <si>
    <t>10.1023/A:1018409501327</t>
  </si>
  <si>
    <t>WOS:A1997WJ60200006</t>
  </si>
  <si>
    <t>Escudey, M; Diaz, P; Foerster, JE; Galindo, G</t>
  </si>
  <si>
    <t>Adsorbed ion activity coefficients in K-Ca exchange on soil fractions derived from volcanic materials</t>
  </si>
  <si>
    <t>AUSTRALIAN JOURNAL OF SOIL RESEARCH</t>
  </si>
  <si>
    <t>yThe effects of temperature and iron oxide coatings on the adsorbed ion activity coefficients obtained by the Gaines-Thomas treatment for the K-Ca exchange equilibria on clay fractions of 3 Chilean Andisols were studied. The comparison with the values calculated through the Vanselow approach, using conversion equations, was also considered. Adsorbed Ca activity coefficient curves present a similar shape for the Gaines-Thomas and Vanselow approaches; for K, maxima were observed only when the Gaines-Thomas treatment was used. Iron oxide coated samples showed higher adsorbed ion activity coefficients than allophanic samples. The adsorbed K activity coefficients increased when temperature increased from 4 degrees C to 26.5 degrees C, but only a slight effect on Ca ions was observed. In both types of samples, the presence of 3 possible selective sites was detected: K-selective sites, Ca-selective sites, and sites where K-Ca competition occurs.</t>
  </si>
  <si>
    <t>0004-9573</t>
  </si>
  <si>
    <t>1446-568X</t>
  </si>
  <si>
    <t>10.1071/S96051</t>
  </si>
  <si>
    <t>WOS:A1997WD00500011</t>
  </si>
  <si>
    <t>delValleJeldres, J; PerezVasquez, G</t>
  </si>
  <si>
    <t>DeSario, M; Maione, B; Pugliese, P; Savino, M</t>
  </si>
  <si>
    <t>Control of harmonics and power factor improvement</t>
  </si>
  <si>
    <t>MELECON '96 - 8TH MEDITERRANEAN ELECTROTECHNICAL CONFERENCE, PROCEEDINGS, VOLS I-III: INDUSTRIAL APPLICATIONS IN POWER SYSTEMS, COMPUTER SCIENCE AND TELECOMMUNICATIONS</t>
  </si>
  <si>
    <t>IEEE Mediterranean Electrotechnical Conference-MELECON</t>
  </si>
  <si>
    <t>8th Mediterranean Electrotechnical Conference on Industrial Applications in Power Systems, Computer Science and Telecommunications (Melecon 96)</t>
  </si>
  <si>
    <t>MAY 13-16, 1996</t>
  </si>
  <si>
    <t>BARI, ITALY</t>
  </si>
  <si>
    <t>IEEE, Reg 8,IEEE, Cent &amp; S Italy Sect,Politecnico Bari, DEE,AEI, Sez Pugliese,ENEL,TELECOM Italia,ACIEL Puglia</t>
  </si>
  <si>
    <t>0-7803-3109-5</t>
  </si>
  <si>
    <t>WOS:A1996BG35R00261</t>
  </si>
  <si>
    <t>Eugenin, J</t>
  </si>
  <si>
    <t>Zapata, P; Eyzaguirre, C; Torrance, RW</t>
  </si>
  <si>
    <t>Modelling the peripheral chemosensory drive of ventilation on basis of homogenous sensory units</t>
  </si>
  <si>
    <t>FRONTIERS IN ARTERIAL CHEMORECEPTION</t>
  </si>
  <si>
    <t>XIIIth International Symposium on Arterial Chemoreceptors</t>
  </si>
  <si>
    <t>MAR 25-29, 1996</t>
  </si>
  <si>
    <t>CATHOLIC UNIV CHILE, EXPTL CTR, SANTIAGO, CHILE</t>
  </si>
  <si>
    <t>Int Soc Arterial Chemorecept,Catholic Univ Chile,Natl Commiss Sci &amp; Technol Res, Chile,Andes Fdn,3rd World Acad Sci,Merck, Chile,Nestle, Chile</t>
  </si>
  <si>
    <t>CATHOLIC UNIV CHILE, EXPTL CTR</t>
  </si>
  <si>
    <t>0-306-45490-4</t>
  </si>
  <si>
    <t>WOS:A1996BH18J00063</t>
  </si>
  <si>
    <t>GaeteGarreton, L</t>
  </si>
  <si>
    <t>Ultrasound in comminution process</t>
  </si>
  <si>
    <t>ACUSTICA</t>
  </si>
  <si>
    <t>FORUM ACUSTICUM 1996, the 1st Convention of the EAA - European Acoustics Association - EEIG</t>
  </si>
  <si>
    <t>APR 01-04, 1996</t>
  </si>
  <si>
    <t>ANTWERP, BELGIUM</t>
  </si>
  <si>
    <t>European Acoust Assoc</t>
  </si>
  <si>
    <t>0001-7884</t>
  </si>
  <si>
    <t>S133</t>
  </si>
  <si>
    <t>WOS:A1996UN02500133</t>
  </si>
  <si>
    <t>Reves, A; Diaz, G; Biasco, R</t>
  </si>
  <si>
    <t>Strumillo, C; Pakowski, Z</t>
  </si>
  <si>
    <t>Experimental study of slurries drying on inert particles in spouted bed and fluidized bed dryers</t>
  </si>
  <si>
    <t>DRYING '96, VOL A</t>
  </si>
  <si>
    <t>10th International Drying Symposium (IDS 96)</t>
  </si>
  <si>
    <t>JUL 30-AUG 02, 1996</t>
  </si>
  <si>
    <t>KRAKOW, POLAND</t>
  </si>
  <si>
    <t>Polish Acad Sci,State Comm Sci Res, Poland,SiTPChem, Poland,European Federat Chem Engineers,Drying Working Party EFChEng,Canadian Soc Chem Engn,Amer Inst Chem Engineers,Inst Chem Engineers, London,Japan Soc Chem Engineers,AFSIA, France</t>
  </si>
  <si>
    <t>83-86903-06-6</t>
  </si>
  <si>
    <t>WOS:A1996BG33W00073</t>
  </si>
  <si>
    <t>CAMPOS, AM; ABUIN, EB; LISSI, EA</t>
  </si>
  <si>
    <t>EFFECT OF A LINEAR (1-OCTANOL) AND A BRANCHED (2,6-DIMETHYL-4-HEPTANOL) ALKANOL UPON THE PROPERTIES OF DIPALMITOYLPHOSPHATIDYLCHOLINE LARGE UNILAMELLAR VESICLES</t>
  </si>
  <si>
    <t>10th International Symposium on Surfactants in Solution</t>
  </si>
  <si>
    <t>JUN 26-30, 1994</t>
  </si>
  <si>
    <t>CARACAS, VENEZUELA</t>
  </si>
  <si>
    <t>INTEVEP, S A</t>
  </si>
  <si>
    <t>We have investigated the effect of the incorporation of a linear (1-octanol) and a branched (2,6-dimethyl-4-heptanol) alkanol into large unilamellar vesicles of dipalmitoylphosphatidylcholine in the gel state upon several properties of the bilayer. The effect was evaluated by measurements of the rate of water outflow following a hypertonic osmotic shock, generalized polarization of 6-dodecanoyl-2-dimethyl aminonaphthalene (Laurdan), absorption spectra of merocyanine 540 (MC), fluorescence anisotropies of 2-anthroyloxystearic acid (2-AS), 12-anthroyloxystearic acid (12-AS) and diphenylhexatriene (DPH), the lifetimes of pyrene (Py) and pyrenedodecanoic acid (PyD), and the pseudo-first order rate constant of the fluorescence quenching of Py and PyD by oxygen, k(ox), as a function of the intravesicular alkanol concentration. The data obtained indicate that the degree of incorporation, and the effect of a given intravesicular concentration of the additive, are extremely dependent on the molecular shape of the alkanol. In particular, the branched alkanol is less soluble and causes greater disorganization of the central parts of the bilayer than the linear one. The incorporation of both additives at low alkanol/lipid ratios produces a notable increase in the rate of water outflow following a hypertonic shock, the effect being more noticeable at low concentrations of the branched alcohol. Both alkanols produce, at least at low concentrations, an increase in the value of 2-AS fluorescence anisotropy, suggesting a more compact organization of the interface. In this region, MC is expelled from the vesicle. At higher 1-octanol concentrations, the fluorescence anisotropy of 2-AS decreases and MC incorporation increases, indicating a biphasic behaviour for the linear alcohol. Significant differences between both alkanols are also observed with respect to their effect upon the values of k(ox) for PyD, a probe that can be considered to be localized in the inner parts of the bilayer.</t>
  </si>
  <si>
    <t>JUL 25</t>
  </si>
  <si>
    <t>10.1016/0927-7757(95)03160-F</t>
  </si>
  <si>
    <t>WOS:A1995RM74100011</t>
  </si>
  <si>
    <t>RABAGLIATI, FM; TERRAZA, CA</t>
  </si>
  <si>
    <t>POLYMERIZATION OF STYRENE WITH DIPHENYLZINC-COCATALYST SYSTEMS</t>
  </si>
  <si>
    <t>The diphenylzinc-H2O and diphenylzinc-H2O-ButCl systems were used as catalysts for styrene polymerization in solution at various temperatures and solvents. The systems are greatly influenced by the molar ratio H2O/Ph2Zn, and the maximum catalyst activity, in both cases, was found at a molar ratio of 0.75 GPC results strongly suggest the presence of more than one active species. For Ph2Zn-H2O-ButCl system, in dichloromethane at -78-degrees-C with the molar ratio of H2O/Ph2Zn = 0.75, the reaction is first order with respect to monomer with k(P) = 2.45x10(-3) Lmol-1 sec-1.</t>
  </si>
  <si>
    <t>Terraza, Claudio/0000-0002-6326-8771</t>
  </si>
  <si>
    <t>10.1007/BF00296040</t>
  </si>
  <si>
    <t>WOS:A1992JC42900004</t>
  </si>
  <si>
    <t>YARUR, CS</t>
  </si>
  <si>
    <t>ISOLATED SINGULARITIES FOR SUBLINEAR ELLIPTIC-EQUATIONS</t>
  </si>
  <si>
    <t>COMMUNICATIONS IN PARTIAL DIFFERENTIAL EQUATIONS</t>
  </si>
  <si>
    <t>0360-5302</t>
  </si>
  <si>
    <t>10.1080/03605309908820729</t>
  </si>
  <si>
    <t>WOS:A1990EG75600001</t>
  </si>
  <si>
    <t>INACTIVATION OF CHICKEN LIVER MEVALONATE 5-DIPHOSPHATE DECARBOXYLASE BY SULFHYDRYL-DIRECTED REAGENTS - EVIDENCE OF A FUNCTIONAL DITHIOL</t>
  </si>
  <si>
    <t>Chicken liver mevalonate 5-diphosphate decarboxylase (ATP:(R)-5-diphosphomevalonate carboxy-lyase (dehydrating), EC 4.1.1.33) is inactivated by methylmethanethiosulfonate and 5,5''-dithiobis(2-nitrobenzoate). The presence of the substrates ATP or mevalonate 5-diphosphate protect very effectively against inactivation. The inactivation is second order with respect to methylmethanethiosulfonate, with an inactivation rate constant of (7.6 .+-. 0.1) .cntdot. 10-5 .mu.M-2 .cntdot. s-1, implying that the modifier may be reacting with more than one thiol in the enzyme. The enzyme is also inactivated by a number of dithiol-specific reagents, suggesting the presence of a functional dithiol. The determined pKapp values for enzyme modification by methyl methanethiosulfonate and phenylarsine oxide are 7.3 .+-. 0.1 and 7.6 .+-. 0.3, respectively. From the data presented, it is concluded that the enzyme posseses a functional dithiol that is important for substrate binding.</t>
  </si>
  <si>
    <t>JAN 19</t>
  </si>
  <si>
    <t>10.1016/0167-4838(89)90055-1</t>
  </si>
  <si>
    <t>WOS:A1989R836200002</t>
  </si>
  <si>
    <t>ENCINAS, MV; GARRIDO, J; LISSI, EA</t>
  </si>
  <si>
    <t>POLYMERIZATION PHOTOINITIATED BY CARBONYL-COMPOUNDS .8. SOLVENT AND PHOTOINITIATOR CONCENTRATION EFFECTS</t>
  </si>
  <si>
    <t>10.1002/pola.1989.080270112</t>
  </si>
  <si>
    <t>WOS:A1989R681000012</t>
  </si>
  <si>
    <t>SESQUITERPENES OF ARISTOLOCHIA-CHILENSIS MIERS ROOTS</t>
  </si>
  <si>
    <t>WOS:A1988Q133800007</t>
  </si>
  <si>
    <t>GONZALEZGUZMAN, J</t>
  </si>
  <si>
    <t>A MIXED PROGRAM FOR PARASITIC DISEASE-CONTROL</t>
  </si>
  <si>
    <t>JOURNAL OF MATHEMATICAL BIOLOGY</t>
  </si>
  <si>
    <t>0303-6812</t>
  </si>
  <si>
    <t>10.1007/BF00276395</t>
  </si>
  <si>
    <t>WOS:A1980KF08900004</t>
  </si>
  <si>
    <t>QUINTANILLA, V</t>
  </si>
  <si>
    <t>PRELIMINARY PHYTOGEOGRAPHIC MAP OF CHILE</t>
  </si>
  <si>
    <t>WOS:A1979JP38800044</t>
  </si>
  <si>
    <t>LISSI, E</t>
  </si>
  <si>
    <t>ENTROPIC CONTROL OF CHEMILUMINESCENT REACTIONS</t>
  </si>
  <si>
    <t>JOURNAL OF THE AMERICAN CHEMICAL SOCIETY</t>
  </si>
  <si>
    <t>0002-7863</t>
  </si>
  <si>
    <t>10.1021/ja00427a063</t>
  </si>
  <si>
    <t>WOS:A1976BS45600063</t>
  </si>
  <si>
    <t>Rubilar, F; Silva, J; Gálvez, D; Santander, P; Delgado, L</t>
  </si>
  <si>
    <t>Zimmermann, R; Rodrigues, JC; Simoes, A; Dalmarco, G</t>
  </si>
  <si>
    <t>Rubilar, Felipe; Silva, Jose; Galvez, Daniel; Santander, Pavlo; Delgado, Lorena</t>
  </si>
  <si>
    <t>Proposal of an Acceptability Model for Telerehabilitation Platforms: Perspective of Health Professionals and Patient</t>
  </si>
  <si>
    <t>HUMAN-CENTRED TECHNOLOGY MANAGEMENT FOR A SUSTAINABLE FUTURE, VOL 3, IAMOT 2024</t>
  </si>
  <si>
    <t>Springer Proceedings in Business and Economics</t>
  </si>
  <si>
    <t>33rd International Association for the Management of Technology Conference</t>
  </si>
  <si>
    <t>JUL 08-11, 2024</t>
  </si>
  <si>
    <t>Telerehabilitation platforms are an innovative tool in the health area to support medical centers in their rehabilitation services. Being a recent and widely used tool, it is still evolving, so it is essential to have an evaluation mechanism that allows diagnosing the behavior and reaction of users to this type of platform. This article proposes an acceptance evaluation model based on the identification of the factors that characterize the user's decision to use this type of platform. Assessing this user intention has implications for healthcare centers as it provides support to enhance the design of their platforms.The proposed model is an aid to decision making to improve the user experience with this type of platform and thus improve the remote service.</t>
  </si>
  <si>
    <t>2198-7246</t>
  </si>
  <si>
    <t>2198-7254</t>
  </si>
  <si>
    <t>978-3-031-72492-3; 978-3-031-72490-9; 978-3-031-72489-3</t>
  </si>
  <si>
    <t>10.1007/978-3-031-72490-9_55</t>
  </si>
  <si>
    <t>WOS:001460827600055</t>
  </si>
  <si>
    <t>de Luna, DB</t>
  </si>
  <si>
    <t>de Luna, Daina Bellido</t>
  </si>
  <si>
    <t>Regulatory influence on the overall quality of platform work: Lessons from the Chilean context</t>
  </si>
  <si>
    <t>ECONOMIC AND INDUSTRIAL DEMOCRACY</t>
  </si>
  <si>
    <t>This study examines the impact of Chile's new regulation (Act N degrees 21.431) on the quality of platform work via 23 detailed interviews with gig workers and trade unionists. It reveals that regulation helped but fell short in its attempts to enhance job quality in the platform economy. By providing empirical evidence on the efficacy of regulation, this article enriches the discourse on platform work regulation, while offering a nuanced understanding of the pitfalls of new legislation, delivering key insights for shaping national labour policies. This contribution is central for policymakers aiming to navigate the complexities of regulating platform work and ensuring meaningful improvements in job quality.</t>
  </si>
  <si>
    <t>0143-831X</t>
  </si>
  <si>
    <t>1461-7099</t>
  </si>
  <si>
    <t>2024 DEC 5</t>
  </si>
  <si>
    <t>10.1177/0143831X241299034</t>
  </si>
  <si>
    <t>WOS:001370465500001</t>
  </si>
  <si>
    <t>Palma, G; Gómez, G; Cruz, N</t>
  </si>
  <si>
    <t>Palma, Guillermo; Gomez, Gabriel; Cruz, Norman</t>
  </si>
  <si>
    <t>Viscous unified dark matter models under scrutiny: Uncovering inconsistencies from dynamical system analysis</t>
  </si>
  <si>
    <t>Viscous unified dark matter models aim to describe the dark sector of the Universe, as the dark matter fluid itself gives rise to an accelerated expansion due to a negative bulk viscous pressure. However, in most studies, radiation is often disregarded as a minor factor in dynamical system analyses, overlooking whether radiation domination is achievable. In this paper, we rigorously examine this critical aspect for common parametrizations of bulk viscosity, denoted as , within two general classes of viscous unified models. Our findings reveal significant inconsistencies in models where xi proportional to H1-2s rho(s)(m)with s &lt;= 0, and surprisingly, in models where xi proportional to rho(s)(m) with exponents s &lt;0, as they both fail to produce a radiation-dominated era-an undesirable outcome for any cosmological model. Moreover, the exponent s must lye within the interval 0 &lt;= s &lt; 1/2 for the latter model to correctly describes the cosmological evolution. These results underscore the need of including these constraints as a prior in statistical analyses of observational data, with implications for current statistical inferences for the second model, where both prior and best-fit values of s often fall outside the acceptable range.</t>
  </si>
  <si>
    <t>Gomez, Gabriel/MVW-4321-2025</t>
  </si>
  <si>
    <t>Gomez Diaz, Luis Gabriel/0000-0002-3618-9824; Palma, Guillermo/0000-0001-7326-964X</t>
  </si>
  <si>
    <t>SEP 5</t>
  </si>
  <si>
    <t>10.1103/PhysRevD.110.063513</t>
  </si>
  <si>
    <t>WOS:001381673800011</t>
  </si>
  <si>
    <t>Zambrano-Angulo, M; Cardenas-Jirón, G</t>
  </si>
  <si>
    <t>Zambrano-Angulo, Michael; Cardenas-Jiron, Gloria</t>
  </si>
  <si>
    <t>Toward the search for new photosensitizers for DSSCs: theoretical study of both substituted Zn(II) and Si(IV) phthalocyanines</t>
  </si>
  <si>
    <t>PHYSICAL CHEMISTRY CHEMICAL PHYSICS</t>
  </si>
  <si>
    <t>We report a density functional theory (DFT) study performed for a set of 66 compounds based on zinc(II) and silicon(IV) phthalocyanines (Pcs) with potential applications in dye-sensitized solar cells (DSSCs). The effect of the metal center (Zn, Si), periplanar and axial substituents, and anchor groups like anhydrous, carboxyl, and catechol on the electronic, optical, photovoltaics, and adsorption properties is investigated. Using the TD-DFT methodology and M06 and CAM-B3LYP functionals, we calculated the absorption spectra on optimized structures and in the solution phase but not on structures relaxed in the solvent. We obtained a strong Q band and a weak Soret band in the UV-Vis region, which are attributed to the transitions of type pi-pi* as described by the Gouterman orbitals. Q bands calculated show absorption up to 667 nm for ZnPcs and up to 769 nm for SiPcs, suggesting an essential role of the metal atom. The systems have a bathochromic effect in the order of secondary amine &gt; primary amine &gt; hydroxyl &gt; amide &gt; ester. We also found that the anhydrous and carboxyl groups favor absorption at longer wavelengths than the catechol group. The ZnPc systems show a slightly larger electron injection Delta G(inj) (similar to 1.1 eV) than SiPcs (similar to 0.9 eV), with similar values for the three anchor groups. The interaction energies (E-int) between ZnPcs/SiPcs and TiO2 in molecular and periodic configuration and corrected by the counterpoise method indicate that SiPcs predict more negative values than ZnPcs. The anchor group effect is relevant; the carboxyl moiety leads to stronger interactions than the anhydrous moiety. The strategies used could help to identify new photosensitizers for DSSCs.</t>
  </si>
  <si>
    <t>1463-9076</t>
  </si>
  <si>
    <t>1463-9084</t>
  </si>
  <si>
    <t>FEB 14</t>
  </si>
  <si>
    <t>10.1039/d3cp04417c</t>
  </si>
  <si>
    <t>WOS:001155678000001</t>
  </si>
  <si>
    <t>Aguila, CD; Flores, EIS; Yánez, SJ</t>
  </si>
  <si>
    <t>Flores, EIS; Astroza, R; Das, R</t>
  </si>
  <si>
    <t>Droguett Aguila, Christian; Saavedra Flores, Erick, I; Yanez, Sergio J.</t>
  </si>
  <si>
    <t>Computing Strain Rate Effects on Concrete Compressive Strength by Smoothed Particle Hydrodynamics</t>
  </si>
  <si>
    <t>RECENT ADVANCES ON THE MECHANICAL BEHAVIOUR OF MATERIALS, ICM 2023</t>
  </si>
  <si>
    <t>Lecture Notes in Civil Engineering</t>
  </si>
  <si>
    <t>14th International Conference on the Mechanical Behaviour of Materials (ICM)</t>
  </si>
  <si>
    <t>JUL 12-14, 2023</t>
  </si>
  <si>
    <t>Univ Santiago, Dept Civil Engn</t>
  </si>
  <si>
    <t>In this paper, the influence of strain rate on the compressive response of concrete specimens is investigated by means of Smoothed Particle Hydrodynamics simulations. The material response is described by the RHT model, which combines three independent strength surfaces with a non-linear equation of state for shock waves. Concrete cubes made of normal strength of 35 MPa are subjected to uniaxial compression loads at different strain rates. In particular, high strain rate effects are assessed on the shape of load-displacement curves, maximum compressive strength, and damage pattern. The present work provides further insight into the complex mechanisms of compressive failure behaviour of concrete materials under high strain rates, with potential applications to the future design of more resilient structures when subjected to earthquake and blast loading cases.</t>
  </si>
  <si>
    <t>2366-2557</t>
  </si>
  <si>
    <t>2366-2565</t>
  </si>
  <si>
    <t>978-3-031-53377-8; 978-3-031-53375-4; 978-3-031-53374-7</t>
  </si>
  <si>
    <t>10.1007/978-3-031-53375-4_9</t>
  </si>
  <si>
    <t>WOS:001298122200009</t>
  </si>
  <si>
    <t>Santibáñez, NP</t>
  </si>
  <si>
    <t>Santibanez, Nelson Paulus</t>
  </si>
  <si>
    <t>Functional differentiation of society and actor-centered institutionalism: Building an analytical tool for international studies</t>
  </si>
  <si>
    <t>REVISTA MAD-REVISTA DEL MAGISTER EN ANALISIS SISTEMICO APLICADO A LA SOCIEDAD</t>
  </si>
  <si>
    <t>Considering International Studies as a complex transdisciplinary field, the aim is to build a versatile analytical tool that from a sociological theory allows observing any dynamics of the diverse interactions developed by organized actors at a global level. The aim is to obtain such a tool through the theoretical synthesis between the Social Systems Theory (SST), (specifically the theory of the Functional Differentiation of the Society) and the Actor-Centered Institutionalism (ICA) of Scharpf and Mayntz. In its development, the proposal compares and evaluates in its compatibility/incompatibility concepts and elements coming from these traditions in order to build an appropriate tool to be socialized and taught for the analysis of international policies, with the horizon of informing, reflecting, analyzing and advising the decision making of different organizations involved in the configuration of thematic areas and arenas, understood as a thematic space of disputed goods, at different levels, ranging from the local to the global. Through this synthesis exercise, it is intended to elaborate a conceptual apparatus that provides an analytical-practical instrumental, adequate for the purpose of approaching the analysis of diverse interactive dynamics and of systemic order, typical of the world society and its regions.</t>
  </si>
  <si>
    <t>0718-0527</t>
  </si>
  <si>
    <t>WOS:001286019200003</t>
  </si>
  <si>
    <t>Lizama, DR</t>
  </si>
  <si>
    <t>Lizama, David Rojas</t>
  </si>
  <si>
    <t>The rise of analytic philosophy</t>
  </si>
  <si>
    <t>TOPICOS-REVISTA DE FILOSOFIA</t>
  </si>
  <si>
    <t>0188-6649</t>
  </si>
  <si>
    <t>2007-8498</t>
  </si>
  <si>
    <t>WOS:001046666800016</t>
  </si>
  <si>
    <t>Derpich, I; Valencia, J; Lopez, M</t>
  </si>
  <si>
    <t>Derpich, Ivan; Valencia, Juan; Lopez, Mario</t>
  </si>
  <si>
    <t>The Set Covering and Other Problems: An Empiric Complexity Analysis Using the Minimum Ellipsoidal Width</t>
  </si>
  <si>
    <t>This research aims to explain the intrinsic difficulty of Karp's list of twenty-one problems through the use of empirical complexity measures based on the ellipsoidal width of the polyhedron generated by the constraints of the relaxed linear programming problem. The variables used as complexity measures are the number of nodes visited by the B &amp; B and the CPU time spent solving the problems. The measurements used as explanatory variables correspond to the Dikin ellipse eigenvalues within the polyhedron. Other variables correspond to the constraint clearance with respect to the analytical center used as the center of the ellipse. The results of these variables in terms of the number of nodes and CPU time are particularly satisfactory. They show strong correlations, above 60%, in most cases.</t>
  </si>
  <si>
    <t>Derpich, Ivan/0000-0001-9759-7285</t>
  </si>
  <si>
    <t>10.3390/math11132794</t>
  </si>
  <si>
    <t>WOS:001033851700001</t>
  </si>
  <si>
    <t>Parker, C; Pérez, JM; Vargas, P</t>
  </si>
  <si>
    <t>Parker, Cristian; Perez, Jose Miguel; Vargas, Paulina</t>
  </si>
  <si>
    <t>Environmental Impact Assessment: Sociology and semiotics of discursive asymmetries. Case Study of Alto Maipo in Chile</t>
  </si>
  <si>
    <t>REVISTA COLOMBIANA DE SOCIOLOGIA</t>
  </si>
  <si>
    <t>In the Environmental Impact Assessment (EIA) processes, multiple actors are involved. Through their discourses, they show a series of differences in the way they conceive the environment. This article analyzes the discourses and semiotics, the contrasts and asymmetries, observed in the forms of knowledge and languages of the actors involved in EIA. The main hypothesis is that environmental knowledge, in the context of EIA, should be apprehended as a simultaneous and articulated deployment of complex semiotic structures that build differentiated and asymmetric forms of conceptions of the environment. The article is the result of an empirical case study research of an emblematic hydroelectric project in Chile, using qualitative methodologies, and a discourse analysis. The results show that the institutional discourse is self-referential in juridical terms and the environmental impact is defined by a normative and not a substantive way. The businesspersons discourse, for its part, emphasizes the goal of socioeconomic development. Environmental officials focus on assessing and supervising, while scientists on protecting health and the environment. On the other hand, from restrictive codes, communities' and local actors' discourses asserts the goal of caring for the habitat and safeguarding the future of our children. We observe asymmetries in the form and content of speeches, and codes, not only about language and about information. Indeed the predominance of regulatory codes over tacit and holistic knowledge codes about the environment (in EIA) engenders biases that limit environmental evaluation and citizen participation. The purpose of this work is to contribute to understand the construction of these discourses through the narrative of the main actors involved, considering the different semantic dimensions through a semiotic and a sociological analysis.</t>
  </si>
  <si>
    <t>Pérez, José/IUO-1049-2023; Parker, Cristián/J-4947-2017</t>
  </si>
  <si>
    <t>0120-159X</t>
  </si>
  <si>
    <t>2256-5485</t>
  </si>
  <si>
    <t>10.15446/rcs.v46n1/99056</t>
  </si>
  <si>
    <t>WOS:001230979900001</t>
  </si>
  <si>
    <t>Pulgar-Araya, A; Valdebenito, A</t>
  </si>
  <si>
    <t>Pulgar-Araya, Anais; Valdebenito, Ariel</t>
  </si>
  <si>
    <t>Between gender quotas and parity: The impact of affirmative action measures on the descriptive representativeness of women in Chile (2017-2021)</t>
  </si>
  <si>
    <t>REVISTA DE ESTUDIOS POLITICOS</t>
  </si>
  <si>
    <t>The following paper evaluates the effect of the gender quota and parity on the descriptive representation of women in Chile. For this purpose, a case study is made of the 2013 legislative elections, which did not include any gender affirmative action mechanism; the 2017 and 2021 legislative elections with quota; and the 2021 election of convention members, which for the first time in the country included parity in the lists and in the composition of the Convention. The evaluation is carried out through six variables: seats; voting; candidacies; placement of women in lists and districts; gender gap and institutional strength of the quota/parity. The results indicate that, in the short term and in all variables, parity with a strong institutional design produces better results than the quota in descriptive representation of women in Chile.</t>
  </si>
  <si>
    <t>0048-7694</t>
  </si>
  <si>
    <t>1989-0613</t>
  </si>
  <si>
    <t>10.18042/cepc/rep.201.04</t>
  </si>
  <si>
    <t>WOS:001099956200004</t>
  </si>
  <si>
    <t>Gómez, G</t>
  </si>
  <si>
    <t>Gomez, Gabriel</t>
  </si>
  <si>
    <t>Conformally and disformally coupled vector field models of dark energy</t>
  </si>
  <si>
    <t>Scalar fields coupled to dark matter by conformal or disformal transformations give rise to a general class of scalar-tensor theories which leads to a rich phenomenology in a cosmological setting. While this possibility has been studied comprehensively in the literature for scalar fields, the vector case has hardly been treated. Hence, we build models based on vector fields which are conformally and disformally coupled to dark matter and explicitly derive the general covariant form of the interaction term in an independent way of the gravity theory, whereby this result can be applied to general vector-tensor theories. For concreteness, the standard Proca theory with a vector exponential potential is taken to describe the vector-tensor sector, and some specific coupling functions are assumed to study the cosmological background dynamics using dynamical system techniques. As a first examination about instabilities issues, we derive general conditions to avoid classical instabilities in a more general setup of the theory. Interestingly, despite choosing such a minimalist form for the underlying theory, the parameter space is considerably enriched compared to the uncoupled case due to the novel interactions, leading to new branches of solutions for the vector equation of motion. Thus, different trajectories can exist in phase space depending on the coupling parameters associated to the conformal and disformal functions. From here, new emerging vector-dark matter scaling solutions, and renewed stable attractor points are found to drive the late-time accelerated expansion of the Universe. Additionally, numerical calculations are performed to investigate more quantitatively the impact of the conformal and disformal couplings on the cosmological background evolution. These effects depend essentially on the strength of the coupling parameters and, in some specific cases, on their associated signs. In all the cases studied we find that the coupling of the vector field to dark matter can significantly affect the cosmological dynamics during different stages of the evolution of the Universe.</t>
  </si>
  <si>
    <t>Gomez Diaz, Luis Gabriel/0000-0002-3618-9824</t>
  </si>
  <si>
    <t>JUN 28</t>
  </si>
  <si>
    <t>10.1103/PhysRevD.107.123535</t>
  </si>
  <si>
    <t>WOS:001054899300002</t>
  </si>
  <si>
    <t>The Influence of Educators, Followers of John Dewey's Educational Thought, in the Chilean School System: Irma Salas, Amanda Labarca, and Dario Salas</t>
  </si>
  <si>
    <t>TEACHERS COLLEGE RECORD</t>
  </si>
  <si>
    <t>Background/Context: This article discusses the influence and legacy of three Chilean educators in the country's schooling system during the first half of the 20th century. Focus of Study: Based on the changes that Dario Salas, Irma Salas, and Amanda Labarca promoted in the Latin American country, it explores how the ideas of their teacher John Dewey spread through Chile and endure to this day as part of the national curriculum. The article also debates the impact of cultural exchange between the United States and Chile since the influence in their country extended to social issues, such as the fight for gender equality, the creation of associations, and the improvement of civic engagement participation. Research Design: The study corresponded to historical research and was carried out in Chile based on the bibliographic background of the educators themselves and what the author himself has deepened about them for several years, that is, primary and secondary sources were investigated. Conclusion: The shifts towards secular education, the new experiential methodology, and the universal access to education were the main reforms achieved by the Chilean educators once they held leading positions in the education sector.</t>
  </si>
  <si>
    <t>0161-4681</t>
  </si>
  <si>
    <t>1467-9620</t>
  </si>
  <si>
    <t>10.1177/01614681221137148</t>
  </si>
  <si>
    <t>WOS:000886105600007</t>
  </si>
  <si>
    <t>Correa, IG; Robles, C</t>
  </si>
  <si>
    <t>Gonzalez Correa, Ignacio; Robles, Claudio</t>
  </si>
  <si>
    <t>Fostering Agriculture under the Industrializing State: The Caja de Credito Agrario and Agricultural Credit in Post-Depression Chile, 1926-53</t>
  </si>
  <si>
    <t>This paper analyzes the role of the Caja de Credito Agrario (CCA) in the development of the agricultural credit market in post-depression Chile. Employing its official annual reports, reports from the Superintendency of Banks, and Chile's Statistical Yearbooks, we constructed the first series of CCA's credit operations, and established trends in the number, the average amount, and the social, geographic, and specific economic activity distribution of all loans. From 1927 to 1952, CCA loans represented 11.5% of all commercial bank loans, and in the latter year the CCA lent more money to agriculture than any other bank. The CCA became Chile's largest agricultural bank, right before being merged with other institutions to create the State Bank of Chile. The CCA's credit was decentralized: its operations evolved towards a fairly balanced distribution of loans among Chile's main agricultural provinces. This was a micro-credit institution that allocated the vast majority of its loans to small farmers, who otherwise would not have access to formal credit. The CCA was a public policy tool for helping small farmers produce food for domestic consumption. Contrary to conventional views, in Chile the industrialization-promoting state did also foster agricultural growth through CCA public credit.</t>
  </si>
  <si>
    <t>Gonzalez-Correa, Ignacio/0000-0003-0964-8017; Robles-Ortiz, Claudio/0000-0003-3041-7838</t>
  </si>
  <si>
    <t>10.26882/histagrar.086e05g</t>
  </si>
  <si>
    <t>WOS:000792300200009</t>
  </si>
  <si>
    <t>Vio, LR; Larraguibel, QM; Montt, SME; Pi, M; Aldunate, CC; Halpern, GM</t>
  </si>
  <si>
    <t>Vio, Ricardo L.; Larraguibel, Marcela Q.; Montt, Elena S. M.; Pi, Macarena; Aldunate, Consuelo C.; Halpern, Muriel G.</t>
  </si>
  <si>
    <t>Effect of the VOLANTIN resilience promotion program on children with an alternative residential system</t>
  </si>
  <si>
    <t>Internationally, there are resilience promotion programs applied to children in residential alternative care with favorable results. The application of the resilience promotion program VOLANTIN has shown to be effective in different groups of school-age children, favoring the development of resilience. Objective: To describe the results of the implementation of the VOLANTIN program on the level of resilience, self-concept, and emotional symptoms in children aged 7-12 years in residential alternative care (foster care). Subjects and Method: descriptive, longitudinal study. The VOLANTIN program was implemented in a sample of 15 foster children between 7-12 years old. The variables measured were the Escala de Resiliencia Escolar (ERE), the Piers-Harris Children's SelfConcept Scale, the Anxiety Self-report for Children and Adolescents (AANA), and the Children's Depression Inventory (CDI) at the beginning, at the end, and 3 months after the end of the program, and then were analyzed statistically by nonparametric test. Results: At the beginning, the end, and three months after the program implementation, there was a significant increase in the total scores of ERE (p0.045), subscales networks-models (p0.002) and external resources (p0.018); and Self-concept (p0.005), subscales behavior (p0.045) and popularity (p0.03). AANA total scores decreased significantly (p0.004) as well as the subscales panic/somatic (p0.025) and generalized anxiety (p0.009). CDI scores decreased, but not significantly. Conclusion: The application of the resilience promotion program VOLANTIN increased resilience and self-concept scores and decreased anxious symptoms in children aged 7-12 years.</t>
  </si>
  <si>
    <t>10.32641/andespediatr.v93i2.3872</t>
  </si>
  <si>
    <t>WOS:000812275800007</t>
  </si>
  <si>
    <t>Reyes, RJ</t>
  </si>
  <si>
    <t>Jara Reyes, Rene</t>
  </si>
  <si>
    <t>THE CANDIDATE FACTORY. THE CONSTRUCTION OF ELECTORAL AGREEMENTS AND AGREEMENTS IN FOUR DEPARTMENTS OF CHILE (1894-1920)</t>
  </si>
  <si>
    <t>This article focuses on the construction of electoral pacts in Chile for the period 1894-1920. From a comparative analysis of 4 departments (Coquimbo, Melipilla, Rancagua and Coelemu), the paper seeks to understand what were the drawbacks, difficulties and political tensions that caused these pacts within and between parties, thus shaping the electoral competition. Through the review of press material, this work shows the relevant character that these pacts had, promoting or inhibiting the competition between candidates, in territories marked by strong demographic differences. Finally, the implications of the study for the understanding of the changes undergone by the Chilean political system are discussed.</t>
  </si>
  <si>
    <t>WOS:000715741600004</t>
  </si>
  <si>
    <t>Mery, CJ</t>
  </si>
  <si>
    <t>Mery, Constanza Jorquera</t>
  </si>
  <si>
    <t>A Geopolitical Imagination with Chinese Characteristics: Analysis from American Studies of the Evolution of China?s Foreign Policy in its Geopolitical Projects</t>
  </si>
  <si>
    <t>This article analyzes, from the American studies, and through a theoretical and discursive review, the evolution of China's geopolitical imagination as an approach to Critical Geopolitics. It is worth asking how this dimension has conditioned Chinese foreign policy in its international insertion in the last two decades. It is hypothesized that the changes in the geopolitical imagination in China materialize in differentiated geopolitical codes and two moments. The first moment corresponds to the period between 1990 and 2008, with a foreign policy whose axis was to maintain a low political profile and advance participation in international regimes and trade agreements; while the second moment is set from 2008, towards the end of the Hu Jintao administration and consolidated to the present with Xi Jinping, characterized by a more active and assertive foreign policy. It is a product of the transformation in its international reintegration strategy and the need to stabilize its entire geopolitical space, moving towards consolidating China's status as a global power. At this moment, Latin America is established as a strategic region in the materialization and search for consolidation of its geopolitical imagination.</t>
  </si>
  <si>
    <t>WOS:000933168400003</t>
  </si>
  <si>
    <t>Vidal, CP; Velásquez, E; Galotto, MJ; de Dicastillo, CL</t>
  </si>
  <si>
    <t>Patino Vidal, Cristian; Velasquez, Eliezer; Jose Galotto, Maria; Lopez de Dicastillo, Carol</t>
  </si>
  <si>
    <t>Development of an antibacterial coaxial bionanocomposite based on electrospun core/shell fibers loaded with ethyl lauroyl arginate and cellulose nanocrystals for active food packaging</t>
  </si>
  <si>
    <t>FOOD PACKAGING AND SHELF LIFE</t>
  </si>
  <si>
    <t>Developing antimicrobial electrospun bionanocomposites with core/shell structure is an innovative strategy for producing active food packaging materials. The aim of this study was developing an antibacterial electrospun mat based on polylactic acid (PLA) coaxial fibers containing ethyl laumyl arginate (LAE) and cellulose nanocrystals (CNC) through electrospinning. The effect of the coaxial structure and the incorporation of both components on the structural, thermal and release properties of the electrospun PLA was analyzed. LAE release studies were carried out in 10% and 95% EtOH, and results correlated with antibacterial assays. Structural analysis only indicated some chemical interactions through hydrogen bonding between PLA and LAE in the core structure. The incorporation of LAE and CNC produced a plasticizing effect in the PLA, and the crystallinity of polymer was maintained by the presence of CNC. Core/shell structure and the presence of CNC slowed down the LAE release. Furthermore, the bionanocomposite exhibited strong bactericidal activities.</t>
  </si>
  <si>
    <t>Patiño Vidal, Cristian Javier/JDM-7961-2023; Lopez-de-Dicastillo, Carol/C-6347-2019</t>
  </si>
  <si>
    <t>Lopez-de-Dicastillo, Carol/0000-0003-0067-9765; Patino Vidal, Cristian Javier/0000-0002-5633-6908; VELASQUEZ, ELIEZER/0000-0001-8858-8926</t>
  </si>
  <si>
    <t>2214-2894</t>
  </si>
  <si>
    <t>10.1016/j.fpsl.2021.100802</t>
  </si>
  <si>
    <t>DEC 2021</t>
  </si>
  <si>
    <t>WOS:000740514100005</t>
  </si>
  <si>
    <t>Bascur, EF</t>
  </si>
  <si>
    <t>Faure Bascur, Eyleen</t>
  </si>
  <si>
    <t>The Victimizer as Subject of Pain. The Figurability of the Perpetrator in the Chilean Documentary Film El Mocito (2011)</t>
  </si>
  <si>
    <t>PAPELES DEL CEIC-INTERNATIONAL JOURNAL ON COLLECTIVE IDENTITY RESEARCH</t>
  </si>
  <si>
    <t>This article analyzes the figurability of the perpetrator in the documentary film El Mocito by Marcela Said and Jean De Certeau (2011). The theoretical-methodological proposal of L. Zylberman has been followed for the analysis of the representations of the perpetrators in the documentary, based on the observation of the forms and modalities under which these actors appear. First of all, the narrative scope of the film is analyzed, corresponding to the form, to later delve into the modality of appearance of the victimizer, by highlighting some aspects of the development of this character. It is concluded that the film elaborates a representation of the perpetrator that, by being centered in the extreme vulnerability of the subject, eludes the discussion about his responsibility, by offering a reductionist portrait of the protagonist (Jorgelino Vergara, El Mocito), focused on the havoc that the regime has produced in his life. This ambiguity regarding the question of responsibility is based on an emptying of the character's subjectivity, of his possible ideology and agency, and in the elaboration of a narrative arc in which confessional religious senses predominate.</t>
  </si>
  <si>
    <t>1695-6494</t>
  </si>
  <si>
    <t>10.1387/pceic.22451</t>
  </si>
  <si>
    <t>WOS:000753757400005</t>
  </si>
  <si>
    <t>González-Correa, I</t>
  </si>
  <si>
    <t>Gonzalez-Correa, Ignacio</t>
  </si>
  <si>
    <t>THE CAJA NACIONAL DE AHORROS AND STATE-OWNED BANKS: A SUCCESSFUL CASE OF ASSOCIATIVE ECONOMY AMONG FINANCIAL BANKS IN CHILE, C. 1920-1950</t>
  </si>
  <si>
    <t>AREAS-REVISTA INTERNACIONAL DE CIENCIAS SOCIALES</t>
  </si>
  <si>
    <t>This work examines the links among the Caja Nacional de Ahorros (National Savings Bank) and other state-owned banks such as the Caja de Credito Hipotecario (National Mortgage Bank) and the Caja de Credito Agrario (Agricultural Credit Bank) from the end of the nineteenth-century to the first half of the twentieth-century. The permanent financial links, the operative cooperation, and the shared Board of Directors among the cajas explain the success and permanence in the market of the three state-owned firms. In addition, this work shows the relevance of the Caja Nacional de Ahorros in the Chilean savings market: in 1922 more than 50 percent of the people in Santiago and more than 25 percent of the country's population had a savings account of the 'National Savings Bank', that is, practically all the families in the country had a savings account in this institution. The wide presence of offices of the Caja Nacional de Ahorros in cities and towns where no private bank had branches and its system of field visits allowed it to capture many customers, especially the working class, who were willing to save in the formal financial system. Finally, the history of close relationships among these companies is one of the main factors that explain why these institutions were merged in 1953 to form the Banco del Estado de Chile.</t>
  </si>
  <si>
    <t>0211-6707</t>
  </si>
  <si>
    <t>1989-6190</t>
  </si>
  <si>
    <t>10.6018/arics.458911</t>
  </si>
  <si>
    <t>WOS:000697118200005</t>
  </si>
  <si>
    <t>Villegas, FIL; Cordero, CV</t>
  </si>
  <si>
    <t>Leon Villegas, Felipe Ignacio; Valencia Cordero, Claudio</t>
  </si>
  <si>
    <t>Machine Learning Analysis for Side-Channel Attacks over Elliptic Curve Cryptography</t>
  </si>
  <si>
    <t>This paper presents experimental evaluation on various Machine Learning (ML) models used for Simple Power Attacks (SPA) on a device which uses an Elliptic Curve Cryptography (ECC). The device used in this investigation is an Atmega 328 U which has an 8-bit architecture. The paper provides a comparison between the detection of the secret key using ML algorithms. Based on the results obtained in the research, certain recommendations are made.</t>
  </si>
  <si>
    <t>10.1109/CHILECON54041.2021.9702996</t>
  </si>
  <si>
    <t>WOS:000788072700046</t>
  </si>
  <si>
    <t>Páez, F; Kaschel, H</t>
  </si>
  <si>
    <t>Paez, Felipe; Kaschel, Hector</t>
  </si>
  <si>
    <t>A Proposal for Data Authentication, Data Integrity and Replay Attack Rejection for the LIN Bus</t>
  </si>
  <si>
    <t>Today's most relevant in-vehicle communication buses (CAN, LIN, FlexRay) offer no standard cybersecurity features, being highly vulnerable to local and remote cyberattacks, targeting the onboard computer and spreading to the vehicle's electronic control units through the aforementioned buses. Cybersecurity proposals for CAN and FlexRay have been introduced in the past, from various authors; no such proposal for the LIN (Local Interconnect Network) bus has been presented yet. This paper presents a computationally-feasible, real-time and hash-based message authentication code (HMAC) scheme, for the LIN bus. This proposal provides message integrity check and authentication, and uses a node's internal timestamp in order to reject replay attacks.</t>
  </si>
  <si>
    <t>10.1109/CHILECON54041.2021.9702979</t>
  </si>
  <si>
    <t>WOS:000788072700056</t>
  </si>
  <si>
    <t>Gumucio, CP; Zúñiga, MPA</t>
  </si>
  <si>
    <t>Parker Gumucio, Cristian; Aedo Zuniga, Maria Paz</t>
  </si>
  <si>
    <t>From Environmental Impact Assessment to Strategic Environmental Assesment: Challenges for Chilean and Latin American Environmental Policy</t>
  </si>
  <si>
    <t>Several authors report a transition from lower to higher complexity in the environmental assessment politics, from an originally sectoral approach to a systemic and strategic perspective. However, as in any political process, these shifts are neither homogeneous nor linear. In fact, there are significant differences in the environmental assessment systems of the global North and South. This theoretical essay analyzes the tensions that the economic growth causes on the design and application of the environmental assessments in Latin America and Chile; and how the economic pressures have hampered the construct of a systemic, strategic and democratic environmental assessment, with the urgency that the critical Anthropocene context demands nowadays.</t>
  </si>
  <si>
    <t>Parker, Cristián/J-4947-2017</t>
  </si>
  <si>
    <t>ePYG1337</t>
  </si>
  <si>
    <t>WOS:000728527200002</t>
  </si>
  <si>
    <t>Pinaud, MF; Henríquez, HR</t>
  </si>
  <si>
    <t>Pinaud, Matthieu F.; Henriquez, Hernan R.</t>
  </si>
  <si>
    <t>Controllability of systems with a general nonlocal condition</t>
  </si>
  <si>
    <t>In this work we are concerned with the controllability of first order distributed systems with a general nonlocal condition. Specifically, by a general nonlocal condition we understand a nonlocal condition mod- eled in terms of an inclusion. In this context, assuming that the underlying linear system is approximately controllable, we present three types of conditions under which the nonlinear system is also approximately controllable.</t>
  </si>
  <si>
    <t>Pinaud, Matthieu F./0009-0002-4355-3361</t>
  </si>
  <si>
    <t>10.1016/j.jde.2020.03.029</t>
  </si>
  <si>
    <t>WOS:000544899100001</t>
  </si>
  <si>
    <t>González, A; Castillo, E; Cruchaga, MA</t>
  </si>
  <si>
    <t>Gonzalez, A.; Castillo, E.; Cruchaga, M. A.</t>
  </si>
  <si>
    <t>Numerical verification of a non-residual orthogonal term-by-term stabilized finite element formulation for incompressible convective flow problems</t>
  </si>
  <si>
    <t>COMPUTERS &amp; MATHEMATICS WITH APPLICATIONS</t>
  </si>
  <si>
    <t>The modeling of turbulent flows is relevant in many engineering applications and, is an active field of research on numerical methods. Convergence and stability of proposed formulations are crucial to predict transitional flows from laminar to turbulent flows. In this work, a recently developed stabilized finite element formulation is used as a powerful tool to describe such kind of problems. The essential point of the formulation is the time dependent nature of the subscales and, contrary to residual based formulations, the introduction of two velocity subscale components. The theoretical rate of convergence of the method is verified numerically using linear and quadratic equalorder finite element discretizations. To this end, a standard convergence test of L2-norm is presented where the computed solutions are compared when manufactured solutions are imposed at Gauss-point level. Moreover, the Hopf bifurcation is studied for two wellknown benchmark problems: flow past a cylinder and the three-dimensional lid-driven cavity flow. For the flow past a cylinder case, the Hopf bifurcation is verified using dynamic subscales and is assessed so that they do not disturb the solution. In particular, a dominant convective problem (Re = 4000) is solved using both the quasistatic and dynamic versions of the method, evaluating the performance of each one in the quality of the solution and in the CPU time needed to obtain a converged solution. For the 3D lid-driven cavity flow problem, the Hopf bifurcation is determined using two different boundary conditions, analyzing their effect on the dynamics of the problem and on the thickness and shape of the boundary layer. The final test case is the turbulent 3D lid-driven cavity problem (Re = 12000), where velocity profiles are compared with experimental, LES and DNS reference solutions. Additionally, pressure and velocity spectra are shown at certain representative points of the domain, as well as phase diagrams, correlation function graphs, the Poincare map, and the Lyapunov exponent, typical mathematical tools used in dynamical system analysis. From the results, the method is robust and accurate for all the numerical tests both in viscous dominant problems as in dominant convective ones. (C) 2020 Elsevier Ltd. All rights reserved.</t>
  </si>
  <si>
    <t>Cruchaga, Marcela/M-7522-2014; Castillo, Ernesto/D-1612-2015</t>
  </si>
  <si>
    <t>Gonzalez, Amaru/0000-0003-4403-2154; Castillo, Ernesto/0000-0001-7013-6008</t>
  </si>
  <si>
    <t>0898-1221</t>
  </si>
  <si>
    <t>1873-7668</t>
  </si>
  <si>
    <t>10.1016/j.camwa.2020.05.025</t>
  </si>
  <si>
    <t>WOS:000557765800028</t>
  </si>
  <si>
    <t>Farías, VR</t>
  </si>
  <si>
    <t>Ruz Farias, Veronica</t>
  </si>
  <si>
    <t>New development: Accounting recognition of public infrastructure-applying a practical control criterion approach</t>
  </si>
  <si>
    <t>PUBLIC MONEY &amp; MANAGEMENT</t>
  </si>
  <si>
    <t>The accounting recognition of public infrastructure can be extremely complex. This article explores and discusses the key IPSAS definitions and reviews the national accounting frameworks of some countries as regards their criteria for recognizing these assets. The author makes an important contribution to public sector accounting research by presenting a new way of recognizing public infrastructure as an asset based on the control criterion. IMPACT The recognition of public infrastructure assets (for example road networks, transport infrastructure, bridges) is difficult because there is insufficient guidance in current IPSAS. Public sector entities need assistance when applying the IPSAS general recognition criteria. This article provides practical guidance on the use of 'control' for determining which public entity should recognize an infrastructure asset in its balance sheet. It will be of value to preparers of accounts, auditors and accounting scholars, supporting them in the process of developing specific accounting recognition criterion. This practical control criterion approach can promote consistency in the application of IPSAS and prevent double-counting or omissions of assets from accounts.</t>
  </si>
  <si>
    <t>Ruz-Farías, Verónica/JMB-7011-2023</t>
  </si>
  <si>
    <t>Ruz Farias, Veronica/0000-0002-6331-8118</t>
  </si>
  <si>
    <t>0954-0962</t>
  </si>
  <si>
    <t>1467-9302</t>
  </si>
  <si>
    <t>OCT 2</t>
  </si>
  <si>
    <t>10.1080/09540962.2020.1762382</t>
  </si>
  <si>
    <t>MAY 2020</t>
  </si>
  <si>
    <t>WOS:000535342200001</t>
  </si>
  <si>
    <t>More Money, More Crime: Prosperity and Rising Crime in Latin America</t>
  </si>
  <si>
    <t>DEVELOPING ECONOMIES</t>
  </si>
  <si>
    <t>Dammert, Lucia/0000-0003-1239-4425</t>
  </si>
  <si>
    <t>0012-1533</t>
  </si>
  <si>
    <t>1746-1049</t>
  </si>
  <si>
    <t>10.1111/deve.12227</t>
  </si>
  <si>
    <t>FEB 2020</t>
  </si>
  <si>
    <t>WOS:000513127300001</t>
  </si>
  <si>
    <t>Nazer, JR; Llorca-Jaña, M</t>
  </si>
  <si>
    <t>Nazer, Juan Ricardo; Llorca-Jana, Manuel</t>
  </si>
  <si>
    <t>Succession in large nineteenth-century Chilean family businesses</t>
  </si>
  <si>
    <t>BUSINESS HISTORY</t>
  </si>
  <si>
    <t>This article analyses the process of succession in three large Chilean family businesses between c.1860s-1940s, whose combined wealth was 10% of Chilean GDP. Although there is no general theory of succession planning in family firms, the most common reasons for why succession fails or succeeds have been identified in the specialised literature. We have contrasted the evidence we found in our three case studies against the theories available. The theories underpinning effective successions are supported by the case studies under analysis: timely selection and training of a competent successor; a reduced number of heirs; strategically arranged marriages; and family harmony. Some of the theories behind succession failure are also borne out by the existing evidence: family rivalries; adverse external economic shocks; conflicts between the family and the government; lack of commitment on the part of the heirs to the continuity of the business; unskilled successors taking over; early deaths from illness. Two further underlying elements can be identified from the Chilean case studies: fragmentation of the capital of the group; and the fashion for family members to spend time in Europe as rentiers.</t>
  </si>
  <si>
    <t>0007-6791</t>
  </si>
  <si>
    <t>1743-7938</t>
  </si>
  <si>
    <t>APR 3</t>
  </si>
  <si>
    <t>10.1080/00076791.2020.1717471</t>
  </si>
  <si>
    <t>WOS:000509432500001</t>
  </si>
  <si>
    <t>Gil, F; Orellana, M</t>
  </si>
  <si>
    <t>Gil, Francisco; Orellana, Marcela</t>
  </si>
  <si>
    <t>Commentary: Meritocratic exceptionality and affirmative action policy in higher education in Chile</t>
  </si>
  <si>
    <t>EDUCATION POLICY ANALYSIS ARCHIVES</t>
  </si>
  <si>
    <t>We have written this commentary on the work Meritocratic Exceptionality and Affirmative Action Policy in Higher Education in Chile with the aim of complementing it with the background and points of view of people who have been rowing against the tide for 30 years, in favor of access for students who, during their secondary education, took full advantage of the opportunities they found in their socio-educational contexts, but whose doors are closed to them by the walls of selective universities. We hope, with hope, that the points of view of the authors of the work plus ours will be a contribution to the dismantling of the current social segregation of our country, which generates so much structural violence.</t>
  </si>
  <si>
    <t>1068-2341</t>
  </si>
  <si>
    <t>10.14507/epaa.28.5905</t>
  </si>
  <si>
    <t>WOS:000569115800001</t>
  </si>
  <si>
    <t>Lizama, C; Rueda, S</t>
  </si>
  <si>
    <t>Lizama, Carlos; Rueda, Silvia</t>
  </si>
  <si>
    <t>Nonlocal Integrated Solutions for a Class of Abstract Evolution Equations</t>
  </si>
  <si>
    <t>ACTA APPLICANDAE MATHEMATICAE</t>
  </si>
  <si>
    <t>In this article we show the existence of at least one integrated solution of a semilinear second order differential equation with an extra convolution term and nonlocal initial conditions. As main tool we use properties of the Hausdorff measure of noncompactness and fixed point theorems.</t>
  </si>
  <si>
    <t>Lizama, Carlos/0000-0002-9807-1100; Rueda, Silvia/0000-0001-7031-1718</t>
  </si>
  <si>
    <t>0167-8019</t>
  </si>
  <si>
    <t>1572-9036</t>
  </si>
  <si>
    <t>10.1007/s10440-018-00231-3</t>
  </si>
  <si>
    <t>WOS:000494042000009</t>
  </si>
  <si>
    <t>Huiliñir, C; Leiva, E; Stegmaier, F; Castillo, A; Cottet, L; Montalvo, S</t>
  </si>
  <si>
    <t>Huilinir, Cesar; Leiva, Estefania; Stegmaier, Francisco; Castillo, Antonio; Cottet, Luis; Montalvo, Silvio</t>
  </si>
  <si>
    <t>Biodrying of dewatered secondary sludge: behavior of dynamic respiration index (DRI) and energy release under different operating conditions</t>
  </si>
  <si>
    <t>JOURNAL OF CHEMICAL TECHNOLOGY AND BIOTECHNOLOGY</t>
  </si>
  <si>
    <t>BACKGROUND Biological activity monitored through the dynamic respiration index (DRI) and the calculation of biological heat generation (Q(bio)) through O-2 consumption has been reported only scarcely in the case of biodrying. Therefore, the present work studies the DRI and Q(bio) for a dewatered secondary sewage sludge biodrying process under different operating conditions: airflow rate (AFR) and initial moisture content (IMC). RESULTS It was found that AFR has an important effect on oxygen consumption, with higher DRI (&lt;= 6 gO(2) kgVS(-1) h(-1)) at higher AFR for different studied IMCs. IMC also affects the DRI, with higher values of DRI at higher IMC. Determination of the Q(bio) indicated that its calculation through O-2 consumption provided better explanations of the water removal of the process. AFR also affects water removal and volatile solids (VS) degradation, with greater water removal (c. 30%) and lower VS degradation (c. 3.6%) at lower AFR. CONCLUSIONS AFR strongly affects the DRI, with higher DRI at low AFR. The calculation of Q(bio) through O-2 consumption is recommended. (c) 2019 Society of Chemical Industry</t>
  </si>
  <si>
    <t>Huilinir, Cesar/IYS-6899-2023; Castillo, Antonio/AAE-6832-2020</t>
  </si>
  <si>
    <t>Castillo, Antonio/0000-0003-0639-6045; Huilinir, Cesar/0000-0002-3487-684X</t>
  </si>
  <si>
    <t>0268-2575</t>
  </si>
  <si>
    <t>1097-4660</t>
  </si>
  <si>
    <t>10.1002/jctb.6210</t>
  </si>
  <si>
    <t>OCT 2019</t>
  </si>
  <si>
    <t>WOS:000491013600001</t>
  </si>
  <si>
    <t>Modak, B; Valenzuela, B; Soto, E; Parra, M; Vergara, C; Imarai, M</t>
  </si>
  <si>
    <t>Modak, B.; Valenzuela, B.; Soto, E.; Parra, M.; Vergara, C.; Imarai, M.</t>
  </si>
  <si>
    <t>Filifolinone, a natural compound with adjuvant effect for optimization of a commercial vaccine for IPNV</t>
  </si>
  <si>
    <t>Soto, Esteban/HGA-8216-2022</t>
  </si>
  <si>
    <t>Modak Canobra, Brenda/0000-0001-5292-0480</t>
  </si>
  <si>
    <t>P-016</t>
  </si>
  <si>
    <t>10.1016/j.fsi.2019.04.085</t>
  </si>
  <si>
    <t>WOS:000474676700058</t>
  </si>
  <si>
    <t>Morales, F; Jamett, M</t>
  </si>
  <si>
    <t>Morales, Fernando; Jamett, Marcela</t>
  </si>
  <si>
    <t>Explosive detection system based on Leddar sensor and Self-Organizing Maps in controled environments</t>
  </si>
  <si>
    <t>2019 IEEE CHILEAN CONFERENCE ON ELECTRICAL, ELECTRONICS ENGINEERING, INFORMATION AND COMMUNICATION TECHNOLOGIES (CHILECON)</t>
  </si>
  <si>
    <t>IEEE CHILEAN Conference on Electrical, Electronics Engineering, Information and Communication Technologies (CHILECON)</t>
  </si>
  <si>
    <t>OCT 29-31, 2019</t>
  </si>
  <si>
    <t>IEEE Consejo Cono Sur,IEEE Consejo Chile,Chilean Assoc Automat Control,IEEE Chilean Chapter ontrol Syst,IEEE Chilean Chapter SMC,Univ Catolica Valparaiso Chile, Escuela Ingn Informatica, Fac Ingn Pontificia,IEEE,IEEE Syst Man &amp; Cybernet Soc,Chilean AssocElect &amp; Elect Ind,IEEE Control Syst Soc</t>
  </si>
  <si>
    <t>An explosives detection / identification system is presented to be used by a humanoid robot that must manipulate them, using a Leddar sensor and a SOM (Self-Organizing Map) network as data acquisition and processing tools, respectively. By creating a sensor / PC interface, a database with 16 distance measurements is created for each sample. These samples were of 2 kinds: explosives (object of detection, cylindrical) and a test object (rectangular). In total, the SOM network was trained with 100 vectors of 16 distances, achieving the separation of the 2 clusters, which is evidenced in the validation where 100% of the samples of the explosive pattern are grouped to the upper right side of the neurons output.</t>
  </si>
  <si>
    <t>978-1-7281-3185-6</t>
  </si>
  <si>
    <t>WOS:000542919100142</t>
  </si>
  <si>
    <t>Cartagena, J; Tambley, C; Sandino, AM; Spencer, E; Tello, M</t>
  </si>
  <si>
    <t>Cartagena, Julio; Tambley, Carolina; Sandino, Ana Maria; Spencer, Eugenio; Tello, Mario</t>
  </si>
  <si>
    <t>Detection of piscine orthoreovirus in farmed rainbow trout from Chile</t>
  </si>
  <si>
    <t>AQUACULTURE</t>
  </si>
  <si>
    <t>The Piscine orthoreovirus (PRV), a recent member of the Reoviridae family, is an emerging marine pathogen in Salmonids. Two different strains have been described, one of them PRV-Ss is associated with the highly prevalent disease in Atlantic salmon (Salmo salar) known as Heart and Skeletal Muscle Inflammation (HSMI), while the other, PRV-Om, is associated to HSMI-like disease originally described in farmed Rainbow trout from Norway. Genetically, PRV can be classified in the genotypes Ia, Ib and II, being the genotype Ia and lb associated to PRVSs and genotype II to PRV-Om. In Chile, PRV is considered as high-risk marine pathogen but its prevalence on Rainbow trout (wild or farmed) has not been deeply studied. In our lab, heart tissue samples from farmed Rainbow trout mortalities with undefined diagnosis were analyzed in search of viral pathogens. The presence of both PRV-Ss and PRV-Om and absent of other fish viruses was confirmed by RT-qPCR. PRV segment S1 sequences from PRV-Ss and PRV-Om from some representative positive samples were sequenced to determine the genotype and the phylogenetic relationship to PRV strains from different countries and salmonids. The sequences identified in this work are closely related to PRV strains grouped in sub-genotype Ia (Present in Norway - Canada), and the Genotype II. We identifying also one sequence not grouped in any previously described cluster, but close to PRV-Ss from genotype Ib suggesting the presence of a new branch in Genotype I. This analysis also shows that the PRV sequences identified in Rainbow trout are closed related to sequences previously reported in Coho salmon from in Chilean farming centers. Our results suggest that in Chile, Rainbow trout can be infected by different PRVs strains (PRV-Ss and PRV-Om) related mainly to the PRV strains present in Coho salmon. This study is at our knowledge the first description of PRV-Ss and PRV-Om sequences in farmed Rainbow trout from Chile.</t>
  </si>
  <si>
    <t>SANDINO, ANA MARIA/0000-0002-3862-3743; Tello, Mario/0000-0003-4573-6460</t>
  </si>
  <si>
    <t>0044-8486</t>
  </si>
  <si>
    <t>1873-5622</t>
  </si>
  <si>
    <t>10.1016/j.aquaculture.2018.04.044</t>
  </si>
  <si>
    <t>WOS:000432906800009</t>
  </si>
  <si>
    <t>Design, simulation, comparison and evaluation of parameter identification methods for an industrial robot</t>
  </si>
  <si>
    <t>COMPUTERS &amp; ELECTRICAL ENGINEERING</t>
  </si>
  <si>
    <t>This study discusses the design and assessment of different parameter identification methods applied to robot systems, such as least squares, extended Kalman filter, Adaptive Linear Neuron (Adaline) neural networks, Hopfield recurrent neural networks and genetic algorithms. First, the characteristics of the methods above mentioned are described. Second, using the software MatLab/Simulink, a simulation of a Selective Compliant Assembly Robot Arm (SCARA) robot with 3 Degrees of Freedom (DOF) is carried out by applying these parameter identification methods, thereby obtaining the performance indicators of the algorithms that allow for parameter identification. Therefore, this study enables the adequate selection of identification methods to obtain parameters that characterize the dynamics of industrial robots, particularly of the SCARA type. Hence, having the values of the base parameters of a robot contributes to the design of new control methods, since the robot characteristic dynamic model is known. (C) 2016 Elsevier Ltd. All rights reserved.</t>
  </si>
  <si>
    <t>0045-7906</t>
  </si>
  <si>
    <t>1879-0755</t>
  </si>
  <si>
    <t>10.1016/j.compeleceng.2016.09.004</t>
  </si>
  <si>
    <t>WOS:000441483000057</t>
  </si>
  <si>
    <t>Optimal propulsion of an undulating slender body with anisotropic friction</t>
  </si>
  <si>
    <t>SOFT MATTER</t>
  </si>
  <si>
    <t>This study investigates theoretically and numerically the propulsive sliding of a slender body. The body sustains a transverse and propagative wave along its main axis, and undergoes anisotropic friction caused by its surface texture sliding on the floor. A model accounting for the anisotropy of frictional forces acting on the body is implemented. This describes the propulsive force and gives the optimal undulating parameters for efficient forward propulsion. The optimal wave characteristics are effectively compared to the undulating motion of a slithering snakes, as well as with the motion of sandfish lizards swimming through the sand. Furthermore, numerical simulations have indicated the existence of certain specialized segments along the body that are highly efficient for propulsion, explaining why snakes lift parts of their body while slithering. Finally, the inefficiency of slithering as a form of locomotion to ascend a slope is discussed.</t>
  </si>
  <si>
    <t>1744-683X</t>
  </si>
  <si>
    <t>1744-6848</t>
  </si>
  <si>
    <t>JAN 28</t>
  </si>
  <si>
    <t>10.1039/c7sm01545c</t>
  </si>
  <si>
    <t>WOS:000423402100016</t>
  </si>
  <si>
    <t>Arratia, LRC</t>
  </si>
  <si>
    <t>Canete Arratia, Lucio Raul</t>
  </si>
  <si>
    <t>The enlightenment inception of possibilism in Latin America</t>
  </si>
  <si>
    <t>Geographical Possibilism or simply Possibilism, the thought which states that the development of the societies is not subordinated to the climatic or geomorphological conditions, but it is the technology that bends to the environmental adversities; seems to have its intellectual cradle in the Age of Enlightenment, long before the period when traditionally its birth is placed. In fact, this thought has been associated in opposition to Geographical Determinism, identifying its spatio-temporal origin in the France of the early twentieth century. However, the trust in scientific advancement and the acceptance that nature works according to laws, are pillars of the Enlightenment both supported by the proper rationality of the eighteenth century, would have been cemented in Europe an intellectual current that came to America older than it is accustomed to characterize. Thus, upon seeing a more extensive record of successes of Possibilism over a longer period, this thought becomes statistically more robust to face the current calamities that afflict Latin America.</t>
  </si>
  <si>
    <t>Arratia, Lucio/AAV-6112-2020</t>
  </si>
  <si>
    <t>WOS:000483366800003</t>
  </si>
  <si>
    <t>Japanese Foreign Security Policy: History and Theory FOREWORD</t>
  </si>
  <si>
    <t>WOS:000608876200001</t>
  </si>
  <si>
    <t>Japanese Foreign Security Policy: History and Theory INTRODUCTION</t>
  </si>
  <si>
    <t>WOS:000608876200002</t>
  </si>
  <si>
    <t>THE THEORETICAL DEBATE ON INTERNATIONAL RELATIONS</t>
  </si>
  <si>
    <t>WOS:000608876200005</t>
  </si>
  <si>
    <t>Jablonski, A; Labarca, R</t>
  </si>
  <si>
    <t>Jablonski, Andres; Labarca, Rafael</t>
  </si>
  <si>
    <t>ELEMENTARY PROOF OF THE CONTINUITY OF THE TOPOLOGICAL ENTROPY AT θ = (1001)under-bar IN THE MILNOR THURSTON WORLD</t>
  </si>
  <si>
    <t>REVISTA DE LA UNION MATEMATICA ARGENTINA</t>
  </si>
  <si>
    <t>In 1965, Adler, Konheim and McAndrew introduced the topological entropy of a given dynamical system, which consists of a real number that explains part of the complexity of the dynamics of the system. In this context, a good question could be if the topological entropy H-top (f) changes continuously with f. For continuous maps this problem was studied by Misisurewicz, Slenk and Urbanski. Recently, and related with the lexicographic and the Milnor-Thurston worlds, this problem was studied by Labarca and others. In this paper we will prove, by elementary methods, the continuity of the topological entropy in a maximal periodic orbit (theta = (1001) under bar) in the Milnor Thurston world. Moreover, by using dynamical methods, we obtain interesting relations and results concerning the largest eigenvalue of a sequence of square matrices whose lengths grow up to infinity.</t>
  </si>
  <si>
    <t>0041-6932</t>
  </si>
  <si>
    <t>WOS:000405226900011</t>
  </si>
  <si>
    <t>Llona, I; Farías, P; Troc-Gajardo, JL</t>
  </si>
  <si>
    <t>VonBernhardi, R; Eugenin, J; Muller, KJ</t>
  </si>
  <si>
    <t>Llona, Isabel; Farias, Paula; Troc-Gajardo, Jennifer L.</t>
  </si>
  <si>
    <t>Early Postnatal Development of Somastostatinergic Systems in Brainstem Respiratory Network</t>
  </si>
  <si>
    <t>PLASTIC BRAIN</t>
  </si>
  <si>
    <t>Advances in Experimental Medicine and Biology</t>
  </si>
  <si>
    <t>Somatostatin is a peptide able to stop breathing, acting in the neural network that generates and control the respiratory rhythm. In this chapter, we present data on the early postnatal development of somatostatinergic systems in the mouse brainstem and summarize evidence for their influence on the generation and control of the respiratory rhythm.</t>
  </si>
  <si>
    <t>Troc-Gajardo, Jennifer/0000-0001-5580-408X</t>
  </si>
  <si>
    <t>2214-8019</t>
  </si>
  <si>
    <t>978-3-319-62817-2; 978-3-319-62815-8</t>
  </si>
  <si>
    <t>10.1007/978-3-319-62817-2_8</t>
  </si>
  <si>
    <t>10.1007/978-3-319-62817-2</t>
  </si>
  <si>
    <t>WOS:000438289100008</t>
  </si>
  <si>
    <t>Contreras, ML; Villarroel, I; Rozas, R</t>
  </si>
  <si>
    <t>Leonor Contreras, M.; Villarroel, Ignacio; Rozas, Roberto</t>
  </si>
  <si>
    <t>Hydrogen physisorption energies for bumpy, saturated, nitrogen-doped single-walled carbon nanotubes</t>
  </si>
  <si>
    <t>Finite saturated regular carbon nanotubes (CNTs) are predicted to exhibit higher capacity as hydrogen storage media compared to unsaturated regular CNTs. In the present study, molecular hydrogen physisorption energies (MHPEs) for finite saturated and unsaturated bumpy defected CNTs were calculated by density functional theory (DFT-D3) methods at the B3LYP/6-31G(d) theory level, with rigorous inclusion of van der Waals interactions. The calculated MHPEs for both regular and bumpy defected armchair, chiral and zigzag CNTs with similar diameters and lengths, with and without nitrogen doping, were compared in terms of Eph/H-2, defined as the MHPE per hydrogen molecule adsorbed inside the nanotube. For all studied systems, Eph/H-2 increased with the number of physisorbed hydrogen molecules. Nitrogen doping of regular and bumpy CNTs resulted in an increase in the Eph/H-2 values, with the exception of bumpy chiral nanotubes. The results of this study demonstrate that bumpy defects are important nanotube structural features whose effects depend on nanotube chirality. For instance, bumpy defects were beneficial for undoped and doped zigzag nanotubes, resulting in a decrease in Eph/H-2 values for regular structures from 0.5 and 0.74 to 0.26 and 0.42 eV, respectively. By contrast, for doped armchair regular structures with an Eph/H-2 value of 0.38 eV, bumpy defects increased Eph/H-2 to 0.45 eV. These Eph/H-2 values for bumpy doped armchair and the zigzag nanotubes are all within the range of 0.1-0.5 eV/H-2 reported as ideal for reversible hydrogen storage under environmental conditions.</t>
  </si>
  <si>
    <t>10.1007/s11224-016-0767-0</t>
  </si>
  <si>
    <t>WOS:000382995000013</t>
  </si>
  <si>
    <t>Galotto, MJ; de Dicastillo, CL; Torres, A; Guarda, A</t>
  </si>
  <si>
    <t>BarrosVelazquez, J</t>
  </si>
  <si>
    <t>Galotto, M. J.; Lopez de Dicastillo, C.; Torres, A.; Guarda, A.</t>
  </si>
  <si>
    <t>Thymol: Use in Antimicrobial Packaging</t>
  </si>
  <si>
    <t>ANTIMICROBIAL FOOD PACKAGING</t>
  </si>
  <si>
    <t>Lopez-de-Dicastillo, Carol/0000-0003-0067-9765</t>
  </si>
  <si>
    <t>978-0-12-800810-2; 978-0-12-800723-5</t>
  </si>
  <si>
    <t>10.1016/B978-0-12-800723-5.00045-0</t>
  </si>
  <si>
    <t>WOS:000422877500046</t>
  </si>
  <si>
    <t>Verdejo, H; Becker, C; Echiburu, D; Escudero, W; Fucks, E</t>
  </si>
  <si>
    <t>Verdejo, Humberto; Becker, Cristhian; Echiburu, Diego; Escudero, William; Fucks, Emiliano</t>
  </si>
  <si>
    <t>Impact of daylight saving time on the Chilean residential consumption</t>
  </si>
  <si>
    <t>ENERGY POLICY</t>
  </si>
  <si>
    <t>Since 1970 Chile has had a Daylight Saving Time (DST) policy in order to reduce residential electricity consumption in the country. The time change was set for the first time by executive decree in 1970, and since that date it was applied every year without great changes until 2010. Since then, and to date, decrees have been set in order to increase the duration of the DST, arguing that there are reasons associated with energy savings that justify the extension of the measure that has been adopted by the authority in recent years. In the present study the impact of the application of DST in terms of decreased household electricity consumption is analyzed using two complementary methods, one based on a heuristic approach and the other using an econometric model. The results indicate that there is indeed a marginally small reduction in residential electricity consumption, although these results are not homogeneous throughout the country. (C) 2015 Elsevier Ltd. All rights reserved.</t>
  </si>
  <si>
    <t>Fucks Jara, Emiliano/0000-0001-9348-5307</t>
  </si>
  <si>
    <t>0301-4215</t>
  </si>
  <si>
    <t>1873-6777</t>
  </si>
  <si>
    <t>10.1016/j.enpol.2015.10.051</t>
  </si>
  <si>
    <t>WOS:000366766700044</t>
  </si>
  <si>
    <t>Contreras-Bolton, C; Parada, V</t>
  </si>
  <si>
    <t>Contreras-Bolton, Carlos; Parada, Victor</t>
  </si>
  <si>
    <t>Automatic Combination of Operators in a Genetic Algorithm to Solve the Traveling Salesman Problem</t>
  </si>
  <si>
    <t>Genetic algorithms are powerful search methods inspired by Darwinian evolution. To date, they have been applied to the solution of many optimization problems because of the easy use of their properties and their robustness in finding good solutions to difficult problems. The good operation of genetic algorithms is due in part to its two main variation operators, namely, crossover and mutation operators. Typically, in the literature, we find the use of a single crossover and mutation operator. However, there are studies that have shown that using multi-operators produces synergy and that the operators are mutually complementary. Using multi-operators is not a simple task because which operators to use and how to combine them must be determined, which in itself is an optimization problem. In this paper, it is proposed that the task of exploring the different combinations of the crossover and mutation operators can be carried out by evolutionary computing. The crossover and mutation operators used are those typically used for solving the traveling salesman problem. The process of searching for good combinations was effective, yielding appropriate and synergic combinations of the crossover and mutation operators. The numerical results show that the use of the combination of operators obtained by evolutionary computing is better than the use of a single operator and the use of multi-operators combined in the standard way. The results were also better than those of the last operators reported in the literature.</t>
  </si>
  <si>
    <t>Parada, Victor/M-5840-2014; Contreras-Bolton, Carlos/D-9624-2016</t>
  </si>
  <si>
    <t>Contreras-Bolton, Carlos/0000-0001-9549-4143</t>
  </si>
  <si>
    <t>SEP 14</t>
  </si>
  <si>
    <t>e0137724</t>
  </si>
  <si>
    <t>10.1371/journal.pone.0137724</t>
  </si>
  <si>
    <t>WOS:000361601100122</t>
  </si>
  <si>
    <t>Mellado, C</t>
  </si>
  <si>
    <t>Mellado, Claudia</t>
  </si>
  <si>
    <t>Professional Roles in News Content Six dimensions of journalistic role performance</t>
  </si>
  <si>
    <t>JOURNALISM STUDIES</t>
  </si>
  <si>
    <t>Over the past 50 years, a large body of research on professional roles has analyzed the different functions that journalism should fulfill in society. However, an examination of how these professional roles materialize in journalistic output remains mostly absent. This is especially critical because most studies of journalists' attitudes are justified by assuming that they influence news content. By combining the study of news content with research on professional roles, this study proposes a standardized operationalization of how different professional roles can manifest in journalistic performance. Specifically, this paper connects the characteristics of professional roles that have been studied in comparative contexts with different journalistic discourses and reporting styles in news, considering the relationship between journalism and power, the level of presence of the journalistic voice in a story, and the way journalism approaches the audience.</t>
  </si>
  <si>
    <t>Mellado, Claudia/0000-0002-9281-1526</t>
  </si>
  <si>
    <t>1461-670X</t>
  </si>
  <si>
    <t>1469-9699</t>
  </si>
  <si>
    <t>JUL 4</t>
  </si>
  <si>
    <t>10.1080/1461670X.2014.922276</t>
  </si>
  <si>
    <t>WOS:000357321700009</t>
  </si>
  <si>
    <t>Torres, A; Ramirez, C; Romero, J; Guerrero, G; Valenzuela, X; Guarda, A; Galotto, MJ</t>
  </si>
  <si>
    <t>Torres, A.; Ramirez, C.; Romero, J.; Guerrero, G.; Valenzuela, X.; Guarda, A.; Galotto, M. J.</t>
  </si>
  <si>
    <t>Experimental and theoretical study of bisphenol A migration from polycarbonate into regulated EU food simulant</t>
  </si>
  <si>
    <t>EUROPEAN FOOD RESEARCH AND TECHNOLOGY</t>
  </si>
  <si>
    <t>The specific migration of [2,2-bis(4 hydroxyphenyl) propane] from polycarbonate films into ethanol 50 % food simulant was studied. A phenomenological model based on a resistances-in-series system was resolved through the regula falsi algorithm. The diffusion-convection model was not able to describe the BPA concentration change as a function of time after 40 h, since an equilibrium condition with a plateau is not achieved. BPA generation due to PC hydrolysis produces an increase in BPA concentration. The continuous generation of BPA can be described by a generation-diffusion-convection model, where BPA generation obeys to a pseudo-zero-order reaction.</t>
  </si>
  <si>
    <t>1438-2377</t>
  </si>
  <si>
    <t>1438-2385</t>
  </si>
  <si>
    <t>10.1007/s00217-014-2333-6</t>
  </si>
  <si>
    <t>WOS:000347824600009</t>
  </si>
  <si>
    <t>Parcerisa, A; Fandos, M</t>
  </si>
  <si>
    <t>Contreras, Saul</t>
  </si>
  <si>
    <t>Flexible training models: a response to the current needs. Analysis of the teaching practices of chemistry: generating an innovative component in the initial teaching training from the school</t>
  </si>
  <si>
    <t>INTERNATIONAL CONFERENCE ON UNIVERSITY TEACHING AND INNOVATION (CIDUI)</t>
  </si>
  <si>
    <t>Procedia Social and Behavioral Sciences</t>
  </si>
  <si>
    <t>International Conference on University Teaching and Innovation (CIDUI)</t>
  </si>
  <si>
    <t>JUL 02-04, 2014</t>
  </si>
  <si>
    <t>Tarragona, SPAIN</t>
  </si>
  <si>
    <t>We analyzed part of the pedagogical content knowledge (PCK) and its development in teachers and trainees of chemistry, and how the analysis of real teaching situations allows to innovate in the initial training teacher process. In order to gather data, in relation with the FONDECYT project (11130150), with a varied set of qualitative instruments we managed to create new instances of initial teaching training and collaboration with the school, achieving relevant changes in the way new teachers think and their knowledge in relation to the subject of teaching chemical dissolutions. (C) 2015 Published by Elsevier Ltd.</t>
  </si>
  <si>
    <t>1877-0428</t>
  </si>
  <si>
    <t>10.1016/j.sbspro.2015.07.006</t>
  </si>
  <si>
    <t>WOS:000380617900006</t>
  </si>
  <si>
    <t>Pugin, B; Cornejo, FA; Muñoz-Díaz, P; Muñoz-Villagrán, CM; Vargas-Pérez, JI; Arenas, FA; Vásquez, CC</t>
  </si>
  <si>
    <t>Pugin, Benoit; Cornejo, Fabian A.; Munoz-Diaz, Pablo; Munoz-Villagran, Claudia M.; Vargas-Perez, Joaquin I.; Arenas, Felipe A.; Vasquez, Claudio C.</t>
  </si>
  <si>
    <t>Glutathione Reductase-Mediated Synthesis of Tellurium-Containing Nanostructures Exhibiting Antibacterial Properties</t>
  </si>
  <si>
    <t>APPLIED AND ENVIRONMENTAL MICROBIOLOGY</t>
  </si>
  <si>
    <t>Tellurium, a metalloid belonging to group 16 of the periodic table, displays very interesting physical and chemical properties and lately has attracted significant attention for its use in nanotechnology. In this context, the use of microorganisms for synthesizing nanostructures emerges as an eco-friendly and exciting approach compared to their chemical synthesis. To generate Te-containing nanostructures, bacteria enzymatically reduce tellurite to elemental tellurium. In this work, using a classic biochemical approach, we looked for a novel tellurite reductase from the Antarctic bacterium Pseudomonas sp. strain BNF22 and used it to generate tellurium-containing nanostructures. A new tellurite reductase was identified as glutathione reductase, which was subsequently overproduced in Escherichia coli. The characterization of this enzyme showed that it is an NADPH-dependent tellurite reductase, with optimum reducing activity at 30 degrees C and pH 9.0. Finally, the enzyme was able to generate Te-containing nanostructures, about 68 nm in size, which exhibit interesting antibacterial properties against E. coli, with no apparent cytotoxicity against eukaryotic cells.</t>
  </si>
  <si>
    <t>Pugin, Benoit/X-2984-2018</t>
  </si>
  <si>
    <t>Pugin, Benoit/0000-0001-7132-9477; Cornejo, Fabian/0000-0002-6633-392X</t>
  </si>
  <si>
    <t>0099-2240</t>
  </si>
  <si>
    <t>1098-5336</t>
  </si>
  <si>
    <t>10.1128/AEM.02207-14</t>
  </si>
  <si>
    <t>WOS:000344161700023</t>
  </si>
  <si>
    <t>Canto VII of Altazor: critical readings through sound1</t>
  </si>
  <si>
    <t>CONFLUENCIA-REVISTA HISPANICA DE CULTURA Y LITERATURA</t>
  </si>
  <si>
    <t>0888-6091</t>
  </si>
  <si>
    <t>2328-6962</t>
  </si>
  <si>
    <t>WOS:000335081800008</t>
  </si>
  <si>
    <t>Arce, R; Aguirre, MJ; Romero, J</t>
  </si>
  <si>
    <t>Aguilar, ZP; Hesketh, PJ; Carter, MT; Li, J; Kreller, CR; Hunter, G; Sekhar, PK; Nagahara, L; Simonian, A; Vanysek, P; Wu, N; Chin, B; Mitra, S; StefanVanStaden, R; Khosla, A</t>
  </si>
  <si>
    <t>Arce, R.; Aguirre, M. J.; Romero, J.</t>
  </si>
  <si>
    <t>Sensor for Quantitative Analytical Determination of Sulphite in Wine Using a System of Modified Electrode and a Membrane Absorption System</t>
  </si>
  <si>
    <t>CHEMICAL AND BIOLOGICAL SENSORS 11 -AND- MEMS-NEMS 11</t>
  </si>
  <si>
    <t>ECS Transactions</t>
  </si>
  <si>
    <t>Symposia on Chemical Sensors 11 - Chemical and Biological Sensors and Analytical Systems and Microfabricated and Nanofabricated Systems for MEMS/NEMS 11, held during the 226th Meeting of the Electrochemical-Society</t>
  </si>
  <si>
    <t>OCT 05-09, 2014</t>
  </si>
  <si>
    <t>Cancun, MEXICO</t>
  </si>
  <si>
    <t>Electrochem Soc,Electrochem Soc, Sensor Div,Electrochem Soc, Phys &amp; Analyt Electrochemistry Div</t>
  </si>
  <si>
    <t>In this work we present the comparison among three glassy carbon electrodes modified by Co-porphyrin (CoTAPP), ortho-phenylendiamine (OPD), or both, simultaneously. This comparison shows the differences among their electrochemical behavior and their electrocatalytic behavior toward the oxidation of sulfite. In the case of the glassy carbon modified electrodes, the presence of the copolymer enhances the electrocatalytic performance of the modified electrodes in spite of the non-catalytic response (compared to the bare glassy carbon) of both homopolymers-modified electrodes toward the oxidation of sulfite. Also, the oxidation of sulfite extracted from red wine is showed. The copolymer-modified electrode is capable of oxidizing the extracted free sulfite in a 0.02 M NaOH solution. Through the addition of standards method, a concentration of 44 ppm for free sulfite is found in a Chilean red wine.</t>
  </si>
  <si>
    <t>Aguirre, Maria/A-3935-2013; Romero, Julio/I-6705-2013; Arce, Roxana/V-8140-2019</t>
  </si>
  <si>
    <t>, Roxana/0000-0002-7529-8011; Romero, Julio/0000-0002-1229-1592; ARCE, ROXANA/0000-0002-1387-9232; Aguirre, Maria/0000-0003-1134-4469</t>
  </si>
  <si>
    <t>1938-5862</t>
  </si>
  <si>
    <t>1938-6737</t>
  </si>
  <si>
    <t>978-1-60768-537-1</t>
  </si>
  <si>
    <t>10.1149/06401.0037ecst</t>
  </si>
  <si>
    <t>WOS:000356682400006</t>
  </si>
  <si>
    <t>Benavides, O; Alburquerque, D; Chaná-Cuevas, P</t>
  </si>
  <si>
    <t>Benavides, Olga; Alburquerque, Daniela; Chana-Cuevas, Pedro</t>
  </si>
  <si>
    <t>Burden among caregivers of patients with Parkinson disease</t>
  </si>
  <si>
    <t>Background: Parkinson disease (EPI) patients often require being assisted by others. These caregivers are exposed to a decrease in their quality of life. Aim: To explore Parkinson disease patient features associated with a greater burden among their caregivers. Material and Methods: Fifty one patients with Parkinson disease (aged 67 12 years, 29 men, with 8 5 years of disease) and their caregivers, were studied. Patients were assessed with the Unified Parkinson Disease Rating Scale III, the Hoehn &amp; Yahr stage standardization, Parkinson's minimental test, the neuropsychiatric inventory and the Beck Depression Inventory (IDB). The Zarit Burden Interview (ESZ) was applied to caregivers. Results: According to IDB, 45% of patients whose caregivers presented little or no burden had a depression, compared to 78% of those whose caregivers had moderate or intense burden. (p &lt;0.01). The ESZ score of caregivers correlated significantly with Parkinson patients' age, IDB and axial involvement in the UPDRS-III (correlation coefficients of 0.4 p &lt;0.01, 0.6 p &lt;0.01 and 0.46 p &lt; 0.01, respectively). Conclusions: Motor alterations, cognitive impairment and most importantly depression of patients with Parkinson disease are deteminants of burden for their caregivers.</t>
  </si>
  <si>
    <t>Chana-Cuevas, Pedro/AAM-8215-2020</t>
  </si>
  <si>
    <t>10.4067/S0034-98872013000300006</t>
  </si>
  <si>
    <t>WOS:000318826600006</t>
  </si>
  <si>
    <t>Estay, H; Ortiz, M; Romero, J</t>
  </si>
  <si>
    <t>Estay, Humberto; Ortiz, Miguel; Romero, Julio</t>
  </si>
  <si>
    <t>A novel process based on gas filled membrane absorption to recover cyanide in gold mining</t>
  </si>
  <si>
    <t>HYDROMETALLURGY</t>
  </si>
  <si>
    <t>In the last ten years, the operational costs in the gold and silver cyanidation processes have increased, fundamentally, due to the treatment of ores which contains high cyanide soluble metals, such as zinc, copper, and nickel, among others, increasing the cyanide consumption along with the increase in cyanide price. Additionally, the high cyanide consumptions in gold operations have increased the cyanide contents in leach tailings, forcing the inclusion of processes to recover or eliminate cyanide. For these reasons, a membrane contactor operation to recover cyanide from gold mining, using gas filled membrane absorption is proposed in this study, performing laboratory tests in order to determine the throughput of this process and the most relevant parameters, which affect the cyanide recovery. Gas Filled Membrane Absorption (GFMA) process can extract cyanide, using an absorption solution of NaOH. In this process, previously reported for wastewater treatment, a hydrophobic membrane with its pores filled with air separates an aqueous stream containing cyanide and receives a solution with a high pH value. These aqueous solutions cannot penetrate into the membrane pores, promoting the cyanide transfer from the cyanidation solution to the receiving solution. The experimental results show cyanide recoveries higher than 90% in extraction times of approximately 10 min, achieving an average cyanide transfer rate of 0.01 kg m(-2) h(-1) and identifying the pH, feed flow rate and copper concentration as the most influential parameters on the performance of the process. Furthermore, a phenomenological transport model was developed in order to explain the critical steps of the cyanide transfer in the GFMA process. This model was validated by means of the comparison with the experimental results of cyanide extraction with the presence of Cu(I) and Zn(II) ions, obtaining a statistical error lower than 10%. Thus, the gas filled membrane absorption process can recover cyanide, with similar performance to the current cyanide recovery processes, and could involve a smaller size of the equipment due to the high transfer surface area per volume that membrane contactors have. (C) 2013 Elsevier B.V. All rights reserved.</t>
  </si>
  <si>
    <t>Romero, Julio/I-6705-2013; Estay, Humberto/I-3499-2017</t>
  </si>
  <si>
    <t>Estay, Humberto/0000-0001-8518-7131; Romero, Julio/0000-0002-1229-1592</t>
  </si>
  <si>
    <t>0304-386X</t>
  </si>
  <si>
    <t>1879-1158</t>
  </si>
  <si>
    <t>10.1016/j.hydromet.2013.02.012</t>
  </si>
  <si>
    <t>WOS:000318326900023</t>
  </si>
  <si>
    <t>Letelier, MF; Zapata, FN; Siginer, DA; Stockle, J</t>
  </si>
  <si>
    <t>Letelier, Mario F.; Zapata, Fernando N.; Siginer, Dennis A.; Stockle, Juan</t>
  </si>
  <si>
    <t>ANALYSIS OF SECONDARY FLOWS AND HEAT TRANSFER IN VISCOELASTIC FLOW WITH VISCOUS DISSIPATION IN NON-CIRCULAR TUBES</t>
  </si>
  <si>
    <t>PROCEEDINGS OF THE ASME INTERNATIONAL MECHANICAL ENGINEERING CONGRESS AND EXPOSITION - 2012, VOL 7, PTS A-D</t>
  </si>
  <si>
    <t>ASME International Mechanical Engineering Congress and Exposition</t>
  </si>
  <si>
    <t>NOV 09-15, 2012</t>
  </si>
  <si>
    <t>Houston, TX</t>
  </si>
  <si>
    <t>The steady laminar non-isothermal flow of a non-linear viscoelastic fluid in tubes or arbitrary contour is analyzed under constant wall heat flux. Viscous dissipation is taken into account. Non-linear viscoelastic behavior is modeled by means of the Phan-Thien-Tanner model. The equations of motion and energy are solved analytically through a perturbation approach coupled with a one-to-one mapping of the boundary to map the circular shape into various axially symmetric cross-sectional shapes with the Weissenberg number as the perturbation parameter Longitudinal and transversal velocity components are determined for several cross-sectional shapes, for which the temperature field and the Nusselt number variation with the Prandtl, Brinkman and Reynolds numbers are computed.</t>
  </si>
  <si>
    <t>978-0-7918-4523-3</t>
  </si>
  <si>
    <t>WOS:000350071100116</t>
  </si>
  <si>
    <t>Bubnovich, VI; Maiza, MF; Henríquez-Vargas, LA</t>
  </si>
  <si>
    <t>Bubnovich, V. I.; Maiza, M. F.; Henriquez-Vargas, L. A.</t>
  </si>
  <si>
    <t>Analysis of thermal energy conversion into electric power inside a porous media burner</t>
  </si>
  <si>
    <t>THEORETICAL FOUNDATIONS OF CHEMICAL ENGINEERING</t>
  </si>
  <si>
    <t>A system for converting combustion heat into electric power is proposed on the basis of gas combustion in a thermoelectric porous element. A lean gas mixture is introduced into the porous medium, where the gas flow rate is changed at a regular interval of time and, as a result, the combustion front is confined within a specific region of the porous medium. A non-steady state temperature distribution was established along the flow direction, resulting in a steep and stable temperature gradient in the thermoelectric porous element. Numerical simulation showed that the total thermal efficiency increases when a leaner mixture is fed to the combustor, besides when the combustion wave propagation velocity increases the global thermal efficiency grows reaching values almost equal to the conversion efficiency of the thermoelectric element itself. Consequently, using the proposed system, the chemical energy can be effectively converted into electric power.</t>
  </si>
  <si>
    <t>0040-5795</t>
  </si>
  <si>
    <t>1608-3431</t>
  </si>
  <si>
    <t>10.1134/S0040579512060061</t>
  </si>
  <si>
    <t>WOS:000312144800014</t>
  </si>
  <si>
    <t>Espinoza, J; Urzúa, A; Echeverría, J</t>
  </si>
  <si>
    <t>Espinoza, Javier; Urzua, Alejandro; Echeverria, Javier</t>
  </si>
  <si>
    <t>Identification of the components of a non polar extract of the aerial parts of Dunalia spinosa by GC-MS</t>
  </si>
  <si>
    <t>This communication reports the chemical composition of the light petroleum ether extract from the leaves and stems of Dunalia spinosa. The aerial part of D. spinosa was extracted using light petroleum ether, which on evaporation yielded a residue. This residue was subsequently fractioned using CC chromatography on silica gel with petroleum ether, petroleum ether-CH2Cl2 gradient, CH2Cl2 and CH2Cl2-MeOH gradient. The fractions were analyzed using GC and GC-MS. A total of 34 compounds were identified accounting for 56.59% of the extracted mass. The unidentified compounds were isomers of branched chain alkanes and alkenes for which there were no documented compounds matching their calculated RI's. The following compounds were identified: n-Alkanes (65.88%) from C-14 to C-21 as the primary components. 1-Alkenes (1.15%): 1-tetradecene, 1-pentadecene, 1-hexadecene, 1-nonadecene. Aldehydes (1.29%): hexanal, nonanal and decanal. Monoterpenes (5.9%) sabinene, beta-pinene, p-cymene, limonene, 1,8-cineol and 1.8-trans-sabinene. Sesquiterpenes (0.17%), caryophyllene oxide. Diterpenes (1.64%): Phytol. In addition, various compounds of note were identified, specifically pythone (4.98%), 7-oxabicyclo [4.1.0] heptane (5.85%) and methyl hexadecanoate (5.57%). This methodology is appropriate for the identification of complex compound mixtures in discarded fractions as in many phytochemical studies, these fractions provide a more complete profile of secondary metabolites in the studied species.</t>
  </si>
  <si>
    <t>Espinoza, Javier/L-1183-2019; Echeverría, Javier/AAK-3323-2020</t>
  </si>
  <si>
    <t>Echeverria, Javier/0000-0002-1688-968X; Espinoza Maldonado, Javier/0000-0003-0153-8534; Urzua, Alejandro/0000-0003-2638-0921</t>
  </si>
  <si>
    <t>WOS:000304712100011</t>
  </si>
  <si>
    <t>Guzmán, AM; Quezada, MG; Sanhueza, LE; Díaz, AJ</t>
  </si>
  <si>
    <t>Guzman, Amador M.; Gabriela Quezada, Maria; Sanhueza, Luis E.; Diaz, Andres J.</t>
  </si>
  <si>
    <t>Determining Flow Mixing Characteristics in Low Reynolds Numbers Micro Wavy Channels by the Lattice-Boltzmann Method</t>
  </si>
  <si>
    <t>PROCEEDINGS OF THE ASME INTERNATIONAL MECHANICAL ENGINEERING CONGRESS AND EXPOSITION (IMECE 2010), VOL 10</t>
  </si>
  <si>
    <t>The Eulerian and Lagrangian flow mixing characteristics in a two-dimensional (2D) micro wavy channels for low Reynolds number have been investigated using the Lattice-Boltzmann method (LBM) for solving the governing Boltzmann Transport Equation (BTE). Numerical simulations of a Newtonian compressible flow for Reynolds number flow regimes lower than Re=0.505 are performed using a computational model of a symmetric wavy channel with many cavities and a geometrical aspect ratio of r=a/(2L)=0.375, where a is the amplitude of the sinusoidal wall, and L is the cavity periodic length. The Eulerian flow characteristics are determined for different Knudsen numbers with the objective of characterizing time dependent velocity and flow patterns. Then, the Lagrangian characteristics are obtained by integrating the Eulerian velocity field. Thousands of massless fluid particles are used for determining fluid particle Lagrangian trajectories, stretching fields and Lagrangian Lyapunov exponents associated to possible evidences of flow mixing enhancement in different regions of the micro channel. The numerical results demonstrate that low Reynolds number compressible flows in micro wavy channels develop Lagrangian characteristics and stretching field that can lead later to flow mixing enhancement characteristics in an electroosmotic flow in microchannels with wavy, grooved and/or any other surface pattering on the channels walls.</t>
  </si>
  <si>
    <t>978-0-7918-4447-2</t>
  </si>
  <si>
    <t>WOS:000320481100115</t>
  </si>
  <si>
    <t>Mascayano, C; Rezende, MC; Rivera, Y; Espinosa, V</t>
  </si>
  <si>
    <t>Mascayano, Carolina; Caroli Rezende, Marcos; Rivera, Yenifer; Espinosa, Victoria</t>
  </si>
  <si>
    <t>ISOFLAVANS DERIVATIVES AS INHIBITORS OF SOYBEAN LIPOXYGENASE: IN-VITRO AND DOCKING STUDIES</t>
  </si>
  <si>
    <t>The lipoxygenases (LOX) are a family of non-heme iron-containing dioxygenases which catalyze the stereospecific insertion of molecular oxygen lino arachidonic acid, leading to hydroxy derivatives as end products. In this work, we studied the behavior of seven isoflavans on 15-soybean lipoxygenases (15-sLOX), comparing them with the known inhibitors quercetin and 3,4-dihydroxybenzoic acid. Four of the seven investigated isoflavans showed IC50 values smaller than 50 mu M, being more potent than quercetin or 3, 4-dihydroxybenzoic acid. Besides a catecholic pattern, the presence of an aromatic ring B seems to confer additional activity to these compounds, a result which was rationalized by docking studies of these isoflavanss into the enzyme binding site.</t>
  </si>
  <si>
    <t>Espinosa, Victoria/0000-0003-3280-6394; Rezende, Marcos/0000-0003-2040-9009; Mascayano Collado, Carolina Lorena/0000-0002-3488-9309</t>
  </si>
  <si>
    <t>10.4067/S0717-97072011000400024</t>
  </si>
  <si>
    <t>WOS:000299756900024</t>
  </si>
  <si>
    <t>Domínguez, M; Rezende, MC</t>
  </si>
  <si>
    <t>Dominguez, Moises; Caroli Rezende, Marcos</t>
  </si>
  <si>
    <t>Towards a unified view of the solvatochromism of phenolate betaine dyes</t>
  </si>
  <si>
    <t>JOURNAL OF PHYSICAL ORGANIC CHEMISTRY</t>
  </si>
  <si>
    <t>An attempt has been made in order to unify the three types of solvatoch rom isms (negative, positive and inverted) of phenolate betaine dyes by a working model which describes them as particular cases of a general behavior. The model, based on the calculation (gas phase) of the chemical hardness of donor and acceptor fragments, was applied to 56 examples from the literature. As a result, the investigated compounds were grouped according to the sum of the hardnesses of their (non-interacting) fragments, this sum being larger for a negative, intermediate for an inverted, and smaller for a positive solvatochromic behavior. Copyright (C) 2009 John Wiley &amp; Sons, Ltd.</t>
  </si>
  <si>
    <t>Caroli, Marcos/H-3570-2019; Domínguez, Moisés/M-3457-2014</t>
  </si>
  <si>
    <t>Dominguez, Moises/0000-0002-8444-3065; Rezende, Marcos/0000-0003-2040-9009</t>
  </si>
  <si>
    <t>0894-3230</t>
  </si>
  <si>
    <t>1099-1395</t>
  </si>
  <si>
    <t>10.1002/poc.1599</t>
  </si>
  <si>
    <t>WOS:000274353400009</t>
  </si>
  <si>
    <t>Santinelli, R; Seco, M; Nandakumar, R</t>
  </si>
  <si>
    <t>Gruntorad, J; Lokajicek, M</t>
  </si>
  <si>
    <t>Santinelli, R.; Seco, M.; Nandakumar, R.</t>
  </si>
  <si>
    <t>LHCb DIRAC Team</t>
  </si>
  <si>
    <t>Monitoring the DIRAC Distributed System</t>
  </si>
  <si>
    <t>17TH INTERNATIONAL CONFERENCE ON COMPUTING IN HIGH ENERGY AND NUCLEAR PHYSICS (CHEP09)</t>
  </si>
  <si>
    <t>17th International Conference on Computing in High Energy and Nuclear Physics (CHEP)</t>
  </si>
  <si>
    <t>MAR 21-27, 2009</t>
  </si>
  <si>
    <t>DIRAC, the LHCb community Grid solution, is intended to reliably run large data mining activities. The DIRAC system consists of various services (which wait to be contacted to perform actions) and agents (which carry out periodic activities) to direct jobs as required. An important part of ensuring the reliability of the infrastructure is the monitoring and logging of these DIRAC distributed systems. The monitoring is done collecting information from two sources - one is from pinging the services or by keeping track of the regular heartbeats of the agents, and the other from the analysis of the error messages generated both by agents and services and collected by a logging system. This allows us to ensure that the components are running properly and to collect useful information regarding their operations. The process status monitoring is displayed using the SLS sensor mechanism that also automatically allows to plot various quantities and keep a history of the system. A dedicated GridMap interface (ServiceMap) allows production shifters and experts to have an immediate, high-impact view of all LHCb critical services status while offering the possibility to refer to details of the SLS and SAM sensors. Error types and statistics provided by the logging service can be accessed via dedicated web interfaces on the DIRAC portal or programmatically via the python based API and CLI.</t>
  </si>
  <si>
    <t>Seco, Marcos/A-3886-2015</t>
  </si>
  <si>
    <t>Seco, Marcos/0000-0003-0354-8699</t>
  </si>
  <si>
    <t>10.1088/1742-6596/219/6/062061</t>
  </si>
  <si>
    <t>WOS:000295102000260</t>
  </si>
  <si>
    <t>Torres, D; Quezada, L; Soto, I; Lopez, M</t>
  </si>
  <si>
    <t>Torres, D.; Quezada, L.; Soto, I.; Lopez, M.</t>
  </si>
  <si>
    <t>A NEW ALGORITHM FOR EVALUATION OF THE BALANCED SCORECARD THROUGH AN AHP A Case Study for Electronic Commerce B2C</t>
  </si>
  <si>
    <t>The development of research based on the implementation of the Balanced Scorecard (BSC) and management control in a company has become an important venue in search of better control founded on the vision and mission of the company. The breakthrough of the BSC is an increase in the quality and reliability in implementing the Strategic Objectives, which are made pursuant to each of the perspectives that manages the BSC, and from management point of view and increases security ease in the responses to the changes occurring in the sector in which the company operates. However, it has been found in the literature for concluding a job which is the best alternative for the construction of the BSC for Electronic Commerce and less an investigation to assess the BSC in this type of commerce. In this paper an algorithm is constructed for the purpose of evaluating the indicators that are implemented in a BSC, in order that the organization is clear which should focus on for better control. Given this algorithm is applied to a generic BSC for Electronic Commerce by way of illustrating the implementation of the methodology proposed in this paper.</t>
  </si>
  <si>
    <t>Quezada, Luis/W-8168-2019; Soto, Ignacio/HNR-3681-2023</t>
  </si>
  <si>
    <t>Quezada, Luis/0000-0003-1364-9266; Lopez, Mario/0000-0003-0909-7702</t>
  </si>
  <si>
    <t>WOS:000393365300035</t>
  </si>
  <si>
    <t>Fritz, KD</t>
  </si>
  <si>
    <t>Donoso Fritz, Karen</t>
  </si>
  <si>
    <t>For the Sake of Art and Life the People: Debates about Folklore in Chile, 1973-1990</t>
  </si>
  <si>
    <t>During the 20th century folklore research followed two broad lines of interpretation. One of them considers folklore as a national patrimony. The other line considers folklore as a form of expression of popular culture. This article deals with the debate arising among the followers of these two lines. In the period comprised between the years 1973-1989 the nationalist outlook was imposed in Chile as part of the cultural policies of the military government. It was then that the battle of folklore was fought by those for whom this concept was linked with the study and diffusion of folklare as the popular form of relationship between art and life.</t>
  </si>
  <si>
    <t>WOS:000272732700004</t>
  </si>
  <si>
    <t>Guzman, AM; Donoso, FA; Ortega, A</t>
  </si>
  <si>
    <t>Guzman, Amador M.; Donoso, Fernando A.; Ortega, Alfonso</t>
  </si>
  <si>
    <t>TRANSITION SCENARIOS DUE TO FLOW BIFURCATIONS IN ASYMMETRIC WAVY CHANNEL FLOWS WITH DIFFERENT SPATIAL PERIODICITY ON THE SINUSOIDAL WALLS</t>
  </si>
  <si>
    <t>IMECE 2008: HEAT TRANSFER, FLUID FLOWS, AND THERMAL SYSTEMS, VOL 10, PTS A-C</t>
  </si>
  <si>
    <t>OCT 31-NOV 06, 2008</t>
  </si>
  <si>
    <t>Boston, MA</t>
  </si>
  <si>
    <t>Numerical investigations of transition scenarios due to flow bifurcations from laminar to time-dependent transitional flows in asymmetric wavy channels with different spatial periodicity on the sinusoidal wall are performed by direct numerical simulations of the mass and momentum conservation equations using a spectral element method computational program. Three aspect ratios r=a/(2L) are considered in this study: 0.125, 0.25, y 0.375. Computational meshes for both extended and periodic computational domains are used to determine first, the existence of spatial periodicity and second, the transitional flow behavior for increasing Reynolds numbers Numerical results shows that the transition scenarios are highly dependent on the aspect ratio, r. The following scenarios develop: a) a first transition scenario with one flow bifurcation to a relatively low Reynolds numbers, Re-c; b) a second scenario, with also one flow bifurcation, to a relatively high Reynolds numbers, Re-c*; and, c) a third flow transition scenario with two Hopf bifurcations 131 and 132, occurring at critical Reynolds numbers Re-c1 y Re-c2, respectively. In this third scenario, fundamental frequencies omega(1), and omega(2), and sub and super harmonic combinations of the fundamental frequencies develop as the Reynolds number increases from a laminar to higher transitional flow regime. This transition scenario from a laminar flow to high transitional flow regimes is very similar to the Ruelle-Takens-Newhouse (RTN) found in another confined flow channels such as symmetric wavy, grooved and communicating channels.</t>
  </si>
  <si>
    <t>978-0-7918-4871-5</t>
  </si>
  <si>
    <t>WOS:000265085300034</t>
  </si>
  <si>
    <t>Moraga, NO; Silva, LA; Ortega, A</t>
  </si>
  <si>
    <t>Moraga, Nelson O.; Silva, Luis A.; Ortega, Alfonso</t>
  </si>
  <si>
    <t>UNSTEADY NATURAL CONVECTION HEATING OF A CANNED NON-NEWTONIAN LIQUID FOOD</t>
  </si>
  <si>
    <t>HT2009: PROCEEDINGS OF THE ASME SUMMER HEAT TRANSFER CONFERENCE 2009, VOL 2</t>
  </si>
  <si>
    <t>ASME Heat Transfer Summer Conference</t>
  </si>
  <si>
    <t>San Francisco, CA</t>
  </si>
  <si>
    <t>ASME, Heat Transfer Div</t>
  </si>
  <si>
    <t>This paper is concerned with the modeling of complex thermal-fluid phenomena that arises during the process of sterilization of canned food. In the sterilization process, food contained with a typical cylindrical can is subjected to a sudden change in temperature as the can is immersed in a steam bath at saturation temperatures of the order of 120 degrees C. Because of this transient heating event, complex transient buoyant motion is initiated in the can and therefore the heating of the food is as a result of diffusion and buoyant or natural convection processes. A Finite Volume method was used to investigate the unsteady two dimensional (axisymmetric) natural convection of a non-Newtonian liquid food during sterilization. The non-Newtonian liquid food was modeled using carboxy-methyl cellulose. Because its apparent viscosity depends on both temperature and non-linear velocity gradients, the resulting mathematical formulation is highly non-linear, thereby requiring a highly coupled implementation of the Finite Volume Method. Transient two dimensional velocity and temperature fields were obtained for different heating conditions and can aspect ratios. It was found that lower can aspect ratios and lower index n generally lead to shorter sterilization times.</t>
  </si>
  <si>
    <t>978-0-7918-4357-4</t>
  </si>
  <si>
    <t>WOS:000282107400100</t>
  </si>
  <si>
    <t>Sanhueza, LE; Guzman, AM</t>
  </si>
  <si>
    <t>Sanhueza, Luis E.; Guzman, Amador M.</t>
  </si>
  <si>
    <t>FUTURE AND PAST STRETCHING AND FLOW MIXING ENHANCEMENT IN WAVY CHANNELS BY THE LATTICE-BOLTZMANN METHOD</t>
  </si>
  <si>
    <t>PROCEEDINGS OF THE ASME INTERNATIONAL MECHANICAL ENGINEERING CONGRESS AND EXPOSITION, VOL 13, PTS A AND B</t>
  </si>
  <si>
    <t>The stretching and flow mixing enhancement characteristics in mini and micro wavy channels have been investigated by solving the Boltzmann Transport Equation (BTE) with the Lattice-Boltzmann method (LBM). The Eulerian and Lagrangian flow characteristics are obtained for a 2D symmetric wavy channel with the geometrical aspect ratios r=0.375 and 0.1875, by performing numerical simulations of a Newtonian incompressible flow and a Newtonian compressible flow. Extended and reduced domain are used for determining the existence of spatial periodicity the Eulerian and Lagrangian characteristics for increasing Reynolds numbers. The Eulerian flow characteristics for micro channels configuration are determined for different Knudsen numbers, pressure ratio and accommodation coefficients with the objective of obtaining reliable velocity and flow patterns. The Lagrangian characteristics are obtained by integrating the Eulerian velocity field. Thousands of massless fluid particles are used to determine fluid particle Lagrangian trajectories, future and past stretching fields, and Lagrangian Lyapunov exponents, which are used for determining the channel regions with high stretching and flow mixing enhancement. The numerical results demonstrate that mini and micro wavy channels flows develop different Lagrangian characteristics. In mini wavy channels, flow mixing enhancement develops for time dependent 2D flows; whereas, in micro wavy channels, future and past stretching fields describe existence of flow mixing enhancement for very low, stable and time independent Reynolds number flow regime</t>
  </si>
  <si>
    <t>978-0-7918-4874-6</t>
  </si>
  <si>
    <t>WOS:000266546900122</t>
  </si>
  <si>
    <t>Stone-weierstrass type theorems for large deviations</t>
  </si>
  <si>
    <t>ELECTRONIC COMMUNICATIONS IN PROBABILITY</t>
  </si>
  <si>
    <t>We give a general version of Bryc's theorem valid on any topological space and with any algebra A of real-valued continuous functions separating class. In absence of exponential tightness, and when the underlying space is locally compact regular and A constituted by functions vanishing at infinity, we give a sufficient condition on the functional Lambda(.)|(A) to get large deviations with not necessarily tight rate function. We obtain the general variational form of any rate function on a completely regular space; when either exponential tightness holds or the space is locally compact Hausdorff, we get it in terms of any algebra as above. Prohorov-type theorems are genealized to any space, and when it is locally compact regular the exponential tightness can be replaced by a (strictly weaker) condition on Lambda(.)|(A).</t>
  </si>
  <si>
    <t>1083-589X</t>
  </si>
  <si>
    <t>APR 28</t>
  </si>
  <si>
    <t>10.1214/ECP.v13-1370</t>
  </si>
  <si>
    <t>WOS:000255796800001</t>
  </si>
  <si>
    <t>Amat, S; Bermúdez, C; Busquier, S; Plaza, S</t>
  </si>
  <si>
    <t>Amat, S.; Bermudez, C.; Busquier, S.; Plaza, S.</t>
  </si>
  <si>
    <t>On the dynamics of the Euler iterative function</t>
  </si>
  <si>
    <t>The dynamics of Euler's third-order iterative method which is used to find roots of non-linear equations applied to complex polynomials of degrees three and four is studied. The conjugacy classes of this method are found explicitly. (C) 2007 Elsevier Inc. All rights reserved.</t>
  </si>
  <si>
    <t>Sáez, Sonia/AAA-6148-2019; Plata, Sergio/AAA-6144-2019</t>
  </si>
  <si>
    <t>10.1016/j.amc.2007.08.086</t>
  </si>
  <si>
    <t>WOS:000254254200027</t>
  </si>
  <si>
    <t>Arias, M; Trigueros, A; Sanhueza, H</t>
  </si>
  <si>
    <t>Arias, M.; Trigueros, A.; Sanhueza, H.</t>
  </si>
  <si>
    <t>A Quality Index Applied to Transient Response Evaluation of a Synchronous Generator</t>
  </si>
  <si>
    <t>2008 IEEE/PES TRANSMISSION AND DISTRIBUTION CONFERENCE AND EXPOSITION: LATIN AMERICA, VOLS 1 AND 2</t>
  </si>
  <si>
    <t>Proceedings of the IEEE-PES Transmission &amp; Distribution Conference and Exposition Latin America</t>
  </si>
  <si>
    <t>IEEE/PES Transmission and Distribution Conference and Exposition - Latin America</t>
  </si>
  <si>
    <t>AUG 13-15, 2008</t>
  </si>
  <si>
    <t>Bogota, COLOMBIA</t>
  </si>
  <si>
    <t>IEEE,PES</t>
  </si>
  <si>
    <t>In this paper we propose to use a Quality Response Index (QRI) to evaluate the transient stability response of electric machinery under fault conditions. This index is used to calculate a control constant for the improvement of the transient response of a machine-infinite bus system which results in an optimization problem formulation. This optimization problem is solved using genetic algorithms to obtain the best value of a control proportionality-constant parameter of the Static Synchronous Compensator (STATCOM). Results of a case study considering several conditions (operation points, faults, and clearing times) are included.</t>
  </si>
  <si>
    <t>2381-3571</t>
  </si>
  <si>
    <t>978-1-4244-2217-3</t>
  </si>
  <si>
    <t>WOS:000263861200067</t>
  </si>
  <si>
    <t>Cordova, F. M.; Canete, L.; Quezada, L. E.; Yanine, F.</t>
  </si>
  <si>
    <t>Simulation Model linked to a Knowledge Based System for evaluating policies in the operation of an underground mine</t>
  </si>
  <si>
    <t>This paper presents a Simulation Model linked to a Knowledge Based System (SM-KBS) built to support the scheduling for an underground mine. Both systems are designed by means of hierarchical, colored and temporal Petri Nets. Simulation Model simulates the operation of the production, reduction and transport levels. Knowledge Based System is activated by events produced in daily operations and yields the results of registered events and the actions taken to solve the problem, generating operation rules. The proposed model, parametrical and scalable, allows different types of mine operations and scenarios with the objective of obtaining data for decision-making. It helps to evaluate different policies against specific scenarios for programming the activities in the mine seeking to enlarge the equipment productivity. In addition, the model allows the feasibility assessment of the Daily Master Plan based on the input data of the simulation model.</t>
  </si>
  <si>
    <t>Arratia, Lucio/AAV-6112-2020; Quezada, Luis/W-8168-2019; CORDOVA, FELISA/S-1093-2019; Yanine, Franco Fernando/G-6909-2015</t>
  </si>
  <si>
    <t>Quezada, Luis/0000-0003-1364-9266; Canete Arratia, Lucio/0000-0002-1191-8728; CORDOVA, FELISA/0000-0002-5557-8569; Yanine, Franco Fernando/0000-0003-1086-0840</t>
  </si>
  <si>
    <t>WOS:000257497600031</t>
  </si>
  <si>
    <t>Campos, MS</t>
  </si>
  <si>
    <t>Salinas Campos, Maximiliano</t>
  </si>
  <si>
    <t>The carnivalesque spirit and defence of the Earth: Popular poetry about Manuel Rodriguez, the guerrilla fighter for Chilean Independence</t>
  </si>
  <si>
    <t>CARAVELLE-CAHIERS DU MONDE HISPANIQUE ET LUSO-BRESILIEN</t>
  </si>
  <si>
    <t>This study presents the images of Chilean Independence's guerrillero Manuel Rodriguez, through 19(th) and 20(th) century's popular poems. It's important to underline first of all the carnivalesque aspect of his character. He lives the Independence as an adequate frame provided for human liberty. Therefore, he's opposed to colonial power as well as to despotic republican governments. He finally meets with the usual fate of outlaws during that period. Popular poets put forward his daring and his love for his country, totally different from those of the Nation's official heroes.</t>
  </si>
  <si>
    <t>1147-6753</t>
  </si>
  <si>
    <t>WOS:000249822900003</t>
  </si>
  <si>
    <t>Entanglement properties in the inhomogeneous Tavis-Cummings model</t>
  </si>
  <si>
    <t>PHYSICAL REVIEW A</t>
  </si>
  <si>
    <t>We study the properties of atomic entanglement in the eigenstates spectrum of the inhomogeneous Tavis-Cummings model. The inhomogeneity is present in the coupling among the atoms with quantum electromagnetic field. We calculate analytical expressions for the concurrence, and we find that this exhibits a strong dependence on the inhomogeneity.</t>
  </si>
  <si>
    <t>Retamal, Juan/G-6425-2010; López, Carlos/B-8456-2009; Romero, Guillermo/C-8245-2009; Romero, Guillermo/C-8245-2009</t>
  </si>
  <si>
    <t>Romero, Guillermo/0000-0003-2917-7814; Retamal Abarzua, Juan Carlos/0000-0002-7174-7879; Romero, Guillermo/0000-0003-4366-4950</t>
  </si>
  <si>
    <t>1050-2947</t>
  </si>
  <si>
    <t>1094-1622</t>
  </si>
  <si>
    <t>10.1103/PhysRevA.75.022107</t>
  </si>
  <si>
    <t>WOS:000244532300020</t>
  </si>
  <si>
    <t>Letelier, MF; Siginer, DA; Rouliez, JP; Corral, OF</t>
  </si>
  <si>
    <t>Letelier, Mario F.; Siginer, Dennis A.; Rouliez, Jean-Paul; Corral, Omar F.</t>
  </si>
  <si>
    <t>An inverse method for material characterization of magnetorheological dampers</t>
  </si>
  <si>
    <t>Flow of magnetorheological (MR) fluids in dampers is investigated. The MR fluid flows through narrow passages in the damper subject to a magnetic field applied across the passages. The inverse problem of the determination of the required constitutive properties of the MR fluid together with the corresponding flow pattern for the efficient damping of a given load is solved. The fluid is modeled as a Bingham plastic with time-varying yield-stress. Flow is governed by the continuously adjustable constitutive parameters of the MR fluid which are determined to generate variable resistance to flow to dampen the selected load efficiently. The method developed leads to the determination of the magnetic field variation necessary to achieve a specific displacement of the piston in the damper. The governing equations are solved for any time history of the dimensionless yield stress of the fluid. Relationships that correlate damping load and magnetic field time variations are obtained. The analytical tools developed are helpful in damper design.</t>
  </si>
  <si>
    <t>WOS:000252340100200</t>
  </si>
  <si>
    <t>Rosas, C; Moraga, N; Bubnovich, V; Fischer, R</t>
  </si>
  <si>
    <t>Improvement of the cooling process of oil-immersed electrical transformers using heat pipes</t>
  </si>
  <si>
    <t>IEEE TRANSACTIONS ON POWER DELIVERY</t>
  </si>
  <si>
    <t>A system to improve the cooling process of oil-immersed electrical transformers based on heat pipes is presented. The methodology used considers a theoretical analysis to predict the oil critical regions from the heat transfer point of view, and an experimental work to validate the theoretical predictions and to determine the effects of heat pipes installed in critical regions of the oil. The theoretical analysis of a 75-kVA electrical transformer is chosen as the physical model, whose thermal and fluid dynamic behaviors are described by a two-dimensional mathematical model. The experimental work is accomplished in a system built to simulate the heat generation due to energy losses. This unit is able to work with or without the heat pipes. Results obtained for the time evolution of the temperature distribution in the cooling fluid show a good agreement between theoretical and experimental predictions, and positive effects of the heat pipes mission.</t>
  </si>
  <si>
    <t>0885-8977</t>
  </si>
  <si>
    <t>1937-4208</t>
  </si>
  <si>
    <t>10.1109/TPWRD.2004.838625</t>
  </si>
  <si>
    <t>WOS:000230223100022</t>
  </si>
  <si>
    <t>Cotoras, M; Folch, C; Mendoza, L</t>
  </si>
  <si>
    <t>Characterization of the antifungal activity on Botrytis cinerea of the natural diterpenoids kaurenoic acid and 3β-hydroxy-kaurenoic acid</t>
  </si>
  <si>
    <t>JOURNAL OF AGRICULTURAL AND FOOD CHEMISTRY</t>
  </si>
  <si>
    <t>The antifungal activity on Botrytis cinerea of the diterpenoids 3beta-hydroxy-kaurenoic acid and kaurenoic acid, obtained from the resinous exudates of Pseudognaphalium vira vira, was determined. 3beta-Hydroxy-kaurenoic acid reduced the mycelial growth of B. cinerea in solid and liquid media. Additionally, the damage produced by the fungus on the surface of tomato leaves in the presence of the diterpenoids was evaluated. A higher protective effect was observed in the presence of the hydroxylated diterpene. On the other hand, the effect of the diterpenoids on the production of enzymes that participate in the plant infection by B. cinerea was analyzed. p-Nitrophenylbutyrate esterase production was induced by both diterpenoids, whereas laccase production was only induced by the hydroxylated diterpene. In the study of the mechanism of action of these compounds, it was determined that 3beta-hydroxy-kaurenoic acid would produce permeabilization of the cell membrane of B. cinerea.</t>
  </si>
  <si>
    <t>Folch-Cano, Christian/I-2549-2013</t>
  </si>
  <si>
    <t>0021-8561</t>
  </si>
  <si>
    <t>1520-5118</t>
  </si>
  <si>
    <t>MAY 19</t>
  </si>
  <si>
    <t>10.1021/jf030672j</t>
  </si>
  <si>
    <t>WOS:000221419500013</t>
  </si>
  <si>
    <t>Gonzalez-Nilo, FD</t>
  </si>
  <si>
    <t>Study of water properties around proteins and its rol into protein-protein interactions.</t>
  </si>
  <si>
    <t>BIOPHYSICAL JOURNAL</t>
  </si>
  <si>
    <t>48th Annual Meeting of the Biophysical Society</t>
  </si>
  <si>
    <t>FEB 14-18, 2004</t>
  </si>
  <si>
    <t>Baltimore, MD</t>
  </si>
  <si>
    <t>Biophys Soc</t>
  </si>
  <si>
    <t>González-Nilo, Fernando/M-5671-2016</t>
  </si>
  <si>
    <t>0006-3495</t>
  </si>
  <si>
    <t>306A</t>
  </si>
  <si>
    <t>WOS:000187971201570</t>
  </si>
  <si>
    <t>Manchego, A; Spencer, E</t>
  </si>
  <si>
    <t>Effect of neomycin B on rotavirus plus- and minus-strand RNA synthesis</t>
  </si>
  <si>
    <t>ARCHIVES OF VIROLOGY</t>
  </si>
  <si>
    <t>Rotavirus multiplication was inhibited by neomycin B by affecting the synthesis of the viral genome. Genome replication involves a two-step mechanism, one is plus-strand synthesis or transcription, and the other is minus-strand synthesis or replication. The results indicate that both activities are inhibited by aminoglycoside. The effect on the minus-strand was determined by an in vitro assay using a template-dependant open core preparation. The effect on transcription was explored using transcriptionally active virus particles. In the case of transcription, the inhibitory effect of neomycin B was studied in both initiation and the elongation of the mRNA. Initiation was defined by the synthesis of short transcripts of less than 25 nucleotides in length and elongation as an extension of those molecules into full-length transcripts. The inhibitory effect of neomycin was also mimicked by other aminoglycosides such as lividomycin, paromomycin, and tobramycin. The results may be explained based on the ability of the drug to interact with the stem and loop regions, which, in the case of rotavirus, have been identified at the end of the templates required for both transcription and minus-strand synthesis.</t>
  </si>
  <si>
    <t>0304-8608</t>
  </si>
  <si>
    <t>1432-8798</t>
  </si>
  <si>
    <t>10.1007/s00705-003-0004-1</t>
  </si>
  <si>
    <t>WOS:000183722500004</t>
  </si>
  <si>
    <t>Lizama, C; Prado, H</t>
  </si>
  <si>
    <t>Rates of approximation and ergodic limits of regularized operator families</t>
  </si>
  <si>
    <t>JOURNAL OF APPROXIMATION THEORY</t>
  </si>
  <si>
    <t>We state mean ergodic theorems with rates of approximation for a new class of operator families. Our result provides a unified approach to convergence rates for many particular strongly continuous solution families associated to linear evolution equations such as the abstract Cauchy problem of the first and second order, and integral Volterra equations of convolution type. We discuss in particular, applications to alpha-times integrated cosine families, k-convoluted semigroups and integral resolvents. (C) 2003 Elsevier Science (USA). All rights reserved.</t>
  </si>
  <si>
    <t>0021-9045</t>
  </si>
  <si>
    <t>1096-0430</t>
  </si>
  <si>
    <t>10.1016/S0021-9045(03)00040-6</t>
  </si>
  <si>
    <t>WOS:000182876700005</t>
  </si>
  <si>
    <t>The one-dimensional harmonic oscillator in the presence of a dipole-like interaction</t>
  </si>
  <si>
    <t>The Schrodinger equation for a one-dimensional harmonic oscillator is solved in the presence of an external dipole field. The solution is obtained in closed form and resembles the solution of the three-dimensional harmonic oscillator in spherical coordinates. Due to the existence of a singularity at the origin and the absence of tunneling, this one-dimensional system has a twofold degeneracy. Therefore, the nondegeneracy of the eigenvalues breaks down as has been observed in other systems. (C) 2003 American Association of Physics Teachers.</t>
  </si>
  <si>
    <t>10.1119/1.1526131</t>
  </si>
  <si>
    <t>WOS:000181104000007</t>
  </si>
  <si>
    <t>Cubillos, F; Reyes, A</t>
  </si>
  <si>
    <t>Drying of carrots in a fluidized bed. II. Design of a model based on a modular neural network approach</t>
  </si>
  <si>
    <t>The present paper deals with the design of a neural network type model for drying of carrots, which includes the associated transport mechanisms of the process. The model uses the operational variables and the time as input parameters. Two sub-layers of linear and sigmoidal nodes make up the hidden layer, to represent the external and internal resistances to the diffusion of water vapors during the drying process. The single output node weights the contribution of each mechanism of the drying process to predict the exit moisture content of the product. This model was used to predict the drying of carrot particles in a mechanically fluidized bed dryer reported in a previous paper [Reyes, A.; Alvarez, P.; Marquardt, F. Drying of carrots in a fluidized bed: I.- effects of drying conditions and modeling. Drying Technology 2002, 20 (7), 1463-1483.]. Simulated drying curves obtained with this model fits adequately the curves determined experimentally for the most operation conditions, which Would indicate that this model is appropriate to be used for rough estimations in the design, the selection of optimal operational conditions, and the scaling up of dryers.</t>
  </si>
  <si>
    <t>10.1081/DRT-120023175</t>
  </si>
  <si>
    <t>WOS:000184969000004</t>
  </si>
  <si>
    <t>Garin, JL; Mannheim, RL; de la Fuente, F</t>
  </si>
  <si>
    <t>Salgado, L; Filho, FA</t>
  </si>
  <si>
    <t>Synthesis of powder molybdates for micro-alloying of ADI castings</t>
  </si>
  <si>
    <t>ADVANCED POWDER TECHNOLOGY III</t>
  </si>
  <si>
    <t>Materials Science Forum</t>
  </si>
  <si>
    <t>3rd International Latin-American Conference on Powder Technology</t>
  </si>
  <si>
    <t>NOV 26-28, 2001</t>
  </si>
  <si>
    <t>SANTA CATARINA, BRAZIL</t>
  </si>
  <si>
    <t>Assoc Brazilian Ceram</t>
  </si>
  <si>
    <t>Cast austempered ductile irons, currently known as ADI, is a unique family of heat-treated iron-based materials having excellent mechanical properties such as toughness, strength, wear behavior and low production cost. The effect of alloying elements such as Cu, Ni and Mo in ADI influences both the heat treatment cycle and the austempering transformation, increasing the hardenability of the alloy. This paper deals with the fabrication of Cu, Ni and Fe molybdates powders for direct alloying into the melt. The studied compounds were obtained by precipitation following reactions of aqueous solutions of ammonium heptamolybdate and the metal cations in sulfate solutions. Very fine particle-size powders of 1 micron in average diameter were obtained and characterized by means of the usual techniques. Alloying with these products as powder or tablets resulted in Cu, Ni and Mo elements entering the melt with yields up to 100 %.</t>
  </si>
  <si>
    <t>0255-5476</t>
  </si>
  <si>
    <t>0-87849-912-1</t>
  </si>
  <si>
    <t>416-4</t>
  </si>
  <si>
    <t>10.4028/www.scientific.net/MSF.416-418.305</t>
  </si>
  <si>
    <t>WOS:000182605200051</t>
  </si>
  <si>
    <t>Chandra, T; Torralba, JM; Sakai, T</t>
  </si>
  <si>
    <t>Sigma-phase formation upon solidification rate in heat-resistant steels</t>
  </si>
  <si>
    <t>THERMEC'2003, PTS 1-5</t>
  </si>
  <si>
    <t>MATERIALS SCIENCE FORUM</t>
  </si>
  <si>
    <t>4th International Conference on Processing and Manufacturing of Advanced Materials</t>
  </si>
  <si>
    <t>JUL 07-11, 2003</t>
  </si>
  <si>
    <t>UNIV CARLOS III MADRID, MADRID, SPAIN</t>
  </si>
  <si>
    <t>Minerals, Met &amp; Mat Soc</t>
  </si>
  <si>
    <t>UNIV CARLOS III MADRID</t>
  </si>
  <si>
    <t>Cast high-alloy stainless steels are most often specified for applications that involve service temperatures in excess of 650 degreesC. It is well known that these heat-resistant steels may yield precipitation of the hard and brittle sigma-phase, which can result in harmful influence on the mechanical properties of the alloy. The present study revealed that the precipitation of sigma upon heat treatments in the temperature range from 650 to 850 degreesC can be strongly accelerated by the preexistence of carbides in the steel, particularly those of the Cr23C6 and Cr7C3 type. However, the formation of sigma-phase upon the presence of Cr7C3 resulted markedly faster than that related to Cr23C7. On the other hand, it was found that Cr7C3 can be stabilized by faster cooling along the solidification temperature range; conversely, the microstructure obtained through a slower cooling rate predominantly bears Cr23C6-type carbides.</t>
  </si>
  <si>
    <t>0-87849-919-9</t>
  </si>
  <si>
    <t>426-4</t>
  </si>
  <si>
    <t>10.4028/www.scientific.net/MSF.426-432.1301</t>
  </si>
  <si>
    <t>WOS:000183626400205</t>
  </si>
  <si>
    <t>Del Valle, M; Carrasco, AM; Guzmán, AM</t>
  </si>
  <si>
    <t>Amon, CH; Ramakrishna, K; Sammakia, BG; Subbarayan, G; Sathe, SB; Joshi, YK</t>
  </si>
  <si>
    <t>Flow transitions and heat transfer in open block tandem channels</t>
  </si>
  <si>
    <t>ITHERM 2002: EIGHTH INTERSOCIETY CONFERENCE ON THERMAL AND THERMOMECHANICAL PHENOMENA IN ELECTRONIC SYSTEMS, PROCEEDINGS</t>
  </si>
  <si>
    <t>8th Intersociety Conference on Thermal and Thermomechanical Phenomena in Electronic Systems</t>
  </si>
  <si>
    <t>MAY 30-JUN 01, 2002</t>
  </si>
  <si>
    <t>IEEE Components, Packaging &amp; and Mfg Technol Soc,Amer Soc Mech Engineers, K-16 Comm Electr Cooling, Heat Transfer Div,Amer Soc Mech Engineers, Electr &amp; Photon and Packaging Div,Int Microelect &amp; Packaging Soc</t>
  </si>
  <si>
    <t>This work investigates the transition scenario and heat transfer characteristics in a channel with a block tandem, as the flow evolves from a laminar to a transitional regime, by two-dimensional direct numerical simulations (DNS) of the time dependent, incompressible continuity, Navier-Stokes and energy equations. This investigation uses an extended computational domain with 10 blocks to determine the existence of a fully developed flow and self-similar temperature profiles, and a reduced computational domain to investigate the heat transfer enhancement for laminar and transitional flow regimes. The flow characteristics show a transition scenario characterized by two Hopf bifurcations -at two critical Reynolds numbers Rec(1) and Rec(2)- as the flow evolves from a laminar to a periodic flow, and then to a quasi-periodic flow, respectively. The first flow bifurcation occurs at a critical Reynolds number Rec(1) that is significantly lower than the critical value for a plane Poiseuille flow; whereas, the second Hopf flow bifurcation occurs at a critical Reynolds number Rec(2) &gt; Rec(1) For a laminar regime, the global time-average Nusselt number remains almost constant; for a periodic flow, the global time-average Nusselt number increases by a factor of two with respect to the laminar Nusselt number and it increases even more when the flow becomes quasi-periodic. The rate of increase of the global time-average Nusselt number is higher for a quasi-periodic than a periodic flow regime, which is due to a stronger vortex dynamics and better flow mixing in quasi-periodic flow regimes. This investigation demonstrates that significant heat transfer enhancements can be obtained at supercritical transitional flow Reynolds numbers with a minimum of dissipation due to viscous stresses. This enhancement is obtained without the necessity of operating this channel to high volumetric flow rates associated to turbulent flow regimes, which demand high pumping powers. In this channel, the transitional flow regime is more efficient than a laminar flow regime as a method of cooling electronics between both Hopf bifurcations and for transitional Reynolds numbers higher than Rec(2).</t>
  </si>
  <si>
    <t>Mercado, Alvaro/AAI-9719-2020</t>
  </si>
  <si>
    <t>0-7803-7152-6</t>
  </si>
  <si>
    <t>10.1109/ITHERM.2002.1012459</t>
  </si>
  <si>
    <t>WOS:000177323800029</t>
  </si>
  <si>
    <t>Pino, E; Henriquez, C; Leighton, F; Perez, D; Miranda, S; Llesuy, S; Evelson, P; Campos, AM; Lissi, EA</t>
  </si>
  <si>
    <t>Pasquier, C</t>
  </si>
  <si>
    <t>Antioxidant capacity evaluations. Kinetics and mechanism</t>
  </si>
  <si>
    <t>XI BIENNIAL MEETING OF THE SOCIETY FOR FREE RADICAL RESEARCH INTERNATIONAL</t>
  </si>
  <si>
    <t>11th Biennial Meeting of the Society-for-Free-Radical-Research-International</t>
  </si>
  <si>
    <t>JUL 16-20, 2002</t>
  </si>
  <si>
    <t>PARIS, FRANCE</t>
  </si>
  <si>
    <t>Soc Free Rad Res Int</t>
  </si>
  <si>
    <t>It is discussed how time profiles and measurements carried out over a wide range of additive concentrations can help in the evaluation of antioxidant capacities of pure compounds and/or complex mixtures. In particular, results obtained in the autoxidation of brain homogenates, luminol luniniscence promoted by peroxyl radicals, c-phycocyanin bleaching promoted by peroxyl radicals, reactions of the 2,2'-azinobis(3-ethylbenzothiazoline-6-sulfonic acid (ABTS) derived free radical, and Cu mediated oxidation of low density lipoproteins.</t>
  </si>
  <si>
    <t>88-323-2716-3</t>
  </si>
  <si>
    <t>WOS:000182408200138</t>
  </si>
  <si>
    <t>Quintanilla, V</t>
  </si>
  <si>
    <t>Trabaud, L; Prodon, R</t>
  </si>
  <si>
    <t>The influence of fire on forests in temperate Chile</t>
  </si>
  <si>
    <t>FIRE AND BIOLOGICAL PROCESSES</t>
  </si>
  <si>
    <t>3rd International Workshop on Fire Ecology</t>
  </si>
  <si>
    <t>OCT 22-26, 2001</t>
  </si>
  <si>
    <t>BANYULS-SUR-MER, FRANCE</t>
  </si>
  <si>
    <t>As pluvial forests in Chile are of a great wealth, because of their biodiversity, they are regarded as one of the most representative temperate forests in the world (39degrees - 44degrees lat. South). Since the 16th century, fires have burnt hundred of thousands of hectares of native vegetation, a fact which has caused the forests to be pushed back to the chains of mountains both of abrink the Andes and the mountain range of La Costa. These areas are even burnt to grow exotic plantations of Pinus insignis and Eucalyptus globulus. Nowadays the use of firewood from native trees is the cause of fires in the mountains. The expansion of population, mainly towards La Costa mountain range and the search of new lands for exploitation have increased the risks of fires considerably thus affecting and changing the forest landscapes. Due to the facts mentioned above, fires cause a serious impact especially in species such as fagaceous and coniferous laureaceous forests; and in forests of Fitzroya cupresoides, this Gymnospermy being the oldest in South America (3300 years). Although the area covered by forests is very rainy, it is affected by such a hot summer season that fires have been taking place in the forests continuously for the last 15 years (Project FONDECYT 19990894).</t>
  </si>
  <si>
    <t>90-5782-116-8</t>
  </si>
  <si>
    <t>WOS:000177912100029</t>
  </si>
  <si>
    <t>Vidal, FJ; Donoso, C; Pascal, R; Zorrilla, S</t>
  </si>
  <si>
    <t>MONDUZZI EDITIORE; MONDUZZI EDITIORE</t>
  </si>
  <si>
    <t>People living with HIV/AIDS in Chile: Discrimination and sexuality</t>
  </si>
  <si>
    <t>XIV INTERNATIONAL AIDS CONFERENCE: PREVENTION SCIENCE</t>
  </si>
  <si>
    <t>14th International AIDS Conference</t>
  </si>
  <si>
    <t>JUL 07-12, 2002</t>
  </si>
  <si>
    <t>BARCELONA, SPAIN</t>
  </si>
  <si>
    <t>Univ N Carolina,Gen Clin Res Ctr,UNC Ctr AIDS Res,Natl Inst Hlth,Swiss Natl AIDS Res Program,Bristol-Myers Squibb Co,Boehringer Ingelheim,GlaxoWellcome Res &amp; Dev, HIV Antiviral Res</t>
  </si>
  <si>
    <t>This project was aimed to investigate the discrimination suffer by people living with HIV/AIDS in Chile in aspects such as health care centers, work places and family relations. Also, it describes the different ways in which people live their sexuality after they were notified as HIV, as well as the different stages they cross when starting to think about their sexual life again. This analysis was developed taking into account gender differences. In order to carry out this research 60 people were interviewed (20 women, 40 men including 35 homo/bisexual men) from 13 Chilean cities. This research is expected to became an important tool to evaluate changes in discrimination against PWAs, since last 17th of December 2001 the Law of HIV Prevention which states some sanctions against discrimination, was passed.</t>
  </si>
  <si>
    <t>WOS:000180241500012</t>
  </si>
  <si>
    <t>Rios-Escudero, A; Costamagna, J; Villagran, M</t>
  </si>
  <si>
    <t>Synthesis and characterization of new Ni(II) Schiff base complexes derived from n-octylamine, n-dodecylamine and n-octadecylamine.</t>
  </si>
  <si>
    <t>Synthesis and characterization by FT-IR, H-1-RMN, electronic spectra, magnetic susceptibility, and cyclic voltametry of new Bis[N-n-alkyl-2-hydroxy-1-naphthaldimine]Ni(II) (n-alkyl = n-octyl, n-dodecyl, and octadecyl) complexes are shown in the present work. FT-IR spectra show displacement of the C=N stretching at ca. 1620 cm(-1), Ni-N stretching appears at ca. 430 cm(-1), and Ni-O stretching at ca. 290 cm(-1). Solid phase and solution magnetic susceptibilities indicate diamagnetic species. Electrocatalytic reduction processes show a lowering of the potential for CO2 reduction to ca. -0.85 V vs Ag/AgCl.</t>
  </si>
  <si>
    <t>WOS:000166388700011</t>
  </si>
  <si>
    <t>Zagal, JH; Henriquez, JJH</t>
  </si>
  <si>
    <t>Potentiometric response of a graphite electrode modified with cobalt phthalocyanine for thiols and disulfides</t>
  </si>
  <si>
    <t>We have investigated the potentiometric response of ordinary pyrolytic graphite electrodes (OPG) modified with cobalt phthalocyanine (Co-Pc) for thiols (R-SH) 2-mercaptoethanol, L-cysteine and their corresponding disulfides (R-SS-R). Stable potentials are achieved after a few seconds of additions of different amounts of thiols to aqueous solutions of pH values between 11 and 4. Plots of potential vs, log [R-SH] give straight lines for all cases with slopes ca. -0.060 V with concentrations of the thiol varying from 10(-5) up to 10(-2) M. These measurements were conducted in the presence of air or oxygen. Under nitrogen, the slopes increase to -0.14 V. The potential response of OPG/Co-Pc is independent of disulfide concentration, which shows that these modified electrodes are only sensitive to the thiol. Graphite electrodes without modification are not sensitive to the concentration of thiols in the solution and the potential response is erratic.</t>
  </si>
  <si>
    <t>WOS:000088306000010</t>
  </si>
  <si>
    <t>Cárdenas, JL; García, A; Certanec, B; Sepúlveda, S; Arriagada, A; Soto, MJ; Diaz-Salazar, C; Gallardo, R; Diaz-Horzella, C; Maldonado, I</t>
  </si>
  <si>
    <t>Claussen, CF; Haid, CT; Hofferberth, B</t>
  </si>
  <si>
    <t>Central nervous system involvement in chronic Chaga's disease -: Clinical and electrooculographic correlations</t>
  </si>
  <si>
    <t>EQUILIBRIUM RESEARCH, CLINICAL EQUILIBRIOMETRY AND MODERN TREATMENT</t>
  </si>
  <si>
    <t>INTERNATIONAL CONGRESS SERIES</t>
  </si>
  <si>
    <t>20th Regular Meeting of the Barany-Society</t>
  </si>
  <si>
    <t>SEP 12-15, 1998</t>
  </si>
  <si>
    <t>WURZBURG, GERMANY</t>
  </si>
  <si>
    <t>Barany Soc</t>
  </si>
  <si>
    <t>Tenias, Jose/I-8755-2019</t>
  </si>
  <si>
    <t>0531-5131</t>
  </si>
  <si>
    <t>0-444-50012-X</t>
  </si>
  <si>
    <t>WOS:000088270100141</t>
  </si>
  <si>
    <t>Solar, M; Verdugo, P; Parada, V</t>
  </si>
  <si>
    <t>Storyboard aided design to specify multimedia projects</t>
  </si>
  <si>
    <t>COMPUTER APPLICATIONS IN ENGINEERING EDUCATION</t>
  </si>
  <si>
    <t>1st International Conference on Engineering and Computer Education (ICECE)</t>
  </si>
  <si>
    <t>AUG 11-14, 1999</t>
  </si>
  <si>
    <t>RIO JANEIRO, BRAZIL</t>
  </si>
  <si>
    <t>Brazilian Soc Engn Educ,IEEE, Educ Soc,Amer Soc Engn Educ,Iberoamer Sci &amp; Technol Educ Consortium,State Univ Campinas,Brazilian Microwave &amp; Optoelectr Soc</t>
  </si>
  <si>
    <t>This article describes a model for storyboard design that defines a multimedia application by means of nodes related among them as a Directed Graph. This Graph is used to obtain media reports and to estimate both an approximated developing time and the required storage space needed by the final product, (C) 2000 John Wiley &amp; Sons, Inc.</t>
  </si>
  <si>
    <t>Solar, Mauricio/AAE-9673-2020</t>
  </si>
  <si>
    <t>Solar, Mauricio/0000-0002-4433-4622</t>
  </si>
  <si>
    <t>1061-3773</t>
  </si>
  <si>
    <t>WOS:000165144700014</t>
  </si>
  <si>
    <t>Bustos, O; Mannheim, R; Cruz, L</t>
  </si>
  <si>
    <t>Study of the combination of cast grain refinement and filtered processes on brasses</t>
  </si>
  <si>
    <t>This work considered the evaluation of different parameters and properties of binary brasses 70/30 and 63/37. These materials were previously characterized and then submitted to grain refinement (by mean of chemical additions) and/or filtered. Additionally, SEM observations were carried out to identify the grain refinement mechanisms involved in this process. The results obtained from the grain refinement and especially from the combination of both processes show an important grain size decrease and better mechanical properties. Due to the complexity of the Cu-based alloys, it can be concluded that it is necessary to take into account many factors to understand the mechanisms of the grain refinement-filtered process. The present work shows that probably zirconium (in presence of phosphorus, magnesium, iron, sulphur, nitrogen and oxygen) could he an effective grain refiner to produce grain refinement in brasses.</t>
  </si>
  <si>
    <t>10.3989/revmetalm.1999.v35.i4.628</t>
  </si>
  <si>
    <t>WOS:000082964300002</t>
  </si>
  <si>
    <t>Carkovic, I; Gulppi, M; Valero, E; Escudey, M; Gil-Llambias, FJ</t>
  </si>
  <si>
    <t>Electrophoretic study of rhodium and palladium catalysts supported by γ-Al2O3 and SiO2</t>
  </si>
  <si>
    <t>Rh//gamma-Al2O3, Rh/SiO2, Pd/ gamma-Al2O3 and Pd/SiO2 catalysts with a metal content lower than 2.5%, supported by the incipient wetness method, were studied by electrophoretic method. It has been proved that the metal is preferentially located at the periphery of the particles of the support. It was proved, moreover, that the highest interaction between these metals and these supports is observed in the Rh/gamma-Al2O3 system, while the lowest is observed in the Pd/SiO2 series; the interaction between Rh and gamma-Al2O3 is greater than between Rh and SiO2.</t>
  </si>
  <si>
    <t>WOS:000076339000007</t>
  </si>
  <si>
    <t>Sepúlveda, L; Cifuentes, G; Rios, P</t>
  </si>
  <si>
    <t>Baldasano, JM; Power, H</t>
  </si>
  <si>
    <t>Textile inking waste treatment using peroxide-based photooxidation</t>
  </si>
  <si>
    <t>ENVIRONMENTAL ENGINEERING AND MANAGEMENT</t>
  </si>
  <si>
    <t>Environmental Engineering (SERIES)</t>
  </si>
  <si>
    <t>1st International Conference on Environmental Engineering and Management</t>
  </si>
  <si>
    <t>Wessex Inst Technol,Univ Politecnica Catalunya</t>
  </si>
  <si>
    <t>The objective of this paper is to study the use of H2O2 and UV to remove Terasil Blue, with view to process design. Terasil Blue is an Antraquinone-type colorant, with the C=O as the colouring group. Experiments were carried out in a photochemical quartz reactor, using a 150W mercury lamp as a UV source. Microdispersed Terasil Blue solutions, with initial concentration in the range 50-200 (mg/dm(3)), were treated with hydrogen peroxide (68-3420 (mM), in the presence of UV light, at 40 degrees C., for around 40 min. Experiments show that neither H2O2 nor UV light had any effect on Terasil Blue, when these are used on their own. However, joint H2O2/UV treatment effectively decomposes this organic compound, reaching final reductions in colour of up to 98%. Colorant decomposition by H2O2/UV seems to follow three stages. An initial step where hydroxyl ions are formed and UV light is absorbed by ketone groups. This is followed by rapid and steady colorant decomposition until peroxide concentration reaches very low levels. The final stage shows a drastic slowing down of colour reduction, which coincides with the disappearance of hydroxyl ions. The final colour reduction is a function of the initial H2O2 concentration. Even low H2O2 concentrations lead to substantial reductions in colour. However, very high initial peroxide concentrations may not be appropriate since self decomposition is also favoured. Indeed, the rate of H2O2 is a linear function of its initial concentration and is not affected by the organic compound concentration.</t>
  </si>
  <si>
    <t>Cifuentes, Gerardo/AAS-2148-2021</t>
  </si>
  <si>
    <t>Cifuentes, Gerardo/0000-0002-9543-1625</t>
  </si>
  <si>
    <t>1460-1427</t>
  </si>
  <si>
    <t>1-85312-602-0</t>
  </si>
  <si>
    <t>WOS:000079194900031</t>
  </si>
  <si>
    <t>Vergara, L</t>
  </si>
  <si>
    <t>Evaluating one-loop integrals at finite temperature</t>
  </si>
  <si>
    <t>JOURNAL OF PHYSICS A-MATHEMATICAL AND GENERAL</t>
  </si>
  <si>
    <t>Generic one-loop integrals at finite temperature, appearing in integrations over nonstatic modes, are given a definite expression in terms of series in powers of similar to (m/T)(2), where m is a mass parameter and T is the temperature.</t>
  </si>
  <si>
    <t>Vergara, Lautaro/V-2736-2019</t>
  </si>
  <si>
    <t>0305-4470</t>
  </si>
  <si>
    <t>OCT 7</t>
  </si>
  <si>
    <t>10.1088/0305-4470/30/19/031</t>
  </si>
  <si>
    <t>WOS:A1997YA15200031</t>
  </si>
  <si>
    <t>Encinas, MV; Lissi, EA; Martinez, C</t>
  </si>
  <si>
    <t>Polymerization of 2-hydroxyethyl methacrylate induced by azo compounds: Solvent effects</t>
  </si>
  <si>
    <t>EUROPEAN POLYMER JOURNAL</t>
  </si>
  <si>
    <t>The rate of polymerization of 2-hydroxyethyl methacrylate in aqueous media, photoinitiated by aliphatic azo compounds, is proportional to the monomer concentration and the square root of the photosensitizer concentration. These results are indicative of a simple photoinitiation mechanism, in which the monomer does not interfere with the photoinitiator cleavage and the primary radicals add quantitatively to the monomer. The polymerization rate has been measured for a series of solvents and solvent mixtures. The rate correlates with the cohesive energy of the co-solvent, being faster in monomer/water mixtures. The high rates in these systems are explained in terms of the polymer conformation and solvophobic effects. Copyright (C) 1996 Elsevier Science Ltd</t>
  </si>
  <si>
    <t>0014-3057</t>
  </si>
  <si>
    <t>10.1016/0014-3057(96)00045-6</t>
  </si>
  <si>
    <t>WOS:A1996VJ04100018</t>
  </si>
  <si>
    <t>ESCUDEY, M; GALINDO, G</t>
  </si>
  <si>
    <t>IMPORTANCE OF SURFACE-COMPOSITION ON POINTS OF ZERO SALT EFFECT AND ZERO NET PROTON CHARGE MEANING</t>
  </si>
  <si>
    <t>Titration curves of the iron oxide coated fraction of Osorno soil carried out at 25-degrees-C in different KCl background solutions exhibited a crossover point (named point of zero salt effect, PZSE), near the point of zero net proton charge (PZNPC). Synthetic aluminosilicates and natural deferrated colloids samples presented a PZSE, where a net proton charge exists. The Constant Capacitance model describes the titration curves of the iron oxide coated colloids at ionic strengths between 1.0 x 10(-3) and 1.0 M, when the PZSE is taken equal to the PZNPC The model also describes the curves of the deferrated colloids, but it must be assumed that the PZNPC is assumed to be the initial pH value of the titration. The PZNPC depends on ionic strength, and is different of PZSE. From experimental data and MCC fitting it is concluded that PZSE is similar or equal to PZNPC in iron coated samples due to the homogeneity of the active surface sites, dominated by FeOH groups. The lack of congruence between the PZSE and the PZNPC in deferrated colloids is related to the AlOH/SiOH ratio of surface groups, and it is explained by the differences of their dissociation constants.</t>
  </si>
  <si>
    <t>WOS:A1993MA21200011</t>
  </si>
  <si>
    <t>ZANARTU, MSU; ZANARTU, CU</t>
  </si>
  <si>
    <t>UNDERPOTENTIAL DEPOSITION OF LEAD ON IRIDIUM ELECTRODE .2. ELECTROCATALYTIC ACTIVITY OF THE IRIDIUM MODIFIED ELECTRODE FOR THE ETHYLENE-GLYCOL ELECTROOXIDATION</t>
  </si>
  <si>
    <t>ANALES DE QUIMICA</t>
  </si>
  <si>
    <t>1130-2283</t>
  </si>
  <si>
    <t>WOS:A1990DW37400001</t>
  </si>
  <si>
    <t>CONTRERAS, ML; DELIZ, M; ROZAS, R</t>
  </si>
  <si>
    <t>PERSONAL MICROCOMPUTER BASED SYSTEM OF CHEMICAL INFORMATION WITH TOPOLOGICAL-STRUCTURE DATA ELABORATION</t>
  </si>
  <si>
    <t>10.1021/ci00056a004</t>
  </si>
  <si>
    <t>WOS:A1987L157600005</t>
  </si>
  <si>
    <t>ZAGAL, J; PAEZ, C</t>
  </si>
  <si>
    <t>ELECTROCATALYTIC ACTIVITY OF VITAMIN-B12 FOR THE ELECTROREDUCTION OF MOLECULAR-OXYGEN</t>
  </si>
  <si>
    <t>C135</t>
  </si>
  <si>
    <t>WOS:A1987G410200445</t>
  </si>
  <si>
    <t>DELAFUENTE, J; LISSI, EA; ROZAS, R</t>
  </si>
  <si>
    <t>ELECTROGENERATED LUMINESCENCE IN THE KOLBE REACTIONS OF PYRUVIC AND PHENYLGLYOXYLIC ACIDS</t>
  </si>
  <si>
    <t>CANADIAN JOURNAL OF CHEMISTRY-REVUE CANADIENNE DE CHIMIE</t>
  </si>
  <si>
    <t>0008-4042</t>
  </si>
  <si>
    <t>WOS:A1984TU59000006</t>
  </si>
  <si>
    <t>VEGA, R; KING, CJ</t>
  </si>
  <si>
    <t>DIRECT OSMOSIS PERFORMANCE OF ANISOTROPIC MEMBRANES</t>
  </si>
  <si>
    <t>REVISTA LATINOAMERICANA DE INGENIERIA QUIMICA Y QUIMICA APLICADA-LATIN AMERICAN JOURNAL OF CHEMICAL ENGINEERING AND APPLIED CHEMISTRY</t>
  </si>
  <si>
    <t>0325-0474</t>
  </si>
  <si>
    <t>WOS:A1983QQ45700003</t>
  </si>
  <si>
    <t>ZAGAL, JH</t>
  </si>
  <si>
    <t>ELECTROCATALYSIS OF HYDRAZINE ELECTROOXIDATION BY PHTHALOCYAMINES ADSORBED ON GRAPHITE</t>
  </si>
  <si>
    <t>10.1016/S0022-0728(80)80140-9</t>
  </si>
  <si>
    <t>WOS:A1980KB24600039</t>
  </si>
  <si>
    <t>Gamboa, J.</t>
  </si>
  <si>
    <t>Modeling confinement in analogy with black holes</t>
  </si>
  <si>
    <t>It is proposed that confinement in QCD be analyzed analogously with the trapping of matter inside a black hole. To this end, we compare the effective gravitational actions (including quantum corrections) with the QCD action under the assumption of instanton dominance. The similarities between the two actions are discussed, and while the analogy is formal, given the vastly different nature of the systems it establishes interesting formulas that may shed light on long-standing problems from a new perspective.</t>
  </si>
  <si>
    <t>2025 APR 23</t>
  </si>
  <si>
    <t>10.1142/S0217751X25500253</t>
  </si>
  <si>
    <t>APR 2025</t>
  </si>
  <si>
    <t>WOS:001472975900001</t>
  </si>
  <si>
    <t>Ramos, JAP</t>
  </si>
  <si>
    <t>Ramos, Jose Antonio Palma</t>
  </si>
  <si>
    <t>Half a century after the deepening and collapse of democracy in Chile. An international perspective on solidarity and its impact on the left at a global level</t>
  </si>
  <si>
    <t>REVISTA HISTORIA AUTONOMA</t>
  </si>
  <si>
    <t>2254-8726</t>
  </si>
  <si>
    <t>WOS:001361538500024</t>
  </si>
  <si>
    <t>Fuentes, LG</t>
  </si>
  <si>
    <t>Fuentes, Lorena Gonzalez</t>
  </si>
  <si>
    <t>Women's Exile Narratives as an Epistemic Problem: Feminist Genealogies and Carrier Bags of Fiction</t>
  </si>
  <si>
    <t>ALTRE MODERNITA-RIVISTA DI STUDI LETTERARI E CULTURALI</t>
  </si>
  <si>
    <t>In the context of the last civil-military dictatorships in the Southern Cone of Latin America, exile was a massive experience for both men and women. Although the narratives and testimonies of the protagonists abound, those written by women have been marginalized from the hegemonic narrative. Based on this observation, the following text aims, in the first section, to explain how this exclusion constitutes a form of epistemic injustice that must be addressed. Then, in a second section, we propose two methodological perspectives- feminist genealogies and carrier bags of fiction- that would allow us to restore the philosophical power of these narratives.</t>
  </si>
  <si>
    <t>2035-7680</t>
  </si>
  <si>
    <t>WOS:001416120600027</t>
  </si>
  <si>
    <t>Köhler, J; González-Ibáñez, R</t>
  </si>
  <si>
    <t>Kohler, Jacqueline; Gonzalez-Ibanez, Roberto</t>
  </si>
  <si>
    <t>Information Competences and Academic Achievement: A Dataset</t>
  </si>
  <si>
    <t>DATA</t>
  </si>
  <si>
    <t>Information literacy (IL) is becoming fundamental in the modern world. Although several IL standards and assessments have been developed for secondary and higher education, there is still no agreement about the possible associations between IL and both academic achievement and student dropout rates. In this article, we present a dataset including IL competences measurements, as well as academic achievement and socioeconomic indicators for 153 Chilean first- and second-year engineering students. The dataset is intended to allow researchers to use machine learning methods to study to what extent, if any, IL and academic achievement are related.Dataset: The dataset is available in the Mendeley Data repository. Doi: http://dx.doi.org/10.17632/7r5fnrhyky.1.Dataset License: The license under which the dataset is made available is CC-BY 4.0.</t>
  </si>
  <si>
    <t>Köhler, Jacqueline/HOC-7820-2023</t>
  </si>
  <si>
    <t>2306-5729</t>
  </si>
  <si>
    <t>10.3390/data8110164</t>
  </si>
  <si>
    <t>WOS:001118274300001</t>
  </si>
  <si>
    <t>Araya, DG; Peiret-Villacura, L; Quevedo, TP; Ramírez, CD; Pino, JP; Tonacca, LS</t>
  </si>
  <si>
    <t>Araya, Daniela Gonzalez; Peiret-Villacura, Luis; Quevedo, Tito Pizarro; Ramirez, Carlos Diaz; Pino, Jose Palacios; Tonacca, Luis Saez</t>
  </si>
  <si>
    <t>Reopening of school kiosks post pandemic. Proposals from a look at healthy food environments</t>
  </si>
  <si>
    <t>REVISTA CHILENA DE NUTRICION</t>
  </si>
  <si>
    <t>en la disminucion de bebidas azucaradas, alimentos ricos en grasas, azucar, sal entre otros y en el aumento de alimentos desarrollan los ninos, ninas y jovenes tienen una influencia a la salud6,7,8. La escuela ofrece diversas oportunidades para mejorar la salud de su comunidad, entre otras, a traves de la entrega de alimentacion adecuada, talleres vida activa y las actividades propias de la formacion educativa en vida</t>
  </si>
  <si>
    <t>Pizarro, Tito/AAY-2260-2021</t>
  </si>
  <si>
    <t>0717-7518</t>
  </si>
  <si>
    <t>10.4067/S0717-75182023000500571</t>
  </si>
  <si>
    <t>WOS:001139547600006</t>
  </si>
  <si>
    <t>Corral, L; Román, PE</t>
  </si>
  <si>
    <t>Corral, Luis; Roman, Pablo E.</t>
  </si>
  <si>
    <t>Vectorized Matrix Formulation for Sound Power Determination Through Inverse Problems and Regularization Techniques</t>
  </si>
  <si>
    <t>JOURNAL OF THEORETICAL AND COMPUTATIONAL ACOUSTICS</t>
  </si>
  <si>
    <t>Sound power estimation is a widely investigated research topic. Some of its state-of-the-art measurement solutions include taking velocity values on the source boundary, discrete pressure assessment on a virtual outer surface or evaluations with a sound intensity probe. The increased availability of microphone arrays proposes a new tool to obtain these results. The inverse boundary element method, the equivalent source method, the Helmholtz equation least-squares, and an approach based on the radiation resistance matrix provide vectorized formulations for estimating sound power. In this study, the results for different regularization techniques on the sound power deviation from a discrete line source are presented based on a backward reconstruction scheme from simulated sound pressure field points on four microphone arrays. Additionally, in this study, time improvement between single-frequency calculations and multi-frequency execution on multiple graphics processing units is presented. The outcome shows good accuracy and reduced computation time in graphics card implementations.</t>
  </si>
  <si>
    <t>Asenjo, Pablo/AAZ-8486-2021; Roman, Pablo/G-1960-2011</t>
  </si>
  <si>
    <t>Roman, Pablo/0000-0002-7105-9371; Corral, Luis/0000-0002-6624-8901</t>
  </si>
  <si>
    <t>2591-7285</t>
  </si>
  <si>
    <t>2591-7811</t>
  </si>
  <si>
    <t>10.1142/S2591728523500111</t>
  </si>
  <si>
    <t>WOS:001188173900001</t>
  </si>
  <si>
    <t>Estenssoro-Saavedra, F</t>
  </si>
  <si>
    <t>Estenssoro-Saavedra, Fernando</t>
  </si>
  <si>
    <t>The Decline of the Hegemonic Power of the United States and the Emergence of Multipolarism: Challenges for Latin America</t>
  </si>
  <si>
    <t>URVIO-REVISTA LATINOAMERICANA DE ESTUDIOS DE SEGURIDAD</t>
  </si>
  <si>
    <t>This paper exposes the debate about the decline of the hegemonic power of the United States in the world order, associated with the emergence of a new multipolar order. It is related to the debate on the validity of the North-South division after the end of the Cold War, to make a reflection concerning the complexities that Latin America could face, in a new multipolar order. The methodology is the historical analysis based on a review of primary and secondary sources. The stages of a debate that began in the eighties of the last century and that continues to the present are diachronically exposed. It concludes that regional unity is important to face the challenges of the emerging new world order.</t>
  </si>
  <si>
    <t>1390-3691</t>
  </si>
  <si>
    <t>1390-4299</t>
  </si>
  <si>
    <t>10.17141/urvio.37.2023.5949</t>
  </si>
  <si>
    <t>WOS:001114263200002</t>
  </si>
  <si>
    <t>Alcala, A; Plyushchay, MS</t>
  </si>
  <si>
    <t>Alcala, Andrey; Plyushchay, Mikhail S.</t>
  </si>
  <si>
    <t>Weak-strong duality of the non-commutative Landau problem induced by a two-vortex permutation, and conformal bridge transformation</t>
  </si>
  <si>
    <t>A correspondence is established between the dynamics of the two-vortex system and the non-commutative Landau problem (NCLP) in its sub- (non-chiral), super- (chiral) and critical phases. As a result, a trivial permutation symmetry of the point vortices induces a weak-strong coupling duality in the NCLP. We show that quantum two-vortex systems with non-zero total vorticity can be generated by applying conformal bridge transformation to a two-dimensional quantum free particle or to a quantum vortex-antivortex system of zero total vorticity. The sub- and super-critical phases of the quantum NCLP are generated in a similar way from the 2D quantum free particle in a commutative or non-commutative plane. The composition of the inverse and direct transformations of the conformal bridge also makes it possible to link the non-chiral and chiral phases in each of these two systems.</t>
  </si>
  <si>
    <t>10.1007/JHEP08(2023)141</t>
  </si>
  <si>
    <t>WOS:001188144100002</t>
  </si>
  <si>
    <t>López, JIP</t>
  </si>
  <si>
    <t>Lopez, Jose I. Ponce</t>
  </si>
  <si>
    <t>IN DEFENSE OFTHE PUBLIC HEALTH! RISE AND DECLINE OF UNION POWER OF HEALTH WORKERS IN THE CHILEAN POST-DICTATORSHIP, 1990-2004</t>
  </si>
  <si>
    <t>The article addresses the trajectory of the union power of health workers in the Chilean post-dictatorship. It is argued that its becoming was linked to the deployment of a confrontational trade union strategy within the framework of the union political culture of the sector. That had an ascending and a declining moment. The turning point of this was the double strike of 1996, when there was evidence of wear and tear in the combination of their structural, social, institutional and associative power resources. This left them in a secondary position and weakened in organizational terms, just when they had to face the health reform of the Ricardo Lagos government. All this is analyzed through a discourse analysis, taking as sources the press, government archives and an interview with a union leader of the period.</t>
  </si>
  <si>
    <t>WOS:001164876600006</t>
  </si>
  <si>
    <t>Contreras, BV; Avalos, VG</t>
  </si>
  <si>
    <t>Contreras, Blas Vargas; Avalos, Valeria Galvez</t>
  </si>
  <si>
    <t>Diabetes mellitus mortality trends in Chile (1990-2020)</t>
  </si>
  <si>
    <t>Purpose: To analyze the long-term trends by age and sex of mortality from diabetes mellitus (DM) in Chile, during the years 1990-2020. Material and method: The standardized mortality rate for DM was analyzed, according to age and sex, through the elaboration of a retrospective cohort study. The age-adjusted mortality rate trend was examined, using joinpoint regression analysis to estimate the annual percentage change and to assess its statistical significance. Results: A total of 97,939 deaths were registered between 1990-2020 (49,273 men and 48,666 women) in Chile. The crude mortality rate was slightly higher in men and 60% of deaths occur in people over 80 years of age. The trend analysis showed a statistically significant increase in annual percentage change of 3.16% until 2002 and then a constant decrease of -1.25% per year. In the analysis by sex, in men there was an increase in annual percentage change of 0.99% per year, while in women there was a decrease of -0.92% per year. Conclusions: Mortality from DM has sustained a constant decrease since 2002. However, when the data is analyzed by sex, men have a higher mortality rate with and upwards trend throughout the years studied. It is important to carry out a study of other variables that might explain these results, in order to reach a conclusion that could impact on the outcomes of patients with DM.</t>
  </si>
  <si>
    <t>10.1016/j.rmclc.2023.05.002</t>
  </si>
  <si>
    <t>MAY 2023</t>
  </si>
  <si>
    <t>WOS:001017726100001</t>
  </si>
  <si>
    <t>Montalva, J</t>
  </si>
  <si>
    <t>Montalva, Joaquin</t>
  </si>
  <si>
    <t>WHO ANNOUNCES THE NONRECOURSE? THE FORT/DAIN TO DO JUSTICE TO FREUD AND IN THE DERRIDA/FOUCAULT DEBATE</t>
  </si>
  <si>
    <t>This article consists of a commentary on Derrida's essay Being Fair to Freud: The History of Madness in the Age of Psychoanalysis in order to trace what cannot be reappropriated by the presupposition of the framework of the debate between Derrida and Foucault. By analyzing the question who announces the non-recourse?, I will explore the way in which Derrida's writing is affected by the necessity and impossibility of not repressing unreason. I will argue that Derrida compulsively writes the effects of such resistance to not repress unreason through the repetition of the Foucauldian search for a beyond reason. This  repetition compulsion' not only reopens the debate over and over again, but triggers the return of unreason in the form of a disorder of the principles of identity and linear time, destabilizing all forms of authorship on the history of madness in general and each one of his criticisms. This article approaches the exchanges between Derrida and Foucault deconstructing the premise of the possibility of a debate on the history of madnessThis article consists of a commentary on Derrida's essay Being Fair to Freud: The History of Madness in the Age of Psychoanalysis in order to trace what cannot be reappropriated by the presupposition of the framework of the debate between Derrida and Foucault. By analyzing the question who announces the non-recourse?, I will explore the way in which Derrida's writing is affected by the necessity and impossibility of not repressing unreason. I will argue that Derrida compulsively writes the effects of such resistance to not repress unreason through the repetition of the Foucauldian search for a beyond reason. This  repetition compulsion' not only reopens the debate over and over again, but triggers the return of unreason in the form of a disorder of the principles of identity and linear time, destabilizing all forms of authorship on the history of madness in general and each one of his criticisms. This article approaches the exchanges between Derrida and Foucault deconstructing the premise of the possibility of a debate on the history of madness</t>
  </si>
  <si>
    <t>Montalva, Joaquin/0000-0001-9602-2201</t>
  </si>
  <si>
    <t>10.1590/0101-3173.2023.V46n2.p167</t>
  </si>
  <si>
    <t>WOS:000983307600001</t>
  </si>
  <si>
    <t>Lobos, LOC; Vásquez, LPC; Aldea, EYH</t>
  </si>
  <si>
    <t>Castillo Lobos, Lucia Odette; Contreras Vasquez, Luis Patricio; Hermosilla Aldea, Elizabeth Yenny</t>
  </si>
  <si>
    <t>Placing survival above the ideal of motherhood: experiences of migratory mourning of migrant mothers in Chile</t>
  </si>
  <si>
    <t>SALUD COLECTIVA</t>
  </si>
  <si>
    <t>This article presents an approach to the phenomenon of migratory mourning of migrant mothers in Chile. Between 2021 and 2022, a qualitative exploratory study based on symbolic interactionism was carried out, in which semi-structured interviews were conducted with 39 migrant mothers of Venezuelan (18), Peruvian (11) and Haitian (9) origin. Based on a theoretically-informed thematic analysis, three analytical categories emerged: 1) the loss of social ties and distance to their place of origin; 2) expectations versus reality; and 3) the validation of overexertion. Migrant mothers express migratory mourning with varying levels of nuance depending on their country of origin, and to a greater or lesser degree signify their experiences in terms of uprooting and the absence of support networks, which they identify as the main cause of the sadness they experience on a daily basis. This sadness increases when they negotiate their ideals regarding the upbringing of their sons and daughters in favor of material subsistence in order to achieve the goals of a better life, and for which they justify overexertion as a strategy for improvement. These pressures bring with them psychological and physical consequences and interfere with their processes of migratory mourning, compromising their mental health and that of their children.</t>
  </si>
  <si>
    <t>1669-2381</t>
  </si>
  <si>
    <t>1851-8265</t>
  </si>
  <si>
    <t>10.18294/sc.2023.4649</t>
  </si>
  <si>
    <t>WOS:001177212500003</t>
  </si>
  <si>
    <t>Pizarro, A</t>
  </si>
  <si>
    <t>Pizarro, Ana</t>
  </si>
  <si>
    <t>Speech by PhD Ana Pizarro, upon Receiving the Distinction of Professor Emerita of the Universidad de Santiago de Chile, on October 5, 2023</t>
  </si>
  <si>
    <t>WOS:001144754000010</t>
  </si>
  <si>
    <t>Aldabaldetrecu, M; Parra, M; Soto-Aguilera, S; Arce, P; Quiroz, APD; Segura, R; Tello, M; Guerrero, J; Modak, B</t>
  </si>
  <si>
    <t>Aldabaldetrecu, Maialen; Parra, Mick; Soto-Aguilera, Sarita; Arce, Pablo; Quiroz, Amaya Paz de la Vega; Segura, Rodrigo; Tello, Mario; Guerrero, Juan; Modak, Brenda</t>
  </si>
  <si>
    <t>Protective Effect of [Cu(NN1)2](ClO4) Complex in Rainbow Trout Challenged against Flavobacterium psychrophilum</t>
  </si>
  <si>
    <t>MICROORGANISMS</t>
  </si>
  <si>
    <t>Previously, we reported an in vitro evaluation regarding antibacterial effects against F. psychrophilum by a new Cu (I) complex, [Cu(NN1)(2)](ClO4). This study presents the results of an in vivo evaluation of [Cu(NN1)(2)](ClO4) added as a dietary supplement against F. psychrophilum in rainbow trout. The results showed that the administration of [Cu(NN1)(2)](ClO4) at 29 and 58 mu g/g of fish for 15 days does not affect the growth of rainbow trout. On the other hand, the amount of copper present in the liver, intestine, and muscle of rainbow trout was determined. The results showed that the amount of copper in the liver, when compared between treated fish and control fish, does not change. While, in the intestine, an increase in the fish fed at 58 mu g/g of fish was observed. In muscle, a slight decrease at 29 mu g/g was obtained. Additionally, copper concentrations in the pond water after 15 days of feeding with the [Cu(NN1)(2)](ClO4) complex showed the highest levels of copper. Finally, the effect of the administration of [Cu(NN1)(2)](ClO4) for 15 days at 58 mu g/g of fish was evaluated against F. psychrophilum, where a 75% survival was obtained during 20 days of challenge.</t>
  </si>
  <si>
    <t>Segura, Rodrigo/J-6696-2016; Tello, Mario/N-4198-2019</t>
  </si>
  <si>
    <t>Paz de la vega Quiroz, Amaya/0000-0003-3249-6568; Segura, Rodrigo/0000-0001-5747-2357; Tello, Mario/0000-0003-4573-6460; ArceOrtega, Pablo/0000-0002-4689-3874</t>
  </si>
  <si>
    <t>2076-2607</t>
  </si>
  <si>
    <t>10.3390/microorganisms10112296</t>
  </si>
  <si>
    <t>WOS:000895716800001</t>
  </si>
  <si>
    <t>Lavín, SO</t>
  </si>
  <si>
    <t>Osorio Lavin, Sebastian</t>
  </si>
  <si>
    <t>National bourgeoisies and capital accumulation in Latin America. Lights and shadows of the Marxist Dependence Theory</t>
  </si>
  <si>
    <t>The paper proposes a synthesis and critical assessment of the treatment that the Marxist Theory of Dependence elaborated about the national bourgeoisies in Latin American capitalism during its period of industrialization guided by the State. The question is considered in terms of its link with the capitalist class from advanced industrialization countries, and regarding their role in the internal accumulation process. The analysis reveals the successes and multiple difficulties of the dependence approach to address the region's specificity.</t>
  </si>
  <si>
    <t>WOS:000798561100009</t>
  </si>
  <si>
    <t>Castro, P; Parada, R; Corrial, C; Mendoza, L; Cotoras, M</t>
  </si>
  <si>
    <t>Castro, Paulo; Parada, Rodolfo; Corrial, Carlos; Mendoza, Leonora; Cotoras, Milena</t>
  </si>
  <si>
    <t>Endophytic Fungi Isolated from Baccharis linearis and Echinopsis chiloensis with Antifungal Activity against Botrytis cinerea</t>
  </si>
  <si>
    <t>JOURNAL OF FUNGI</t>
  </si>
  <si>
    <t>Botrytis cinerea is one of the most important phytopathogens in agriculture worldwide, infecting economically important crops. The main control of this fungus is by synthetic fungicides, causing the selection of resistant isolates. Compounds produced by endophytic fungi have been shown to have antifungal activity against this pathogen and can be used as an alternative to synthetic fungicides. The aim of this work was to isolate endophytic fungi from Chilean foothills in the Metropolitan Region. Ten fungi were isolated from Echinopsis chiloensis and Baccharis linearis, however, only two isolates inhibited the mycelial growth of B. cinerea by antibiosis and were identified as Epicoccum sp. and Pleosporales sp. Extracts at 200 mg L-1 from Epicoccum sp. and Pleosporales sp. showed antifungal activity against B. cinerea of 54.6 and 44.6% respectively. Active compounds in the Epicoccum sp. extracts were mainly alkaloids and phenolic compounds; meanwhile, in the Pleosporales sp. extracts, terpenes and/or saponins were responsible for the antifungal activity.</t>
  </si>
  <si>
    <t>parada, rodolfo/0000-0001-5344-0243</t>
  </si>
  <si>
    <t>2309-608X</t>
  </si>
  <si>
    <t>10.3390/jof8020197</t>
  </si>
  <si>
    <t>WOS:000763095400001</t>
  </si>
  <si>
    <t>Fernández, CM</t>
  </si>
  <si>
    <t>Fernandez, Christian Matamoros</t>
  </si>
  <si>
    <t>Labor conflict in the New Public Education. Barrancas: 2018-2021</t>
  </si>
  <si>
    <t>One of the main reforms of the second government of Michelle Bachelet (2014-2018) was the New Public Education, which sought to transfer educational establishments from the municipal administration to the so-called Local Education Services, decentralized public entities that house schools of several adjoining communes. Various social movements for decades had been demanding a process of demunicipalization, where the State would once again assume its educational responsibility. However, when analyzing the experience of one of the first Local Services to start up (Barrancas), there is a high level of labour conflict and criticism from education workers regarding this process, questioning the public nature of this reform and the role of the State in the administration of schools. To develop this research, we have relied on the review of the local press and interviews with workers affiliated with the various associations of Barrancas.</t>
  </si>
  <si>
    <t>WOS:000935581100002</t>
  </si>
  <si>
    <t>Gil, Sebastian Reyes</t>
  </si>
  <si>
    <t>HOMOSEXUALITY, HETEROTOPIA AND CAMP AESTHETIC IN THE NOVEL THE PRINCE (1972) BY MARIO CRUZ</t>
  </si>
  <si>
    <t>HISPANOFILA</t>
  </si>
  <si>
    <t>0018-2206</t>
  </si>
  <si>
    <t>2165-6185</t>
  </si>
  <si>
    <t>WOS:000891160500007</t>
  </si>
  <si>
    <t>Potter, H; Kern, J; Gonzalez, G; Urrea, C</t>
  </si>
  <si>
    <t>Potter, Harold; Kern, John; Gonzalez, Guillermo; Urrea, Claudio</t>
  </si>
  <si>
    <t>Energetically Optimal Trajectory for a Redundant Planar Robot by Means of a Nested Loop Algorithm</t>
  </si>
  <si>
    <t>ELEKTRONIKA IR ELEKTROTECHNIKA</t>
  </si>
  <si>
    <t>This work presents an optimal point-to-point trajectory planning method based on fourth degree polynomials to reduce the energy consumption of a redundant planar robot in the XY plane. The contribution of this study focuses on the development of a two-level nested optimization algorithm, which manages to optimize three elements: the Optimal Weighting Vector that establishes the influence of each joint on the total energy consumption of the robotic equipment; the optimal start and finish configurations of the trajectory; and the vector corresponding to the fifth coefficient of the trajectory generator polynomial. The tests are carried out with different optimization techniques and objective functions related to energy consumption to determine their best combination and achieve the minimum possible computation time and energy savings, according to the test conditions used. Furthermore, the energetic performance of the redundant manipulator is compared with its non-redundant version, limiting its operation to only two degrees of freedom in all its variants.</t>
  </si>
  <si>
    <t>Gonzalez, Guillermo/HMV-7330-2023; Claudio, URREA/KWU-1600-2024</t>
  </si>
  <si>
    <t>Urrea, Claudio/0000-0001-7197-8928; Gonzalez Romero, Guillermo/0000-0002-6946-6728</t>
  </si>
  <si>
    <t>1392-1215</t>
  </si>
  <si>
    <t>10.5755/j02.eie.30397</t>
  </si>
  <si>
    <t>WOS:000838598100001</t>
  </si>
  <si>
    <t>Ferreira, JGB</t>
  </si>
  <si>
    <t>Bezerrra Ferreira, Jose Genival</t>
  </si>
  <si>
    <t>TEACHING OF PORTUGUESE LANGUAGE FOR FOREIGNERS: IMPLICATIONS OF THE PLURALITY OF CONCEPTS</t>
  </si>
  <si>
    <t>REVISTA ENTRELINGUAS</t>
  </si>
  <si>
    <t>The article presents preliminary results of a post-doctorate program at the Faculty of Education at the Universidade de Sao Paulo. It discusses the terminology used by universities to name the discipline Portuguese as a Foreign Language. As we know, this subject can be called additional language, heritage language, host language, among others. In this regard, the investigation seeks to understand whether there are reasons for the existence of so many denominations. In this sense, it is necessary to research whether the nomenclatures have different approaches and/or methodologies, to further understand the option to adopt them. For that, we applied a questionnaire, through Google Forms, to professors who work with the PLE in several university institutions, to know their perceptions about the subject. The results show that, in practice, most teachers do not make a difference between Portuguese Mother Tongue and Portuguese as a Foreign Language in terms of teaching approaches and are unaware of the particularities of the various existing conceptions.</t>
  </si>
  <si>
    <t>2447-4045</t>
  </si>
  <si>
    <t>2447-3529</t>
  </si>
  <si>
    <t>e021143</t>
  </si>
  <si>
    <t>10.29051/el.v7iesp.6.15423</t>
  </si>
  <si>
    <t>WOS:000807685200013</t>
  </si>
  <si>
    <t>Diaz-Espinoza, R</t>
  </si>
  <si>
    <t>Diaz-Espinoza, Rodrigo</t>
  </si>
  <si>
    <t>Recent High-Resolution Structures of Amyloids Involved in Neurodegenerative Diseases</t>
  </si>
  <si>
    <t>FRONTIERS IN AGING NEUROSCIENCE</t>
  </si>
  <si>
    <t>Amyloids are highly ordered aggregates composed of proteins or peptides. They are involved in several pathologies, including hallmark neurodegenerative disorders such as Alzheimer's (AD) and Parkinson's (PD). Individuals affected by these diseases accumulate in their brains amyloids inclusions composed of misfolded forms of a peptide (A beta) and a protein (Tau) in AD and alpha-synuclein protein (alpha-Sn) in PD. Tau and alpha-Sn aggregates are also present in other neurodegenerative diseases. The insoluble nature and heterogeneity of amyloids have hampered their study at the molecular level. However, the use of solid state NMR and Cryogenic-electron microscopy along with fine-tuned modulation of the aggregation in vitro and improved isolation methods of brain-derived amyloids has allowed the elucidation of these elusive conformations at high resolution. In this work, we review the latest progress on the recent amyloid structures reported for A beta, Tau, and alpha-Sn. The two-fold symmetry emerges as a convergent feature in the tridimensional arrangement of the protofilaments in the fibrillary structure of these pathological amyloids, with many of them exhibiting a Greek-key topology as part of their overall architecture. These specific features can serve as novel guides to seek potential molecular targets in drug design efforts.</t>
  </si>
  <si>
    <t>Diaz-Espinoza, Rodrigo/HDM-8819-2022</t>
  </si>
  <si>
    <t>1663-4365</t>
  </si>
  <si>
    <t>NOV 19</t>
  </si>
  <si>
    <t>10.3389/fnagi.2021.782617</t>
  </si>
  <si>
    <t>WOS:000727192200001</t>
  </si>
  <si>
    <t>Fuentealba, D; Lopez, M; Ponce, H</t>
  </si>
  <si>
    <t>Fuentealba, Diego; Lopez, Mario; Ponce, Hector</t>
  </si>
  <si>
    <t>Effects on Time and Quality of Short Text Clustering during Real-Time Presentations</t>
  </si>
  <si>
    <t>Technologies for live presentations should consider users' capabilities to manage large amounts of data in real-time, particularly, exchanges of short texts (e.g., phrases). This study examines the effects on time and quality of text clustering algorithms applied to short, medium, and long size texts, and examines whether short text clustering shows a reasonable performance for live presentations. We run several simulations in which we varied the number of phrases (from 5 to 200) contained in each text type (long, medium, and short) and the number of generated clusters (from 2 to 10). The algorithms used were snowball steamers, TF-IDF, and K-means for clustering; and the text types were Reuters, 20 NewsGroup and an experimental data set, for the long, medium, and short size texts, respectively. The first result showed that text size had a large effect on the algorithms execution time, with the shortest average time for the short texts and longer average time for the longest texts. The second result showed that the number of phrases in each text type significantly predicts execution time but not the number of clusters generated by K-means. Inertia and purity measures were used to test the quality of the clusters generated. Text size, number of phrases and number of clusters predict inertia; showing the lowest inertia for the short texts. Purity measures were like previously reported results for all text types. Thus, clustering algorithms for short texts can confidently be used in real-time presentations.</t>
  </si>
  <si>
    <t>Ponce, Hector/H-9545-2019; Fuentealba, Diego/AAM-8509-2020</t>
  </si>
  <si>
    <t>Fuentealba, Diego/0000-0001-5284-0448; Lopez, Mario/0000-0003-0909-7702; Ponce, Hector R./0000-0002-7984-3945</t>
  </si>
  <si>
    <t>10.1109/TLA.2021.9475870</t>
  </si>
  <si>
    <t>WOS:000670590800016</t>
  </si>
  <si>
    <t>Stephan, DA</t>
  </si>
  <si>
    <t>Aurenque Stephan, Diana</t>
  </si>
  <si>
    <t>Phenomenology of Old Age and the Body as an Anchor to Time: One must have to be old to realize how short life truly is</t>
  </si>
  <si>
    <t>VALENCIANA</t>
  </si>
  <si>
    <t>Old age constitutes a stage in human development that is less systematically studied by philosophy. Recently, in the last few years, a greater number of works has appeared about old age, most likely due to new ethical, social, economic and political challenges that bring about accelerated aging in the world's population. Why hasn't old age had greater prominence in philosophy's history? Throughout this work, I will show that the marginality should not be attributed exclusively to neglect from the discipline's proponents; rather that it seems founded in the phenomenon's own nature. As we shall see, if it is true that old age can be expressed in different human and non-human species, it has a particularly exhausting impact due to our temporal and spatial consciousness. Starting with a philosophical reflection on aging, the work attempts to contribute to the productive and historical relation between philosophy and medicine.</t>
  </si>
  <si>
    <t>2007-2538</t>
  </si>
  <si>
    <t>2448-7295</t>
  </si>
  <si>
    <t>10.15174/rv.v13i27.479</t>
  </si>
  <si>
    <t>WOS:000644371700006</t>
  </si>
  <si>
    <t>Gómez, MB</t>
  </si>
  <si>
    <t>Barraza Gomez, Marcos</t>
  </si>
  <si>
    <t>The matryoshka crisis, social fracture and the common good. Reflections on the emergence of the concept of dignity and the path towards a new constitution</t>
  </si>
  <si>
    <t>WOS:000651158400003</t>
  </si>
  <si>
    <t>Carrasco, D; Aravena, J; Uriarte, M; Ibaceta, E; Díaz, M; Espina, E</t>
  </si>
  <si>
    <t>Carrasco, Dante; Aravena, Jose; Uriarte, Matias; Ibaceta, Efrain; Diaz, Matias; Espina, Enrique</t>
  </si>
  <si>
    <t>Design and Implementation of a Back to Back Interlinking Converter for AC-DC Microgrid Applications</t>
  </si>
  <si>
    <t>Alternating Current (AC) and Direct Current (DC) Microgrids have received attention in the last years because they allow the connection of AC and DC resources such as wind and solar energy. The AC and DC stages are connected through interlinking converters which manage the power transference among both sub-microgrids. This paper describes the design and implementation of an AC-DC back-to-back interlinking converter developed for laboratory applications. First, the design of the power stage of the converter is described. Additionally, a conventional synchronous frame control strategy is presented and implemented in a real-time controller. Finally, experimental results are presented to validate the correct operation of the proposed converter to perform AC-DC conversion.</t>
  </si>
  <si>
    <t>Espina, Enrique/AGZ-7297-2022; Diaz, Matias/R-7570-2018</t>
  </si>
  <si>
    <t>Espina, Enrique/0000-0002-2075-2010</t>
  </si>
  <si>
    <t>10.1109/CHILECON54041.2021.9702978</t>
  </si>
  <si>
    <t>WOS:000788072700138</t>
  </si>
  <si>
    <t>Lobos, LC; Lizarraga, AP</t>
  </si>
  <si>
    <t>Castillo Lobos, Lucia; Pavez Lizarraga, Amaya</t>
  </si>
  <si>
    <t>The epistemological place of Nursing as art from an Aristotelian viewpoint</t>
  </si>
  <si>
    <t>CULTURA DE LOS CUIDADOS</t>
  </si>
  <si>
    <t>Nursing is the science of caring which sustains its knowledge on a complex theoretical corpus. In its evolution as a science, four epistemological dimensions are identified belonging to the knowledge of Nursing: the complexity of the discipline, the paradigmatic changes of science, the coexistence of quantitative-qualitative paradigms, and the gender perspective. During the 19th and 20th centuries, conceptualizing Nursing as a whole that involves science and art represented a contradictory reality that went beyond the development of modern science by putting together the field of knowledge of the natural sciences with that of the social sciences and art. This abject convergence of health science is vanguardist and precursor of the integration of the quantitative-qualitative paradigms to understand the diversity of the expressions of human health. Attend to the care needs supported by a theoretical body that understands the health phenomenon, rescuing the aesthetic, creative and individual principles of care, makes Nursing a transgressive science and, from an Aristotelian point of view, represents in itself a poeisis, inasmuch as its reflection and practice constitute the creation of unique, individual, complex and aesthetic care that demands biological, socio-psycho-cultural and spiritual coherence.</t>
  </si>
  <si>
    <t>1138-1728</t>
  </si>
  <si>
    <t>1699-6003</t>
  </si>
  <si>
    <t>10.14198/cuid.2021.60.10</t>
  </si>
  <si>
    <t>WOS:000677642300010</t>
  </si>
  <si>
    <t>Barrios, PM</t>
  </si>
  <si>
    <t>Munoz Barrios, Patricio</t>
  </si>
  <si>
    <t>Keys to rethinking the new contexts of the world of work</t>
  </si>
  <si>
    <t>WOS:000651158400018</t>
  </si>
  <si>
    <t>Urrea, C; Jara, D</t>
  </si>
  <si>
    <t>Urrea, Claudio; Jara, Daniel</t>
  </si>
  <si>
    <t>Design, Analysis, and Comparison of Control Strategies for an Industrial Robotic Arm Driven by a Multi-Level Inverter</t>
  </si>
  <si>
    <t>In this article, we present the design and implementation of different control strategies for the position of a 2-Degree-of-Freedom (DoF) robotic arm, namely gain scheduling per trenches, gain scheduling by interpolation, adaptive control, and fuzzy logic. The first link of this robot is driven by an Alternating Current Brushless Permanent Magnet Motor (ACBPMM) through a three-phase multi-level inverter with 27 levels of voltage per phase. Thanks to the topologies offered by ACBPMMs and to the multi-level inverter, high commutation frequencies are reduced, as observed in the computer simulations. Additionally, to determine which proposed control strategies are the most suitable for an ACBPMM connected to a multi-level inverter, a comparative study on the performance of the controllers implemented for this robot is conducted.</t>
  </si>
  <si>
    <t>10.3390/sym13010086</t>
  </si>
  <si>
    <t>WOS:000610762100001</t>
  </si>
  <si>
    <t>Three questions on COVID-19: testing, infectiousness, and school opening</t>
  </si>
  <si>
    <t>e8068</t>
  </si>
  <si>
    <t>10.5867/medwave.2020.10.8068</t>
  </si>
  <si>
    <t>WOS:000603383400006</t>
  </si>
  <si>
    <t>Urrea, C; Mignogna, A</t>
  </si>
  <si>
    <t>Urrea, Claudio; Mignogna, Alexis</t>
  </si>
  <si>
    <t>Development of an expert system for pre-diagnosis of hypertension, diabetes mellitus type 2 and metabolic syndrome</t>
  </si>
  <si>
    <t>HEALTH INFORMATICS JOURNAL</t>
  </si>
  <si>
    <t>This study involved the development of an expert system for the pre-diagnosis of hypertension, diabetes mellitus type 2 and metabolic syndrome. The expert system has been developed using web technologies, PHP, Apache and MySQL with CLIPS tool; the expert system includes three algorithms designed by the authors, one for each disease. The objective of this study is to provide an expert system capable of performing a pre-diagnosis for early detection of hypertension, diabetes mellitus type 2 and metabolic syndrome. The methodology to build the system consists in associated risk factors, clinical variables diagnosis criteria based on World Health Organization standards in three algorithms and then develop a program that interacts with users, besides the expert system is compared with the existing expert systems in order to show its originality and innovation. The rules of systems are designed using CLIPS systems and the Architecture Apache, MySQL and PHP for the user interface and database. The system was validated by 72 patient(s) and 3 real doctors, the total result over 72 patient(s) is low risk 16.6 percent, moderate risk 30.5 percent, moderate high risk 13.8 percent, high risk 23.6 percent, very high risk 15.2 percent, and the doctors' feedback was similar to that shown by the system. The number of rules to create the algorithms and the criteria used were adequate and sufficient to obtain the pre-diagnosis of each disease; in addition, the languages used to design and create the web application were stable. All users who used the system obtained similar results to those obtained by doctors.</t>
  </si>
  <si>
    <t>1460-4582</t>
  </si>
  <si>
    <t>1741-2811</t>
  </si>
  <si>
    <t>10.1177/1460458220937095</t>
  </si>
  <si>
    <t>JUL 2020</t>
  </si>
  <si>
    <t>WOS:000551161300001</t>
  </si>
  <si>
    <t>Alvarez-Rojas, C</t>
  </si>
  <si>
    <t>Alvarez-Rojas, Christian</t>
  </si>
  <si>
    <t>SPIRITUAL SCIENTISM: THE WORK OF ARTURO ALDUNATE PHILIPS IN THE DISCUSSION ON SCIENCE AND DEVELOPMENT</t>
  </si>
  <si>
    <t>Scientism has been frequently pointed out as an ideology equivalent to modernity and colonialism. This article aims to study this concept under the approach of Latin American Thought, and define it as a device used to reinforce sets of broader ideas. For that purpose, I will explain the thought of Arturo Aldunate Phillips contained in his popular science work as a spiritual scientism, faced with the discussion about the role of science in the development in Chile and Latin America.</t>
  </si>
  <si>
    <t>WOS:000617097000004</t>
  </si>
  <si>
    <t>Arancibia Carrizo, Juan Pablo</t>
  </si>
  <si>
    <t>TRAGEDY AND GREEK DEMOCRACY: MIS-FORTUNE OF THE STASIS</t>
  </si>
  <si>
    <t>In the history of philosophy, references to tragedy and tragic motives constitute a field of thought. In modern philosophy, after the studies of Goethe, Schlegel, Schiller, Hegel, Holderlin, Schopenhauer or Nietzsche, a tragic philosophy (Rosset 2010) and. a tragic sense (De Unamuno 1984; Gentili; Garelli 2015) were established as an explanatory principle of the tragic modern political experience (Williams 2014; Eagleton 2011). In the register of a philosophy of the tragic, the present text proposes a genealogical study of the relationship between tragedy and Greek democracy, through the examination of the category of stasis.</t>
  </si>
  <si>
    <t>WOS:000599973200003</t>
  </si>
  <si>
    <t>Armijo, A</t>
  </si>
  <si>
    <t>Armijo, Andrea</t>
  </si>
  <si>
    <t>The compradazgo, social mobility and power relations of free mulattos. San Jose de Logrotio, Chile, 1780-1810</t>
  </si>
  <si>
    <t>This article addresses compadrazgo or sponsorship between free mulattoes, a mechanism used to reinforce family and neighbourhood ties, but also as a form of support and/or legitimacy bestowing social prestige and building power relations in the town of San Jose de Logroho between 1780 and 1810. These relationships and links are documented in parish records, and in the wills and letters of freedom of slaves, whereby the use of social networks allows us to analyse the interpersonal ties between different sectors and social groups. The results indicate that the relationships between mulattoes and other individuals, groups and families involved the construction of social hierarchies among social peers, and permit analysis of how the strategies for ascent and social mobility operate.</t>
  </si>
  <si>
    <t>10.3989/revindias.2020.006</t>
  </si>
  <si>
    <t>WOS:000525271700006</t>
  </si>
  <si>
    <t>Ramírez, LB</t>
  </si>
  <si>
    <t>Briceno Ramirez, Laura</t>
  </si>
  <si>
    <t>Intellectual writers and cultural policy in Salvador Allende's government The contributions of the Writers Workshop of the Popular Unity (1970-1973)</t>
  </si>
  <si>
    <t>The objective of this article, is to analyze the cultural proposal of a group of writers who signed and published in the magazine Cormoran, in December 1970, the document, Politica Cultural: por la creacion de una cultura nacional y popular, under the self-styled Taller de escritores de la Unidad Popular. We analyze the diagnoses made by the writers, the foundational premises of what the new culture would be, the role that corresponded to the intellectuals in this process. It is an analytical exercise that delves into the process of reception, production and circulation of ideas on cultural policy of this group, in order to highlight the development of other projects that, although they were not considered by the government of Salvador Allende, are feasible to historicize, since they express representations, imaginaries and cultural projections of intellectuals who decided, from their adhesion and commitment to Unidad Popular, to contribute to the construction of what would be the new socialist culture.</t>
  </si>
  <si>
    <t>WOS:000614863100006</t>
  </si>
  <si>
    <t>Estenssoro, F</t>
  </si>
  <si>
    <t>Estenssoro, Fernando</t>
  </si>
  <si>
    <t>ECODEVELOPMENT</t>
  </si>
  <si>
    <t>WOS:000608865900026</t>
  </si>
  <si>
    <t>Bachelet, VC; Uribe, FA; Diaz, RA; Vergara, AF; Bravo-Cordova, F; Carrasco, VA; Lizana, FJ; Meza-Ducaud, N; Navarrete, MS</t>
  </si>
  <si>
    <t>Bachelet, Vivienne C.; Uribe, Francisco A.; Diaz, Ruben A.; Vergara, Alonso F.; Bravo-Cordova, Fabiana; Carrasco, Victor A.; Lizana, Francisca J.; Meza-Ducaud, Nicolas; Navarrete, Maria S.</t>
  </si>
  <si>
    <t>Misrepresentation of institutional affiliations: The results from an exploratory case study of Chilean authors</t>
  </si>
  <si>
    <t>LEARNED PUBLISHING</t>
  </si>
  <si>
    <t>University ranking systems and the publish-or-perish dictum are driving universities and researchers around the world to increase their research productivity and publication outputs. There is no regulated checking of author affiliations as authors are expected to only include affiliations to universities that have contributed substantially to the research conducted and to the published manuscript. Our study aims to establish whether author affiliations can be validated and if there is evidence of misrepresentation from authors who report multiple institutional affiliations. We conducted an exploratory case study on Scopus-indexed articles for 2016, searching all authors who reported multiple institutional affiliations in which at least one of them was to a Chilean university. Of 4,961 author records with multiple affiliations, we were unable to validate 38% of the affiliations to a Chilean university by checking the institutional websites. This affected 40% of articles and was most prevalent in health sciences and for private, new, universities. ORCID identifiers were not suitable for checking affiliations as there was low use of them: only 14% of the multiple-affiliated authors. The inability to validate affiliations might indicate misconduct, and if it is an indication of misrepresentation, it could have profound implications for many stakeholders (universities, journals, ranking houses, funders, and higher education policy-makers) due to inflated publication counts and under-reporting the actual input from individual institutions.</t>
  </si>
  <si>
    <t>Bachelet, Vivienne/JAN-7158-2023; NAVARRETE, MARISOL/AAG-4222-2020</t>
  </si>
  <si>
    <t>Bravo Cordova, Fabiana/0000-0003-3685-4617; Carrasco, Victor A./0000-0002-6588-7189; Navarrete, Maria S/0000-0002-5411-4498; Uribe, Francisco A/0000-0002-7433-0745; Vergara, Alonso F/0000-0002-8385-4372; Diaz, Ruben/0000-0001-6231-4871; Meza Ducaud, Nicolas/0000-0002-7194-6472; Bachelet, Vivienne C./0000-0002-5715-9755</t>
  </si>
  <si>
    <t>0953-1513</t>
  </si>
  <si>
    <t>1741-4857</t>
  </si>
  <si>
    <t>10.1002/leap.1257</t>
  </si>
  <si>
    <t>WOS:000488391600006</t>
  </si>
  <si>
    <t>Torres, NMN</t>
  </si>
  <si>
    <t>Nunez Torres, Nubia Macarena</t>
  </si>
  <si>
    <t>Changes in Sexuality of the Couple After the First Child</t>
  </si>
  <si>
    <t>INTERNATIONAL JOURNAL OF SEXUAL HEALTH</t>
  </si>
  <si>
    <t>1931-7611</t>
  </si>
  <si>
    <t>1931-762X</t>
  </si>
  <si>
    <t>SEP 23</t>
  </si>
  <si>
    <t>A587</t>
  </si>
  <si>
    <t>A588</t>
  </si>
  <si>
    <t>WOS:000489340404141</t>
  </si>
  <si>
    <t>Donoso-García, P; Henríquez-Vargas, L</t>
  </si>
  <si>
    <t>Donoso-Garcia, P.; Henriquez-Vargas, L.</t>
  </si>
  <si>
    <t>Numerical study of a waste heat recovery thermogenerator system</t>
  </si>
  <si>
    <t>JOURNAL OF THE BRAZILIAN SOCIETY OF MECHANICAL SCIENCES AND ENGINEERING</t>
  </si>
  <si>
    <t>This paper presents a numerical study on waste heat recovery from a fluid stream using thermoelectric elements for energy harvesting. Two fluids were tested, air and steam, and the voltage and overall efficiency were computed for different sets of operational conditions. The mathematical description considered turbulent regime and coupled transport phenomena for the description of the main thermoelectric effects. Numerical solution was achieved using ANSYS/FLUENT commercial software with complementary implementations of user-defined scalars and user-defined functions to account for the mathematical model specific needs. The system global efficiency was computed for a pair of heat extraction conditions and different operational variables giving values within [0.11-9.22] (%). It was found that the global efficiency increases with the fluid temperature and the decrease in the external thermal resistance. For all cases studied, the global efficiency was greater when air was used as a heat carrier fluid due to its specific heat values which were about half the steam ones.</t>
  </si>
  <si>
    <t>Donoso Garcia, Pablo/0000-0001-9839-8691</t>
  </si>
  <si>
    <t>1678-5878</t>
  </si>
  <si>
    <t>1806-3691</t>
  </si>
  <si>
    <t>AUG 8</t>
  </si>
  <si>
    <t>10.1007/s40430-019-1852-2</t>
  </si>
  <si>
    <t>WOS:000480470500002</t>
  </si>
  <si>
    <t>Valenzuela, B; Espinoza, D; Camus, C; Epuyao, N; Modak, B</t>
  </si>
  <si>
    <t>Valenzuela, B.; Espinoza, D.; Camus, C.; Epuyao, N.; Modak, B.</t>
  </si>
  <si>
    <t>Alpinone exhibit immunostimulant effects in Atlantic salmon kidney</t>
  </si>
  <si>
    <t>P-014</t>
  </si>
  <si>
    <t>10.1016/j.fsi.2019.04.083</t>
  </si>
  <si>
    <t>WOS:000474676700056</t>
  </si>
  <si>
    <t>Zamorano, M; Tomic, G; Silva, JR; Osorio, F</t>
  </si>
  <si>
    <t>Zamorano, Marcela; Tomic, Gerda; Silva, Jose Rolando; Osorio, Fernando</t>
  </si>
  <si>
    <t>Comparative study of fatty acid profiles in the muscular tissue (Longissimus dorsis) of bovines from Chile, Paraguay and Brazil</t>
  </si>
  <si>
    <t>FOOD SCIENCE AND TECHNOLOGY</t>
  </si>
  <si>
    <t>Per capita meat consumption in Chile is 89.1 kg per year in 2014, of which approximately 25 kg are beef. Some 50% of the beef consumed is imported as vacuum packaged meat from two species, Bos taurus, produced mainly in Chile, Argentina and Paraguay, and Bos indicus, which comes mainly from Brazil and Paraguay. The latter two countries account for the highest levels of beef imports in Chile. The objective of this investigation was to study and compare the fatty acid profiles of beef from Bos Taurus from Chile and Bos indicus from Paraguay and Brazil. Samples of vacuum packaged Longissimus dorsi muscle tissue were collected from private companies, two Chilean, three Paraguayan and two Brazilian. The fatty acid profiles were determined by GLC according to standardized regulations. There were differences in the fat profiles of the analyzed meats, mainly in the content of saturated and monounsaturated fatty acids. Brazilian and Paraguayan beef had similar fat compositions, with higher saturated fat content and lower monounsaturated fat content than the Chilean beef. The saturated and monounsaturated fat contents in the Chilean beef were similar. All the analyzed beef samples had a low content of trans and polyunsaturated fats.</t>
  </si>
  <si>
    <t>; osorio, fernando/AAY-7304-2021</t>
  </si>
  <si>
    <t>zamorano riquelme, marcela alejandra/0000-0003-1627-6338; osorio, fernando/0000-0001-7206-0924</t>
  </si>
  <si>
    <t>0101-2061</t>
  </si>
  <si>
    <t>1678-457X</t>
  </si>
  <si>
    <t>10.1590/fst.25117</t>
  </si>
  <si>
    <t>WOS:000470324600025</t>
  </si>
  <si>
    <t>Castro, P; Mendoza, L; Vásquez, C; Pereira, PC; Navarro, F; Lizama, K; Santander, R; Cotoras, M</t>
  </si>
  <si>
    <t>Castro, Paulo; Mendoza, Leonora; Vasquez, Claudio; Cornejo Pereira, Paz; Navarro, Freddy; Lizama, Karin; Santander, Rocio; Cotoras, Milena</t>
  </si>
  <si>
    <t>Antifungal Activity against Botrytis cinerea of 2,6-Dimethoxy-4-(phenylimino)cyclohexa-2,5-dienone Derivatives</t>
  </si>
  <si>
    <t>In this work the enzyme laccase from Trametes versicolor was used to synthetize 2,6-dimethoxy-4-(phenylimino)cyclohexa-2,5-dienone derivatives. Ten products with different substitutions in the aromatic ring were synthetized and characterized using H-1- and C-13-NMR and mass spectrometry. The 3,5-dichlorinated compound showed highest antifungal activity against the phytopathogen Botrytis cinerea, while the p-methoxylated compound had the lowest activity; however, the antifungal activity of the products was higher than the activity of the substrates of the reactions. Finally, the results suggested that these compounds produced damage in the fungal cell wall.</t>
  </si>
  <si>
    <t>Navarro, Freddy/KIA-4345-2024; Santander, Rocio/K-7645-2013</t>
  </si>
  <si>
    <t>Navarro, Freddy/0000-0003-0056-5266</t>
  </si>
  <si>
    <t>FEB 2</t>
  </si>
  <si>
    <t>10.3390/molecules24040706</t>
  </si>
  <si>
    <t>WOS:000460805900052</t>
  </si>
  <si>
    <t>Hernández, GG; Reyes, RS; Molina, CC; Silva, CH</t>
  </si>
  <si>
    <t>Guerrero Hernandez, Gonzalo; Saez Reyes, Ruth; Cofre Molina, Cecilia; Hernandez Silva, Carla</t>
  </si>
  <si>
    <t>Enhancing collaborative strategies among teachers to improve evaluation processes: a University-School associative research experience</t>
  </si>
  <si>
    <t>Strengthening reflective thinking and collaborative work among teachers is a key task to develop evaluation strategies that are in line with the constant curricular updating of the teaching-learning processes. For this purpose, an associative project was developed between teachers, curriculum specialists, evaluators and directors of a public school in the commune of Santiago, together with researchers from the University of Santiago. The objective of the project was to develop instances of reflection and work together to improve the evaluations in the subjects of Language and Communication and Mathematics. The methodology was framed in a sociocritical paradigm with a self-reflective character. From an action-research approach, workshops were developed oriented to the evaluative processes in the school. The results obtained contributed to a specific diagnosis of the evaluative strategies used by the Language and Mathematics teachers, as well as the collaborative skills of the group and their perceptions of teacher reflection.</t>
  </si>
  <si>
    <t>Hernandez-Silva, Carla/O-5942-2019</t>
  </si>
  <si>
    <t>Hernandez-Silva, Carla/0000-0003-2974-4989</t>
  </si>
  <si>
    <t>WOS:000886992800005</t>
  </si>
  <si>
    <t>Marco, FB; Claudio, VC</t>
  </si>
  <si>
    <t>Marco, Fernandez B.; Claudio, Valencia C.</t>
  </si>
  <si>
    <t>BOTDA sensor simulation for the Measurement of Stress and Temperatures</t>
  </si>
  <si>
    <t>This paper presents the simulation of a distributed Brillouin optical sensor for the measurement of stresses and temperatures, considering that currently there is no simulation tool that allows evaluating the performance of these types of sensors when some techniques aimed at increasing its detection range are applied. This developed simulation, allows a comparison from the point of view of the power levels experienced by the probe signal (range), when a technique or a set of techniques aimed at increasing their power level is applied to it, prior to its implementation. The Brillouin Optical Analysis in the Time domain (BOTDA) allows to analyze the effects of Pre-Amplification, First Order Raman Amplification and Optical Coding of the pumping signal in a common simulation scenario. The simulation shows that the best results, in terms of the probe signal power (range), are obtained by combining the techniques of Pre-Amplification, Raman Amplification and Coding of the Pumping Signal.</t>
  </si>
  <si>
    <t>WOS:000542919100153</t>
  </si>
  <si>
    <t>Nunez, V; Fuentes, C; Lismayes, A; Chavez, H</t>
  </si>
  <si>
    <t>Nunez, Victor; Fuentes, Carlos; Lismayes, Augusto; Chavez, Hector</t>
  </si>
  <si>
    <t>Virtual Inertia from Distributed PV Converters</t>
  </si>
  <si>
    <t>The integration of distributed PV (Photovoltaic) has fostered various concerns on the operation of power systems. One important concern in the lack of frequency response of the PV converters, given the absence of rotating mases of such converters. Although virtual inertia schemes are being proposed, most approaches consider large-scale PV inverters. This work analyses the impact of virtual inertia from distributed PV converters. A simulation with an empirically-validated power system model is considered.</t>
  </si>
  <si>
    <t>WOS:000542919100115</t>
  </si>
  <si>
    <t>Troncoso, N; Rojo-González, L; Villalobos, M; Vásquez, OC; Chávez, H</t>
  </si>
  <si>
    <t>Yan, J; Kaldellis, JK; Campana, PE</t>
  </si>
  <si>
    <t>Troncoso, Nelson; Rojo-Gonzalez, Luis; Villalobos, Manuel; Vasquez, Oscar C.; Chavez, Hector</t>
  </si>
  <si>
    <t>Economic decision-making tool for distributed solar photovoltaic panels and storage: The case of Chile</t>
  </si>
  <si>
    <t>RENEWABLE ENERGY INTEGRATION WITH MINI/MICROGRID</t>
  </si>
  <si>
    <t>Energy Procedia</t>
  </si>
  <si>
    <t>Applied Energy Symposium and Summit - Renewable Energy Integration with Mini/Microgrid (REM)</t>
  </si>
  <si>
    <t>SEP 28-30, 2018</t>
  </si>
  <si>
    <t>Rhodes, GREECE</t>
  </si>
  <si>
    <t>Appl Energy Innovat Inst,Int Journal Appl Energy,KTH Royal Inst Technol,Univ W Attica</t>
  </si>
  <si>
    <t>The benefits of distributed solar photovoltaic (PV) panels and storage have been widely reported in the literature. However, the economic impact on the electricity bill due to its implementation is generally unknown by the distribution customers. In this work, we develop an economic decision-making tool for the case of Chile. This tool is based on an easy-to-implement algorithm, which computes the number of solar PV panels and batteries that maximize the economic return in a given time horizon subject to several technical constraints. To illustrative the usefulness of our tool, a personal computer implementation and a numerical example are considered. The obtained results compute the economic benefit in net present value of the best alternative solar PV panels and batteries in an execution time less than 30 seconds. (C) 2019 The Authors. Published by Elsevier Ltd.</t>
  </si>
  <si>
    <t>Villalobos-Cid, Manuel/0000-0002-1145-2016; Vasquez, Oscar C./0000-0002-1393-4692</t>
  </si>
  <si>
    <t>1876-6102</t>
  </si>
  <si>
    <t>10.1016/j.egypro.2018.12.071</t>
  </si>
  <si>
    <t>WOS:000471291100063</t>
  </si>
  <si>
    <t>Friz Echeverria, Cristobal</t>
  </si>
  <si>
    <t>Neoliberalism, education and citizenship in Chile: citizens and/or economic agents?</t>
  </si>
  <si>
    <t>WOS:000440942900006</t>
  </si>
  <si>
    <t>Oddershede, AM; Watkins, FJ; Quezada, LE</t>
  </si>
  <si>
    <t>Oddershede, Astrid M.; Watkins, Francisco J.; Quezada, Luis E.</t>
  </si>
  <si>
    <t>Methodology Proposal for Appraising Health Service ICT System Implication</t>
  </si>
  <si>
    <t>A decision making methodology is proposed as support and guidance to evaluate an Information and Communications Technology system (ICT) in healthcare service processes involving agents perspective. Through multicriteria approach, by the use of the Analytic Hierarchy Process (AHP), pilot studies are carried out in health institutions in Chile to examine ICT system demands, ICT infrastructure available, and the relative importance of quality of service needs. The results will give information to assist decision makers for resource distribution. The proposed conceptual prototype offer a base for detecting the more relevant ICT system to perform health service and to dimension the crucial factors concerning quality of service issues.</t>
  </si>
  <si>
    <t>WOS:000437157500008</t>
  </si>
  <si>
    <t>Verdugo, D; Borquez, J; Barbosa, KA; Rojas, F</t>
  </si>
  <si>
    <t>Verdugo, Diego; Borquez, Javier; Barbosa, Karina A.; Rojas, Felix</t>
  </si>
  <si>
    <t>Robust Voltage Regulation of a Stand Alone Uncertain Single-Stage Boost Inverter</t>
  </si>
  <si>
    <t>This paper focuses on the robust control of a single stage boost inverter using a model that accounts for both small and big signal properties of the inverter. The aim is to determine a state feedback controller for the small signal model such that it is able to reject perturbations existing on the three-phase currents while keeping the system stable and with a response quick enough. Based on the well-known theory of robust control, a feedback controller is proposed in order to minimize the H-infinity norm of the system while taking in account the variable load and a D-Stability region that will guarantee the speed required for the perturbation effect to decay. The proposed controller is simulated and the results are analyzed and discussed.</t>
  </si>
  <si>
    <t>Rojas, Felix/U-3305-2019; Barbosa, Karina/A-2236-2014; Borquez, Javier/MAI-5197-2025</t>
  </si>
  <si>
    <t>Borquez, Javier/0009-0003-2115-3911; Barbosa, Karina A./0000-0001-7183-2662</t>
  </si>
  <si>
    <t>WOS:000458417600101</t>
  </si>
  <si>
    <t>Vergara-Novoa, C; Sepúlveda-Rojas, JP; Alfaro, MD; Riveros, N</t>
  </si>
  <si>
    <t>Vergara-Novoa, Cristian; Pedro Sepulveda-Rojas, Juan; Alfaro, Miguel D.; Riveros, Nicolas</t>
  </si>
  <si>
    <t>Cost of Capital Estimation for Highway Concessionaires in Chile</t>
  </si>
  <si>
    <t>JOURNAL OF ADVANCED TRANSPORTATION</t>
  </si>
  <si>
    <t>In this paper, we present the cost of capital estimation for highway concessionaires in Chile. We estimated the cost of equity and the cost of debt and determined the capital structure for each one of twenty-four concessionaires that operate highways. We based our estimations on the developments of Sharpe (1964), Modigliani and Miller (1958), and Maquieira (2009), which were also compared with the Brusov et al. (2015) developments. We collected stock prices for different highway concessionaires around the world from Google Finance and Reuters' websites in order to determine the Beta of equity using a representative company. After that, we estimated the cost of equity considering Hamada (1969) and a Capital Asset Pricing Model. Then, we estimated the cost of capital using the cost of debt and the capital structure of Chile's highway concessionaires. With all above, we were able to determine the Weighted Average Cost of Capital (WACC) for highway concessions which ranges from 5.49 to 6.62%.</t>
  </si>
  <si>
    <t>Sepulveda-Rojas, Juan Pedro/C-1799-2013</t>
  </si>
  <si>
    <t>Sepulveda-Rojas, Juan Pedro/0000-0002-6725-7295; Alfaro, Miguel/0000-0002-1633-8853</t>
  </si>
  <si>
    <t>0197-6729</t>
  </si>
  <si>
    <t>2042-3195</t>
  </si>
  <si>
    <t>10.1155/2018/2153536</t>
  </si>
  <si>
    <t>WOS:000426215300001</t>
  </si>
  <si>
    <t>Urrea, C; Solar, G</t>
  </si>
  <si>
    <t>Kumar, NS; Sangaiah, AK; Arun, M; Anand, S</t>
  </si>
  <si>
    <t>Urrea, Claudio; Solar, Gabriel</t>
  </si>
  <si>
    <t>Evaluation of Image Detection and Description Algorithms for Application in Monocular SLAM</t>
  </si>
  <si>
    <t>ADVANCED IMAGE PROCESSING TECHNIQUES AND APPLICATIONS</t>
  </si>
  <si>
    <t>Advances in Computational Intelligence and Robotics (ACIR) Book Series</t>
  </si>
  <si>
    <t>The results of new experiments on the detection and description of images for an EKF-SLAM monocular application are employed in order to obtain a dispersed set of features without related data association problems. By means of different detectors/descriptors, the number of features observed and the ability to observe the same feature in various captures is evaluated. To this end, a monocular vision system independent of the EKF-SLAM system is designed and implemented using the MatLab software. This new system allows for-in addition to image capture-the detection and description of features as well as the association of data between images, thus serving as a priori information to avoid incorrect associations between the obtained features and the map of an EKF-SLAM system. Additionally, it enables the evaluation and comparison of the precision, consistency and convergence of various algorithms.</t>
  </si>
  <si>
    <t>978-1-5225-2054-2; 978-1-5225-2053-5</t>
  </si>
  <si>
    <t>10.4018/978-1-5225-2053-5.ch009</t>
  </si>
  <si>
    <t>10.4018/978-1-5225-2053-5</t>
  </si>
  <si>
    <t>WOS:000411376600011</t>
  </si>
  <si>
    <t>Bravo, K; Eugenín, JL; Llona, I</t>
  </si>
  <si>
    <t>Bravo, Karina; Eugenin, Jaime L.; Llona, Isabel</t>
  </si>
  <si>
    <t>Perinatal Fluoxetine Exposure Impairs the CO2 Chemoreflex Implications for Sudden Infant Death Syndrome</t>
  </si>
  <si>
    <t>AMERICAN JOURNAL OF RESPIRATORY CELL AND MOLECULAR BIOLOGY</t>
  </si>
  <si>
    <t>High serotonin levels during pregnancy affect central nervous system development. Whether a commonly used antidepressant such as fluoxetine (a selective serotonin reuptake inhibitor) taken during pregnancy may adversely affect respiratory control in offspring has not been determined. The objective was to determine the effect of prenatal-perinatal fluoxetine exposure on the respiratory neural network in offspring, particularly on central chemoreception. Osmotic minipumps implanted into CF-1 mice on Days 5-7 of pregnancy delivered 7 milligrams per kilogram per day of fluoxetine, achieving plasma levels within the range found in patients. Ventilation was assessed in offspring at postnatal Days 0-40 using head-out body plethysmography. Neuronal activation was evaluated in the raphe nuclei and in the nucleus tractus solitarius by c-Fos immunohistochemistry during normoxic eucapnia and hypercapnia (10% CO2). Respiratory responses to acidosis were evaluated in brainstem slices. Prenatal-perinatal fluoxetine did not affect litter size, birth weight, or the postnatal growth curve. Ventilation under eucapnic normoxic conditions was similar to that of control offspring. Fluoxetine exposure reduced ventilatory responses to hypercapnia at P8-P40 (P &lt; 0.001) but not at P0-P5. At P8, it reduced hypercapnia-induced neuronal activation in raphe nuclei (P &lt; 0.05) and nucleus tractus solitarius (P &lt; 0.01) and the acidosis-induced increase in the respiratory frequency in brainstem slices (P &lt; 0.05). Fluoxetine applied acutely on control slices did not modify their respiratory response to acidosis. We concluded that prenatal-perinatal fluoxetine treatment impairs central respiratory chemoreception during postnatal life. These results are relevant in understanding the pathogenesis of respiratory failures, such as sudden infant death syndrome, associated with brainstem serotonin abnormalities and the failure of respiratory chemoreflexes.</t>
  </si>
  <si>
    <t>Bravo García, Martha/KZT-8810-2024</t>
  </si>
  <si>
    <t>Bravo-Flores, Karina Alejandra/0000-0001-8871-294X</t>
  </si>
  <si>
    <t>1044-1549</t>
  </si>
  <si>
    <t>1535-4989</t>
  </si>
  <si>
    <t>10.1165/rcmb.2015-0384OC</t>
  </si>
  <si>
    <t>WOS:000385984100007</t>
  </si>
  <si>
    <t>Urrea, C; Muñoz, R</t>
  </si>
  <si>
    <t>Urrea, Claudio; Munoz, Rodrigo</t>
  </si>
  <si>
    <t>Joints Position Estimation of a Redundant Scara Robot by Means of the Unscented Kalman Filter and Inertial Sensors</t>
  </si>
  <si>
    <t>ASIAN JOURNAL OF CONTROL</t>
  </si>
  <si>
    <t>A method is presented for estimating the position of rotational and prismatic joints of a novel SCARA-type fault-tolerant redundant manipulator using inertial sensors (accelerometers and gyroscopes). The estimation is based on the integration of the different sensors by means of the modified AUKF algorithm. The results of the evaluation of this integration scheme are compared with the CMRGD and DCMR methods, which are used for the estimation of the positions of rotational joints based on inertial sensors, showing a clear advantage of the proposed integration method over existing methods for estimating the joint angles, in addition to allowing the calculation of the position of prismatic joints.</t>
  </si>
  <si>
    <t>1561-8625</t>
  </si>
  <si>
    <t>1934-6093</t>
  </si>
  <si>
    <t>10.1002/asjc.1111</t>
  </si>
  <si>
    <t>WOS:000372296200006</t>
  </si>
  <si>
    <t>PEDAGOGICAL THINKING AND KNOWLEDGE OF CHILEAN SCIENCE TEACHERS. PROFILE OF FUTURE TEACHER</t>
  </si>
  <si>
    <t>EDULEARN16: 8TH INTERNATIONAL CONFERENCE ON EDUCATION AND NEW LEARNING TECHNOLOGIES</t>
  </si>
  <si>
    <t>EDULEARN Proceedings</t>
  </si>
  <si>
    <t>8th International Conference on Education and New Learning Technologies (EDULEARN)</t>
  </si>
  <si>
    <t>JUL 04-06, 2016</t>
  </si>
  <si>
    <t>This contribution aims to analyze the content of thinking and knowledge of future Chileans high school science teachers. Such research is conducted within the framework of a project FONDECYT 11130150. Research is quantitative, and aims to explore the pedagogical-curricular component of future teachers for teaching science, through a Likert questionnaire. To systematize and analyze the information we use a system of categories that relate to what to teach, how to teach and what, how and why evaluate. In addition, the SPSS (version 21) statistical software was used. The sample was 520 future teachers who were evaluated during 2014. The training teachers are math (49.8%), biology (21.3%), physical (12, 9%), natural sciences (10.8%) and chemistry (5.2%). The following variables were used: gender, institution and specialty, in addition to the categories of content, methodology and evaluation. The main results indicate that the pedagogical thinking regarding women have the lowest average in all variables observed for the sample of men. However, their mean differences are very small and their variability, being all with a score closest to a traditional thinking for science teaching pedagogical thinking. On the other hand, and in relation to the specialty, the lowest average is teaching career in chemistry variable content approaching a more traditional thinking. This same race has the highest average in the evaluation variable finding more oriented constructivist thought. Regarding the institution, the results show that students in public institutions have the highest averages in the variables evaluated, showing a more constructivist thought that private institutions. In this line, the univariate normal (KSL) shows that in the variables of methodology, content and evaluation, the null hypothesis is rejected in relation to the normal distribution. Therefore, there is evidence that this variable differs significantly from a normal distribution. The results of comparisons by group, show that by gender (male and female), by specialty and by type of institution (public and private), no differences between groups were observed in any of the measured variables: methodology, content and evaluation. We consider that these results have implications for teacher training (initial and continuous), given the importance of teaching skills for teaching science, ensure quality processes in teacher training.</t>
  </si>
  <si>
    <t>2340-1117</t>
  </si>
  <si>
    <t>978-84-608-8860-4</t>
  </si>
  <si>
    <t>WOS:000402955908105</t>
  </si>
  <si>
    <t>Guerrero, D; Barbosa, KA; Verdejo, H</t>
  </si>
  <si>
    <t>Guerrero, D.; Barbosa, K. A.; Verdejo, H.</t>
  </si>
  <si>
    <t>D-stability control design for algebraic differential systems with application in power systems</t>
  </si>
  <si>
    <t>This paper focuses on the problem of D-stability control design for descriptor systems in algebraic differential representation. The aim is to design a control to ensure that all system eigenvalues in closed loop belongs to a given set in the complex plane. Sufficient LMI based conditions are proposed for both state and output feedback control. The proposed results are applied to a single-machine infinite-bus power system.</t>
  </si>
  <si>
    <t>WOS:000390556300083</t>
  </si>
  <si>
    <t>Parada, SP; Jujihara, BA</t>
  </si>
  <si>
    <t>Parada, SP</t>
  </si>
  <si>
    <t>Parada, Santiago Peredo; Jujihara, Barbara Acuna</t>
  </si>
  <si>
    <t>UNIVERSITY SOCIAL RESPONSIBILITY AS COMMITMENT AND ACTION</t>
  </si>
  <si>
    <t>POR LA SENDA DE UN FUTURO SUSTENTABLE. PROPUESTAS Y ACCIONES CON RESPONSABILIDAD SOCIAL</t>
  </si>
  <si>
    <t>2nd International Conference on University Social Responsibility</t>
  </si>
  <si>
    <t>JAN 14-15, 2015</t>
  </si>
  <si>
    <t>Univ Santiago Chile, Santiago, CHILE</t>
  </si>
  <si>
    <t>Univ Santiago Chile</t>
  </si>
  <si>
    <t>978-956-303-336-6</t>
  </si>
  <si>
    <t>WOS:000681501100001</t>
  </si>
  <si>
    <t>How structural parameters affect the reactivity of saturated and non-saturated nitrogen-doped single-walled carbon nanotubes of different chiralities: a density functional theory approach</t>
  </si>
  <si>
    <t>Nitrogen-containing carbon nanotubes, or N-CNTs, are a class of materials with interesting catalytic properties and with less toxic properties than bare carbon nanotubes. Herein, the relative stability, the oxidation potential, conductivity, and structural characteristics of finite, open H-terminated single-walled N-CNTs and their saturated structures are investigated by density functional theory methods at the B3LYP/6-31G(d) level of theory. The principal aim is to understand the way different structural features can determine or modify N-CNTs properties and reactivity. Frequency calculations indicate that all of the final optimized nanostructures correspond to a minimum on the potential energy surface. The formation energies, band gaps, atomic charges, and reactivity descriptors such as chemical potential, hardness, electrophilicity index, and softness are compared. The results indicate that changes in hybridization, chirality, and diameter strongly modify the properties of N-CNTs. The nitrogen content and the length of the nanotubes also contribute to changes in their properties, albeit to a lesser degree. For instance, a (8,0) zigzag N-CNT with 4 nitrogen atoms exhibits a band gap of 0 eV. Moreover, the configuration or relative positions of the nitrogen atoms in the central part of the nanotube do not significantly affect the nanotube properties. Compared with zigzag and chiral nanotubes, armchair N-CNTs exhibit a favorable electrical charge distribution and are revealed as potentially good catalysts for oxygen reduction reactions.</t>
  </si>
  <si>
    <t>10.1007/s11224-014-0535-y</t>
  </si>
  <si>
    <t>WOS:000352995800013</t>
  </si>
  <si>
    <t>Fuentealba, JF; Albarrán, O; Hamm, E; Cerda, E</t>
  </si>
  <si>
    <t>Fuentealba, J. F.; Albarran, O.; Hamm, E.; Cerda, E.</t>
  </si>
  <si>
    <t>Transition from isometric to stretching ridges in thin elastic films</t>
  </si>
  <si>
    <t>Isometric deformations in thin elastic films easily form ridges to connect large flat regions or facets. Depending on the forces applied or the boundary conditions imposed, these ridges can be isometric, with no stretching or stretching ridges when bending and stretching are required to relax the elastic energy. Here we study a simple configuration to observe the transition between an isometric ridge to the well-known stretching ridge observed in crumpled films, and obtain the parameters that determine the ridge type. Specifically, we show that the transversal size of a stretching ridge acts as a cutoff length scale: a ridge is isometric if its width is greater than this characteristic length.</t>
  </si>
  <si>
    <t>Hamm, Eugenio/A-7927-2013; Fuentealba, Juan Francisco/AAL-9339-2020</t>
  </si>
  <si>
    <t>Fuentealba, Juan Francisco/0000-0003-0655-6686</t>
  </si>
  <si>
    <t>MAR 11</t>
  </si>
  <si>
    <t>10.1103/PhysRevE.91.032407</t>
  </si>
  <si>
    <t>WOS:000350966600010</t>
  </si>
  <si>
    <t>Gutierrez, A; Garate, G</t>
  </si>
  <si>
    <t>Gutierrez, Alejandro; Garate, Gonzalo</t>
  </si>
  <si>
    <t>DESIGN OF A TRANSFER CHUTE FOR MULTIPLE OPERATING CONDITIONS</t>
  </si>
  <si>
    <t>PROCEEDINGS OF THE ASME INTERNATIONAL MECHANICAL ENGINEERING CONGRESS AND EXPOSITION, 2014, VOL 11</t>
  </si>
  <si>
    <t>ASME International Mechanical Engineering Congress and Exposition (IMECE2014)</t>
  </si>
  <si>
    <t>NOV 14-20, 2014</t>
  </si>
  <si>
    <t>Montreal, CANADA</t>
  </si>
  <si>
    <t>The kinematic and dynamic flow behavior of granular material on a transfer chute whose main feature is that it can adapt to different operating conditions while maintaining its configuration is studied. As a result, a geometry is obtained that can fulfill some design criteria such as minimum wear of the linings; easy change of the geometry for different configurations, minimize the probability of plugging; fast return to normal operating conditions after a jam; prevent spillage loss of material; and minimum dimensions. The design is obtained by a simulation based on the discrete element method (DEM), considering the mechanical properties of all the materials involved, with a particle size distribution in line with normal operating conditions, incorporating the distribution of the material's size and moisture related to friction, cohesion and adhesion phenomena. The LIGGGHTS open source program is used to calculate the movement of the material, and the ParaView program to process the results.</t>
  </si>
  <si>
    <t>978-0-7918-4960-6</t>
  </si>
  <si>
    <t>UNSP V011T14A005</t>
  </si>
  <si>
    <t>WOS:000375505300005</t>
  </si>
  <si>
    <t>Translation of Cristina de Peretti and Paco Vidarte</t>
  </si>
  <si>
    <t>WOS:000341978700008</t>
  </si>
  <si>
    <t>British Merchants in New Markets: The Case of Wylie and Hancock in Brazil and the River Plate, c. 1808-19</t>
  </si>
  <si>
    <t>JOURNAL OF IMPERIAL AND COMMONWEALTH HISTORY</t>
  </si>
  <si>
    <t>In 1808, after the Portuguese royal family was forced to leave Portugal and move to Brazil, Brazilian ports were opened to British merchant houses, which were quick to open offices in the likes of Bahia and Rio de Janeiro. By 1810 there were probably over 200 British merchant houses operating in Brazil, but we know very little about them because most of their historical records have not survived. In addition, scholars have assumed that, on account of the dominant British economic power, the establishment of new mercantile houses in South America c. 1808-19 was an easy task. This assumption is challenged in this paper, which sheds new light on the activities of one of these British merchant houses, making use of a recently discovered business collection concerned with the activities of Wylie &amp; Hancock, a Scottish house which operated in Brazil and the River Plate from 1808 to 1819. These papers also provide a unique insight into neglected topics such as: the nature of managerial mercantile organisations; what the economic actors at the time actually did and thought; and how strategic and tactical choices were reached.</t>
  </si>
  <si>
    <t>Llorca-Jana, Manuel/0000-0002-3937-6035</t>
  </si>
  <si>
    <t>0308-6534</t>
  </si>
  <si>
    <t>1743-9329</t>
  </si>
  <si>
    <t>10.1080/03086534.2013.868228</t>
  </si>
  <si>
    <t>WOS:000337244800002</t>
  </si>
  <si>
    <t>Continuous Poetry &amp; Duty of civility (Anthology 1968-2001)</t>
  </si>
  <si>
    <t>10.4067/S0718-04622014000100015</t>
  </si>
  <si>
    <t>WOS:000341223600015</t>
  </si>
  <si>
    <t>Rodriguez, A; Cavieres, E; Negrete, C</t>
  </si>
  <si>
    <t>Rodriguez, Arturo; Cavieres, Elena; Negrete, Catalina</t>
  </si>
  <si>
    <t>PARTICIPATIVE METHODOLOGIES AND THEIR IMPACT ON ACADEMIC PERFORMANCE</t>
  </si>
  <si>
    <t>ICERI2014: 7TH INTERNATIONAL CONFERENCE OF EDUCATION, RESEARCH AND INNOVATION</t>
  </si>
  <si>
    <t>7th International Conference of Education, Research and Innovation (ICERI)</t>
  </si>
  <si>
    <t>NOV 17-19, 2014</t>
  </si>
  <si>
    <t>The commitment of the academic community with its own learning has brought up different educational methodologies that differ in terms of the treatment of its components, such as students, teachers and the surroundings, and how they participate in the teaching-learning process. The marked differences between the active methodologies are being studied to evaluate their effectiveness compared with the classical instructional system. This paper compares the 2007-2012 periods, where only one of them was intervened with active methodologies, with significant results. The sample used was composed of 341 students divided into 12 semesters. To make the comparison different variables such as age, gender, urban location, and grades in the Food Engineering course of the Faculty of Technology of the University of Santiago of Chile were used. Academic achievement was evaluated through the use of portfolios and projects. The results of the students' academic achievement show a marked improvement with the use of active methodologies for the studied period, and a significant decrease in the failing rate of the students.</t>
  </si>
  <si>
    <t>Rodriguez, Arturo/I-7205-2016</t>
  </si>
  <si>
    <t>978-84-617-2484-0</t>
  </si>
  <si>
    <t>WOS:000367082904046</t>
  </si>
  <si>
    <t>Arce, R; Márquez, P; Herrera, F; Aguirre, MJ; Romero, J</t>
  </si>
  <si>
    <t>Arce, Roxana; Marquez, Paulina; Herrera, Francisco; Aguirre, Maria J.; Romero, Julio</t>
  </si>
  <si>
    <t>SULFITE OXIDATION MEDIATED BY ORTHO-PHENYLENEDIAMINE/CO(II)-TETRAKIS(PARA-AMINOPHENYL)PORPHYRIN COPOLYMERS IN ACID MEDIUM</t>
  </si>
  <si>
    <t>The aim of this work is to study the sulfite oxidation mediated by glassy carbon electrodes modified with copolymers formed by ortho-phenylenediamine (OPD) and Co(II)-tetrakis(para-aminophenyl) porphyrin (CoTAPP). The copolymer was obtained through continuous cycling of potential of a glassy carbon electrode in acid medium containing each respective homopolymer in 1: 1 feeding volume, in which the ortho-phenylenediamine concentration was 1 center dot 10(-1) M and the CoTAPP concentration was 1 center dot 10-4 M. The film obtained is thin, stable and contains a low amount of porphyrin in comparison to the amount in ortho-phenylenediamine. Its electrocatalytic activity was tested toward the sulfite oxidation. In this case, this film is more electrocatalytic than the modified electrode modified with the CoTAPP electropolymer, even though ortho-phenylenediamine is inactive in this reaction. In this work the electrocatalysis process, the morphology of the film, and the difference of electrocatalytic behavior between the ortho-phenylenediamine and cobalt porphyrin homopolymers and the ortho-phenylenediamine-porphyrin copolymer were studied. The morphologic studies were done using Au electrodes since the electrocatalytic activity on Au and on glassy carbon are quite similar.</t>
  </si>
  <si>
    <t>Aguirre, Maria/A-3935-2013; Arce, Roxana/V-8140-2019; Romero, Julio/I-6705-2013</t>
  </si>
  <si>
    <t>Herrera, Francisco/0000-0001-7783-2970; , Roxana/0000-0002-7529-8011; Aguirre, Maria/0000-0003-1134-4469; ARCE, ROXANA/0000-0002-1387-9232; Romero, Julio/0000-0002-1229-1592; Marquez, Paulina/0000-0002-8020-6273</t>
  </si>
  <si>
    <t>10.4067/S0717-97072013000400016</t>
  </si>
  <si>
    <t>WOS:000331238800012</t>
  </si>
  <si>
    <t>Sancy, M; Silva, JF; Pavez, J; Zagal, JH</t>
  </si>
  <si>
    <t>Sancy, Mamie; Francisco Silva, J.; Pavez, Jorge; Zagal, Jose H.</t>
  </si>
  <si>
    <t>SIMULTANEOUS ELECTROCHEMICAL DETECTION OF DOPAMINE, ASCORBIC ACID AND URIC ACID USING COPPER-PHTHALOCYANINE FUNCTIONALIZED MWCNTS</t>
  </si>
  <si>
    <t>Multiwalled carbon nanotububes functionalized with amino groups (MWCNT-NH2) and further modified with copper-phthalocyaninetetrasulphonate (4 beta(SO3) CuPc) were used for preparing a hybrid electrode [MWCNT-NH2/4 beta(SO3) CuPc/GC] using glassy carbon (GC) as a support. This hybrid electrode was tested for the detection of dopamine (DA) in the presence of ascorbic acid (AA) and uric acid (UA) in a PBS buffer solution at pH 6.8. The presence of the macrocyclic increased the resolution of the oxidation signals of AA, DA and UA into three very well distinct oxidation peaks. This effect was enhanced when the complex is adsorbed on multiwalled carbon nanotubes. In addition, the hybrid films provide a simple method for selective detection of DA, AA and UA in biological samples. The calibration curves for DA were obtained over the range of 1x10(-6)-1x10(-3)M, obtaining a good selectivity and sensitivity</t>
  </si>
  <si>
    <t>Sancy, Mamié/L-6270-2014; zagal, jose/L-9648-2014; PAVEZ, JORGE/K-6904-2014</t>
  </si>
  <si>
    <t>PAVEZ, JORGE/0000-0002-5100-6707</t>
  </si>
  <si>
    <t>10.4067/S0717-97072013000400048</t>
  </si>
  <si>
    <t>WOS:000331238800044</t>
  </si>
  <si>
    <t>Soto-Pinto, C; Arellano-Baeza, A; Sánchez, G</t>
  </si>
  <si>
    <t>Soto-Pinto, C.; Arellano-Baeza, A.; Sanchez, G.</t>
  </si>
  <si>
    <t>A new code for automatic detection and analysis of the lineament patterns for geophysical and geological purposes (ADALGEO)</t>
  </si>
  <si>
    <t>COMPUTERS &amp; GEOSCIENCES</t>
  </si>
  <si>
    <t>We present a new numerical method for automatic detection and analysis of changes in lineament patterns caused by seismic and volcanic activities. The method is implemented as a series of modules: (i) normalization of the image contrast, (ii) extraction of small linear features (stripes) through convolution of the part of the image in the vicinity of each pixel with a circular mask or through Canny algorithm, and (iii) posterior detection of main lineaments using the Hough transform. We demonstrate that our code reliably detects changes in the lineament patterns related to the stress evolution in the Earth's crust: specifically, a significant number of new lineaments appear approximately one month before an earthquake, while one month after the earthquake the lineament configuration returns to its initial state. Application of our software to the deformations caused by volcanic activity yields the opposite results: the number of lineaments decreases with the onset of microseismicity. This discrepancy can be explained assuming that the plate tectonic earthquakes are caused by the compression and accumulation of stress in the Earth's crust due to subduction of tectonic plates, whereas in the case of volcanic activity we deal with the inflation of a volcano edifice due to elevation of pressure and magma intrusion and the resulting stretching of the surface. (C) 2013 Elsevier Ltd. All rights reserved.</t>
  </si>
  <si>
    <t>0098-3004</t>
  </si>
  <si>
    <t>1873-7803</t>
  </si>
  <si>
    <t>10.1016/j.cageo.2013.03.019</t>
  </si>
  <si>
    <t>WOS:000320825400011</t>
  </si>
  <si>
    <t>Estenssoro, F; Devés, E</t>
  </si>
  <si>
    <t>Estenssoro, Fernando; Deves, Eduardo</t>
  </si>
  <si>
    <t>Historical global environmental debate: The first Latin American contributions to the origin of the concept of Environment and Development (1970-1980)</t>
  </si>
  <si>
    <t>The article focuses on the first decade of the environmental debate in world politics. Hypothesized that this debate reflects a principal stress, to understand the environmental crisis, between the perspective of the industrial world developed or North and the prospect of developing world or South. For the South, it will be essential to link the environmental problems to development issues, and in this effort to unite the concepts of the Environment and Development in global environmental debate, highlighted particularly the Latin American contribution.</t>
  </si>
  <si>
    <t>WOS:000343740800002</t>
  </si>
  <si>
    <t>Watkins, FJ; Hinojosa, RA; Oddershede, AM</t>
  </si>
  <si>
    <t>Watkins, F. J.; Hinojosa, R. A.; Oddershede, A. M.</t>
  </si>
  <si>
    <t>Alternative Wireless Network Technology Implementation for Rural Zones</t>
  </si>
  <si>
    <t>This paper describes a methodology that allows wireless networking allowing interconnection to the Internet through a Gateway, to interact and obtain products and services delivery. These Wireless Mesh Network(WMN), are based on routers which are programmed to work as nodes of a network. There are certain routers that allow the programming of its firmware to form network nodes. Communication is transmitted between nodes in the network and it is possible to cover long distances. The signal of a distant node, hop from node to node till reach the Gateway. This generates delays and congestion in the network. A path that contains nodes that make more faster connection to the Gateway can be designed as a solution. This is called a backbone, has a different channel frequency of the common nodes. The characteristics of these networks is its fast implementation and low cost. This make them useful for rural areas, for developing countries and remote regions.</t>
  </si>
  <si>
    <t>WOS:000312043600018</t>
  </si>
  <si>
    <t>Loose verses, commonplaces, found poems</t>
  </si>
  <si>
    <t>In this article I analyze three poems by Nicanor Parra, whose structure is based on the accumulation of apparently not poetic elements: Versos sueltos, Ideas sueltas and Frases. From these procedures, I establish relationships with the Renaissance poet Francois Villon, and some contemporary tendenciess such as found poems and conceptual poetry</t>
  </si>
  <si>
    <t>10.4067/S0717-68482013000100002</t>
  </si>
  <si>
    <t>WOS:000322936900002</t>
  </si>
  <si>
    <t>Garcés, M</t>
  </si>
  <si>
    <t>DeLaBarra, X</t>
  </si>
  <si>
    <t>Garces, Mario</t>
  </si>
  <si>
    <t>CHILEAN SOCIAL MOVEMENTS IN CONFRONTATION WITH NEOLIBERALISM</t>
  </si>
  <si>
    <t>NEOLIBERALISM'S FRACTURED SHOWCASE: ANOTHER CHILE IS POSSIBLE</t>
  </si>
  <si>
    <t>Studies in Critical Social Sciences</t>
  </si>
  <si>
    <t>1573-4234</t>
  </si>
  <si>
    <t>978-90-04-18896-9</t>
  </si>
  <si>
    <t>10.1163/ej.9789004188952.i-286</t>
  </si>
  <si>
    <t>WOS:000299948300012</t>
  </si>
  <si>
    <t>Abelairas, CV</t>
  </si>
  <si>
    <t>Villanueva Abelairas, Carlos</t>
  </si>
  <si>
    <t>MUSICAL DISCOURSE AS POLITICAL WEAPON IN THE WORKS OF ALEJO CARPENTIER</t>
  </si>
  <si>
    <t>ARBOR-CIENCIA PENSAMIENTO Y CULTURA</t>
  </si>
  <si>
    <t>Alejo Carpentier became known as Art and Music critic: first from his early works in La Havana newspapers and magazines, being an active member of the Minorista group; and later, in Paris (1928), in his voluntary exile of Caracas (1945), or already incorporated to the Cuban revolution (1959), he starts to change the chronicle, the historical essay or the fiction stories into an authentic musical curtain of the life he portrays, as if it was a soundtrack, always with clear and didactic political premeditation. The shades and tools of his discourse will depend on the genre he manipulates: pure musicology for the deconstruction of the musical space (La Musica en Cuba); the ethnic narration for the foundation of Afrocubanism (!Ecue-yam-bao!); the counterpoint of revolutionary musics (La consagracion de la primavera); the chronicle of primitive worlds (Los pasos perdidos) or the pure humor to caricature a dictatorship (El recurso del metodo). Always through daily chronicles, he uses the example, the quote or the musical variation as a teacher, trying to transform Life, Society, Aesthetics and the people.</t>
  </si>
  <si>
    <t>Villanueva Abelairas, Carlos/I-2193-2015</t>
  </si>
  <si>
    <t>Villanueva Abelairas, Carlos/0000-0002-2904-0394</t>
  </si>
  <si>
    <t>0210-1963</t>
  </si>
  <si>
    <t>1988-303X</t>
  </si>
  <si>
    <t>10.3989/arbor.2011.751n5007</t>
  </si>
  <si>
    <t>WOS:000296723800008</t>
  </si>
  <si>
    <t>Zaliasnik, Y</t>
  </si>
  <si>
    <t>Zaliasnik, Yael</t>
  </si>
  <si>
    <t>RE/POSITION? TRES MANAS Y UNA ROSA THREE DECADES TO ADDRESS THE RESISTANCE</t>
  </si>
  <si>
    <t>WOS:000284338800010</t>
  </si>
  <si>
    <t>Mallol, J; Aguirre, V; Wandalsen, G</t>
  </si>
  <si>
    <t>Mallol, J.; Aguirre, V.; Wandalsen, G.</t>
  </si>
  <si>
    <t>Common cold decreases lung function in infants with recurrent wheezing</t>
  </si>
  <si>
    <t>Background: Common acute viral respiratory infections (colds) are the most frequent cause of exacerbations in infants with recurrent wheezing (RW). However, there is no quantitative information about the effect of colds on the lung function of infants with RW. This study was undertaken to determine the effect of common cold on forced expiratory parameters measured from raised lung volume in infants with RW. Methods: Spirometric lung function (expiratory flows from raised lung volume) was randomly assessed in 28 infants with RW white they had a common cold and when asymptomatic. Results: It was found that during colds there was a significant decrease in all forced expiratory parameters and this was much more evident for flows (FEF(50%), FEF(75%) and FEF(25-75%)) which were definitively abnormal (less than -1.65 z-score) in the majority of infants. There was not association between family asthma, tobacco exposure, and other factors, with the extent of lung function decrease during colds. Tobacco during pregnancy but not a history of family asthma was significantly associated to lower expiratory flows; however, the association was significant only when infants were asymptomatic. Conclusion: This study shows that common colds cause a marked reduction of lung function in infants with RW. (C) 2009 SEICAP. Published by Elsevier Espana, S.L. All rights reserved.</t>
  </si>
  <si>
    <t>Wandalsen, Gustavo/D-8412-2013</t>
  </si>
  <si>
    <t>Mallol, Javier/0000-0003-2528-8672</t>
  </si>
  <si>
    <t>10.1016/j.aller.2009.10.001</t>
  </si>
  <si>
    <t>WOS:000279044100002</t>
  </si>
  <si>
    <t>Tarride, MI; Zuñiga, M</t>
  </si>
  <si>
    <t>Ivan Tarride, Mario; Zuniga, Milton</t>
  </si>
  <si>
    <t>Requirements of complexity for complex organizational conceptions</t>
  </si>
  <si>
    <t>Purpose - The purpose of this paper is to propose a way of asking about organizational conceptions. Some years ago, Edgar Morin proposed the paradigm of complexity as the one that opposes to and contains both the mechanicist and the systemic paradigms, which he calls simplifiers. Based on these paradigms, some of their principles, as well as their influence in organizational thinking are studied here, looking for the establishment of a set of considerations to be taken into account when treating an organizational conception as complex. Design/methodology/approach - Ten paradigmatic principles were compared from the mechanicism, systemic and complexity viewpoints, considering how they were used in the organizational discourse. Findings - As a result, complex organizational conceptions consider the subject as active conscience in the world. In the same way, they establish dialogic relations among: the universal and the particular, temporal reversibility and irreversibility, the parts and the whole, linear and circular causality, order and disorder, organization and environment, observer and organization, and autonomy and dependence, through the use of the complex logic that allows adopting a meta-point of view to articulate the contradictions and paying attention to the result of the dialogic processes pointed out. Research limitations/implications - The paper focuses especially on the dialogic principle, leaving the need to approach both the recursion and hologramatic principles, according to that proposed by Edgar Morin. Practical implications - The paper establishes some references which should contribute to the understanding of complex organizations, as human activity systems, beyond the objectivism of the so-called complex systems. Originality/value - In this paper, a way of asking about organizational conceptions is proposed, with the aim of knowing the degree of satisfaction of paradigmatic requirements of complexity; so that, it allows knowing if what is being called complex - the organizations - is being treated in a complex way in turn.</t>
  </si>
  <si>
    <t>10.1108/03684921011062737</t>
  </si>
  <si>
    <t>WOS:000281927800004</t>
  </si>
  <si>
    <t>Cerda, P; Ubilla, P</t>
  </si>
  <si>
    <t>Cerda, Patricio; Ubilla, Pedro</t>
  </si>
  <si>
    <t>POSITIVE SOLUTIONS OF A NONLINEAR STURM-LIOUVILLE BOUNDARY-VALUE PROBLEM</t>
  </si>
  <si>
    <t>PROCEEDINGS OF THE EDINBURGH MATHEMATICAL SOCIETY</t>
  </si>
  <si>
    <t>We establish the existence of positive solutions of the Sturm-Liouville problem - (p(s, u)u')' = (q) over cap (s)u(p)h(s, u, u') in (0, 1), u(0) = 0 = u(1), where p(s, u) = 1/(a(s) + cg(u)). We assume g and (q) over cap to be non-negative, continuous functions, a(s) is a positive continuous function, c &gt;= 0, p &gt; 1, and the function h is sub-quadratic with respect to u'. We combine a priori estimates with a fixed-point result of Krasnosel'skii to obtain the existence of a positive solution.</t>
  </si>
  <si>
    <t>Cerda, Patricio/0000-0002-0823-8174</t>
  </si>
  <si>
    <t>0013-0915</t>
  </si>
  <si>
    <t>10.1017/S0013091507000120</t>
  </si>
  <si>
    <t>WOS:000271146100002</t>
  </si>
  <si>
    <t>Villablanca, ME</t>
  </si>
  <si>
    <t>Villablanca, M. E.</t>
  </si>
  <si>
    <t>Method and apparatus to reduce current distortion in line-commutated rectifiers</t>
  </si>
  <si>
    <t>IET POWER ELECTRONICS</t>
  </si>
  <si>
    <t>The use of a method and an apparatus to different configurations of line-commutated ac/dc rectifiers to reduce the distortion of currents flowing from the ac supply is described. The load may be either inductive or capacitive. The technology involves an accurate shaping of the dc current using two self-commutated switches (IGBT's). This dc-current shaping is reflected back into the shaping of the ac input currents, which become pure sine waves. Thyristor-based rectifying operation is possible with a simple control circuit, which is able to deal with both rapid load variations and failures in the self-commutated switches. Furthermore, the overlap conduction of bridge thyristors is eliminated completely. Experimental verification is provided from a 400-V, 30-kVA and 50-Hz laboratory prototype.</t>
  </si>
  <si>
    <t>1755-4535</t>
  </si>
  <si>
    <t>1755-4543</t>
  </si>
  <si>
    <t>10.1049/iet-pel.2007.0362</t>
  </si>
  <si>
    <t>WOS:000276384900008</t>
  </si>
  <si>
    <t>Correa, F; Jakubsky, V; Plyushchay, MS</t>
  </si>
  <si>
    <t>Correa, Francisco; Jakubsky, Vit; Plyushchay, Mikhail S.</t>
  </si>
  <si>
    <t>Finite-gap systems, tri-supersymmetry and self-isospectrality</t>
  </si>
  <si>
    <t>We show that an n-gap periodic quantum system with parity-even smooth potential admits 2(n)-1 isospectral super-extensions. Each is described by a tri-supersymmetry that originates from a higher-order differential operator of the Lax pair and two-term nonsingular decompositions of it; its local part corresponds to a spontaneously partially broken centrally extended nonlinear N = 4 supersymmetry. We conjecture that any finite-gap system having antiperiodic singlet states admits a self-isospectral tri-supersymmetric extension with the partner potential to be the original one translated for a half-period. Applying the theory to a broad class of finite-gap elliptic systems described by a two-parametric associated Lame equation, our conjecture is supported by the explicit construction of the self-isospectral tri-supersymmetric pairs. We find that the spontaneously broken tri-supersymmetry of the self-isospectral periodic system is recovered in the infinite-period limit.</t>
  </si>
  <si>
    <t>Jakubsky, Vit/H-2972-2014; Correa, Francisco/S-4564-2018</t>
  </si>
  <si>
    <t>1751-8121</t>
  </si>
  <si>
    <t>DEC 5</t>
  </si>
  <si>
    <t>10.1088/1751-8113/41/48/485303</t>
  </si>
  <si>
    <t>WOS:000260263700014</t>
  </si>
  <si>
    <t>Guzmán, AM; Díaz, AJ; Sanhueza, LE; Escobar, RA</t>
  </si>
  <si>
    <t>Guzman, Amador M.; Diaz, Andres J.; Sanhueza, Luis. E.; Escobar, Rodrigo A.</t>
  </si>
  <si>
    <t>Flow characteristics of rarified gases in micro-grooved channels by the Lattice-Boltzmann method</t>
  </si>
  <si>
    <t>PROCEEDINGS OF THE MICRO/NANOSCALE HEAT TRANSFER INTERNATIONAL CONFERENCE 2008, PTS A AND B</t>
  </si>
  <si>
    <t>1st ASME Micro/Nanoscale Heat Transfer International Conference</t>
  </si>
  <si>
    <t>JAN 06-09, 2008</t>
  </si>
  <si>
    <t>Natl Cheng Kung Univ, Tainan, TAIWAN</t>
  </si>
  <si>
    <t>ASME, Nanotechnol Inst,ASME, Heat Transfer Div</t>
  </si>
  <si>
    <t>Natl Cheng Kung Univ</t>
  </si>
  <si>
    <t>The flow characteristics of a rarified gas have been investigated in microgrooved channels. The governing Boltzmann Transport Equation (BTE) is solved by the Lattice-Boltzmann method (LBM) for the Knudsen number range of 0.01-0.1. First, the compressibility and rarified effects are investigated in a plane channel by performing numerical simulations for different Knudsen numbers, pressure ratio and accommodation coefficients with the objective of validating the computational code used in this investigation and determining the transition characteristics from the macro to microscale. The numerical predictions are compared to existing analytical and numerical results. Then, numerical simulations are performed for microgrooved channels for the Knudsen numbers range of [0.01-0.1]. Different meshes are used for preserving numerical stabilities and obtaining accurate enough numerical results. For the microgrooved channel configuration, the fluid characteristics are determined in terms of pressure ratio and Knudsen numbers. The numerical results are compared to existing analytical predictions and numerical results obtained from plane channel and one cavity simulations.</t>
  </si>
  <si>
    <t>Diaz-Pinto, Andres/W-3759-2019; Guzman, Amador/F-9260-2013; Escobar, Rodrigo/JHU-7720-2023</t>
  </si>
  <si>
    <t>978-0-7918-4292-8</t>
  </si>
  <si>
    <t>WOS:000255392000092</t>
  </si>
  <si>
    <t>Brebbia, CA; Longhurst, JWS</t>
  </si>
  <si>
    <t>Perez, P.</t>
  </si>
  <si>
    <t>Air quality forecasting in a large city</t>
  </si>
  <si>
    <t>AIR POLLUTION XVI</t>
  </si>
  <si>
    <t>WIT Transactions on Ecology and the Environment</t>
  </si>
  <si>
    <t>16th International Conference on Modelling, Monitoring and Management of Air Pollution</t>
  </si>
  <si>
    <t>SEP, 2008</t>
  </si>
  <si>
    <t>Wessex Inst Technol, Skiathos Isl, GREECE</t>
  </si>
  <si>
    <t>WIT Transact Ecol &amp; Environm</t>
  </si>
  <si>
    <t>Wessex Inst Technol</t>
  </si>
  <si>
    <t>We describe the different air pollution statistical forecasting models that have been used in Santiago, Chile during the fall/winter period for the last ten years. Effort has been concentrated on particulate matter PM10 for which a standard of 150 mu g/m(3) for the 24 h average is currently established. Inputs to the models are concentrations measured at several monitoring stations distributed throughout the city and meteorological information in the region. Outputs are the expected maxima concentrations for the following day at the site of the same monitoring stations. Forecast values using neural network models are compared with the results obtained with linear models and persistence. Recently, a clustering algorithm has appeared as a potentially useful tool to detect high concentration episodes in advance.</t>
  </si>
  <si>
    <t>1743-3541</t>
  </si>
  <si>
    <t>978-1-84564-127-6</t>
  </si>
  <si>
    <t>10.2495/AIR080031</t>
  </si>
  <si>
    <t>WOS:000265065800003</t>
  </si>
  <si>
    <t>Reyes, A; Vega, R; Bustos, R; Araneda, C</t>
  </si>
  <si>
    <t>Reyes, Alejandro; Vega, Ricardo; Bustos, Ruben; Araneda, Carmen</t>
  </si>
  <si>
    <t>Effect of processing conditions on drying kinetics and particle microstructure of carrot</t>
  </si>
  <si>
    <t>The drying of carrot particles (6mm x 6mm x 12mm) was studied in a tunnel dryer; a vacuum-freeze dryer, either with or without infrared radiation; a pulsed fluidized-bed dryer assisted by microwave radiation; and combinations of these methods. The effect of two freezing rates (quick freezing in liquid nitrogen and slow freezing in a household freezer) was also studied. The drying kinetics for these drying methods were determined and modeled, and the dried products were subjected to texture (hardness), color, and rehydration analysis, as well as 2D and 3D image analysis of pictures from scanning electron microscope. The combination of freeze drying with other dehydration techniques reduces the drying time by 6-70%, although, in general, the structural damage increases with respect to freeze drying alone. The hybrid drying systems did not show significant differences in drying times either for quick- or slow-frozen samples. The combination of freeze drying followed by conventional drying reduces the drying time between 23 and 40% on average. The Page empirical model represents adequately the entire drying process for combined methods, with specific parameters for each drying zone. The values of effective diffusivity calculated with the simplified constant diffusivity model agree with those reported in the literature.</t>
  </si>
  <si>
    <t>Bustos, Ruben/0000-0003-0183-0324</t>
  </si>
  <si>
    <t>10.1080/07373930802307282</t>
  </si>
  <si>
    <t>WOS:000259145600014</t>
  </si>
  <si>
    <t>Lizama, C; Poblete, V</t>
  </si>
  <si>
    <t>Lizama, Carlos; Poblete, Veronica</t>
  </si>
  <si>
    <t>On multiplicative perturbation of integral resolvent families</t>
  </si>
  <si>
    <t>In this paper we study multiplicative perturbations for the generator of a strongly continuous integral resolvent family of bounded linear operators defined on a Banach space X. Assuming that a(t) is a creep function which satisfies a (0(+)) &gt; 0, we prove that if (A, a) generates an integral resolvent, then (A(I + B), a) also generates an integral resolvent for all B is an element of B(X, Z), where Z belongs to a class of admissible Banach spaces. In special instances of a(t) the space Z is proved to be characterized by an extended class of Favard spaces. (c) 2006 Elsevier Inc. All rights reserved.</t>
  </si>
  <si>
    <t>Poblete, Veronica/D-8810-2015; Lizama, Carlos/E-5909-2011</t>
  </si>
  <si>
    <t>MAR 15</t>
  </si>
  <si>
    <t>10.1016/j.jmaa.2006.04.087</t>
  </si>
  <si>
    <t>WOS:000242980500047</t>
  </si>
  <si>
    <t>Cruchaga, M; Celentano, D</t>
  </si>
  <si>
    <t>Cruchaga, Marcela; Celentano, Diego</t>
  </si>
  <si>
    <t>Modelling ice melting processes: numerical and experimental validation</t>
  </si>
  <si>
    <t>INTERNATIONAL JOURNAL OF NUMERICAL METHODS FOR HEAT &amp; FLUID FLOW</t>
  </si>
  <si>
    <t>Purpose - This work is devoted to the experimental analysis, numerical modelling and validation of ice melting processes. Design/methodology/approach - The thermally coupled incompressible Navier-Stokes equations including water density inversion and isothermal phase-change phenomena are assumed as the governing equations of the problem. A fixed-mesh finite element formulation is proposed for the numerical solution of such model. In particular, this formulation is applied to the analysis of two different transient problems. Findings - The numerical results computed with the finite element formulation have been found to be very similar to the corresponding predictions, also obtained in this study, provided by a finite volume enthalpy-based technique. Both numerical results, in turn, satisfactorily approached the available experimental measurements expressly conducted in the context of this work for validation purposes. Research limitations/implications - They are mainly due to some model simplifications (e.g. no volume changes are considered during the solid-liquid transformation) and to the inherent difficulties associated with the experimental measurements. Practical implications - This study may be relevant for a better understanding of the phenomena occurring in different engineering applications involving phase-change in water: food freezing, ice formation in pipes, freezing/melting processes in soils, ice growth in plane wings, etc. Originality/value - The study is mainly focused on the validation of the numerical predictions obtained with the finite element formulation mentioned above with other results provided by a well-known finite volume technique and, in addition, with available laboratory measurements carried out in the context of this work.</t>
  </si>
  <si>
    <t>0961-5539</t>
  </si>
  <si>
    <t>1758-6585</t>
  </si>
  <si>
    <t>5-6</t>
  </si>
  <si>
    <t>10.1108/09615530710753008</t>
  </si>
  <si>
    <t>WOS:000249282500006</t>
  </si>
  <si>
    <t>Reyes, A; Campos, C; Vega, R</t>
  </si>
  <si>
    <t>Reyes, A.; Campos, C.; Vega, R.</t>
  </si>
  <si>
    <t>Drying of turnip seeds with microwaves in fixed and pulsed fluidized beds</t>
  </si>
  <si>
    <t>This article presents experimental and modeled drying kinetics of turnip seeds as a function of the type of air-particle contact (fixed bed, pulsed fluidized bed), humidity of the air, and three levels of microwave irradiation. The effects of those factors on the drying time required to reach a moisture content of 0.1 kg/kg d.b. were determined with an experimental design of 12 experiments by using the software Statgraphics. It was found that in drying, a significant factor was the application of microwaves to a pulsed fluidized bed. The effect of the humidity of the air only became noticed when the moisture contents of the seeds was below 0.2 kg/kg d.b. The simplified variable diffusivity model (SVDM) gave the least deviations for the experimental data. The effective diffusivity values determined in this work are similar to those informed in the literature for experiments without microwave application. The application of microwaves in combination with pulsed fluidization of the turnip seeds resulted in a fourfold increase of the effective diffusivity.</t>
  </si>
  <si>
    <t>10.1080/07373930600952818</t>
  </si>
  <si>
    <t>WOS:000241724700017</t>
  </si>
  <si>
    <t>Salas, I</t>
  </si>
  <si>
    <t>Methodology for reorganization of the cervical cancer program in Chile</t>
  </si>
  <si>
    <t>CANCER DETECTION AND PREVENTION</t>
  </si>
  <si>
    <t>Background: Early cancer detection methods need to be accompanied by effective public health implementation strategies in order to successfully reduce national mortality. A cervical cancer screening program was run in Chile from 1965 to 1985 which had almost no impact on cervical cancer mortality. The problem faced was how to change the entrenched practices of physicians and other professionals who had been running a multi-component program for 2 decades, with no increase in financial resources. Methods: Expanding intervention cycles were defined for different population groups, focusing initially on females health workers and finally on the general at-risk population. The expanding cycles move from the simplest intervention, involving health service staff, to the more complex intervention, involving changing the behavior of the general public. At each cycle level the overall problem was assessed and a preliminary plan developed by a team of local experts. This was followed by involvement of the responsible public health care system managers using a workshop, problem solving in the field, a workshop presenting results and learning, and the start of a new cycle. Results: In the Santiago Metropolitan Region this methodology resulted in cycles of 3-8 months duration. Clear improvements in technical and managerial skills of the staff and overall program management were observed. Pap smear screening in the Santiago Metropolitan Region rose from 43% to 66% in 2 years and the national age-adjusted cervical cancer mortality rate fell by about half over 20 years. Conclusions: Problem solving in expanding cycles produced an effective National Cervical Cancer Screening Program. This methodology can also be applied to other public health problems. (c) 2006 International Society for Preventive Oncology. Published by Elsevier Ltd. All rights reserved.</t>
  </si>
  <si>
    <t>0361-090X</t>
  </si>
  <si>
    <t>10.1016/j.cdp.2005.11.003</t>
  </si>
  <si>
    <t>WOS:000236494800007</t>
  </si>
  <si>
    <t>Guzmán, AM; Villar, FA</t>
  </si>
  <si>
    <t>Guzman, Amador M.; Villar, Fernando A.</t>
  </si>
  <si>
    <t>Flow bifurcations and heat transfer enhancement in asymmetric grooved channels</t>
  </si>
  <si>
    <t>HT2005: Proceedings of the ASME Summer Heat Transfer Conference 2005, Vol 4</t>
  </si>
  <si>
    <t>JUL 15-22, 2005</t>
  </si>
  <si>
    <t>Numerical investigations of the flow bifurcations, transition scenario and heat transfer enhancement in asymmetric grooved channels are performed by direct numerical simulations of the mass, momentum and energy equations. The governing equations are solved for laminar and time-dependent transitional flow regimes by the spectral element method in a periodic computational domain with appropriated boundary conditions. Numerical results show a flow transition scenario with two Hopf bifurcations B-1 and B-2 occurring in critical Reynolds numbers Re-c1 y Re-c2, respectively. Fundamental frequencies omega(1) and omega(2) and super harmonic combinations of both develop as the Reynolds number increases from a laminar to higher transitional flow regime. Numerical calculations demonstrate that the time-average mean Nusselt number (the non-dimensional heat transfer rate), increases significantly as the flow passes from a larninar to a periodic--and then to a quasi-periodic flow regime. This increase is accompanied by a reasonable increase in both the friction factor and the pumping power. The obtained behavior is comparable to other geometries and configurations as well as to previously reported numerical results for the studied geometry. This numerical investigation shows a transition scenario at the onset of turbulence, similar to the Ruelle-Takens-Newhouse scenario, which has not been found or reported by other researchers using this geometry. The numerical simulation results also show the existence of a bifurcation scenario that develops a path-dependent flow and heat transport behavior. In the vicinity of the first Hopf flow bifurcation (and consequently, the critical Reynolds number Re-c1), the resulting stable time periodic flow depends on both the initial flow conditions and the way in which the incremental process to higher flow regimes is carried out.</t>
  </si>
  <si>
    <t>0-7918-4734-9</t>
  </si>
  <si>
    <t>WOS:000243380100075</t>
  </si>
  <si>
    <t>Kri, F; Gómez, C; Caro, P</t>
  </si>
  <si>
    <t>Gelbukh, A; DeAlbornoz, A; TerashimaMarin, H</t>
  </si>
  <si>
    <t>Overview of metaheuristics methods in compilation</t>
  </si>
  <si>
    <t>MICAI 2005: ADVANCES IN ARTIFICIAL INTELLIGENCE</t>
  </si>
  <si>
    <t>LECTURE NOTES IN ARTIFICIAL INTELLIGENCE</t>
  </si>
  <si>
    <t>4th Mexican International Conference on Artificial Intelligence (MICAI 2005)</t>
  </si>
  <si>
    <t>NOV 14-18, 2005</t>
  </si>
  <si>
    <t>Monterrey, MEXICO</t>
  </si>
  <si>
    <t>Compilers are nowadays fundamental tools for the development of any kind of application. However, their task gets increasingly difficult due to the constant increase in the complexity of modern computer architecture, as well as to the increased requirements imposed upon programming languages by the great diversity of applications handled at present. In the compilation process several optimization problems must be solved, some of them belonging to the NP-Hard class. The quality of the solution found for these problems has direct impact over the quality of the generated object code. To solve them, compilers do it locally through naive heuristics which might consequently lead to solutions that are far from optimal. Knowing that metaheuristics methods have recently been used massively and successfully to solve combinatorial optimization problems, similar performance in the problems found in the compilation process can be expected beforehand. Following this line of reasoning, such problems are presented in this paper and the potential use of metaheuristics techniques to find their solutions is analyzed. A review is also made of the work that has been done in this field, and finally a proposal is made of the road that this development should follow.</t>
  </si>
  <si>
    <t>3-540-29896-7</t>
  </si>
  <si>
    <t>WOS:000233852000049</t>
  </si>
  <si>
    <t>Bueno, C; González-Nilo, FD; Encinas, MV; Cardemil, E</t>
  </si>
  <si>
    <t>Substrate binding to fluorescent labeled wild type, Lys213Arg, and His233Gln Saccharomyces cerevisiae phosphoenolpyruvate carboxykinases</t>
  </si>
  <si>
    <t>INTERNATIONAL JOURNAL OF BIOCHEMISTRY &amp; CELL BIOLOGY</t>
  </si>
  <si>
    <t>Saccharomyces cerevisiae phosphoenolpyruvate (PEP) carboxykinase is a key enzyme of the gluconeogenic pathway and catalyzes the decarboxylation of oxaloacetate and transfer of the gamma-phosphoryl group of ATP to yield PEP, ADP, and CO2 in the presence of a divalent metal ion. Previous experiments have shown that mutation of amino acid residues at metal site I decrease the steady-state Affinity of the enzyme for PEP, suggesting interaction of PEP with the metal ion [Biochemistry 41 (2002) 12763]. To more completely understand this enzyme interactions with substrate ligands, we have prepared the phosphopyridoxyl (P-pyridoxyl)-derivatives of wild type, Lys213Arg, and His233Gln S. cerevisiae PEP carboxykinase and used the changes in the fluorescence probe to determine the dissociation equilibrium constants of PEP, ATPMn(2-), and ADPMn(-1) from the corresponding derivatized enzyme-Mn2+ complexes. Homology modeling of P-pyridoxyl-PEP carboxykinase and P-pyridoxyl-PEP carboxykinase-substrate complexes agree with experimental evidence indicating that the P-pyridoxyl group does not interfere with substrate binding. ATPMn(2-) binding is 0.8 kcal mol(-1) more favorable than ADPMn(1-) binding to wild type P-pyridoxyl-enzyme. The thermodynamic data obtained in this work indicate that PEP binding is 2.3 kcal mol(-1) and 3.2 kcal mol(-1) less favorable for the Lys213Arg and His233Gln mutant P-pyridoxyl-PEP carboxykinases than for the wild type P-pyridoxyl-enzyme, respectively. The possible relevance of N and 0 ligands for Mn2+ in relation to PEP binding and catalysis is discussed. (C) 2003 Elsevier Ltd. All rights reserved.</t>
  </si>
  <si>
    <t>Encinas, Maria/L-9686-2014; Gonzalez Nilo, Fernando Danilo/M-5671-2016</t>
  </si>
  <si>
    <t>Gonzalez Nilo, Fernando Danilo/0000-0001-6857-3575</t>
  </si>
  <si>
    <t>1357-2725</t>
  </si>
  <si>
    <t>1878-5875</t>
  </si>
  <si>
    <t>10.1016/j.biocel.2003.09.008</t>
  </si>
  <si>
    <t>WOS:000220453900014</t>
  </si>
  <si>
    <t>Escudey, M; Förster, JE; Galindo, G</t>
  </si>
  <si>
    <t>Relevance of organic matter in some chemical and physical characteristics of volcanic ash-derived soils</t>
  </si>
  <si>
    <t>COMMUNICATIONS IN SOIL SCIENCE AND PLANT ANALYSIS</t>
  </si>
  <si>
    <t>The accumulation of organic matter in volcanic soils may modify their properties and characteristics. Soil Complexity makes difficult to assign the relative importance of organic matter in determining soil behavior. If changes in soil properties can be associated with the soil organic carbon (OC) content, a better understanding of the organic matter role may be achieved. A total of 20 samples of uncultivated volcanic soils, located in Central-Southern Chile, classified as Andisols and Ultisols were studied. Properties Such as active/free iron oxide ratio (activity ratio), isoelectric point (IEP), cation exchange capacity (CEC), and potassium-calcium (K-Ca) cation exchange equilibrium were studied in relation to the soil OC content. The. activity ratio increases when OC increases showing the inhibitory effect of organic matter in iron oxide crystallization. The IEP increases when OC decreases, this relationship being useful to follow the soil organic matter destruction in sample preparation. The DeltaCEC (CECpH (= 8.2) - CECsoil (pH)) is directly related with OC, showing that an important fraction of the negative surface charge is the result of ionization of organic matter active groups when pH increases over field value. Selectivity for K over Ca was. observed, but decreases when OC content increases and a Ca selectivity may be expected in soils whose OC content is higher than 12.6%.</t>
  </si>
  <si>
    <t>0010-3624</t>
  </si>
  <si>
    <t>1532-2416</t>
  </si>
  <si>
    <t>10.1081/CSS-120030358</t>
  </si>
  <si>
    <t>WOS:000220722100013</t>
  </si>
  <si>
    <t>Arias-Albornoz, M; Sanhueza-Hardy, H</t>
  </si>
  <si>
    <t>Distribution network configuration for minimum energy supply cost</t>
  </si>
  <si>
    <t>IEEE TRANSACTIONS ON POWER SYSTEMS</t>
  </si>
  <si>
    <t>This paper describes a model for the economic operation of primary distribution networks fed from several substations, where the energy purchase prices are different. Several aspects involved in the model formulation are discussed. An example is shown to illustrate the difference between a network operation based on a minimum loss criterion and the operation based on a minimum energy cost criterion.</t>
  </si>
  <si>
    <t>0885-8950</t>
  </si>
  <si>
    <t>1558-0679</t>
  </si>
  <si>
    <t>10.1109/TPWRS.2003.820697</t>
  </si>
  <si>
    <t>WOS:000188951000068</t>
  </si>
  <si>
    <t>Ordoñez, S; Rojas, P; Bustos, O; Martínez, V</t>
  </si>
  <si>
    <t>Crystalline Mg2Ni obtained from Mg-Ni amorphous precursor produced by mechanical alloying</t>
  </si>
  <si>
    <t>JOURNAL OF MATERIALS SCIENCE LETTERS</t>
  </si>
  <si>
    <t>Rojas, Paula/AFS-1987-2022</t>
  </si>
  <si>
    <t>San Martin, Alvaro/0000-0002-3038-6317; Rojas, Paula/0000-0002-2529-993X; Serafini, Daniel/0000-0002-1764-5900</t>
  </si>
  <si>
    <t>0261-8028</t>
  </si>
  <si>
    <t>10.1023/A:1023719018545</t>
  </si>
  <si>
    <t>WOS:000182923400002</t>
  </si>
  <si>
    <t>Chern-Simons fermion model of quarks</t>
  </si>
  <si>
    <t>PHYSICS LETTERS B</t>
  </si>
  <si>
    <t>We propose an extension of the standard model where quarks are viewed as fermions with a bare integer (weak) hypercharge which is normalized with a fractional part created by a quantized topological Chern-Simons configuration of the weak gauge fields. Consistency with hypercharge patterns not included in the standard model is shown. (C) 2002 Elsevier Science B.V. All rights reserved.</t>
  </si>
  <si>
    <t>0370-2693</t>
  </si>
  <si>
    <t>PII S0370-2693(02)01989-5</t>
  </si>
  <si>
    <t>10.1016/S0370-2693(02)01989-5</t>
  </si>
  <si>
    <t>WOS:000176725100011</t>
  </si>
  <si>
    <t>Garin, J. L.; Mannheim, R. L.</t>
  </si>
  <si>
    <t>RIETVELD ANALYSIS OF PHASES IN HEAT-RESISTANT STEELS</t>
  </si>
  <si>
    <t>C359</t>
  </si>
  <si>
    <t>10.1107/S010876730209935X</t>
  </si>
  <si>
    <t>WOS:000475976701633</t>
  </si>
  <si>
    <t>Cifuentes, G; Hernández, S; Navarro, P; Simpson, J; Reyes, C; Naranjo, A; Tapia, L; Correa, E; Cornejo, N; Abel, R</t>
  </si>
  <si>
    <t>Mishra, B</t>
  </si>
  <si>
    <t>Control of the anodic slimes properties in copper electrorefining</t>
  </si>
  <si>
    <t>EPD CONGRESS 1999</t>
  </si>
  <si>
    <t>EPD CONGRESS</t>
  </si>
  <si>
    <t>1999 EPD Congress, at the 1999 TMS Annual Meeting</t>
  </si>
  <si>
    <t>FEB 28-MAR 04, 1999</t>
  </si>
  <si>
    <t>Minerals Met &amp; Mat Soc, Extract &amp; Proc Div</t>
  </si>
  <si>
    <t>It's know that the cathodic purity and the electrolyte treatment is affect for the solid present in the electrolyte. Anodic slimes properties (fe.. chemical composition, crystalline composition, sedimentation) was studied in copper electrorefining, this properties were modify through by anodic composition and current density. In this paper will be present only the preliminary anodic slimes relationship at different lead anodic composition. The anodic material was doped during the poured process with lead at different composition. It's confirm the apparition of the (Bindheimitte) Sb2Pb2O7. The specific gravity of this specie is approximately 7.3 - 7.5, with this values is biggest the probability of sedimentation and smaller the slimes not sedimentabel.</t>
  </si>
  <si>
    <t>1079-7580</t>
  </si>
  <si>
    <t>0-87339-422-4</t>
  </si>
  <si>
    <t>WOS:000080238500052</t>
  </si>
  <si>
    <t>On the collective compactness of strongly continuous semigroups and cosine functions of operators</t>
  </si>
  <si>
    <t>TAIWANESE JOURNAL OF MATHEMATICS</t>
  </si>
  <si>
    <t>Let X be a complex Banach spcce, and denote by T a strongly continuous semigroup of linear operators defined on X and by C a cosine function of operators with associated sine function S defined on X. In this note we characterize in terms of spectral properties of the infinitesimal generator those semigroups T and cosine functions C such that {T(t) - I: t greater than or equal to 0}, {C(t) - I: t is an element of R} and {S(t) : t is an element of R} are collectively compact sets of bounded linear operators.</t>
  </si>
  <si>
    <t>1027-5487</t>
  </si>
  <si>
    <t>10.11650/twjm/1500407020</t>
  </si>
  <si>
    <t>WOS:000078339200010</t>
  </si>
  <si>
    <t>Matute, EA; Caroca, R</t>
  </si>
  <si>
    <t>Quark-lepton asymmetry in the prequark-lepton-symmetric electroweak model</t>
  </si>
  <si>
    <t>NUOVO CIMENTO DELLA SOCIETA ITALIANA DI FISICA A-NUCLEI PARTICLES AND FIELDS</t>
  </si>
  <si>
    <t>The effects of the nonstandard neutral weak boson suggested by the prequark-lepton-symmetric model based on the electroweak gauge group (SU(2)(l) x x SU(2)(p))(L) x U(1)(Y) are studied in e(+)e(-) annihilation processes. A quark-lepton asymmetry is introduced and an observable defined to quantify a deviation from the universality predicted by the standard model, providing a method to evaluate the mass of the extra boson and a sensitive test of the standard model.</t>
  </si>
  <si>
    <t>Caroca, Ricardo/J-2372-2016</t>
  </si>
  <si>
    <t>1124-1861</t>
  </si>
  <si>
    <t>10.1007/BF02780619</t>
  </si>
  <si>
    <t>WOS:A1996VR77300010</t>
  </si>
  <si>
    <t>Campos, AM; Lissi, EA</t>
  </si>
  <si>
    <t>Total antioxidant potential of Chilean wines</t>
  </si>
  <si>
    <t>NUTRITION RESEARCH</t>
  </si>
  <si>
    <t>The total reactive antioxidant potential (TRAP) of white and red wines is evaluated by a procedure based on the bleaching of pre-formed 2,2'-azino-di-(3-ethylbenzothiazoline-6-sulfonic acid radical cations. All the red wines considered presented TRAP values between 25.1 and 33.3 mM. The values obtained for the white wines were considerably smaller, ranging from 2.9 to 5.2 mM. The antioxidant potential measured in the wines is associated to the presence of compounds of low hydrophobicity.</t>
  </si>
  <si>
    <t>0271-5317</t>
  </si>
  <si>
    <t>10.1016/0271-5317(96)00020-6</t>
  </si>
  <si>
    <t>WOS:A1996UB31100003</t>
  </si>
  <si>
    <t>LLONA, I</t>
  </si>
  <si>
    <t>SYNAPTIC LIKE MICROVESICLES - DO THEY PARTICIPATE IN REGULATED EXOCYTOSIS</t>
  </si>
  <si>
    <t>NEUROCHEMISTRY INTERNATIONAL</t>
  </si>
  <si>
    <t>Synaptic like microvesicles (SLMV) form a pleiomorphic population of vesicles present in neuroendocrine cells of the pituitary and the adrenal medulla. Their composition and biogenesis is very similar to small synaptic vesicles (SSV) present in nerve terminals. Membrane proteins of SSV involved in fusion (synaptotagmin) and trafficking (Rab 3) together with synaptophysin have been identified on SLMV. The SLMV from pancreatic beta cells store GABA, those present in chromaffin cells catecholamines and/or acetylcholine. We conclude that SLMV may participate in regulated exocytosis based on (a) their localization near release sites, (b) their content and (c) their membrane composition. The functional meaning and the way this process is regulated remain to be elucidated.</t>
  </si>
  <si>
    <t>0197-0186</t>
  </si>
  <si>
    <t>10.1016/0197-0186(95)00005-S</t>
  </si>
  <si>
    <t>WOS:A1995RT74100001</t>
  </si>
  <si>
    <t>URZUA, A; PRESLE, L</t>
  </si>
  <si>
    <t>3-EPI-AUSTROBAILIGNAN-7 - A 2,5-DIARYL-3,4-DIMETHYLTETRA-HYDROFURANOID LIGNAN FROM ARISTOLOCHIA-CHILENSIS</t>
  </si>
  <si>
    <t>Aristolochia chilensis has yielded the new 2,5-diaryl-3,4-dimethyltetrahydrofuranoid lignan 3-epi-austrobailignan-7.</t>
  </si>
  <si>
    <t>10.1016/0031-9422(93)85380-A</t>
  </si>
  <si>
    <t>WOS:A1993MC47300059</t>
  </si>
  <si>
    <t>ABUIN, EB; LISSI, EA</t>
  </si>
  <si>
    <t>SUBSTRATE PARTITIONING AND CHEMICAL-EQUILIBRIUM IN A MICELLAR SOLUTION</t>
  </si>
  <si>
    <t>JOURNAL OF CHEMICAL EDUCATION</t>
  </si>
  <si>
    <t>0021-9584</t>
  </si>
  <si>
    <t>10.1021/ed069p340</t>
  </si>
  <si>
    <t>WOS:A1992HR46500052</t>
  </si>
  <si>
    <t>LISSI, EA; FAURE, M; CLAVERO, N</t>
  </si>
  <si>
    <t>EFFECT OF ADDITIVES ON THE INACTIVATION OF LYSOZYME MEDIATED BY FREE-RADICALS PRODUCED IN THE THERMOLYSIS OF 2,2'-AZO-BIS-(2-AMIDINOPROPANE)</t>
  </si>
  <si>
    <t>FREE RADICAL RESEARCH COMMUNICATIONS</t>
  </si>
  <si>
    <t>8755-0199</t>
  </si>
  <si>
    <t>10.3109/10715769109093426</t>
  </si>
  <si>
    <t>WOS:A1991FY74100007</t>
  </si>
  <si>
    <t>ABUIN, EB; ENCINAS, MV; DIAZ, S; LISSI, EA</t>
  </si>
  <si>
    <t>CAGE REACTIONS IN THE PHOTOLYSIS OF 2,2,4,4-TETRAMETHYL-3-PENTANONE</t>
  </si>
  <si>
    <t>INTERNATIONAL JOURNAL OF CHEMICAL KINETICS</t>
  </si>
  <si>
    <t>0538-8066</t>
  </si>
  <si>
    <t>10.1002/kin.550160502</t>
  </si>
  <si>
    <t>WOS:A1984SQ29100001</t>
  </si>
  <si>
    <t>PEREZ, D; ROZAS, R</t>
  </si>
  <si>
    <t>AN INEXPENSIVE AND RELIABLE ELECTROANTENNOMETER WITH AUTOMATIC BASE-LINE OFFSET AND DRIFT CANCELLER</t>
  </si>
  <si>
    <t>PHYSIOLOGICAL ENTOMOLOGY</t>
  </si>
  <si>
    <t>An inexpensive and reliable electronic device is described which allows measurement, viewing and recording of electroantennogram (EAG) responses in insects. Potential advantages of the device include low cost, simple operation, suitability for bench or field use, built-in digital readout, separate head amplifier, (+) and (-) peak value memories and an exclusive automatic offset and drift cancelling circuit which does not introduce distortion. The device is intended for use in EAG recording, where signals with either rapid or slow depolarizations are being measured, bringing important information in the return-to-baseline region, and the (+) and (-) peak values of the EAG.</t>
  </si>
  <si>
    <t>0307-6962</t>
  </si>
  <si>
    <t>1365-3032</t>
  </si>
  <si>
    <t>10.1111/j.1365-3032.1984.tb00785.x</t>
  </si>
  <si>
    <t>WOS:A1984TW16100010</t>
  </si>
  <si>
    <t>TRIER, A</t>
  </si>
  <si>
    <t>OBSERVATIONS ON INHALABLE ATMOSPHERIC PARTICULATES IN SANTIAGO, CHILE</t>
  </si>
  <si>
    <t>JOURNAL OF AEROSOL SCIENCE</t>
  </si>
  <si>
    <t>0021-8502</t>
  </si>
  <si>
    <t>10.1016/0021-8502(84)90133-2</t>
  </si>
  <si>
    <t>WOS:A1984TB68800074</t>
  </si>
  <si>
    <t>URZUA, A; CASSELS, BK</t>
  </si>
  <si>
    <t>ALKALOID CHEMOSYSTEMATICS, CHEMOTAXONOMY AND BIOGENESIS IN ATHEROSPERMATACEAE</t>
  </si>
  <si>
    <t>LLOYDIA-THE JOURNAL OF NATURAL PRODUCTS</t>
  </si>
  <si>
    <t>The following species of Atherospermataceae were analyzed for isoquinoline alkaloids: Atherosperma moschatum, Laureliopsis philippiana, Laurelia sempevirens, L. novae-zelandiae, Doryphora sassafras, Dryadodaphne novoguineensis, Nemuaron vieillardii, Daphnandra repandula, D. aromatica, D. micrantha, D. tenuipes, D. dielsii and 2 undetermined Daphnandra spp. The chemosystematic, evolutionary and pharmacognostic implications of the data was discussed.</t>
  </si>
  <si>
    <t>Cassels, Bruce/H-6937-2013</t>
  </si>
  <si>
    <t>0024-5461</t>
  </si>
  <si>
    <t>WOS:A1978FA95500002</t>
  </si>
  <si>
    <t>Urrea, C; Sari, P; Kern, J</t>
  </si>
  <si>
    <t>Urrea, Claudio; Sari, Pablo; Kern, John</t>
  </si>
  <si>
    <t>Hybrid System for Fault Tolerance in Selective Compliance Assembly Robot Arm: Integration of Differential Gears and Coordination Algorithms</t>
  </si>
  <si>
    <t>This study presents a fault-tolerant control system for Selective Compliance Assembly Robot Arm (SCARA) robots, ensuring operational continuity in cooperative tasks. It is evaluated in five scenarios: normal operation, failures without reconfiguration, and with active reconfiguration. The system employs redundant actuators, differential gears, torque limiters, and rapid detection and reconfiguration algorithms. Simulations in MATLAB R2024a demonstrated reconfiguration times of 0.5 s and reduced trajectory errors (0.0042 m on the X-axis for Robot 1), achieving efficiency above 99%. Nonlinear Model Predictive Controllers (NLMPCs) and Adaptive Sliding Mode Control (ASMC) were compared, with NLMPC excelling in stability and ASMC in precision. The system showcased high productivity in pick-and-place tasks, even under critical failures, establishing itself as a robust solution for industrial environments requiring high reliability and advanced automation.</t>
  </si>
  <si>
    <t>10.3390/technologies13020047</t>
  </si>
  <si>
    <t>WOS:001429583800001</t>
  </si>
  <si>
    <t>Gambi, Mauricio Olavarria</t>
  </si>
  <si>
    <t>Crime according to criminals: testimonies of repeat offenders in Chilean prisons</t>
  </si>
  <si>
    <t>This article analyzes the criminal phenomenon based on the testimony of 387 repeat offenders serving sentences in ten prisons in five regions of Chile. The analysis was based on applying grounded theory to the testimonies provided by the interviewed prisoners. It concludes that those who recognize themselves as criminals see the commission of crime as a profession from which they derive utility, that there is rationality in their criminal behavior, and that they have a selfish attitude that leads them-mostly-not to recognize the harm they cause their victims. Finally, the paper discusses some for crime.</t>
  </si>
  <si>
    <t>10.21830/19006586.1402</t>
  </si>
  <si>
    <t>WOS:001467812500005</t>
  </si>
  <si>
    <t>Kern, J; Rodriguez-Guillen, R; Urrea, C; Garcia-Garcia, Y</t>
  </si>
  <si>
    <t>Kern, John; Rodriguez-Guillen, Reinier; Urrea, Claudio; Garcia-Garcia, Yainet</t>
  </si>
  <si>
    <t>Enhancing 3D Rock Localization in Mining Environments Using Bird's-Eye View Images from the Time-of-Flight Blaze 101 Camera</t>
  </si>
  <si>
    <t>The mining industry faces significant challenges in production costs, environmental protection, and worker safety, necessitating the development of autonomous systems. This study presents the design and implementation of a robust rock centroid localization system for mining robotic applications, particularly rock-breaking hammers. The system comprises three phases: assembly, data acquisition, and data processing. Environmental sensing was accomplished using a Basler Blaze 101 three-dimensional (3D) Time-of-Flight (ToF) camera. The data processing phase incorporated advanced algorithms, including Bird's-Eye View (BEV) image conversion and You Only Look Once (YOLO) v8x-Seg instance segmentation. The system's performance was evaluated using a comprehensive dataset of 627 point clouds, including samples from real mining environments. The system achieved efficient processing times of approximately 5 s. Segmentation accuracy was evaluated using the Intersection over Union (IoU), reaching 95.10%. Localization precision was measured by the Euclidean distance in the XY plane (EDXY), achieving 0.0128 m. The normalized error (enorm) on the X and Y axes did not exceed 2.3%. Additionally, the system demonstrated high reliability with R2 values close to 1 for the X and Y axes, and maintained performance under various lighting conditions and in the presence of suspended particles. The Mean Absolute Error (MAE) in the Z axis was 0.0333 m, addressing challenges in depth estimation. A sensitivity analysis was conducted to assess the model's robustness, revealing consistent performance across brightness and contrast variations, with an IoU ranging from 92.88% to 96.10%, while showing greater sensitivity to rotations.</t>
  </si>
  <si>
    <t>Urrea, Claudio/0000-0001-7197-8928; Rodriguez-Guillen, Reinier/0000-0002-2895-4477; Garcia-Garcia, Yainet/0000-0001-7565-4859</t>
  </si>
  <si>
    <t>10.3390/technologies12090162</t>
  </si>
  <si>
    <t>WOS:001323132500001</t>
  </si>
  <si>
    <t>Loyola, CZ; Troncoso, N; Caro, AG; Tasca, F</t>
  </si>
  <si>
    <t>Loyola, Cesar Zuniga; Troncoso, Nicolas; Caro, Angelica Gatica; Tasca, Federico</t>
  </si>
  <si>
    <t>Electrochemical Evaluation of Penta-Coordinated Fe Phthalocyanine During the Oxygen Reduction Reaction in Various Acidic Solutions</t>
  </si>
  <si>
    <t>CHEMELECTROCHEM</t>
  </si>
  <si>
    <t>Iron phthalocyanine (FePc) was penta-coordinated with pyridine ligand (Py) grafted on carbon nanotube (CNT), to form (FePc-Py-CNT). The complex was studied as a catalyst for the oxygen reduction reaction ORR in seven different supporting electrolytes: OH- (0.1 M), OH- (1 M), NO3- (1 M), HSO4- (1 M), ClO4- (1 M), Br- (1 M), Cl- (1 M), to unveil anion-poisoning effects and mechanism. Through cyclic voltammetry and polarization curves in N2 and O2 saturated atmospheres, thermodynamic and kinetic data were acquired. In acid media, the formal potential Fe(III)/(II) (E0'Fe(III)/(II)) of the complex is biased to more negative potentials by the anion presence. Similar effects were observed for the onset potential (Eonset) during polarization curves for the ORR. When the ORR was performed in the presence of either ClO4-, or HSO4-, anions, Tafel analysis showed different values depending if were derived from the low or from the high overpotential regions, revealing an inner-sphere electron transfer mechanism (ISET). The Tafel values derived from measurements in the presence of Cl- and Br- anions do not change when extracted at low or at high overpotentials evidencing an outer-sphere reaction mechanism (OSET). Gibbs free energies were derived from poisoning tests confirming the ISET and OSET mechanisms. The poisoning effect is responsible for the immediate loss of performance for these catalysts during the ORR in acidic media. Iron phthalocyanine is penta-coordinated with pyridine ligand grafted on carbon nanotubes. The complex is studied as a catalyst for the oxygen reduction reaction in different supporting electrolytes to unveil anion-poisoning effects and mechanisms. The poisoning effect is responsible for the immediate loss of performance during the ORR in acidic media. image</t>
  </si>
  <si>
    <t>Zúñiga-Loyola, César/AAN-5621-2021; Tasca, Federico/J-4134-2015</t>
  </si>
  <si>
    <t>Tasca, Federico/0000-0002-4111-4624</t>
  </si>
  <si>
    <t>2196-0216</t>
  </si>
  <si>
    <t>AUG 19</t>
  </si>
  <si>
    <t>10.1002/celc.202400186</t>
  </si>
  <si>
    <t>WOS:001259841800001</t>
  </si>
  <si>
    <t>Torres-Ortega, J; Loyola-Campos, J; Ibarra-Pérez, D; Hernández-Muñoz, V</t>
  </si>
  <si>
    <t>Torres-Ortega, Jorge; Loyola-Campos, Javier; Ibarra-Perez, Davor; Hernandez-Munoz, Valentina</t>
  </si>
  <si>
    <t>Factors influencing entrepreneurial intentions among Chilean secondary vocational students</t>
  </si>
  <si>
    <t>ACADEMIA-REVISTA LATINOAMERICANA DE ADMINISTRACION</t>
  </si>
  <si>
    <t>PurposeThis paper aims to determine the effect of a set of factors (attitude toward entrepreneurship, perceived behavioral control or entrepreneurial self-efficacy, previous experience, internal locus of control and entrepreneurial alertness) on the entrepreneurial intentions of Chilean secondary vocational school students.Design/methodology/approachAn online survey was sent to all secondary-level students from four Chilean vocational schools (3,052 students). A total of 1,644 valid questionnaires were received. The data were analyzed using partial least squares structural equation modeling (PLS-SEM).FindingsThe results show that attitude toward entrepreneurship and perceived behavioral control positively and significantly impact the students' entrepreneurial intentions, but not the previous experience.Research limitations/implicationsSince this research was carried out in a specific reality, the results may lack generalizability. Also, the proposed model requires further development through the incorporation of other factors. It is then suggested to replicate this study in other countries as well as to incorporate new variables and test new relationships.Practical implicationsEntrepreneurship education programs at the secondary level should emphasize changing/stimulating adolescents' attitudes toward entrepreneurship as well as improving their confidence in their entrepreneurial abilities.Originality/valueThis is one of the few studies that provide empirical evidence about the determinants of entrepreneurial intentions in adolescents, particularly in Latin America, and with a large sample. Prop &amp; oacute;sitoEl prop &amp; oacute;sito de este estudio es determinar el efecto de un conjunto de factores (actitud hacia el emprendimiento, control conductual percibido o autoeficacia emprendedora, experiencia previa, locus de control interno y alerta emprendedora) sobre las intenciones emprendedoras de estudiantes secundarios t &amp; eacute;cnico-profesionales chilenos.Dise &amp; ntilde;o/metodolog &amp; iacute;a/aproximaci &amp; oacute;nUna encuesta online fue enviada a todos los estudiantes de nivel secundario de cuatro escuelas t &amp; eacute;cnico-profesionales chilenas (3,052 estudiantes). Se recibieron un total de 1,644 cuestionarios v &amp; aacute;lidos. Los datos obtenidos fueron analizados a trav &amp; eacute;s de una t &amp; eacute;cnica de modelizaci &amp; oacute;n de ecuaciones estructurales (PLS-SEM).ResultadosLos resultados muestran que la actitud y el control conductual percibido impactan positiva y significativamente sobre las intenciones emprendedoras de los estudiantes, no as &amp; iacute; la experiencia previa.Limitaciones/implicancias de la investigaci &amp; oacute;nDado que esta investigaci &amp; oacute;n se llev &amp; oacute; a cabo en una realidad espec &amp; iacute;fica, se debe ser cauteloso a la hora de generalizar sus resultados. Asimismo, el modelo propuesto requiere un mayor desarrollo a trav &amp; eacute;s de la incorporaci &amp; oacute;n de otras variables. Se sugiere entonces replicar este estudio en otros pa &amp; iacute;ses, as &amp; iacute; como incorporar nuevas variables y someter a prueba nuevas relaciones.Implicancias pr &amp; aacute;cticasLos programas de educaci &amp; oacute;n emprendedora en el nivel secundario debiesen poner &amp; eacute;nfasis en cambiar/estimular las actitudes hacia el emprendimiento de los adolescentes, as &amp; iacute; como en mejorar su confianza en sus propias habilidades emprendedoras.Originalidad/valorEste es uno de los pocos estudios que aporta evidencia emp &amp; iacute;rica acerca de los determinantes de las intenciones de emprender en adolescentes, particularmente en Am &amp; eacute;rica Latina y con una muestra amplia.</t>
  </si>
  <si>
    <t>Hernández-Muñoz, Valentina/HNI-2646-2023</t>
  </si>
  <si>
    <t>TORRES ORTEGA, JORGE/0000-0002-6640-6420; Hernandez-Munoz, Valentina/0000-0003-0100-8322; Ibarra Perez, Davor/0000-0002-1972-6085</t>
  </si>
  <si>
    <t>1012-8255</t>
  </si>
  <si>
    <t>2056-5127</t>
  </si>
  <si>
    <t>JUN 13</t>
  </si>
  <si>
    <t>10.1108/ARLA-03-2023-0051</t>
  </si>
  <si>
    <t>APR 2024</t>
  </si>
  <si>
    <t>WOS:001207439100001</t>
  </si>
  <si>
    <t>Claudia, MV; Javiera, AA; Sebastían, NS; Jose, FR; Gloria, L</t>
  </si>
  <si>
    <t>Claudia, Munoz-Villagran; Javiera, Acevedo-Arbunic; Sebastian, Navarro-Salazar; Jose, Fuentes-Rubio; Gloria, Levican</t>
  </si>
  <si>
    <t>Interplay between desiccation and oxidative stress responses in iron-oxidizing acidophilic bacteria</t>
  </si>
  <si>
    <t>Variations in water availability represent a foremost stress factor affecting the growth and survival of microorganisms. Acidophilic bioleaching bacteria are industrially applied for releasing metals from mineral sulphides, and they are considered extremely tolerant to oxidative conditions prevailing in acidic bioleaching environments. Such processes usually are performed in heaps and thus these microorganisms are also exposed to intermittent desiccations or high osmolarity periods that reduce the water availability. However, the tolerance to water stress and the molecular basis of adaptation to it are still largely unknown. The aim of this work was to determine the cellular response to desiccation stress and establish its relationship to oxidative stress response in the acidophilic iron-oxidizing bacteria Acidithiobacillus ferrooxidans ATCC 23270 and Leptospirillum ferriphilum DSM 14647. Results showed that the exposure of cell cultures to desiccation (0-120 min) led to a significant reduction in cell growth, and to an increase in content in reactive oxygen species in both bacteria. However, Leptospirillum ferriphilum turned out to be more tolerant than Acidithiobacillus ferrooxidans. In addition, the pretreatment of the cell cultures with compatible solutes (trehalose and ectoine), and antioxidants (glutathione and cobalamin) restored all stress parameters to levels exhibited by the control cultures. To evaluate the role of the osmotic and redox homeostasis mechanisms in coping with desiccation stress, the relative expression of a set of selected genes was approached by RT-qPCR experiments in cells exposed to desiccation for 30 min. Results showed a generalized upregulation of genes that code for mechanosensitive channels, and enzymes related to the biosynthesis of compatible solutes and oxidative stress response in both bacteria. These data suggest that acidophiles show variable tolerance to desiccation and allow to establish that water stress can trigger oxidative stress, and thus anti-oxidative protection capability can be a relevant mechanism when cells are challenged by desiccation or other anhydrobiosis states.</t>
  </si>
  <si>
    <t>Levican, Gloria/R-5191-2019</t>
  </si>
  <si>
    <t>MAR 10</t>
  </si>
  <si>
    <t>10.1016/j.jbiotec.2024.01.017</t>
  </si>
  <si>
    <t>FEB 2024</t>
  </si>
  <si>
    <t>WOS:001188200000001</t>
  </si>
  <si>
    <t>Faure, A</t>
  </si>
  <si>
    <t>Faure, Antoine</t>
  </si>
  <si>
    <t>A courtly journalism. Press and society in 21st Century Chile</t>
  </si>
  <si>
    <t>Faure, Antoine/M-7944-2019</t>
  </si>
  <si>
    <t>WOS:001462679800002</t>
  </si>
  <si>
    <t>Urrea, C; Kern, J; Navarrete, R</t>
  </si>
  <si>
    <t>Urrea, Claudio; Kern, John; Navarrete, Ricardo</t>
  </si>
  <si>
    <t>Bioinspired Photoreceptors with Neural Network for Recognition and Classification of Sign Language Gesture</t>
  </si>
  <si>
    <t>This work addresses the design and implementation of a novel PhotoBiological Filter Classifier (PhBFC) to improve the accuracy of a static sign language translation system. The captured images are preprocessed by a contrast enhancement algorithm inspired by the capacity of retinal photoreceptor cells from mammals, which are responsible for capturing light and transforming it into electric signals that the brain can interpret as images. This sign translation system not only supports the effective communication between an agent and an operator but also between a community with hearing disabilities and other people. Additionally, this technology could be integrated into diverse devices and applications, further broadening its scope, and extending its benefits for the community in general. The bioinspired photoreceptor model is evaluated under different conditions. To validate the advantages of applying photoreceptors cells, 100 tests were conducted per letter to be recognized, on three different models (V1, V2, and V3), obtaining an average of 91.1% of accuracy on V3, compared to 63.4% obtained on V1, and an average of 55.5 Frames Per Second (FPS) in each letter classification iteration for V1, V2, and V3, demonstrating that the use of photoreceptor cells does not affect the processing time while also improving the accuracy. The great application potential of this system is underscored, as it can be employed, for example, in Deep Learning (DL) for pattern recognition or agent decision-making trained by reinforcement learning, etc.</t>
  </si>
  <si>
    <t>Claudio, URREA/KWU-1600-2024; navarrete, ricardo/AAT-7489-2020</t>
  </si>
  <si>
    <t>Urrea, Claudio/0000-0001-7197-8928; Navarrete Cardenas, Ricardo/0000-0001-5392-4002</t>
  </si>
  <si>
    <t>10.3390/s23249646</t>
  </si>
  <si>
    <t>WOS:001131435000001</t>
  </si>
  <si>
    <t>Cerro, D; Rojas, A; Torres, A; Villegas, C; Galotto, MJ; Guarda, A; Romero, J</t>
  </si>
  <si>
    <t>Cerro, Daniela; Rojas, Adrian; Torres, Alejandra; Villegas, Carolina; Galotto, Maria Jose; Guarda, Abel; Romero, Julio</t>
  </si>
  <si>
    <t>Nanoencapsulation of food-grade bioactive compounds using a supercritical fluid extraction of emulsions process: Effect of operational variables on the properties of nanocapsules and new perspectives</t>
  </si>
  <si>
    <t>LWT-FOOD SCIENCE AND TECHNOLOGY</t>
  </si>
  <si>
    <t>In recent years, there has been a growing interest in the nanoencapsulation of a wide variety of bioactive compounds by extracting emulsions using Supercritical Fluid Extraction of Emulsions (SFEE) process for the development of nutraceutical products and functional foods. This work includes information of both the fundamentals and the stages of the SFEE process. It also describes the different equipment configurations used, such as spray, bubble column, or countercurrent columns operating in a batch process, semi-continuous, and/or continuous mode. In addition, this work also focuses on explaining the SFEE process effect on operational variables (emulsion composition, scCO2 pressure, temperature, scCO2 and emulsion flow rates, and process time) on the main physicochemical properties of the polymeric nanocapsules. Therefore, this work provides fundamental information and perspectives to contribute to the progress of the design of bioactive compound-loaded nano capsules with the advantages of higher encapsulation efficiency, low organic residual solvents, and smaller size, as well as adapting to large-scale productions for the development of healthier and more bioavailable food products.</t>
  </si>
  <si>
    <t>Romero, Julio/I-6705-2013; Rojas, Adrián/AAR-9441-2021; Torres, Alejandra/LPQ-5664-2024</t>
  </si>
  <si>
    <t>0023-6438</t>
  </si>
  <si>
    <t>1096-1127</t>
  </si>
  <si>
    <t>10.1016/j.lwt.2023.115115</t>
  </si>
  <si>
    <t>WOS:001069620600001</t>
  </si>
  <si>
    <t>Groba, CG</t>
  </si>
  <si>
    <t>Groba, CG; Luczak, EB; Niewiadomska-Flis, U</t>
  </si>
  <si>
    <t>Gonzalez Groba, Constante</t>
  </si>
  <si>
    <t>Pathologizing Race, Pathologizing Metastatic Racism From Lillian Smith to Ibram Kendi</t>
  </si>
  <si>
    <t>PATHOLOGIZING BLACK BODIES: The Legacy of Plantation Slavery</t>
  </si>
  <si>
    <t>Routledge Studies in African American Literature</t>
  </si>
  <si>
    <t>978-1-032-40963-4; 978-1-003-35555-7; 978-1-032-40962-7</t>
  </si>
  <si>
    <t>10.4324/9781003355557-7</t>
  </si>
  <si>
    <t>10.4324/9781003355557</t>
  </si>
  <si>
    <t>WOS:001198018700005</t>
  </si>
  <si>
    <t>Aguirre, I; Gonzalez, A; Castillo, E</t>
  </si>
  <si>
    <t>Aguirre, I.; Gonzalez, A.; Castillo, E.</t>
  </si>
  <si>
    <t>Numerical study on the use of shear-thinning nanofluids in a micro pin-fin heat sink including vortex generators and changes in pin shapes</t>
  </si>
  <si>
    <t>JOURNAL OF THE TAIWAN INSTITUTE OF CHEMICAL ENGINEERS</t>
  </si>
  <si>
    <t>Background: The use of passive strategies in microchannel heat sinks allows for increasing the device's efficiency. The combined use of vortex generators, change of shape of the pins, and shear-thinning nanofluids allow increasing the mixing capacity of the flow without a significant increase in the pressure drop. Method: In this study, we numerically investigated the use of water and two hybrid shear-thinning nanofluids in a microchannel heat sink. In addition, the use of vortex generators in the vertical walls of the microchannel and the change in pin shape from circular to hexagonal was evaluated. The simulations were performed in three dimensions with largescale meshes without considering symmetry. Findings: From the studied cases, the addition of vortex generators increased the heat transfer rates significantly (by more than 20%) with a considerable increase in pressure drops in the Newtonian fluid. By contrast, in shear-thinning fluids, the pumping cost is reduced by an average of 20%.</t>
  </si>
  <si>
    <t>; Castillo, Ernesto/D-1612-2015</t>
  </si>
  <si>
    <t>Gonzalez, Amaru/0000-0003-4403-2154; Castillo, Ernesto/0000-0001-7013-6008; Aguirre, Ismael/0000-0002-0018-9654</t>
  </si>
  <si>
    <t>1876-1070</t>
  </si>
  <si>
    <t>1876-1089</t>
  </si>
  <si>
    <t>10.1016/j.jtice.2022.104400</t>
  </si>
  <si>
    <t>JUN 2022</t>
  </si>
  <si>
    <t>WOS:000810369200002</t>
  </si>
  <si>
    <t>Urrea, C; Kern, J; López-Escobar, R</t>
  </si>
  <si>
    <t>Urrea, Claudio; Kern, John; Lopez-Escobar, Ricardo</t>
  </si>
  <si>
    <t>Design of an interleaver with criteria to improve the performance of turbo codes in short block lengths</t>
  </si>
  <si>
    <t>WIRELESS NETWORKS</t>
  </si>
  <si>
    <t>This paper presents the design of an interleaver for short Parallel Turbo Codes (PTC) with short block lengths in the order of 64, 128, and 256 bits. In particular, the objective is to design an interleaver that generates decorrelation in the external input information to parallel recursive convolutional encoders, with sufficient data propagation to reduce the Bit Error Rate (BER). Experimental tests are designed and implemented -by numerical calculations- using the MatLab/Simulink software. The S-random interleaver, which applies circular displacement and a propagation constraint, is employed. An excellent reduction in BER is achieved for the three short block lengths, according to the quality indicator defined by the International Telecommunication Union (ITU).</t>
  </si>
  <si>
    <t>Lopez Escobar, Ricardo/0000-0001-7619-4735; Urrea, Claudio/0000-0001-7197-8928</t>
  </si>
  <si>
    <t>1022-0038</t>
  </si>
  <si>
    <t>1572-8196</t>
  </si>
  <si>
    <t>10.1007/s11276-022-02912-2</t>
  </si>
  <si>
    <t>FEB 2022</t>
  </si>
  <si>
    <t>WOS:000755408900002</t>
  </si>
  <si>
    <t>Monreal, JA</t>
  </si>
  <si>
    <t>Monreal, Javier Aoiz</t>
  </si>
  <si>
    <t>MARGINS OF MORAL CHARACTER IN ARISTOTLE: DREAM AND BRUTISHNESS</t>
  </si>
  <si>
    <t>IDEAS Y VALORES</t>
  </si>
  <si>
    <t>Plato points out in Republic ix that in all human beings there is a background of bes-tial desires that manifest especially in dreams and the wise man manages to keep away. The article tries to reconstruct Aristotle's response to these theses through the study of three topics of his philosophy: the concept of happiness, the category of bestiality, and the etiology of dreams developed in the treatises on dreams included in Parva Naturalia.</t>
  </si>
  <si>
    <t>0120-0062</t>
  </si>
  <si>
    <t>2011-3668</t>
  </si>
  <si>
    <t>10.15446/ideasyvalores.v71n180.84401</t>
  </si>
  <si>
    <t>WOS:000887267400002</t>
  </si>
  <si>
    <t>Ruz, O; Castillo, E; Cruchaga, M</t>
  </si>
  <si>
    <t>Ruz, O.; Castillo, E.; Cruchaga, M.</t>
  </si>
  <si>
    <t>Numerical study of the effect of blockage ratio in forced convection confined flows of shear-thinning fluids</t>
  </si>
  <si>
    <t>JOURNAL OF FLUID MECHANICS</t>
  </si>
  <si>
    <t>In this work, the fluid dynamics and heat transfer of time-dependent flows with shear-thinning behaviour over two confined square cylinders in tandem arrangement are studied numerically. The case studies include two- and three-dimensional flows under a wide range of power-law indices, 0.25 &lt;= n &lt;= 1.0, and blockage ratios, beta = 0.50, 0.66 and 0.80, for a fixed Reynolds number of Re = 100 and Prandtl number of Pr = 10. The fluid dynamic analysis includes detailed qualitative and quantitative comparisons between the different fluids and blockage ratios, where streamlines, viscosity fields, and lift and drag coefficients are presented. Moreover, a detailed study of the route from laminar time-dependent to chaotic flows is included. It was determined that the flow exhibits a transition from laminar to chaotic by decreasing the power-law index (n) and increasing the blockage ratio (beta). With respect to the thermal analysis, isotherms and Nusselt numbers are compared between the different case studies. This analysis demonstrates that the average Nusselt numbers increased in chaotic flows. The three-dimensional cases confirmed the results proposed for the two-dimensional case.</t>
  </si>
  <si>
    <t>Cruchaga, Marcela/0000-0002-8708-2402; Castillo, Ernesto/0000-0001-7013-6008</t>
  </si>
  <si>
    <t>0022-1120</t>
  </si>
  <si>
    <t>1469-7645</t>
  </si>
  <si>
    <t>OCT 27</t>
  </si>
  <si>
    <t>A21</t>
  </si>
  <si>
    <t>10.1017/jfm.2021.859</t>
  </si>
  <si>
    <t>WOS:000721289400001</t>
  </si>
  <si>
    <t>Urrea, C; Benítez, D</t>
  </si>
  <si>
    <t>Urrea, Claudio; Benitez, David</t>
  </si>
  <si>
    <t>Software-Defined Networking Solutions, Architecture and Controllers for the Industrial Internet of Things: A Review</t>
  </si>
  <si>
    <t>The use of Software-Defined Networking (SDN) in the communications of the Industrial Internet of Things (IIoT) demands more comprehensive solutions than those developed to date. The lack of an SDN solution applicable in diverse IIoT scenarios is the problem addressed in this article. The main cause of this problem is the lack of integration of a set of aspects that should be considered in a comprehensive SDN solution. To contribute to the solution of this problem, a review of the literature is conducted in this article, identifying the main requirements for industrial networks nowadays as well as their solutions through SDN. This review indicates that aspects such as security, independence of the network technology used, and network centralized management can be tackled using SDN. All the advantages of this technology can be obtained through the implementation of the same solution, considering a set of aspects proposed by the authors for the implementation of SDNs in IIoT networks. Additionally, after analyzing the main features and advantages of several architectures proposed in the literature, an architecture with distributed network control is proposed for all SDN network scenarios in IIoT. This architecture can be adapted through the inclusion of other necessary elements in specific scenarios. The distributed network control feature is relevant here, as it prevents a single fault-point for an entire industrial network, in exchange for adding some complexity to the network. Finally, the first ideas for the selection of an SDN controller suitable for IIoT scenarios are included, as this is the core element in the proposed architecture. The initial proposal includes the identification of six controllers, which correspond to different types of control planes, and ten characteristics are defined for selecting the most suitable controller through the Analytic Hierarchy Process (AHP) method. The analysis and proposal of different fundamental aspects for the implementation of SDNs in IIoT in this article contribute to the development of a comprehensive solution that is not focused on the characteristics of a specific scenario and would, therefore, be applicable in limited situations.</t>
  </si>
  <si>
    <t>10.3390/s21196585</t>
  </si>
  <si>
    <t>WOS:000707816500001</t>
  </si>
  <si>
    <t>Benavides, A; Gutiérrez, D; Epuyao, N; Modak, B; Imarai, M; Valenzuela, B</t>
  </si>
  <si>
    <t>Benavides, Almendra; Gutierrez, Daniela; Epuyao, Nadia; Modak, Brenda; Imarai, Monica; Valenzuela, Beatriz</t>
  </si>
  <si>
    <t>Alpinone: A positive regulator molecule of immune antiviral response in Atlantic salmon kidney cells</t>
  </si>
  <si>
    <t>DEVELOPMENTAL AND COMPARATIVE IMMUNOLOGY</t>
  </si>
  <si>
    <t>Alpinone is a flavonoid obtained from the resinous exudate of Heliotropium huascoense. This flavonoid shows antiviral activity against the infectious salmon anemia virus (ISAV), which causes severe disease in farmed Atlantic salmon. Here, we aim to elucidate mechanisms underlying the antiviral effects of the flavonoid. In this regard, we evaluated whether Alpinone can act upregulating the pattern-recognition receptor genes, i.e., the RIGI-like, TLR3, and TLR9 genes, and the genes of the downstream signaling pathways. Transcriptional expression of the genes was analyzed using real-time PCR after 8, 24, and 48 h treatment of salmon kidney adherent cells with 15 mu g/mL of Alpinone. First, we showed that Alpinone induced IFNa expression in the kidney adherent cells, indicating that this type of salmon cells is in part responsible for the effects previously reported in vivo. Upregulation of the IFN-induced myxovirus resistance (Mx) gene was also observed in the head kidney cells in response to the treatment. Overexpression reached a maximum level at 24 h post-treatment. Interestingly, Alpinone also induced upregulation of the cytosolic receptors of ssRNA, named Retinoic acid-inducible gene I (RIG-I) and Melanoma Differentiation-Associated protein 5 (MDA5), but there were no effects on the transcriptional expression of the TLR3 and TLR9 endosomal receptors. In addition, Alpinone upregulated the expression of genes encoding the main components of the RIG-I/MDA5 signaling pathways, such as the mitochondrial antiviral-signaling protein (MAVS), TNF Receptor Associated Factor 3 (TRAF3), TANK-binding kinase 1 (TBK1), I-kappaB kinase epsilon (IKK epsilon), the transcription factors IRF-3, and IRF7. The increased expression of all these genes is consistent with the upregulation of IFNa and Mx mRNAs. Because BX795 completely prevents Alpinone-dependent upregulation of IFNa and IRF3, the flavonoid targets seem to be upstream of the kinases TBK1 and IKK epsilon. Altogether, this study contributes to elucidating the mechanisms involved in Alpinone antiviral activity in fish. Alpinone can be used to counteract virus mechanisms of evasion where the onset of interferonmediated response is prevented or delayed.</t>
  </si>
  <si>
    <t>0145-305X</t>
  </si>
  <si>
    <t>1879-0089</t>
  </si>
  <si>
    <t>10.1016/j.dci.2021.104262</t>
  </si>
  <si>
    <t>WOS:000701875600005</t>
  </si>
  <si>
    <t>Fredes, FC</t>
  </si>
  <si>
    <t>Carrasco Fredes, Francisco</t>
  </si>
  <si>
    <t>Hygiene into the ring: Facultad de Medicina y Farmacia against Max Westenhofer</t>
  </si>
  <si>
    <t>REVISTA CHILENA DE INFECTOLOGIA</t>
  </si>
  <si>
    <t>Carrasco Fredes, Francisco/0000-0002-2091-0306</t>
  </si>
  <si>
    <t>0716-1018</t>
  </si>
  <si>
    <t>0717-6341</t>
  </si>
  <si>
    <t>WOS:000708129800019</t>
  </si>
  <si>
    <t>Mallol, J</t>
  </si>
  <si>
    <t>Mallol, Javier</t>
  </si>
  <si>
    <t>It is high time for the scholarly societies to standardize the bronchodilator responsiveness in children Response</t>
  </si>
  <si>
    <t>10.15586/aei.v49i2.205</t>
  </si>
  <si>
    <t>WOS:000624917300028</t>
  </si>
  <si>
    <t>Muñoz, F; Acuña, G</t>
  </si>
  <si>
    <t>Munoz, Francisco; Acuna, Gonzalo</t>
  </si>
  <si>
    <t>Time Series Forecasting using NARX and NARMAX models with shallow and deep neural networks</t>
  </si>
  <si>
    <t>In this work shallow and deep neural networks are used to develop NARX and NARMAX models for the prediction of two time series with different characteristics. The hypothesis is that the models generated with deep learning techniques outperform shallow techniques. The results show that for problems of medium complexity the proposed hypothesis is fulfilled highlighting in this case the use of convolutional neural network (CNN) On the other hand for problems of low complexity the hypothesis is not fulfilled so in in these cases the use of Extreme Learning Machine (ELM) is recommended.</t>
  </si>
  <si>
    <t>10.1109/LA-CCI48322.2021.9769832</t>
  </si>
  <si>
    <t>WOS:000925148800034</t>
  </si>
  <si>
    <t>Grebe, CP</t>
  </si>
  <si>
    <t>Pey Grebe, Coral</t>
  </si>
  <si>
    <t>LIGHTS AND SHADOWS OF THE EUROPEAN COOPERATION IN LATIN AMERICAN SMES: THE CASE OF CHILE, 1995-2010</t>
  </si>
  <si>
    <t>REVISTA ESTUDIOS HEMISFERICOS Y POLARES</t>
  </si>
  <si>
    <t>The European Union cooperation with Chile as regards the Chilean SMEs, developed through the bi-regional program Al Invest between the years 1995 and 2010, is analyzed to compare the level of consistency between the proposed objectives and those actually achieved. According to the objectives set by Al Invest, the program is committed to strengthening Chilean SMEs and their production and export capacity. Notwithstanding, when contrasted with results, a significant gap emerges. The actual and effective impact on SMEs has been much less than expected. This fact leads to the question whether the purpose of the program is true.</t>
  </si>
  <si>
    <t>0718-9230</t>
  </si>
  <si>
    <t>WOS:000606328800003</t>
  </si>
  <si>
    <t>THE INDIGENOUS WORLD IN THE CAMILA, BY CAMILO HENRIQUEZ</t>
  </si>
  <si>
    <t>REVISTA IBEROAMERICANA</t>
  </si>
  <si>
    <t>0034-9631</t>
  </si>
  <si>
    <t>2154-4794</t>
  </si>
  <si>
    <t>WOS:000575510200020</t>
  </si>
  <si>
    <t>Becerra, SN</t>
  </si>
  <si>
    <t>Nunez Becerra, Silvana</t>
  </si>
  <si>
    <t>Considerations on the translation of introductory coursebooks: the need for an interdisciplinary approach</t>
  </si>
  <si>
    <t>ONOMAZEIN</t>
  </si>
  <si>
    <t>Scientific discourse in any language must meet three principles: veracity, accuracy and clarity (Navarro, ma; Corral &amp; Encinas, 2013). However, texts fulfilling these three principles are not quite frequent in Spanish. In scientific texts, linguistic features are considered less important and often dismissed because of both the referential function of these texts and the fact that they are mainly addressed to experts in a certain field. This scenario is not very different when it comes to scientific translation into Spanish, which is performed almost exclusively by scientists (Gutierrez, 1998; Claros, 2016). However, scientific texts are not addressed to experts only. One example is the genre of introductory coursebooks at university, whose receivers are just starting to study the subject in depth. Since introductory coursebooks are defined as a fundamental means to access to specialized knowledge in higher education (Parodi, 2008), achieving the principles of the scientific discourse turns out to be essential for the appropriate comprehension of these texts and eventually for the students' academic success. The present work seeks to question the simplistic view of language as a mere instrument in the context of scientific translation into Spanish as well as to analyze some of its implications in education. To this end, I have selected some passages from an introductory coursebook on biochemistry and its official translation into Spanish. Thus, this article intends to shed some light on the importance of an interdisciplinary approach in translation in order to achieve the scientific language principles.</t>
  </si>
  <si>
    <t>0717-1285</t>
  </si>
  <si>
    <t>0718-5758</t>
  </si>
  <si>
    <t>10.7764/onomazein.48.09</t>
  </si>
  <si>
    <t>WOS:000553244700009</t>
  </si>
  <si>
    <t>Parker, GC</t>
  </si>
  <si>
    <t>Parker, Cristian G.</t>
  </si>
  <si>
    <t>Local Energy Transition and Technical Knowledge in the Southern Cone: A Sociological Approach</t>
  </si>
  <si>
    <t>REVISTA DE ESTUDIOS SOCIALES</t>
  </si>
  <si>
    <t>Social research on the transition to renewable energies has focused on understanding public policies and social movements. Energy knowledge plays an important practical, normative, and social role that influences actors' approaches to this transition, which has been scarcely studied at local or community levels, let alone in the Global South. A comparative methodology is used to study cases of communes in Argentina and Chile. The results are presented using a variety of data sources to explore the frameworks of the energy matrix and energy projects, revealing the role of technical knowledge in building local agency. This article presents a theoretical discussion and conclusions that include proposals for the future development of a more local, inclusive, committed and deliberative transition process, based on local technical expertise in renewable energies.</t>
  </si>
  <si>
    <t>0123-885X</t>
  </si>
  <si>
    <t>1900-5180</t>
  </si>
  <si>
    <t>10.7440/res72.2020.01</t>
  </si>
  <si>
    <t>WOS:000522732900001</t>
  </si>
  <si>
    <t>Kessi-Pérez, EI; Molinet, J; Martínez, C</t>
  </si>
  <si>
    <t>Kessi-Perez, Eduardo I.; Molinet, Jennifer; Martinez, Claudio</t>
  </si>
  <si>
    <t>Disentangling the genetic bases of Saccharomyces cerevisiae nitrogen consumption and adaptation to low nitrogen environments in wine fermentation</t>
  </si>
  <si>
    <t>The budding yeast Saccharomyces cerevisiae has been considered for more than 20 years as a premier model organism for biological sciences, also being the main microorganism used in wide industrial applications, like alcoholic fermentation in the winemaking process. Grape juice is a challenging environment for S. cerevisiae, with nitrogen deficiencies impairing fermentation rate and yeast biomass production, causing stuck or sluggish fermentations, thus generating sizeable economic losses for wine industry. In the present review, we summarize some recent efforts in the search of causative genes that account for yeast adaptation to low nitrogen environments, specially focused in wine fermentation conditions. We start presenting a brief perspective of yeast nitrogen utilization under wine fermentative conditions, highlighting yeast preference for some nitrogen sources above others. Then, we give an outlook of S. cerevisiae genetic diversity studies, paying special attention to efforts in genome sequencing for population structure determination and presenting QTL mapping as a powerful tool for phenotype-genotype correlations. Finally, we do a recapitulation of S. cerevisiae natural diversity related to low nitrogen adaptation, specially showing how different studies have left in evidence the central role of the TORC1 signalling pathway in nitrogen utilization and positioned wild S. cerevisiae strains as a reservoir of beneficial alleles with potential industrial applications (e.g. improvement of industrial yeasts for wine production). More studies focused in disentangling the genetic bases of S. cerevisiae adaptation in wine fermentation will be key to determine the domestication effects over low nitrogen adaptation, as well as to definitely proof that wild S. cerevisiae strains have potential genetic determinants for better adaptation to low nitrogen conditions.</t>
  </si>
  <si>
    <t>Molinet, Jennifer/AAI-3636-2020; Kessi, Eduardo/AAI-2566-2019; Martinez, Claudio/MGS-9961-2025</t>
  </si>
  <si>
    <t>Molinet, Jennifer/0000-0001-9716-4455; Kessi, Eduardo/0000-0003-4225-9486</t>
  </si>
  <si>
    <t>JAN 9</t>
  </si>
  <si>
    <t>10.1186/s40659-019-0270-3</t>
  </si>
  <si>
    <t>WOS:000511929200001</t>
  </si>
  <si>
    <t>Saavedra, JEB</t>
  </si>
  <si>
    <t>Benitez Saavedra, Jorge Esteban</t>
  </si>
  <si>
    <t>Beyond the Skills: Scientific Administration, Business Networks and Circulation of Psy knowledge on the World of Work in Chile (1956-1970)</t>
  </si>
  <si>
    <t>REVISTA DE HISTORIA DE LA PSICOLOGIA</t>
  </si>
  <si>
    <t>This article analyzes the Psi knowledge that accompanied the development of the Scientific Management Movement in Chile. For this purpose, the publications of the magazine Empresa, a bulletin edited by the Institute of Rational Business Administration (ICARE), were used, as well as government and academic documents. The analysis was oriented to identify the networks and problems around which the psychological discourses on work were mobilized between 1956 and 1970; revealing the important role played by the business associations and the American intellectual centers. Finally, it is concluded that the study of skills was insufficient to respond to the problems arising from the deterioration of worker subjectivity, incorporating new knowledge that appealed to the psychologization of the work space as a way of guaranteeing worker-employer cooperation and that forced to redefine the programmatic bases of industrial psychology that had been developing in Chile.</t>
  </si>
  <si>
    <t>2445-0928</t>
  </si>
  <si>
    <t>10.5093/rhp2020a6</t>
  </si>
  <si>
    <t>WOS:000536692800002</t>
  </si>
  <si>
    <t>Vera, CG; Montilla, FC</t>
  </si>
  <si>
    <t>Garay Vera, Cristian; Colletti Montilla, Franklim</t>
  </si>
  <si>
    <t>The end of an era. The recognition of Finland by Chile (1917-1919)</t>
  </si>
  <si>
    <t>PASADO Y MEMORIA-REVISTA DE HISTORIA CONTEMPORANEA</t>
  </si>
  <si>
    <t>The establishment of diplomatic relations between Chile and Finland in 1918 was the product of the collapse of the Russian Empire and the dawn of the Bolshevik era. In the context of the Russian Civil War, Finland was recognized by the antagonistic parts of World War I, and Chile joined the considerations of Western powers that saw Finland's split as an economic and political opportunity. This article singles out the role of Agustin Edwards McClure, then Chile's ambassador to London, at the time when the foundations of the League of Nations and the new cast of nations emerging from the principle of self-determination are also beginning to be discussed, as was the case in Finland.</t>
  </si>
  <si>
    <t>1579-3311</t>
  </si>
  <si>
    <t>2386-4745</t>
  </si>
  <si>
    <t>10.14198/PASADO2021.22.13</t>
  </si>
  <si>
    <t>WOS:000614141500014</t>
  </si>
  <si>
    <t>Bachelet, VC; Uribe, FA; Díaz, RA; Vergara, AF; Bravo-Córdova, F; Carrasco, VA; Lizana, FJ; Meza-Ducaud, N; Navarrete, MS</t>
  </si>
  <si>
    <t>Author misrepresentation of institutional affiliations: protocol for an exploratory case study</t>
  </si>
  <si>
    <t>BMJ OPEN</t>
  </si>
  <si>
    <t>Introduction University ranking systems and the publish-or-perish dictum, among other factors, are driving universities and researchers around the world to increase their research productivity. Authors frequently report multiple affiliations in published articles. It is not known if the reported institutional affiliations are real affiliations, which is when the universities have contributed substantially to the research conducted and to the published manuscript. This study aims to establish whether there is an empirical basis for author affiliation misrepresentation in authors with multiple institutional affiliations. Methods and analysis This individual secondary data exploratory analysis on Scopus-indexed articles for 2016 will search all authors who report multiple institutional affiliations in which at least one of the affiliations is to a Chilean university. We will consider that misrepresentation of an affiliation is more likely when it is not possible to verify objectively a link between the author and the mentioned institution through institutional websites. If we cannot corroborate the author affiliation, we will consider this a finding of potential misrepresentation of the affiliation. We will summarise results with descriptive statistics. Ethics and dissemination The study protocol was approved by the institutional ethics committee of Universidad de Santiago de Chile, Resolution No. 261, and dated January 15, 2018. Results will be submitted to the World Conference on Research Integrity, among other meetings on publication ethics and research integrity, and will be published in scientific, peer-reviewed journals.</t>
  </si>
  <si>
    <t>Vergara, Alonso F/0000-0002-8385-4372; Carrasco, Victor A./0000-0002-6588-7189; Bachelet, Vivienne C./0000-0002-5715-9755; Diaz, Ruben/0000-0001-6231-4871; Meza Ducaud, Nicolas/0000-0002-7194-6472</t>
  </si>
  <si>
    <t>2044-6055</t>
  </si>
  <si>
    <t>e023983</t>
  </si>
  <si>
    <t>10.1136/bmjopen-2018-023983</t>
  </si>
  <si>
    <t>WOS:000471124600101</t>
  </si>
  <si>
    <t>Reyes, A; Pailahueque, N; Henriquez-Vargas, L; Vasquez, J; Sepulveda, F</t>
  </si>
  <si>
    <t>Reyes, A.; Pailahueque, N.; Henriquez-Vargas, L.; Vasquez, J.; Sepulveda, F.</t>
  </si>
  <si>
    <t>Analysis of a multistage solar thermal energy accumulator</t>
  </si>
  <si>
    <t>RENEWABLE ENERGY</t>
  </si>
  <si>
    <t>The present work evaluates the effect of using two paraffin wax with different solidification points as PCM, stored in soda cans and sequentially distributed, on the discharge efficiency of solar thermal energy accumulators in laboratory and prototype scales. The discharge efficiency ranges found were [74 %, 92 %] and [49 %, 61%] for the laboratory and prototype scale models respectively. Greater efficiency values were obtained in both accumulators when the first rows of soda cans exposed to the incoming air was filled with the PCM of lower solidification point (41 degrees C) and the last row with PCM of higher solidification point (56 degrees C). Numerical solution of the mathematical modeling allowed to predict the outlet air temperature which compared with experimental data. Bigger discrepancies with the simulation results were obtained in the prototype scale accumulator due to the variability of the environmental conditions. As conclusion we stated that it is possible to enhance the discharge efficiency of a solar energy accumulator by using two PCM with different solidification points. The implemented mathematical model allowed to predict the time evolution of the air temperature at the accumulators outlet. Row order and paraffin wax type allow to adjust the energy discharge rate depending on the application type. (C) 2019 Elsevier Ltd. All rights reserved.</t>
  </si>
  <si>
    <t>Sepúlveda, Francesca/AAW-8092-2021; Pailahueque, Nicolas/GYA-3286-2022; Henríquez-Vargas, Luis/Q-3617-2019</t>
  </si>
  <si>
    <t>Sepulveda Palma, Francisco Hernan/0000-0002-1930-3859; Pailahueque Barahona, Nicolas/0009-0006-3051-3888</t>
  </si>
  <si>
    <t>0960-1481</t>
  </si>
  <si>
    <t>1879-0682</t>
  </si>
  <si>
    <t>10.1016/j.renene.2018.12.103</t>
  </si>
  <si>
    <t>WOS:000460847800053</t>
  </si>
  <si>
    <t>The First Export Era Revisited: Reassessing its Contribution to Latin American Economies</t>
  </si>
  <si>
    <t>10.1017/S0022216X19000439</t>
  </si>
  <si>
    <t>WOS:000474831100015</t>
  </si>
  <si>
    <t>Baigorrotegui, G</t>
  </si>
  <si>
    <t>Baigorrotegui, Gloria</t>
  </si>
  <si>
    <t>Making Justice for Counter-Expertise and Doing Counter-expertise for Justice</t>
  </si>
  <si>
    <t>SCIENCE AS CULTURE</t>
  </si>
  <si>
    <t>Baigorrotegui, Gloria/C-1681-2018</t>
  </si>
  <si>
    <t>Baigorrotegui Baigorrotegui, Gloria A./0000-0002-8381-5728</t>
  </si>
  <si>
    <t>0950-5431</t>
  </si>
  <si>
    <t>1470-1189</t>
  </si>
  <si>
    <t>10.1080/09505431.2019.1645824</t>
  </si>
  <si>
    <t>WOS:000483804600001</t>
  </si>
  <si>
    <t>p-Median based formulations with backbone facility locations</t>
  </si>
  <si>
    <t>APPLIED SOFT COMPUTING</t>
  </si>
  <si>
    <t>In this paper, we propose new mixed integer linear programming (MILP) models for the p-Median problem subject to ring, tree and star backbone topology constraints on the facility locations. More precisely, we minimize simultaneously the total connection cost distances between customers and facilities, and cost distances among facilities when connected under a ring, tree or a star network topology. In principle, all our proposed models can be used in any application related with the classical p-Median problem. Application examples include wired and wireless network design, computer networks, transportation, water supply and electrical networks, just to name a few. The proposed models arise as a combination of the classical p-Median problem with the traveling salesman, spanning tree, and star network problems, respectively. We prove the correctness of each proposed model. Then, we further propose variable neighborhood search (VNS) meta-heuristic algorithms, one for each topology. Our numerical results indicate that the ring models are harder to solve with CPLEX than the tree and star ones. Whilst VNS algorithms proved to be highly efficient when compared to the optimal solutions of the problem for small, medium and large size instances. Moreover, we obtain better feasible solutions than CPLEX for the large instances and in significantly less computational cost. (C) 2018 Elsevier B.V. All rights reserved.</t>
  </si>
  <si>
    <t>1568-4946</t>
  </si>
  <si>
    <t>1872-9681</t>
  </si>
  <si>
    <t>10.1016/j.asoc.2018.03.008</t>
  </si>
  <si>
    <t>WOS:000431913000019</t>
  </si>
  <si>
    <t>Stipicevic, VF</t>
  </si>
  <si>
    <t>Fuentes Stipicevic, Verushka</t>
  </si>
  <si>
    <t>Internet and its materiality</t>
  </si>
  <si>
    <t>In this work we intend to reflect on the materiality of what Soulages (2017) has described as a body, specifically, the internet body. Within the approach of the phenomenon of new information technologies and their social influence, the Internet is one of the aspects of greater scope and complexity. From a deconstructive structural methodology, it has been necessary to make an arbitrary cut on the phenomenon to circumscribe the reflection on one of its aspects and subject it to a brief scrutiny, it refers mainly to the internet interface. This is the most obvious material dimension of the internet, which acts as a mediating object between the hypertextual narrative material and the living materiality of the human being. The interest in the interface lies mainly in its apparent transparency, in its virtual absence, which is not such, and in how from this intentional disappearance can activate a new type of connection between the human and the machine capable of determining the form of knowledge about himself and the world.</t>
  </si>
  <si>
    <t>WOS:000483366800012</t>
  </si>
  <si>
    <t>Rojo-González, L; Vásquez, OC</t>
  </si>
  <si>
    <t>Rojo-Gonzalez, Luis; Vasquez, Oscar C.</t>
  </si>
  <si>
    <t>Non-monotonous logic model of the CLP-USD exchange rate: An approach from Artificial Neural Networks (ANN)</t>
  </si>
  <si>
    <t>In this work we propose a forecast model of the variation of the sign between exchange rate Chilean peso and American dollar (CLP-USD) at the close of two consecutive exchange days. This model is based on feedforward Artificial Neural Network development, whose structure considers a set of explanatory premises to describe the exchange behavior under study in a non-monotonous logical setting. The exchange rate CLP-USD at the beginning, at the closure, minimum and maximum values obtained during an exchange day from January 1, 2005 to July 9, 2018 are used. The obtained results show a good and robust percentage of sign prediction in different extra samples.</t>
  </si>
  <si>
    <t>WOS:000458417600023</t>
  </si>
  <si>
    <t>HISTORICAL DEVELOPMENT OF JAPANESE FOREIGN SECURITY POLICY (1951-2001)</t>
  </si>
  <si>
    <t>WOS:000608876200003</t>
  </si>
  <si>
    <t>Cardenas-Lattus, J; Kaschel, H</t>
  </si>
  <si>
    <t>Cardenas-Lattus, Jose; Kaschel, Hector</t>
  </si>
  <si>
    <t>Fetal ECG Multi-Level Analysis Using Daubechies Wavelet Transform for Non-Invasive Maternal Abdominal ECG Recordings</t>
  </si>
  <si>
    <t>2017 CHILEAN CONFERENCE ON ELECTRICAL, ELECTRONICS ENGINEERING, INFORMATION AND COMMUNICATION TECHNOLOGIES (CHILECON)</t>
  </si>
  <si>
    <t>CHILEAN Conference on Electrical, Electronics Engineering, Information and Communication Technologies (CHILECON)</t>
  </si>
  <si>
    <t>OCT 18-20, 2017</t>
  </si>
  <si>
    <t>IEEE Chile Sect,Asociac Chilena Control Automatico,IEEE Chilean Chapter Control Syst,IEEE Chilean Chapter SMC,Macro Fac Chile,Univ Frontera,Univ Bio Bio,Univ Talca,IEEE Syst, Man, &amp; Cybernet Soc</t>
  </si>
  <si>
    <t>This paper is focused on presenting Multi-level decomposition analysis for foetal Electrocardiogram (FECG) signals, in order to improve non-inasive methods of treatment during the prenatal stage of pregnancy. Multi-level theory is presented herewith different bases of wavelets such as Daubechies and Haar by reconstructing foetal heart rate (FHR) with denoised wavelet coefficients. 4th Daubechies was used for denoising and Haar basis for foetal heart beats detection, due to the differences between maternal and foetal heartbeats and the similarity of Daubechies basis wavelets to the complex QRS of a heartbeat. It was possible to reconstruct the signal and furthermore analyze only the most important parameters of the waveform. This procedure did an effort to improve FECG analysis using a low computational mathematical tool, nevertheless it is still being improved.</t>
  </si>
  <si>
    <t>978-1-5386-3123-2</t>
  </si>
  <si>
    <t>WOS:000425925000011</t>
  </si>
  <si>
    <t>Guzman, CF; Flores, EIS; Pina, JC; Yáñez, S</t>
  </si>
  <si>
    <t>Gomes, JFS; Meguid, SA</t>
  </si>
  <si>
    <t>Felipe Guzman, Carlos; Saavedra Flores, Erick I.; Carlos Pina, Juan; Yanez, Sergio</t>
  </si>
  <si>
    <t>FINITE ELEMENT APPROACH TO SIMULATE CNT-REINFORCED CALCIUM-SILICATE-HYDRATE (C-S-H) COMPOSITE</t>
  </si>
  <si>
    <t>PROCEEDINGS OF THE 7TH INTERNATIONAL CONFERENCE ON MECHANICS AND MATERIALS IN DESIGN (M2D2017)</t>
  </si>
  <si>
    <t>7th International Conference on Mechanics and Materials in Design (M2D)</t>
  </si>
  <si>
    <t>JUN 11-15, 2017</t>
  </si>
  <si>
    <t>Albufeira, PORTUGAL</t>
  </si>
  <si>
    <t>Univ Porto, Fac Engn,Univ Toronto, Mech &amp; Aerosp Design Lab,Univ Algarve, Inst Super Engn,Portuguese Assoc Expt Mech,European Soc Expt Mech,Amer Soc Expt Mech,Japanese Soc Mech Engn,Int Measurement Confederat,Assoc Francaise Mecanique,European Assoc Dynam Mat,Inst Ciencia &amp; Inovacao Enga Mecanica &amp; Enga Ind,Lab Biomecanica Porto,Fundacao Ciencia Technologia,ABREU, Profess Congress Organizer</t>
  </si>
  <si>
    <t>Concrete is an old and reliable material for construction. Its mechanical behavior has been widely studied and is well known. It is common to use reinforcements such as steel to improve the ductility of concrete under tension. Recently, nanomaterials have become an interesting solution to improve concrete's mechanical behavior, creating a totally new kind of reinforced composites. As the name may suggest, the understanding of the concrete at the nanoscale then become crucial. From all components of concrete, cement plays a significant role in the mechanical behavior. In particular, cement is controlled by the formation of Calcium-Silicate-Hydrate (CSH). Several authors have proposed different crystalline structure for CSH such as Tobermorit. Molecular dynamics (MD) is the traditional tool to simulate the behavior of the crystalline structure. In this work, a novel approach is used. Following the methodology proposed by Li and Chou, (2003), the interatomic bonds and potentials are simulated using structural finite elements. The finite element (FE) method is faster than MD and extensively used by engineers. This approach is tested by comparing the elastic modulus of both methods. Overall, the new methodology gives promising results.</t>
  </si>
  <si>
    <t>Flores, Erick/I-7646-2012; Yanez, Sergio/G-5230-2019; Guzmán, Carlos/D-7722-2013; Pina, Juan/AAC-3455-2021</t>
  </si>
  <si>
    <t>978-989-98832-7-7</t>
  </si>
  <si>
    <t>WOS:000427886600121</t>
  </si>
  <si>
    <t>Mesías, AS</t>
  </si>
  <si>
    <t>Sena, CM</t>
  </si>
  <si>
    <t>Samaniego Mesias, Augusto</t>
  </si>
  <si>
    <t>The Inalienable Agrarian Community: State, parties and Mapuche people (1927-1958)</t>
  </si>
  <si>
    <t>IZQUIERDAS LATINOAMERICANAS: MULTIPLICIDAD Y EXPERIENCIAS DURANTE EL SIGLO XX</t>
  </si>
  <si>
    <t>International Seminar on Latin American Left - Their National Trajectories and International Relations During the 20th Century</t>
  </si>
  <si>
    <t>NOV 14-16, 2016</t>
  </si>
  <si>
    <t>Havana, CUBA</t>
  </si>
  <si>
    <t>978-956-8416-55-3</t>
  </si>
  <si>
    <t>WOS:000417360300013</t>
  </si>
  <si>
    <t>Nonlinear Evolution Equations with Infinitely Many Derivatives</t>
  </si>
  <si>
    <t>We study the nonlinear evolutionary euclidean bosonic string equation on the Euclidean space . We interpret the nonlocal operator using entire vectors of in . We prove that it generates a bounded holomorphic -semigroup on (so that it also satisfies maximal regularity) and we show the well-posedness of the corresponding nonlinear Cauchy problem.</t>
  </si>
  <si>
    <t>10.1007/s11785-016-0534-7</t>
  </si>
  <si>
    <t>WOS:000385182700009</t>
  </si>
  <si>
    <t>Azócar, MI; Tamayo, L; Vargas, E; Vejar, N; Páez, M</t>
  </si>
  <si>
    <t>Kharisov, BI; Kharissova, OV; OrtizMendez, U</t>
  </si>
  <si>
    <t>Azocar, Manuel I.; Tamayo, Laura; Vargas, Esteban; Vejar, Nelson; Paez, Maritza</t>
  </si>
  <si>
    <t>Antimicrobial Activity: Antibacterial Properties of Silver Nanomaterials</t>
  </si>
  <si>
    <t>CRC CONCISE ENCYCLOPEDIA OF NANOTECHNOLOGY</t>
  </si>
  <si>
    <t>Paez, Maritza/M-2010-2014; Tamayo, Laura/I-8942-2018; Azocar, Manuel/I-1226-2013; Vejar, Nelson/M-7784-2017</t>
  </si>
  <si>
    <t>978-1-4665-8089-3; 978-1-4665-8034-3</t>
  </si>
  <si>
    <t>10.1201/b19457</t>
  </si>
  <si>
    <t>WOS:000445393000002</t>
  </si>
  <si>
    <t>Donoso, LG</t>
  </si>
  <si>
    <t>Garrido Donoso, Lorena</t>
  </si>
  <si>
    <t>Two Women Poets of the Modernirty: Nahui Olin and Gabriela Mistral in Post Revolutionary Mexico</t>
  </si>
  <si>
    <t>The present paper talks about the confluence of writers Nahui Olin and Gabriela Mistral in post-revolutionary Mexico between 1922-1923 and their attempts to define their subjectivity and be part of a public space still predominantly masculine. The author claims that, although both women use different strategies to accomplish that g6al, they have in common a clear self-conscience that both build not only through their writing but also through their public image, which is ambiguous and ambivalent, a clear reflex of a moment in which Mexico lived a phase of transition and self-definition in its attempt to reach modernity.</t>
  </si>
  <si>
    <t>WOS:000390071800005</t>
  </si>
  <si>
    <t>González-Ibáñez, R; Barrera-Pulgar, C; Varela-Otárola, JL</t>
  </si>
  <si>
    <t>ACM</t>
  </si>
  <si>
    <t>Gonzalez-Ibanez, Roberto; Barrera-Pulgar, Carlos; Varela-Otarola, Jose Luis</t>
  </si>
  <si>
    <t>Evaluating Touch-Based Interactions in an Image Search Task</t>
  </si>
  <si>
    <t>PROCEEDINGS OF THE 2016 ACM CONFERENCE ON HUMAN INFORMATION INTERACTION AND RETRIEVAL (CHIIR'16)</t>
  </si>
  <si>
    <t>ACM SIGIR Conference on Human Information Interaction and Retrieval</t>
  </si>
  <si>
    <t>MAR 13-17, 2016</t>
  </si>
  <si>
    <t>Carrboro, NC</t>
  </si>
  <si>
    <t>Assoc Comp Machinery,ACM SIGIR,ACM SIGCHI</t>
  </si>
  <si>
    <t>Current technologies provide users different ways to interact with digital content, nevertheless, a physical gap between these two interaction components exists. In particular, touch-based interfaces enable users to use their own fingers to manipulate and interact with digital objects in a more direct fashion than mouse-based interactions. However, it is not clear yet to what extent, if any, this type of interaction could help bridge the gap between users and the digital world in particular information-related contexts such as information search. In this paper we report preliminary results of a user study designed to compare mouse and touch-based interactions in the context of an image search task. This study is part of a larger research project focused on immersive interaction with digital information objects. Our results show that in spite of the novelty, high adoption rates, and tangible nature of touch-based interfaces, no significant differences exist with prevalent technology (i.e., mouse) in terms of performance; nevertheless, user experience was found to better in touch-based interactions.</t>
  </si>
  <si>
    <t>978-1-4503-3751-9</t>
  </si>
  <si>
    <t>10.1145/2854946.2854999</t>
  </si>
  <si>
    <t>WOS:000389808700034</t>
  </si>
  <si>
    <t>Quijada-Maldonado, E; Romero, J; Osorio, I</t>
  </si>
  <si>
    <t>Quijada-Maldonado, E.; Romero, J.; Osorio, I.</t>
  </si>
  <si>
    <t>Selective removal of iron(III) from synthetic copper(II) pregnant leach solutions using [bmim][Tf2N] as diluent and TFA as extracting agent</t>
  </si>
  <si>
    <t>High concentrations of iron represent a drawback in the hydrometallurgy of copper, since this metal cation could be co-extracted or entrained to the electrowinning step causing difficulties in obtaining pure copper. In this work, a pre-treatment step based on solvent extraction of iron using a hydrophobic imidazolium-based ionic liquid is proposed to overcome this drawback. The ionic liquid [bmim][Tf2N] was used as the diluent. The beta-diketone TFA was used as the extractant. The results show that the combination extractant-ionic liquid is capable to remove iron(III) selectively from a pregnant leach solution (PLS) containing mainly copper(II) and iron(III) at low pH values. Furthermore, the use of this ionic liquid as diluent shows high extraction capacities. Finally, 97% of iron(III) can be stripped from the ionic liquid using a diluted solution of sulfuric add (2 M). (C) 2015 Elsevier B.V. All rights reserved.</t>
  </si>
  <si>
    <t>Romero, Julio/0000-0002-1229-1592; Quijada-Maldonado, Esteban/0000-0003-1411-4327</t>
  </si>
  <si>
    <t>10.1016/j.hydromet.2015.11.003</t>
  </si>
  <si>
    <t>WOS:000368949800008</t>
  </si>
  <si>
    <t>Rozas, C; Carvallo, C; Contreras, D; Carrerño, M; Ugarte, G; Delgado, R; Zeise, ML; Morales, B</t>
  </si>
  <si>
    <t>Rozas, C.; Carvallo, C.; Contreras, D.; Carrerno, M.; Ugarte, G.; Delgado, R.; Zeise, M. L.; Morales, B.</t>
  </si>
  <si>
    <t>Methylphenidate amplifies long-term potentiation in rat hippocampus CA1 area involving the insertion of AMPA receptors by activation of β-adrenergic and D1/D5 receptors</t>
  </si>
  <si>
    <t>NEUROPHARMACOLOGY</t>
  </si>
  <si>
    <t>Methylphenidate (MPH, Ritalin (c)) is widely used in the treatment of Attention Deficit Hyperactivity Disorder and recently as a drug of abuse. Although the effect of MPH has been studied in brain regions such as striatum and prefrontal cortex (PFC), the hippocampus has received relatively little attention. It is known that MPH increases the TBS-dependent Long Term Potentiation (LTP) in the CA1 area. However, the cellular and molecular mechanisms involved in this process are still unknown. Using field potential recordings and western blot analysis in rat hippocampal slices of young rats, we found that acute application of MPH enhances LTP in CA3-CA1 synapses in a dose-dependent manner with an EC50 of 73.44 +/- 6.32 nM. Using specific antagonists and paired-pulse facilitation protocols, we observed that the MPH-dependent increase of LTP involves not only P-adrenergic receptors activation but also post-synaptic D1/D5 dopamine receptors. The inhibition of PKA with PKI, suppressed the facilitation of LTP induced by MPH consistent with an involvement of the adenyl cyclase-cAMP-PKA dependent cascade downstream of the activation of D1/D5 receptors. In addition, samples of CA1 areas taken from slices potentiated with MPH presented an increase in the phosphorylation of the Ser845 residue of the GluA1 subunit of AMPA receptors compared to control slices. This effect was reverted by SCH23390, antagonist of D1/D5 receptors, and PKI. Moreover, we found an increase of surface-associated functional AMPA receptors. We propose that MPH increases TBS-dependent LTP in CA3-CAI synapses through a polysynaptic mechanism involving activation of P-adrenergic and D1/D5 dopaminergic receptors and promoting the trafficking and insertion of functional AMPA receptors to the plasma membrane. (C) 2015 Elsevier Ltd. All rights reserved.</t>
  </si>
  <si>
    <t>Morales Castañeda, Bernardo/GPP-1642-2022</t>
  </si>
  <si>
    <t>Zeise, Marc/0000-0001-7683-4878; Rozas, Carlos/0000-0002-6422-9600; Carvallo, Claudia/0009-0002-7111-2045</t>
  </si>
  <si>
    <t>0028-3908</t>
  </si>
  <si>
    <t>1873-7064</t>
  </si>
  <si>
    <t>10.1016/j.neuropharm.2015.07.003</t>
  </si>
  <si>
    <t>WOS:000366066800003</t>
  </si>
  <si>
    <t>Valdés, RLB</t>
  </si>
  <si>
    <t>Blanco Valdes, Roberto L.</t>
  </si>
  <si>
    <t>Spanish Political Laws 1808-1978</t>
  </si>
  <si>
    <t>REVISTA ESPANOLA DE DERECHO CONSTITUCIONAL</t>
  </si>
  <si>
    <t>0211-5743</t>
  </si>
  <si>
    <t>1989-0648</t>
  </si>
  <si>
    <t>WOS:000368917400013</t>
  </si>
  <si>
    <t>Cañete, L; Palominos, F; Díaz, H; Córdova, F; Cifuentes, F</t>
  </si>
  <si>
    <t>Gomes, LFAM; Colcher, R; Wolcott, P; HerreraViedma, E; Shi, Y</t>
  </si>
  <si>
    <t>Canete, Lucio; Palominos, Fredi; Diaz, Hernan; Cordova, Felisa; Cifuentes, Fernando</t>
  </si>
  <si>
    <t>Relationship between the ergonomic state of the classroom measured in energy units and the well-being of students observed by non-invasive instrumentation</t>
  </si>
  <si>
    <t>3RD INTERNATIONAL CONFERENCE ON INFORMATION TECHNOLOGY AND QUANTITATIVE MANAGEMENT, ITQM 2015</t>
  </si>
  <si>
    <t>3rd International Conference on Information Technology and Quantitative Management (ITQM)</t>
  </si>
  <si>
    <t>JUL 21-24, 2015</t>
  </si>
  <si>
    <t>Rio De Janeiro, BRAZIL</t>
  </si>
  <si>
    <t>Int Acad Informat Technol &amp; Quantitat Management,Ibmec,FIRJAN,UFF,SOBRAPO,ASSESPRO,CAPES,FAPERJ,SUCESU RJ,SINDITEC,ANE Natl Acad Engn,Res Ctr Fictitious Econ,Data Sci,Key Lab Big Data Mining &amp; Knowledge Management,Chinese Acad Sci, Sch Management,Univ Chinese Acad Sci, Sch Management,Chinese Acad Sci, Inst Policy &amp; Management,Chinese Soc Management Modernizat,Univ Nebraska</t>
  </si>
  <si>
    <t>This work aims to measure the ergonomic level of a classroom by means of the quantification of two readily measurable variables. The central hypothesis is that the greater the ergonomic level of the classroom, the higher the well-being of the students and, consequently, the less of total environmental adjustments that must be done to achieve a comfortable situation. Previous research put forward that when human beings are faced with non-pleasing environments, immediately emerges a state of restlessness, which is behaviorally manifested by postural changes and surrounding observation assessing both the sources of discomfort and the potential resources to avoid them. This fact is mainly attested by the movements of the head, the part of the body that concentrates all the sensory system, and the rest of the body. Regarding that the well-being experienced by a student in a specific learning environment is reflected in the body of the individual, we choose to measure these movements as a proxy variable of the ergonomic level of the classroom. A second variable can be measured during the first few minutes of the class by recording the distance displacement of objects and the modification of other aspects of the classroom made by the students to get a better condition to be in it. We choose the net amount of energy required to do these changes as another proxy variable to estimate the ergonomics of the classroom. This second variable is measured once the students are free to make adjustments in the classroom quantifying the energy used for this purpose. These observations are plotted on a Cartesian plane revealing a clear correlation between energy and movements, confirming that both variables are quantitative indicators of the ergonomic state of the classroom, the main artificial ecosystem of learning. (C) 2015 Published by Elsevier B.V.</t>
  </si>
  <si>
    <t>Arratia, Lucio/AAV-6112-2020; CORDOVA, FELISA/S-1093-2019; Palominos, Fredi/U-4690-2019</t>
  </si>
  <si>
    <t>CORDOVA, FELISA/0000-0002-5557-8569; Canete Arratia, Lucio/0000-0002-1191-8728; Palominos, Fredi/0000-0002-6119-4991</t>
  </si>
  <si>
    <t>10.1016/j.procs.2015.07.166</t>
  </si>
  <si>
    <t>WOS:000360101400003</t>
  </si>
  <si>
    <t>Arrau, GP</t>
  </si>
  <si>
    <t>Massaro, M; Garlatti, A</t>
  </si>
  <si>
    <t>Perez Arrau, Gregorio</t>
  </si>
  <si>
    <t>Knowledge Management in the Context of Developing Countries: The Case of Chile</t>
  </si>
  <si>
    <t>PROCEEDINGS OF THE 16TH EUROPEAN CONFERENCE ON KNOWLEDGE MANAGEMENT (ECKM 2015)</t>
  </si>
  <si>
    <t>Proceedings of the European Conference on Knowledge Management</t>
  </si>
  <si>
    <t>16th European Conference on Knowledge Management (EKCM)</t>
  </si>
  <si>
    <t>SEP 03-04, 2015</t>
  </si>
  <si>
    <t>Univ Udine, ITALY</t>
  </si>
  <si>
    <t>Univ Udine</t>
  </si>
  <si>
    <t>In recent years, knowledge management has been widely acknowledged in the professional and academic literature as a well-established area of knowledge. Despite the initial suspicions of certain groups of experts that knowledge management was just another 'fad' (e.g. Wilson, 2002), it has, indeed, become a permanent and important issue in the management arena (Ponzi &amp; Koenig, 2002, Rylander, 2006). However, since its origin, most research on knowledge management has been conducted in the context of developed countries, while the situation of developing countries is rarely addressed and hardly known. Underlying the current debate on knowledge management there seems to be an assumption that theories and models can be applied in different contexts and that the economic, social and cultural features of a specific nation have little impact on the application of knowledge management policies and practices. The aim of this paper is to address the little studied issue of knowledge management in the context of developing countries by describing the current state of this field in Chile and exploring how its practice, process, tools, etc., can be shaped by some of the main political, economic, social, and cultural features of this country. The article is divided into three sections: First, the importance of knowledge in the current economic environment in Chile and the presence of knowledge workers in organisations is debated, including some possible effects of the commodity-oriented economy, the precariousness of employment, and social inequalities. Second, the degree of penetration of the knowledge management approach in Chilean society is explored by discussing the presence (or absence) of knowledge management in firms, universities, and in the consultant arena. Also, data from a survey (2012) on the perception of knowledge management among engineers and managers is examined. Finally, several characteristic of Chilean culture and society are discussed in the light of existing literature in the field, and some possible consequences for knowledge management practice are described. The paper concludes that although Chile is a developing country, knowledge management should be an important element in the management of organisations. However, the evidence shows that knowledge management is not common among Chilean organisations and also that the meaning of the term remains ambiguous among knowledge workers. In most of the organisations the knowledge dimension is still underestimated by the owners, and managers tend to focus their attention on the tangible elements. Additionally, the paper concludes that cultural characteristics such as paternalism, lack of trust, and social inequality can be seen as a serious threat to knowledge management initiatives in this country.</t>
  </si>
  <si>
    <t>2048-8963</t>
  </si>
  <si>
    <t>978-1-910810-47-7</t>
  </si>
  <si>
    <t>WOS:000371802400122</t>
  </si>
  <si>
    <t>Rannou, FR; Lagos, HA; Aburto, DD</t>
  </si>
  <si>
    <t>Rannou, Fernando R.; Lagos, Hector A.; Aburto, Danilo D.</t>
  </si>
  <si>
    <t>Parallel Framework for Monte Carlo Simulations of Particle Tracking</t>
  </si>
  <si>
    <t>2015 IEEE NUCLEAR SCIENCE SYMPOSIUM AND MEDICAL IMAGING CONFERENCE (NSS/MIC)</t>
  </si>
  <si>
    <t>IEEE Nuclear Science Symposium and Medical Imaging Conference (NSS/MIC)</t>
  </si>
  <si>
    <t>OCT 31-NOV 07, 2015</t>
  </si>
  <si>
    <t>978-1-4673-9862-6</t>
  </si>
  <si>
    <t>WOS:000413680600211</t>
  </si>
  <si>
    <t>Aravena, CR</t>
  </si>
  <si>
    <t>Rivera Aravena, Carla</t>
  </si>
  <si>
    <t>Dialogs and reflections on the communications in the Unidad Popular. Chile, 1970-1973</t>
  </si>
  <si>
    <t>The following article examines the debate that aroused concerning communications during the government of Popular Unity. The Center of Studies of the National Reality (CEREN), of the Catholic University of Santiago, established a precedent proposing new approaches - different to the dominant ones - that were later transformed into paradigms for Communications. Armand Mattelart, Michele Mattelart and Mabel Piccini, in fact, opened the debate demonstrating and questioning the lack of vision of the left in this matter. Thus the lack of communication policies from the government did not prevent the development of new experiences conditioned by the revolutionary context.</t>
  </si>
  <si>
    <t>10.5209/rev_HICS.2015.v20.n2.51388</t>
  </si>
  <si>
    <t>WOS:000370549800004</t>
  </si>
  <si>
    <t>Tapia, PC</t>
  </si>
  <si>
    <t>Canales Tapia, Pedro</t>
  </si>
  <si>
    <t>Etno intelligentsia: construction of lettered subjects in Latin America, 1980-2010</t>
  </si>
  <si>
    <t>Alpha-Revista de Artes Letras y Filosofia</t>
  </si>
  <si>
    <t>This paper studies the processes of historical social construction of indigenous intellectuals, one of the most important and complex stages for ethnic movements in Latin America: redemocratization, the opening of markets and high participation of the grassroots mobilization processes. Thus, this proposition develops a two-point analysis: firstly, the definition and selfdefinition which is made by an indigenous intellectual and, on the other hand, the problems facing this etnointellectual in a scientific and Western semantic framework.</t>
  </si>
  <si>
    <t>WOS:000348909300013</t>
  </si>
  <si>
    <t>Torres, A; de Dicastillo, CL; Rios, M; Bastias, I; Guarda, A; Galotto, MJ</t>
  </si>
  <si>
    <t>Torres, A.; de Dicastillo, C. Lopez; Rios, M.; Bastias, I.; Guarda, A.; Galotto, M. J.</t>
  </si>
  <si>
    <t>EFFECT OF ORGANOCLAY INCORPORATION ON THERMAL, PHYSICAL AND MORPHOLOGICAL PROPERTIES OF LLDPE NANOCOMPOSITES FOR ACTIVE FOOD PACKAGING APPLICATIONS</t>
  </si>
  <si>
    <t>Active films based on nanocomposites from linear low-density polyethylene (LLDPE) were prepared by melting extrusion incorporating Cloisite 30B ( 5 wt.%) and thymol as active compound at two different concentrations: 2 and 4 wt.%. A complete thermal, structural characterization and antioxidant capacity of all blends was carried out. Extraction procedures revealed final concentrations of thymol in the film between 40-80 % of the thymol that was initially included in the films formulation. Materials with 2 and 4 % of thymol presented similar antioxidant capacity. XRD results indicated a slightly lower degree of intercalation in the nanocomposites with thymol, due probably to the lower compatibility between the hydrophilic character of the clays, and the hydrophobic thymol substance. The addition of the antioxidant improved slightly the thermal stability of the polymer.</t>
  </si>
  <si>
    <t>10.4067/S0717-97072014000400011</t>
  </si>
  <si>
    <t>WOS:000347834700010</t>
  </si>
  <si>
    <t>Espinoza, C; Contreras, N; Berríos, C; Salazar, R</t>
  </si>
  <si>
    <t>Espinoza, C.; Contreras, N.; Berrios, C.; Salazar, R.</t>
  </si>
  <si>
    <t>DEGRADATION OF A VETERINARY PHARMACEUTICAL PRODUCT IN WATER BY ELECTRO-OXIDATION USING A BDD ANODE</t>
  </si>
  <si>
    <t>The electrochemical oxidation (EO) treatment in water of Fantetra, a veterinary drug widely used in Chile, and its components: oxytetracycline hydrochloride, phtalylsulfathiazole and diphenhydramine, has been carried out at constant current using a BDD/Stainless steel system. First, solutions of each drug were electrolyzed following the decay of the absorbance of each compound and total organic carbon abatement. The mineralization of the Fantetra commercial formulation was also studied. An analysis of the degradation by-products was made by high performance liquid chromatography. Thus, during the degradation of each pharmaceutical by the electrochemical oxidation process, aliphatic carboxylic acids were detected prior to their complete mineralization to CO2 and nitrogen ions, while NO3- and NH4+ remain in the treated solution. This is an essential preliminary step towards the applicability of the EO processes for the treatment of wastewater containing pharmaceutical compounds.</t>
  </si>
  <si>
    <t>Salazar, Ricardo/L-7870-2013; Espinoza, Carolina/CAJ-5323-2022</t>
  </si>
  <si>
    <t>Salazar-Gonzalez, Ricardo/0000-0003-2180-6022</t>
  </si>
  <si>
    <t>10.4067/S0717-97072014000200024</t>
  </si>
  <si>
    <t>WOS:000342613100024</t>
  </si>
  <si>
    <t>Ulianova, O</t>
  </si>
  <si>
    <t>Ulianova, Olga</t>
  </si>
  <si>
    <t>THE DEPLOYMENT OF AN OPPOSITION: THE EX PRESIDENT FREI MONTALVA AND THE DICTATOR PINOCHET IN THE US ARCHIVES (1973-1982)</t>
  </si>
  <si>
    <t>Using declassified US documents, this article examines the complex relationship between the Democracia Crisitana (PDC) Chile's largest political party and the Military Regime, between the years 1973 and 1982. The American idea of the PDC was primarily centered on its leaders, especially on the political figure Eduardo Frei Montalva. This article argues that American documents reveal that of Eduardo Frei Montalva's numerous interactions with the international community were to critique the Military Regime, which happened much earlier than it was supposed. The same documentation reveals that the regime's animosity and growing irritation with Frei's political activity in Chile and on the international scene, reached obsessive levels in trying to build a negative image of its main enemy.</t>
  </si>
  <si>
    <t>10.4067/S0717-71942014000200005</t>
  </si>
  <si>
    <t>WOS:000348694600005</t>
  </si>
  <si>
    <t>Calvez, M</t>
  </si>
  <si>
    <t>Calvez, Matthieu</t>
  </si>
  <si>
    <t>Fast Nielsen-Thurston classification of braids</t>
  </si>
  <si>
    <t>ALGEBRAIC AND GEOMETRIC TOPOLOGY</t>
  </si>
  <si>
    <t>We prove the existence of an algorithm that solves the reducibility problem in braid groups and runs in quadratic time with respect to the braid length for any fixed braid index.</t>
  </si>
  <si>
    <t>Calvez, Matthieu/F-8329-2016</t>
  </si>
  <si>
    <t>Calvez, Matthieu/0000-0002-7059-3062</t>
  </si>
  <si>
    <t>1472-2739</t>
  </si>
  <si>
    <t>10.2140/agt.2014.14.1745</t>
  </si>
  <si>
    <t>WOS:000336918500016</t>
  </si>
  <si>
    <t>Urzúa, A; Olguín, A; Santander, R</t>
  </si>
  <si>
    <t>Urzua, Alejandro; Olguin, Angel; Santander, Rocio</t>
  </si>
  <si>
    <t>ARISTOLOCHIC ACIDS IN THE ROOTS OF ARISTOLOCHIA CHILENSIS, A DANGEROUS CHILEAN MEDICINAL PLANT</t>
  </si>
  <si>
    <t>The chemical composition of aristolochic acids (AAs) from the roots of A. chilensis was determined by high-performance liquid chromatography with diodearray detection (HPLC-DAD), a technique widely used for the detection and quantification of AAs in herbal medicines. The roots contained a mixture of AA-I (1), AA-II (2), AA-III (3), AA-IV (4), AA-Ia (5), AA-IIIa (6), AA-IVa (7), and aristoloside (8), indicating that A. chilensis is not suitable for use as a medicinal plant due to the harmful effects of the aristolochic acids.</t>
  </si>
  <si>
    <t>Santander, Rocio/K-7645-2013</t>
  </si>
  <si>
    <t>10.4067/S0717-97072013000400041</t>
  </si>
  <si>
    <t>WOS:000331238800037</t>
  </si>
  <si>
    <t>Velez, J; Arce, R; Alburquenque, D; Gautier, JL; Zuñiga, C; Herrera, F</t>
  </si>
  <si>
    <t>Velez, J.; Arce, R.; Alburquenque, D.; Gautier, J. L.; Zuniga, C.; Herrera, F.</t>
  </si>
  <si>
    <t>SIMPLE STEPS FOR SYNTHESIS OF SILICON OXIDE MESOPOROUS MATERIALS USED AS TEMPLATE</t>
  </si>
  <si>
    <t>A novel methodology for the synthesis of silicon oxide mesoporous materials has been developed using soft reaction conditions, unlike other synthesis conditions present in the literature. The synthesis involves the use of the lyotropic liquid crystals formed by mixing the surfactant hexadecyltrimethylazanium (CTAB), sodium nitrate as catalyst, water and tetraethyl orthosilicate (TEOS) as the inorganic precursor. The silicon oxide samples were characterized by high-resolution transmission electron microscopy (HRTEM) and EDX analysis. The specific surface area of the powder and the pore size were determined by the BET method and were found to be 587 m(2)/g and 2-4 nm, respectively. The point of zero charge (pzc) determination using a zeta-meter apparatus was 3.1 showing the acid character of the surface. The template mesoporous SiO2 samples can be used to prepare composite electrodes containing active mixed oxides, e. g. for lithium-ion batteries.</t>
  </si>
  <si>
    <t>Arce, Roxana/V-8140-2019; Cifuentes, Jorge/P-7533-2018; Zúñiga-Loyola, César/AAN-5621-2021</t>
  </si>
  <si>
    <t>Herrera, Francisco/0000-0001-7783-2970; Alburquenque, Daniela/0000-0001-9236-3308; , Roxana/0000-0002-7529-8011; ARCE, ROXANA/0000-0002-1387-9232; Zuniga-Loyola, Cesar/0000-0002-0894-3383</t>
  </si>
  <si>
    <t>10.4067/S0717-97072013000400020</t>
  </si>
  <si>
    <t>WOS:000331238800016</t>
  </si>
  <si>
    <t>Martínez, C; García, V; González, D; Jara, M; Aguilera, M; Ganga, MA</t>
  </si>
  <si>
    <t>Martinez, Claudio; Garcia, Veronica; Gonzalez, David; Jara, Matias; Aguilera, Matias; Angelica Ganga, Maria</t>
  </si>
  <si>
    <t>Gene expression of specific enological traits in wine fermentation</t>
  </si>
  <si>
    <t>Background: Wine fermentation is a dynamic process and yeast has a precise genic regulation system that allow them to coordinate the gene transcription levels. However, the fermentation stage at which there is a great variation in the genic expression associated to a particular enological trait is often unknown and there are no simple experimental approaches to define it. Results: To identify the most adequate stage in which to evaluate the expression of the genes associated to specific enological traits we identified three stages of fermentation using the industrial strain EC1118. These stages, called early (0-16.4 hrs), middle (16.4-88.7 hrs) and late (88.7 hrs onwards), were characterized according to changes in the speed of CO2 production. The greatest nitrogen consumption velocity (1.016 g/L h) was achieved in the early stage. The most significant changes in the consumption of sugar and ethanol production acceleration occurred in the middle stage, and the greatest velocity of ethanol production (0.043%/h) and fructose consumption (0.338 g/L h) occurred in the late stage. The expression profiles for a set of genes characteristic of these processes were clearly defined during the stages of fermentation: identifying a peak for the genes related to the consumption of nitrogen during the early stage, followed by an increase in the expression of genes related to the consumption of sugars in the middle stage. Finally, during the late stage there is a decrease in the expression of genes involved in the consumption of sugar, except for HXT3 the levels of which remain high. Conclusions: The kinetic and transcriptional profiles of the enological traits under study are clearly distinct and each is associated to a particular stage of the fermentation. Our results confirm that CO2 production is a simple parameter to estimate the stages of the fermentation. Therefore, using the kinetics of CO2 loss it is possible to select the most adequate moment to study the expression of genes associated to the main enological traits: sugar consumption and production of nitrogen and ethanol.</t>
  </si>
  <si>
    <t>García, Verónica/AAM-1175-2021; GONZALEZ, DAVID/JDD-2892-2023; Martinez, Claudio/MGS-9961-2025; Ganga, Maria/S-8176-2019</t>
  </si>
  <si>
    <t>Jara, Matias/0000-0003-0091-8957; Martinez, Claudio/0000-0001-8564-9287; garcia, veronica/0000-0002-5312-925X</t>
  </si>
  <si>
    <t>10.2225/vol16-issue4-fulltext-8</t>
  </si>
  <si>
    <t>WOS:000328339600013</t>
  </si>
  <si>
    <t>Quoirin, HR; Ubilla, P</t>
  </si>
  <si>
    <t>Ramos Quoirin, Humberto; Ubilla, Pedro</t>
  </si>
  <si>
    <t>On some indefinite and non-powerlike elliptic equations</t>
  </si>
  <si>
    <t>We consider a class of elliptic problems for the operator -Delta+V, acting on H-0(1)(Omega), where Omega is a bounded domain. The main feature here is the indefinite behavior of both the operator and the nonlinearity. Based on the global geometry of the energy functional, we prove the existence of two local minimizers and a mountain-pass critical point for a concave-convex type nonlinearity. Subcritical and critical growth are allowed on the nonlinearity. (C) 2012 Elsevier Ltd. All rights reserved.</t>
  </si>
  <si>
    <t>Ramos Quoirin, Humberto/0000-0001-6252-2515</t>
  </si>
  <si>
    <t>10.1016/j.na.2012.10.022</t>
  </si>
  <si>
    <t>WOS:000313933400015</t>
  </si>
  <si>
    <t>Abuin, E; Lissi, E; Ahumada, M</t>
  </si>
  <si>
    <t>Abuin, Elsa; Lissi, Eduardo; Ahumada, Manuel</t>
  </si>
  <si>
    <t>Diffusion of hydrogen peroxide across DPPC large unilamellar liposomes</t>
  </si>
  <si>
    <t>CHEMISTRY AND PHYSICS OF LIPIDS</t>
  </si>
  <si>
    <t>The decomposition of hydrogen peroxide catalyzed by catalase entrapped in the pool of dipalmitoylphosphatidyl choline unilamellar liposomes has been studied. The rate of the process was evaluated by following the production of oxygen as a function of time. Under the experimental conditions employed the rate of oxygen production was controlled by the diffusion of hydrogen peroxide, allowing for the estimation of the diffusion coefficient of hydrogen peroxide across the liposome bilayer. The rate of diffusion across the bilayer increases with the temperature and the presence of fluidizers (n-nonanol), according with changes in the bilayer fluidity, as sensed by 1,6-diphenyl hexatriene (DPH) fluorescence anisotropy. A peculiar aspect of the data is the fast hydrogen peroxide diffusion observed at the bilayer phase transition temperature. This fast diffusion is associated to rafts fluctuations that take place in the partially melted bilayer. These fluctuations have no effect on the microviscosity sensed by DPH. (C) 2012 Elsevier Ireland Ltd. All rights reserved.</t>
  </si>
  <si>
    <t>Ahumada, Manuel/L-2401-2018</t>
  </si>
  <si>
    <t>0009-3084</t>
  </si>
  <si>
    <t>10.1016/j.chemphyslip.2012.07.001</t>
  </si>
  <si>
    <t>WOS:000309084400005</t>
  </si>
  <si>
    <t>Urzúa, A; Echeverría, J; Espinoza, J</t>
  </si>
  <si>
    <t>Urzua, Alejandro; Echeverria, Javier; Espinoza, Javier</t>
  </si>
  <si>
    <t>Lipophilicity and antibacterial activity of flavonols: Antibacterial activity of resinous exudates of Haplopappus litoralis, H. chrysantemifolius and H. scrobiculatus</t>
  </si>
  <si>
    <t>The antibacterial properties of the resinous exudates from Haplopappus litoralis, H. chrysantemifolius and H. scrobiculatus from Central Chile were assessed against Gram negative and Gram-positive bacteria, and proved active against the latter. The results show that the antibacterial activities of the resinous exudates are independent from the flavonols isolated from each extract that proved to be inactive. The estimated lipophilicity of the flavonols isolated from the Haplopappus resinous exudates were compared with the lipophilicity of known antibacterial flavonols. This analysis showed that lipophilicity is an important variable to predict the antibacterial activity of flavonols.</t>
  </si>
  <si>
    <t>Echeverría, Javier/AAK-3323-2020; Espinoza, Javier/L-1183-2019</t>
  </si>
  <si>
    <t>Urzua, Alejandro/0000-0003-2638-0921; Espinoza Maldonado, Javier/0000-0003-0153-8534; Echeverria, Javier/0000-0002-1688-968X</t>
  </si>
  <si>
    <t>WOS:000306704900009</t>
  </si>
  <si>
    <t>BLACPMA Aniversary, Magallanes and Tribute to Plutarco Naranjo</t>
  </si>
  <si>
    <t>Martinez, Jose/AAA-1725-2020</t>
  </si>
  <si>
    <t>WOS:000304713000001</t>
  </si>
  <si>
    <t>Bubnovich, V; Reyes, A; Quijada, E; Mahn, A</t>
  </si>
  <si>
    <t>Bubnovich, V.; Reyes, A.; Quijada, E.; Mahn, A.</t>
  </si>
  <si>
    <t>Numerical simulation of lyophilization of carrot slices at atmospheric pressure in a fluidized bed</t>
  </si>
  <si>
    <t>Two-dimensional numerical simulations were carried out to describe the lyophilization process at atmospheric pressure and its optimization. The finite differences method succeeded in describing correctly the complex motion of the sublimation interface in foodstuff. Comparison of unidirectional and bidirectional mass and energy transport showed considerable differences in the drying kinetics. These differences decreased as the geometric ratio (GR) decreased and the physical situation approached to that of an infinite plate. The temperature and vapor pressure distributions were analyzed as functions of ice saturation. Two-dimensional numerical simulations showed a good fit with the experimental data. (C) 2011 Elsevier Ltd. All rights reserved.</t>
  </si>
  <si>
    <t>Quijada-Maldonado, Esteban/0000-0003-1411-4327</t>
  </si>
  <si>
    <t>10.1016/j.jfoodeng.2011.11.030</t>
  </si>
  <si>
    <t>WOS:000300077300003</t>
  </si>
  <si>
    <t>Alejandro, HRC; Guadalupe, RL; Rosa, ME; Alfredo, HS</t>
  </si>
  <si>
    <t>Carlos Alejandro, Hidalgo-Rasmussen; Guadalupe, Ramirez-Lopez; Espinoza Rosa, Montano; Alfredo, Hidalgo-San Martin</t>
  </si>
  <si>
    <t>Perceived or BMI-measured overweight and weight controlbehaviors in undergraduate adolescents from Ciudad Guzman, Jalisco, Mexico</t>
  </si>
  <si>
    <t>ARCHIVOS LATINOAMERICANOS DE NUTRICION</t>
  </si>
  <si>
    <t>The aim was to evaluate associations between weight control behaviorsand overweight measured by BMI, overweight perception or inaccurate weight perception. 492 undergraduate adolescents from 17 to 19 years old participated in the study. A self-administered questionnaire on line was applied and weight and height were measured. Statistical analysis included weighted kappa and multivariate logistic regression. The concordance between weight perception and that evaluated by BMI was 78.7%, weight kappa = 0.62. Adolescents who perceived overweight tried to lose weight, exercised and ate less food more frequently than those who were overweight evaluated by BMI. A quarter tried to lose weight eventhough they did not perceive or were actually overweight. The odds Of trying to lose weight were higher in men and women who perceived overweight (OR = 18.7,CI 95% 6.3-55.3 and OR = 10.4, IC 95% 4.5-24.2, respectively) and women who overestimated overweight (OR = 6.0, CI 95% 2.8-12.7). The odds of tying to lose weight when weight was underestimated were less in men (OR = 0.03, CI 95% 0.01-0.12) and women (OR = 0.19, IC 95% 0.05-0.70). In conclusion the behavior of trying to lose weight was better explained among adolescents of both genders who perceived overweight and among girls who overestimated it.</t>
  </si>
  <si>
    <t>0004-0622</t>
  </si>
  <si>
    <t>WOS:000208836700007</t>
  </si>
  <si>
    <t>Mellado, M; Contreras, RA; González, A; Dennett, G; Moenne, A</t>
  </si>
  <si>
    <t>Mellado, Macarena; Contreras, Rodrigo A.; Gonzalez, Alberto; Dennett, Geraldine; Moenne, Alejandra</t>
  </si>
  <si>
    <t>Copper-induced synthesis of ascorbate, glutathione and phytochelatins in the marine alga Ulva compressa (Chlorophyta)</t>
  </si>
  <si>
    <t>PLANT PHYSIOLOGY AND BIOCHEMISTRY</t>
  </si>
  <si>
    <t>In order to analyze the synthesis of antioxidant and heavy metal-chelating compounds in response to copper stress, the marine alga Ulva compressa (Chlorophyta) was exposed to 10 mu M copper for 7 days and treated with inhibitors of ASC synthesis, lycorine, and GSH synthesis, buthionine sulfoximine (BSO). The levels of ascorbate, in its reduced (ASC) and oxidized (DHA) forms, glutathione, in its reduced (GSH) and oxidized (GSSG) forms, and phytochelatins (PCs) were determined as well as activities of enzymes involved in ASC synthesis, L-galactose dehydrogenase (GDH) and L-galactono 1,4 lactone dehydrogenase (GLDH), and in GSH synthesis, gamma-glutamylcysteine synthase (gamma-GCS) and glutathione synthase (GS). The level of ASC rapidly decreased to reach a minimum at day 1 that remained low until day 7, DHA decreased until day 1 but slowly increased up to day 7 and its accumulation was inhibited by lycorine. In addition, GSH level increased to reach a maximal level at day 5 and GSSG increased up to day 7 and their accumulation was inhibited by BSO. Activities of GDH and GLDH increased until day 7 and GLDH was inhibited by lycorine. Moreover, activities of gamma-GCS and GS increased until day 7 and gamma-GCS was inhibited by BSO. Furthermore, PC2, PC3 and PC4, increased until day 7 and their accumulation was inhibited by BSO. Thus, copper induced the synthesis of ascorbate, glutathione and PCs in U. compressa suggesting that these compounds are involved in copper tolerance. Interestingly, U. compressa is, until now, the only ulvophyte showing ASC, GSH and PCs synthesis in response to copper excess. (C) 2011 Elsevier Masson SAS. All rights reserved.</t>
  </si>
  <si>
    <t>González, Alberto/IYJ-8593-2023; Contreras, Rodrigo/I-1871-2013</t>
  </si>
  <si>
    <t>Contreras, Rodrigo/0000-0001-9970-3125; Gonzalez Figueroa, Alberto/0000-0002-5777-9022</t>
  </si>
  <si>
    <t>0981-9428</t>
  </si>
  <si>
    <t>10.1016/j.plaphy.2011.10.007</t>
  </si>
  <si>
    <t>WOS:000300526000013</t>
  </si>
  <si>
    <t>Ramírez, FV; Guzmán, AM</t>
  </si>
  <si>
    <t>Ramirez, Francisco V.; Guzman, Amador M.</t>
  </si>
  <si>
    <t>ANALYSIS AND CHARACTERIZATION OF SURFACE PLASMON ENHANCEMENT OF LIGHT ABSORPTION IN ORGANIC SOLAR CELLS BY THE TRANSFER MATRIX METHOD</t>
  </si>
  <si>
    <t>PROCEEDINGS OF THE ASME INTERNATIONAL MECHANICAL ENGINEERING CONGRESS AND EXPOSITION 2010, VOL 4</t>
  </si>
  <si>
    <t>Surface plasmons enhanced light absorption in organic solar cells based on a photoactive poly(2-methoxyl-5-(2-ethyl-hexyloxy)-1.4-phenylenevinylene):(6.6)-phenyl-C61-butyric-acid-methylester (MEH-PPV:PCBM), is studied by a computational model based on the transfer matrix method (TMM). Two physical situation with and without the bulk heterojunction film are considered and modeled on a 2D array of silver nanoparticles with a diameter of 40 nm embedded in a 50-nm-thick layer. The numerical simulation results that include optical properties in the wave length range of 350 and 750 nm, present qualitative and quantitative good agreement with previous results obtained by Duche et al (2009) in both conditions. Optical absorption results for incident light at an oblique angle of incidence are also obtained, with the purpose of determining the effect of the angle of incidence on the absorption properties.</t>
  </si>
  <si>
    <t>978-0-7918-4428-1</t>
  </si>
  <si>
    <t>WOS:000320140500045</t>
  </si>
  <si>
    <t>Torres-Avilés, F; Molina, C; Muñoz, MJ</t>
  </si>
  <si>
    <t>Stern, JM; Lauretto, MD; Polpo, A; Diniz, MA</t>
  </si>
  <si>
    <t>Torres-Aviles, F.; Molina, C.; Munoz, M. J.</t>
  </si>
  <si>
    <t>Bayesian approaches for Poisson models to estimate Bivariate Relative Risks</t>
  </si>
  <si>
    <t>XI BRAZILIAN MEETING ON BAYESIAN STATISTICS (EBEB 2012)</t>
  </si>
  <si>
    <t>11th Brazilian Meeting on Bayesian Statistics (EBEB)</t>
  </si>
  <si>
    <t>MAR 18-22, 2012</t>
  </si>
  <si>
    <t>Amparo, BRAZIL</t>
  </si>
  <si>
    <t>Sao Paulo Res Fdn (FAPESP),Coordinat Improvement Higher Level Personnel (CAPES),Natl Council Sci &amp; Technol Dev (CNPq),Natl Inst Sci &amp; Technol Math (INCTMat),Univ Sao Paulo, Inst Math &amp; Stat (IME-USP),Brazilian Jurimetr Assoc (ABJ),Brazilian Stat Assoc (ABE),ISBrA,Int Soc Bayesian Anal (ISBA), Brazilian Chapter</t>
  </si>
  <si>
    <t>Initially, this work presents a review of the most common bivariate models found in the literature, with applications focused on estimating relative risks taking into account the geography effect ([1]; [2]). Additionally, a joint modeling process assuming a bivariate Poisson distribution is considered, that is, directly in the first stage of the model hierarchy. Random effects are included in the covariance or correlation parameter to control the effect of the geography. Bayesian estimation and the interpretation of the parameters of interest is discussed. The models are compared and illustrated using areal real mortality data in Chile.</t>
  </si>
  <si>
    <t>Torres-Aviles, Francisco/J-8269-2013</t>
  </si>
  <si>
    <t>Torres-Aviles, Francisco/0000-0001-7973-4709</t>
  </si>
  <si>
    <t>978-0-7354-1102-9</t>
  </si>
  <si>
    <t>10.1063/1.4759618</t>
  </si>
  <si>
    <t>WOS:000310688900035</t>
  </si>
  <si>
    <t>Moraga, NO; Andrade, MA; Vasco, DA</t>
  </si>
  <si>
    <t>Moraga, Nelson O.; Andrade, Marcos A.; Vasco, Diego A.</t>
  </si>
  <si>
    <t>Unsteady conjugate mixed convection phase change of a power law non-Newtonian fluid in a square cavity</t>
  </si>
  <si>
    <t>Transient phase change of a power law non-Newtonian fluid inside an inner thin walled container caused by external mixed convection in a square cavity has been analyzed numerically. Air was chosen as external cooling fluid and modified non-Newtonian water as the phase change fluid. Fluid mechanics and conjugate convective heat transfer, described in terms of continuity, linear momentum and energy equations, were predicted by using the finite volume method. Solidification was treated in terms of a phase change function varying linearly with temperature. The effect of the external Reynolds number, for Re = 200 and 1000 on solidification was studied along the influence of the non-Newtonian power law index (n = 0.5, n = 1.0). Results for the time evolution of streamlines, isotherms and freezing curves are analyzed. The effect of the Reynolds number on streamlines of the external fluid is remarkable, principally near the region close to the internal water filled container. Differences between cooling and freezing times are found for Newtonian (n = 1.0) and non-Newtonian modified (n = 0.5) water. (C) 2010 Elsevier Ltd. All rights reserved.</t>
  </si>
  <si>
    <t>Andrade, Marcos/AAK-3546-2021; Vasco, Diego/Y-2934-2019</t>
  </si>
  <si>
    <t>Vasco, Diego Andres/0000-0001-7456-4683</t>
  </si>
  <si>
    <t>1879-2189</t>
  </si>
  <si>
    <t>15-16</t>
  </si>
  <si>
    <t>10.1016/j.ijheatmasstransfer.2010.02.044</t>
  </si>
  <si>
    <t>WOS:000278629000040</t>
  </si>
  <si>
    <t>The silence of progress: The Historie Triple-Space reduction of Condorcet</t>
  </si>
  <si>
    <t>PENSAMIENTO</t>
  </si>
  <si>
    <t>Based upon Turgot, Condorcet, in the Esquisse d'un tableau historique du progres de l'esprit humain, elaborates the philosophical idea of progress. He also realises a triple reduction of space, history and philosophy. He deduces the universal pretention of progress from the western european space, from the western history and, within this one, from the model of a european struggle between philosophy and superstition. The space-time narrowness of the Esquisse prevents Condorcet from plainly assuming the consecuences of the widening of the concept of world, produced by XVIth century great travels. Here we deal with the meaning of that reduction in the philosophy of progress and about the role of America (Latin and South America) in it. In order to do that, we analyse, aside, the escholastic idea of natural reason.</t>
  </si>
  <si>
    <t>0031-4749</t>
  </si>
  <si>
    <t>WOS:000287678700014</t>
  </si>
  <si>
    <t>DIVAS OF THE 50s: MARIA FELIX</t>
  </si>
  <si>
    <t>WOS:000268595300012</t>
  </si>
  <si>
    <t>Cifuentes, G; Vargas, C; Simpson, J</t>
  </si>
  <si>
    <t>Cifuentes, G.; Vargas, C.; Simpson, J.</t>
  </si>
  <si>
    <t>Analysis of the process main variables influence in the rejection of the cathodes during copper electrorefining</t>
  </si>
  <si>
    <t>An experimental circuit of copper electrorefining using three types of anodes coming from three different Chilean foundries: Hernan Videla Lira, Las Ventanas and El Teniente was used to simulate the electrorefining process. In this circuit the problem of the cathode rejection and the influence of some process variables in this phenomenon were studied. The variables analyzed were: electrolyte cell flow, solids in suspension, current density, lead doping in the anodes and density and particle size of the anodic slimes generated. The main results obtained from the experimental circuit were the following: the electrolyte flow doesn't affect significantly the cathodic rejection, an increase of current density produces a decrease of cathodic rejections, the presence of the solids in suspension causes cathodes outside of norm, and to bigger quantity of lead in the anodes smallest were the rejections.</t>
  </si>
  <si>
    <t>Vargas, Cristian/0000-0002-7360-6201; Cifuentes, Gerardo/0000-0002-9543-1625</t>
  </si>
  <si>
    <t>10.3989/revmetalm.0729</t>
  </si>
  <si>
    <t>WOS:000267721000007</t>
  </si>
  <si>
    <t>Aharonov-Bohm effect on AdS2 and nonlinear supersymmetry of reflectionless Poschl-Teller system</t>
  </si>
  <si>
    <t>We explain the origin and the nature of a special nonlinear supersymmetry of a reflectionless Pbschl-Teller system by the Aharonov-Bohm effect for a non-relativistic particle on the AdS(2). A key role in the supersymmetric structure appearing after reduction by a compact generator of the AdS(2) isometry is shown to be played by the discrete symmetries related to the space and time reflections in the ambient Minkowski space. We also observe that a correspondence between the two quantum non-relativistic systems is somewhat of the AdS/CFT holography nature. (C) 2009 Elsevier Inc. All rights reserved.</t>
  </si>
  <si>
    <t>10.1016/j.aop.2009.01.009</t>
  </si>
  <si>
    <t>WOS:000265443500003</t>
  </si>
  <si>
    <t>Zúñiga, RN; Moyano, PC; Pedreschi, F</t>
  </si>
  <si>
    <t>Zuniga, Rommy N.; Moyano, Pedro C.; Pedreschi, Franco</t>
  </si>
  <si>
    <t>Enthalpy-entropy compensation for water loss of potato slices during deep-fat frying</t>
  </si>
  <si>
    <t>By applying the transition state theory, enthalpy-entropy compensation was studied for water loss data obtained during deep-fat frying of three kinds of potato chips: control, blanched and dried. Two alternative approaches were used to obtain the isokinetic temperature: enthalpy/entropy relationship and rate factor/activation energy relationship. Values of 385.2 degrees K and 383.7 degrees K were found, respectively. Both values are lower than the harmonic mean temperature which was found to be 400.7 degrees K, meaning that the mechanism of water loss is entropy controlled. (C) 2008 Elsevier Ltd. All rights reserved.</t>
  </si>
  <si>
    <t>10.1016/j.jfoodeng.2007.05.004</t>
  </si>
  <si>
    <t>WOS:000256159700001</t>
  </si>
  <si>
    <t>Cruz, F; Acuña, G; Cubillos, F; Moreno, V; Bassi, D</t>
  </si>
  <si>
    <t>Liu, DR; Fei, SM; Hou, ZG; Zhang, HG; Sun, CY</t>
  </si>
  <si>
    <t>Cruz, Francisco; Acuna, Gonzalo; Cubillos, Francisco; Moreno, Vicente; Bassi, Danilo</t>
  </si>
  <si>
    <t>Indirect training of grey-box models:: Application to a bioprocess</t>
  </si>
  <si>
    <t>ADVANCES IN NEURAL NETWORKS - ISNN 2007, PT 2, PROCEEDINGS</t>
  </si>
  <si>
    <t>4th International Symposium on Neural Networks (ISNN 2007)</t>
  </si>
  <si>
    <t>JUN 03-07, 2007</t>
  </si>
  <si>
    <t>Nanjing, PEOPLES R CHINA</t>
  </si>
  <si>
    <t>Natl Nat Sci Fdn China,KC Wong Educ Fdn,SE Univ China,Chinese Univ Hong Kong,Univ Illinois, Chicago</t>
  </si>
  <si>
    <t>Grey-box neural models mix differential equations, which act as white boxes, and neural networks, used as black boxes. The purpose of the present work is to show the training of a grey-box model by means of indirect backpropagation and Levenberg-Marquardt in Matlabo, extending the black box neural model in order to fit the discretized equations of the phenomenological model. The obtained grey-box model is tested as an estimator of a state variable of a b i otechno logical batch fermentation process on solid substrate, with good results.</t>
  </si>
  <si>
    <t>Cruz, Francisco/T-2698-2019</t>
  </si>
  <si>
    <t>Cruz, Francisco/0000-0002-1131-3382; CUBILLOS, FRANCISCO/0000-0001-7863-4394; Acuna Leiva, Gonzalo Pedro/0000-0002-0519-7792</t>
  </si>
  <si>
    <t>978-3-540-72392-9</t>
  </si>
  <si>
    <t>WOS:000247831300047</t>
  </si>
  <si>
    <t>Maillol, J; Aguirre, V</t>
  </si>
  <si>
    <t>Maillol, J.; Aguirre, V.</t>
  </si>
  <si>
    <t>Once versus twice daily budesonide metered-dose inhaler in children with mild to moderate asthma: effect on symptoms and bronchial responsiveness</t>
  </si>
  <si>
    <t>Background:Simplifying dosing regimens could improve both adherence and asthma-related morbidity. However, there is little information on the effectiveness of once-daily budesonide, administered through a metered dose inhaler (MDI) plus spacer, on asthma symptoms and pulmonary function in asthmatic children. Methods: The aim of this study was to compare the effect of once-daily versus twice-daily doses of inhaled budesonide on symptoms, lung function and bronchial hyperresponsiveness (BHR) in asthmatic children. This study was a randomized, single-blind, parallel clinical trial. Patients received budesonide from an MDI either 800 mu g as a daily dose or fractionated in 400 mu g twice a day for 12 weeks. Statistical analysis was performed using tests for independent and paired samples. Results: In both groups, asthma symptoms significantly decreased. However, the improvement in asthma symptoms, decrease in BHR and treatment adherence were significantly greater in the once-daily group than in the twice-daily group (p&lt;0.05). No significant differences were found between the two groups in spirometric parameters, morning peak expiratory flow or plasma cortisol values. Conclusions: Once-daily administration of 800 mu g of inhaled budesonicle administered by MDI plus spacer was more effective in controlling symptoms and improving BHR than fractionating the dose to 400 mu g twice daily. The differences observed in this study could have been due to the greater adherence to treatment in patients in the once-daily group.</t>
  </si>
  <si>
    <t>WOS:000253857900006</t>
  </si>
  <si>
    <t>Navarro, P; Vargas, C; Reveco, V; Orellana, J</t>
  </si>
  <si>
    <t>Navarro, P.; Vargas, C.; Reveco, V.; Orellana, J.</t>
  </si>
  <si>
    <t>Recovery of gold from ammonia-thiosulfate media with amberlite IRA-410 ionic exchange resin</t>
  </si>
  <si>
    <t>The adsorption and elution of gold in thiosulfate-ammonia media were studied at laboratory level using the Amberlite IRA-410 ionic exchange resin. Tests were carried out in a stirred reactor, maintaining constant temperature (25 degrees C), with a volume of solution/mass of resin ratio of 833,3 ml/g and during 3 h. The variables tested were the following: pH (9-11), thiosulfate concentration (0-0,5 M), ammonia concentration (0-0,5 M) and selectivity in the presence of cupric ion. The obtained results indicate that gold adsorption was quick; the presence of thiosulfate decreased strongly the adsorption; and the presence of ammonia did not affect the adsorption mostly. The copper was in a certain measure a competitor of the gold, but its biggest negative effect was that acted as catalyst of the oxidizing reaction of thiosulfate (S2O32-) to tetrathionate (S O-6(2-)) and trithionate (S3O62-), which can cause a partial elution of gold during the load stage. Also, the behavior of ClO4-, SO32- and ClO- as eluents was studied in both gold and copper elution. These tests were also carried out in a stirred reactor, to constant temperature (25 degrees C), with a volume of aqueous solution/mass of resin ratio of 200 ml/g and for 3 h. Results demonstrated that the copper was eluted more quickly that the gold in all the cases.</t>
  </si>
  <si>
    <t>WOS:000242231000004</t>
  </si>
  <si>
    <t>Armijo, F; Aguirre, MJ</t>
  </si>
  <si>
    <t>Electrocatalysis of No2 -on poly-M-tetraaminophenylporphyrines (M = Ni, Cu) modified electrodes assisted by visible light.</t>
  </si>
  <si>
    <t>Porphyrins and phthalocyanines of transition metals are good catalysts for many redox reactions [1-7]. In order to increase their catalytic activity it is often necessary to modify the macrocycle with donor or acceptor substituents making the species more reductive or oxidant depending on the analyte. However, this process is a one-way modification, because the molecule enhances or diminishes the electronic density of the metal by the substituent effect. [8]. On the other hand, an excited species is simultaneously more reductive and more oxidant than the same species in the ground state, as can be seen in Scheme 1.</t>
  </si>
  <si>
    <t>Aguirre, Maria/A-3935-2013; Armijo, Francisco/G-3391-2013</t>
  </si>
  <si>
    <t>Aguirre, Maria/0000-0003-1134-4469; Armijo, Francisco/0000-0002-2479-6280</t>
  </si>
  <si>
    <t>10.4067/S0717-97072005000100002</t>
  </si>
  <si>
    <t>WOS:000230996800002</t>
  </si>
  <si>
    <t>Flores, P; Rezende, MC; Jara, F</t>
  </si>
  <si>
    <t>A solvatochromic derivative of Meldrum's</t>
  </si>
  <si>
    <t>DYES AND PIGMENTS</t>
  </si>
  <si>
    <t>The preparation of the 5-(4-N,N-dimethylaminobenzylidene)-2,2-dimethyl-1,3-dioxane-4,6-dione (2), a dye derived from Meldrum's acid, is described, and its solvatochromic behaviour compared with that of an analogous derivative of barbituric acid. Dye 2 exhibited positive solvatochromism, being sensitive both to the dipolarity-polarizability and the acidity of the medium. (C) 2004 Elsevier Ltd. All rights reserved.</t>
  </si>
  <si>
    <t>Caroli, Marcos/H-3570-2019; Flores-Morales, Patricio/IAM-6261-2023</t>
  </si>
  <si>
    <t>Flores-Morales, Patricio/0000-0002-8330-3992; Rezende, Marcos/0000-0003-2040-9009</t>
  </si>
  <si>
    <t>0143-7208</t>
  </si>
  <si>
    <t>1873-3743</t>
  </si>
  <si>
    <t>10.1016/j.dyepig.2003.11.012</t>
  </si>
  <si>
    <t>WOS:000221277300009</t>
  </si>
  <si>
    <t>Callaos, N; Lesso, W; Sanchez, B</t>
  </si>
  <si>
    <t>Transverse solutions of the vector Laplace and Helmholtz equations for spherical coordinates and boundary conditions with azimutal symmetry</t>
  </si>
  <si>
    <t>8TH WORLD MULTI-CONFERENCE ON SYSTEMICS, CYBERNETICS AND INFORMATICS, VOL II, PROCEEDINGS: COMPUTING TECHNIQUES</t>
  </si>
  <si>
    <t>8th World Multi-Conference on Systemics, Cybernetics and Informatics</t>
  </si>
  <si>
    <t>JUL 18-21, 2004</t>
  </si>
  <si>
    <t>Orlando, FL</t>
  </si>
  <si>
    <t>Int Inst Informat &amp; System,Amer Soc Cybernet,Acad Non Linear Sci,Univ Las Palmas Gran Canaria, Telemat Engn Dept, Concurrency &amp; Architecture Grp,CUST, Blaise Pascal Univ, Engn Sci Inst,Cybernet &amp; Human Knowing,Int Federat Syst Res,Int Syst Inst,Int Soc Syst Sci,Italian Soc System,Univ Nacl San Luis, Lab Res Computac Intelligence, Dept Informat,Polish Syst Soc,Slovenian Artificial Intelligence Soc,Soc Appl Syst Res,Syst Soc Poland,Ctr Syst Studies,Tunisian Sci Soc,World Org System &amp; Cybernet,IEEE Comp Soc, Venezuela Chapter,IEEE, Venezuela Chapter,Natl Res Council Canada,Steacie Inst Mol Sci</t>
  </si>
  <si>
    <t>A scalar field method to obtain transverse solutions of the vector Laplace and Helmholtz equations in spherical coordinates for boundary-value problems with azimutal symmetry is described. Neither scalar nor vector potentials are used. Solutions are obtained by use of separation of variables instead of dyadic Green's functions expanded in terms of vector spherical harmonics. Applications to the calculations of magnetic fields from steady and oscillating localized current distributions are presented.</t>
  </si>
  <si>
    <t>980-6560-13-2</t>
  </si>
  <si>
    <t>WOS:000227674600074</t>
  </si>
  <si>
    <t>Reyes, A; Eckholt, M; Alvarez, PI</t>
  </si>
  <si>
    <t>Drying and heat transfer characteristics for a novel fluidized bed dryer</t>
  </si>
  <si>
    <t>The use of a fluidized bed dryer with a lateral air flow and mechanical agitation to the drying of sludge from a wastewater treatment plant was investigated. Experimental curves of moisture content vs. drying time, as well as heat transfer coefficients and the size characteristics of the products, were determined at temperatures between 80degreesC and 110degreesC, a stirring rate of 55 rpm and air velocity of 0.9 m/s for 3 kg sludge batches with initial moisture contents of 0.55 and 0.65 (d.b.). Experimental drying kinetics were compared with values derived from three models based on Fick's second law, namely: the constant diffusivity model, the simplified variable diffusivity model, and the modified quasi-stationary model.</t>
  </si>
  <si>
    <t>10.1081/DRT-200032837</t>
  </si>
  <si>
    <t>WOS:000224452300006</t>
  </si>
  <si>
    <t>Prediction of sulfur dioxide concentrations at a site near downtown Santiago, Chile</t>
  </si>
  <si>
    <t>We have analyzed the possibility to predict hourly averages of sulfur dioxide concentrations in the atmosphere at a site not far from the downtown area in the city of Santiago, Chile. We have compared the forecasts produced assuming persistence, linear regressions and feed forward neural networks. The effect of meteorological conditions is included by using forecasted values of temperature, relative humidity and wind speed at the time of the intended prediction as inputs to the different models. The best predictions for hourly averages are obtained with a three-layer neural network that has hourly averages of sulfur dioxide concentrations every 6 h on the previous day plus the actual values of the meteorological variables as input. Training the network with 1995 data, error in 8 h in advance prediction for 1996 data is of the order of 30%. (C) 2001 Elsevier Science Ltd. All rights reserved.</t>
  </si>
  <si>
    <t>10.1016/S1352-2310(01)00268-0</t>
  </si>
  <si>
    <t>WOS:000171443800004</t>
  </si>
  <si>
    <t>Mahla, AI; Torres, L</t>
  </si>
  <si>
    <t>IEEE; IEEE</t>
  </si>
  <si>
    <t>Control of chaotic behavior by parameter commutation methodology</t>
  </si>
  <si>
    <t>ICECS 2001: 8TH IEEE INTERNATIONAL CONFERENCE ON ELECTRONICS, CIRCUITS AND SYSTEMS, VOLS I-III, CONFERENCE PROCEEDINGS</t>
  </si>
  <si>
    <t>8th IEEE International Conference on Electronics, Circuits and Systems</t>
  </si>
  <si>
    <t>SEP 02-05, 2001</t>
  </si>
  <si>
    <t>ST JULIANS, MALTA</t>
  </si>
  <si>
    <t>IEEE CAS,MALTACOM,Air Malta,MITTS,Univ Malta</t>
  </si>
  <si>
    <t>The present paper proposes and implements a new methodology to control chaotic behavior, This method is based on Lyapunov functions. The method tests if die chaotic system satisfies the ability conditions of the Lyapunov second method. If not, a feedback control law is applied to the system, driving the trajectory to an stable equilibrium point.</t>
  </si>
  <si>
    <t>0-7803-7057-0</t>
  </si>
  <si>
    <t>WOS:000176019100114</t>
  </si>
  <si>
    <t>Mery, D</t>
  </si>
  <si>
    <t>IEEE COMPUTER SOCIETY; IEEE COMPUTER SOCIETY</t>
  </si>
  <si>
    <t>A new algorithm for flaw simulation in castings by superimposing projections of 3D models onto x-ray images</t>
  </si>
  <si>
    <t>SCCC 2001: XXI INTERNATIONAL CONFERENCE OF THE CHILEAN COMPUTER SCIENCE SOCIETY, PROCEEDINGS</t>
  </si>
  <si>
    <t>21st International Conference of the Chilean-Computer-Science-Society</t>
  </si>
  <si>
    <t>NOV 07-09, 2001</t>
  </si>
  <si>
    <t>PUNTA ARENAS, CHILE</t>
  </si>
  <si>
    <t>Informat Profess Assoc,Latin Amer Ctr Studies Informat,Iberoamer Cooperat Program Sci &amp; Technol,IEEE Comp Soc,Univ Magallanes,Univ Chile,Soc Chilena Ciencias Computac</t>
  </si>
  <si>
    <t>In order to evaluate the sensitivity of defect inspection systems, it is convenient to examine simulated data. This gives the possibility, to tune the parameters of the inspection method and to test the performance of the system in critical cases. In this paper. a simple method for the simulation of defects in radioscopic images of aluminum castings is presented. The approach simulates only the flaws and not the whole radioscopic image of the object under test. A 3D flaw is modeled cis an ellipsoidal cavity, which is projected and superimposed onto real radioscopic images of tin homogeneous object according to the exponential attenuation law, for x-rays. The new gray value of a pixel, where the 3D flaw is projected, depends only on Jour parameters: a) the original gray value; b) the linear absorption coefficient of the examined material: c) the maximal thickness observable in the radioscopic image; and d) the length of the intersection of the 3D flaw with the modeled x-ray beam, that is projected into the pixel. A simulation of an ellipsoidal flaw of any size and orientation can be done in any position of the casting by using the algorithm described in this paper This allows the evaluation of the performance of defect inspection systems in cases where the detection is known to be difficult.</t>
  </si>
  <si>
    <t>0-7695-1396-4</t>
  </si>
  <si>
    <t>10.1109/SCCC.2001.972648</t>
  </si>
  <si>
    <t>WOS:000172674500023</t>
  </si>
  <si>
    <t>Strain hardening of rhenium and two typical molybdenum-rhenium alloys manufactured by powder sintering</t>
  </si>
  <si>
    <t>ZEITSCHRIFT FUR METALLKUNDE</t>
  </si>
  <si>
    <t>Rhenium is a very beneficial alloying addition to form solid solutions with the refractory metals because it greatly enhances the ductility and tensile strength. Among these metals molybdenum is particularly more advantageous because of availability, lower cost and high-temperature strength levels of Mo-Re alloys. The work hardening behavior of Re together with Mo-25Re and Mo-50Re alloys were investigated by cold rolling of powder sintered specimens in the deformation range of 5 to 25 %. The work hardening characteristics of the studied materials were determined by means of the flow curve sigma = K epsilon (n). Both the strain hardening coefficient and the stress at epsilon =1.0 were obtained from a log-log plot based on the experimental data. The n values resulted to be 0.78, 0.45, and 0.70 for pure Re, Mo-25Re and Mo-50Re, respectively, while the corresponding stress factors amounted to 28,718, 4,771 and 8,300MPa. The rapid variations of these values upon increasing the content of Re is a clear proof of the remarkable properties that Re imposes on the base metal.</t>
  </si>
  <si>
    <t>0044-3093</t>
  </si>
  <si>
    <t>WOS:000165530600010</t>
  </si>
  <si>
    <t>Utreras, E; Ossandon, P; Acuña-Castillo, C; Varela-Nallar, L; Müller, C; Arraztoa, JA; Cardenas, H; Imarai, M</t>
  </si>
  <si>
    <t>Expression of intercellular adhesion molecule 1 (ICAM-1) on the human oviductal epithelium and mediation lymphoid cell adherence</t>
  </si>
  <si>
    <t>JOURNAL OF REPRODUCTION AND FERTILITY</t>
  </si>
  <si>
    <t>The epithelium of the human oviduct expresses the major histocompatibility complex (MHC) class II and shows endocytic properties towards luminal antigens. Therefore, the epithelial cells might behave as antigen-presenting cells, inducing a local immune response. The activation of antigen-specific T cells not only requires presentation of the peptide antigen by MHC class II, but also the presence of co-stimulatory molecules in the antigen-presenting cells. Therefore, the expression of the intercellular adhesion molecule 1 (ICAM-1) was examined in the epithelium of the human oviduct. Most oviducts showed epithelial ICAM-1 expression, as assessed by immunocytochemistry, western blot analysis and RT-PCR assay, and the expression was restricted to the luminal border of ciliated and secretory cells. Interferon gamma, interleukin 1 and lipopolysaccharide treatments increased the percentage of ICAM-1-positive cells in primary cultures, indicating that the expression of ICAM-1 in the oviduct might be upregulated in vivo by inflammatory cytokines or bacterial infections. Binding assays between allogenic phytohaemagglutinin-activated lymphocytes and epithelial monolayers expressing ICAM-1 demonstrated that this molecule stimulated lymphocyte adherence. The presence of ICAM-1, in addition to MHC class II, supports the putative role of the oviductal epithelium in antigen presentation. The exclusive apical distribution of ICAM-1 indicates that T-cell activation would occur in a polarized manner. Binding of lymphoid cells to the surface of the oviductal epithelium may help to retain these immune cells that are required for the clearance of pathogens.</t>
  </si>
  <si>
    <t>Acuña-Castillo, Claudio/AAI-7090-2021; utreras, elias/I-1038-2013</t>
  </si>
  <si>
    <t>Imarai, Monica/0000-0001-8767-9180; Acuna-Castillo, Claudio/0000-0003-3607-6077; Varela-Nallar, Lorena/0000-0003-2588-6437; utreras, elias/0000-0002-1004-0466</t>
  </si>
  <si>
    <t>0022-4251</t>
  </si>
  <si>
    <t>10.1530/reprod/120.1.115</t>
  </si>
  <si>
    <t>WOS:000089576900014</t>
  </si>
  <si>
    <t>Henríquez, HR; Vásquez, CH</t>
  </si>
  <si>
    <t>Almost periodic solutions of abstract retarded functional differential equations with unbounded delay</t>
  </si>
  <si>
    <t>We establish the existence of bounded, almost periodic and asymptotically almost periodic mild solutions for first- and second-order abstract-retarded functional differential equations with unbounded delay.</t>
  </si>
  <si>
    <t>Vasquez, Carlos H./0000-0003-0529-571X</t>
  </si>
  <si>
    <t>10.1023/A:1006266900851</t>
  </si>
  <si>
    <t>WOS:000082439700001</t>
  </si>
  <si>
    <t>Mannheim, R. L.; Garin, J. L.</t>
  </si>
  <si>
    <t>DETERMINATION OF RETAINED AUSTENITE IN AUSTEMPERED VERMICULAR IRON BY RIETVELD ANALYSIS.</t>
  </si>
  <si>
    <t>P05.24.001</t>
  </si>
  <si>
    <t>WOS:000475706305240</t>
  </si>
  <si>
    <t>Wess, J; Ivanov, EA</t>
  </si>
  <si>
    <t>Integrals of motion, supersymmetric quantum mechanics and dynamical supersymmetry</t>
  </si>
  <si>
    <t>SUPERSYMMETRIES AND QUANTUM SYMMETRIES</t>
  </si>
  <si>
    <t>LECTURE NOTES IN PHYSICS</t>
  </si>
  <si>
    <t>International Seminar on Supersymmetries and Quantum Symmetries held in Memory of VI Ogievetsky</t>
  </si>
  <si>
    <t>JUL 22-26, 1997</t>
  </si>
  <si>
    <t>DUBNA, RUSSIA</t>
  </si>
  <si>
    <t>Joint Inst Nuclear Res</t>
  </si>
  <si>
    <t>The class of relativistic spin particle models reveals the 'quantization' of parameters already at the classical fever. The special parameter values emerge if one requires the maximality of classical global continuous symmetries. The same requirement applied to a non-relativistic particle with odd degrees of freedom gives rise to supersymmetric quantum mechanics. Coupling classical non-relativistic superparticle to a 'U(1) gauge field', one can arrive at the quantum dynamical supersymmetry This consists in supersymmetry appearing at special values of the coupling constant characterizing interaction of a system of boson and fermion but disappearing in a free case. Possible relevance of this phenomenon to high-temperature superconductivity is speculated.</t>
  </si>
  <si>
    <t>0075-8450</t>
  </si>
  <si>
    <t>3-540-66004-6</t>
  </si>
  <si>
    <t>WOS:000086141200026</t>
  </si>
  <si>
    <t>Geometry-matter duality and electromagnetism in higher dimensions</t>
  </si>
  <si>
    <t>Special relativity in five dimensions a la Kaluza-Klein with two basic constants, the speed of light and the Planck length, is revised in order to substantiate the interpretation recently given to a version of the Einstein equations of general relativity extended to extra space dimensions as the quantum law of a geometry-matter duality. The formalism of the electromagnetic field in five dimensions and in the absence of gravitation is next reviewed to argue that the U(1) symmetry of the fifth dimension cannot be identified with electromagnetism itself, so that a unification of gravity and electromagnetism a la Kaluza-Klein is not possible. The five-dimensional general theory of relativity is finally considered to discuss electromagnetism in gravitational fields.</t>
  </si>
  <si>
    <t>10.1088/0264-9381/14/10/006</t>
  </si>
  <si>
    <t>WOS:A1997YC94100005</t>
  </si>
  <si>
    <t>Gramsch, E; Gullikson, EM; Moses, WW; Avila, R</t>
  </si>
  <si>
    <t>DelGuerra, A</t>
  </si>
  <si>
    <t>Operating characteristics of avalanche photodiodes for PET systems</t>
  </si>
  <si>
    <t>1996 IEEE NUCLEAR SCIENCE SYMPOSIUM - CONFERENCE RECORD, VOLS 1-3</t>
  </si>
  <si>
    <t>1996 IEEE Nuclear Science Symposium and Medical Imaging Conference</t>
  </si>
  <si>
    <t>NOV 02-09, 1996</t>
  </si>
  <si>
    <t>ANAHEIM, CA</t>
  </si>
  <si>
    <t>Results from recently developed avalanche photodiodes of the beveled edge type for use in low-light level applications such as PET systems are presented, Starting from a neutron transmutation doped (NTD) Si wafer, an avalanche photodiode with an active area of 100 mm(2) was produced by deep Ga diffusion, followed by boron and phosphor diffusion. The gain and dark current are dependent on external voltage, and gains up to 400 are obtained at 1950 V without much excess noise, breakdown occurs at 1990 V. The detector exhibits low noise and fast response, necessary for use in PET systems. The energy resolution from a Co-57 gamma-ray source was measured to be 942 eV at 6.5 keV, which corresponds to 111 r.m.s. noise electrons at the input. We measured the energy resolution of the detector coupled a 3 x 3 x 3 mm(3) BGO scintillator from a Na-22 gamma ray source. The energy resolution at the 511 keV line was 12.5%, which is comparable to photomultiplier tubes coupled to a scintillator of the same size. Calculation of the electric field and width of the depletion region was done to estimate the thickness of the undepleted front region and to optimize the quantum efficiency for detection of EGO light.</t>
  </si>
  <si>
    <t>0-7803-3534-1; 0-7803-3535-X</t>
  </si>
  <si>
    <t>WOS:A1997BH59W00170</t>
  </si>
  <si>
    <t>Deactivation of pyrene derivatives by nitroxides in AOT reverse micelles. Dependence of quenching efficiency on the probe and quencher location in the microaggregates</t>
  </si>
  <si>
    <t>The quenching of the fluorescence of pyrene derivatives with different hydrophobicity by a series of nitroxides has been measured in AOT reverse micelles. When both donor and quencher are predominantly located in the organic pseudophase (i.e., 1-methylpyrene and 2,2,6,6-tetramethylpiperidine-N-oxyl, TEMPO) the quenching process is not affected by the presence of the microaggregates. On the other hand, when one of the partners is located at the interface (pyrenesulfonate or 4-amino-2,2,6,6-tetramethylpiperidine-N-oxyl, TEMPAMINE(+)), the rate of the process is slower than that in the bulk solvent, being determined by the rate of access to the interface. The restriction imposed by the interface changes with the water content of the micelle and the location of the bound species. When both species are bound to the interface, the quenching process presents static and dynamic components. The slow rate of the dynamic process indicates a highly restricted intra-interface mobility, particularly for quencher and/or donors that are counterions of the surfactant. The efficiency as quencher of 4-hydroxy-2,2,6,6-tetramethylpiperidine-N-oxyl, TEMPOL, decreases with the AOT concentration. From this dependence is derived the partition of TEMPOL between the bulk solvent, the interface, and the water pool.</t>
  </si>
  <si>
    <t>10.1021/la950238e</t>
  </si>
  <si>
    <t>WOS:A1996UD79400008</t>
  </si>
  <si>
    <t>Palma, G; Vergara, L</t>
  </si>
  <si>
    <t>Numerical computation of the effective potential and renormalization</t>
  </si>
  <si>
    <t>We present a novel way to compute the one-loop ring-improved effective potential numerically, avoiding the spurious appearance of complex expressions and at the same time is free from the renormalization ambiguities of the self-consistent approaches, based on the direct application of Schwinger-Dyson type equations to the masses.</t>
  </si>
  <si>
    <t>10.1142/S0217732396000321</t>
  </si>
  <si>
    <t>WOS:A1996TY57500003</t>
  </si>
  <si>
    <t>Laurido, C; Hernandez, A; Perez, H</t>
  </si>
  <si>
    <t>Cross-tolerance to acute administration of MU and kappa opioid agonists at the spinal cord level in the rat</t>
  </si>
  <si>
    <t>INTERNATIONAL JOURNAL OF NEUROSCIENCE</t>
  </si>
  <si>
    <t>Development of tolerance and cross-tolerance after acute administration of the mu agonist morphine and the K agonist U-50,488H was assessed in rats, through recording of a C-fiber-evoked spinal nociceptive reflex. Rats rendered tolerant to morphine (a single dose of 1 mg/kg i.p.) showed, after a 5-hour period, tolerance to morphine and cross-tolerance to the K-opioid receptor agonist U-50,488H, as revealed by depressed C-reflex responsiveness. In contrast, pretreatment with U-50,488H (a single dose of 1 mg/kg i.p.) rendered tolerant the rats to U-50,488H, but the animals did not develop cross-tolerance to morphine. Results indicate that acute administration of mu and K ligands leads to development of unidirectional cross-tolerance in rat spinal cord. This points to limitations in using alternated mu and K opioid agonists to bypass the problem of development of opioid tolerance in chronic pain complaints.</t>
  </si>
  <si>
    <t>Hernandez, Alejandro/M-4796-2019</t>
  </si>
  <si>
    <t>Hernandez, Alejandro/0000-0001-9222-6522</t>
  </si>
  <si>
    <t>0020-7454</t>
  </si>
  <si>
    <t>10.3109/00207459609070837</t>
  </si>
  <si>
    <t>WOS:A1996VZ75800008</t>
  </si>
  <si>
    <t>SANCHEZ, G; ZULANTAY, I; VENEGAS, J; SOLARI, A; GALVEZ, R; PENA, P; RODRIGUEZ, J; APT, W</t>
  </si>
  <si>
    <t>TREATMENT WITH ALLOPURINOL AND ITRACONAZOLE CHANGES LYTIC ACTIVITY IN PATIENTS WITH CHRONIC, LOW-GRADE TRYPANOSOMA-CRUZI INFECTION</t>
  </si>
  <si>
    <t>TRANSACTIONS OF THE ROYAL SOCIETY OF TROPICAL MEDICINE AND HYGIENE</t>
  </si>
  <si>
    <t>Venegas Hermosilla, Juan/0000-0002-0492-1777</t>
  </si>
  <si>
    <t>0035-9203</t>
  </si>
  <si>
    <t>10.1016/0035-9203(95)90046-2</t>
  </si>
  <si>
    <t>WOS:A1995RT59500037</t>
  </si>
  <si>
    <t>CRIVELLI, A; FIRINGUETTI, L; MONTANO, R; MUNOZ, M</t>
  </si>
  <si>
    <t>CONFIDENCE-INTERVALS IN RIDGE-REGRESSION BY BOOTSTRAPPING THE DEPENDENT VARIABLE - A SIMULATION STUDY</t>
  </si>
  <si>
    <t>As it is well known, Ridge Regression can be a useful technique for estimating the coefficients of a Multiple Regression Model in the presence of multicollinearity. It has, however, the drawback that the distribution of tire estimator is unknown, so that only asymptotic confidence intervals may be obtained. The aim of this paper is to report on the use of a technique that combines the Bootstrap and the Edgeworth Expansion to obtain an approximation to the distribution of some Ridge Regression estimators. Some simulation experiments were carried out to compare the asymptotic confidence intervals with those obtained with this technique.</t>
  </si>
  <si>
    <t>10.1080/03610919508813264</t>
  </si>
  <si>
    <t>WOS:A1995RH84200008</t>
  </si>
  <si>
    <t>URETAZANARTU, MS; CORREA, P</t>
  </si>
  <si>
    <t>HYDRAZINE OXIDATION ON IRIDIUM AND IRIDIUM MODIFIED BY LEAD ELECTRODE, IN ALKALINE-SOLUTION</t>
  </si>
  <si>
    <t>The electro-oxidation of hydrazine was studied in alkaline medium, both on pure iridium electrode and on iridium electrode modified with submonolayer deposits of lead. The catalytic effect of these electrodes was evaluated by cyclic voltammetry. It was demonstrated that hydrazine oxidation occurs at two potential zones and by different mechanisms. The reaction occurs at a more positive potential in the modified electrodes surface, while I(p) (peak current intensity) remains almost constant.</t>
  </si>
  <si>
    <t>WOS:A1994PM86700013</t>
  </si>
  <si>
    <t>TRIER, A; FIRINGUETTI, L</t>
  </si>
  <si>
    <t>A TIME-SERIES INVESTIGATION OF VISIBILITY IN AN URBAN ATMOSPHERE .1.</t>
  </si>
  <si>
    <t>Conference on Visibility and Fine Particles</t>
  </si>
  <si>
    <t>SEP 15-18, 1992</t>
  </si>
  <si>
    <t>Visual range as determined at an airport situated within city limits in Santiago, Chile, is correlated over a period of 3 years with PM-10 mass concentrations measured at an automatic monitoring station. Both variables present strong seasonal variations. Linear regression models are estimated to describe the correlation. A time series analysis is performed of visual range over a period of more than 15 years; periodicities of seven days and one year are found in the power spectrum. ARIMA models and Transfer Function-Noise models using wind speed as an input are estimated for the series. Short-term forecasts are obtained for visual range. The results are encouraging and warrant continued efforts to produce a multiple time series forecasting model.</t>
  </si>
  <si>
    <t>10.1016/1352-2310(94)90258-5</t>
  </si>
  <si>
    <t>WOS:A1994NR21500027</t>
  </si>
  <si>
    <t>ABUIN, E; LISSI, E</t>
  </si>
  <si>
    <t>COMPETITIVE-BINDING OF COUNTERIONS AT THE SURFACE OF MIXED IONIC NONIONIC MICELLES - APPLICATION OF THE ION-EXCHANGE FORMALISM</t>
  </si>
  <si>
    <t>10.1016/0021-9797(91)90441-A</t>
  </si>
  <si>
    <t>WOS:A1991FD88700010</t>
  </si>
  <si>
    <t>LIZAMA, C</t>
  </si>
  <si>
    <t>MILD ALMOST PERIODIC-SOLUTIONS OF ABSTRACT DIFFERENTIAL-EQUATIONS</t>
  </si>
  <si>
    <t>10.1016/0022-247X(89)90060-7</t>
  </si>
  <si>
    <t>WOS:A1989AX35100018</t>
  </si>
  <si>
    <t>MATSUHIRO, B</t>
  </si>
  <si>
    <t>SOLUBLE POLYSACCHARIDES FROM SEAWEEDS</t>
  </si>
  <si>
    <t>R156</t>
  </si>
  <si>
    <t>WOS:A1986F093100046</t>
  </si>
  <si>
    <t>ENCINAS, MV; LISSI, EA</t>
  </si>
  <si>
    <t>QUENCHING OF EXCITED SINGLETS BY PEROXIDES AND HYDROPEROXIDES</t>
  </si>
  <si>
    <t>10.1016/0047-2670(82)85030-2</t>
  </si>
  <si>
    <t>WOS:A1982PR76400006</t>
  </si>
  <si>
    <t>ZAGAL, J; FIERRO, C; ROZAS, R</t>
  </si>
  <si>
    <t>ELECTROCATALYTIC EFFECTS OF ADSORBED COBALT PHTHALOCYANINE TETRASULFONATE IN THE ANODIC-OXIDATION OF CYSTEINE</t>
  </si>
  <si>
    <t>10.1016/S0022-0728(81)80072-1</t>
  </si>
  <si>
    <t>WOS:A1981LM18100019</t>
  </si>
  <si>
    <t>ENCINA, MV; RIVERA, M; LISSI, EA</t>
  </si>
  <si>
    <t>REACTIONS OF TERT-BUTOXY RADICALS WITH VINYL MONOMERS</t>
  </si>
  <si>
    <t>10.1002/pol.1978.170160722</t>
  </si>
  <si>
    <t>WOS:A1978FQ72300022</t>
  </si>
  <si>
    <t>TORRES, R; CASSELS, BK</t>
  </si>
  <si>
    <t>LEAF ALKALOIDS OF FAGARA-MAYU</t>
  </si>
  <si>
    <t>10.1016/S0031-9422(00)94261-4</t>
  </si>
  <si>
    <t>WOS:A1978EX31100070</t>
  </si>
  <si>
    <t>Brescia-Norambuena, L; Carrasco, A</t>
  </si>
  <si>
    <t>Brescia-Norambuena, Leonardo; Carrasco, Alvaro</t>
  </si>
  <si>
    <t>Sustainable Use of Steel Macrofibers and Polypropylene Microfibers Combined with Nanosilica for Precast Concrete Pavements in Underground Mining</t>
  </si>
  <si>
    <t>JOURNAL OF STRUCTURAL DESIGN AND CONSTRUCTION PRACTICE</t>
  </si>
  <si>
    <t>The sustainable development of mining and innovation in concrete pavements for underground mining motivate the use of new additives in concrete applicable to prefabricated construction systems. According to the literature, it is possible to use a combination of mixed fibers with the addition of nanosilica (NS) to mitigate strength losses that affect concretes. This research evaluates the use of steel macrofibers (MF) and polypropylene microfibers (mF) in concretes with the addition of nanosilica, determining the synergy or competition of these materials on parameters such as the strength, durability, and environmental impact of precast pavements in underground mining. A 24+1 factor analysis was performed, incorporating the central point and control mixtures as variables, including the water-to-cementitious material ratio, the percentage of NS replacement for cement, and the dosages of MF and mF. The evaluation included settling, compressive strength at 7 and 28 days, flexural strength at 28 days, abrasion resistance at 28 days, and surface resistivity at 7 and 28 days. The responses were then incorporated into a structural design of precast underground mining pavements, resulting in different pavement thicknesses for each mixture. Subsequently, the environmental impact of each mixture was evaluated by calculating the equivalent CO2 parameter. The results demonstrated synergy in the combined use of additives, enhancing the strength and durability parameters while simultaneously reducing the environmental impact of underground mining pavements. Consequently, using MF and NS in concrete improved the pavements performance and can reduce the CO2 equivalent emissions by approximately 50%.</t>
  </si>
  <si>
    <t>2996-5136</t>
  </si>
  <si>
    <t>2996-5144</t>
  </si>
  <si>
    <t>MAY 1</t>
  </si>
  <si>
    <t>10.1061/JSDCCC.SCENG-1566</t>
  </si>
  <si>
    <t>WOS:001445471500031</t>
  </si>
  <si>
    <t>Recent Advances and Challenges in Industrial Robotics: A Systematic Review of Technological Trends and Emerging Applications</t>
  </si>
  <si>
    <t>Industrial robotics has shifted from rigid, task-specific tools to adaptive, intelligent systems powered by artificial intelligence (AI), machine learning (ML), and sensor integration, revolutionizing efficiency and human-robot collaboration across manufacturing, healthcare, logistics, and agriculture. Collaborative robots (cobots) slash assembly times by 30% and boost quality by 15%, while reinforcement learning enhances autonomy, cutting errors by 30% and energy use by 20%. Yet, this review transcends descriptive summaries, critically synthesizing these trends to expose unresolved tensions in scalability, cost, and societal impact. High implementation costs and legacy system incompatibilities hinder adoption, particularly for SMEs, while interoperability gaps-despite frameworks, like OPC UA-stifle multi-vendor ecosystems. Ethical challenges, including workforce displacement and cybersecurity risks, further complicate progress, underscoring a fragmented field where innovation outpaces practical integration. Drawing on a systematic review of high-impact literature, this study uniquely bridges technological advancements with interdisciplinary applications, revealing disparities in economic feasibility and equitable access. It critiques the literature's isolation of trends-cobots' safety, ML's autonomy, and perception's precision-proposing the following cohesive research directions: cost-effective modularity, standardized protocols, and ethical frameworks. By prioritizing scalability, interoperability, and sustainability, this paper charts a path for robotics to evolve inclusively, offering actionable insights for researchers, practitioners, and policymakers navigating this dynamic landscape.</t>
  </si>
  <si>
    <t>MAR 12</t>
  </si>
  <si>
    <t>10.3390/pr13030832</t>
  </si>
  <si>
    <t>WOS:001452171500001</t>
  </si>
  <si>
    <t>Caniumil, J; Delgado, L; Gálvez, D; Santander-Tapia, P; Cáceres, C</t>
  </si>
  <si>
    <t>Caniumil, Jessenia; Delgado, Lorena; Galvez, Daniel; Santander-Tapia, Pavlo; Caceres, Christopher</t>
  </si>
  <si>
    <t>Comparative Study of the Maturity of Innovation Spaces at the University of Santiago of Chile</t>
  </si>
  <si>
    <t>Universities have committed to the creation of University Innovation Spaces (ISU) to support and strengthen the missions defined by UNESCO. However, despite the rise of such spaces, there is a gap in the literature regarding the characterization and comparative analysis of various ISUs, which currently operate with limited involvement with spaces from other disciplines. It is in this context that the present study focuses on identifying and characterizing existing ISU, recognizing their similarities, differences, and complementarities, along with establishing their current maturity status, with the aim of providing relevant information for the development of strategies that promote cooperation and integration among these spaces.</t>
  </si>
  <si>
    <t>10.1007/978-3-031-72490-9_38</t>
  </si>
  <si>
    <t>WOS:001460827600038</t>
  </si>
  <si>
    <t>Cortés, SAP; Moreno, EHC; Páez, HF; Cruz, JPH; Troncoso, JAJ</t>
  </si>
  <si>
    <t>Cortes, Sebastian A. Perez; Moreno, Eduardo H. Contreras; Paez, Humberto Flores; Cruz, Juan P. Hurtado; Troncoso, Juan A. Jarufe</t>
  </si>
  <si>
    <t>Predictive Model for Water Consumption in a Copper Mineral Concentrator Plant Located in a Desert Area Using Machine Learning</t>
  </si>
  <si>
    <t>WATER</t>
  </si>
  <si>
    <t>In this study, water consumption predictions are made based on data obtained from two copper mineral concentration plants located in the northern region of Chile, Antofagasta Region, measured during a year of mining operation. The area to which this operation belongs is characterized by a desert climate with average annual rainfall of less than 50 mm and maximum and minimum temperatures of 29 degrees C and 4 degrees C for summer, and 26 degrees C and -5 degrees C for winter, measured during 2022. To perform the predictions, a database corresponding to two concentration plants with daily measurements for a year was used, which were analyzed using four regression models using Machine Learning (ML) in Python: Support Vector Regressor (SVR), Extreme Gradient Boost (XGBoost), Artificial Neural Network (ANN), and Random Forest Regressor (RF). The predictions obtained by each of the ML models were studied using cross-validation hyperparameter tuning and identifying the variable with the greatest impact. The model with the best prediction results was ANN, as it yielded the lowest relative error in the predictions.</t>
  </si>
  <si>
    <t>; Hurtado Cruz, Juan Pablo/K-2568-2013</t>
  </si>
  <si>
    <t>Jarufe Troncoso, juan Andres/0000-0003-2373-785X; Hurtado Cruz, Juan Pablo/0000-0001-7602-8278; Perez Cortes, Sebastian Alexander/0000-0003-0366-1747</t>
  </si>
  <si>
    <t>2073-4441</t>
  </si>
  <si>
    <t>10.3390/w17010015</t>
  </si>
  <si>
    <t>WOS:001393384300001</t>
  </si>
  <si>
    <t>Castro, K; Abejón, R</t>
  </si>
  <si>
    <t>Castro, Katherinne; Abejon, Ricardo</t>
  </si>
  <si>
    <t>Removal of Heavy Metals from Wastewaters and Other Aqueous Streams by Pressure-Driven Membrane Technologies: An Outlook on Reverse Osmosis, Nanofiltration, Ultrafiltration and Microfiltration Potential from a Bibliometric Analysis</t>
  </si>
  <si>
    <t>A bibliometric study to analyze the scientific documents released until 2024 in the database Scopus related to the use of pressure-driven membrane technologies (microfiltration, ultrafiltration, nanofiltration and reverse osmosis) for heavy metal removal was conducted. The work aimed to assess the primary quantitative attributes of the research in this field during the specified period. A total of 2205 documents were identified, and the corresponding analysis indicated an exponential growth in the number of publications over time. The contribution of the three most productive countries (China, India and USA) accounts for more than 47.1% of the total number of publications, with Chinese institutions appearing as the most productive ones. Environmental Science was the most frequent knowledge category (51.9% contribution), followed by Chemistry and Chemical Engineering. The relative frequency of the keywords and a complete bibliometric network analysis allowed the conclusion that the low-pressure technologies (microfiltration and ultrafiltration) have been more deeply investigated than the high-pressure technologies (nanofiltration and reverse osmosis). Although porous low-pressure membranes are not adequate for the removal of dissolved heavy metals in ionic forms, the incorporation of embedded adsorbents within the membrane structure and the use of auxiliary chemicals to form metallic complexes or micelles that can be retained by this type of membrane are promising approaches. High-pressure membranes can achieve rejection percentages above 90% (99% in the case of reverse osmosis), but they imply lower permeate productivity and higher costs due to the required pressure gradients.</t>
  </si>
  <si>
    <t>10.3390/membranes14080180</t>
  </si>
  <si>
    <t>WOS:001305359400001</t>
  </si>
  <si>
    <t>Estela, MC; Valencia-Cordero, C</t>
  </si>
  <si>
    <t>Estela, Maria Constanza; Valencia-Cordero, Claudio</t>
  </si>
  <si>
    <t>On Superposition Lattice Codes for the K-User Gaussian Interference Channel</t>
  </si>
  <si>
    <t>ENTROPY</t>
  </si>
  <si>
    <t>In this study, we work with lattice Gaussian coding for a K-user Gaussian interference channel. Following the procedure of Etkin et al., in which the capacity is found to be within 1 bit/s/Hz of the capacity of a two-user Gaussian interference channel for each type of interference using random codes, we work with lattices to take advantage of their structure and potential for interference alignment. We mimic random codes using a Gaussian distribution over the lattice. Imposing constraints on the flatness factor of the lattices, the common and private message powers, and the channel coefficients, we find the conditions to obtain the same constant gap to the optimal rate for the two-user weak Gaussian interference channel and the generalized degrees of freedom as those obtained with random codes, as found by Etkin et al. Finally, we show how it is possible to extend these results to a K-user weak Gaussian interference channel using lattice alignment.</t>
  </si>
  <si>
    <t>1099-4300</t>
  </si>
  <si>
    <t>10.3390/e26070575</t>
  </si>
  <si>
    <t>WOS:001278626400001</t>
  </si>
  <si>
    <t>Barría, SN</t>
  </si>
  <si>
    <t>Barria, Sandra Navarrete</t>
  </si>
  <si>
    <t>The other routes of Latin American exile: women thinkers in uprootedness</t>
  </si>
  <si>
    <t>In this article we will focus on the narratives of Tununa Mercado and Ana Pizarro, specifically, on the works En estado de memoria and La luna, el viento, el alio, el dia, respectively, with the aim of analyzing the ways in which the authors deploy a philosophical reflection on the meanings of exile. Through a hermeneutic and literary analysis, we will inquire into the following questions: How is the experience of exile articulated in these narratives? What fractures to the official memories of exile do their texts propose? How does the philosophical reflection of the experience of exile operate in their writings? As a preliminary hypothesis, we postulate that the exile experience is configured from an interstitial space that allows the narrators to signify their experiences from an 'in-between', which is both temporal-a self constantly split between past and present- and geographical, a narrative that oscillates between the space before and the present.</t>
  </si>
  <si>
    <t>WOS:001416120600023</t>
  </si>
  <si>
    <t>Cortes, Carolina pizarro</t>
  </si>
  <si>
    <t>From the street to the web: testimonies of the artistic protest of October 2019 and its continuity on digital platforms</t>
  </si>
  <si>
    <t>The revolt, outbreak or social revolution of October 2019 in Chile was a period of intense visual street manifestation, characterized by a proliferation of texts, images and testimonial performances. Attending to this phenomenon of significant overabundance, records were immediately generated, as well as publications and platforms aimed at preserving urban interventions, accordingto intentions and procedures of a contemporary archivistics. The aim of this article is to analyze, from the strategies they use, initiatives that digitally recover records of visual events of protest and integrate them into a larger and more complex unit: the repository Voces en elmuro (UTEM), the photographic work La ciudad como texto(C. Ureta) and a chapter of the YouTube series Olvidarte nunca (CanalPobrecitoMortal).These initiatives constitute open narratives that share four specific features: (1) they are third-order elaborations that integrate and resignify records of visual events; (2) they link the records to the precise space in which the visual event unfolds; (3) they generate a type of contact with the user of the interfacethat goes beyond passive observation and opens up the possibility of interaction; and (4) they account for the constructive process-both of the second-order record and of the platform- so that, to different degrees and measures, they expose how to do things with images.</t>
  </si>
  <si>
    <t>10.7203/KAM.24.29926</t>
  </si>
  <si>
    <t>WOS:001411162000011</t>
  </si>
  <si>
    <t>Martínez, JJN</t>
  </si>
  <si>
    <t>Martinez, Juan Jose Navarro</t>
  </si>
  <si>
    <t>WORKER CULTURE AND SOCIABILITY UNDER A PATERNALISTIC CONTEXT: PUENTE ALTO 1920-1950.</t>
  </si>
  <si>
    <t>From a broad notion of the life of the popular classes, considering both labor factors and those outside the companies and factories, we propose to approach the ways in which the working class sociability and popular culture developed in the commune of Puente Alto between 1920 and 1950. The study aims to analyze the ways in which the popular world developed its culture in the delimited temporality considering its own actions, as well as the influence emanated from the companies, mainly the Compa &amp; ntilde;ia Manufacturera de Papeles y Cartones. To this end, research was conducted on forms of recreation such as evenings, festivities, sports and written expression, the work of the companies and alcoholism as a transversal problem to be taken care of. In general terms, the workers' culture was measured by the paternalistic influence, coexisting in key spaces, but allowing certain autonomy, being therefore a product of both the experience, the forms derived from the left-wing political parties, and the hegemonic culture.</t>
  </si>
  <si>
    <t>WOS:001339596200012</t>
  </si>
  <si>
    <t>Mendoza, FG</t>
  </si>
  <si>
    <t>Mendoza, Francisco Garcia</t>
  </si>
  <si>
    <t>The Potential of Incest in Por la patria and Los trabajadores de la muerte by Diamela Eltit</t>
  </si>
  <si>
    <t>This paper analyzes the incestuous interactions present in two novels by Diamela Eltit: Por la patria (1986) and Los trabajadores de la muerte (1998). It is proposed that the incestuous exercise serves the characters to question, defy and subvert the established orders of association. In order to support this approach, a critical review of the readings made by Barrientos, Brito, Carreno and Scarabelli is made, and then a detailed analysis of the incestuous tensions present in both novels is carried out.</t>
  </si>
  <si>
    <t>10.5195/ct/2024.631</t>
  </si>
  <si>
    <t>WOS:001313499200016</t>
  </si>
  <si>
    <t>Mendoza-Becker, R; Travieso-Torres, JC; Díaz, M</t>
  </si>
  <si>
    <t>Mendoza-Becker, Rodrigo; Travieso-Torres, Juan Carlos; Diaz, Matias</t>
  </si>
  <si>
    <t>Adaptive Control of M3C-Based Variable Speed Drive for Multiple Permanent-Magnet-Synchronous-Motor-Driven Centrifugal Pumps</t>
  </si>
  <si>
    <t>MACHINES</t>
  </si>
  <si>
    <t>There has been growing interest in using permanent magnet synchronous motors (PMSMs) for pumping applications to improve energy efficiency. One promising approach for powering these motors in variable speed applications is using an M3C due to its inherent fault tolerance capability. However, M3C converters require a more complex control system than simpler converters. For instance, a basic M3C control system for power transmission requires seventeen PI controllers, whose fixed adjustment depends on the M3C's dynamical model parameters' value knowledge, needing initial extensive and time-consuming testing to obtain it. As an alternative, we propose an adaptive M3C control system for variable speed drives powering multiple PMSM-driven centrifugal pumps that reduces the number of controllers to six. Furthermore, the proposal does not require initial knowledge of the converter, motor, or load parameters, making it more practical and versatile. The proposal introduces an ad hoc hybrid passivity-based model reference adaptive controller in cascade with a passivity-based control. It was validated through theoretical stability proof and comparative simulation results with a basic control system under normal and fault operations. As a result, the proposal effectively follows the required rotor speed while enhancing performance by decreasing the current consumption and recovering from a 10% input phase imbalance, a cell short circuit, an open cell, and parameters changes of the motor-pump set.</t>
  </si>
  <si>
    <t>Travieso Torres, Juan carlos/N-6437-2019; Diaz, Matias/R-7570-2018</t>
  </si>
  <si>
    <t>Travieso Torres, Juan carlos/0000-0002-9246-4827; Diaz, Matias/0000-0003-4489-9532</t>
  </si>
  <si>
    <t>2075-1702</t>
  </si>
  <si>
    <t>10.3390/machines11090884</t>
  </si>
  <si>
    <t>WOS:001119236400001</t>
  </si>
  <si>
    <t>THE IMAGE OF THE OTHER IN CHILE AND ARGENTINA THROUGH THE SATIRICAL PRESS: THE TOPAZE MAGAZINE IN THE FACE OF LIMIT CONFLICTS (1938-1965)</t>
  </si>
  <si>
    <t>WOS:001000745800003</t>
  </si>
  <si>
    <t>Lobos, LC; Carrasco, EN; Cartagena, PP</t>
  </si>
  <si>
    <t>Lobos, Lucia Castillo; Carrasco, Elizabeth Nunez; Cartagena, Paulina Parrao</t>
  </si>
  <si>
    <t>Portraying Arica's nursing in the mid-twentieth century, Chile, 1950</t>
  </si>
  <si>
    <t>REVISTA CUIDARTE</t>
  </si>
  <si>
    <t>Introduction: In the mid-twentieth century, the city of Arica experienced socio-political changes that led to a precarious social and health situation. During this time, Iris Veliz was the first professional nurse in the city, and her arrival was the starting point for the professionalization of nursing in the extreme north of Chile. Objective: To highlight through the person of Iris Veliz the trajectory of an anonymous Chilean nurse who has been written about incipiently. Materials and methods: Qualitative and socio-historical study, its findings emergedfromsecondary documentary sourcesand from the accounts of those who were part ofIris Veliz's work team at the Juan Noe Hospital in Arica. Results: The findings were subjected to Flick's thematic analysis and interpreted in light of Nancy Fraser's epistemological premises regarding women's recognition. Discussion: She is remembered in a positive way; however, her professional performance is made invisible because her field of action was a space of daily practices traditionally associated with women, which perpetuated her into a state of subjugation as a result of the regional exaltation of a dominant medical figure. Conclusions: Iris Veliz is an exponent of those nursing professionals who remain hidden in the restricted space of their actions and urges us to reflect on the anonymity of history as a disruptor of the culture of care.</t>
  </si>
  <si>
    <t>2216-0973</t>
  </si>
  <si>
    <t>2346-3414</t>
  </si>
  <si>
    <t>e2709</t>
  </si>
  <si>
    <t>10.15649/cuidarte.2709</t>
  </si>
  <si>
    <t>WOS:001129050300010</t>
  </si>
  <si>
    <t>Del Saz, M; Grau, X</t>
  </si>
  <si>
    <t>Del Saz, Maria; Grau, Ximena</t>
  </si>
  <si>
    <t>PRODUCTION OF VOWELS AND NUCLEAR ACCENTS BY CHILEAN LEARNERS OF ENGLISH AS A FOREIGN LANGUAGE</t>
  </si>
  <si>
    <t>RLA-REVISTA DE LINGUISTICA TEORICA Y APLICADA</t>
  </si>
  <si>
    <t>Previous studies show that L2 segments are easier to acquire than suprasegments. In an EFL context, the L1 influence seems to be minimized as learners gain L2 experience. Our study explores the effect of L1 transfer from Spanish and L2 experience in English on the production of vowels and nuclear accent, by comparing acoustically the productions of elementary and advanced learners of EFL in Chile. Results indicate improvement with higher L2 experience, although still far from native speakers. Concerning vowels, certain problems with tongue advancement and height persist at advanced levels, with overreliance on intensity to produce tense vowels. Regarding nuclear accents, correct nucleus placement improves with experience, and productions start to reflect the acoustic correlates of one English variety, still with a tendency to over rely on duration to mark the nucleus. Further research is warranted, such as on rhythm and fluency, to have a more holistic understanding of the effects of L1 transfer and L2 experience on L2 English.</t>
  </si>
  <si>
    <t>Del Saz, María/G-5156-2019</t>
  </si>
  <si>
    <t>0718-4883</t>
  </si>
  <si>
    <t>10.29393/RLA60-8PVMX20008</t>
  </si>
  <si>
    <t>WOS:000859417500009</t>
  </si>
  <si>
    <t>Valdés, ED; Alvarez-Rojas, C</t>
  </si>
  <si>
    <t>Valdes, Eduardo Deves; Alvarez-Rojas, Christian</t>
  </si>
  <si>
    <t>Questions and Methods to Broaden the Study of Ideas. Eidetic Life in an Intellective Ecosystem. Copiapo and its Surroundings (2015-2021)</t>
  </si>
  <si>
    <t>This paper presents a theoretical proposal of what is called survey of the eidetic heritage of an intellective ecosystem , as a way of determining the level of diversity of eidetic expressions within a space. The survey is carried out on the basis of eight classes of eidetic expressions: philosophies of life, ideologies, cotidianies, scientific paradigms, biospherisms, ideoglobies, eidetic devices, and expressions out of classification. We conclude with a synthesis of the eidetic expressions found, which amount to about 40.</t>
  </si>
  <si>
    <t>WOS:000933168400006</t>
  </si>
  <si>
    <t>Urrea, C; Agramonte, R</t>
  </si>
  <si>
    <t>Urrea, Claudio; Agramonte, Rayko</t>
  </si>
  <si>
    <t>Kalman Filter: Historical Overview and Review of Its Use in Robotics 60 Years after Its Creation</t>
  </si>
  <si>
    <t>JOURNAL OF SENSORS</t>
  </si>
  <si>
    <t>Due to its widespread application in the robotics field, the Kalman filter has received increased attention from researchers. This work reviews some of the modifications conducted on to this algorithm over the last years. Problems such as the consistency, convergence, and accuracy of the filter are also dealt with. Sixty years after its creation, the Kalman filter is still used in autonomous navigation processes, robot control, and trajectory tracking, among other activities. The filter is not only restricted to robotics but is also present in different fields, such as economics and medicine. In addition, the characteristics of each modification on this filter are analyzed and compared.</t>
  </si>
  <si>
    <t>Agramonte, Rayko/HTM-8716-2023; Claudio, URREA/KWU-1600-2024</t>
  </si>
  <si>
    <t>Urrea, Claudio/0000-0001-7197-8928; Agramonte Alburquerque, Rayko Enrique/0000-0002-7395-5874</t>
  </si>
  <si>
    <t>1687-725X</t>
  </si>
  <si>
    <t>1687-7268</t>
  </si>
  <si>
    <t>SEP 3</t>
  </si>
  <si>
    <t>10.1155/2021/9674015</t>
  </si>
  <si>
    <t>WOS:000695319100004</t>
  </si>
  <si>
    <t>Macuada, CJ; Oddershede, AM; Quezada, LE; Palominos, PI</t>
  </si>
  <si>
    <t>Dzitac, I; Filip, FG; Manolescu, MJ; Dzitac, S; Kacprzyk, J; Oros, H</t>
  </si>
  <si>
    <t>Macuada, Claudio J.; Oddershede, Astrid M.; Quezada, Luis E.; Palominos, Pedro I.</t>
  </si>
  <si>
    <t>Methodological Proposal to Define the Degree of Automation in the Sanitary Industry in Chile to Adapt to Climate Change</t>
  </si>
  <si>
    <t>INTELLIGENT METHODS IN COMPUTING, COMMUNICATIONS AND CONTROL</t>
  </si>
  <si>
    <t>8th International Conference on Computers Communications and Control (ICCCC)</t>
  </si>
  <si>
    <t>MAY 11-15, 2020</t>
  </si>
  <si>
    <t>This study proposes a methodology to support the decision making to improve the efficiency of the technological standard in the sanitary industry facilities considering the climate change effects. Nowadays, the population necessities in terms of environment, quality and continuity of service are constantly increasing. In this regard, the sanitary industry is adopting new technologies for its processes, with the purpose that be a factor for service improvement. At present time, the Chilean sanitary industry is concern about the degree of automation and the infrastructure requirements, since they are the main critical factors for future investment planning. Therefore, it is necessary to determine the current level of the telecontrol system facilities and generate actions to make improvements in those processes that show a poor quality of service. The research methodology is based on case study, integrating planning processes, data analysis, scoring method interactingwith multicriteria approach. This paper emphasis on developing a decision model by the use of the Analytical Hierarchy Process (AHP), to identify the priority facilities that should improve their technological standard. A case study incorporating climate change factors is pursued in a metropolitan sanitary company in Chile, accomplishing the automation degree of a telecontrol system for the real case. These results give place to elaborate an investment plan that can be converted into action plans for a sanitary company.</t>
  </si>
  <si>
    <t>Palominos, Pedro/0000-0002-5695-3025</t>
  </si>
  <si>
    <t>2194-5365</t>
  </si>
  <si>
    <t>978-3-030-53651-0</t>
  </si>
  <si>
    <t>10.1007/978-3-030-53651-0_24</t>
  </si>
  <si>
    <t>WOS:000621675100024</t>
  </si>
  <si>
    <t>Wasteland</t>
  </si>
  <si>
    <t>EUROPE-REVUE LITTERAIRE MENSUELLE</t>
  </si>
  <si>
    <t>0014-2751</t>
  </si>
  <si>
    <t>WOS:000614914300033</t>
  </si>
  <si>
    <t>Vallejos, JP</t>
  </si>
  <si>
    <t>Vallejos, Julio Pinto</t>
  </si>
  <si>
    <t>Revolution and republic. Political thought in the Chilean independence</t>
  </si>
  <si>
    <t>WOS:000722047100010</t>
  </si>
  <si>
    <t>Pino, E; Calderón, C; Castro, P</t>
  </si>
  <si>
    <t>Pino, Eduardo; Calderon, Cristian; Castro, Piero</t>
  </si>
  <si>
    <t>TiO2Photocatalyzed Degradation of the Azo Dye Disperse Red 1 in Aqueous Micellar Environments†</t>
  </si>
  <si>
    <t>The photoinduced degradation of the azo dye Disperse Red 1 was studied in a microheterogeneous system comprising titanium oxide (TiO2) and sodium dodecyl sulfate, exposed to UV light. Degussa P25, Anatase and TiO(2)synthesized in acidic conditions were supported on raschig rings. The TiO(2)photocatalyzed degradation is enhanced in the vicinity of the surfactant critical micelle value. Further increase on the surfactant concentration leads to a loss in photodegradation performance up to values equivalent to that observed without surfactant. Surfactant influence can be explained by two different phenomena taking place. The increasing concentration of surfactant leads to an increase in micellar concentration, inducing the incorporation of the dye to the hydrophobic moiety of the micelles, rendering the hydroxyl radical unable to interact with the dye. Similarly, the increased concentration of micelles at the photocatalyst/water interface might lead to a decrease in the number of active sites on the TiO(2)surface able to either generate reactive species and/or interact with de dye molecules. Additives such as H2O2, NaCl, Na(2)SO(4,)and Na(2)CO(3)are able to override the influence of the surfactant both positively and negatively, being the final outcome of the influence highly dependent on the crystalline form of the TiO(2)photocatalyst.</t>
  </si>
  <si>
    <t>Calderon, Cristian/0000-0002-0689-2308; Pino, Eduardo Francisco/0000-0002-7851-3952</t>
  </si>
  <si>
    <t>10.1111/php.13298</t>
  </si>
  <si>
    <t>WOS:000553189600001</t>
  </si>
  <si>
    <t>Mahn, A; Quintero, J; Castillo, N; Comett, R</t>
  </si>
  <si>
    <t>Mahn, Andrea; Quintero, Julian; Castillo, Noelia; Comett, Raidel</t>
  </si>
  <si>
    <t>Effect of Ultrasound-Assisted Blanching on Myrosinase Activity and Sulforaphane Content in Broccoli Florets</t>
  </si>
  <si>
    <t>Sulforaphane (SFN) is a health-promoting compound occurring in broccoli. It is formed by action of myrosinase in a two-step reaction that also yields undesirable compounds such as nitriles and isothionitriles. Different techniques affecting enzyme activity and tissue integrity were proposed to increase SFN content in the edible parts and discards of broccoli. Ultrasound processing is an emerging technology that produces these effects in foods, but has been poorly explored in broccoli so far. The aim of this work was to study the effect of ultrasound-assisted blanching on myrosinase activity and SFN content in broccoli florets. Myrosinase showed first-order inactivation kinetics in blanching at different temperatures with and without ultrasound processing. The inactivation rate was faster using ultrasound, with kinetic constants two orders of magnitude higher than without ultrasound. The activation energy (Ea) in traditional blanching (57.3 kJ mol(-1)) was higher than in ultrasound-assisted blanching (15.8 kJ mol(-1)). Accordingly, ultrasound accelerates myrosinase inactivation. The blanching time and temperature significantly affected myrosinase activity and SFN content. At 60 degrees C and 4 min of ultrasound-assisted blanching, myrosinase activity was minimum and SFN content was the highest. These findings may help to design SFN enrichment processes and will contribute to the valorization of agro-industrial wastes.</t>
  </si>
  <si>
    <t>Quintero, Julian/KHY-7891-2024</t>
  </si>
  <si>
    <t>Mahn, Andrea/0000-0001-6082-0279</t>
  </si>
  <si>
    <t>10.3390/catal10060616</t>
  </si>
  <si>
    <t>WOS:000551909400001</t>
  </si>
  <si>
    <t>Segovia, A</t>
  </si>
  <si>
    <t>Segovia, Ariel</t>
  </si>
  <si>
    <t>Evaluation of the frequency of the voice signal as an indicator of sleepiness: A study in subjects with sleep deprivation</t>
  </si>
  <si>
    <t>CUADERNOS DE NEUROPSICOLOGIA-PANAMERICAN JOURNAL OF NEUROPSYCHOLOGY</t>
  </si>
  <si>
    <t>The effects of drowsy driving have been identified as one of the causes of labor accidents.The need for non-invasive and accurate measurements has been a demand for many scientific disciplines ,among them, neuroscience and behaviour sciences.These specific disciplines can display evidence-based systems that might help prevent industrial and urban accidents.This research is an transnational, exploratory , pre experimental one .Its aim was to assess the voice signal as a drowsy driving indicator in sleep deprived individuals , in a controlled situation. Three individuals were sleep-deprived for 24 hours. The Epworth scale was applied to know the drowsiness degree the participants had before the study. Paragraphs were read, recorded and later analyzed along 7 measurement sessions using PRAAT voice software - The results obtained show evidence that drowsiness has an effect on the voice signal along time, enabling this method as a technologically efficient, non-invasive and low-cost alternative.</t>
  </si>
  <si>
    <t>0718-4123</t>
  </si>
  <si>
    <t>10.7714/CNPS/14.2.204</t>
  </si>
  <si>
    <t>WOS:000599136800005</t>
  </si>
  <si>
    <t>Ethical considerations in the context of triage by COVID-19</t>
  </si>
  <si>
    <t>WOS:000548742500022</t>
  </si>
  <si>
    <t>Marques, ALD</t>
  </si>
  <si>
    <t>dos Santos Marques, Ana Laura</t>
  </si>
  <si>
    <t>Assessment and validation of academic genres of Portuguese foreign language learners</t>
  </si>
  <si>
    <t>DIALOGO DAS LETRAS</t>
  </si>
  <si>
    <t>The practice of academic texts in foreign language (FL) at the university is the means by which students' learning is validated both in terms of the content required in their area of training and in their linguistic development (COLOMBI, 2012). The assessments of their texts articulate linguistic practice with a triple goal: the disciplinary contents; the mastery of textual genres and the development of FL. The interest for this last aspect in texts by Spanish-speaking learners of Portuguese as a foreign language (PFL) at the university seems to prevail in researches, since their concerns on the linguistic transfers/interferences are commonly derived from the contact between Spanish and Portuguese (DURAO, 2004). To broaden this discussion, the objective of this paper is to discuss to what extent the text evaluations performed by PFL teachers contribute to the understanding of academic genres - their forms and functions. Thus, a selection of texts reviewed by 4 teachers was considered. The analysis categories included: the focus on textual metafunction, from the PERIODICITY subsystem (MARTIN and ROSE, 2007; SHRESTHA, 2017) and the generic structure contrasted with the reviews carried out by the teachers. These categories describe the extent to which the evaluations received validate the genres produced and the limitations evidenced in the feedback provided by the teachers. It appears that the presentation of content is highlighted and the connection between genres and academic register in PFL is the subject of recommendations. The information provided by these assessments leaves students in charge of understanding the relationship between content, genres and use of language.</t>
  </si>
  <si>
    <t>2316-1795</t>
  </si>
  <si>
    <t>e02001</t>
  </si>
  <si>
    <t>WOS:000864830800022</t>
  </si>
  <si>
    <t>Fernández, CM; Vallejos, RA</t>
  </si>
  <si>
    <t>Matamoros Fernandez, Christian; Alvarez Vallejos, Rolando</t>
  </si>
  <si>
    <t>No</t>
  </si>
  <si>
    <t>During the 1980s, the Chilean civil-military dictatorship carried out neoliberal educational reforms that profoundly modified the working conditions of teachers, especially due to the transfer of establishments from the State to the municipalities. During the first transfer period, there were some activist demonstrations, but only in 1986 were massive resistances to those policies executed. These practices did not represent a homogeneous opposition through the defense of an alternative educational policy to the official one, but rather it was an opposition guided by the political times of the conjuncture, where some sectors began to positively evaluate a municipalized education system. Based on the analysis of different backgrounds, in this work we seek to critically analyze, from a historical and political perspective, the responses presented by the various organizations and political forces of the teachers in front of the municipality.</t>
  </si>
  <si>
    <t>WOS:000614863100094</t>
  </si>
  <si>
    <t>Rivera, C; Inostroza-Ponta, M; Villalobos-Cid, M</t>
  </si>
  <si>
    <t>Rivera, Cesar; Inostroza-Ponta, Mario; Villalobos-Cid, Manuel</t>
  </si>
  <si>
    <t>A multimodal multi-objective optimisation approach to deal with the phylogenetic inference problem</t>
  </si>
  <si>
    <t>2020 IEEE CONFERENCE ON COMPUTATIONAL INTELLIGENCE IN BIOINFORMATICS AND COMPUTATIONAL BIOLOGY (CIBCB)</t>
  </si>
  <si>
    <t>IEEE Conference on Computational Intelligence in Bioinformatics and Computational Biology (CIBCB)</t>
  </si>
  <si>
    <t>OCT 27-29, 2020</t>
  </si>
  <si>
    <t>The phylogenetic inference strategies aim to propose hypotheses to explain the evolutionary relationships for different organisms. These resultant evolutionary histories are often represented as phylogenetic trees. In computer science, the phylogenetic inference has been treated as an optimisation problem. The literature has proposed different criteria to select the optimal tree between the possible topologies. In order to reduce the bias associated to the dependency on the selected criterion, different multi-objective optimisation strategies have been proposed during the last decade. These strategies search by solutions using operators and metrics based on the objective space. However, a recent work concluded that the topological features of the trees (decision space) and the objective space in the multi-objective phylogenetic inference context are not related, becoming phylogeny in a multimodal problem. It means that the current multi-objective strategies could discard solutions from different regions of the decision space, limiting the searching process and the resultant topologies. In this work, we propose a new version of the Memetic algorithm based on an NSGA-II scheme for phylogenetic inference, which include a multimodal operator that considers the diversity of the topologies of the trees based on the decision space to rank the solutions. The inclusion of this operator improved the diversity of solutions according to the decision and the objective space, increasing the hypervolume metric compared to the base version of this memetic algorithm.</t>
  </si>
  <si>
    <t>Rivera, César/AFL-7931-2022; Villalobos-Cid, Manuel/AFK-0866-2022; Inostroza-Ponta, Mario/G-7548-2012</t>
  </si>
  <si>
    <t>Villalobos-Cid, Manuel/0000-0002-1145-2016; Rivera Morales, Cesar/0000-0003-3348-5465</t>
  </si>
  <si>
    <t>978-1-7281-9468-4</t>
  </si>
  <si>
    <t>10.1109/cibcb48159.2020.9277700</t>
  </si>
  <si>
    <t>WOS:000662133900029</t>
  </si>
  <si>
    <t>Serrano, JRS</t>
  </si>
  <si>
    <t>Candia, JG</t>
  </si>
  <si>
    <t>Silva Serrano, Jose Rolando</t>
  </si>
  <si>
    <t>NEW TRENDS AND SIGNIFICANT EXPERIENCES IN HIGHER EDUCATION TOPICS Prologue</t>
  </si>
  <si>
    <t>IMPACTO EN EL SABER Y SENTIR DOCENTE: NUEVAS TENDENCIAS Y EXPERIENCIAS SIGNIFICATIVAS EN TEMATICAS DE EDUCACION SUPERIOR, VOL 3</t>
  </si>
  <si>
    <t>978-956-6095-00-2; 978-956-303-351-9</t>
  </si>
  <si>
    <t>WOS:000608842500001</t>
  </si>
  <si>
    <t>Rosas, RE; Santoni, A; Fediakova, E</t>
  </si>
  <si>
    <t>Elgueta Rosas, Raul; Santoni, Alessandro; Fediakova, Evguenia</t>
  </si>
  <si>
    <t>The persistence of faith: changes and validity of political-religious cleavage in Chile (1938-2017)</t>
  </si>
  <si>
    <t>This article analyzes how religious cleavage has influenced on the structuring of the Chilean political system in different moments of its democratic life: from the victory of the Popular Front in 1938 to the coup d'etat of 1973, to which followed the return to democracy in 1990. It suggests that, in spite of secularization and growing number of agnostics, religion has not lost its validity in the public sphere, inspiring the creation of different parties and producing changes in identities and agendas. Religious cleavage has changed its meaning, constantly interacting with other dimensions of ideological competency. As for the catholic field, the process has been beneficial for different groups at different stages, insofar as it expresses a variety of contending interpretations of the public role of faith. At the same time, there is a growing evangelical field and its quest to enter the public arena makes this case more complex, producing new challenges and political alignments.</t>
  </si>
  <si>
    <t>10.15448/1980-864X.2019.2.31335</t>
  </si>
  <si>
    <t>WOS:000475669900013</t>
  </si>
  <si>
    <t>Joglar, C; Rojas-Rojas, S</t>
  </si>
  <si>
    <t>Joglar, C.; Rojas-Rojas, S.</t>
  </si>
  <si>
    <t>REFLECTION UPON THE PRACTICE AND PROFILE OF THE MOVEMENT OF THE PLANES OF THOUGHT IN PRE-SERVICE TEACHERS OF SCIENCE THROUGH THE USE OF 360° VIDEO RECORDINGS</t>
  </si>
  <si>
    <t>13TH INTERNATIONAL TECHNOLOGY, EDUCATION AND DEVELOPMENT CONFERENCE (INTED2019)</t>
  </si>
  <si>
    <t>INTED Proceedings</t>
  </si>
  <si>
    <t>13th International Technology, Education and Development Conference (INTED)</t>
  </si>
  <si>
    <t>MAR 11-13, 2019</t>
  </si>
  <si>
    <t>Valencia, SPAIN</t>
  </si>
  <si>
    <t>This study aimed to identify the profile that pre-service teachers exhibit when they reflect on their practice based on 360 degrees video recordings, and how this methodology has an impact on the movement of this reflection from one plane of development of thought to another. An analysis was made of 11 personal interviews and protocols, answered by pre-service chemistry and biology teachers. The profile identified shows that, even though the teachers are undergoing initial training, the methodology used allows them to transit from a procedural-operative plane, which focuses on content and strategies, to the personal-significative plane, which is concerned with the personal meanings of the teaching done in the classes analyzed. It was also possible to identify that 2 of the subjects studied moved toward a relational-social plane, where their reflection was focused on their students. Unlike other methodologies used to promote the reflection from practice, this methodology allows the pre-service teachers not only to focus their reflection on their performance, but also to be concerned about how the students learn and what emotions are generated in the space generated for the reflection.</t>
  </si>
  <si>
    <t>Joglar, Carol/0000-0002-3102-7295</t>
  </si>
  <si>
    <t>2340-1079</t>
  </si>
  <si>
    <t>978-84-09-08619-1</t>
  </si>
  <si>
    <t>10.21125/inted.2019.2384</t>
  </si>
  <si>
    <t>WOS:000541042204103</t>
  </si>
  <si>
    <t>Rojas, SR; Campos, CJ</t>
  </si>
  <si>
    <t>Rojas Rojas, S.; Joglar Campos, C.</t>
  </si>
  <si>
    <t>SMALL RESEARCH AND ASKING QUESTIONS. A STUDY CASE IN INITIAL TEACHER TRAINING IN ELEMENTARY EDUCATION</t>
  </si>
  <si>
    <t>In Chile's educational policy, teacher training has been a priority, particularly over the last decade. These pretensions bring with them important challenges and the construction of proposals that take care of them. That is how the promulgation of Ley 20.903 (2016) incorporated new pedagogical and subject standards for all the careers in Pedagogy. In the case of Elementary Pedagogy (future teachers who will take care of the first and second infancy) it is an even more challenging issue, because for the science area it must promote scientific thought competencies, understanding the nature of science, that is its activity and construction of knowledge and doing science. One of the possibilities to undertake this formative responsibility is the use of small research in which asking questions is a key, not only because of its direct relation with learning, but also with scientific activity proper. Under these considerations, this research, in its first stage, of a qualitative character with a case study, had the purpose of characterizing the construction of explicative questions by 65 students in the Understanding of the Natural Medium I and III in their third and fifth semesters of the Basic Pedagogy career of a Chilean state university over an academic semester during the implementation of small research. The results refer mainly to questions meant to be researchable with difficulties in incorporating relations between variables and scientific knowledge. Furthermore, in their content, they are located mainly in phenomena observed from the social and everyday context that represents more biological than chemical and physical models. As to the demand, it is noteworthy that even though teachers prepare more questions to establish relations and confirm them, they are afraid of asking questions that imply predictions. This situation forces to think how to generate a curriculum in science for future teachers that will prioritize the formulation and benefits of the questions if an understanding of the nature of science is desired.</t>
  </si>
  <si>
    <t>ROJAS, SANDRA/AAU-5018-2020</t>
  </si>
  <si>
    <t>Rojas Rojas, Sandra Patricia/0000-0001-6284-5373; Joglar, Carol/0000-0002-3102-7295</t>
  </si>
  <si>
    <t>10.21125/inted.2019.2214</t>
  </si>
  <si>
    <t>WOS:000541042203149</t>
  </si>
  <si>
    <t>Soto, MD</t>
  </si>
  <si>
    <t>Diaz Soto, Marcelo</t>
  </si>
  <si>
    <t>Philosophy, philosophy of sciences and the question of realism</t>
  </si>
  <si>
    <t>This paper consists of two main topics: (1) the conception of philosophy as an extremely recursive activity applied to scientific, ethics and educational knowledge; (2) the discussion about realism and the role of the representations in the explanation of cognition (Philosophy of Cognitive Sciences). The validity of the anti-representationism or constructivist-based perspectives, is highlighted in Cognitive Sciences where these pretend to overcome the limitations and prejudices that belong to the previous computacionalism and connectionism perspectives.</t>
  </si>
  <si>
    <t>WOS:000442280100011</t>
  </si>
  <si>
    <t>Valenzuela, B; Rodríguez, FE; Modak, B; Imarai, M</t>
  </si>
  <si>
    <t>Valenzuela, Beatriz; Rodriguez, Felipe E.; Modak, Brenda; Imarai, Monica</t>
  </si>
  <si>
    <t>Alpinone exhibited immunomodulatory and antiviral activities in Atlantic salmon</t>
  </si>
  <si>
    <t>In this study, we seek to identify flavonoids able to regulate the gene expression of a group of cytokines important for the control of infections in Atlantic salmon (Salmo salar). Particularly, we studied the potential immunomodulatory effects of two flavonoids, Alpinone and Pinocembrine, which were isolated and purified from resinous exudates of Heliotropium huascoense and Heliotropium sinuatum, respectively. The transcript levels of TNF-alpha and IL-1 (inflammatory cytokines), IFN-gamma and IL-12 (T helper 1 type cytokines), IL4/13A (Th2-type cytokine), IL-17 (Th17 type cytokine) TGF-beta 1 (regulatory cytokine) and IFN-alpha (antiviral cytokine) were quantified by qRT-PCR in kidneys of flavonoid-treated and control fish. We demonstrated that the administration of a single intramuscular dose of purified Alpinone increased the transcriptional expression of five cytokines, named TNF-alpha, IL-1, IFN-alpha, IFN-gamma and TGF-beta 1 in treated fish compared to untreated fish. Conversely, administration of purified Pinocembrine reduced the transcriptional expression of TNF-alpha, IL-1 and IL-12 in the kidney of treated fish. No other changes were observed. Interestingly, Alpinone also induced in vitro antiviral effects against Infectious Salmon Anaemia virus. Results showed that Alpinone but not Pinocembrine induces the expression of cytokines, which in vertebrates are essential to control viral infections while Pinocembrine reduces pro-inflammatory cytokines. Altogether results suggest that Alpinone is a good candidate to be further tested as immunostimulant and antiviral drug.</t>
  </si>
  <si>
    <t>Modak Canobra, Brenda/0000-0001-5292-0480; Imarai, Monica/0000-0001-8767-9180; Rodriguez-Tirado, Felipe/0000-0002-6554-8187</t>
  </si>
  <si>
    <t>10.1016/j.fsi.2017.12.043</t>
  </si>
  <si>
    <t>WOS:000427344200010</t>
  </si>
  <si>
    <t>Parada, SP; Salas, CB</t>
  </si>
  <si>
    <t>Peredo Parada, Santiago; Barrera Salas, Claudia</t>
  </si>
  <si>
    <t>Technologies and agroecological practices for the design of sustainable agroecosystems</t>
  </si>
  <si>
    <t>The aim of this work was to determine the levels of sustainability of an agricultural system, whose management has been using agroecological technologies and practices, in relation to another conventional one. The methodological scheme used corresponded to the Framework for the Evaluation of Management Systems Incorporating Sustainability Indicators (MESMIS) supported with quantitative and qualitative techniques. The main results indicate a greater number of technologies oriented to the conservation of the farm resources, a greater diversity of crops, a lower seasonality in the farm income and a greater application of practices oriented to the recycling and reuse of waste in the agro-ecological agroecosystem. It is concluded that the levels of sustainability are greater in an agroecological system in relation to a conventional one.</t>
  </si>
  <si>
    <t>WOS:000483366800005</t>
  </si>
  <si>
    <t>Avila, T; Gutiérrez, E; Chávez, H</t>
  </si>
  <si>
    <t>Avila, T.; Gutierrez, E.; Chavez, H.</t>
  </si>
  <si>
    <t>Performance Standard-Compliant Secondary Control: The Case of Chile</t>
  </si>
  <si>
    <t>The two largest grids in Chile (SIC and SING) are about to become interconnected. As power balance is a concern in the operation of a power system, it is important to understand the operation of AGC while systems become interconnected. In this sense, the performance of the AGC systems after the interconnection may change, and the new operating condition may require a change in the parameters of the AGC controllers to comply with performance standards. This work presents an analysis to determine the parameters of the AGC systems in the two grids to comply with frequency control performance standards and minimize the required reserves. In the absence of a chilean secondary frequency control performance standard, the North American standards are considered. To validate the results, empirically-validated frequency response models of SING and SIC are considered to obtain numerical results.</t>
  </si>
  <si>
    <t>10.1109/TLA.2017.7959344</t>
  </si>
  <si>
    <t>WOS:000405001700008</t>
  </si>
  <si>
    <t>Vidal, J; Espinoza, C; Contreras, N; Salazar, R</t>
  </si>
  <si>
    <t>Vidal, Jorge; Espinoza, Carolina; Contreras, Nicole; Salazar, Ricardo</t>
  </si>
  <si>
    <t>ELIMINATION OF INDUSTRIAL TEXTILE DYE BY ELECTROCOAGULATION USING IRON ELECTRODES</t>
  </si>
  <si>
    <t>Electrocoagulation is a promising technique for the treatment of wastewater like the produced by the textile industry, which generates large volumes of water containing dyes. Thus, synthetic samples of the textile dye acid black 194 (AB194, CI 22910) were treated by this method using iron anodes at two different initial pH values. Tafel studies in the presence and absence of the dye were performed. The complete removal of AB194 from 1.0 L of solution in a static cell was achieved, at short electrolysis times, applying low-density currents at two different initial pH values. In addition, the operating costs by mass consumed anode, per cubic meter electocoagulated and per TOC unit, were assessed to help determine the most efficient conditions, considering a future application of the method in the industry.</t>
  </si>
  <si>
    <t>Vidal, Jorge/0000-0002-1334-377X; Salazar-Gonzalez, Ricardo/0000-0003-2180-6022</t>
  </si>
  <si>
    <t>10.4067/S0717-97072017000200019</t>
  </si>
  <si>
    <t>WOS:000408266600019</t>
  </si>
  <si>
    <t>Torres, A; Ilabaca, E; Rojas, A; Rodriguez, F; Galotto, MJ; Guarda, A; Villegas, C; Romero, J</t>
  </si>
  <si>
    <t>Torres, Alejandra; Ilabaca, Evelyn; Rojas, Adrian; Rodriguez, Francisco; Galotto, Maria Jose; Guarda, Abel; Villegas, Carolina; Romero, Julio</t>
  </si>
  <si>
    <t>Effect of processing conditions on the physical, chemical and transport properties of polylactic acid films containing thymol incorporated by supercritical impregnation</t>
  </si>
  <si>
    <t>This study deals on the supercritical impregnation of thymol in polylactic acid (PLA) in order to obtain biodegradable antimicrobial films by means of a procedure, which is in agreement with the principles of green chemistry, reducing the environmental impact of products and of its preparation processes. The impregnation tests were carried out in a high-pressure cell using supercritical carbon dioxide as impregnation medium at different operational conditions. These assays were implemented at pressures of 9 and 12 MPa, a constant temperature equal to 40 degrees C and different values of depressurization rates: 0.1, 1.0 and 10 MPa min(-1). Depending on the impregnation process conditions, thymol was incorporated into the films at concentrations from 13.5 to 20.5 %w/w. FTIR analyses confirmed the presence of thymol on the surface of the films. Furthermore, the supercritical impregnation process at the conditions used in this work produced a strong modification of the thermal and mechanical properties of the PLA films. On the other hand, release kinetic assays were carried out on the all prepared films. From these experimental results, it can be observed that the highest amounts of released thymol at the slowest depressurization rate were obtained. Meanwhile, the use of a previously reported mass transfer model shows that there is no significant effect of the supercritical impregnation process on the transport properties of PLA. From the experimental and theoretical results obtained in this work, it could be suggested that the impregnation of thymol in PLA using dense carbon dioxide is a promising technique to prepare active biodegradable materials for a wide range of applications. (C) 2017 Elsevier Ltd. All rights reserved.</t>
  </si>
  <si>
    <t>Rojas, Adrián/AAR-9441-2021; Rodríguez, Francisco/I-5283-2018; Torres, Alejandra/LPQ-5664-2024; Romero, Julio/I-6705-2013</t>
  </si>
  <si>
    <t>Rojas, Adrian/0000-0001-9253-1295; Romero, Julio/0000-0002-1229-1592; Rodriguez-Mercado, Francisco/0000-0002-0530-6653</t>
  </si>
  <si>
    <t>1873-1945</t>
  </si>
  <si>
    <t>10.1016/j.eurpolymj.2017.01.019</t>
  </si>
  <si>
    <t>WOS:000400037500018</t>
  </si>
  <si>
    <t>Bravo, K; Eugenín, J; Llona, I</t>
  </si>
  <si>
    <t>Bravo, Karina; Eugenin, Jaime; Llona, Isabel</t>
  </si>
  <si>
    <t>Neurodevelopmental Effects of Serotonin on the Brainstem Respiratory Network</t>
  </si>
  <si>
    <t>Serotonin has multiple roles during development of the nervous system. Human pathologies, mouse genetic models, and pharmacological experiments have demonstrated a role of serotonin in the development of neural networks. Here we summarize evidence showing that serotonin is important for the brainstem respiratory network. The available data highlight the role of serotonin as a developmental signal that previously has not been specifically considered for the respiratory network.</t>
  </si>
  <si>
    <t>10.1007/978-3-319-62817-2_11</t>
  </si>
  <si>
    <t>WOS:000438289100011</t>
  </si>
  <si>
    <t>Figueroa Zuniga, Marcos A.</t>
  </si>
  <si>
    <t>Historia Geografica, Natural y Civil del Reino de Chile (1782) of the Jesuit Expelled Felipe Gomez de Vidaurre: a Work Unjustly Devalued by Chilean Historiography</t>
  </si>
  <si>
    <t>ANUARIO DE ESTUDIOS AMERICANOS</t>
  </si>
  <si>
    <t>This paper will attempt to present the Historia geografica, natural y civil del Reino de Chile by the Chilean Jesuit expelled Felipe Gomez de Vidaurre, that despite being forgotten by the Chilean historiography it contains interesting descriptions of the inhabitants of Chile in the late eighteenth century. It also offers some proposals to improve aspects of Chilean society, which makes it a valuable text for understanding the period preceding the independence of Chile.</t>
  </si>
  <si>
    <t>0210-5810</t>
  </si>
  <si>
    <t>1988-4273</t>
  </si>
  <si>
    <t>10.3989/aeamer.2017.1.06</t>
  </si>
  <si>
    <t>WOS:000415794200006</t>
  </si>
  <si>
    <t>CHILDREN AGAINST MOTHERS IN MY SKIN, LUMINOUS AND THE MASSEUR'S GHOSTS BY MARIO BELLATIN</t>
  </si>
  <si>
    <t>WOS:000403741700014</t>
  </si>
  <si>
    <t>Riquelme, F; González-Cantergiani, P</t>
  </si>
  <si>
    <t>Riquelme, Fabian; Gonzalez-Cantergiani, Pablo</t>
  </si>
  <si>
    <t>Measuring user influence on Twitter: A survey</t>
  </si>
  <si>
    <t>INFORMATION PROCESSING &amp; MANAGEMENT</t>
  </si>
  <si>
    <t>Centrality is one of the most studied concepts in social network analysis. There is a huge literature regarding centrality measures, as ways to identify the most relevant users in a social network. The challenge is to find measures that can be computed efficiently, and that can be able to classify the users according to relevance criteria as close as possible to reality. We address this problem in the context of the Twitter network, an online social networking service with millions of users and an impressive flow of messages that are published and spread daily by interactions between users. Twitter has different types of users, but the greatest utility lies in finding the most influential ones. The purpose of this article is to collect and classify the different Twitter influence measures that exist so far in literature. These measures are very diverse. Some are based on simple metrics provided by the Twitter API, while others are based on complex mathematical models. Several measures are based on the PageRank algorithm, traditionally used to rank the websites on the Internet. Some others consider the timeline of publication, others the content of the messages, some are focused on specific topics, and others try to make predictions. We consider all these aspects, and some additional ones. Furthermore, we include measures of activity and popularity, the traditional mechanisms to correlate measures, and some important aspects of computational complexity for this particular context. (C) 2016 Elsevier Ltd. All rights reserved.</t>
  </si>
  <si>
    <t>Riquelme, Fabián/AAB-6473-2020</t>
  </si>
  <si>
    <t>Riquelme, Fabian/0000-0003-4491-0148</t>
  </si>
  <si>
    <t>0306-4573</t>
  </si>
  <si>
    <t>1873-5371</t>
  </si>
  <si>
    <t>10.1016/j.ipm.2016.04.003</t>
  </si>
  <si>
    <t>WOS:000381540600014</t>
  </si>
  <si>
    <t>Vidal, J; Huiliñir, C; Salazar, R</t>
  </si>
  <si>
    <t>Vidal, Jorge; Huilinir, Cesar; Salazar, Ricardo</t>
  </si>
  <si>
    <t>Removal of organic matter contained in slaughterhouse wastewater using a combination of anaerobic digestion and solar photoelectro-Fenton processes</t>
  </si>
  <si>
    <t>Here, the mineralization of organic matter present in slaughterhouse wastewater from a Chilean meat company was achieved by a combination of anaerobic digestion followed by the solar photoelectro-Fenton (SPEF) process. The first step was the biological treatment, during which 90% of COD removal was achieved, producing 90 mL of CH4. Further, the post-biological effluent showed lower color, odor, amount of solids and turbidity but higher conductivity due to an increase in the concentration of NH4+ and NO3. This was followed by different electrochemical advanced oxidation processes (EAOPs): electro-oxidation (EO), electro-Fenton (EF) and SPEF. With SPEF, almost complete mineralization was achieved with a high efficiency. With SPEF, the fast mineralization rate is due to hydroxyl radicals ((OH)-O-center dot) that are generated in the bulk, on the anode surface, by solar radiation, and most importantly, by the direct photolysis of complexes formed between Fe3+ and some organic intermediates. The combination of both processes, biological digestion and SPEF, produces a totally clarified effluent, with a COD removal greater than the separate processes and better than the final effluent from industrial wastewater plants at comparable reaction times. (C) 2016 Elsevier Ltd. All rights reserved.</t>
  </si>
  <si>
    <t>Huilinir, Cesar/IYS-6899-2023; Salazar, Ricardo/L-7870-2013</t>
  </si>
  <si>
    <t>Huilinir, Cesar/0000-0002-3487-684X; Vidal, Jorge/0000-0002-1334-377X; Salazar-Gonzalez, Ricardo/0000-0003-2180-6022</t>
  </si>
  <si>
    <t>10.1016/j.electacta.2016.05.064</t>
  </si>
  <si>
    <t>WOS:000380746100022</t>
  </si>
  <si>
    <t>QUALITY STANDARDS IN TECHNICAL AND VOCATIONAL TRAINING. IMPLEMENTATION EXPERIENCE ISO 9001: 2008 IN A SECONDARY SCHOOL IN CHILE</t>
  </si>
  <si>
    <t>Technical Vocational Secondary Education in Chile has a number of longstanding problems that, among other aspects, affect the quality of education that is provided to students. Although the current educational reform considers defining a specific policy for this mode, with a definition that is in progress, questions such as if in addition to the structural problems, the considerations will be extensive to the field of management and how could this contribute to quality assurance processes such educational organization arise. This concern led to the initiative of implementing the ISO 9001: 2008 in a technical vocational secondary school in Chile, which has been conducted throughout 2015. This article is part of a broader research (DICYT 0315544CP) that seeks to describe the experience of implementing ISO 9001, of the external team, consultants and management team and school officials. It is framed in a case study from a qualitative and descriptive approach. To this end, semi-structured interviews and focus groups were conducted. Preliminary results of the study are expected to contribute to a better understanding of the problem of implementing the ISO Standard in technical and vocational secondary schools, and at the same time, generating information for future endeavors in their implementation in educational organizations in the sector.</t>
  </si>
  <si>
    <t>WOS:000402955908106</t>
  </si>
  <si>
    <t>Honorato, MR</t>
  </si>
  <si>
    <t>Ruperthuz Honorato, Mariano</t>
  </si>
  <si>
    <t>The return of the repressed: the role of sexuality in the reception of psychoanalysis in Chilean medical circles, 1910-1940</t>
  </si>
  <si>
    <t>HISTORIA CIENCIAS SAUDE-MANGUINHOS</t>
  </si>
  <si>
    <t>This article discusses the reception of psychoanalysis in Chilean medical circles from the decade of 1910 onwards. The findings make it possible to reconstruct how Freudianism was initially rejected by the incipient local psychiatric milieu, accusing it of being pansexualist. In the 1930s, this situation changed, and a reassessment of psychoanalysis was made at a local level, describing it precisely as a branch of knowledge specialized in sexuality. The highlighting of the sublimation mechanism, esteemed for its ability to transmute the danger of the id into culturally accepted products, is a milestone that marked this return of the repressed of the sexual factor of psychoanalysis in Chile. The possible social, political and economic variables that influenced this phenomenon are duly discussed.</t>
  </si>
  <si>
    <t>Ruperthuz, Mariano/GWC-5381-2022</t>
  </si>
  <si>
    <t>Ruperthuz, Mariano/0000-0002-4924-4554</t>
  </si>
  <si>
    <t>0104-5970</t>
  </si>
  <si>
    <t>1678-4758</t>
  </si>
  <si>
    <t>10.1590/S0104-59702015005000007</t>
  </si>
  <si>
    <t>WOS:000366095700005</t>
  </si>
  <si>
    <t>Vera-Villarroel, P</t>
  </si>
  <si>
    <t>Vera-Villarroel, Pablo</t>
  </si>
  <si>
    <t>An appraisal of the SF12 Questionnaire (Reply)</t>
  </si>
  <si>
    <t>10.4067/S0034-98872015000700021</t>
  </si>
  <si>
    <t>WOS:000360321800022</t>
  </si>
  <si>
    <t>Jeftanovic, A</t>
  </si>
  <si>
    <t>Jeftanovic, Andrea</t>
  </si>
  <si>
    <t>THE RIGHT TO LOOK. GRAPHIC CARTOGRAPHY OF THE ISIDORA AGUIRRE ARCHIVE</t>
  </si>
  <si>
    <t>WOS:000357623800017</t>
  </si>
  <si>
    <t>Vellasco, MMBR; Valdivia, YJT; Lopes, HS</t>
  </si>
  <si>
    <t>Automatic design of algorithms for optimization problems</t>
  </si>
  <si>
    <t>2015 LATIN AMERICA CONGRESS ON COMPUTATIONAL INTELLIGENCE (LA-CCI)</t>
  </si>
  <si>
    <t>Latin America Congress on Computational Intelligence (LA-CCI)</t>
  </si>
  <si>
    <t>OCT 13-16, 2015</t>
  </si>
  <si>
    <t>Curitiba, BRAZIL</t>
  </si>
  <si>
    <t>Universidade Tecnologica Federal Parana,Associacao Brasileira Inteligencia Computacional,Conselho Nacional Desenvolvimento Cientifico Tecnologico,Coordenacao Aperfeicoamento Pessoal Nivel Super,IEEE Comp Int Soc,Universidade Tecnologica Federal Parana</t>
  </si>
  <si>
    <t>The design of efficient algorithms for difficult combinatorial optimization problems remains a challenging field. Many heuristic, meta-heuristic and hyper-heuristic methods exist. In the specialized literature, it is observed that for some problems, the combined algorithms have better computational performance than individual performance. However, the automatic combination of the existing methods or the automatic design of new algorithms has received less attention in the literature. In this study, a method to automatically design algorithms is put into practice for two optimization problems of recognized computational difficulty: the traveling salesman problem and the automatic clustering problem. The new algorithms are generated by means of genetic programming and are numerically evaluated with sets of typical instances for each problem. From an initial population of randomly generated algorithms, a systematic convergence towards the better algorithms is observed after a few hundred generations. Numerical results obtained from the evaluation of each of the designed algorithms suggest that for each set of instances with similar characteristics, specialized algorithms are required.</t>
  </si>
  <si>
    <t>978-1-4673-8418-6</t>
  </si>
  <si>
    <t>10.1109/LA-CCI.2015.7435977</t>
  </si>
  <si>
    <t>WOS:000380396300049</t>
  </si>
  <si>
    <t>Valdes, C; Martinez, JL; Laurido, C</t>
  </si>
  <si>
    <t>Valdes, Carlos; Martinez, Jose L.; Laurido, Claudio</t>
  </si>
  <si>
    <t>Design and Testing of a Device for Drug Infusion and Collection of Continuous or Batch Cerebrospinal Fluid (CSF) in Rats: Pharmacokinetic Study of CSF Fluorescein Injected Intravenously and Infused Minocycline</t>
  </si>
  <si>
    <t>PAKISTAN VETERINARY JOURNAL</t>
  </si>
  <si>
    <t>Many devices for obtaining cerebrospinal fluid (CSF) have been published. However, none of them allows the infusion and collection of CSF in a continuous or discontinuous base. The purpose for the design of this system is based on the possibility of injecting drugs of rapid or slow absorption (encapsulated in nanoparticles). Also useful, for studying the pharmacokinetics of drugs injected outside the cerebrospinal compartment (i.e. intraperitoneal), which can be followed over time by collecting small samples of CSF. Among the advantages of this system are the high yield of the CSF withdrawal (102.5 +/- 17 mu L), without the presence of blood (around 99% of the rats tested (n=20)). Also, the survival of rats approaches around 75 % after a weekly CSF withdrawal repeated for one month (n=6). Finally, there was no need of a surgical procedure to expose the dura in the cisterna magna to withdraw CSF. The use of a stereotaxic device for securing the rat head allowed us to insert the collecting needle in a fixed place, without the guessing of other methods. Even though the use of this system appears to be expensive, it is worthwhile using it in pro of obtaining blood free CSF samples. In order to test this device, we assayed CSF for blood contamination, CSF protein determination and the pharmacokinetics of fluorescein in the CSF after the intravenous injection of the dye. Also, we studied the kinetic of infused minocycline into the CSF compartment. We can conclude that this device might become an indispensable tool in studies that involve manipulating the cerebrospinal compartment composition. (C) 2014 PVJ. All rights reserved</t>
  </si>
  <si>
    <t>0253-8318</t>
  </si>
  <si>
    <t>2074-7764</t>
  </si>
  <si>
    <t>WOS:000353175600003</t>
  </si>
  <si>
    <t>Arce, Roxana; Aguirre, Maria J.; Romero, Julio</t>
  </si>
  <si>
    <t>Electrooxidation of Free Sulfite by an Integrated System of Glassy Carbon Modified Electrodes with Nickel Phthalocyanines and Membrane Absorber in Red Wine</t>
  </si>
  <si>
    <t>INTERNATIONAL JOURNAL OF ELECTROCHEMICAL SCIENCE</t>
  </si>
  <si>
    <t>At basic pH values, the integrated system modified electrode / membrane absorber, it is possible to obtain a sensor of sulfite in actual red wine samples. This quantification method consumes small amounts of sample, it is fast and shows good linearity with r(2) of 0.998 and good accuracy. This integrated approach can separate free sulfite red wine matrix with the absorption system of the membrane and, moreover, can be quantified using the electrochemical sensor using NiTSPc modified electrodes, obtaining a concentration of sulfite free 29.8 +/- 0.2 mg.L-1.</t>
  </si>
  <si>
    <t>Romero, Julio/I-6705-2013; Aguirre, Maria/A-3935-2013; Arce, Roxana/V-8140-2019</t>
  </si>
  <si>
    <t>ARCE, ROXANA/0000-0002-1387-9232; Romero, Julio/0000-0002-1229-1592; Aguirre, Maria/0000-0003-1134-4469</t>
  </si>
  <si>
    <t>1452-3981</t>
  </si>
  <si>
    <t>WOS:000345261900094</t>
  </si>
  <si>
    <t>González, A; Contreras, RA; Zúñiga, G; Moenne, A</t>
  </si>
  <si>
    <t>Gonzalez, Alberto; Contreras, Rodrigo A.; Zuniga, Gustavo; Moenne, Alejandra</t>
  </si>
  <si>
    <t>Oligo-Carrageenan Kappa-Induced Reducing Redox Status and Activation of TRR/TRX System Increase the Level of Indole-3-acetic Acid, Gibberellin A3 and trans-Zeatin in Eucalyptus globulus Trees</t>
  </si>
  <si>
    <t>Eucalyptus globulus trees treated with oligo-carrageenan (OC) kappa showed an increase in NADPH, ascorbate and glutathione levels and activation of the thioredoxin reductase (TRR)/thioredoxin (TRX) system which enhance photosynthesis, basal metabolism and growth. In order to analyze whether the reducing redox status and the activation of thioredoxin reductase (TRR)/thioredoxin (TRX) increased the level of growth-promoting hormones, trees were treated with water (control), with OC kappa, or with inhibitors of ascorbate synthesis, lycorine, glutathione synthesis, buthionine sulfoximine (BSO), NADPH synthesis, CHS-828, and thioredoxin reductase activity, auranofine, and with OC kappa, and cultivated for four additional months. Eucalyptus trees treated with OC kappa showed an increase in the levels of the auxin indole 3-acetic acid (IAA), gibberellin A(3) (GA(3)) and the cytokinin trans-zeatin (t-Z) as well as a decrease in the level of the brassinosteroid epi-brassinolide (EB). In addition, treatment with lycorine, BSO, CHS-828 and auranofine inhibited the increase in IAA, GA(3) and t-Z as well as the decrease in EB levels. Thus, the reducing redox status and the activation of TRR/TRX system induced by OC kappa increased the levels of IAA, GA(3) and t-Z levels determining, at least in part, the stimulation of growth in Eucalyptus trees.</t>
  </si>
  <si>
    <t>González, Alberto/IYJ-8593-2023; Zuñiga, Gustavo/P-8306-2015; Contreras, Rodrigo/I-1871-2013</t>
  </si>
  <si>
    <t>Gonzalez Figueroa, Alberto/0000-0002-5777-9022; Zuniga, Gustavo/0000-0002-8286-9468; Contreras, Rodrigo/0000-0001-9970-3125</t>
  </si>
  <si>
    <t>10.3390/molecules190812690</t>
  </si>
  <si>
    <t>WOS:000341502600109</t>
  </si>
  <si>
    <t>Torres, A; Romero, J; Macan, A; Guarda, A; Galotto, MJ</t>
  </si>
  <si>
    <t>Torres, Alejandra; Romero, Julio; Macan, Alejandra; Guarda, Abel; Jose Galotto, Maria</t>
  </si>
  <si>
    <t>Near critical and supercritical impregnation and kinetic release of thymol in LLDPE films used for food packaging</t>
  </si>
  <si>
    <t>JOURNAL OF SUPERCRITICAL FLUIDS</t>
  </si>
  <si>
    <t>The impregnation of organic compounds in polymeric materials using supercritical carbon dioxide (scCO(2)) is a well-known technique, which is currently used in drug/polymer formulation. In this work, near critical and supercritical impregnation of thymol in linear low-density polyethylene (LLDPE) films was done in order to develop a new technique for preparation of active polymers to be used as food packages. The properties of thymol as a natural antimicrobial and antioxidant agent have motivated this study about the assessment of its migration from the polymer to different food simulant. Impregnation assays of thymol in LLDPE films were done in a high-pressure cell, where pure thymol was solubilized in supercritical carbon dioxide at 313 K and pressures varying from 7 to 12 MPa. This procedure allowed the preparation of plastic films with thymol concentrations ranged between 5100 and 13,200 ppm. Migration tests showed that the pressure applied during the impregnation procedure is a key parameter that affects the content of the active compound into the polymer, since thymol solubility in scCO(2) and absorption phenomena in the polymer increased with the pressure. The correlation between experimental data and a phenomenological transfer model allowed the estimation of the diffusion coefficient of thymol in LLDPE, which was ranged from 7.5 x 10(-13) to 3.0 x 10(-12) m(2) s(-1). (C) 2013 Elsevier B.V. All rights reserved.</t>
  </si>
  <si>
    <t>Torres, Alejandra/LPQ-5664-2024; Romero, Julio/I-6705-2013</t>
  </si>
  <si>
    <t>0896-8446</t>
  </si>
  <si>
    <t>1872-8162</t>
  </si>
  <si>
    <t>10.1016/j.supflu.2013.10.011</t>
  </si>
  <si>
    <t>WOS:000330747200007</t>
  </si>
  <si>
    <t>Cortez-San Martin, M; Cottet, L; Sandoval, N; Toro-Ascuy, D; Rivas, A; Reyes-Cerpa, S; Acuña, C; Imarai, M; Sandino, AM; Spencer, E</t>
  </si>
  <si>
    <t>Cortez-San Martin, M.; Cottet, L.; Sandoval, N.; Toro-Ascuy, D.; Rivas, A.; Reyes-Cerpa, S.; Acuna, C.; Imarai, M.; Sandino, A. M.; Spencer, E.</t>
  </si>
  <si>
    <t>The adjuvants have a key role improving the protection and immune response induced by recombinant protein vaccine against infectious salmon anemia virus ISAV in Atlantic salmon</t>
  </si>
  <si>
    <t>10.1016/j.fsi.2013.03.197</t>
  </si>
  <si>
    <t>WOS:000319646100220</t>
  </si>
  <si>
    <t>Alfaro, MD; Sepúlveda, JM; Ulloa, JA</t>
  </si>
  <si>
    <t>Alfaro, M. D.; Sepulveda, J. M.; Ulloa, J. A.</t>
  </si>
  <si>
    <t>Forecasting Chaotic Series in Manufacturing Systems by Vector Support Machine Regression and Neural Networks</t>
  </si>
  <si>
    <t>Currently, it is recognized that manufacturing systems are complex in their structure and dynamics. Management, control and forecasting of such systems are very difficult tasks due to complexity. Numerous variables and signals vary in time with different patterns so that decision makers must be able to predict the behavior of the system. This is a necessary capability in order to keep the system under a safe operation. This also helps to prevent emergencies and the occurrence of critical events that may put in danger human beings and capital resources, such as expensive equipment and valuable production. When dealing with chaotic systems, the management, control, and forecasting are very difficult tasks. In this article an application of neural networks and vector support machines for the forecasting of the time varying average number of parts in a waiting line of a manufacturing system having a chaotic behavior, is presented. The best results were obtained with least square support vector machines and for the neural networks case, the best forecasts, are those with models employing the invariants characterizing the system's dynamics.</t>
  </si>
  <si>
    <t>Alfaro, Miguel/0000-0002-1633-8853; Sepulveda, Juan M./0000-0003-3755-0981</t>
  </si>
  <si>
    <t>WOS:000312043600001</t>
  </si>
  <si>
    <t>An indefinite and critical concave-convex-type equation</t>
  </si>
  <si>
    <t>PROCEEDINGS OF THE ROYAL SOCIETY OF EDINBURGH SECTION A-MATHEMATICS</t>
  </si>
  <si>
    <t>We analyse the multiplicity of non-negative solutions for the critical concave-convex-type equation -Delta(p)u = mu m(x)u(p-1) + lambda alpha(x)u(r-1) + b(x)u(p*-1), u is an element of W-0(1, p(Omega)), where Omega is a bounded domain of R-N, 1 &lt; r &lt; p and lambda &gt; 0, and mu is a real parameter. Combining minimization on the underlying Nehari manifold with energy estimates, we show that, under suitable conditions on a and b, three non-negative solutions may exist when lambda is positive and sufficiently small and mu is in a right neighbourhood of mu(1), the first weighted eigenvalue of the p-Laplacian. To the best of our knowledge, our multiplicity result is new, even in the semi-linear case p = 2.</t>
  </si>
  <si>
    <t>0308-2105</t>
  </si>
  <si>
    <t>1473-7124</t>
  </si>
  <si>
    <t>10.1017/S0308210510001939</t>
  </si>
  <si>
    <t>WOS:000324525600009</t>
  </si>
  <si>
    <t>Periodic solutions of abstract functional differential equations with infinite delay</t>
  </si>
  <si>
    <t>We characterize the existence of periodic solutions for a class of abstract retarded functional differential equations with infinite delay. We apply our results to the nonlinear equation x'(t) = Ax(t) + L(x(t)) + N(x(t)) + f(t), t is an element of R, where A : D(A) subset of X -&gt; X is a closed operator defined on a Banach space X, L is a bounded linear map, N : B. X is a continuous function defined on an appropriate phase space B and f is an element of L-p(T, X). (C) 2011 Elsevier Ltd. All rights reserved.</t>
  </si>
  <si>
    <t>10.1016/j.na.2011.10.002</t>
  </si>
  <si>
    <t>WOS:000298368600029</t>
  </si>
  <si>
    <t>Quoirin, HR</t>
  </si>
  <si>
    <t>Ramos Quoirin, Humberto</t>
  </si>
  <si>
    <t>An indefinite type equation involving two p-Laplacians</t>
  </si>
  <si>
    <t>We study a problem involving the operators -Delta + W and its p-homogeneous version -Delta(p) + V. The existence of three non-negative solutions is obtained under indefinite type conditions on these operators. To this aim, we proceed by minimization of the energy functional on open parts of the Nehari manifold. (C) 2011 Elsevier Inc. All rights reserved.</t>
  </si>
  <si>
    <t>1096-0813</t>
  </si>
  <si>
    <t>MAR 1</t>
  </si>
  <si>
    <t>10.1016/j.jmaa.2011.08.074</t>
  </si>
  <si>
    <t>WOS:000296115100017</t>
  </si>
  <si>
    <t>Carreiro, SD</t>
  </si>
  <si>
    <t>Dominguez Carreiro, Sandra</t>
  </si>
  <si>
    <t>Ramon del Valle-Inclan and Josefina Blanco: The pedestal of dreams</t>
  </si>
  <si>
    <t>ANALES DE LA LITERATURA ESPANOLA CONTEMPORANEA</t>
  </si>
  <si>
    <t>0272-1635</t>
  </si>
  <si>
    <t>WOS:000307747200009</t>
  </si>
  <si>
    <t>Ponce, HR; López, MJ; Labra, JE; Toro, OA</t>
  </si>
  <si>
    <t>Ponce, Hector R.; Lopez, Mario J.; Labra, Juan E.; Toro, Oscar A.</t>
  </si>
  <si>
    <t>Curricular Integration of Interactive Graphic Organisers in Teacher Training</t>
  </si>
  <si>
    <t>REVISTA DE EDUCACION</t>
  </si>
  <si>
    <t>Introduction: this article presents the findings of a research study on curricular integration of a software application called Interactive Graphic Organiser (IGO) in teacher training and its effect on school classroom didactic. Methodology: an action-research methodology was used with three intervention phases: first, training in the use of graphic organisers of a group of academics who were expert in didactics; second, training of a group of pedagogy students in the methodological use of graphic organisers and, third, instructional design for the IGO's integration in secondary school curricula through these students' on-the-job training. Results: first, the application of a questionnaire on information and communication technology (ICT) skills shows that pedagogy students are good users of office automation applications and Internet but lack preparation for implementing meaningful learning experiences using ICT. Second, after the training process on interactive graphic organisers, each student prepared a curricular design incorporating the IGO as the teaching and learning process articulator. Third, as a result of implementing these curricular designs in schools, the pedagogy students valued this innovation in their didactic practices. Discussion: the findings demonstrate that the adequate integration of technology such as the IGO in the curriculum facilitates not only improvements in the teaching and learning process, from its design to its execution, but also constitutes an interesting didactic resource to develop basic cognitive skills, at the same time enhancing future teachers' ICT skills. Conclusions: the study's results confirm that the IGO's adequate curricular integration substantially improves the didactics of the discipline in which it is incorporated.</t>
  </si>
  <si>
    <t>0034-8082</t>
  </si>
  <si>
    <t>10.4438/1988-592X-RE-2010-357-066</t>
  </si>
  <si>
    <t>WOS:000308830400010</t>
  </si>
  <si>
    <t>Díaz, P; Henríquez, O; Enrione, J; Matiacevich, S</t>
  </si>
  <si>
    <t>Diaz, Paulo; Henriquez, Olivia; Enrione, Javier; Matiacevich, Silvia</t>
  </si>
  <si>
    <t>Thermal transitions of pulp and cuticle of blueberries</t>
  </si>
  <si>
    <t>THERMOCHIMICA ACTA</t>
  </si>
  <si>
    <t>The thermal transitions of two blueberries cultivars (Duke and Briggitte) were studied by differential scanning calorimetry as part of comprehensive study of blueberry conservation. Thermal transitions and texture (hardness) were determined in fresh and frozen fruits freezed at 5 degrees C/mm n and 40 degrees C/min. Glass transition temperatures were successfully detected in pulp and cuticle, which was associated to the soluble sugar fraction present in the fruit. Transitions associated to water crystallization and melting showed differences between both cultivars, which were explained by their soluble solids concentration. An endothermic transition at 50 degrees C was associated to the melting of epicuticular wax present in the cuticles. The cuticle was less affected by ice formation, which is an important feature to fruit protection at low temperatures. Hardness showed that cooling rate had not a significant effect on this quality parameter. Despite the complexity in the structure of blueberries, thermal characterization by DSC was successful. (C) 2011 Elsevier B.V. All rights reserved.</t>
  </si>
  <si>
    <t>Enrione, Javier/I-9225-2014</t>
  </si>
  <si>
    <t>Diaz-Calderon, Paulo/0000-0002-8375-2210; Enrione, Javier/0000-0002-3916-6775</t>
  </si>
  <si>
    <t>0040-6031</t>
  </si>
  <si>
    <t>1872-762X</t>
  </si>
  <si>
    <t>OCT 20</t>
  </si>
  <si>
    <t>10.1016/j.tca.2011.07.021</t>
  </si>
  <si>
    <t>WOS:000296824400008</t>
  </si>
  <si>
    <t>Vera-Villarroel, P; Celis-Atenas, K; Córdova-Rubio, N</t>
  </si>
  <si>
    <t>Vera-Villarroel, Pablo; Celis-Atenas, Karem; Cordova-Rubio, Natalia</t>
  </si>
  <si>
    <t>Evaluation of Happiness: Psychometric Analysis of the Subjective Happiness Scale in Chilean population</t>
  </si>
  <si>
    <t>The purpose of this study was to evaluate the psychometric properties of the subjective happiness scale (Lyubomirsky &amp; Lepper, 1999). The objective of the first study involving 300 people from the general population was the estimated reliability (internal consistency and temporal stability) and construct validity of the scale. The second study involved 779 people, its purpose was to obtain definitive indicators of reliability and validity in samples with diverse age range. In addition, convergent and divergent validity was evaluated with instruments: Beck Depression Inventory (BM), Big Five Questionnaire (BFI), and Dispositional Optimism Questionnaire (LOT-R). The main results of study showed an alpha of .78 and temporal stability of 61 (8 weeks apart) and a pure factorial structure. For the second study, the reliability estimation was between .73 and .87 according to the many samples studied, was found a pure factorial structure, the correlations between subjective happiness scale and instruments used to assess convergent and divergent validity were adequate, highly significant and in line with theoretical expectations. The evidence indicates adequacy of the scale for use in the assessment of this construct in the Chilean population.</t>
  </si>
  <si>
    <t>Vera-Villarroel, Pablo/AAQ-8476-2020; Vera-Villarroel, Pablo/A-1134-2011</t>
  </si>
  <si>
    <t>10.4067/S0718-48082011000100013</t>
  </si>
  <si>
    <t>WOS:000293210800013</t>
  </si>
  <si>
    <t>Lizama, Carlos</t>
  </si>
  <si>
    <t>An operator theoretical approach to a class of fractional order differential equations</t>
  </si>
  <si>
    <t>APPLIED MATHEMATICS LETTERS</t>
  </si>
  <si>
    <t>We propose a general method for obtaining the representation of solutions for linear fractional order differential equations based on the theory of (a, k)-regularized families of operators. We illustrate the method for the case of the fractional order differential equation D(t)(alpha)u'(t) + mu D(t)(alpha)u(t) = Au(t) + t(-alpha)/Gamma(1 - alpha) (u'(0) + mu u(0)) + f(t), t &gt; 0, 0 &lt; alpha &lt;= 1, mu &gt;= 0, where A is an unbounded closed operator defined on a Banach space X and f is an X-valued function. (C) 2010 Elsevier Ltd. All rights reserved.</t>
  </si>
  <si>
    <t>0893-9659</t>
  </si>
  <si>
    <t>10.1016/j.aml.2010.08.042</t>
  </si>
  <si>
    <t>WOS:000284659500019</t>
  </si>
  <si>
    <t>Lizama, Carlos; Prado, Humberto</t>
  </si>
  <si>
    <t>Fractional relaxation equations on Banach spaces</t>
  </si>
  <si>
    <t>We study existence and qualitative properties of solutions for the abstract fractional relaxation equation u'(t) - AD(t)(alpha)u(t) + u (t) = f (t), 0 &lt; alpha &lt; 1, t &gt;= 0, u(0) = 0, (0.1) on a complex Banach space X, where A is a closed linear operator, D-t(alpha) is the Caputo derivative of fractional order alpha is an element of (0, 1), and f is an X-valued function. We also study conditions underwhich the solution operatorhas theproperties of maximal regularityand L-p integrability. We characterize these properties in the Hilbert space case. (C) 2009 Elsevier Ltd. All rights reserved.</t>
  </si>
  <si>
    <t>10.1016/j.aml.2009.08.019</t>
  </si>
  <si>
    <t>WOS:000272403800004</t>
  </si>
  <si>
    <t>A finitely generated, locally indicable group with no faithful action by C1 diffeomorphisms of the interval</t>
  </si>
  <si>
    <t>According to Thurston's stability theorem, every group of C-1 diffeomorphisms of the closed interval is locally indicable (that is, every finitely generated subgroup factors through Z). We show that, even for finitely generated groups, the converse of this statement is not true. More precisely, we show that the group F-2 x Z(2), although locally indicable, does not embed into Diff(+)(1) (]0, 1[). (Here F-2 is any free subgroup of SL(2, Z), and its action on Z(2) is the linear one.) Moreover, we show that for every non-solvable subgroup G of SL(2, Z), the group G x Z(2) does not embed into Diff(+)(1)(S-1).</t>
  </si>
  <si>
    <t>10.2140/gt.2010.14.573</t>
  </si>
  <si>
    <t>WOS:000275689100001</t>
  </si>
  <si>
    <t>Quezada, LE; Cordova, FM; Palominos, P; Godoy, K; Ross, J</t>
  </si>
  <si>
    <t>Quezada, Luis E.; Cordova, Felisa M.; Palominos, Pedro; Godoy, Katherine; Ross, Jocelyn</t>
  </si>
  <si>
    <t>Method for identifying strategic objectives in strategy maps</t>
  </si>
  <si>
    <t>19th International Conference on Production Research</t>
  </si>
  <si>
    <t>JUL 29-AUG 02, 2007</t>
  </si>
  <si>
    <t>Pontifical Catholic Univ Valparaiso, Valparaiso, CHILE</t>
  </si>
  <si>
    <t>Pontifical Catholic Univ Valparaiso</t>
  </si>
  <si>
    <t>This paper describes a simple tool for identifying strategic objectives as part of the design of strategy maps, based on the balanced scorecard, and meant to be used in organisations to establish performance indicators. To design the tool, a number of companies that implemented the balanced scorecard were analysed, in order to obtain their methodologies to create strategy maps. Three types of methods were found, different from each other in the way the strategic objectives are defined. By studying the benefits and drawbacks of the three methods, a simple, method was obtained. Basically, the method identifies general and specific strategic objectives and uses a modified SWOT (strengths, weaknesses, opportunities, threats) analysis. This paper also makes an analysis of the type of strategic objectives that the studied companies defined as part of the balanced scorecard implementation process. (C) 2009 Elsevier B.V. All rights reserved.</t>
  </si>
  <si>
    <t>CORDOVA, FELISA/S-1093-2019; Quezada, Luis/W-8168-2019</t>
  </si>
  <si>
    <t>Palominos, Pedro/0000-0002-5695-3025; CORDOVA, FELISA/0000-0002-5557-8569; Quezada, Luis/0000-0003-1364-9266</t>
  </si>
  <si>
    <t>10.1016/j.ijpe.2009.06.019</t>
  </si>
  <si>
    <t>WOS:000271116400046</t>
  </si>
  <si>
    <t>Moraga, NO; Rosas, CE; Bubnovich, VI; Tobar, JR</t>
  </si>
  <si>
    <t>Moraga, Nelson O.; Rosas, Cesar E.; Bubnovich, Valeri I.; Tobar, Jose R.</t>
  </si>
  <si>
    <t>Unsteady fluid mechanics and heat transfer study in a double-tube air-combustor heat exchanger with porous medium</t>
  </si>
  <si>
    <t>Fluid mechanics and heat transfer are studied in a double-tube heat exchanger that uses the combustion gases from natural gas in a porous medium located in a cylindrical tube to warm up air that flows through a cylindrical annular space. The mathematical model is constructed based on the equations of continuity, linear momentum, energy and chemical species. Unsteady fluid mechanics and heat transfer by forced gas convection in the porous media, with combustion in the inner tube, coupled to the forced convection of air in the annular cylindrical space are predicted by use of finite volumes method. Numerical simulations are made for four values of the annular air flow Reynolds number in the range 100 &lt;= Re &lt;= 2000, keeping constant the excess air Psi = 4.88, the porosity epsilon = 0.4, and the air-fuel mixture inlet speed U(o) = 0.43 m/s. The results obtained allow the characterization of the velocity and temperature distributions in the inner tube and in the annular space, and at the same time to describe the displacement of the moving combustion zone and the annular porous media heat exchanger thermal efficiency. it is concluded that the temperature increase is directly related to the outer Reynolds number. (C) 2009 Elsevier Ltd. All rights reserved.</t>
  </si>
  <si>
    <t>13-14</t>
  </si>
  <si>
    <t>10.1016/j.ijheatmasstransfer.2009.01.010</t>
  </si>
  <si>
    <t>WOS:000266216700050</t>
  </si>
  <si>
    <t>Zeise, ML; Espinoza, S; González, A; Cerda, FS; Nacarate, J; Yáñez, CG; Morales, B</t>
  </si>
  <si>
    <t>Zeise, Marc L.; Espinoza, Sergio; Gonzalez, Adolfo; Cerda, Fernanda S.; Nacarate, Judith; Yanez, Cesar G.; Morales, Bernardo</t>
  </si>
  <si>
    <t>Methylphenidate improves cue navigation in the Morris water maze in rats</t>
  </si>
  <si>
    <t>NEUROREPORT</t>
  </si>
  <si>
    <t>Despite its still rapidly increasing use in the treatment of the attention deficit/hyperactivity disorder, the effects of methylpheniclate on behavior and learning are not yet fully understood. We have used the Morris water maze to study effects of methylpheniclate (I mg/kg) on target-oriented behavior and visuospatial learning in young rats. Although the relatively low dose of I mg/kg methylpheniclate changed the behavior in the Morris water maze when the goal was visible, reducing times to reach the visible platform, learning of the position of the hidden platform, was not influenced, nor was 'relearning' after shifting the position of the platform. These results indicate that methylpheniclate can influence goal-oriented behavior at doses that do not change visuospatial learning.</t>
  </si>
  <si>
    <t>Espinoza, Sergio/ISB-8985-2023; Morales Castañeda, Bernardo/GPP-1642-2022</t>
  </si>
  <si>
    <t>Adolfo, Gonzalez-Gonzalez/0000-0001-8566-628X</t>
  </si>
  <si>
    <t>0959-4965</t>
  </si>
  <si>
    <t>1473-558X</t>
  </si>
  <si>
    <t>JUL 2</t>
  </si>
  <si>
    <t>10.1097/WNR.0b013e32819f8f3f</t>
  </si>
  <si>
    <t>WOS:000247629000022</t>
  </si>
  <si>
    <t>Novoa, E</t>
  </si>
  <si>
    <t>Gelbukh, A; Morales, AFK</t>
  </si>
  <si>
    <t>Novoa, Elizabeth</t>
  </si>
  <si>
    <t>Simple model-based exploration and exploitation of Markov decision processes using the elimination algorithm</t>
  </si>
  <si>
    <t>MICAI 2007: ADVANCES IN ARTIFICIAL INTELLIGENCE</t>
  </si>
  <si>
    <t>Lecture Notes in Artificial Intelligence</t>
  </si>
  <si>
    <t>6th Mexican International Conference on Artificial Intelligence (MICAI 2007)</t>
  </si>
  <si>
    <t>NOV 04-10, 2007</t>
  </si>
  <si>
    <t>Aguascalientes, MEXICO</t>
  </si>
  <si>
    <t>Mexican Soc Artificial Intelligence</t>
  </si>
  <si>
    <t>The fundamental problem in learning and planning of Markov Decision Processes is how the agent explores and exploits an uncertain environment. The classical solutions to the problem are basically heuristics that lack appropriate theoretical justifications. As a result, principled solutions based on Bayesian estimation, though intractable even in small cases, have been recently investigated. The common approach is to approximate Bayesian estimation with sophisticated methods that cope the intractability of computing the Bayesian posterior. However, we notice that the complexity of these approximations still prevents their use as the long-term reward gain improvement seems to be diminished by the difficulties of implementation. In this work, we propose a deliberately simplistic model-based algorithm to show the benefits of Bayesian estimation when compared to classical model-free solutions. In particular, our agent combines several Markov Chains from its belief state and uses the matrix-based Elimination Algorithm to find the best action to take. We test our agent over the three standard problems Chain, Loop, and Maze, and find that it outperforms the classical Q-Learning with e-Greedy, Boltzmann, and Interval Estimation action selection heuristics.</t>
  </si>
  <si>
    <t>978-3-540-76630-8</t>
  </si>
  <si>
    <t>WOS:000251037900031</t>
  </si>
  <si>
    <t>Jara, F; Domínguez, M; Rezende, MC</t>
  </si>
  <si>
    <t>Jara, Francisco; Dominguez, Moises; Rezende, Marcos Caroli</t>
  </si>
  <si>
    <t>The interaction of solvatochromic pyridiniophenolates with cyclodextrins</t>
  </si>
  <si>
    <t>TETRAHEDRON</t>
  </si>
  <si>
    <t>The interactions of six solvatochromic pyridiniophenolate dyes with alpha- and beta-cyclodextrins were investigated with the aid of UV-vis and H-1 NMR spectroscopies, and molecular dynamics simulations. The deduced mode of encapsulation of these dyes within the hydrophobic host cavity was employed as a measure of the relative contributions of the donor and acceptor moieties to their solvatochromic properties. (c) 2006 Elsevier Ltd. All rights reserved.</t>
  </si>
  <si>
    <t>Rezende, Marcos/0000-0003-2040-9009; Dominguez, Moises/0000-0002-8444-3065</t>
  </si>
  <si>
    <t>0040-4020</t>
  </si>
  <si>
    <t>10.1016/j.tet.2006.05.053</t>
  </si>
  <si>
    <t>WOS:000239218800024</t>
  </si>
  <si>
    <t>Static circularly symmetric perfect fluid solutions with an exterior BTZ metric</t>
  </si>
  <si>
    <t>GENERAL RELATIVITY AND GRAVITATION</t>
  </si>
  <si>
    <t>In this work we study static perfect fluid stars in 2+1 dimensions with an exterior BTZ spacetime. We found the general expression for the metric coefficients as a function of the density and pressure of the fluid. We found the conditions to have regularity at the origin throughout the analysis of a set of linearly independent invariants. We also obtain an exact solution of the Einstein equations, with the corresponding equation of state p = p(rho), which is regular at the origin.</t>
  </si>
  <si>
    <t>0001-7701</t>
  </si>
  <si>
    <t>1572-9532</t>
  </si>
  <si>
    <t>10.1007/s10714-005-0054-7</t>
  </si>
  <si>
    <t>WOS:000229220600006</t>
  </si>
  <si>
    <t>Barro, M; Bravo, C; Spencer, E</t>
  </si>
  <si>
    <t>Differential usage of RNA templates by the rotavirus in vitro replication system</t>
  </si>
  <si>
    <t>Rotavirus genome synthesis is a two-step process; the synthesis of the eleven viral mRNAs and the production of the complementary strand (minus strand synthesis) yielding the double stranded genomic RNA (dsRNA). Purified rotavirus open cores are a helpful tool to study this replication event. These open cores can use viral dsRNA and mRNAs as template for RNA synthesis. In the present communication it was demonstrated that open cores prefers to use viral mRNA as template instead of the genomic dsRNA. The use by the open cores of both templates can be blocked through two independent strategies. In the presence of ssRNAs molecules, the use of the viral dsRNA template is completely blocked without affecting the minus strand synthesis. Nevertheless, an antisense oligonucleotide strategy previously reported to block the minus strand synthesis of the target gene do not affect the use of the dsRNA template. These results suggest the recognition of different signals in each template by the open core protein complex.</t>
  </si>
  <si>
    <t>BARRO HERNÁNDEZ, MARIO/GWU-9543-2022</t>
  </si>
  <si>
    <t>10.1007/s00705-004-0314-y</t>
  </si>
  <si>
    <t>WOS:000223910100011</t>
  </si>
  <si>
    <t>Henriquez, C; Aliaga, C; Lissi, E</t>
  </si>
  <si>
    <t>Kinetics profiles in the reaction of ABTS derived radicals with simple phenols and polyphenols.</t>
  </si>
  <si>
    <t>The kinetic profile associated to the reaction of phenols with 2,2'-azinobis-(3-ethylbenzothiazoline-6-sulfonic acid) (ABTS) derived radicals is extremely dependent of the characteristics of the substrate. In particular, polyphenols present complex profiles that can be associated to successive reactions of different reactive centers present in the target molecule. Also, changes in the secondary reactions of the produced radicals can lead to a partial recovery of the ABTS radical concentration at intermediate reaction times, as observed employing 1,4-dihydroxybenzene. Although the kinetic profiles of monophenols are considerably simpler, the stoichiometry of the process is unexpected. For example, the data obtained imply that four radicals are consumed by each p-tertbutylphenol molecule introduced into the system. This large stoichiometric coefficient is not compatible with a simple, phenol promoted, back reduction of the ABTS radical. These results, as well as the overshoot observed employing 1,4-dihydroxybencene, cast doubts on the use of ABTS based methodologies to quantitatively measure the capacity of a given compound to trap free radicals or the amount of free radical scavengers present in complex mixtures.</t>
  </si>
  <si>
    <t>Aliaga, Carolina/G-6024-2019</t>
  </si>
  <si>
    <t>Aliaga, Carolina/0000-0002-1352-3164</t>
  </si>
  <si>
    <t>WOS:000189308600011</t>
  </si>
  <si>
    <t>Solar, M; Parada, V; Urrutia, R</t>
  </si>
  <si>
    <t>A parallel genetic algorithm to solve the set-covering problem</t>
  </si>
  <si>
    <t>COMPUTERS &amp; OPERATIONS RESEARCH</t>
  </si>
  <si>
    <t>This work presents a parallel genetic algorithm (PGA) model to solve the set-covering problem (SCP). Experimental results obtained with a binary,. representation of the SCP, show that-in terms of the number of generations (computational time) needed to achieve solutions of an acceptable quality-PGA performs better than the sequential model. This comportment can be explained principally because. the PGA of p nodes-each one with its corresponding local population P-L-behaves like a sequential GA with a global population, P-G, of the same size, which it-the sequential GA-has the great disadvantage of having to completely evaluate in each generation. Not so the PGA, which only evaluates a pth part of the P-G.</t>
  </si>
  <si>
    <t>0305-0548</t>
  </si>
  <si>
    <t>PII S0305-0548(01)00026-0</t>
  </si>
  <si>
    <t>10.1016/S0305-0548(01)00026-0</t>
  </si>
  <si>
    <t>WOS:000176237300008</t>
  </si>
  <si>
    <t>Ureta-Zañartu, MS; Montenegro, M; Zagal, JH</t>
  </si>
  <si>
    <t>Methanol electro-oxidation on Pt-Rh alloys in acid medium</t>
  </si>
  <si>
    <t>Methanol oxidation on Pt-Rh alloys of different compositions in sulfuric acid solution was studied by cyclic voltammetry (CV). Rh increases the activity of Pt electrodes for methanol oxidation, specially for the 87-13 Pt-Rh alloy. This enhancement is discussed and attributed to a bifunctional mechanism.</t>
  </si>
  <si>
    <t>WOS:000170137700016</t>
  </si>
  <si>
    <t>Gamboa, J; Mendez, F</t>
  </si>
  <si>
    <t>Quantum gravity at very high energies</t>
  </si>
  <si>
    <t>NUCLEAR PHYSICS B</t>
  </si>
  <si>
    <t>The problem of time and the quantization of three-dimensional gravity in the strong coupling regime is studied following path integral methods. The time is identified with the volume of spacetime. We show that the effective action describes an infinite set of massless relativistic particles moving in a curved three-dimensional target space, i.e., a tensionless 3-brane on a curved background. If the cosmological constant is zero the target space is flat and there is no graviton propagation (i.e., G[g(ij)(2), g(ij)(1)] = 0). If the cosmological constant is different from zero, 3D gravity is both classical and quantum mechanically soluble. Indeed, we find the following results: (i) the general exact solutions of the Einstein equations are singular at t = 0 showing the existence of a big-bang in this regime and (ii) the propagation amplitude between two geometries vanishes as t --&gt; 0, suggesting that big-bang is suppressed quantum mechanically. This result is also valid for D &gt; 3. (C) 2001 Published by Elsevier Science B.V.</t>
  </si>
  <si>
    <t>Mendez, Fernando/0000-0002-9257-9552</t>
  </si>
  <si>
    <t>0550-3213</t>
  </si>
  <si>
    <t>1873-1562</t>
  </si>
  <si>
    <t>APR 23</t>
  </si>
  <si>
    <t>10.1016/S0550-3213(01)00084-0</t>
  </si>
  <si>
    <t>WOS:000168602500008</t>
  </si>
  <si>
    <t>Zagal, JH; Gulppi, MA; Cárdenas-Jirón, G</t>
  </si>
  <si>
    <t>Metal-centered redox chemistry of substituted cobalt phthalocyanines adsorbed on graphite and correlations with MO calculations and Hammett parameters.: Electrocatalytic reduction of a disulfide</t>
  </si>
  <si>
    <t>POLYHEDRON</t>
  </si>
  <si>
    <t>We have studied the metal-centered redox chemistry of unsubstituted cobalt-phthalocyanine (Co-Pc) and the cobalt complexes of the substituted ligands, cobalt-octaethylhexyloxyphthalocyanine (CoOEHPc), cobalt-tetramethoxyphthalocyanine (CoMeOPc), cobalt-tetraneopentoxyphthalocyanine (CoTNPPc), cobalt-tetraaminophthalocyanine (CoTAPc), cobalt-tetrasulfonatophthalocyanine (CoTSPc) and cobalt hexadecafluorophthalocyanine (CoPcF16) adsorbed on ordinary pyrolytic graphite (OPG). These complexes exhibit two distinct metal-centered reversible redox processes attributed to the Co(II)/Co(I) and Co(III)/Co(II) couples. The redox potentials of these couples are shifted according to the electron withdrawing or donating character of the groups located at the periphery of the phthalocyanine ligand, as seen by comparison to molecular orbital theoretical calculations. Correlations between the redox potential and the Hammett parameters of the substituents provide good linear correlations. The slopes of the linear free energy correlations give values of 0.41 and 0.49 V sigma (-1) for the Co(III)/Co(II) and Co(II)/Co(I) redox couples, respectively. We have also tested the electrocatalytic activity of these adsorbed phthalocyanines for the reduction of 2-hydroxyethyldisulfide, A plot of log i (current density at constant potential) versus the Co(II)/Co(I) redox potential gives a linear correlation where the rate of the reaction increases with the driving force of the catalyst, suggesting that that the reaction takes place via an outer-sphere mechanism. (C) 2000 Elsevier Science B.V. All rights reserved.</t>
  </si>
  <si>
    <t>zagal, jose/L-9648-2014; Gulppi, Miguel/KTA-6210-2024; Cardenas-Jiron, Gloria/H-9508-2012</t>
  </si>
  <si>
    <t>Cardenas-Jiron, Gloria/0000-0003-4305-8088; Gulppi, Miguel/0000-0001-6099-4463</t>
  </si>
  <si>
    <t>0277-5387</t>
  </si>
  <si>
    <t>22-23</t>
  </si>
  <si>
    <t>10.1016/S0277-5387(00)00486-1</t>
  </si>
  <si>
    <t>WOS:000166064800003</t>
  </si>
  <si>
    <t>Reyes, A; Vidal, I</t>
  </si>
  <si>
    <t>Experimental analysis of a mechanically stirred spouted bed dryer</t>
  </si>
  <si>
    <t>In order to increase the movement of the particles in the annular region of a conical spouted bed, a mechanical stirrer was incorporated. This led to a study of the fluid dynamics of the conical spouted bed of inert particles under different operating conditions: mass of inert particles, ratio of inert particles to suspension volumes, type of stirrer (2 designs) and stirrer speed. The action of the stirrers resulted in increased movement of the particles, especially at low rpm values (less than or equal to 90 rpm), with the loss of the annular region, and thus approaching the beds behavior to that of a fluidized bed. To characterize this novel type of Spouted beds, the minimum spouting flow (Q(ms)) parameter which is used usually was replaced by the minimum pseudo-fluidizing flow (Q(mpf)) The value of Q(mpf) decreases when the agitation in the bed increases. A correlation for Q(mpf) with the different operating conditions was developed. Drying suspensions in the stirred spouted bed shows a considerable increase of drying capacity, over units without agitation.</t>
  </si>
  <si>
    <t>10.1080/07373930008917708</t>
  </si>
  <si>
    <t>WOS:000085320900020</t>
  </si>
  <si>
    <t>Stepanova, M; Luizar, O; Antonova, EE; Bosqued, JM; Kovrazhkin, RA</t>
  </si>
  <si>
    <t>Wilson, A</t>
  </si>
  <si>
    <t>Asymmetry of the auroral inverted V structures and substorm expansion phase onset</t>
  </si>
  <si>
    <t>PROCEEDINGS OF THE FIFTH INTERNATIONAL CONFERENCE ON SUBSTORMS</t>
  </si>
  <si>
    <t>ESA SPECIAL PUBLICATIONS</t>
  </si>
  <si>
    <t>5th International Conference on Substorms</t>
  </si>
  <si>
    <t>MAY 16-20, 2000</t>
  </si>
  <si>
    <t>ARCTIC &amp; ANTARCTIC RES INST CONGRESS CTR, ST PETERSBURG, RUSSIA</t>
  </si>
  <si>
    <t>Russian Fdn Basic Res,Int Assoc Geomagnetism &amp; Aeronom,European Space Agcy</t>
  </si>
  <si>
    <t>ARCTIC &amp; ANTARCTIC RES INST CONGRESS CTR</t>
  </si>
  <si>
    <t>The relationship between the substorm expansion phase onset and the asymmetry of the latitudinal distribution of the upward field-aligned Region 1 current is studied. The dependence of the increment of the modified flute instability on the value and the direction of the field-aligned current is analyzed. The results of the auroral satellite Aureol-3 observations of electron precipitation in the time of the growth phase of the isolate substorm 1982.05.03 are presented. It is shown that the substorm brightening of the most equatorward auroral are can be related with the latitudinal asymmetry of upward field-aligned current.</t>
  </si>
  <si>
    <t>Antonova, Elizaveta/A-2716-2012; Stepanova, Marina/D-6329-2011</t>
  </si>
  <si>
    <t>Antonova, Elizaveta/0000-0001-6980-3993; Stepanova, Marina/0000-0002-1053-3375</t>
  </si>
  <si>
    <t>0379-6566</t>
  </si>
  <si>
    <t>92-9092-772-0</t>
  </si>
  <si>
    <t>WOS:000166662000071</t>
  </si>
  <si>
    <t>Cardenas, V; Lepe, S; Saavedra, J</t>
  </si>
  <si>
    <t>Current algebra in the path integral framework</t>
  </si>
  <si>
    <t>In this letter we describe an approach to the current algebra based on the path integral formalism. We use this method for Abelian and non-Abelian quantum field theories in (1 + 1) and (2 + 1) dimensions and the correct expressions are obtained. Our results show the independence of the regularization of the current algebras.</t>
  </si>
  <si>
    <t>Cardenas, Victor Hugo/0000-0002-9788-3967; saavedra, joel/0000-0002-1430-3008</t>
  </si>
  <si>
    <t>SEP 7</t>
  </si>
  <si>
    <t>10.1142/S0217732398002333</t>
  </si>
  <si>
    <t>WOS:000076422200005</t>
  </si>
  <si>
    <t>Bubnovich, VI; Moraga, NO; Rosas, CE</t>
  </si>
  <si>
    <t>Numerical forced convection in a circular pipe with nonuniform blowing or suction through the porous wall</t>
  </si>
  <si>
    <t>Numerical experiments have been performed to study the effect of nonuniform blowing or suction through the porous wall of a circular pipe with a constant heat flux at its outer surface on the conjugated heat transfer. The Navier-Stokes equations were solved by using the vorticity-stream function formulation and a finite differences alternating direction implicit method. The results show the effect of both the angle and the velocity profile of the incoming flow through the porous wall on the internal wall temperature, Nusselt number, and wall shear stresses for nonisothermal laminar flows with Peclet numbers between 10 and 1000.</t>
  </si>
  <si>
    <t>10.1080/10407789808913971</t>
  </si>
  <si>
    <t>WOS:000073865600005</t>
  </si>
  <si>
    <t>Pizarro, J; Vila, I; Contreras, M</t>
  </si>
  <si>
    <t>Williams, WD; Sladeckova, A</t>
  </si>
  <si>
    <t>Chemical composition of Chilean rivers</t>
  </si>
  <si>
    <t>INTERNATIONAL ASSOCIATION OF THEORETICAL AND APPLIED LIMNOLOGY, VOL 26, PT 3</t>
  </si>
  <si>
    <t>INTERNATIONAL ASSOCIATION OF THEORETICAL AND APPLIED LIMNOLOGY - PROCEEDINGS</t>
  </si>
  <si>
    <t>26th Congress of the International-Association-of-Theoretical-and-Applied-Limnology</t>
  </si>
  <si>
    <t>SAO PAULO, BRAZIL</t>
  </si>
  <si>
    <t>Int Assoc Theoret &amp; Appl Limnol</t>
  </si>
  <si>
    <t>0368-0770</t>
  </si>
  <si>
    <t>3-510-54047-6</t>
  </si>
  <si>
    <t>WOS:000074937000013</t>
  </si>
  <si>
    <t>Gonzalez, MP; Sanchez, X; Ganga, MA; LopezLastra, M; Jashes, M; Sandino, AM</t>
  </si>
  <si>
    <t>Detection of the infectious hematopoietic necrosis virus directly from infected fish tissues by dot blot hybridization with a non-radioactive probe</t>
  </si>
  <si>
    <t>JOURNAL OF VIROLOGICAL METHODS</t>
  </si>
  <si>
    <t>A method was developed for the rapid diagnosis of the infectious hematopoietic necrosis virus (IHNV) based on dot blot hybridization with a non-radioactive probe. When the assay was developed through a color reaction both biotin- and alkaline phosphatase-labeled probes were highly specific for IHNV and the sensitivity reached to 20 pg of viral RNA. When the alkaline phosphatase-labeled probe was developed by a chemiluminiscent reaction, the sensitivity showed a five-fold increase to 4 pg of viral RNA. The procedures successfully detected IHNV directly from infected symptomatic and asymptomatic fishes exhibiting higher sensitivity than the traditional approaches involving viral propagation in cell cultures. Additional advantages of the method are its simplicity and it takes only about 6 h to carry out the procedures from the initial processing of the tissues to diagnosis. (C) 1997 Elsevier Science B.V.</t>
  </si>
  <si>
    <t>Ganga, Maria/S-8176-2019; Lopez-Lastra, Marcelo/HHM-9832-2022</t>
  </si>
  <si>
    <t>SANDINO, ANA MARIA/0000-0002-3862-3743; Lopez-Lastra, Marcelo/0000-0002-7936-8478</t>
  </si>
  <si>
    <t>0166-0934</t>
  </si>
  <si>
    <t>10.1016/S0166-0934(97)02194-0</t>
  </si>
  <si>
    <t>WOS:A1997XC31600015</t>
  </si>
  <si>
    <t>Abuin, EB; Lissi, EA; Aspee, A; Gonzalez, FD; Varas, JM</t>
  </si>
  <si>
    <t>Fluorescence of 8-anilinonaphthalene-1-sulfonate and properties of sodium dodecyl sulfate micelles in water-urea mixtures</t>
  </si>
  <si>
    <t>8-Anilinonaphthalene-1-sulfonate (ANS) was used as fluorescence probe to study the effects of urea on properties of sodium dodecyl sulfate micellar solutions. The critical micelle concentration (CMC) of the surfactant, the degree of counterion association to the micelles, and the partition constant of ANS between the micelles and the external medium in the vicinity of the CMC were obtained at different urea concentrations ranging from 0 to 8 M. Complementary results regarding the effects of urea on the micelle aggregation number, the E(T)(30) parameter, and the partitioning of ANS between n-octanol and water or water-plus-urea mixtures were also obtained to allow critical evaluation of the ANS fluorescence data. It is concluded that the effect of urea on ANS fluorescence at intermediate surfactant concentrations is due mainly to increased stability of the probe in the aqueous medium. Extrapolation of the data at total ANS incorporation into the micelles allows the conclusion that the intramicellar emission increases slightly on urea addition. This result is attributed to an increase in the microviscosity at the micellar surface resulting from urea-micelle interactions. (C) 1997 Academic Press.</t>
  </si>
  <si>
    <t>Gonzalez Nilo, Fernando Danilo/M-5671-2016</t>
  </si>
  <si>
    <t>1095-7103</t>
  </si>
  <si>
    <t>10.1006/jcis.1996.4648</t>
  </si>
  <si>
    <t>WOS:A1997WK06000014</t>
  </si>
  <si>
    <t>RodriguezAres, MT; Cid, MJ; Abraldes, M; DeRojas, MV; Salorio, M; Capeans, C; Blanco, MJ</t>
  </si>
  <si>
    <t>Use of polymerase chain reaction in the detection of herpes simple virus after penetrating keratoplasty</t>
  </si>
  <si>
    <t>ABRALDES, MAXIMINO/HKW-4792-2023; LopezValladares, Maria/MAI-4201-2025</t>
  </si>
  <si>
    <t>WOS:A1996VR89800421</t>
  </si>
  <si>
    <t>Labbe, R</t>
  </si>
  <si>
    <t>A versatile interface bus</t>
  </si>
  <si>
    <t>REVIEW OF SCIENTIFIC INSTRUMENTS</t>
  </si>
  <si>
    <t>A versatile interface bus was designed. It allows the control of up to 16 instruments using an IBM XT/AT-or compatible-personal computer. Its main features are simplicity and flexibility to connect it with instruments not necessarily designed to be controlled by a computer, greatly improving their performance. (C) 1996 American Institute of Physics.</t>
  </si>
  <si>
    <t>0034-6748</t>
  </si>
  <si>
    <t>10.1063/1.1146591</t>
  </si>
  <si>
    <t>WOS:A1996TQ62300053</t>
  </si>
  <si>
    <t>JABALQUINTO, AM; CARDEMIL, E</t>
  </si>
  <si>
    <t>THE KINETIC MECHANISM OF YEAST PHOSPHOENOL PYRUVATE CARBOXYKINASE</t>
  </si>
  <si>
    <t>The kinetic mechanism of yeast phosphoenolpyruvate carboxykinase, in the physiological direction, has been determined Product inhibition using KHCO3 showed competitive inhibition, when both oxalacetate (OAA) and ATP were varied. Phospho enol pyruvate showed noncompetitive inhibition against OAA, and competitive inhibition with respect to ATP. Conversely, ADP showed competitive inhibition against OAA and noncompetitive inhibition vs. ATP. Dead-end inhibition studies with beta-sulfopyruvate showed competitive inhibition against OAA and noncompetitive inhibition vs. ATP. Ethene-ATP exhibited competitive inhibition against ATP and noncompetitive inhibition with respect to OAA. These results are consistent with a random Bi-Ter mechanism with the formation of two abortive complexes: enzyme-ATP-ADP and enzyme-OAA-PEP.</t>
  </si>
  <si>
    <t>10.1016/0167-4838(93)90200-B</t>
  </si>
  <si>
    <t>WOS:A1993KG82600013</t>
  </si>
  <si>
    <t>BAEZA, G; CORREA, D; SALAS, C</t>
  </si>
  <si>
    <t>PROTEOLYTIC-ENZYMES IN CARICA-CANDAMARCENSIS</t>
  </si>
  <si>
    <t>JOURNAL OF THE SCIENCE OF FOOD AND AGRICULTURE</t>
  </si>
  <si>
    <t>Papain is a protease(s) derived from the unripe fruit of the papaya tree. It has several applications in the food and pharmaceutical industries. The main source of the enzyme is from Carica papaya L (papaya) grown in Africa, with Zaire producing 60% of the total world supply. The aim of the present study was to evaluate the properties of papain derived from C. candamarcensis L, a species abundant in the IV and V region of Chile (latitude 29.degree. to 34.degree. S). The data reveal that C. candamarcensis proteinase has high esterase and proteolytic activities, while range between five- and eight-fold higher than in the case of its counterpart from African countries. Alternative procedures currently applied to obtained dried papain were compared to determine their influence on the quality of the final product, lyophilisation by far being the best procedure to retain original activity. Stability of the dried product following storage at difference temperatures was also assayed, as well as microbial contamination. Low doses of gamma irradiation eliminate organic contamination in the dried product without affecting enzyme activity. Compositional analysis reveals than 70% of the dried product is protein, and polyacrylamide gel electrophoresis shows the presence of two main peptides under denaturing conditions.</t>
  </si>
  <si>
    <t>0022-5142</t>
  </si>
  <si>
    <t>1097-0010</t>
  </si>
  <si>
    <t>10.1002/jsfa.2740510102</t>
  </si>
  <si>
    <t>WOS:A1990CT34800001</t>
  </si>
  <si>
    <t>CIORANESCU, I; UBILLA, P</t>
  </si>
  <si>
    <t>A CHARACTERIZATION OF UNIFORMLY BOUNDED COSINE FUNCTIONS GENERATORS</t>
  </si>
  <si>
    <t>10.1007/BF01199753</t>
  </si>
  <si>
    <t>WOS:A1989R481400001</t>
  </si>
  <si>
    <t>LISSI, EA; CACERES, T; LLESUY, S; SOLARI, L; BOVERIS, A; VIDELA, LA</t>
  </si>
  <si>
    <t>ON THE CHARACTERISTICS OF THE VISIBLE CHEMI-LUMINESCENCE FOLLOWING FREE-RADICAL LIPID-PEROXIDATION</t>
  </si>
  <si>
    <t>Francisca Llesuy, Susana/0000-0001-6818-051X</t>
  </si>
  <si>
    <t>10.3109/10715768909055154</t>
  </si>
  <si>
    <t>WOS:A1989AH19500002</t>
  </si>
  <si>
    <t>MOYA, SA; MANSILLA, A; LLAMBIAS, FJG</t>
  </si>
  <si>
    <t>ELECTROPHORETIC STUDY OF RUO2-GAMMA-AL2O3 SAMPLES USED IN THE WATER GAS SHIFT REACTION</t>
  </si>
  <si>
    <t>Ortega-Mansilla, Arturo/AAB-6980-2019</t>
  </si>
  <si>
    <t>WOS:A1988L426400002</t>
  </si>
  <si>
    <t>KINETIC EFFECTS OF ATP, DIVALENT METAL-IONS AND PH ON CHICKEN LIVER MEVALONATE 5-DIPHOSPHATE DECARBOXYLASE</t>
  </si>
  <si>
    <t>The activity of chicken liver mevalonate 5-diphosphate decarboxylase was measured over a wide range of Mg2+ and ATP concentrations. It was found that free ATP activated the enzyme, whereas free Mg2+ had no effect on the enzyme activity. Computed analyses of free species concentrations and pH studies indicated that MgATP2- is the true substrate. The relative efficiencies of Mg2+, Mn2+, Cd2+, and Zn2+ as activating metal ions were evaluated in terms of V/Km for the corresponding (metal-ATP)2- complexes, and the relative ratios were: Mn2+ 100, Cd2+ 37, Mg2+ 14, Zn2+ 1.7. Inhibitory effects were demonstrated for all free divalent cations tested, except for Mg2+, and were in the order Zn2+ &gt; Cd2+ &gt; Mn2+.</t>
  </si>
  <si>
    <t>NOV 26</t>
  </si>
  <si>
    <t>10.1016/0167-4838(87)90105-1</t>
  </si>
  <si>
    <t>WOS:A1987L220600003</t>
  </si>
  <si>
    <t>CONTRERAS, ML; DELIZ, M; GALAZ, A; ROZAS, R; SEPULVEDA, N</t>
  </si>
  <si>
    <t>A MICROCOMPUTER-BASED SYSTEM FOR CHEMICAL INFORMATION AND MOLECULAR-STRUCTURE SEARCH</t>
  </si>
  <si>
    <t>Sepulveda, Nelson/E-6536-2011</t>
  </si>
  <si>
    <t>10.1021/ci00051a004</t>
  </si>
  <si>
    <t>WOS:A1986D988000005</t>
  </si>
  <si>
    <t>ZAGAL, JH; PAEZ, C</t>
  </si>
  <si>
    <t>ELECTROCHEMICAL OXIDATION OF MERCAPTANS PROMOTED BY METAL PHTHALOCYANINES</t>
  </si>
  <si>
    <t>C341</t>
  </si>
  <si>
    <t>WOS:A1986D603100778</t>
  </si>
  <si>
    <t>Vidal, A; Castro, P; Navarro, F; Parada, R; Mendoza, L; Cotoras, M</t>
  </si>
  <si>
    <t>Vidal, Araceli; Castro, Paulo; Navarro, Freddy; Parada, Rodolfo; Mendoza, Leonora; Cotoras, Milena</t>
  </si>
  <si>
    <t>Effect of Volatile Compounds Emitted by an Endophytic Yeast Isolated from the Endemic Plant Echinopsis chiloensis against Botrytis cinerea</t>
  </si>
  <si>
    <t>HORTICULTURAE</t>
  </si>
  <si>
    <t>Our research group isolated an endophyte yeast from the endemic plant Echinopsis chiloensis. This yeast, identified as Naganishia sp, produces volatile organic compounds (VOC) with antifungal activity against Botrytis cinerea. Due to the need for alternative control methods for this pathogen, the effect of VOC on B. cinerea was analyzed. On the fourth day of cultivation, in the presence of VOCs, the mycelial growth of B. cinerea stopped. VOCs inhibited 32.8% of the conidia germination and reduced sporulation by 70.6%. These compounds promoted the formation of infection cushions. VOCs caused damage to the cell wall and plasma membrane in B. cinerea. On the other hand, the volatile compounds induced oxidative stress, and led to membrane lipid peroxidation after 16 and 24 h of incubation in the presence of VOCs, because an increased level of malondialdehyde content was observed. These compounds exerted a fungistatic effect on B. cinerea. The volatile compounds emitted by Naganishia sp were identified by gas chromatography coupled with mass spectrometry as 3-methylbutyl acetate, ethylbenzene, 1-ethyl-3-methylbenzene, 2-phenylethanol, 2-heptanone and (5E)-6,10-dimethylundeca-5,9-dien-2-one. The most abundant volatile compound, 2-phenylethanol, inhibited the mycelial growth of B. cinerea with an IC50 value of 0.21 mu L mL(-1). The effect of this pure compound was also fungistatic. Finally, it was shown that volatile compounds decreased the severity of B. cinerea infection in tomatoes and grapes by 64.7 and 43,1%, respectively. This is the first report identifying volatile compounds emitted by a Naganishia sp. and describing their mode of action against B. cinerea.</t>
  </si>
  <si>
    <t>Navarro, Freddy/KIA-4345-2024</t>
  </si>
  <si>
    <t>2311-7524</t>
  </si>
  <si>
    <t>10.3390/horticulturae10091005</t>
  </si>
  <si>
    <t>WOS:001326505800001</t>
  </si>
  <si>
    <t>Figueroa, C</t>
  </si>
  <si>
    <t>Figueroa, Camila</t>
  </si>
  <si>
    <t>BETWEEN SOCIOLOGICAL PRACTICE AND JOURNALISM WORK AN APPROACH TO UNDERSTANDING RAYMOND ARON'S METHOD</t>
  </si>
  <si>
    <t>RAZON HISTORICA-REVISTA HISPANOAMERICANA DE HISTORIA DE LAS IDEAS</t>
  </si>
  <si>
    <t>Raymond Aron's analytical method adopted a unique interdisciplinary approach by separating the researcher from the object of study, seeking to understand the interconnection of political structures and dynamics with society as a whole. Influenced by his sociological background and journalistic practice, his methodology fuses these two lines to provide distinctive notions in his thinking. The article aims to analyze the concept of journalistic analyst and the method of sociological-historical practice, examining the action of Aron's strategic thinking. Ultimately, the text seeks to articulate the connection of Aronian thought between two identified roles: the journalistic and the intellectual, connecting with the richness of his thought and its relevance in the academic landscape.</t>
  </si>
  <si>
    <t>1989-2659</t>
  </si>
  <si>
    <t>WOS:001271370700002</t>
  </si>
  <si>
    <t>Ramírez, RB</t>
  </si>
  <si>
    <t>Ramirez, Rosemary bruna</t>
  </si>
  <si>
    <t>Transitions Between Fear and Anger: Feminisms and Performance in the Chilean Social Uprising</t>
  </si>
  <si>
    <t>This article addresses feminisms and feminist per-formances in the context of the 2019 Chilean social uprising, focusing on the emotions of fear and anger as drivers of political action. It begins with a review of the state of the art, analyzing how feminist movements in Chile have developed strategies of resistance and transformation from the civic-military dic-tatorship to the present, articulating demands that go beyond gender issues to include critiques of the neoliberal model. The central objective is to explore how Chilean feminism resigni-fies emotions traditionally seen as paralyzing or destructive, transforming them into political tools that unite communities and strengthen mobilizations. It argues that these emotions do not operate solely on an individual level but intertwine to build resilient collectivities and generate demands for social justice. Through the analysis of emblematic performances such as Un violador en tu camino and other feminist performances, the article evaluates how the body and affects emerge in the public space as elements of political transformation.</t>
  </si>
  <si>
    <t>10.7203/KAM.24.29846</t>
  </si>
  <si>
    <t>WOS:001411162000005</t>
  </si>
  <si>
    <t>Pino-Rios, R; Pino, E; Cárdenas-Jirón, G</t>
  </si>
  <si>
    <t>Pino-Rios, Ricardo; Pino, Eduardo; Cardenas-Jiron, Gloria</t>
  </si>
  <si>
    <t>Deciphering the origin of the first steps in the degradation of azo dyes: a computational study</t>
  </si>
  <si>
    <t>ENVIRONMENTAL SCIENCE AND POLLUTION RESEARCH</t>
  </si>
  <si>
    <t>Azo dyes find applications across various sectors including food, pharmaceuticals, cosmetics, printing, and textiles. The contaminating effects of dyes on aquatic environments arise from toxic effects caused by their long-term presence in the environment, buildup in sediments, particularly in aquatic species, degradation of pollutants into mutagenic or mutagenic compounds, and low aerobic biodegradability. Therefore, we theoretically propose the first steps of the degradation of azo dyes based on the interaction of hydroperoxyl radical (OOH) with the dye. This interaction is studied by the OC and ON mechanisms in three azo dyes: azobenzene (AB), disperse orange 3 (DO3), and disperse red 1 (DR1). Rate constants calculated at several temperatures show a preference for the OC mechanism in all the dyes with lower activation energies than the ON mechanism. The optical properties were calculated and because the dye-OOH systems are open shell, to verify the validity of the results, a study of the spin contamination of the ground S2 and excited states S2 was previously performed. Most of the excited states calculated are acceptable as doublet states. The absorption spectra of the dye-OOH systems show a decrease in the intensity of the bands compared to the isolated dyes and the appearance of a new band of the type PI PI at a longer wavelength in the visible region, achieving up to 868 nm. This demonstrates that the reaction with the OOH radical could be a good alternative for the degradation of the azo dyes.</t>
  </si>
  <si>
    <t>0944-1344</t>
  </si>
  <si>
    <t>1614-7499</t>
  </si>
  <si>
    <t>10.1007/s11356-023-31172-6</t>
  </si>
  <si>
    <t>NOV 2023</t>
  </si>
  <si>
    <t>WOS:001122357200015</t>
  </si>
  <si>
    <t>Bustamante, NB</t>
  </si>
  <si>
    <t>Bustamante, Nelson Bravo</t>
  </si>
  <si>
    <t>The experience of organization and popular mobilization of the Chilean communists with a group of residents in the city of Santiago de Chile, 1951-1957</t>
  </si>
  <si>
    <t>This article investigates the role of the Chilean Communist Party in its process of articulation with groups of residents during the 1950s. It is understood that the communists, through the strategy of political alliances, led the demands of the residents through processes organization and popular mobilization, accumulating an important political capital. For this, sources such as press articles, residents' bulletins, reports, parliamentary sessions and publications made by the PCCH are reviewed.</t>
  </si>
  <si>
    <t>WOS:001065602800001</t>
  </si>
  <si>
    <t>Jeftanovic, A; Martínez, MPL</t>
  </si>
  <si>
    <t>Jeftanovic, Andrea; Lobos Martinez, Macarena P.</t>
  </si>
  <si>
    <t>BLACK HOLES. IMAGINATION AND FORGETTING IN SOME MNEMIC EXERCISES OF NARRATIVE AND THEATER: FUENZALIDA (2012) BY NONA FERNANDEZ AND EL ANO EN QUE NACI (2011) BY LOLA ARIAS</t>
  </si>
  <si>
    <t>The authors Nona Fernandez (Santiago de Chile, 1971) and Lola Arias (Buenos Aires, 1976) address memory, and particularly post-memory, in the novel Fuenzalida (2012) by the former and in the play El ano en que naci (2011) by the second. Both make an effort to collect the memory of those who suffered historical trauma vicariously, as children and adolescents in a context of state horror. These postmnemic exercises constitute a tug of war between facts, memories, speculation and an opaque zone that absorbs and solidifies uncertainties: the black holes of memory.</t>
  </si>
  <si>
    <t>WOS:001004544400005</t>
  </si>
  <si>
    <t>Gana, L; Dávila-Gálvez, S; Quezada, F</t>
  </si>
  <si>
    <t>Daduna, JR; Liedtke, G; Shi, X; Voss, S</t>
  </si>
  <si>
    <t>Gana, Lucas; Davila-Galvez, Sebastian; Quezada, Franco</t>
  </si>
  <si>
    <t>Multi-product Lot-Sizing Problem with Remanufacturing, Lost Sales and Sequence-Dependent Changeover Cost</t>
  </si>
  <si>
    <t>COMPUTATIONAL LOGISTICS, ICCL 2023</t>
  </si>
  <si>
    <t>14th International Conferences on Computational Logistics (ICCL)</t>
  </si>
  <si>
    <t>SEP 06-08, 2023</t>
  </si>
  <si>
    <t>Berlin, GERMANY</t>
  </si>
  <si>
    <t>This work studies a lot-sizing problem motivated by a textile remanufacturing company in Chile. In particular, we investigate a multi-product lot-sizing with remanufacturing, lost sales, and sequence-dependent changeover costs. The problem is first formulated as a mixed-integer linear program. Then, we adapted a known family of valid inequalities and proposed a new exponential family of valid inequalities taking advantage of the problem structure. We use them in a branch-and-cut algorithm to solve the problem. The preliminary numerical results show the proposed inequalities' usefulness in strengthening the proposed formulation's linear relaxation and show that the method outperforms the generic branch-and-cut algorithm embedded in a stand-alone mathematical solver.</t>
  </si>
  <si>
    <t>978-3-031-43611-6; 978-3-031-43612-3</t>
  </si>
  <si>
    <t>10.1007/978-3-031-43612-3_32</t>
  </si>
  <si>
    <t>WOS:001158863600032</t>
  </si>
  <si>
    <t>Muñoz, FV</t>
  </si>
  <si>
    <t>Vidal Munoz, Felipe</t>
  </si>
  <si>
    <t>International perspectives on public administration</t>
  </si>
  <si>
    <t>GOVERNANCE-AN INTERNATIONAL JOURNAL OF POLICY ADMINISTRATION AND INSTITUTIONS</t>
  </si>
  <si>
    <t>Vidal Muñoz, Felipe/IAQ-2625-2023</t>
  </si>
  <si>
    <t>0952-1895</t>
  </si>
  <si>
    <t>1468-0491</t>
  </si>
  <si>
    <t>10.1111/gove.12745</t>
  </si>
  <si>
    <t>NOV 2022</t>
  </si>
  <si>
    <t>WOS:000890784000001</t>
  </si>
  <si>
    <t>Lizama, C; Zamorano, S</t>
  </si>
  <si>
    <t>Lizama, Carlos; Zamorano, Sebastian</t>
  </si>
  <si>
    <t>Boundary controllability for the 1D Moore-Gibson-Thompson equation</t>
  </si>
  <si>
    <t>MECCANICA</t>
  </si>
  <si>
    <t>This article addresses the boundary controllability problem for a class of third order in time PDE, known as Moore-Gibson-Thompson equation, with a control supported on the boundary. It is shown that it is not spectrally controllable, which means that nontrivial finite linear combination of eigenvectors can be driven to zero in finite time. This implies that the Moore-Gibson-Thompson equation is not exact and null controllable. However, the approximate controllability will be proved.</t>
  </si>
  <si>
    <t>Zamorano, Sebastián/AAY-2547-2020; Lizama, Carlos/E-5909-2011</t>
  </si>
  <si>
    <t>0025-6455</t>
  </si>
  <si>
    <t>1572-9648</t>
  </si>
  <si>
    <t>10.1007/s11012-022-01551-3</t>
  </si>
  <si>
    <t>JUL 2022</t>
  </si>
  <si>
    <t>WOS:000825897300001</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</si>
</sst>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2" width="8.0"/>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ht="12.75" customHeight="1">
      <c r="A2" s="1" t="s">
        <v>72</v>
      </c>
      <c r="B2" s="1" t="s">
        <v>73</v>
      </c>
      <c r="C2" s="1" t="s">
        <v>74</v>
      </c>
      <c r="D2" s="1" t="s">
        <v>74</v>
      </c>
      <c r="E2" s="1" t="s">
        <v>74</v>
      </c>
      <c r="F2" s="1" t="s">
        <v>73</v>
      </c>
      <c r="G2" s="1" t="s">
        <v>74</v>
      </c>
      <c r="H2" s="1" t="s">
        <v>74</v>
      </c>
      <c r="I2" s="1" t="s">
        <v>75</v>
      </c>
      <c r="J2" s="1" t="s">
        <v>76</v>
      </c>
      <c r="K2" s="1" t="s">
        <v>74</v>
      </c>
      <c r="L2" s="1" t="s">
        <v>74</v>
      </c>
      <c r="M2" s="1" t="s">
        <v>74</v>
      </c>
      <c r="N2" s="1" t="s">
        <v>74</v>
      </c>
      <c r="O2" s="1" t="s">
        <v>74</v>
      </c>
      <c r="P2" s="1" t="s">
        <v>74</v>
      </c>
      <c r="Q2" s="1" t="s">
        <v>74</v>
      </c>
      <c r="R2" s="1" t="s">
        <v>74</v>
      </c>
      <c r="S2" s="1" t="s">
        <v>74</v>
      </c>
      <c r="T2" s="1" t="s">
        <v>74</v>
      </c>
      <c r="U2" s="1" t="s">
        <v>74</v>
      </c>
      <c r="V2" s="1" t="s">
        <v>77</v>
      </c>
      <c r="W2" s="1" t="s">
        <v>74</v>
      </c>
      <c r="X2" s="1" t="s">
        <v>74</v>
      </c>
      <c r="Y2" s="1" t="s">
        <v>74</v>
      </c>
      <c r="Z2" s="1" t="s">
        <v>74</v>
      </c>
      <c r="AA2" s="1" t="s">
        <v>78</v>
      </c>
      <c r="AB2" s="1" t="s">
        <v>79</v>
      </c>
      <c r="AC2" s="1" t="s">
        <v>74</v>
      </c>
      <c r="AD2" s="1" t="s">
        <v>74</v>
      </c>
      <c r="AE2" s="1" t="s">
        <v>74</v>
      </c>
      <c r="AF2" s="1" t="s">
        <v>74</v>
      </c>
      <c r="AG2" s="1" t="s">
        <v>74</v>
      </c>
      <c r="AH2" s="1" t="s">
        <v>74</v>
      </c>
      <c r="AI2" s="1" t="s">
        <v>74</v>
      </c>
      <c r="AJ2" s="1" t="s">
        <v>74</v>
      </c>
      <c r="AK2" s="1" t="s">
        <v>74</v>
      </c>
      <c r="AL2" s="1" t="s">
        <v>74</v>
      </c>
      <c r="AM2" s="1" t="s">
        <v>74</v>
      </c>
      <c r="AN2" s="1" t="s">
        <v>74</v>
      </c>
      <c r="AO2" s="1" t="s">
        <v>80</v>
      </c>
      <c r="AP2" s="1" t="s">
        <v>81</v>
      </c>
      <c r="AQ2" s="1" t="s">
        <v>74</v>
      </c>
      <c r="AR2" s="1" t="s">
        <v>74</v>
      </c>
      <c r="AS2" s="1" t="s">
        <v>74</v>
      </c>
      <c r="AT2" s="1" t="s">
        <v>74</v>
      </c>
      <c r="AU2" s="1">
        <v>2003.0</v>
      </c>
      <c r="AV2" s="1" t="s">
        <v>74</v>
      </c>
      <c r="AW2" s="1">
        <v>13.0</v>
      </c>
      <c r="AX2" s="1" t="s">
        <v>74</v>
      </c>
      <c r="AY2" s="1" t="s">
        <v>74</v>
      </c>
      <c r="AZ2" s="1" t="s">
        <v>74</v>
      </c>
      <c r="BA2" s="1" t="s">
        <v>74</v>
      </c>
      <c r="BB2" s="1">
        <v>1608.0</v>
      </c>
      <c r="BC2" s="1">
        <v>1609.0</v>
      </c>
      <c r="BD2" s="1" t="s">
        <v>74</v>
      </c>
      <c r="BE2" s="1" t="s">
        <v>82</v>
      </c>
      <c r="BF2" s="2" t="str">
        <f>HYPERLINK("http://dx.doi.org/10.1039/b301647c","http://dx.doi.org/10.1039/b301647c")</f>
        <v>http://dx.doi.org/10.1039/b301647c</v>
      </c>
      <c r="BG2" s="1" t="s">
        <v>74</v>
      </c>
      <c r="BH2" s="1" t="s">
        <v>74</v>
      </c>
      <c r="BI2" s="1" t="s">
        <v>74</v>
      </c>
      <c r="BJ2" s="1" t="s">
        <v>74</v>
      </c>
      <c r="BK2" s="1" t="s">
        <v>74</v>
      </c>
      <c r="BL2" s="1" t="s">
        <v>74</v>
      </c>
      <c r="BM2" s="1" t="s">
        <v>74</v>
      </c>
      <c r="BN2" s="1" t="s">
        <v>74</v>
      </c>
      <c r="BO2" s="1" t="s">
        <v>74</v>
      </c>
      <c r="BP2" s="1" t="s">
        <v>74</v>
      </c>
      <c r="BQ2" s="1" t="s">
        <v>74</v>
      </c>
      <c r="BR2" s="1" t="s">
        <v>74</v>
      </c>
      <c r="BS2" s="1" t="s">
        <v>83</v>
      </c>
      <c r="BT2" s="1" t="str">
        <f>HYPERLINK("https%3A%2F%2Fwww.webofscience.com%2Fwos%2Fwoscc%2Ffull-record%2FWOS:000183482500068","View Full Record in Web of Science")</f>
        <v>View Full Record in Web of Science</v>
      </c>
    </row>
    <row r="3" ht="12.75" customHeight="1">
      <c r="A3" s="1" t="s">
        <v>72</v>
      </c>
      <c r="B3" s="1" t="s">
        <v>84</v>
      </c>
      <c r="C3" s="1" t="s">
        <v>74</v>
      </c>
      <c r="D3" s="1" t="s">
        <v>74</v>
      </c>
      <c r="E3" s="1" t="s">
        <v>74</v>
      </c>
      <c r="F3" s="1" t="s">
        <v>84</v>
      </c>
      <c r="G3" s="1" t="s">
        <v>74</v>
      </c>
      <c r="H3" s="1" t="s">
        <v>74</v>
      </c>
      <c r="I3" s="1" t="s">
        <v>85</v>
      </c>
      <c r="J3" s="1" t="s">
        <v>86</v>
      </c>
      <c r="K3" s="1" t="s">
        <v>74</v>
      </c>
      <c r="L3" s="1" t="s">
        <v>74</v>
      </c>
      <c r="M3" s="1" t="s">
        <v>74</v>
      </c>
      <c r="N3" s="1" t="s">
        <v>74</v>
      </c>
      <c r="O3" s="1" t="s">
        <v>74</v>
      </c>
      <c r="P3" s="1" t="s">
        <v>74</v>
      </c>
      <c r="Q3" s="1" t="s">
        <v>74</v>
      </c>
      <c r="R3" s="1" t="s">
        <v>74</v>
      </c>
      <c r="S3" s="1" t="s">
        <v>74</v>
      </c>
      <c r="T3" s="1" t="s">
        <v>74</v>
      </c>
      <c r="U3" s="1" t="s">
        <v>74</v>
      </c>
      <c r="V3" s="1" t="s">
        <v>74</v>
      </c>
      <c r="W3" s="1" t="s">
        <v>74</v>
      </c>
      <c r="X3" s="1" t="s">
        <v>74</v>
      </c>
      <c r="Y3" s="1" t="s">
        <v>74</v>
      </c>
      <c r="Z3" s="1" t="s">
        <v>74</v>
      </c>
      <c r="AA3" s="1" t="s">
        <v>74</v>
      </c>
      <c r="AB3" s="1" t="s">
        <v>74</v>
      </c>
      <c r="AC3" s="1" t="s">
        <v>74</v>
      </c>
      <c r="AD3" s="1" t="s">
        <v>74</v>
      </c>
      <c r="AE3" s="1" t="s">
        <v>74</v>
      </c>
      <c r="AF3" s="1" t="s">
        <v>74</v>
      </c>
      <c r="AG3" s="1" t="s">
        <v>74</v>
      </c>
      <c r="AH3" s="1" t="s">
        <v>74</v>
      </c>
      <c r="AI3" s="1" t="s">
        <v>74</v>
      </c>
      <c r="AJ3" s="1" t="s">
        <v>74</v>
      </c>
      <c r="AK3" s="1" t="s">
        <v>74</v>
      </c>
      <c r="AL3" s="1" t="s">
        <v>74</v>
      </c>
      <c r="AM3" s="1" t="s">
        <v>74</v>
      </c>
      <c r="AN3" s="1" t="s">
        <v>74</v>
      </c>
      <c r="AO3" s="1" t="s">
        <v>87</v>
      </c>
      <c r="AP3" s="1" t="s">
        <v>74</v>
      </c>
      <c r="AQ3" s="1" t="s">
        <v>74</v>
      </c>
      <c r="AR3" s="1" t="s">
        <v>74</v>
      </c>
      <c r="AS3" s="1" t="s">
        <v>74</v>
      </c>
      <c r="AT3" s="1" t="s">
        <v>88</v>
      </c>
      <c r="AU3" s="1">
        <v>2002.0</v>
      </c>
      <c r="AV3" s="1">
        <v>48.0</v>
      </c>
      <c r="AW3" s="1" t="s">
        <v>74</v>
      </c>
      <c r="AX3" s="1" t="s">
        <v>74</v>
      </c>
      <c r="AY3" s="1">
        <v>3.0</v>
      </c>
      <c r="AZ3" s="1" t="s">
        <v>74</v>
      </c>
      <c r="BA3" s="1" t="s">
        <v>74</v>
      </c>
      <c r="BB3" s="1" t="s">
        <v>89</v>
      </c>
      <c r="BC3" s="1" t="s">
        <v>89</v>
      </c>
      <c r="BD3" s="1" t="s">
        <v>74</v>
      </c>
      <c r="BE3" s="1" t="s">
        <v>74</v>
      </c>
      <c r="BF3" s="1" t="s">
        <v>74</v>
      </c>
      <c r="BG3" s="1" t="s">
        <v>74</v>
      </c>
      <c r="BH3" s="1" t="s">
        <v>74</v>
      </c>
      <c r="BI3" s="1" t="s">
        <v>74</v>
      </c>
      <c r="BJ3" s="1" t="s">
        <v>74</v>
      </c>
      <c r="BK3" s="1" t="s">
        <v>74</v>
      </c>
      <c r="BL3" s="1" t="s">
        <v>74</v>
      </c>
      <c r="BM3" s="1" t="s">
        <v>74</v>
      </c>
      <c r="BN3" s="1" t="s">
        <v>74</v>
      </c>
      <c r="BO3" s="1" t="s">
        <v>74</v>
      </c>
      <c r="BP3" s="1" t="s">
        <v>74</v>
      </c>
      <c r="BQ3" s="1" t="s">
        <v>74</v>
      </c>
      <c r="BR3" s="1" t="s">
        <v>74</v>
      </c>
      <c r="BS3" s="1" t="s">
        <v>90</v>
      </c>
      <c r="BT3" s="1" t="str">
        <f>HYPERLINK("https%3A%2F%2Fwww.webofscience.com%2Fwos%2Fwoscc%2Ffull-record%2FWOS:000180065500001","View Full Record in Web of Science")</f>
        <v>View Full Record in Web of Science</v>
      </c>
    </row>
    <row r="4" ht="12.75" customHeight="1">
      <c r="A4" s="1" t="s">
        <v>91</v>
      </c>
      <c r="B4" s="1" t="s">
        <v>92</v>
      </c>
      <c r="C4" s="1" t="s">
        <v>74</v>
      </c>
      <c r="D4" s="1" t="s">
        <v>93</v>
      </c>
      <c r="E4" s="1" t="s">
        <v>74</v>
      </c>
      <c r="F4" s="1" t="s">
        <v>92</v>
      </c>
      <c r="G4" s="1" t="s">
        <v>74</v>
      </c>
      <c r="H4" s="1" t="s">
        <v>74</v>
      </c>
      <c r="I4" s="1" t="s">
        <v>94</v>
      </c>
      <c r="J4" s="1" t="s">
        <v>95</v>
      </c>
      <c r="K4" s="1" t="s">
        <v>96</v>
      </c>
      <c r="L4" s="1" t="s">
        <v>74</v>
      </c>
      <c r="M4" s="1" t="s">
        <v>74</v>
      </c>
      <c r="N4" s="1" t="s">
        <v>74</v>
      </c>
      <c r="O4" s="1" t="s">
        <v>97</v>
      </c>
      <c r="P4" s="1" t="s">
        <v>98</v>
      </c>
      <c r="Q4" s="1" t="s">
        <v>99</v>
      </c>
      <c r="R4" s="1" t="s">
        <v>100</v>
      </c>
      <c r="S4" s="1" t="s">
        <v>74</v>
      </c>
      <c r="T4" s="1" t="s">
        <v>74</v>
      </c>
      <c r="U4" s="1" t="s">
        <v>74</v>
      </c>
      <c r="V4" s="1" t="s">
        <v>101</v>
      </c>
      <c r="W4" s="1" t="s">
        <v>74</v>
      </c>
      <c r="X4" s="1" t="s">
        <v>74</v>
      </c>
      <c r="Y4" s="1" t="s">
        <v>74</v>
      </c>
      <c r="Z4" s="1" t="s">
        <v>74</v>
      </c>
      <c r="AA4" s="1" t="s">
        <v>74</v>
      </c>
      <c r="AB4" s="1" t="s">
        <v>74</v>
      </c>
      <c r="AC4" s="1" t="s">
        <v>74</v>
      </c>
      <c r="AD4" s="1" t="s">
        <v>74</v>
      </c>
      <c r="AE4" s="1" t="s">
        <v>74</v>
      </c>
      <c r="AF4" s="1" t="s">
        <v>74</v>
      </c>
      <c r="AG4" s="1" t="s">
        <v>74</v>
      </c>
      <c r="AH4" s="1" t="s">
        <v>74</v>
      </c>
      <c r="AI4" s="1" t="s">
        <v>74</v>
      </c>
      <c r="AJ4" s="1" t="s">
        <v>74</v>
      </c>
      <c r="AK4" s="1" t="s">
        <v>74</v>
      </c>
      <c r="AL4" s="1" t="s">
        <v>74</v>
      </c>
      <c r="AM4" s="1" t="s">
        <v>74</v>
      </c>
      <c r="AN4" s="1" t="s">
        <v>74</v>
      </c>
      <c r="AO4" s="1" t="s">
        <v>102</v>
      </c>
      <c r="AP4" s="1" t="s">
        <v>74</v>
      </c>
      <c r="AQ4" s="1" t="s">
        <v>103</v>
      </c>
      <c r="AR4" s="1" t="s">
        <v>74</v>
      </c>
      <c r="AS4" s="1" t="s">
        <v>74</v>
      </c>
      <c r="AT4" s="1" t="s">
        <v>74</v>
      </c>
      <c r="AU4" s="1">
        <v>2002.0</v>
      </c>
      <c r="AV4" s="1">
        <v>11.0</v>
      </c>
      <c r="AW4" s="1" t="s">
        <v>74</v>
      </c>
      <c r="AX4" s="1" t="s">
        <v>74</v>
      </c>
      <c r="AY4" s="1" t="s">
        <v>74</v>
      </c>
      <c r="AZ4" s="1" t="s">
        <v>74</v>
      </c>
      <c r="BA4" s="1" t="s">
        <v>74</v>
      </c>
      <c r="BB4" s="1">
        <v>645.0</v>
      </c>
      <c r="BC4" s="1">
        <v>651.0</v>
      </c>
      <c r="BD4" s="1" t="s">
        <v>74</v>
      </c>
      <c r="BE4" s="1" t="s">
        <v>74</v>
      </c>
      <c r="BF4" s="1" t="s">
        <v>74</v>
      </c>
      <c r="BG4" s="1" t="s">
        <v>74</v>
      </c>
      <c r="BH4" s="1" t="s">
        <v>74</v>
      </c>
      <c r="BI4" s="1" t="s">
        <v>74</v>
      </c>
      <c r="BJ4" s="1" t="s">
        <v>74</v>
      </c>
      <c r="BK4" s="1" t="s">
        <v>74</v>
      </c>
      <c r="BL4" s="1" t="s">
        <v>74</v>
      </c>
      <c r="BM4" s="1" t="s">
        <v>74</v>
      </c>
      <c r="BN4" s="1" t="s">
        <v>74</v>
      </c>
      <c r="BO4" s="1" t="s">
        <v>74</v>
      </c>
      <c r="BP4" s="1" t="s">
        <v>74</v>
      </c>
      <c r="BQ4" s="1" t="s">
        <v>74</v>
      </c>
      <c r="BR4" s="1" t="s">
        <v>74</v>
      </c>
      <c r="BS4" s="1" t="s">
        <v>104</v>
      </c>
      <c r="BT4" s="1" t="str">
        <f>HYPERLINK("https%3A%2F%2Fwww.webofscience.com%2Fwos%2Fwoscc%2Ffull-record%2FWOS:000178339000064","View Full Record in Web of Science")</f>
        <v>View Full Record in Web of Science</v>
      </c>
    </row>
    <row r="5" ht="12.75" customHeight="1">
      <c r="A5" s="1" t="s">
        <v>72</v>
      </c>
      <c r="B5" s="1" t="s">
        <v>105</v>
      </c>
      <c r="C5" s="1" t="s">
        <v>74</v>
      </c>
      <c r="D5" s="1" t="s">
        <v>74</v>
      </c>
      <c r="E5" s="1" t="s">
        <v>74</v>
      </c>
      <c r="F5" s="1" t="s">
        <v>105</v>
      </c>
      <c r="G5" s="1" t="s">
        <v>74</v>
      </c>
      <c r="H5" s="1" t="s">
        <v>74</v>
      </c>
      <c r="I5" s="1" t="s">
        <v>106</v>
      </c>
      <c r="J5" s="1" t="s">
        <v>107</v>
      </c>
      <c r="K5" s="1" t="s">
        <v>74</v>
      </c>
      <c r="L5" s="1" t="s">
        <v>74</v>
      </c>
      <c r="M5" s="1" t="s">
        <v>74</v>
      </c>
      <c r="N5" s="1" t="s">
        <v>74</v>
      </c>
      <c r="O5" s="1" t="s">
        <v>74</v>
      </c>
      <c r="P5" s="1" t="s">
        <v>74</v>
      </c>
      <c r="Q5" s="1" t="s">
        <v>74</v>
      </c>
      <c r="R5" s="1" t="s">
        <v>74</v>
      </c>
      <c r="S5" s="1" t="s">
        <v>74</v>
      </c>
      <c r="T5" s="1" t="s">
        <v>74</v>
      </c>
      <c r="U5" s="1" t="s">
        <v>74</v>
      </c>
      <c r="V5" s="1" t="s">
        <v>108</v>
      </c>
      <c r="W5" s="1" t="s">
        <v>74</v>
      </c>
      <c r="X5" s="1" t="s">
        <v>74</v>
      </c>
      <c r="Y5" s="1" t="s">
        <v>74</v>
      </c>
      <c r="Z5" s="1" t="s">
        <v>74</v>
      </c>
      <c r="AA5" s="1" t="s">
        <v>109</v>
      </c>
      <c r="AB5" s="1" t="s">
        <v>74</v>
      </c>
      <c r="AC5" s="1" t="s">
        <v>74</v>
      </c>
      <c r="AD5" s="1" t="s">
        <v>74</v>
      </c>
      <c r="AE5" s="1" t="s">
        <v>74</v>
      </c>
      <c r="AF5" s="1" t="s">
        <v>74</v>
      </c>
      <c r="AG5" s="1" t="s">
        <v>74</v>
      </c>
      <c r="AH5" s="1" t="s">
        <v>74</v>
      </c>
      <c r="AI5" s="1" t="s">
        <v>74</v>
      </c>
      <c r="AJ5" s="1" t="s">
        <v>74</v>
      </c>
      <c r="AK5" s="1" t="s">
        <v>74</v>
      </c>
      <c r="AL5" s="1" t="s">
        <v>74</v>
      </c>
      <c r="AM5" s="1" t="s">
        <v>74</v>
      </c>
      <c r="AN5" s="1" t="s">
        <v>74</v>
      </c>
      <c r="AO5" s="1" t="s">
        <v>110</v>
      </c>
      <c r="AP5" s="1" t="s">
        <v>74</v>
      </c>
      <c r="AQ5" s="1" t="s">
        <v>74</v>
      </c>
      <c r="AR5" s="1" t="s">
        <v>74</v>
      </c>
      <c r="AS5" s="1" t="s">
        <v>74</v>
      </c>
      <c r="AT5" s="1" t="s">
        <v>111</v>
      </c>
      <c r="AU5" s="1">
        <v>2001.0</v>
      </c>
      <c r="AV5" s="1">
        <v>41.0</v>
      </c>
      <c r="AW5" s="1">
        <v>4.0</v>
      </c>
      <c r="AX5" s="1" t="s">
        <v>74</v>
      </c>
      <c r="AY5" s="1" t="s">
        <v>74</v>
      </c>
      <c r="AZ5" s="1" t="s">
        <v>74</v>
      </c>
      <c r="BA5" s="1" t="s">
        <v>74</v>
      </c>
      <c r="BB5" s="1">
        <v>964.0</v>
      </c>
      <c r="BC5" s="1">
        <v>977.0</v>
      </c>
      <c r="BD5" s="1" t="s">
        <v>74</v>
      </c>
      <c r="BE5" s="1" t="s">
        <v>112</v>
      </c>
      <c r="BF5" s="2" t="str">
        <f>HYPERLINK("http://dx.doi.org/10.1021/ci0003395","http://dx.doi.org/10.1021/ci0003395")</f>
        <v>http://dx.doi.org/10.1021/ci0003395</v>
      </c>
      <c r="BG5" s="1" t="s">
        <v>74</v>
      </c>
      <c r="BH5" s="1" t="s">
        <v>74</v>
      </c>
      <c r="BI5" s="1" t="s">
        <v>74</v>
      </c>
      <c r="BJ5" s="1" t="s">
        <v>74</v>
      </c>
      <c r="BK5" s="1" t="s">
        <v>74</v>
      </c>
      <c r="BL5" s="1" t="s">
        <v>74</v>
      </c>
      <c r="BM5" s="1" t="s">
        <v>74</v>
      </c>
      <c r="BN5" s="1">
        <v>1.1500113E7</v>
      </c>
      <c r="BO5" s="1" t="s">
        <v>74</v>
      </c>
      <c r="BP5" s="1" t="s">
        <v>74</v>
      </c>
      <c r="BQ5" s="1" t="s">
        <v>74</v>
      </c>
      <c r="BR5" s="1" t="s">
        <v>74</v>
      </c>
      <c r="BS5" s="1" t="s">
        <v>113</v>
      </c>
      <c r="BT5" s="1" t="str">
        <f>HYPERLINK("https%3A%2F%2Fwww.webofscience.com%2Fwos%2Fwoscc%2Ffull-record%2FWOS:000170095200011","View Full Record in Web of Science")</f>
        <v>View Full Record in Web of Science</v>
      </c>
    </row>
    <row r="6" ht="12.75" customHeight="1">
      <c r="A6" s="1" t="s">
        <v>72</v>
      </c>
      <c r="B6" s="1" t="s">
        <v>114</v>
      </c>
      <c r="C6" s="1" t="s">
        <v>74</v>
      </c>
      <c r="D6" s="1" t="s">
        <v>74</v>
      </c>
      <c r="E6" s="1" t="s">
        <v>74</v>
      </c>
      <c r="F6" s="1" t="s">
        <v>114</v>
      </c>
      <c r="G6" s="1" t="s">
        <v>74</v>
      </c>
      <c r="H6" s="1" t="s">
        <v>74</v>
      </c>
      <c r="I6" s="1" t="s">
        <v>115</v>
      </c>
      <c r="J6" s="1" t="s">
        <v>116</v>
      </c>
      <c r="K6" s="1" t="s">
        <v>74</v>
      </c>
      <c r="L6" s="1" t="s">
        <v>74</v>
      </c>
      <c r="M6" s="1" t="s">
        <v>74</v>
      </c>
      <c r="N6" s="1" t="s">
        <v>74</v>
      </c>
      <c r="O6" s="1" t="s">
        <v>74</v>
      </c>
      <c r="P6" s="1" t="s">
        <v>74</v>
      </c>
      <c r="Q6" s="1" t="s">
        <v>74</v>
      </c>
      <c r="R6" s="1" t="s">
        <v>74</v>
      </c>
      <c r="S6" s="1" t="s">
        <v>74</v>
      </c>
      <c r="T6" s="1" t="s">
        <v>74</v>
      </c>
      <c r="U6" s="1" t="s">
        <v>74</v>
      </c>
      <c r="V6" s="1" t="s">
        <v>117</v>
      </c>
      <c r="W6" s="1" t="s">
        <v>74</v>
      </c>
      <c r="X6" s="1" t="s">
        <v>74</v>
      </c>
      <c r="Y6" s="1" t="s">
        <v>74</v>
      </c>
      <c r="Z6" s="1" t="s">
        <v>74</v>
      </c>
      <c r="AA6" s="1" t="s">
        <v>118</v>
      </c>
      <c r="AB6" s="1" t="s">
        <v>119</v>
      </c>
      <c r="AC6" s="1" t="s">
        <v>74</v>
      </c>
      <c r="AD6" s="1" t="s">
        <v>74</v>
      </c>
      <c r="AE6" s="1" t="s">
        <v>74</v>
      </c>
      <c r="AF6" s="1" t="s">
        <v>74</v>
      </c>
      <c r="AG6" s="1" t="s">
        <v>74</v>
      </c>
      <c r="AH6" s="1" t="s">
        <v>74</v>
      </c>
      <c r="AI6" s="1" t="s">
        <v>74</v>
      </c>
      <c r="AJ6" s="1" t="s">
        <v>74</v>
      </c>
      <c r="AK6" s="1" t="s">
        <v>74</v>
      </c>
      <c r="AL6" s="1" t="s">
        <v>74</v>
      </c>
      <c r="AM6" s="1" t="s">
        <v>74</v>
      </c>
      <c r="AN6" s="1" t="s">
        <v>74</v>
      </c>
      <c r="AO6" s="1" t="s">
        <v>120</v>
      </c>
      <c r="AP6" s="1" t="s">
        <v>74</v>
      </c>
      <c r="AQ6" s="1" t="s">
        <v>74</v>
      </c>
      <c r="AR6" s="1" t="s">
        <v>74</v>
      </c>
      <c r="AS6" s="1" t="s">
        <v>74</v>
      </c>
      <c r="AT6" s="1" t="s">
        <v>111</v>
      </c>
      <c r="AU6" s="1">
        <v>2001.0</v>
      </c>
      <c r="AV6" s="1">
        <v>68.0</v>
      </c>
      <c r="AW6" s="1" t="s">
        <v>121</v>
      </c>
      <c r="AX6" s="1" t="s">
        <v>74</v>
      </c>
      <c r="AY6" s="1" t="s">
        <v>74</v>
      </c>
      <c r="AZ6" s="1" t="s">
        <v>74</v>
      </c>
      <c r="BA6" s="1" t="s">
        <v>74</v>
      </c>
      <c r="BB6" s="1">
        <v>338.0</v>
      </c>
      <c r="BC6" s="1">
        <v>349.0</v>
      </c>
      <c r="BD6" s="1" t="s">
        <v>74</v>
      </c>
      <c r="BE6" s="1" t="s">
        <v>122</v>
      </c>
      <c r="BF6" s="2" t="str">
        <f>HYPERLINK("http://dx.doi.org/10.1524/teme.2001.68.7-8.338","http://dx.doi.org/10.1524/teme.2001.68.7-8.338")</f>
        <v>http://dx.doi.org/10.1524/teme.2001.68.7-8.338</v>
      </c>
      <c r="BG6" s="1" t="s">
        <v>74</v>
      </c>
      <c r="BH6" s="1" t="s">
        <v>74</v>
      </c>
      <c r="BI6" s="1" t="s">
        <v>74</v>
      </c>
      <c r="BJ6" s="1" t="s">
        <v>74</v>
      </c>
      <c r="BK6" s="1" t="s">
        <v>74</v>
      </c>
      <c r="BL6" s="1" t="s">
        <v>74</v>
      </c>
      <c r="BM6" s="1" t="s">
        <v>74</v>
      </c>
      <c r="BN6" s="1" t="s">
        <v>74</v>
      </c>
      <c r="BO6" s="1" t="s">
        <v>74</v>
      </c>
      <c r="BP6" s="1" t="s">
        <v>74</v>
      </c>
      <c r="BQ6" s="1" t="s">
        <v>74</v>
      </c>
      <c r="BR6" s="1" t="s">
        <v>74</v>
      </c>
      <c r="BS6" s="1" t="s">
        <v>123</v>
      </c>
      <c r="BT6" s="1" t="str">
        <f>HYPERLINK("https%3A%2F%2Fwww.webofscience.com%2Fwos%2Fwoscc%2Ffull-record%2FWOS:000170787800004","View Full Record in Web of Science")</f>
        <v>View Full Record in Web of Science</v>
      </c>
    </row>
    <row r="7" ht="12.75" customHeight="1">
      <c r="A7" s="1" t="s">
        <v>72</v>
      </c>
      <c r="B7" s="1" t="s">
        <v>124</v>
      </c>
      <c r="C7" s="1" t="s">
        <v>74</v>
      </c>
      <c r="D7" s="1" t="s">
        <v>74</v>
      </c>
      <c r="E7" s="1" t="s">
        <v>74</v>
      </c>
      <c r="F7" s="1" t="s">
        <v>124</v>
      </c>
      <c r="G7" s="1" t="s">
        <v>74</v>
      </c>
      <c r="H7" s="1" t="s">
        <v>74</v>
      </c>
      <c r="I7" s="1" t="s">
        <v>125</v>
      </c>
      <c r="J7" s="1" t="s">
        <v>126</v>
      </c>
      <c r="K7" s="1" t="s">
        <v>74</v>
      </c>
      <c r="L7" s="1" t="s">
        <v>74</v>
      </c>
      <c r="M7" s="1" t="s">
        <v>74</v>
      </c>
      <c r="N7" s="1" t="s">
        <v>74</v>
      </c>
      <c r="O7" s="1" t="s">
        <v>74</v>
      </c>
      <c r="P7" s="1" t="s">
        <v>74</v>
      </c>
      <c r="Q7" s="1" t="s">
        <v>74</v>
      </c>
      <c r="R7" s="1" t="s">
        <v>74</v>
      </c>
      <c r="S7" s="1" t="s">
        <v>74</v>
      </c>
      <c r="T7" s="1" t="s">
        <v>74</v>
      </c>
      <c r="U7" s="1" t="s">
        <v>74</v>
      </c>
      <c r="V7" s="1" t="s">
        <v>127</v>
      </c>
      <c r="W7" s="1" t="s">
        <v>74</v>
      </c>
      <c r="X7" s="1" t="s">
        <v>74</v>
      </c>
      <c r="Y7" s="1" t="s">
        <v>74</v>
      </c>
      <c r="Z7" s="1" t="s">
        <v>74</v>
      </c>
      <c r="AA7" s="1" t="s">
        <v>74</v>
      </c>
      <c r="AB7" s="1" t="s">
        <v>74</v>
      </c>
      <c r="AC7" s="1" t="s">
        <v>74</v>
      </c>
      <c r="AD7" s="1" t="s">
        <v>74</v>
      </c>
      <c r="AE7" s="1" t="s">
        <v>74</v>
      </c>
      <c r="AF7" s="1" t="s">
        <v>74</v>
      </c>
      <c r="AG7" s="1" t="s">
        <v>74</v>
      </c>
      <c r="AH7" s="1" t="s">
        <v>74</v>
      </c>
      <c r="AI7" s="1" t="s">
        <v>74</v>
      </c>
      <c r="AJ7" s="1" t="s">
        <v>74</v>
      </c>
      <c r="AK7" s="1" t="s">
        <v>74</v>
      </c>
      <c r="AL7" s="1" t="s">
        <v>74</v>
      </c>
      <c r="AM7" s="1" t="s">
        <v>74</v>
      </c>
      <c r="AN7" s="1" t="s">
        <v>74</v>
      </c>
      <c r="AO7" s="1" t="s">
        <v>128</v>
      </c>
      <c r="AP7" s="1" t="s">
        <v>74</v>
      </c>
      <c r="AQ7" s="1" t="s">
        <v>74</v>
      </c>
      <c r="AR7" s="1" t="s">
        <v>74</v>
      </c>
      <c r="AS7" s="1" t="s">
        <v>74</v>
      </c>
      <c r="AT7" s="1" t="s">
        <v>129</v>
      </c>
      <c r="AU7" s="1">
        <v>2000.0</v>
      </c>
      <c r="AV7" s="1">
        <v>15.0</v>
      </c>
      <c r="AW7" s="1">
        <v>5.0</v>
      </c>
      <c r="AX7" s="1" t="s">
        <v>74</v>
      </c>
      <c r="AY7" s="1" t="s">
        <v>74</v>
      </c>
      <c r="AZ7" s="1" t="s">
        <v>74</v>
      </c>
      <c r="BA7" s="1" t="s">
        <v>74</v>
      </c>
      <c r="BB7" s="1">
        <v>273.0</v>
      </c>
      <c r="BC7" s="1">
        <v>282.0</v>
      </c>
      <c r="BD7" s="1" t="s">
        <v>74</v>
      </c>
      <c r="BE7" s="1" t="s">
        <v>130</v>
      </c>
      <c r="BF7" s="2" t="str">
        <f>HYPERLINK("http://dx.doi.org/10.1002/1522-7243(200009/10)15:5&lt;273::AID-BIO591&gt;3.0.CO;2-M","http://dx.doi.org/10.1002/1522-7243(200009/10)15:5&lt;273::AID-BIO591&gt;3.0.CO;2-M")</f>
        <v>http://dx.doi.org/10.1002/1522-7243(200009/10)15:5&lt;273::AID-BIO591&gt;3.0.CO;2-M</v>
      </c>
      <c r="BG7" s="1" t="s">
        <v>74</v>
      </c>
      <c r="BH7" s="1" t="s">
        <v>74</v>
      </c>
      <c r="BI7" s="1" t="s">
        <v>74</v>
      </c>
      <c r="BJ7" s="1" t="s">
        <v>74</v>
      </c>
      <c r="BK7" s="1" t="s">
        <v>74</v>
      </c>
      <c r="BL7" s="1" t="s">
        <v>74</v>
      </c>
      <c r="BM7" s="1" t="s">
        <v>74</v>
      </c>
      <c r="BN7" s="1">
        <v>1.1038484E7</v>
      </c>
      <c r="BO7" s="1" t="s">
        <v>74</v>
      </c>
      <c r="BP7" s="1" t="s">
        <v>74</v>
      </c>
      <c r="BQ7" s="1" t="s">
        <v>74</v>
      </c>
      <c r="BR7" s="1" t="s">
        <v>74</v>
      </c>
      <c r="BS7" s="1" t="s">
        <v>131</v>
      </c>
      <c r="BT7" s="1" t="str">
        <f>HYPERLINK("https%3A%2F%2Fwww.webofscience.com%2Fwos%2Fwoscc%2Ffull-record%2FWOS:000090066800002","View Full Record in Web of Science")</f>
        <v>View Full Record in Web of Science</v>
      </c>
    </row>
    <row r="8" ht="12.75" customHeight="1">
      <c r="A8" s="1" t="s">
        <v>72</v>
      </c>
      <c r="B8" s="1" t="s">
        <v>132</v>
      </c>
      <c r="C8" s="1" t="s">
        <v>74</v>
      </c>
      <c r="D8" s="1" t="s">
        <v>74</v>
      </c>
      <c r="E8" s="1" t="s">
        <v>74</v>
      </c>
      <c r="F8" s="1" t="s">
        <v>132</v>
      </c>
      <c r="G8" s="1" t="s">
        <v>74</v>
      </c>
      <c r="H8" s="1" t="s">
        <v>74</v>
      </c>
      <c r="I8" s="1" t="s">
        <v>133</v>
      </c>
      <c r="J8" s="1" t="s">
        <v>134</v>
      </c>
      <c r="K8" s="1" t="s">
        <v>74</v>
      </c>
      <c r="L8" s="1" t="s">
        <v>74</v>
      </c>
      <c r="M8" s="1" t="s">
        <v>74</v>
      </c>
      <c r="N8" s="1" t="s">
        <v>74</v>
      </c>
      <c r="O8" s="1" t="s">
        <v>74</v>
      </c>
      <c r="P8" s="1" t="s">
        <v>74</v>
      </c>
      <c r="Q8" s="1" t="s">
        <v>74</v>
      </c>
      <c r="R8" s="1" t="s">
        <v>74</v>
      </c>
      <c r="S8" s="1" t="s">
        <v>74</v>
      </c>
      <c r="T8" s="1" t="s">
        <v>74</v>
      </c>
      <c r="U8" s="1" t="s">
        <v>74</v>
      </c>
      <c r="V8" s="1" t="s">
        <v>135</v>
      </c>
      <c r="W8" s="1" t="s">
        <v>74</v>
      </c>
      <c r="X8" s="1" t="s">
        <v>74</v>
      </c>
      <c r="Y8" s="1" t="s">
        <v>74</v>
      </c>
      <c r="Z8" s="1" t="s">
        <v>74</v>
      </c>
      <c r="AA8" s="1" t="s">
        <v>136</v>
      </c>
      <c r="AB8" s="1" t="s">
        <v>137</v>
      </c>
      <c r="AC8" s="1" t="s">
        <v>74</v>
      </c>
      <c r="AD8" s="1" t="s">
        <v>74</v>
      </c>
      <c r="AE8" s="1" t="s">
        <v>74</v>
      </c>
      <c r="AF8" s="1" t="s">
        <v>74</v>
      </c>
      <c r="AG8" s="1" t="s">
        <v>74</v>
      </c>
      <c r="AH8" s="1" t="s">
        <v>74</v>
      </c>
      <c r="AI8" s="1" t="s">
        <v>74</v>
      </c>
      <c r="AJ8" s="1" t="s">
        <v>74</v>
      </c>
      <c r="AK8" s="1" t="s">
        <v>74</v>
      </c>
      <c r="AL8" s="1" t="s">
        <v>74</v>
      </c>
      <c r="AM8" s="1" t="s">
        <v>74</v>
      </c>
      <c r="AN8" s="1" t="s">
        <v>74</v>
      </c>
      <c r="AO8" s="1" t="s">
        <v>138</v>
      </c>
      <c r="AP8" s="1" t="s">
        <v>74</v>
      </c>
      <c r="AQ8" s="1" t="s">
        <v>74</v>
      </c>
      <c r="AR8" s="1" t="s">
        <v>74</v>
      </c>
      <c r="AS8" s="1" t="s">
        <v>74</v>
      </c>
      <c r="AT8" s="1" t="s">
        <v>139</v>
      </c>
      <c r="AU8" s="1">
        <v>1997.0</v>
      </c>
      <c r="AV8" s="1">
        <v>768.0</v>
      </c>
      <c r="AW8" s="1" t="s">
        <v>140</v>
      </c>
      <c r="AX8" s="1" t="s">
        <v>74</v>
      </c>
      <c r="AY8" s="1" t="s">
        <v>74</v>
      </c>
      <c r="AZ8" s="1" t="s">
        <v>74</v>
      </c>
      <c r="BA8" s="1" t="s">
        <v>74</v>
      </c>
      <c r="BB8" s="1">
        <v>341.0</v>
      </c>
      <c r="BC8" s="1">
        <v>344.0</v>
      </c>
      <c r="BD8" s="1" t="s">
        <v>74</v>
      </c>
      <c r="BE8" s="1" t="s">
        <v>141</v>
      </c>
      <c r="BF8" s="2" t="str">
        <f>HYPERLINK("http://dx.doi.org/10.1016/S0006-8993(97)00787-7","http://dx.doi.org/10.1016/S0006-8993(97)00787-7")</f>
        <v>http://dx.doi.org/10.1016/S0006-8993(97)00787-7</v>
      </c>
      <c r="BG8" s="1" t="s">
        <v>74</v>
      </c>
      <c r="BH8" s="1" t="s">
        <v>74</v>
      </c>
      <c r="BI8" s="1" t="s">
        <v>74</v>
      </c>
      <c r="BJ8" s="1" t="s">
        <v>74</v>
      </c>
      <c r="BK8" s="1" t="s">
        <v>74</v>
      </c>
      <c r="BL8" s="1" t="s">
        <v>74</v>
      </c>
      <c r="BM8" s="1" t="s">
        <v>74</v>
      </c>
      <c r="BN8" s="1">
        <v>9369335.0</v>
      </c>
      <c r="BO8" s="1" t="s">
        <v>74</v>
      </c>
      <c r="BP8" s="1" t="s">
        <v>74</v>
      </c>
      <c r="BQ8" s="1" t="s">
        <v>74</v>
      </c>
      <c r="BR8" s="1" t="s">
        <v>74</v>
      </c>
      <c r="BS8" s="1" t="s">
        <v>142</v>
      </c>
      <c r="BT8" s="1" t="str">
        <f>HYPERLINK("https%3A%2F%2Fwww.webofscience.com%2Fwos%2Fwoscc%2Ffull-record%2FWOS:A1997YB44200042","View Full Record in Web of Science")</f>
        <v>View Full Record in Web of Science</v>
      </c>
    </row>
    <row r="9" ht="12.75" customHeight="1">
      <c r="A9" s="1" t="s">
        <v>72</v>
      </c>
      <c r="B9" s="1" t="s">
        <v>143</v>
      </c>
      <c r="C9" s="1" t="s">
        <v>74</v>
      </c>
      <c r="D9" s="1" t="s">
        <v>74</v>
      </c>
      <c r="E9" s="1" t="s">
        <v>74</v>
      </c>
      <c r="F9" s="1" t="s">
        <v>143</v>
      </c>
      <c r="G9" s="1" t="s">
        <v>74</v>
      </c>
      <c r="H9" s="1" t="s">
        <v>74</v>
      </c>
      <c r="I9" s="1" t="s">
        <v>144</v>
      </c>
      <c r="J9" s="1" t="s">
        <v>145</v>
      </c>
      <c r="K9" s="1" t="s">
        <v>74</v>
      </c>
      <c r="L9" s="1" t="s">
        <v>74</v>
      </c>
      <c r="M9" s="1" t="s">
        <v>74</v>
      </c>
      <c r="N9" s="1" t="s">
        <v>74</v>
      </c>
      <c r="O9" s="1" t="s">
        <v>74</v>
      </c>
      <c r="P9" s="1" t="s">
        <v>74</v>
      </c>
      <c r="Q9" s="1" t="s">
        <v>74</v>
      </c>
      <c r="R9" s="1" t="s">
        <v>74</v>
      </c>
      <c r="S9" s="1" t="s">
        <v>74</v>
      </c>
      <c r="T9" s="1" t="s">
        <v>74</v>
      </c>
      <c r="U9" s="1" t="s">
        <v>74</v>
      </c>
      <c r="V9" s="1" t="s">
        <v>146</v>
      </c>
      <c r="W9" s="1" t="s">
        <v>74</v>
      </c>
      <c r="X9" s="1" t="s">
        <v>74</v>
      </c>
      <c r="Y9" s="1" t="s">
        <v>74</v>
      </c>
      <c r="Z9" s="1" t="s">
        <v>74</v>
      </c>
      <c r="AA9" s="1" t="s">
        <v>74</v>
      </c>
      <c r="AB9" s="1" t="s">
        <v>74</v>
      </c>
      <c r="AC9" s="1" t="s">
        <v>74</v>
      </c>
      <c r="AD9" s="1" t="s">
        <v>74</v>
      </c>
      <c r="AE9" s="1" t="s">
        <v>74</v>
      </c>
      <c r="AF9" s="1" t="s">
        <v>74</v>
      </c>
      <c r="AG9" s="1" t="s">
        <v>74</v>
      </c>
      <c r="AH9" s="1" t="s">
        <v>74</v>
      </c>
      <c r="AI9" s="1" t="s">
        <v>74</v>
      </c>
      <c r="AJ9" s="1" t="s">
        <v>74</v>
      </c>
      <c r="AK9" s="1" t="s">
        <v>74</v>
      </c>
      <c r="AL9" s="1" t="s">
        <v>74</v>
      </c>
      <c r="AM9" s="1" t="s">
        <v>74</v>
      </c>
      <c r="AN9" s="1" t="s">
        <v>74</v>
      </c>
      <c r="AO9" s="1" t="s">
        <v>147</v>
      </c>
      <c r="AP9" s="1" t="s">
        <v>74</v>
      </c>
      <c r="AQ9" s="1" t="s">
        <v>74</v>
      </c>
      <c r="AR9" s="1" t="s">
        <v>74</v>
      </c>
      <c r="AS9" s="1" t="s">
        <v>74</v>
      </c>
      <c r="AT9" s="1" t="s">
        <v>148</v>
      </c>
      <c r="AU9" s="1">
        <v>1997.0</v>
      </c>
      <c r="AV9" s="1">
        <v>31.0</v>
      </c>
      <c r="AW9" s="1">
        <v>6.0</v>
      </c>
      <c r="AX9" s="1" t="s">
        <v>74</v>
      </c>
      <c r="AY9" s="1" t="s">
        <v>74</v>
      </c>
      <c r="AZ9" s="1" t="s">
        <v>74</v>
      </c>
      <c r="BA9" s="1" t="s">
        <v>74</v>
      </c>
      <c r="BB9" s="1">
        <v>909.0</v>
      </c>
      <c r="BC9" s="1">
        <v>914.0</v>
      </c>
      <c r="BD9" s="1" t="s">
        <v>74</v>
      </c>
      <c r="BE9" s="1" t="s">
        <v>149</v>
      </c>
      <c r="BF9" s="2" t="str">
        <f>HYPERLINK("http://dx.doi.org/10.1016/S1352-2310(96)00271-3","http://dx.doi.org/10.1016/S1352-2310(96)00271-3")</f>
        <v>http://dx.doi.org/10.1016/S1352-2310(96)00271-3</v>
      </c>
      <c r="BG9" s="1" t="s">
        <v>74</v>
      </c>
      <c r="BH9" s="1" t="s">
        <v>74</v>
      </c>
      <c r="BI9" s="1" t="s">
        <v>74</v>
      </c>
      <c r="BJ9" s="1" t="s">
        <v>74</v>
      </c>
      <c r="BK9" s="1" t="s">
        <v>74</v>
      </c>
      <c r="BL9" s="1" t="s">
        <v>74</v>
      </c>
      <c r="BM9" s="1" t="s">
        <v>74</v>
      </c>
      <c r="BN9" s="1" t="s">
        <v>74</v>
      </c>
      <c r="BO9" s="1" t="s">
        <v>74</v>
      </c>
      <c r="BP9" s="1" t="s">
        <v>74</v>
      </c>
      <c r="BQ9" s="1" t="s">
        <v>74</v>
      </c>
      <c r="BR9" s="1" t="s">
        <v>74</v>
      </c>
      <c r="BS9" s="1" t="s">
        <v>150</v>
      </c>
      <c r="BT9" s="1" t="str">
        <f>HYPERLINK("https%3A%2F%2Fwww.webofscience.com%2Fwos%2Fwoscc%2Ffull-record%2FWOS:A1997WB86700014","View Full Record in Web of Science")</f>
        <v>View Full Record in Web of Science</v>
      </c>
    </row>
    <row r="10" ht="12.75" customHeight="1">
      <c r="A10" s="1" t="s">
        <v>72</v>
      </c>
      <c r="B10" s="1" t="s">
        <v>151</v>
      </c>
      <c r="C10" s="1" t="s">
        <v>74</v>
      </c>
      <c r="D10" s="1" t="s">
        <v>74</v>
      </c>
      <c r="E10" s="1" t="s">
        <v>74</v>
      </c>
      <c r="F10" s="1" t="s">
        <v>151</v>
      </c>
      <c r="G10" s="1" t="s">
        <v>74</v>
      </c>
      <c r="H10" s="1" t="s">
        <v>74</v>
      </c>
      <c r="I10" s="1" t="s">
        <v>152</v>
      </c>
      <c r="J10" s="1" t="s">
        <v>153</v>
      </c>
      <c r="K10" s="1" t="s">
        <v>74</v>
      </c>
      <c r="L10" s="1" t="s">
        <v>74</v>
      </c>
      <c r="M10" s="1" t="s">
        <v>74</v>
      </c>
      <c r="N10" s="1" t="s">
        <v>74</v>
      </c>
      <c r="O10" s="1" t="s">
        <v>74</v>
      </c>
      <c r="P10" s="1" t="s">
        <v>74</v>
      </c>
      <c r="Q10" s="1" t="s">
        <v>74</v>
      </c>
      <c r="R10" s="1" t="s">
        <v>74</v>
      </c>
      <c r="S10" s="1" t="s">
        <v>74</v>
      </c>
      <c r="T10" s="1" t="s">
        <v>74</v>
      </c>
      <c r="U10" s="1" t="s">
        <v>74</v>
      </c>
      <c r="V10" s="1" t="s">
        <v>154</v>
      </c>
      <c r="W10" s="1" t="s">
        <v>74</v>
      </c>
      <c r="X10" s="1" t="s">
        <v>74</v>
      </c>
      <c r="Y10" s="1" t="s">
        <v>74</v>
      </c>
      <c r="Z10" s="1" t="s">
        <v>74</v>
      </c>
      <c r="AA10" s="1" t="s">
        <v>74</v>
      </c>
      <c r="AB10" s="1" t="s">
        <v>74</v>
      </c>
      <c r="AC10" s="1" t="s">
        <v>74</v>
      </c>
      <c r="AD10" s="1" t="s">
        <v>74</v>
      </c>
      <c r="AE10" s="1" t="s">
        <v>74</v>
      </c>
      <c r="AF10" s="1" t="s">
        <v>74</v>
      </c>
      <c r="AG10" s="1" t="s">
        <v>74</v>
      </c>
      <c r="AH10" s="1" t="s">
        <v>74</v>
      </c>
      <c r="AI10" s="1" t="s">
        <v>74</v>
      </c>
      <c r="AJ10" s="1" t="s">
        <v>74</v>
      </c>
      <c r="AK10" s="1" t="s">
        <v>74</v>
      </c>
      <c r="AL10" s="1" t="s">
        <v>74</v>
      </c>
      <c r="AM10" s="1" t="s">
        <v>74</v>
      </c>
      <c r="AN10" s="1" t="s">
        <v>74</v>
      </c>
      <c r="AO10" s="1" t="s">
        <v>155</v>
      </c>
      <c r="AP10" s="1" t="s">
        <v>74</v>
      </c>
      <c r="AQ10" s="1" t="s">
        <v>74</v>
      </c>
      <c r="AR10" s="1" t="s">
        <v>74</v>
      </c>
      <c r="AS10" s="1" t="s">
        <v>74</v>
      </c>
      <c r="AT10" s="1" t="s">
        <v>74</v>
      </c>
      <c r="AU10" s="1">
        <v>1997.0</v>
      </c>
      <c r="AV10" s="1">
        <v>31.0</v>
      </c>
      <c r="AW10" s="1">
        <v>1.0</v>
      </c>
      <c r="AX10" s="1" t="s">
        <v>74</v>
      </c>
      <c r="AY10" s="1" t="s">
        <v>74</v>
      </c>
      <c r="AZ10" s="1" t="s">
        <v>74</v>
      </c>
      <c r="BA10" s="1" t="s">
        <v>74</v>
      </c>
      <c r="BB10" s="1">
        <v>57.0</v>
      </c>
      <c r="BC10" s="1">
        <v>76.0</v>
      </c>
      <c r="BD10" s="1" t="s">
        <v>74</v>
      </c>
      <c r="BE10" s="1" t="s">
        <v>74</v>
      </c>
      <c r="BF10" s="1" t="s">
        <v>74</v>
      </c>
      <c r="BG10" s="1" t="s">
        <v>74</v>
      </c>
      <c r="BH10" s="1" t="s">
        <v>74</v>
      </c>
      <c r="BI10" s="1" t="s">
        <v>74</v>
      </c>
      <c r="BJ10" s="1" t="s">
        <v>74</v>
      </c>
      <c r="BK10" s="1" t="s">
        <v>74</v>
      </c>
      <c r="BL10" s="1" t="s">
        <v>74</v>
      </c>
      <c r="BM10" s="1" t="s">
        <v>74</v>
      </c>
      <c r="BN10" s="1" t="s">
        <v>74</v>
      </c>
      <c r="BO10" s="1" t="s">
        <v>74</v>
      </c>
      <c r="BP10" s="1" t="s">
        <v>74</v>
      </c>
      <c r="BQ10" s="1" t="s">
        <v>74</v>
      </c>
      <c r="BR10" s="1" t="s">
        <v>74</v>
      </c>
      <c r="BS10" s="1" t="s">
        <v>156</v>
      </c>
      <c r="BT10" s="1" t="str">
        <f>HYPERLINK("https%3A%2F%2Fwww.webofscience.com%2Fwos%2Fwoscc%2Ffull-record%2FWOS:A1997XH03000004","View Full Record in Web of Science")</f>
        <v>View Full Record in Web of Science</v>
      </c>
    </row>
    <row r="11" ht="12.75" customHeight="1">
      <c r="A11" s="1" t="s">
        <v>72</v>
      </c>
      <c r="B11" s="1" t="s">
        <v>157</v>
      </c>
      <c r="C11" s="1" t="s">
        <v>74</v>
      </c>
      <c r="D11" s="1" t="s">
        <v>74</v>
      </c>
      <c r="E11" s="1" t="s">
        <v>74</v>
      </c>
      <c r="F11" s="1" t="s">
        <v>157</v>
      </c>
      <c r="G11" s="1" t="s">
        <v>74</v>
      </c>
      <c r="H11" s="1" t="s">
        <v>74</v>
      </c>
      <c r="I11" s="1" t="s">
        <v>158</v>
      </c>
      <c r="J11" s="1" t="s">
        <v>159</v>
      </c>
      <c r="K11" s="1" t="s">
        <v>74</v>
      </c>
      <c r="L11" s="1" t="s">
        <v>74</v>
      </c>
      <c r="M11" s="1" t="s">
        <v>74</v>
      </c>
      <c r="N11" s="1" t="s">
        <v>74</v>
      </c>
      <c r="O11" s="1" t="s">
        <v>74</v>
      </c>
      <c r="P11" s="1" t="s">
        <v>74</v>
      </c>
      <c r="Q11" s="1" t="s">
        <v>74</v>
      </c>
      <c r="R11" s="1" t="s">
        <v>74</v>
      </c>
      <c r="S11" s="1" t="s">
        <v>74</v>
      </c>
      <c r="T11" s="1" t="s">
        <v>74</v>
      </c>
      <c r="U11" s="1" t="s">
        <v>74</v>
      </c>
      <c r="V11" s="1" t="s">
        <v>74</v>
      </c>
      <c r="W11" s="1" t="s">
        <v>74</v>
      </c>
      <c r="X11" s="1" t="s">
        <v>74</v>
      </c>
      <c r="Y11" s="1" t="s">
        <v>74</v>
      </c>
      <c r="Z11" s="1" t="s">
        <v>74</v>
      </c>
      <c r="AA11" s="1" t="s">
        <v>74</v>
      </c>
      <c r="AB11" s="1" t="s">
        <v>74</v>
      </c>
      <c r="AC11" s="1" t="s">
        <v>74</v>
      </c>
      <c r="AD11" s="1" t="s">
        <v>74</v>
      </c>
      <c r="AE11" s="1" t="s">
        <v>74</v>
      </c>
      <c r="AF11" s="1" t="s">
        <v>74</v>
      </c>
      <c r="AG11" s="1" t="s">
        <v>74</v>
      </c>
      <c r="AH11" s="1" t="s">
        <v>74</v>
      </c>
      <c r="AI11" s="1" t="s">
        <v>74</v>
      </c>
      <c r="AJ11" s="1" t="s">
        <v>74</v>
      </c>
      <c r="AK11" s="1" t="s">
        <v>74</v>
      </c>
      <c r="AL11" s="1" t="s">
        <v>74</v>
      </c>
      <c r="AM11" s="1" t="s">
        <v>74</v>
      </c>
      <c r="AN11" s="1" t="s">
        <v>74</v>
      </c>
      <c r="AO11" s="1" t="s">
        <v>160</v>
      </c>
      <c r="AP11" s="1" t="s">
        <v>74</v>
      </c>
      <c r="AQ11" s="1" t="s">
        <v>74</v>
      </c>
      <c r="AR11" s="1" t="s">
        <v>74</v>
      </c>
      <c r="AS11" s="1" t="s">
        <v>74</v>
      </c>
      <c r="AT11" s="1" t="s">
        <v>161</v>
      </c>
      <c r="AU11" s="1">
        <v>1995.0</v>
      </c>
      <c r="AV11" s="1">
        <v>35.0</v>
      </c>
      <c r="AW11" s="1" t="s">
        <v>74</v>
      </c>
      <c r="AX11" s="1" t="s">
        <v>74</v>
      </c>
      <c r="AY11" s="1" t="s">
        <v>162</v>
      </c>
      <c r="AZ11" s="1" t="s">
        <v>74</v>
      </c>
      <c r="BA11" s="1" t="s">
        <v>74</v>
      </c>
      <c r="BB11" s="1" t="s">
        <v>163</v>
      </c>
      <c r="BC11" s="1" t="s">
        <v>163</v>
      </c>
      <c r="BD11" s="1" t="s">
        <v>74</v>
      </c>
      <c r="BE11" s="1" t="s">
        <v>74</v>
      </c>
      <c r="BF11" s="1" t="s">
        <v>74</v>
      </c>
      <c r="BG11" s="1" t="s">
        <v>74</v>
      </c>
      <c r="BH11" s="1" t="s">
        <v>74</v>
      </c>
      <c r="BI11" s="1" t="s">
        <v>74</v>
      </c>
      <c r="BJ11" s="1" t="s">
        <v>74</v>
      </c>
      <c r="BK11" s="1" t="s">
        <v>74</v>
      </c>
      <c r="BL11" s="1" t="s">
        <v>74</v>
      </c>
      <c r="BM11" s="1" t="s">
        <v>74</v>
      </c>
      <c r="BN11" s="1" t="s">
        <v>74</v>
      </c>
      <c r="BO11" s="1" t="s">
        <v>74</v>
      </c>
      <c r="BP11" s="1" t="s">
        <v>74</v>
      </c>
      <c r="BQ11" s="1" t="s">
        <v>74</v>
      </c>
      <c r="BR11" s="1" t="s">
        <v>74</v>
      </c>
      <c r="BS11" s="1" t="s">
        <v>164</v>
      </c>
      <c r="BT11" s="1" t="str">
        <f>HYPERLINK("https%3A%2F%2Fwww.webofscience.com%2Fwos%2Fwoscc%2Ffull-record%2FWOS:A1995RZ56200672","View Full Record in Web of Science")</f>
        <v>View Full Record in Web of Science</v>
      </c>
    </row>
    <row r="12" ht="12.75" customHeight="1">
      <c r="A12" s="1" t="s">
        <v>91</v>
      </c>
      <c r="B12" s="1" t="s">
        <v>165</v>
      </c>
      <c r="C12" s="1" t="s">
        <v>74</v>
      </c>
      <c r="D12" s="1" t="s">
        <v>166</v>
      </c>
      <c r="E12" s="1" t="s">
        <v>74</v>
      </c>
      <c r="F12" s="1" t="s">
        <v>165</v>
      </c>
      <c r="G12" s="1" t="s">
        <v>74</v>
      </c>
      <c r="H12" s="1" t="s">
        <v>74</v>
      </c>
      <c r="I12" s="1" t="s">
        <v>167</v>
      </c>
      <c r="J12" s="1" t="s">
        <v>168</v>
      </c>
      <c r="K12" s="1" t="s">
        <v>74</v>
      </c>
      <c r="L12" s="1" t="s">
        <v>74</v>
      </c>
      <c r="M12" s="1" t="s">
        <v>74</v>
      </c>
      <c r="N12" s="1" t="s">
        <v>74</v>
      </c>
      <c r="O12" s="1" t="s">
        <v>169</v>
      </c>
      <c r="P12" s="1" t="s">
        <v>170</v>
      </c>
      <c r="Q12" s="1" t="s">
        <v>171</v>
      </c>
      <c r="R12" s="1" t="s">
        <v>172</v>
      </c>
      <c r="S12" s="1" t="s">
        <v>74</v>
      </c>
      <c r="T12" s="1" t="s">
        <v>74</v>
      </c>
      <c r="U12" s="1" t="s">
        <v>74</v>
      </c>
      <c r="V12" s="1" t="s">
        <v>74</v>
      </c>
      <c r="W12" s="1" t="s">
        <v>74</v>
      </c>
      <c r="X12" s="1" t="s">
        <v>74</v>
      </c>
      <c r="Y12" s="1" t="s">
        <v>74</v>
      </c>
      <c r="Z12" s="1" t="s">
        <v>74</v>
      </c>
      <c r="AA12" s="1" t="s">
        <v>74</v>
      </c>
      <c r="AB12" s="1" t="s">
        <v>74</v>
      </c>
      <c r="AC12" s="1" t="s">
        <v>74</v>
      </c>
      <c r="AD12" s="1" t="s">
        <v>74</v>
      </c>
      <c r="AE12" s="1" t="s">
        <v>74</v>
      </c>
      <c r="AF12" s="1" t="s">
        <v>74</v>
      </c>
      <c r="AG12" s="1" t="s">
        <v>74</v>
      </c>
      <c r="AH12" s="1" t="s">
        <v>74</v>
      </c>
      <c r="AI12" s="1" t="s">
        <v>74</v>
      </c>
      <c r="AJ12" s="1" t="s">
        <v>74</v>
      </c>
      <c r="AK12" s="1" t="s">
        <v>74</v>
      </c>
      <c r="AL12" s="1" t="s">
        <v>74</v>
      </c>
      <c r="AM12" s="1" t="s">
        <v>74</v>
      </c>
      <c r="AN12" s="1" t="s">
        <v>74</v>
      </c>
      <c r="AO12" s="1" t="s">
        <v>74</v>
      </c>
      <c r="AP12" s="1" t="s">
        <v>74</v>
      </c>
      <c r="AQ12" s="1" t="s">
        <v>173</v>
      </c>
      <c r="AR12" s="1" t="s">
        <v>74</v>
      </c>
      <c r="AS12" s="1" t="s">
        <v>74</v>
      </c>
      <c r="AT12" s="1" t="s">
        <v>74</v>
      </c>
      <c r="AU12" s="1">
        <v>1995.0</v>
      </c>
      <c r="AV12" s="1" t="s">
        <v>74</v>
      </c>
      <c r="AW12" s="1" t="s">
        <v>74</v>
      </c>
      <c r="AX12" s="1" t="s">
        <v>74</v>
      </c>
      <c r="AY12" s="1" t="s">
        <v>74</v>
      </c>
      <c r="AZ12" s="1" t="s">
        <v>74</v>
      </c>
      <c r="BA12" s="1" t="s">
        <v>74</v>
      </c>
      <c r="BB12" s="1">
        <v>525.0</v>
      </c>
      <c r="BC12" s="1">
        <v>528.0</v>
      </c>
      <c r="BD12" s="1" t="s">
        <v>74</v>
      </c>
      <c r="BE12" s="1" t="s">
        <v>74</v>
      </c>
      <c r="BF12" s="1" t="s">
        <v>74</v>
      </c>
      <c r="BG12" s="1" t="s">
        <v>74</v>
      </c>
      <c r="BH12" s="1" t="s">
        <v>74</v>
      </c>
      <c r="BI12" s="1" t="s">
        <v>74</v>
      </c>
      <c r="BJ12" s="1" t="s">
        <v>74</v>
      </c>
      <c r="BK12" s="1" t="s">
        <v>74</v>
      </c>
      <c r="BL12" s="1" t="s">
        <v>74</v>
      </c>
      <c r="BM12" s="1" t="s">
        <v>74</v>
      </c>
      <c r="BN12" s="1" t="s">
        <v>74</v>
      </c>
      <c r="BO12" s="1" t="s">
        <v>74</v>
      </c>
      <c r="BP12" s="1" t="s">
        <v>74</v>
      </c>
      <c r="BQ12" s="1" t="s">
        <v>74</v>
      </c>
      <c r="BR12" s="1" t="s">
        <v>74</v>
      </c>
      <c r="BS12" s="1" t="s">
        <v>174</v>
      </c>
      <c r="BT12" s="1" t="str">
        <f>HYPERLINK("https%3A%2F%2Fwww.webofscience.com%2Fwos%2Fwoscc%2Ffull-record%2FWOS:A1995BD74X00127","View Full Record in Web of Science")</f>
        <v>View Full Record in Web of Science</v>
      </c>
    </row>
    <row r="13" ht="12.75" customHeight="1">
      <c r="A13" s="1" t="s">
        <v>72</v>
      </c>
      <c r="B13" s="1" t="s">
        <v>175</v>
      </c>
      <c r="C13" s="1" t="s">
        <v>74</v>
      </c>
      <c r="D13" s="1" t="s">
        <v>74</v>
      </c>
      <c r="E13" s="1" t="s">
        <v>74</v>
      </c>
      <c r="F13" s="1" t="s">
        <v>175</v>
      </c>
      <c r="G13" s="1" t="s">
        <v>74</v>
      </c>
      <c r="H13" s="1" t="s">
        <v>74</v>
      </c>
      <c r="I13" s="1" t="s">
        <v>176</v>
      </c>
      <c r="J13" s="1" t="s">
        <v>177</v>
      </c>
      <c r="K13" s="1" t="s">
        <v>74</v>
      </c>
      <c r="L13" s="1" t="s">
        <v>74</v>
      </c>
      <c r="M13" s="1" t="s">
        <v>74</v>
      </c>
      <c r="N13" s="1" t="s">
        <v>74</v>
      </c>
      <c r="O13" s="1" t="s">
        <v>74</v>
      </c>
      <c r="P13" s="1" t="s">
        <v>74</v>
      </c>
      <c r="Q13" s="1" t="s">
        <v>74</v>
      </c>
      <c r="R13" s="1" t="s">
        <v>74</v>
      </c>
      <c r="S13" s="1" t="s">
        <v>74</v>
      </c>
      <c r="T13" s="1" t="s">
        <v>74</v>
      </c>
      <c r="U13" s="1" t="s">
        <v>74</v>
      </c>
      <c r="V13" s="1" t="s">
        <v>178</v>
      </c>
      <c r="W13" s="1" t="s">
        <v>74</v>
      </c>
      <c r="X13" s="1" t="s">
        <v>74</v>
      </c>
      <c r="Y13" s="1" t="s">
        <v>74</v>
      </c>
      <c r="Z13" s="1" t="s">
        <v>74</v>
      </c>
      <c r="AA13" s="1" t="s">
        <v>74</v>
      </c>
      <c r="AB13" s="1" t="s">
        <v>74</v>
      </c>
      <c r="AC13" s="1" t="s">
        <v>74</v>
      </c>
      <c r="AD13" s="1" t="s">
        <v>74</v>
      </c>
      <c r="AE13" s="1" t="s">
        <v>74</v>
      </c>
      <c r="AF13" s="1" t="s">
        <v>74</v>
      </c>
      <c r="AG13" s="1" t="s">
        <v>74</v>
      </c>
      <c r="AH13" s="1" t="s">
        <v>74</v>
      </c>
      <c r="AI13" s="1" t="s">
        <v>74</v>
      </c>
      <c r="AJ13" s="1" t="s">
        <v>74</v>
      </c>
      <c r="AK13" s="1" t="s">
        <v>74</v>
      </c>
      <c r="AL13" s="1" t="s">
        <v>74</v>
      </c>
      <c r="AM13" s="1" t="s">
        <v>74</v>
      </c>
      <c r="AN13" s="1" t="s">
        <v>74</v>
      </c>
      <c r="AO13" s="1" t="s">
        <v>179</v>
      </c>
      <c r="AP13" s="1" t="s">
        <v>74</v>
      </c>
      <c r="AQ13" s="1" t="s">
        <v>74</v>
      </c>
      <c r="AR13" s="1" t="s">
        <v>74</v>
      </c>
      <c r="AS13" s="1" t="s">
        <v>74</v>
      </c>
      <c r="AT13" s="1" t="s">
        <v>180</v>
      </c>
      <c r="AU13" s="1">
        <v>1993.0</v>
      </c>
      <c r="AV13" s="1">
        <v>38.0</v>
      </c>
      <c r="AW13" s="1">
        <v>2.0</v>
      </c>
      <c r="AX13" s="1" t="s">
        <v>74</v>
      </c>
      <c r="AY13" s="1" t="s">
        <v>74</v>
      </c>
      <c r="AZ13" s="1" t="s">
        <v>74</v>
      </c>
      <c r="BA13" s="1" t="s">
        <v>74</v>
      </c>
      <c r="BB13" s="1">
        <v>89.0</v>
      </c>
      <c r="BC13" s="1">
        <v>93.0</v>
      </c>
      <c r="BD13" s="1" t="s">
        <v>74</v>
      </c>
      <c r="BE13" s="1" t="s">
        <v>74</v>
      </c>
      <c r="BF13" s="1" t="s">
        <v>74</v>
      </c>
      <c r="BG13" s="1" t="s">
        <v>74</v>
      </c>
      <c r="BH13" s="1" t="s">
        <v>74</v>
      </c>
      <c r="BI13" s="1" t="s">
        <v>74</v>
      </c>
      <c r="BJ13" s="1" t="s">
        <v>74</v>
      </c>
      <c r="BK13" s="1" t="s">
        <v>74</v>
      </c>
      <c r="BL13" s="1" t="s">
        <v>74</v>
      </c>
      <c r="BM13" s="1" t="s">
        <v>74</v>
      </c>
      <c r="BN13" s="1" t="s">
        <v>74</v>
      </c>
      <c r="BO13" s="1" t="s">
        <v>74</v>
      </c>
      <c r="BP13" s="1" t="s">
        <v>74</v>
      </c>
      <c r="BQ13" s="1" t="s">
        <v>74</v>
      </c>
      <c r="BR13" s="1" t="s">
        <v>74</v>
      </c>
      <c r="BS13" s="1" t="s">
        <v>181</v>
      </c>
      <c r="BT13" s="1" t="str">
        <f>HYPERLINK("https%3A%2F%2Fwww.webofscience.com%2Fwos%2Fwoscc%2Ffull-record%2FWOS:A1993LM47900003","View Full Record in Web of Science")</f>
        <v>View Full Record in Web of Science</v>
      </c>
    </row>
    <row r="14" ht="12.75" customHeight="1">
      <c r="A14" s="1" t="s">
        <v>72</v>
      </c>
      <c r="B14" s="1" t="s">
        <v>182</v>
      </c>
      <c r="C14" s="1" t="s">
        <v>74</v>
      </c>
      <c r="D14" s="1" t="s">
        <v>74</v>
      </c>
      <c r="E14" s="1" t="s">
        <v>74</v>
      </c>
      <c r="F14" s="1" t="s">
        <v>182</v>
      </c>
      <c r="G14" s="1" t="s">
        <v>74</v>
      </c>
      <c r="H14" s="1" t="s">
        <v>74</v>
      </c>
      <c r="I14" s="1" t="s">
        <v>183</v>
      </c>
      <c r="J14" s="1" t="s">
        <v>177</v>
      </c>
      <c r="K14" s="1" t="s">
        <v>74</v>
      </c>
      <c r="L14" s="1" t="s">
        <v>74</v>
      </c>
      <c r="M14" s="1" t="s">
        <v>74</v>
      </c>
      <c r="N14" s="1" t="s">
        <v>74</v>
      </c>
      <c r="O14" s="1" t="s">
        <v>74</v>
      </c>
      <c r="P14" s="1" t="s">
        <v>74</v>
      </c>
      <c r="Q14" s="1" t="s">
        <v>74</v>
      </c>
      <c r="R14" s="1" t="s">
        <v>74</v>
      </c>
      <c r="S14" s="1" t="s">
        <v>74</v>
      </c>
      <c r="T14" s="1" t="s">
        <v>74</v>
      </c>
      <c r="U14" s="1" t="s">
        <v>74</v>
      </c>
      <c r="V14" s="1" t="s">
        <v>184</v>
      </c>
      <c r="W14" s="1" t="s">
        <v>74</v>
      </c>
      <c r="X14" s="1" t="s">
        <v>74</v>
      </c>
      <c r="Y14" s="1" t="s">
        <v>74</v>
      </c>
      <c r="Z14" s="1" t="s">
        <v>74</v>
      </c>
      <c r="AA14" s="1" t="s">
        <v>74</v>
      </c>
      <c r="AB14" s="1" t="s">
        <v>74</v>
      </c>
      <c r="AC14" s="1" t="s">
        <v>74</v>
      </c>
      <c r="AD14" s="1" t="s">
        <v>74</v>
      </c>
      <c r="AE14" s="1" t="s">
        <v>74</v>
      </c>
      <c r="AF14" s="1" t="s">
        <v>74</v>
      </c>
      <c r="AG14" s="1" t="s">
        <v>74</v>
      </c>
      <c r="AH14" s="1" t="s">
        <v>74</v>
      </c>
      <c r="AI14" s="1" t="s">
        <v>74</v>
      </c>
      <c r="AJ14" s="1" t="s">
        <v>74</v>
      </c>
      <c r="AK14" s="1" t="s">
        <v>74</v>
      </c>
      <c r="AL14" s="1" t="s">
        <v>74</v>
      </c>
      <c r="AM14" s="1" t="s">
        <v>74</v>
      </c>
      <c r="AN14" s="1" t="s">
        <v>74</v>
      </c>
      <c r="AO14" s="1" t="s">
        <v>179</v>
      </c>
      <c r="AP14" s="1" t="s">
        <v>74</v>
      </c>
      <c r="AQ14" s="1" t="s">
        <v>74</v>
      </c>
      <c r="AR14" s="1" t="s">
        <v>74</v>
      </c>
      <c r="AS14" s="1" t="s">
        <v>74</v>
      </c>
      <c r="AT14" s="1" t="s">
        <v>88</v>
      </c>
      <c r="AU14" s="1">
        <v>1990.0</v>
      </c>
      <c r="AV14" s="1">
        <v>35.0</v>
      </c>
      <c r="AW14" s="1">
        <v>4.0</v>
      </c>
      <c r="AX14" s="1" t="s">
        <v>74</v>
      </c>
      <c r="AY14" s="1" t="s">
        <v>74</v>
      </c>
      <c r="AZ14" s="1" t="s">
        <v>74</v>
      </c>
      <c r="BA14" s="1" t="s">
        <v>74</v>
      </c>
      <c r="BB14" s="1">
        <v>381.0</v>
      </c>
      <c r="BC14" s="1">
        <v>389.0</v>
      </c>
      <c r="BD14" s="1" t="s">
        <v>74</v>
      </c>
      <c r="BE14" s="1" t="s">
        <v>74</v>
      </c>
      <c r="BF14" s="1" t="s">
        <v>74</v>
      </c>
      <c r="BG14" s="1" t="s">
        <v>74</v>
      </c>
      <c r="BH14" s="1" t="s">
        <v>74</v>
      </c>
      <c r="BI14" s="1" t="s">
        <v>74</v>
      </c>
      <c r="BJ14" s="1" t="s">
        <v>74</v>
      </c>
      <c r="BK14" s="1" t="s">
        <v>74</v>
      </c>
      <c r="BL14" s="1" t="s">
        <v>74</v>
      </c>
      <c r="BM14" s="1" t="s">
        <v>74</v>
      </c>
      <c r="BN14" s="1" t="s">
        <v>74</v>
      </c>
      <c r="BO14" s="1" t="s">
        <v>74</v>
      </c>
      <c r="BP14" s="1" t="s">
        <v>74</v>
      </c>
      <c r="BQ14" s="1" t="s">
        <v>74</v>
      </c>
      <c r="BR14" s="1" t="s">
        <v>74</v>
      </c>
      <c r="BS14" s="1" t="s">
        <v>185</v>
      </c>
      <c r="BT14" s="1" t="str">
        <f>HYPERLINK("https%3A%2F%2Fwww.webofscience.com%2Fwos%2Fwoscc%2Ffull-record%2FWOS:A1990EP89500009","View Full Record in Web of Science")</f>
        <v>View Full Record in Web of Science</v>
      </c>
    </row>
    <row r="15" ht="12.75" customHeight="1">
      <c r="A15" s="1" t="s">
        <v>72</v>
      </c>
      <c r="B15" s="1" t="s">
        <v>182</v>
      </c>
      <c r="C15" s="1" t="s">
        <v>74</v>
      </c>
      <c r="D15" s="1" t="s">
        <v>74</v>
      </c>
      <c r="E15" s="1" t="s">
        <v>74</v>
      </c>
      <c r="F15" s="1" t="s">
        <v>182</v>
      </c>
      <c r="G15" s="1" t="s">
        <v>74</v>
      </c>
      <c r="H15" s="1" t="s">
        <v>74</v>
      </c>
      <c r="I15" s="1" t="s">
        <v>186</v>
      </c>
      <c r="J15" s="1" t="s">
        <v>177</v>
      </c>
      <c r="K15" s="1" t="s">
        <v>74</v>
      </c>
      <c r="L15" s="1" t="s">
        <v>74</v>
      </c>
      <c r="M15" s="1" t="s">
        <v>74</v>
      </c>
      <c r="N15" s="1" t="s">
        <v>74</v>
      </c>
      <c r="O15" s="1" t="s">
        <v>74</v>
      </c>
      <c r="P15" s="1" t="s">
        <v>74</v>
      </c>
      <c r="Q15" s="1" t="s">
        <v>74</v>
      </c>
      <c r="R15" s="1" t="s">
        <v>74</v>
      </c>
      <c r="S15" s="1" t="s">
        <v>74</v>
      </c>
      <c r="T15" s="1" t="s">
        <v>74</v>
      </c>
      <c r="U15" s="1" t="s">
        <v>74</v>
      </c>
      <c r="V15" s="1" t="s">
        <v>74</v>
      </c>
      <c r="W15" s="1" t="s">
        <v>74</v>
      </c>
      <c r="X15" s="1" t="s">
        <v>74</v>
      </c>
      <c r="Y15" s="1" t="s">
        <v>74</v>
      </c>
      <c r="Z15" s="1" t="s">
        <v>74</v>
      </c>
      <c r="AA15" s="1" t="s">
        <v>74</v>
      </c>
      <c r="AB15" s="1" t="s">
        <v>74</v>
      </c>
      <c r="AC15" s="1" t="s">
        <v>74</v>
      </c>
      <c r="AD15" s="1" t="s">
        <v>74</v>
      </c>
      <c r="AE15" s="1" t="s">
        <v>74</v>
      </c>
      <c r="AF15" s="1" t="s">
        <v>74</v>
      </c>
      <c r="AG15" s="1" t="s">
        <v>74</v>
      </c>
      <c r="AH15" s="1" t="s">
        <v>74</v>
      </c>
      <c r="AI15" s="1" t="s">
        <v>74</v>
      </c>
      <c r="AJ15" s="1" t="s">
        <v>74</v>
      </c>
      <c r="AK15" s="1" t="s">
        <v>74</v>
      </c>
      <c r="AL15" s="1" t="s">
        <v>74</v>
      </c>
      <c r="AM15" s="1" t="s">
        <v>74</v>
      </c>
      <c r="AN15" s="1" t="s">
        <v>74</v>
      </c>
      <c r="AO15" s="1" t="s">
        <v>179</v>
      </c>
      <c r="AP15" s="1" t="s">
        <v>74</v>
      </c>
      <c r="AQ15" s="1" t="s">
        <v>74</v>
      </c>
      <c r="AR15" s="1" t="s">
        <v>74</v>
      </c>
      <c r="AS15" s="1" t="s">
        <v>74</v>
      </c>
      <c r="AT15" s="1" t="s">
        <v>180</v>
      </c>
      <c r="AU15" s="1">
        <v>1989.0</v>
      </c>
      <c r="AV15" s="1">
        <v>34.0</v>
      </c>
      <c r="AW15" s="1">
        <v>2.0</v>
      </c>
      <c r="AX15" s="1" t="s">
        <v>74</v>
      </c>
      <c r="AY15" s="1" t="s">
        <v>74</v>
      </c>
      <c r="AZ15" s="1" t="s">
        <v>74</v>
      </c>
      <c r="BA15" s="1" t="s">
        <v>74</v>
      </c>
      <c r="BB15" s="1">
        <v>67.0</v>
      </c>
      <c r="BC15" s="1">
        <v>78.0</v>
      </c>
      <c r="BD15" s="1" t="s">
        <v>74</v>
      </c>
      <c r="BE15" s="1" t="s">
        <v>74</v>
      </c>
      <c r="BF15" s="1" t="s">
        <v>74</v>
      </c>
      <c r="BG15" s="1" t="s">
        <v>74</v>
      </c>
      <c r="BH15" s="1" t="s">
        <v>74</v>
      </c>
      <c r="BI15" s="1" t="s">
        <v>74</v>
      </c>
      <c r="BJ15" s="1" t="s">
        <v>74</v>
      </c>
      <c r="BK15" s="1" t="s">
        <v>74</v>
      </c>
      <c r="BL15" s="1" t="s">
        <v>74</v>
      </c>
      <c r="BM15" s="1" t="s">
        <v>74</v>
      </c>
      <c r="BN15" s="1" t="s">
        <v>74</v>
      </c>
      <c r="BO15" s="1" t="s">
        <v>74</v>
      </c>
      <c r="BP15" s="1" t="s">
        <v>74</v>
      </c>
      <c r="BQ15" s="1" t="s">
        <v>74</v>
      </c>
      <c r="BR15" s="1" t="s">
        <v>74</v>
      </c>
      <c r="BS15" s="1" t="s">
        <v>187</v>
      </c>
      <c r="BT15" s="1" t="str">
        <f>HYPERLINK("https%3A%2F%2Fwww.webofscience.com%2Fwos%2Fwoscc%2Ffull-record%2FWOS:A1989AC85900002","View Full Record in Web of Science")</f>
        <v>View Full Record in Web of Science</v>
      </c>
    </row>
    <row r="16" ht="12.75" customHeight="1">
      <c r="A16" s="1" t="s">
        <v>72</v>
      </c>
      <c r="B16" s="1" t="s">
        <v>188</v>
      </c>
      <c r="C16" s="1" t="s">
        <v>74</v>
      </c>
      <c r="D16" s="1" t="s">
        <v>74</v>
      </c>
      <c r="E16" s="1" t="s">
        <v>74</v>
      </c>
      <c r="F16" s="1" t="s">
        <v>188</v>
      </c>
      <c r="G16" s="1" t="s">
        <v>74</v>
      </c>
      <c r="H16" s="1" t="s">
        <v>74</v>
      </c>
      <c r="I16" s="1" t="s">
        <v>189</v>
      </c>
      <c r="J16" s="1" t="s">
        <v>190</v>
      </c>
      <c r="K16" s="1" t="s">
        <v>74</v>
      </c>
      <c r="L16" s="1" t="s">
        <v>74</v>
      </c>
      <c r="M16" s="1" t="s">
        <v>74</v>
      </c>
      <c r="N16" s="1" t="s">
        <v>74</v>
      </c>
      <c r="O16" s="1" t="s">
        <v>74</v>
      </c>
      <c r="P16" s="1" t="s">
        <v>74</v>
      </c>
      <c r="Q16" s="1" t="s">
        <v>74</v>
      </c>
      <c r="R16" s="1" t="s">
        <v>74</v>
      </c>
      <c r="S16" s="1" t="s">
        <v>74</v>
      </c>
      <c r="T16" s="1" t="s">
        <v>74</v>
      </c>
      <c r="U16" s="1" t="s">
        <v>74</v>
      </c>
      <c r="V16" s="1" t="s">
        <v>74</v>
      </c>
      <c r="W16" s="1" t="s">
        <v>74</v>
      </c>
      <c r="X16" s="1" t="s">
        <v>74</v>
      </c>
      <c r="Y16" s="1" t="s">
        <v>74</v>
      </c>
      <c r="Z16" s="1" t="s">
        <v>74</v>
      </c>
      <c r="AA16" s="1" t="s">
        <v>74</v>
      </c>
      <c r="AB16" s="1" t="s">
        <v>74</v>
      </c>
      <c r="AC16" s="1" t="s">
        <v>74</v>
      </c>
      <c r="AD16" s="1" t="s">
        <v>74</v>
      </c>
      <c r="AE16" s="1" t="s">
        <v>74</v>
      </c>
      <c r="AF16" s="1" t="s">
        <v>74</v>
      </c>
      <c r="AG16" s="1" t="s">
        <v>74</v>
      </c>
      <c r="AH16" s="1" t="s">
        <v>74</v>
      </c>
      <c r="AI16" s="1" t="s">
        <v>74</v>
      </c>
      <c r="AJ16" s="1" t="s">
        <v>74</v>
      </c>
      <c r="AK16" s="1" t="s">
        <v>74</v>
      </c>
      <c r="AL16" s="1" t="s">
        <v>74</v>
      </c>
      <c r="AM16" s="1" t="s">
        <v>74</v>
      </c>
      <c r="AN16" s="1" t="s">
        <v>74</v>
      </c>
      <c r="AO16" s="1" t="s">
        <v>191</v>
      </c>
      <c r="AP16" s="1" t="s">
        <v>74</v>
      </c>
      <c r="AQ16" s="1" t="s">
        <v>74</v>
      </c>
      <c r="AR16" s="1" t="s">
        <v>74</v>
      </c>
      <c r="AS16" s="1" t="s">
        <v>74</v>
      </c>
      <c r="AT16" s="1" t="s">
        <v>148</v>
      </c>
      <c r="AU16" s="1">
        <v>1989.0</v>
      </c>
      <c r="AV16" s="1">
        <v>98.0</v>
      </c>
      <c r="AW16" s="1">
        <v>3.0</v>
      </c>
      <c r="AX16" s="1" t="s">
        <v>74</v>
      </c>
      <c r="AY16" s="1" t="s">
        <v>74</v>
      </c>
      <c r="AZ16" s="1" t="s">
        <v>74</v>
      </c>
      <c r="BA16" s="1" t="s">
        <v>74</v>
      </c>
      <c r="BB16" s="1">
        <v>173.0</v>
      </c>
      <c r="BC16" s="1">
        <v>178.0</v>
      </c>
      <c r="BD16" s="1" t="s">
        <v>74</v>
      </c>
      <c r="BE16" s="1" t="s">
        <v>74</v>
      </c>
      <c r="BF16" s="1" t="s">
        <v>74</v>
      </c>
      <c r="BG16" s="1" t="s">
        <v>74</v>
      </c>
      <c r="BH16" s="1" t="s">
        <v>74</v>
      </c>
      <c r="BI16" s="1" t="s">
        <v>74</v>
      </c>
      <c r="BJ16" s="1" t="s">
        <v>74</v>
      </c>
      <c r="BK16" s="1" t="s">
        <v>74</v>
      </c>
      <c r="BL16" s="1" t="s">
        <v>74</v>
      </c>
      <c r="BM16" s="1" t="s">
        <v>74</v>
      </c>
      <c r="BN16" s="1" t="s">
        <v>74</v>
      </c>
      <c r="BO16" s="1" t="s">
        <v>74</v>
      </c>
      <c r="BP16" s="1" t="s">
        <v>74</v>
      </c>
      <c r="BQ16" s="1" t="s">
        <v>74</v>
      </c>
      <c r="BR16" s="1" t="s">
        <v>74</v>
      </c>
      <c r="BS16" s="1" t="s">
        <v>192</v>
      </c>
      <c r="BT16" s="1" t="str">
        <f>HYPERLINK("https%3A%2F%2Fwww.webofscience.com%2Fwos%2Fwoscc%2Ffull-record%2FWOS:A1989U582000003","View Full Record in Web of Science")</f>
        <v>View Full Record in Web of Science</v>
      </c>
    </row>
    <row r="17" ht="12.75" customHeight="1">
      <c r="A17" s="1" t="s">
        <v>72</v>
      </c>
      <c r="B17" s="1" t="s">
        <v>193</v>
      </c>
      <c r="C17" s="1" t="s">
        <v>74</v>
      </c>
      <c r="D17" s="1" t="s">
        <v>74</v>
      </c>
      <c r="E17" s="1" t="s">
        <v>74</v>
      </c>
      <c r="F17" s="1" t="s">
        <v>193</v>
      </c>
      <c r="G17" s="1" t="s">
        <v>74</v>
      </c>
      <c r="H17" s="1" t="s">
        <v>74</v>
      </c>
      <c r="I17" s="1" t="s">
        <v>194</v>
      </c>
      <c r="J17" s="1" t="s">
        <v>195</v>
      </c>
      <c r="K17" s="1" t="s">
        <v>74</v>
      </c>
      <c r="L17" s="1" t="s">
        <v>74</v>
      </c>
      <c r="M17" s="1" t="s">
        <v>74</v>
      </c>
      <c r="N17" s="1" t="s">
        <v>74</v>
      </c>
      <c r="O17" s="1" t="s">
        <v>74</v>
      </c>
      <c r="P17" s="1" t="s">
        <v>74</v>
      </c>
      <c r="Q17" s="1" t="s">
        <v>74</v>
      </c>
      <c r="R17" s="1" t="s">
        <v>74</v>
      </c>
      <c r="S17" s="1" t="s">
        <v>74</v>
      </c>
      <c r="T17" s="1" t="s">
        <v>74</v>
      </c>
      <c r="U17" s="1" t="s">
        <v>74</v>
      </c>
      <c r="V17" s="1" t="s">
        <v>196</v>
      </c>
      <c r="W17" s="1" t="s">
        <v>74</v>
      </c>
      <c r="X17" s="1" t="s">
        <v>74</v>
      </c>
      <c r="Y17" s="1" t="s">
        <v>74</v>
      </c>
      <c r="Z17" s="1" t="s">
        <v>74</v>
      </c>
      <c r="AA17" s="1" t="s">
        <v>74</v>
      </c>
      <c r="AB17" s="1" t="s">
        <v>74</v>
      </c>
      <c r="AC17" s="1" t="s">
        <v>74</v>
      </c>
      <c r="AD17" s="1" t="s">
        <v>74</v>
      </c>
      <c r="AE17" s="1" t="s">
        <v>74</v>
      </c>
      <c r="AF17" s="1" t="s">
        <v>74</v>
      </c>
      <c r="AG17" s="1" t="s">
        <v>74</v>
      </c>
      <c r="AH17" s="1" t="s">
        <v>74</v>
      </c>
      <c r="AI17" s="1" t="s">
        <v>74</v>
      </c>
      <c r="AJ17" s="1" t="s">
        <v>74</v>
      </c>
      <c r="AK17" s="1" t="s">
        <v>74</v>
      </c>
      <c r="AL17" s="1" t="s">
        <v>74</v>
      </c>
      <c r="AM17" s="1" t="s">
        <v>74</v>
      </c>
      <c r="AN17" s="1" t="s">
        <v>74</v>
      </c>
      <c r="AO17" s="1" t="s">
        <v>197</v>
      </c>
      <c r="AP17" s="1" t="s">
        <v>198</v>
      </c>
      <c r="AQ17" s="1" t="s">
        <v>74</v>
      </c>
      <c r="AR17" s="1" t="s">
        <v>74</v>
      </c>
      <c r="AS17" s="1" t="s">
        <v>74</v>
      </c>
      <c r="AT17" s="1" t="s">
        <v>74</v>
      </c>
      <c r="AU17" s="1">
        <v>1988.0</v>
      </c>
      <c r="AV17" s="1">
        <v>4.0</v>
      </c>
      <c r="AW17" s="1">
        <v>2.0</v>
      </c>
      <c r="AX17" s="1" t="s">
        <v>74</v>
      </c>
      <c r="AY17" s="1" t="s">
        <v>74</v>
      </c>
      <c r="AZ17" s="1" t="s">
        <v>74</v>
      </c>
      <c r="BA17" s="1" t="s">
        <v>74</v>
      </c>
      <c r="BB17" s="1">
        <v>93.0</v>
      </c>
      <c r="BC17" s="1">
        <v>97.0</v>
      </c>
      <c r="BD17" s="1" t="s">
        <v>74</v>
      </c>
      <c r="BE17" s="1" t="s">
        <v>199</v>
      </c>
      <c r="BF17" s="2" t="str">
        <f>HYPERLINK("http://dx.doi.org/10.1016/0891-5849(88)90069-X","http://dx.doi.org/10.1016/0891-5849(88)90069-X")</f>
        <v>http://dx.doi.org/10.1016/0891-5849(88)90069-X</v>
      </c>
      <c r="BG17" s="1" t="s">
        <v>74</v>
      </c>
      <c r="BH17" s="1" t="s">
        <v>74</v>
      </c>
      <c r="BI17" s="1" t="s">
        <v>74</v>
      </c>
      <c r="BJ17" s="1" t="s">
        <v>74</v>
      </c>
      <c r="BK17" s="1" t="s">
        <v>74</v>
      </c>
      <c r="BL17" s="1" t="s">
        <v>74</v>
      </c>
      <c r="BM17" s="1" t="s">
        <v>74</v>
      </c>
      <c r="BN17" s="1">
        <v>3345922.0</v>
      </c>
      <c r="BO17" s="1" t="s">
        <v>74</v>
      </c>
      <c r="BP17" s="1" t="s">
        <v>74</v>
      </c>
      <c r="BQ17" s="1" t="s">
        <v>74</v>
      </c>
      <c r="BR17" s="1" t="s">
        <v>74</v>
      </c>
      <c r="BS17" s="1" t="s">
        <v>200</v>
      </c>
      <c r="BT17" s="1" t="str">
        <f>HYPERLINK("https%3A%2F%2Fwww.webofscience.com%2Fwos%2Fwoscc%2Ffull-record%2FWOS:A1988L945600004","View Full Record in Web of Science")</f>
        <v>View Full Record in Web of Science</v>
      </c>
    </row>
    <row r="18" ht="12.75" customHeight="1">
      <c r="A18" s="1" t="s">
        <v>72</v>
      </c>
      <c r="B18" s="1" t="s">
        <v>201</v>
      </c>
      <c r="C18" s="1" t="s">
        <v>74</v>
      </c>
      <c r="D18" s="1" t="s">
        <v>74</v>
      </c>
      <c r="E18" s="1" t="s">
        <v>74</v>
      </c>
      <c r="F18" s="1" t="s">
        <v>201</v>
      </c>
      <c r="G18" s="1" t="s">
        <v>74</v>
      </c>
      <c r="H18" s="1" t="s">
        <v>74</v>
      </c>
      <c r="I18" s="1" t="s">
        <v>202</v>
      </c>
      <c r="J18" s="1" t="s">
        <v>203</v>
      </c>
      <c r="K18" s="1" t="s">
        <v>74</v>
      </c>
      <c r="L18" s="1" t="s">
        <v>74</v>
      </c>
      <c r="M18" s="1" t="s">
        <v>74</v>
      </c>
      <c r="N18" s="1" t="s">
        <v>74</v>
      </c>
      <c r="O18" s="1" t="s">
        <v>74</v>
      </c>
      <c r="P18" s="1" t="s">
        <v>74</v>
      </c>
      <c r="Q18" s="1" t="s">
        <v>74</v>
      </c>
      <c r="R18" s="1" t="s">
        <v>74</v>
      </c>
      <c r="S18" s="1" t="s">
        <v>74</v>
      </c>
      <c r="T18" s="1" t="s">
        <v>74</v>
      </c>
      <c r="U18" s="1" t="s">
        <v>74</v>
      </c>
      <c r="V18" s="1" t="s">
        <v>74</v>
      </c>
      <c r="W18" s="1" t="s">
        <v>74</v>
      </c>
      <c r="X18" s="1" t="s">
        <v>74</v>
      </c>
      <c r="Y18" s="1" t="s">
        <v>74</v>
      </c>
      <c r="Z18" s="1" t="s">
        <v>74</v>
      </c>
      <c r="AA18" s="1" t="s">
        <v>74</v>
      </c>
      <c r="AB18" s="1" t="s">
        <v>74</v>
      </c>
      <c r="AC18" s="1" t="s">
        <v>74</v>
      </c>
      <c r="AD18" s="1" t="s">
        <v>74</v>
      </c>
      <c r="AE18" s="1" t="s">
        <v>74</v>
      </c>
      <c r="AF18" s="1" t="s">
        <v>74</v>
      </c>
      <c r="AG18" s="1" t="s">
        <v>74</v>
      </c>
      <c r="AH18" s="1" t="s">
        <v>74</v>
      </c>
      <c r="AI18" s="1" t="s">
        <v>74</v>
      </c>
      <c r="AJ18" s="1" t="s">
        <v>74</v>
      </c>
      <c r="AK18" s="1" t="s">
        <v>74</v>
      </c>
      <c r="AL18" s="1" t="s">
        <v>74</v>
      </c>
      <c r="AM18" s="1" t="s">
        <v>74</v>
      </c>
      <c r="AN18" s="1" t="s">
        <v>74</v>
      </c>
      <c r="AO18" s="1" t="s">
        <v>204</v>
      </c>
      <c r="AP18" s="1" t="s">
        <v>74</v>
      </c>
      <c r="AQ18" s="1" t="s">
        <v>74</v>
      </c>
      <c r="AR18" s="1" t="s">
        <v>74</v>
      </c>
      <c r="AS18" s="1" t="s">
        <v>74</v>
      </c>
      <c r="AT18" s="1" t="s">
        <v>205</v>
      </c>
      <c r="AU18" s="1">
        <v>1987.0</v>
      </c>
      <c r="AV18" s="1">
        <v>20.0</v>
      </c>
      <c r="AW18" s="1">
        <v>2.0</v>
      </c>
      <c r="AX18" s="1" t="s">
        <v>74</v>
      </c>
      <c r="AY18" s="1" t="s">
        <v>74</v>
      </c>
      <c r="AZ18" s="1" t="s">
        <v>74</v>
      </c>
      <c r="BA18" s="1" t="s">
        <v>74</v>
      </c>
      <c r="BB18" s="1" t="s">
        <v>206</v>
      </c>
      <c r="BC18" s="1" t="s">
        <v>206</v>
      </c>
      <c r="BD18" s="1" t="s">
        <v>74</v>
      </c>
      <c r="BE18" s="1" t="s">
        <v>74</v>
      </c>
      <c r="BF18" s="1" t="s">
        <v>74</v>
      </c>
      <c r="BG18" s="1" t="s">
        <v>74</v>
      </c>
      <c r="BH18" s="1" t="s">
        <v>74</v>
      </c>
      <c r="BI18" s="1" t="s">
        <v>74</v>
      </c>
      <c r="BJ18" s="1" t="s">
        <v>74</v>
      </c>
      <c r="BK18" s="1" t="s">
        <v>74</v>
      </c>
      <c r="BL18" s="1" t="s">
        <v>74</v>
      </c>
      <c r="BM18" s="1" t="s">
        <v>74</v>
      </c>
      <c r="BN18" s="1" t="s">
        <v>74</v>
      </c>
      <c r="BO18" s="1" t="s">
        <v>74</v>
      </c>
      <c r="BP18" s="1" t="s">
        <v>74</v>
      </c>
      <c r="BQ18" s="1" t="s">
        <v>74</v>
      </c>
      <c r="BR18" s="1" t="s">
        <v>74</v>
      </c>
      <c r="BS18" s="1" t="s">
        <v>207</v>
      </c>
      <c r="BT18" s="1" t="str">
        <f>HYPERLINK("https%3A%2F%2Fwww.webofscience.com%2Fwos%2Fwoscc%2Ffull-record%2FWOS:A1987L151200380","View Full Record in Web of Science")</f>
        <v>View Full Record in Web of Science</v>
      </c>
    </row>
    <row r="19" ht="12.75" customHeight="1">
      <c r="A19" s="1" t="s">
        <v>72</v>
      </c>
      <c r="B19" s="1" t="s">
        <v>208</v>
      </c>
      <c r="C19" s="1" t="s">
        <v>74</v>
      </c>
      <c r="D19" s="1" t="s">
        <v>74</v>
      </c>
      <c r="E19" s="1" t="s">
        <v>74</v>
      </c>
      <c r="F19" s="1" t="s">
        <v>208</v>
      </c>
      <c r="G19" s="1" t="s">
        <v>74</v>
      </c>
      <c r="H19" s="1" t="s">
        <v>74</v>
      </c>
      <c r="I19" s="1" t="s">
        <v>209</v>
      </c>
      <c r="J19" s="1" t="s">
        <v>210</v>
      </c>
      <c r="K19" s="1" t="s">
        <v>74</v>
      </c>
      <c r="L19" s="1" t="s">
        <v>74</v>
      </c>
      <c r="M19" s="1" t="s">
        <v>74</v>
      </c>
      <c r="N19" s="1" t="s">
        <v>74</v>
      </c>
      <c r="O19" s="1" t="s">
        <v>74</v>
      </c>
      <c r="P19" s="1" t="s">
        <v>74</v>
      </c>
      <c r="Q19" s="1" t="s">
        <v>74</v>
      </c>
      <c r="R19" s="1" t="s">
        <v>74</v>
      </c>
      <c r="S19" s="1" t="s">
        <v>74</v>
      </c>
      <c r="T19" s="1" t="s">
        <v>74</v>
      </c>
      <c r="U19" s="1" t="s">
        <v>74</v>
      </c>
      <c r="V19" s="1" t="s">
        <v>74</v>
      </c>
      <c r="W19" s="1" t="s">
        <v>74</v>
      </c>
      <c r="X19" s="1" t="s">
        <v>74</v>
      </c>
      <c r="Y19" s="1" t="s">
        <v>74</v>
      </c>
      <c r="Z19" s="1" t="s">
        <v>74</v>
      </c>
      <c r="AA19" s="1" t="s">
        <v>74</v>
      </c>
      <c r="AB19" s="1" t="s">
        <v>74</v>
      </c>
      <c r="AC19" s="1" t="s">
        <v>74</v>
      </c>
      <c r="AD19" s="1" t="s">
        <v>74</v>
      </c>
      <c r="AE19" s="1" t="s">
        <v>74</v>
      </c>
      <c r="AF19" s="1" t="s">
        <v>74</v>
      </c>
      <c r="AG19" s="1" t="s">
        <v>74</v>
      </c>
      <c r="AH19" s="1" t="s">
        <v>74</v>
      </c>
      <c r="AI19" s="1" t="s">
        <v>74</v>
      </c>
      <c r="AJ19" s="1" t="s">
        <v>74</v>
      </c>
      <c r="AK19" s="1" t="s">
        <v>74</v>
      </c>
      <c r="AL19" s="1" t="s">
        <v>74</v>
      </c>
      <c r="AM19" s="1" t="s">
        <v>74</v>
      </c>
      <c r="AN19" s="1" t="s">
        <v>74</v>
      </c>
      <c r="AO19" s="1" t="s">
        <v>211</v>
      </c>
      <c r="AP19" s="1" t="s">
        <v>74</v>
      </c>
      <c r="AQ19" s="1" t="s">
        <v>74</v>
      </c>
      <c r="AR19" s="1" t="s">
        <v>74</v>
      </c>
      <c r="AS19" s="1" t="s">
        <v>74</v>
      </c>
      <c r="AT19" s="1" t="s">
        <v>74</v>
      </c>
      <c r="AU19" s="1">
        <v>1983.0</v>
      </c>
      <c r="AV19" s="1">
        <v>60.0</v>
      </c>
      <c r="AW19" s="1">
        <v>4.0</v>
      </c>
      <c r="AX19" s="1" t="s">
        <v>74</v>
      </c>
      <c r="AY19" s="1" t="s">
        <v>74</v>
      </c>
      <c r="AZ19" s="1" t="s">
        <v>74</v>
      </c>
      <c r="BA19" s="1" t="s">
        <v>74</v>
      </c>
      <c r="BB19" s="1">
        <v>743.0</v>
      </c>
      <c r="BC19" s="1">
        <v>744.0</v>
      </c>
      <c r="BD19" s="1" t="s">
        <v>74</v>
      </c>
      <c r="BE19" s="1" t="s">
        <v>74</v>
      </c>
      <c r="BF19" s="1" t="s">
        <v>74</v>
      </c>
      <c r="BG19" s="1" t="s">
        <v>74</v>
      </c>
      <c r="BH19" s="1" t="s">
        <v>74</v>
      </c>
      <c r="BI19" s="1" t="s">
        <v>74</v>
      </c>
      <c r="BJ19" s="1" t="s">
        <v>74</v>
      </c>
      <c r="BK19" s="1" t="s">
        <v>74</v>
      </c>
      <c r="BL19" s="1" t="s">
        <v>74</v>
      </c>
      <c r="BM19" s="1" t="s">
        <v>74</v>
      </c>
      <c r="BN19" s="1" t="s">
        <v>74</v>
      </c>
      <c r="BO19" s="1" t="s">
        <v>74</v>
      </c>
      <c r="BP19" s="1" t="s">
        <v>74</v>
      </c>
      <c r="BQ19" s="1" t="s">
        <v>74</v>
      </c>
      <c r="BR19" s="1" t="s">
        <v>74</v>
      </c>
      <c r="BS19" s="1" t="s">
        <v>212</v>
      </c>
      <c r="BT19" s="1" t="str">
        <f>HYPERLINK("https%3A%2F%2Fwww.webofscience.com%2Fwos%2Fwoscc%2Ffull-record%2FWOS:A1983QL66600268","View Full Record in Web of Science")</f>
        <v>View Full Record in Web of Science</v>
      </c>
    </row>
    <row r="20" ht="12.75" customHeight="1">
      <c r="A20" s="1" t="s">
        <v>72</v>
      </c>
      <c r="B20" s="1" t="s">
        <v>213</v>
      </c>
      <c r="C20" s="1" t="s">
        <v>74</v>
      </c>
      <c r="D20" s="1" t="s">
        <v>74</v>
      </c>
      <c r="E20" s="1" t="s">
        <v>74</v>
      </c>
      <c r="F20" s="1" t="s">
        <v>213</v>
      </c>
      <c r="G20" s="1" t="s">
        <v>74</v>
      </c>
      <c r="H20" s="1" t="s">
        <v>74</v>
      </c>
      <c r="I20" s="1" t="s">
        <v>214</v>
      </c>
      <c r="J20" s="1" t="s">
        <v>215</v>
      </c>
      <c r="K20" s="1" t="s">
        <v>74</v>
      </c>
      <c r="L20" s="1" t="s">
        <v>74</v>
      </c>
      <c r="M20" s="1" t="s">
        <v>74</v>
      </c>
      <c r="N20" s="1" t="s">
        <v>74</v>
      </c>
      <c r="O20" s="1" t="s">
        <v>74</v>
      </c>
      <c r="P20" s="1" t="s">
        <v>74</v>
      </c>
      <c r="Q20" s="1" t="s">
        <v>74</v>
      </c>
      <c r="R20" s="1" t="s">
        <v>74</v>
      </c>
      <c r="S20" s="1" t="s">
        <v>74</v>
      </c>
      <c r="T20" s="1" t="s">
        <v>74</v>
      </c>
      <c r="U20" s="1" t="s">
        <v>74</v>
      </c>
      <c r="V20" s="1" t="s">
        <v>74</v>
      </c>
      <c r="W20" s="1" t="s">
        <v>74</v>
      </c>
      <c r="X20" s="1" t="s">
        <v>74</v>
      </c>
      <c r="Y20" s="1" t="s">
        <v>74</v>
      </c>
      <c r="Z20" s="1" t="s">
        <v>74</v>
      </c>
      <c r="AA20" s="1" t="s">
        <v>74</v>
      </c>
      <c r="AB20" s="1" t="s">
        <v>74</v>
      </c>
      <c r="AC20" s="1" t="s">
        <v>74</v>
      </c>
      <c r="AD20" s="1" t="s">
        <v>74</v>
      </c>
      <c r="AE20" s="1" t="s">
        <v>74</v>
      </c>
      <c r="AF20" s="1" t="s">
        <v>74</v>
      </c>
      <c r="AG20" s="1" t="s">
        <v>74</v>
      </c>
      <c r="AH20" s="1" t="s">
        <v>74</v>
      </c>
      <c r="AI20" s="1" t="s">
        <v>74</v>
      </c>
      <c r="AJ20" s="1" t="s">
        <v>74</v>
      </c>
      <c r="AK20" s="1" t="s">
        <v>74</v>
      </c>
      <c r="AL20" s="1" t="s">
        <v>74</v>
      </c>
      <c r="AM20" s="1" t="s">
        <v>74</v>
      </c>
      <c r="AN20" s="1" t="s">
        <v>74</v>
      </c>
      <c r="AO20" s="1" t="s">
        <v>216</v>
      </c>
      <c r="AP20" s="1" t="s">
        <v>74</v>
      </c>
      <c r="AQ20" s="1" t="s">
        <v>74</v>
      </c>
      <c r="AR20" s="1" t="s">
        <v>74</v>
      </c>
      <c r="AS20" s="1" t="s">
        <v>74</v>
      </c>
      <c r="AT20" s="1" t="s">
        <v>74</v>
      </c>
      <c r="AU20" s="1">
        <v>1981.0</v>
      </c>
      <c r="AV20" s="1">
        <v>16.0</v>
      </c>
      <c r="AW20" s="1">
        <v>1.0</v>
      </c>
      <c r="AX20" s="1" t="s">
        <v>74</v>
      </c>
      <c r="AY20" s="1" t="s">
        <v>74</v>
      </c>
      <c r="AZ20" s="1" t="s">
        <v>74</v>
      </c>
      <c r="BA20" s="1" t="s">
        <v>74</v>
      </c>
      <c r="BB20" s="1">
        <v>43.0</v>
      </c>
      <c r="BC20" s="1">
        <v>49.0</v>
      </c>
      <c r="BD20" s="1" t="s">
        <v>74</v>
      </c>
      <c r="BE20" s="1" t="s">
        <v>217</v>
      </c>
      <c r="BF20" s="2" t="str">
        <f>HYPERLINK("http://dx.doi.org/10.1016/0047-2670(81)80016-0","http://dx.doi.org/10.1016/0047-2670(81)80016-0")</f>
        <v>http://dx.doi.org/10.1016/0047-2670(81)80016-0</v>
      </c>
      <c r="BG20" s="1" t="s">
        <v>74</v>
      </c>
      <c r="BH20" s="1" t="s">
        <v>74</v>
      </c>
      <c r="BI20" s="1" t="s">
        <v>74</v>
      </c>
      <c r="BJ20" s="1" t="s">
        <v>74</v>
      </c>
      <c r="BK20" s="1" t="s">
        <v>74</v>
      </c>
      <c r="BL20" s="1" t="s">
        <v>74</v>
      </c>
      <c r="BM20" s="1" t="s">
        <v>74</v>
      </c>
      <c r="BN20" s="1" t="s">
        <v>74</v>
      </c>
      <c r="BO20" s="1" t="s">
        <v>74</v>
      </c>
      <c r="BP20" s="1" t="s">
        <v>74</v>
      </c>
      <c r="BQ20" s="1" t="s">
        <v>74</v>
      </c>
      <c r="BR20" s="1" t="s">
        <v>74</v>
      </c>
      <c r="BS20" s="1" t="s">
        <v>218</v>
      </c>
      <c r="BT20" s="1" t="str">
        <f>HYPERLINK("https%3A%2F%2Fwww.webofscience.com%2Fwos%2Fwoscc%2Ffull-record%2FWOS:A1981LS26000005","View Full Record in Web of Science")</f>
        <v>View Full Record in Web of Science</v>
      </c>
    </row>
    <row r="21" ht="12.75" customHeight="1">
      <c r="A21" s="1" t="s">
        <v>72</v>
      </c>
      <c r="B21" s="1" t="s">
        <v>219</v>
      </c>
      <c r="C21" s="1" t="s">
        <v>74</v>
      </c>
      <c r="D21" s="1" t="s">
        <v>74</v>
      </c>
      <c r="E21" s="1" t="s">
        <v>74</v>
      </c>
      <c r="F21" s="1" t="s">
        <v>220</v>
      </c>
      <c r="G21" s="1" t="s">
        <v>74</v>
      </c>
      <c r="H21" s="1" t="s">
        <v>74</v>
      </c>
      <c r="I21" s="1" t="s">
        <v>221</v>
      </c>
      <c r="J21" s="1" t="s">
        <v>222</v>
      </c>
      <c r="K21" s="1" t="s">
        <v>74</v>
      </c>
      <c r="L21" s="1" t="s">
        <v>74</v>
      </c>
      <c r="M21" s="1" t="s">
        <v>74</v>
      </c>
      <c r="N21" s="1" t="s">
        <v>74</v>
      </c>
      <c r="O21" s="1" t="s">
        <v>74</v>
      </c>
      <c r="P21" s="1" t="s">
        <v>74</v>
      </c>
      <c r="Q21" s="1" t="s">
        <v>74</v>
      </c>
      <c r="R21" s="1" t="s">
        <v>74</v>
      </c>
      <c r="S21" s="1" t="s">
        <v>74</v>
      </c>
      <c r="T21" s="1" t="s">
        <v>74</v>
      </c>
      <c r="U21" s="1" t="s">
        <v>74</v>
      </c>
      <c r="V21" s="1" t="s">
        <v>223</v>
      </c>
      <c r="W21" s="1" t="s">
        <v>74</v>
      </c>
      <c r="X21" s="1" t="s">
        <v>74</v>
      </c>
      <c r="Y21" s="1" t="s">
        <v>74</v>
      </c>
      <c r="Z21" s="1" t="s">
        <v>74</v>
      </c>
      <c r="AA21" s="1" t="s">
        <v>224</v>
      </c>
      <c r="AB21" s="1" t="s">
        <v>225</v>
      </c>
      <c r="AC21" s="1" t="s">
        <v>74</v>
      </c>
      <c r="AD21" s="1" t="s">
        <v>74</v>
      </c>
      <c r="AE21" s="1" t="s">
        <v>74</v>
      </c>
      <c r="AF21" s="1" t="s">
        <v>74</v>
      </c>
      <c r="AG21" s="1" t="s">
        <v>74</v>
      </c>
      <c r="AH21" s="1" t="s">
        <v>74</v>
      </c>
      <c r="AI21" s="1" t="s">
        <v>74</v>
      </c>
      <c r="AJ21" s="1" t="s">
        <v>74</v>
      </c>
      <c r="AK21" s="1" t="s">
        <v>74</v>
      </c>
      <c r="AL21" s="1" t="s">
        <v>74</v>
      </c>
      <c r="AM21" s="1" t="s">
        <v>74</v>
      </c>
      <c r="AN21" s="1" t="s">
        <v>74</v>
      </c>
      <c r="AO21" s="1" t="s">
        <v>226</v>
      </c>
      <c r="AP21" s="1" t="s">
        <v>227</v>
      </c>
      <c r="AQ21" s="1" t="s">
        <v>74</v>
      </c>
      <c r="AR21" s="1" t="s">
        <v>74</v>
      </c>
      <c r="AS21" s="1" t="s">
        <v>74</v>
      </c>
      <c r="AT21" s="1" t="s">
        <v>228</v>
      </c>
      <c r="AU21" s="1">
        <v>2025.0</v>
      </c>
      <c r="AV21" s="1">
        <v>101.0</v>
      </c>
      <c r="AW21" s="1">
        <v>2.0</v>
      </c>
      <c r="AX21" s="1" t="s">
        <v>74</v>
      </c>
      <c r="AY21" s="1" t="s">
        <v>74</v>
      </c>
      <c r="AZ21" s="1" t="s">
        <v>74</v>
      </c>
      <c r="BA21" s="1" t="s">
        <v>74</v>
      </c>
      <c r="BB21" s="1">
        <v>262.0</v>
      </c>
      <c r="BC21" s="1">
        <v>265.0</v>
      </c>
      <c r="BD21" s="1" t="s">
        <v>74</v>
      </c>
      <c r="BE21" s="1" t="s">
        <v>229</v>
      </c>
      <c r="BF21" s="2" t="str">
        <f>HYPERLINK("http://dx.doi.org/10.17491/jgsi/2025/174088","http://dx.doi.org/10.17491/jgsi/2025/174088")</f>
        <v>http://dx.doi.org/10.17491/jgsi/2025/174088</v>
      </c>
      <c r="BG21" s="1" t="s">
        <v>74</v>
      </c>
      <c r="BH21" s="1" t="s">
        <v>74</v>
      </c>
      <c r="BI21" s="1" t="s">
        <v>74</v>
      </c>
      <c r="BJ21" s="1" t="s">
        <v>74</v>
      </c>
      <c r="BK21" s="1" t="s">
        <v>74</v>
      </c>
      <c r="BL21" s="1" t="s">
        <v>74</v>
      </c>
      <c r="BM21" s="1" t="s">
        <v>74</v>
      </c>
      <c r="BN21" s="1" t="s">
        <v>74</v>
      </c>
      <c r="BO21" s="1" t="s">
        <v>74</v>
      </c>
      <c r="BP21" s="1" t="s">
        <v>74</v>
      </c>
      <c r="BQ21" s="1" t="s">
        <v>74</v>
      </c>
      <c r="BR21" s="1" t="s">
        <v>74</v>
      </c>
      <c r="BS21" s="1" t="s">
        <v>230</v>
      </c>
      <c r="BT21" s="1" t="str">
        <f>HYPERLINK("https%3A%2F%2Fwww.webofscience.com%2Fwos%2Fwoscc%2Ffull-record%2FWOS:001411313800001","View Full Record in Web of Science")</f>
        <v>View Full Record in Web of Science</v>
      </c>
    </row>
    <row r="22" ht="12.75" customHeight="1">
      <c r="A22" s="1" t="s">
        <v>72</v>
      </c>
      <c r="B22" s="1" t="s">
        <v>231</v>
      </c>
      <c r="C22" s="1" t="s">
        <v>74</v>
      </c>
      <c r="D22" s="1" t="s">
        <v>74</v>
      </c>
      <c r="E22" s="1" t="s">
        <v>74</v>
      </c>
      <c r="F22" s="1" t="s">
        <v>232</v>
      </c>
      <c r="G22" s="1" t="s">
        <v>74</v>
      </c>
      <c r="H22" s="1" t="s">
        <v>74</v>
      </c>
      <c r="I22" s="1" t="s">
        <v>233</v>
      </c>
      <c r="J22" s="1" t="s">
        <v>234</v>
      </c>
      <c r="K22" s="1" t="s">
        <v>74</v>
      </c>
      <c r="L22" s="1" t="s">
        <v>74</v>
      </c>
      <c r="M22" s="1" t="s">
        <v>74</v>
      </c>
      <c r="N22" s="1" t="s">
        <v>74</v>
      </c>
      <c r="O22" s="1" t="s">
        <v>74</v>
      </c>
      <c r="P22" s="1" t="s">
        <v>74</v>
      </c>
      <c r="Q22" s="1" t="s">
        <v>74</v>
      </c>
      <c r="R22" s="1" t="s">
        <v>74</v>
      </c>
      <c r="S22" s="1" t="s">
        <v>74</v>
      </c>
      <c r="T22" s="1" t="s">
        <v>74</v>
      </c>
      <c r="U22" s="1" t="s">
        <v>74</v>
      </c>
      <c r="V22" s="1" t="s">
        <v>235</v>
      </c>
      <c r="W22" s="1" t="s">
        <v>74</v>
      </c>
      <c r="X22" s="1" t="s">
        <v>74</v>
      </c>
      <c r="Y22" s="1" t="s">
        <v>74</v>
      </c>
      <c r="Z22" s="1" t="s">
        <v>74</v>
      </c>
      <c r="AA22" s="1" t="s">
        <v>236</v>
      </c>
      <c r="AB22" s="1" t="s">
        <v>237</v>
      </c>
      <c r="AC22" s="1" t="s">
        <v>74</v>
      </c>
      <c r="AD22" s="1" t="s">
        <v>74</v>
      </c>
      <c r="AE22" s="1" t="s">
        <v>74</v>
      </c>
      <c r="AF22" s="1" t="s">
        <v>74</v>
      </c>
      <c r="AG22" s="1" t="s">
        <v>74</v>
      </c>
      <c r="AH22" s="1" t="s">
        <v>74</v>
      </c>
      <c r="AI22" s="1" t="s">
        <v>74</v>
      </c>
      <c r="AJ22" s="1" t="s">
        <v>74</v>
      </c>
      <c r="AK22" s="1" t="s">
        <v>74</v>
      </c>
      <c r="AL22" s="1" t="s">
        <v>74</v>
      </c>
      <c r="AM22" s="1" t="s">
        <v>74</v>
      </c>
      <c r="AN22" s="1" t="s">
        <v>74</v>
      </c>
      <c r="AO22" s="1" t="s">
        <v>238</v>
      </c>
      <c r="AP22" s="1" t="s">
        <v>74</v>
      </c>
      <c r="AQ22" s="1" t="s">
        <v>74</v>
      </c>
      <c r="AR22" s="1" t="s">
        <v>74</v>
      </c>
      <c r="AS22" s="1" t="s">
        <v>74</v>
      </c>
      <c r="AT22" s="1" t="s">
        <v>74</v>
      </c>
      <c r="AU22" s="1">
        <v>2025.0</v>
      </c>
      <c r="AV22" s="1">
        <v>25.0</v>
      </c>
      <c r="AW22" s="1">
        <v>1.0</v>
      </c>
      <c r="AX22" s="1" t="s">
        <v>74</v>
      </c>
      <c r="AY22" s="1" t="s">
        <v>74</v>
      </c>
      <c r="AZ22" s="1" t="s">
        <v>74</v>
      </c>
      <c r="BA22" s="1" t="s">
        <v>74</v>
      </c>
      <c r="BB22" s="1" t="s">
        <v>74</v>
      </c>
      <c r="BC22" s="1" t="s">
        <v>74</v>
      </c>
      <c r="BD22" s="1" t="s">
        <v>239</v>
      </c>
      <c r="BE22" s="1" t="s">
        <v>240</v>
      </c>
      <c r="BF22" s="2" t="str">
        <f>HYPERLINK("http://dx.doi.org/10.5867/medwave.2025.01.3014","http://dx.doi.org/10.5867/medwave.2025.01.3014")</f>
        <v>http://dx.doi.org/10.5867/medwave.2025.01.3014</v>
      </c>
      <c r="BG22" s="1" t="s">
        <v>74</v>
      </c>
      <c r="BH22" s="1" t="s">
        <v>74</v>
      </c>
      <c r="BI22" s="1" t="s">
        <v>74</v>
      </c>
      <c r="BJ22" s="1" t="s">
        <v>74</v>
      </c>
      <c r="BK22" s="1" t="s">
        <v>74</v>
      </c>
      <c r="BL22" s="1" t="s">
        <v>74</v>
      </c>
      <c r="BM22" s="1" t="s">
        <v>74</v>
      </c>
      <c r="BN22" s="1">
        <v>3.9817917E7</v>
      </c>
      <c r="BO22" s="1" t="s">
        <v>74</v>
      </c>
      <c r="BP22" s="1" t="s">
        <v>74</v>
      </c>
      <c r="BQ22" s="1" t="s">
        <v>74</v>
      </c>
      <c r="BR22" s="1" t="s">
        <v>74</v>
      </c>
      <c r="BS22" s="1" t="s">
        <v>241</v>
      </c>
      <c r="BT22" s="1" t="str">
        <f>HYPERLINK("https%3A%2F%2Fwww.webofscience.com%2Fwos%2Fwoscc%2Ffull-record%2FWOS:001438396300001","View Full Record in Web of Science")</f>
        <v>View Full Record in Web of Science</v>
      </c>
    </row>
    <row r="23" ht="12.75" customHeight="1">
      <c r="A23" s="1" t="s">
        <v>72</v>
      </c>
      <c r="B23" s="1" t="s">
        <v>242</v>
      </c>
      <c r="C23" s="1" t="s">
        <v>74</v>
      </c>
      <c r="D23" s="1" t="s">
        <v>74</v>
      </c>
      <c r="E23" s="1" t="s">
        <v>74</v>
      </c>
      <c r="F23" s="1" t="s">
        <v>243</v>
      </c>
      <c r="G23" s="1" t="s">
        <v>74</v>
      </c>
      <c r="H23" s="1" t="s">
        <v>74</v>
      </c>
      <c r="I23" s="1" t="s">
        <v>244</v>
      </c>
      <c r="J23" s="1" t="s">
        <v>245</v>
      </c>
      <c r="K23" s="1" t="s">
        <v>74</v>
      </c>
      <c r="L23" s="1" t="s">
        <v>74</v>
      </c>
      <c r="M23" s="1" t="s">
        <v>74</v>
      </c>
      <c r="N23" s="1" t="s">
        <v>74</v>
      </c>
      <c r="O23" s="1" t="s">
        <v>74</v>
      </c>
      <c r="P23" s="1" t="s">
        <v>74</v>
      </c>
      <c r="Q23" s="1" t="s">
        <v>74</v>
      </c>
      <c r="R23" s="1" t="s">
        <v>74</v>
      </c>
      <c r="S23" s="1" t="s">
        <v>74</v>
      </c>
      <c r="T23" s="1" t="s">
        <v>74</v>
      </c>
      <c r="U23" s="1" t="s">
        <v>74</v>
      </c>
      <c r="V23" s="1" t="s">
        <v>246</v>
      </c>
      <c r="W23" s="1" t="s">
        <v>74</v>
      </c>
      <c r="X23" s="1" t="s">
        <v>74</v>
      </c>
      <c r="Y23" s="1" t="s">
        <v>74</v>
      </c>
      <c r="Z23" s="1" t="s">
        <v>74</v>
      </c>
      <c r="AA23" s="1" t="s">
        <v>247</v>
      </c>
      <c r="AB23" s="1" t="s">
        <v>248</v>
      </c>
      <c r="AC23" s="1" t="s">
        <v>74</v>
      </c>
      <c r="AD23" s="1" t="s">
        <v>74</v>
      </c>
      <c r="AE23" s="1" t="s">
        <v>74</v>
      </c>
      <c r="AF23" s="1" t="s">
        <v>74</v>
      </c>
      <c r="AG23" s="1" t="s">
        <v>74</v>
      </c>
      <c r="AH23" s="1" t="s">
        <v>74</v>
      </c>
      <c r="AI23" s="1" t="s">
        <v>74</v>
      </c>
      <c r="AJ23" s="1" t="s">
        <v>74</v>
      </c>
      <c r="AK23" s="1" t="s">
        <v>74</v>
      </c>
      <c r="AL23" s="1" t="s">
        <v>74</v>
      </c>
      <c r="AM23" s="1" t="s">
        <v>74</v>
      </c>
      <c r="AN23" s="1" t="s">
        <v>74</v>
      </c>
      <c r="AO23" s="1" t="s">
        <v>249</v>
      </c>
      <c r="AP23" s="1" t="s">
        <v>250</v>
      </c>
      <c r="AQ23" s="1" t="s">
        <v>74</v>
      </c>
      <c r="AR23" s="1" t="s">
        <v>74</v>
      </c>
      <c r="AS23" s="1" t="s">
        <v>74</v>
      </c>
      <c r="AT23" s="1" t="s">
        <v>251</v>
      </c>
      <c r="AU23" s="1">
        <v>2024.0</v>
      </c>
      <c r="AV23" s="1">
        <v>42.0</v>
      </c>
      <c r="AW23" s="1" t="s">
        <v>252</v>
      </c>
      <c r="AX23" s="1" t="s">
        <v>74</v>
      </c>
      <c r="AY23" s="1" t="s">
        <v>74</v>
      </c>
      <c r="AZ23" s="1" t="s">
        <v>74</v>
      </c>
      <c r="BA23" s="1" t="s">
        <v>74</v>
      </c>
      <c r="BB23" s="1">
        <v>469.0</v>
      </c>
      <c r="BC23" s="1">
        <v>503.0</v>
      </c>
      <c r="BD23" s="1" t="s">
        <v>74</v>
      </c>
      <c r="BE23" s="1" t="s">
        <v>253</v>
      </c>
      <c r="BF23" s="2" t="str">
        <f>HYPERLINK("http://dx.doi.org/10.1080/07366299.2024.2438700","http://dx.doi.org/10.1080/07366299.2024.2438700")</f>
        <v>http://dx.doi.org/10.1080/07366299.2024.2438700</v>
      </c>
      <c r="BG23" s="1" t="s">
        <v>74</v>
      </c>
      <c r="BH23" s="1" t="s">
        <v>254</v>
      </c>
      <c r="BI23" s="1" t="s">
        <v>74</v>
      </c>
      <c r="BJ23" s="1" t="s">
        <v>74</v>
      </c>
      <c r="BK23" s="1" t="s">
        <v>74</v>
      </c>
      <c r="BL23" s="1" t="s">
        <v>74</v>
      </c>
      <c r="BM23" s="1" t="s">
        <v>74</v>
      </c>
      <c r="BN23" s="1" t="s">
        <v>74</v>
      </c>
      <c r="BO23" s="1" t="s">
        <v>74</v>
      </c>
      <c r="BP23" s="1" t="s">
        <v>74</v>
      </c>
      <c r="BQ23" s="1" t="s">
        <v>74</v>
      </c>
      <c r="BR23" s="1" t="s">
        <v>74</v>
      </c>
      <c r="BS23" s="1" t="s">
        <v>255</v>
      </c>
      <c r="BT23" s="1" t="str">
        <f>HYPERLINK("https%3A%2F%2Fwww.webofscience.com%2Fwos%2Fwoscc%2Ffull-record%2FWOS:001379668500001","View Full Record in Web of Science")</f>
        <v>View Full Record in Web of Science</v>
      </c>
    </row>
    <row r="24" ht="12.75" customHeight="1">
      <c r="A24" s="1" t="s">
        <v>72</v>
      </c>
      <c r="B24" s="1" t="s">
        <v>256</v>
      </c>
      <c r="C24" s="1" t="s">
        <v>74</v>
      </c>
      <c r="D24" s="1" t="s">
        <v>74</v>
      </c>
      <c r="E24" s="1" t="s">
        <v>74</v>
      </c>
      <c r="F24" s="1" t="s">
        <v>257</v>
      </c>
      <c r="G24" s="1" t="s">
        <v>74</v>
      </c>
      <c r="H24" s="1" t="s">
        <v>74</v>
      </c>
      <c r="I24" s="1" t="s">
        <v>258</v>
      </c>
      <c r="J24" s="1" t="s">
        <v>259</v>
      </c>
      <c r="K24" s="1" t="s">
        <v>74</v>
      </c>
      <c r="L24" s="1" t="s">
        <v>74</v>
      </c>
      <c r="M24" s="1" t="s">
        <v>74</v>
      </c>
      <c r="N24" s="1" t="s">
        <v>74</v>
      </c>
      <c r="O24" s="1" t="s">
        <v>74</v>
      </c>
      <c r="P24" s="1" t="s">
        <v>74</v>
      </c>
      <c r="Q24" s="1" t="s">
        <v>74</v>
      </c>
      <c r="R24" s="1" t="s">
        <v>74</v>
      </c>
      <c r="S24" s="1" t="s">
        <v>74</v>
      </c>
      <c r="T24" s="1" t="s">
        <v>74</v>
      </c>
      <c r="U24" s="1" t="s">
        <v>74</v>
      </c>
      <c r="V24" s="1" t="s">
        <v>260</v>
      </c>
      <c r="W24" s="1" t="s">
        <v>74</v>
      </c>
      <c r="X24" s="1" t="s">
        <v>74</v>
      </c>
      <c r="Y24" s="1" t="s">
        <v>74</v>
      </c>
      <c r="Z24" s="1" t="s">
        <v>74</v>
      </c>
      <c r="AA24" s="1" t="s">
        <v>261</v>
      </c>
      <c r="AB24" s="1" t="s">
        <v>262</v>
      </c>
      <c r="AC24" s="1" t="s">
        <v>74</v>
      </c>
      <c r="AD24" s="1" t="s">
        <v>74</v>
      </c>
      <c r="AE24" s="1" t="s">
        <v>74</v>
      </c>
      <c r="AF24" s="1" t="s">
        <v>74</v>
      </c>
      <c r="AG24" s="1" t="s">
        <v>74</v>
      </c>
      <c r="AH24" s="1" t="s">
        <v>74</v>
      </c>
      <c r="AI24" s="1" t="s">
        <v>74</v>
      </c>
      <c r="AJ24" s="1" t="s">
        <v>74</v>
      </c>
      <c r="AK24" s="1" t="s">
        <v>74</v>
      </c>
      <c r="AL24" s="1" t="s">
        <v>74</v>
      </c>
      <c r="AM24" s="1" t="s">
        <v>74</v>
      </c>
      <c r="AN24" s="1" t="s">
        <v>74</v>
      </c>
      <c r="AO24" s="1" t="s">
        <v>74</v>
      </c>
      <c r="AP24" s="1" t="s">
        <v>263</v>
      </c>
      <c r="AQ24" s="1" t="s">
        <v>74</v>
      </c>
      <c r="AR24" s="1" t="s">
        <v>74</v>
      </c>
      <c r="AS24" s="1" t="s">
        <v>74</v>
      </c>
      <c r="AT24" s="1" t="s">
        <v>264</v>
      </c>
      <c r="AU24" s="1">
        <v>2024.0</v>
      </c>
      <c r="AV24" s="1">
        <v>15.0</v>
      </c>
      <c r="AW24" s="1" t="s">
        <v>74</v>
      </c>
      <c r="AX24" s="1" t="s">
        <v>74</v>
      </c>
      <c r="AY24" s="1" t="s">
        <v>74</v>
      </c>
      <c r="AZ24" s="1" t="s">
        <v>74</v>
      </c>
      <c r="BA24" s="1" t="s">
        <v>74</v>
      </c>
      <c r="BB24" s="1" t="s">
        <v>74</v>
      </c>
      <c r="BC24" s="1" t="s">
        <v>74</v>
      </c>
      <c r="BD24" s="1">
        <v>1490243.0</v>
      </c>
      <c r="BE24" s="1" t="s">
        <v>265</v>
      </c>
      <c r="BF24" s="2" t="str">
        <f>HYPERLINK("http://dx.doi.org/10.3389/fphar.2024.1490243","http://dx.doi.org/10.3389/fphar.2024.1490243")</f>
        <v>http://dx.doi.org/10.3389/fphar.2024.1490243</v>
      </c>
      <c r="BG24" s="1" t="s">
        <v>74</v>
      </c>
      <c r="BH24" s="1" t="s">
        <v>74</v>
      </c>
      <c r="BI24" s="1" t="s">
        <v>74</v>
      </c>
      <c r="BJ24" s="1" t="s">
        <v>74</v>
      </c>
      <c r="BK24" s="1" t="s">
        <v>74</v>
      </c>
      <c r="BL24" s="1" t="s">
        <v>74</v>
      </c>
      <c r="BM24" s="1" t="s">
        <v>74</v>
      </c>
      <c r="BN24" s="1">
        <v>3.9498337E7</v>
      </c>
      <c r="BO24" s="1" t="s">
        <v>74</v>
      </c>
      <c r="BP24" s="1" t="s">
        <v>74</v>
      </c>
      <c r="BQ24" s="1" t="s">
        <v>74</v>
      </c>
      <c r="BR24" s="1" t="s">
        <v>74</v>
      </c>
      <c r="BS24" s="1" t="s">
        <v>266</v>
      </c>
      <c r="BT24" s="1" t="str">
        <f>HYPERLINK("https%3A%2F%2Fwww.webofscience.com%2Fwos%2Fwoscc%2Ffull-record%2FWOS:001347694100001","View Full Record in Web of Science")</f>
        <v>View Full Record in Web of Science</v>
      </c>
    </row>
    <row r="25" ht="12.75" customHeight="1">
      <c r="A25" s="1" t="s">
        <v>72</v>
      </c>
      <c r="B25" s="1" t="s">
        <v>267</v>
      </c>
      <c r="C25" s="1" t="s">
        <v>74</v>
      </c>
      <c r="D25" s="1" t="s">
        <v>74</v>
      </c>
      <c r="E25" s="1" t="s">
        <v>74</v>
      </c>
      <c r="F25" s="1" t="s">
        <v>268</v>
      </c>
      <c r="G25" s="1" t="s">
        <v>74</v>
      </c>
      <c r="H25" s="1" t="s">
        <v>74</v>
      </c>
      <c r="I25" s="1" t="s">
        <v>269</v>
      </c>
      <c r="J25" s="1" t="s">
        <v>270</v>
      </c>
      <c r="K25" s="1" t="s">
        <v>74</v>
      </c>
      <c r="L25" s="1" t="s">
        <v>74</v>
      </c>
      <c r="M25" s="1" t="s">
        <v>74</v>
      </c>
      <c r="N25" s="1" t="s">
        <v>74</v>
      </c>
      <c r="O25" s="1" t="s">
        <v>74</v>
      </c>
      <c r="P25" s="1" t="s">
        <v>74</v>
      </c>
      <c r="Q25" s="1" t="s">
        <v>74</v>
      </c>
      <c r="R25" s="1" t="s">
        <v>74</v>
      </c>
      <c r="S25" s="1" t="s">
        <v>74</v>
      </c>
      <c r="T25" s="1" t="s">
        <v>74</v>
      </c>
      <c r="U25" s="1" t="s">
        <v>74</v>
      </c>
      <c r="V25" s="1" t="s">
        <v>271</v>
      </c>
      <c r="W25" s="1" t="s">
        <v>74</v>
      </c>
      <c r="X25" s="1" t="s">
        <v>74</v>
      </c>
      <c r="Y25" s="1" t="s">
        <v>74</v>
      </c>
      <c r="Z25" s="1" t="s">
        <v>74</v>
      </c>
      <c r="AA25" s="1" t="s">
        <v>272</v>
      </c>
      <c r="AB25" s="1" t="s">
        <v>273</v>
      </c>
      <c r="AC25" s="1" t="s">
        <v>74</v>
      </c>
      <c r="AD25" s="1" t="s">
        <v>74</v>
      </c>
      <c r="AE25" s="1" t="s">
        <v>74</v>
      </c>
      <c r="AF25" s="1" t="s">
        <v>74</v>
      </c>
      <c r="AG25" s="1" t="s">
        <v>74</v>
      </c>
      <c r="AH25" s="1" t="s">
        <v>74</v>
      </c>
      <c r="AI25" s="1" t="s">
        <v>74</v>
      </c>
      <c r="AJ25" s="1" t="s">
        <v>74</v>
      </c>
      <c r="AK25" s="1" t="s">
        <v>74</v>
      </c>
      <c r="AL25" s="1" t="s">
        <v>74</v>
      </c>
      <c r="AM25" s="1" t="s">
        <v>74</v>
      </c>
      <c r="AN25" s="1" t="s">
        <v>74</v>
      </c>
      <c r="AO25" s="1" t="s">
        <v>274</v>
      </c>
      <c r="AP25" s="1" t="s">
        <v>275</v>
      </c>
      <c r="AQ25" s="1" t="s">
        <v>74</v>
      </c>
      <c r="AR25" s="1" t="s">
        <v>74</v>
      </c>
      <c r="AS25" s="1" t="s">
        <v>74</v>
      </c>
      <c r="AT25" s="1" t="s">
        <v>276</v>
      </c>
      <c r="AU25" s="1">
        <v>2024.0</v>
      </c>
      <c r="AV25" s="1">
        <v>56.0</v>
      </c>
      <c r="AW25" s="1">
        <v>9.0</v>
      </c>
      <c r="AX25" s="1" t="s">
        <v>74</v>
      </c>
      <c r="AY25" s="1" t="s">
        <v>74</v>
      </c>
      <c r="AZ25" s="1" t="s">
        <v>74</v>
      </c>
      <c r="BA25" s="1" t="s">
        <v>74</v>
      </c>
      <c r="BB25" s="1">
        <v>2935.0</v>
      </c>
      <c r="BC25" s="1">
        <v>2950.0</v>
      </c>
      <c r="BD25" s="1" t="s">
        <v>74</v>
      </c>
      <c r="BE25" s="1" t="s">
        <v>277</v>
      </c>
      <c r="BF25" s="2" t="str">
        <f>HYPERLINK("http://dx.doi.org/10.1112/blms.13111","http://dx.doi.org/10.1112/blms.13111")</f>
        <v>http://dx.doi.org/10.1112/blms.13111</v>
      </c>
      <c r="BG25" s="1" t="s">
        <v>74</v>
      </c>
      <c r="BH25" s="1" t="s">
        <v>278</v>
      </c>
      <c r="BI25" s="1" t="s">
        <v>74</v>
      </c>
      <c r="BJ25" s="1" t="s">
        <v>74</v>
      </c>
      <c r="BK25" s="1" t="s">
        <v>74</v>
      </c>
      <c r="BL25" s="1" t="s">
        <v>74</v>
      </c>
      <c r="BM25" s="1" t="s">
        <v>74</v>
      </c>
      <c r="BN25" s="1" t="s">
        <v>74</v>
      </c>
      <c r="BO25" s="1" t="s">
        <v>74</v>
      </c>
      <c r="BP25" s="1" t="s">
        <v>74</v>
      </c>
      <c r="BQ25" s="1" t="s">
        <v>74</v>
      </c>
      <c r="BR25" s="1" t="s">
        <v>74</v>
      </c>
      <c r="BS25" s="1" t="s">
        <v>279</v>
      </c>
      <c r="BT25" s="1" t="str">
        <f>HYPERLINK("https%3A%2F%2Fwww.webofscience.com%2Fwos%2Fwoscc%2Ffull-record%2FWOS:001258679500001","View Full Record in Web of Science")</f>
        <v>View Full Record in Web of Science</v>
      </c>
    </row>
    <row r="26" ht="12.75" customHeight="1">
      <c r="A26" s="1" t="s">
        <v>72</v>
      </c>
      <c r="B26" s="1" t="s">
        <v>280</v>
      </c>
      <c r="C26" s="1" t="s">
        <v>74</v>
      </c>
      <c r="D26" s="1" t="s">
        <v>74</v>
      </c>
      <c r="E26" s="1" t="s">
        <v>74</v>
      </c>
      <c r="F26" s="1" t="s">
        <v>281</v>
      </c>
      <c r="G26" s="1" t="s">
        <v>74</v>
      </c>
      <c r="H26" s="1" t="s">
        <v>74</v>
      </c>
      <c r="I26" s="1" t="s">
        <v>282</v>
      </c>
      <c r="J26" s="1" t="s">
        <v>283</v>
      </c>
      <c r="K26" s="1" t="s">
        <v>74</v>
      </c>
      <c r="L26" s="1" t="s">
        <v>74</v>
      </c>
      <c r="M26" s="1" t="s">
        <v>74</v>
      </c>
      <c r="N26" s="1" t="s">
        <v>74</v>
      </c>
      <c r="O26" s="1" t="s">
        <v>74</v>
      </c>
      <c r="P26" s="1" t="s">
        <v>74</v>
      </c>
      <c r="Q26" s="1" t="s">
        <v>74</v>
      </c>
      <c r="R26" s="1" t="s">
        <v>74</v>
      </c>
      <c r="S26" s="1" t="s">
        <v>74</v>
      </c>
      <c r="T26" s="1" t="s">
        <v>74</v>
      </c>
      <c r="U26" s="1" t="s">
        <v>74</v>
      </c>
      <c r="V26" s="1" t="s">
        <v>284</v>
      </c>
      <c r="W26" s="1" t="s">
        <v>74</v>
      </c>
      <c r="X26" s="1" t="s">
        <v>74</v>
      </c>
      <c r="Y26" s="1" t="s">
        <v>74</v>
      </c>
      <c r="Z26" s="1" t="s">
        <v>74</v>
      </c>
      <c r="AA26" s="1" t="s">
        <v>285</v>
      </c>
      <c r="AB26" s="1" t="s">
        <v>286</v>
      </c>
      <c r="AC26" s="1" t="s">
        <v>74</v>
      </c>
      <c r="AD26" s="1" t="s">
        <v>74</v>
      </c>
      <c r="AE26" s="1" t="s">
        <v>74</v>
      </c>
      <c r="AF26" s="1" t="s">
        <v>74</v>
      </c>
      <c r="AG26" s="1" t="s">
        <v>74</v>
      </c>
      <c r="AH26" s="1" t="s">
        <v>74</v>
      </c>
      <c r="AI26" s="1" t="s">
        <v>74</v>
      </c>
      <c r="AJ26" s="1" t="s">
        <v>74</v>
      </c>
      <c r="AK26" s="1" t="s">
        <v>74</v>
      </c>
      <c r="AL26" s="1" t="s">
        <v>74</v>
      </c>
      <c r="AM26" s="1" t="s">
        <v>74</v>
      </c>
      <c r="AN26" s="1" t="s">
        <v>74</v>
      </c>
      <c r="AO26" s="1" t="s">
        <v>74</v>
      </c>
      <c r="AP26" s="1" t="s">
        <v>287</v>
      </c>
      <c r="AQ26" s="1" t="s">
        <v>74</v>
      </c>
      <c r="AR26" s="1" t="s">
        <v>74</v>
      </c>
      <c r="AS26" s="1" t="s">
        <v>74</v>
      </c>
      <c r="AT26" s="1" t="s">
        <v>288</v>
      </c>
      <c r="AU26" s="1">
        <v>2024.0</v>
      </c>
      <c r="AV26" s="1">
        <v>12.0</v>
      </c>
      <c r="AW26" s="1">
        <v>2.0</v>
      </c>
      <c r="AX26" s="1" t="s">
        <v>74</v>
      </c>
      <c r="AY26" s="1" t="s">
        <v>74</v>
      </c>
      <c r="AZ26" s="1" t="s">
        <v>74</v>
      </c>
      <c r="BA26" s="1" t="s">
        <v>74</v>
      </c>
      <c r="BB26" s="1" t="s">
        <v>74</v>
      </c>
      <c r="BC26" s="1" t="s">
        <v>74</v>
      </c>
      <c r="BD26" s="1">
        <v>357.0</v>
      </c>
      <c r="BE26" s="1" t="s">
        <v>289</v>
      </c>
      <c r="BF26" s="2" t="str">
        <f>HYPERLINK("http://dx.doi.org/10.3390/pr12020357","http://dx.doi.org/10.3390/pr12020357")</f>
        <v>http://dx.doi.org/10.3390/pr12020357</v>
      </c>
      <c r="BG26" s="1" t="s">
        <v>74</v>
      </c>
      <c r="BH26" s="1" t="s">
        <v>74</v>
      </c>
      <c r="BI26" s="1" t="s">
        <v>74</v>
      </c>
      <c r="BJ26" s="1" t="s">
        <v>74</v>
      </c>
      <c r="BK26" s="1" t="s">
        <v>74</v>
      </c>
      <c r="BL26" s="1" t="s">
        <v>74</v>
      </c>
      <c r="BM26" s="1" t="s">
        <v>74</v>
      </c>
      <c r="BN26" s="1" t="s">
        <v>74</v>
      </c>
      <c r="BO26" s="1" t="s">
        <v>74</v>
      </c>
      <c r="BP26" s="1" t="s">
        <v>74</v>
      </c>
      <c r="BQ26" s="1" t="s">
        <v>74</v>
      </c>
      <c r="BR26" s="1" t="s">
        <v>74</v>
      </c>
      <c r="BS26" s="1" t="s">
        <v>290</v>
      </c>
      <c r="BT26" s="1" t="str">
        <f>HYPERLINK("https%3A%2F%2Fwww.webofscience.com%2Fwos%2Fwoscc%2Ffull-record%2FWOS:001172277700001","View Full Record in Web of Science")</f>
        <v>View Full Record in Web of Science</v>
      </c>
    </row>
    <row r="27" ht="12.75" customHeight="1">
      <c r="A27" s="1" t="s">
        <v>72</v>
      </c>
      <c r="B27" s="1" t="s">
        <v>291</v>
      </c>
      <c r="C27" s="1" t="s">
        <v>74</v>
      </c>
      <c r="D27" s="1" t="s">
        <v>74</v>
      </c>
      <c r="E27" s="1" t="s">
        <v>74</v>
      </c>
      <c r="F27" s="1" t="s">
        <v>292</v>
      </c>
      <c r="G27" s="1" t="s">
        <v>74</v>
      </c>
      <c r="H27" s="1" t="s">
        <v>74</v>
      </c>
      <c r="I27" s="1" t="s">
        <v>293</v>
      </c>
      <c r="J27" s="1" t="s">
        <v>294</v>
      </c>
      <c r="K27" s="1" t="s">
        <v>74</v>
      </c>
      <c r="L27" s="1" t="s">
        <v>74</v>
      </c>
      <c r="M27" s="1" t="s">
        <v>74</v>
      </c>
      <c r="N27" s="1" t="s">
        <v>74</v>
      </c>
      <c r="O27" s="1" t="s">
        <v>74</v>
      </c>
      <c r="P27" s="1" t="s">
        <v>74</v>
      </c>
      <c r="Q27" s="1" t="s">
        <v>74</v>
      </c>
      <c r="R27" s="1" t="s">
        <v>74</v>
      </c>
      <c r="S27" s="1" t="s">
        <v>74</v>
      </c>
      <c r="T27" s="1" t="s">
        <v>74</v>
      </c>
      <c r="U27" s="1" t="s">
        <v>74</v>
      </c>
      <c r="V27" s="1" t="s">
        <v>295</v>
      </c>
      <c r="W27" s="1" t="s">
        <v>74</v>
      </c>
      <c r="X27" s="1" t="s">
        <v>74</v>
      </c>
      <c r="Y27" s="1" t="s">
        <v>74</v>
      </c>
      <c r="Z27" s="1" t="s">
        <v>74</v>
      </c>
      <c r="AA27" s="1" t="s">
        <v>296</v>
      </c>
      <c r="AB27" s="1" t="s">
        <v>297</v>
      </c>
      <c r="AC27" s="1" t="s">
        <v>74</v>
      </c>
      <c r="AD27" s="1" t="s">
        <v>74</v>
      </c>
      <c r="AE27" s="1" t="s">
        <v>74</v>
      </c>
      <c r="AF27" s="1" t="s">
        <v>74</v>
      </c>
      <c r="AG27" s="1" t="s">
        <v>74</v>
      </c>
      <c r="AH27" s="1" t="s">
        <v>74</v>
      </c>
      <c r="AI27" s="1" t="s">
        <v>74</v>
      </c>
      <c r="AJ27" s="1" t="s">
        <v>74</v>
      </c>
      <c r="AK27" s="1" t="s">
        <v>74</v>
      </c>
      <c r="AL27" s="1" t="s">
        <v>74</v>
      </c>
      <c r="AM27" s="1" t="s">
        <v>74</v>
      </c>
      <c r="AN27" s="1" t="s">
        <v>74</v>
      </c>
      <c r="AO27" s="1" t="s">
        <v>74</v>
      </c>
      <c r="AP27" s="1" t="s">
        <v>298</v>
      </c>
      <c r="AQ27" s="1" t="s">
        <v>74</v>
      </c>
      <c r="AR27" s="1" t="s">
        <v>74</v>
      </c>
      <c r="AS27" s="1" t="s">
        <v>74</v>
      </c>
      <c r="AT27" s="1" t="s">
        <v>299</v>
      </c>
      <c r="AU27" s="1">
        <v>2024.0</v>
      </c>
      <c r="AV27" s="1">
        <v>24.0</v>
      </c>
      <c r="AW27" s="1">
        <v>2.0</v>
      </c>
      <c r="AX27" s="1" t="s">
        <v>74</v>
      </c>
      <c r="AY27" s="1" t="s">
        <v>74</v>
      </c>
      <c r="AZ27" s="1" t="s">
        <v>74</v>
      </c>
      <c r="BA27" s="1" t="s">
        <v>74</v>
      </c>
      <c r="BB27" s="1" t="s">
        <v>74</v>
      </c>
      <c r="BC27" s="1" t="s">
        <v>74</v>
      </c>
      <c r="BD27" s="1">
        <v>491.0</v>
      </c>
      <c r="BE27" s="1" t="s">
        <v>300</v>
      </c>
      <c r="BF27" s="2" t="str">
        <f>HYPERLINK("http://dx.doi.org/10.3390/s24020491","http://dx.doi.org/10.3390/s24020491")</f>
        <v>http://dx.doi.org/10.3390/s24020491</v>
      </c>
      <c r="BG27" s="1" t="s">
        <v>74</v>
      </c>
      <c r="BH27" s="1" t="s">
        <v>74</v>
      </c>
      <c r="BI27" s="1" t="s">
        <v>74</v>
      </c>
      <c r="BJ27" s="1" t="s">
        <v>74</v>
      </c>
      <c r="BK27" s="1" t="s">
        <v>74</v>
      </c>
      <c r="BL27" s="1" t="s">
        <v>74</v>
      </c>
      <c r="BM27" s="1" t="s">
        <v>74</v>
      </c>
      <c r="BN27" s="1">
        <v>3.8257584E7</v>
      </c>
      <c r="BO27" s="1" t="s">
        <v>74</v>
      </c>
      <c r="BP27" s="1" t="s">
        <v>74</v>
      </c>
      <c r="BQ27" s="1" t="s">
        <v>74</v>
      </c>
      <c r="BR27" s="1" t="s">
        <v>74</v>
      </c>
      <c r="BS27" s="1" t="s">
        <v>301</v>
      </c>
      <c r="BT27" s="1" t="str">
        <f>HYPERLINK("https%3A%2F%2Fwww.webofscience.com%2Fwos%2Fwoscc%2Ffull-record%2FWOS:001151140700001","View Full Record in Web of Science")</f>
        <v>View Full Record in Web of Science</v>
      </c>
    </row>
    <row r="28" ht="12.75" customHeight="1">
      <c r="A28" s="1" t="s">
        <v>72</v>
      </c>
      <c r="B28" s="1" t="s">
        <v>302</v>
      </c>
      <c r="C28" s="1" t="s">
        <v>74</v>
      </c>
      <c r="D28" s="1" t="s">
        <v>74</v>
      </c>
      <c r="E28" s="1" t="s">
        <v>74</v>
      </c>
      <c r="F28" s="1" t="s">
        <v>303</v>
      </c>
      <c r="G28" s="1" t="s">
        <v>74</v>
      </c>
      <c r="H28" s="1" t="s">
        <v>74</v>
      </c>
      <c r="I28" s="1" t="s">
        <v>304</v>
      </c>
      <c r="J28" s="1" t="s">
        <v>305</v>
      </c>
      <c r="K28" s="1" t="s">
        <v>74</v>
      </c>
      <c r="L28" s="1" t="s">
        <v>74</v>
      </c>
      <c r="M28" s="1" t="s">
        <v>74</v>
      </c>
      <c r="N28" s="1" t="s">
        <v>74</v>
      </c>
      <c r="O28" s="1" t="s">
        <v>74</v>
      </c>
      <c r="P28" s="1" t="s">
        <v>74</v>
      </c>
      <c r="Q28" s="1" t="s">
        <v>74</v>
      </c>
      <c r="R28" s="1" t="s">
        <v>74</v>
      </c>
      <c r="S28" s="1" t="s">
        <v>74</v>
      </c>
      <c r="T28" s="1" t="s">
        <v>74</v>
      </c>
      <c r="U28" s="1" t="s">
        <v>74</v>
      </c>
      <c r="V28" s="1" t="s">
        <v>306</v>
      </c>
      <c r="W28" s="1" t="s">
        <v>74</v>
      </c>
      <c r="X28" s="1" t="s">
        <v>74</v>
      </c>
      <c r="Y28" s="1" t="s">
        <v>74</v>
      </c>
      <c r="Z28" s="1" t="s">
        <v>74</v>
      </c>
      <c r="AA28" s="1" t="s">
        <v>74</v>
      </c>
      <c r="AB28" s="1" t="s">
        <v>307</v>
      </c>
      <c r="AC28" s="1" t="s">
        <v>74</v>
      </c>
      <c r="AD28" s="1" t="s">
        <v>74</v>
      </c>
      <c r="AE28" s="1" t="s">
        <v>74</v>
      </c>
      <c r="AF28" s="1" t="s">
        <v>74</v>
      </c>
      <c r="AG28" s="1" t="s">
        <v>74</v>
      </c>
      <c r="AH28" s="1" t="s">
        <v>74</v>
      </c>
      <c r="AI28" s="1" t="s">
        <v>74</v>
      </c>
      <c r="AJ28" s="1" t="s">
        <v>74</v>
      </c>
      <c r="AK28" s="1" t="s">
        <v>74</v>
      </c>
      <c r="AL28" s="1" t="s">
        <v>74</v>
      </c>
      <c r="AM28" s="1" t="s">
        <v>74</v>
      </c>
      <c r="AN28" s="1" t="s">
        <v>74</v>
      </c>
      <c r="AO28" s="1" t="s">
        <v>308</v>
      </c>
      <c r="AP28" s="1" t="s">
        <v>309</v>
      </c>
      <c r="AQ28" s="1" t="s">
        <v>74</v>
      </c>
      <c r="AR28" s="1" t="s">
        <v>74</v>
      </c>
      <c r="AS28" s="1" t="s">
        <v>74</v>
      </c>
      <c r="AT28" s="1" t="s">
        <v>88</v>
      </c>
      <c r="AU28" s="1">
        <v>2023.0</v>
      </c>
      <c r="AV28" s="1">
        <v>65.0</v>
      </c>
      <c r="AW28" s="1">
        <v>156.0</v>
      </c>
      <c r="AX28" s="1" t="s">
        <v>74</v>
      </c>
      <c r="AY28" s="1" t="s">
        <v>74</v>
      </c>
      <c r="AZ28" s="1" t="s">
        <v>74</v>
      </c>
      <c r="BA28" s="1" t="s">
        <v>74</v>
      </c>
      <c r="BB28" s="1">
        <v>651.0</v>
      </c>
      <c r="BC28" s="1">
        <v>671.0</v>
      </c>
      <c r="BD28" s="1" t="s">
        <v>74</v>
      </c>
      <c r="BE28" s="1" t="s">
        <v>310</v>
      </c>
      <c r="BF28" s="2" t="str">
        <f>HYPERLINK("http://dx.doi.org/10.1590/0100-512X2023n15602sb","http://dx.doi.org/10.1590/0100-512X2023n15602sb")</f>
        <v>http://dx.doi.org/10.1590/0100-512X2023n15602sb</v>
      </c>
      <c r="BG28" s="1" t="s">
        <v>74</v>
      </c>
      <c r="BH28" s="1" t="s">
        <v>74</v>
      </c>
      <c r="BI28" s="1" t="s">
        <v>74</v>
      </c>
      <c r="BJ28" s="1" t="s">
        <v>74</v>
      </c>
      <c r="BK28" s="1" t="s">
        <v>74</v>
      </c>
      <c r="BL28" s="1" t="s">
        <v>74</v>
      </c>
      <c r="BM28" s="1" t="s">
        <v>74</v>
      </c>
      <c r="BN28" s="1" t="s">
        <v>74</v>
      </c>
      <c r="BO28" s="1" t="s">
        <v>74</v>
      </c>
      <c r="BP28" s="1" t="s">
        <v>74</v>
      </c>
      <c r="BQ28" s="1" t="s">
        <v>74</v>
      </c>
      <c r="BR28" s="1" t="s">
        <v>74</v>
      </c>
      <c r="BS28" s="1" t="s">
        <v>311</v>
      </c>
      <c r="BT28" s="1" t="str">
        <f>HYPERLINK("https%3A%2F%2Fwww.webofscience.com%2Fwos%2Fwoscc%2Ffull-record%2FWOS:001183259200008","View Full Record in Web of Science")</f>
        <v>View Full Record in Web of Science</v>
      </c>
    </row>
    <row r="29" ht="12.75" customHeight="1">
      <c r="A29" s="1" t="s">
        <v>72</v>
      </c>
      <c r="B29" s="1" t="s">
        <v>312</v>
      </c>
      <c r="C29" s="1" t="s">
        <v>74</v>
      </c>
      <c r="D29" s="1" t="s">
        <v>74</v>
      </c>
      <c r="E29" s="1" t="s">
        <v>74</v>
      </c>
      <c r="F29" s="1" t="s">
        <v>313</v>
      </c>
      <c r="G29" s="1" t="s">
        <v>74</v>
      </c>
      <c r="H29" s="1" t="s">
        <v>74</v>
      </c>
      <c r="I29" s="1" t="s">
        <v>314</v>
      </c>
      <c r="J29" s="1" t="s">
        <v>315</v>
      </c>
      <c r="K29" s="1" t="s">
        <v>74</v>
      </c>
      <c r="L29" s="1" t="s">
        <v>74</v>
      </c>
      <c r="M29" s="1" t="s">
        <v>74</v>
      </c>
      <c r="N29" s="1" t="s">
        <v>74</v>
      </c>
      <c r="O29" s="1" t="s">
        <v>74</v>
      </c>
      <c r="P29" s="1" t="s">
        <v>74</v>
      </c>
      <c r="Q29" s="1" t="s">
        <v>74</v>
      </c>
      <c r="R29" s="1" t="s">
        <v>74</v>
      </c>
      <c r="S29" s="1" t="s">
        <v>74</v>
      </c>
      <c r="T29" s="1" t="s">
        <v>74</v>
      </c>
      <c r="U29" s="1" t="s">
        <v>74</v>
      </c>
      <c r="V29" s="1" t="s">
        <v>316</v>
      </c>
      <c r="W29" s="1" t="s">
        <v>74</v>
      </c>
      <c r="X29" s="1" t="s">
        <v>74</v>
      </c>
      <c r="Y29" s="1" t="s">
        <v>74</v>
      </c>
      <c r="Z29" s="1" t="s">
        <v>74</v>
      </c>
      <c r="AA29" s="1" t="s">
        <v>317</v>
      </c>
      <c r="AB29" s="1" t="s">
        <v>318</v>
      </c>
      <c r="AC29" s="1" t="s">
        <v>74</v>
      </c>
      <c r="AD29" s="1" t="s">
        <v>74</v>
      </c>
      <c r="AE29" s="1" t="s">
        <v>74</v>
      </c>
      <c r="AF29" s="1" t="s">
        <v>74</v>
      </c>
      <c r="AG29" s="1" t="s">
        <v>74</v>
      </c>
      <c r="AH29" s="1" t="s">
        <v>74</v>
      </c>
      <c r="AI29" s="1" t="s">
        <v>74</v>
      </c>
      <c r="AJ29" s="1" t="s">
        <v>74</v>
      </c>
      <c r="AK29" s="1" t="s">
        <v>74</v>
      </c>
      <c r="AL29" s="1" t="s">
        <v>74</v>
      </c>
      <c r="AM29" s="1" t="s">
        <v>74</v>
      </c>
      <c r="AN29" s="1" t="s">
        <v>74</v>
      </c>
      <c r="AO29" s="1" t="s">
        <v>74</v>
      </c>
      <c r="AP29" s="1" t="s">
        <v>319</v>
      </c>
      <c r="AQ29" s="1" t="s">
        <v>74</v>
      </c>
      <c r="AR29" s="1" t="s">
        <v>74</v>
      </c>
      <c r="AS29" s="1" t="s">
        <v>74</v>
      </c>
      <c r="AT29" s="1" t="s">
        <v>205</v>
      </c>
      <c r="AU29" s="1">
        <v>2023.0</v>
      </c>
      <c r="AV29" s="1">
        <v>13.0</v>
      </c>
      <c r="AW29" s="1">
        <v>11.0</v>
      </c>
      <c r="AX29" s="1" t="s">
        <v>74</v>
      </c>
      <c r="AY29" s="1" t="s">
        <v>74</v>
      </c>
      <c r="AZ29" s="1" t="s">
        <v>74</v>
      </c>
      <c r="BA29" s="1" t="s">
        <v>74</v>
      </c>
      <c r="BB29" s="1" t="s">
        <v>74</v>
      </c>
      <c r="BC29" s="1" t="s">
        <v>74</v>
      </c>
      <c r="BD29" s="1">
        <v>1892.0</v>
      </c>
      <c r="BE29" s="1" t="s">
        <v>320</v>
      </c>
      <c r="BF29" s="2" t="str">
        <f>HYPERLINK("http://dx.doi.org/10.3390/met13111892","http://dx.doi.org/10.3390/met13111892")</f>
        <v>http://dx.doi.org/10.3390/met13111892</v>
      </c>
      <c r="BG29" s="1" t="s">
        <v>74</v>
      </c>
      <c r="BH29" s="1" t="s">
        <v>74</v>
      </c>
      <c r="BI29" s="1" t="s">
        <v>74</v>
      </c>
      <c r="BJ29" s="1" t="s">
        <v>74</v>
      </c>
      <c r="BK29" s="1" t="s">
        <v>74</v>
      </c>
      <c r="BL29" s="1" t="s">
        <v>74</v>
      </c>
      <c r="BM29" s="1" t="s">
        <v>74</v>
      </c>
      <c r="BN29" s="1" t="s">
        <v>74</v>
      </c>
      <c r="BO29" s="1" t="s">
        <v>74</v>
      </c>
      <c r="BP29" s="1" t="s">
        <v>74</v>
      </c>
      <c r="BQ29" s="1" t="s">
        <v>74</v>
      </c>
      <c r="BR29" s="1" t="s">
        <v>74</v>
      </c>
      <c r="BS29" s="1" t="s">
        <v>321</v>
      </c>
      <c r="BT29" s="1" t="str">
        <f>HYPERLINK("https%3A%2F%2Fwww.webofscience.com%2Fwos%2Fwoscc%2Ffull-record%2FWOS:001113884100001","View Full Record in Web of Science")</f>
        <v>View Full Record in Web of Science</v>
      </c>
    </row>
    <row r="30" ht="12.75" customHeight="1">
      <c r="A30" s="1" t="s">
        <v>72</v>
      </c>
      <c r="B30" s="1" t="s">
        <v>322</v>
      </c>
      <c r="C30" s="1" t="s">
        <v>74</v>
      </c>
      <c r="D30" s="1" t="s">
        <v>74</v>
      </c>
      <c r="E30" s="1" t="s">
        <v>74</v>
      </c>
      <c r="F30" s="1" t="s">
        <v>323</v>
      </c>
      <c r="G30" s="1" t="s">
        <v>74</v>
      </c>
      <c r="H30" s="1" t="s">
        <v>74</v>
      </c>
      <c r="I30" s="1" t="s">
        <v>324</v>
      </c>
      <c r="J30" s="1" t="s">
        <v>325</v>
      </c>
      <c r="K30" s="1" t="s">
        <v>74</v>
      </c>
      <c r="L30" s="1" t="s">
        <v>74</v>
      </c>
      <c r="M30" s="1" t="s">
        <v>74</v>
      </c>
      <c r="N30" s="1" t="s">
        <v>74</v>
      </c>
      <c r="O30" s="1" t="s">
        <v>74</v>
      </c>
      <c r="P30" s="1" t="s">
        <v>74</v>
      </c>
      <c r="Q30" s="1" t="s">
        <v>74</v>
      </c>
      <c r="R30" s="1" t="s">
        <v>74</v>
      </c>
      <c r="S30" s="1" t="s">
        <v>74</v>
      </c>
      <c r="T30" s="1" t="s">
        <v>74</v>
      </c>
      <c r="U30" s="1" t="s">
        <v>74</v>
      </c>
      <c r="V30" s="1" t="s">
        <v>326</v>
      </c>
      <c r="W30" s="1" t="s">
        <v>74</v>
      </c>
      <c r="X30" s="1" t="s">
        <v>74</v>
      </c>
      <c r="Y30" s="1" t="s">
        <v>74</v>
      </c>
      <c r="Z30" s="1" t="s">
        <v>74</v>
      </c>
      <c r="AA30" s="1" t="s">
        <v>327</v>
      </c>
      <c r="AB30" s="1" t="s">
        <v>328</v>
      </c>
      <c r="AC30" s="1" t="s">
        <v>74</v>
      </c>
      <c r="AD30" s="1" t="s">
        <v>74</v>
      </c>
      <c r="AE30" s="1" t="s">
        <v>74</v>
      </c>
      <c r="AF30" s="1" t="s">
        <v>74</v>
      </c>
      <c r="AG30" s="1" t="s">
        <v>74</v>
      </c>
      <c r="AH30" s="1" t="s">
        <v>74</v>
      </c>
      <c r="AI30" s="1" t="s">
        <v>74</v>
      </c>
      <c r="AJ30" s="1" t="s">
        <v>74</v>
      </c>
      <c r="AK30" s="1" t="s">
        <v>74</v>
      </c>
      <c r="AL30" s="1" t="s">
        <v>74</v>
      </c>
      <c r="AM30" s="1" t="s">
        <v>74</v>
      </c>
      <c r="AN30" s="1" t="s">
        <v>74</v>
      </c>
      <c r="AO30" s="1" t="s">
        <v>329</v>
      </c>
      <c r="AP30" s="1" t="s">
        <v>74</v>
      </c>
      <c r="AQ30" s="1" t="s">
        <v>74</v>
      </c>
      <c r="AR30" s="1" t="s">
        <v>74</v>
      </c>
      <c r="AS30" s="1" t="s">
        <v>74</v>
      </c>
      <c r="AT30" s="1" t="s">
        <v>330</v>
      </c>
      <c r="AU30" s="1">
        <v>2023.0</v>
      </c>
      <c r="AV30" s="1">
        <v>14.0</v>
      </c>
      <c r="AW30" s="1" t="s">
        <v>74</v>
      </c>
      <c r="AX30" s="1" t="s">
        <v>74</v>
      </c>
      <c r="AY30" s="1" t="s">
        <v>74</v>
      </c>
      <c r="AZ30" s="1" t="s">
        <v>74</v>
      </c>
      <c r="BA30" s="1" t="s">
        <v>74</v>
      </c>
      <c r="BB30" s="1" t="s">
        <v>74</v>
      </c>
      <c r="BC30" s="1" t="s">
        <v>74</v>
      </c>
      <c r="BD30" s="1">
        <v>1249556.0</v>
      </c>
      <c r="BE30" s="1" t="s">
        <v>331</v>
      </c>
      <c r="BF30" s="2" t="str">
        <f>HYPERLINK("http://dx.doi.org/10.3389/fpsyg.2023.1249556","http://dx.doi.org/10.3389/fpsyg.2023.1249556")</f>
        <v>http://dx.doi.org/10.3389/fpsyg.2023.1249556</v>
      </c>
      <c r="BG30" s="1" t="s">
        <v>74</v>
      </c>
      <c r="BH30" s="1" t="s">
        <v>74</v>
      </c>
      <c r="BI30" s="1" t="s">
        <v>74</v>
      </c>
      <c r="BJ30" s="1" t="s">
        <v>74</v>
      </c>
      <c r="BK30" s="1" t="s">
        <v>74</v>
      </c>
      <c r="BL30" s="1" t="s">
        <v>74</v>
      </c>
      <c r="BM30" s="1" t="s">
        <v>74</v>
      </c>
      <c r="BN30" s="1">
        <v>3.7842714E7</v>
      </c>
      <c r="BO30" s="1" t="s">
        <v>74</v>
      </c>
      <c r="BP30" s="1" t="s">
        <v>74</v>
      </c>
      <c r="BQ30" s="1" t="s">
        <v>74</v>
      </c>
      <c r="BR30" s="1" t="s">
        <v>74</v>
      </c>
      <c r="BS30" s="1" t="s">
        <v>332</v>
      </c>
      <c r="BT30" s="1" t="str">
        <f>HYPERLINK("https%3A%2F%2Fwww.webofscience.com%2Fwos%2Fwoscc%2Ffull-record%2FWOS:001081450700001","View Full Record in Web of Science")</f>
        <v>View Full Record in Web of Science</v>
      </c>
    </row>
    <row r="31" ht="12.75" customHeight="1">
      <c r="A31" s="1" t="s">
        <v>72</v>
      </c>
      <c r="B31" s="1" t="s">
        <v>333</v>
      </c>
      <c r="C31" s="1" t="s">
        <v>74</v>
      </c>
      <c r="D31" s="1" t="s">
        <v>74</v>
      </c>
      <c r="E31" s="1" t="s">
        <v>74</v>
      </c>
      <c r="F31" s="1" t="s">
        <v>334</v>
      </c>
      <c r="G31" s="1" t="s">
        <v>74</v>
      </c>
      <c r="H31" s="1" t="s">
        <v>74</v>
      </c>
      <c r="I31" s="1" t="s">
        <v>335</v>
      </c>
      <c r="J31" s="1" t="s">
        <v>336</v>
      </c>
      <c r="K31" s="1" t="s">
        <v>74</v>
      </c>
      <c r="L31" s="1" t="s">
        <v>74</v>
      </c>
      <c r="M31" s="1" t="s">
        <v>74</v>
      </c>
      <c r="N31" s="1" t="s">
        <v>74</v>
      </c>
      <c r="O31" s="1" t="s">
        <v>74</v>
      </c>
      <c r="P31" s="1" t="s">
        <v>74</v>
      </c>
      <c r="Q31" s="1" t="s">
        <v>74</v>
      </c>
      <c r="R31" s="1" t="s">
        <v>74</v>
      </c>
      <c r="S31" s="1" t="s">
        <v>74</v>
      </c>
      <c r="T31" s="1" t="s">
        <v>74</v>
      </c>
      <c r="U31" s="1" t="s">
        <v>74</v>
      </c>
      <c r="V31" s="1" t="s">
        <v>337</v>
      </c>
      <c r="W31" s="1" t="s">
        <v>74</v>
      </c>
      <c r="X31" s="1" t="s">
        <v>74</v>
      </c>
      <c r="Y31" s="1" t="s">
        <v>74</v>
      </c>
      <c r="Z31" s="1" t="s">
        <v>74</v>
      </c>
      <c r="AA31" s="1" t="s">
        <v>74</v>
      </c>
      <c r="AB31" s="1" t="s">
        <v>74</v>
      </c>
      <c r="AC31" s="1" t="s">
        <v>74</v>
      </c>
      <c r="AD31" s="1" t="s">
        <v>74</v>
      </c>
      <c r="AE31" s="1" t="s">
        <v>74</v>
      </c>
      <c r="AF31" s="1" t="s">
        <v>74</v>
      </c>
      <c r="AG31" s="1" t="s">
        <v>74</v>
      </c>
      <c r="AH31" s="1" t="s">
        <v>74</v>
      </c>
      <c r="AI31" s="1" t="s">
        <v>74</v>
      </c>
      <c r="AJ31" s="1" t="s">
        <v>74</v>
      </c>
      <c r="AK31" s="1" t="s">
        <v>74</v>
      </c>
      <c r="AL31" s="1" t="s">
        <v>74</v>
      </c>
      <c r="AM31" s="1" t="s">
        <v>74</v>
      </c>
      <c r="AN31" s="1" t="s">
        <v>74</v>
      </c>
      <c r="AO31" s="1" t="s">
        <v>338</v>
      </c>
      <c r="AP31" s="1" t="s">
        <v>74</v>
      </c>
      <c r="AQ31" s="1" t="s">
        <v>74</v>
      </c>
      <c r="AR31" s="1" t="s">
        <v>74</v>
      </c>
      <c r="AS31" s="1" t="s">
        <v>74</v>
      </c>
      <c r="AT31" s="1" t="s">
        <v>276</v>
      </c>
      <c r="AU31" s="1">
        <v>2023.0</v>
      </c>
      <c r="AV31" s="1">
        <v>10.0</v>
      </c>
      <c r="AW31" s="1">
        <v>30.0</v>
      </c>
      <c r="AX31" s="1" t="s">
        <v>74</v>
      </c>
      <c r="AY31" s="1" t="s">
        <v>74</v>
      </c>
      <c r="AZ31" s="1" t="s">
        <v>74</v>
      </c>
      <c r="BA31" s="1" t="s">
        <v>74</v>
      </c>
      <c r="BB31" s="1">
        <v>112.0</v>
      </c>
      <c r="BC31" s="1">
        <v>128.0</v>
      </c>
      <c r="BD31" s="1" t="s">
        <v>74</v>
      </c>
      <c r="BE31" s="1" t="s">
        <v>339</v>
      </c>
      <c r="BF31" s="2" t="str">
        <f>HYPERLINK("http://dx.doi.org/10.35588/rivar.v10i30.6189","http://dx.doi.org/10.35588/rivar.v10i30.6189")</f>
        <v>http://dx.doi.org/10.35588/rivar.v10i30.6189</v>
      </c>
      <c r="BG31" s="1" t="s">
        <v>74</v>
      </c>
      <c r="BH31" s="1" t="s">
        <v>74</v>
      </c>
      <c r="BI31" s="1" t="s">
        <v>74</v>
      </c>
      <c r="BJ31" s="1" t="s">
        <v>74</v>
      </c>
      <c r="BK31" s="1" t="s">
        <v>74</v>
      </c>
      <c r="BL31" s="1" t="s">
        <v>74</v>
      </c>
      <c r="BM31" s="1" t="s">
        <v>74</v>
      </c>
      <c r="BN31" s="1" t="s">
        <v>74</v>
      </c>
      <c r="BO31" s="1" t="s">
        <v>74</v>
      </c>
      <c r="BP31" s="1" t="s">
        <v>74</v>
      </c>
      <c r="BQ31" s="1" t="s">
        <v>74</v>
      </c>
      <c r="BR31" s="1" t="s">
        <v>74</v>
      </c>
      <c r="BS31" s="1" t="s">
        <v>340</v>
      </c>
      <c r="BT31" s="1" t="str">
        <f>HYPERLINK("https%3A%2F%2Fwww.webofscience.com%2Fwos%2Fwoscc%2Ffull-record%2FWOS:001080565900007","View Full Record in Web of Science")</f>
        <v>View Full Record in Web of Science</v>
      </c>
    </row>
    <row r="32" ht="12.75" customHeight="1">
      <c r="A32" s="1" t="s">
        <v>72</v>
      </c>
      <c r="B32" s="1" t="s">
        <v>341</v>
      </c>
      <c r="C32" s="1" t="s">
        <v>74</v>
      </c>
      <c r="D32" s="1" t="s">
        <v>74</v>
      </c>
      <c r="E32" s="1" t="s">
        <v>74</v>
      </c>
      <c r="F32" s="1" t="s">
        <v>342</v>
      </c>
      <c r="G32" s="1" t="s">
        <v>74</v>
      </c>
      <c r="H32" s="1" t="s">
        <v>74</v>
      </c>
      <c r="I32" s="1" t="s">
        <v>343</v>
      </c>
      <c r="J32" s="1" t="s">
        <v>344</v>
      </c>
      <c r="K32" s="1" t="s">
        <v>74</v>
      </c>
      <c r="L32" s="1" t="s">
        <v>74</v>
      </c>
      <c r="M32" s="1" t="s">
        <v>74</v>
      </c>
      <c r="N32" s="1" t="s">
        <v>74</v>
      </c>
      <c r="O32" s="1" t="s">
        <v>74</v>
      </c>
      <c r="P32" s="1" t="s">
        <v>74</v>
      </c>
      <c r="Q32" s="1" t="s">
        <v>74</v>
      </c>
      <c r="R32" s="1" t="s">
        <v>74</v>
      </c>
      <c r="S32" s="1" t="s">
        <v>74</v>
      </c>
      <c r="T32" s="1" t="s">
        <v>74</v>
      </c>
      <c r="U32" s="1" t="s">
        <v>74</v>
      </c>
      <c r="V32" s="1" t="s">
        <v>345</v>
      </c>
      <c r="W32" s="1" t="s">
        <v>74</v>
      </c>
      <c r="X32" s="1" t="s">
        <v>74</v>
      </c>
      <c r="Y32" s="1" t="s">
        <v>74</v>
      </c>
      <c r="Z32" s="1" t="s">
        <v>74</v>
      </c>
      <c r="AA32" s="1" t="s">
        <v>74</v>
      </c>
      <c r="AB32" s="1" t="s">
        <v>74</v>
      </c>
      <c r="AC32" s="1" t="s">
        <v>74</v>
      </c>
      <c r="AD32" s="1" t="s">
        <v>74</v>
      </c>
      <c r="AE32" s="1" t="s">
        <v>74</v>
      </c>
      <c r="AF32" s="1" t="s">
        <v>74</v>
      </c>
      <c r="AG32" s="1" t="s">
        <v>74</v>
      </c>
      <c r="AH32" s="1" t="s">
        <v>74</v>
      </c>
      <c r="AI32" s="1" t="s">
        <v>74</v>
      </c>
      <c r="AJ32" s="1" t="s">
        <v>74</v>
      </c>
      <c r="AK32" s="1" t="s">
        <v>74</v>
      </c>
      <c r="AL32" s="1" t="s">
        <v>74</v>
      </c>
      <c r="AM32" s="1" t="s">
        <v>74</v>
      </c>
      <c r="AN32" s="1" t="s">
        <v>74</v>
      </c>
      <c r="AO32" s="1" t="s">
        <v>346</v>
      </c>
      <c r="AP32" s="1" t="s">
        <v>74</v>
      </c>
      <c r="AQ32" s="1" t="s">
        <v>74</v>
      </c>
      <c r="AR32" s="1" t="s">
        <v>74</v>
      </c>
      <c r="AS32" s="1" t="s">
        <v>74</v>
      </c>
      <c r="AT32" s="1" t="s">
        <v>347</v>
      </c>
      <c r="AU32" s="1">
        <v>2023.0</v>
      </c>
      <c r="AV32" s="1">
        <v>50.0</v>
      </c>
      <c r="AW32" s="1">
        <v>1.0</v>
      </c>
      <c r="AX32" s="1" t="s">
        <v>74</v>
      </c>
      <c r="AY32" s="1" t="s">
        <v>74</v>
      </c>
      <c r="AZ32" s="1" t="s">
        <v>74</v>
      </c>
      <c r="BA32" s="1" t="s">
        <v>74</v>
      </c>
      <c r="BB32" s="1">
        <v>33.0</v>
      </c>
      <c r="BC32" s="1">
        <v>48.0</v>
      </c>
      <c r="BD32" s="1" t="s">
        <v>74</v>
      </c>
      <c r="BE32" s="1" t="s">
        <v>348</v>
      </c>
      <c r="BF32" s="2" t="str">
        <f>HYPERLINK("http://dx.doi.org/10.7764/R.501.2","http://dx.doi.org/10.7764/R.501.2")</f>
        <v>http://dx.doi.org/10.7764/R.501.2</v>
      </c>
      <c r="BG32" s="1" t="s">
        <v>74</v>
      </c>
      <c r="BH32" s="1" t="s">
        <v>74</v>
      </c>
      <c r="BI32" s="1" t="s">
        <v>74</v>
      </c>
      <c r="BJ32" s="1" t="s">
        <v>74</v>
      </c>
      <c r="BK32" s="1" t="s">
        <v>74</v>
      </c>
      <c r="BL32" s="1" t="s">
        <v>74</v>
      </c>
      <c r="BM32" s="1" t="s">
        <v>74</v>
      </c>
      <c r="BN32" s="1" t="s">
        <v>74</v>
      </c>
      <c r="BO32" s="1" t="s">
        <v>74</v>
      </c>
      <c r="BP32" s="1" t="s">
        <v>74</v>
      </c>
      <c r="BQ32" s="1" t="s">
        <v>74</v>
      </c>
      <c r="BR32" s="1" t="s">
        <v>74</v>
      </c>
      <c r="BS32" s="1" t="s">
        <v>349</v>
      </c>
      <c r="BT32" s="1" t="str">
        <f>HYPERLINK("https%3A%2F%2Fwww.webofscience.com%2Fwos%2Fwoscc%2Ffull-record%2FWOS:001134796800002","View Full Record in Web of Science")</f>
        <v>View Full Record in Web of Science</v>
      </c>
    </row>
    <row r="33" ht="12.75" customHeight="1">
      <c r="A33" s="1" t="s">
        <v>72</v>
      </c>
      <c r="B33" s="1" t="s">
        <v>350</v>
      </c>
      <c r="C33" s="1" t="s">
        <v>74</v>
      </c>
      <c r="D33" s="1" t="s">
        <v>74</v>
      </c>
      <c r="E33" s="1" t="s">
        <v>74</v>
      </c>
      <c r="F33" s="1" t="s">
        <v>351</v>
      </c>
      <c r="G33" s="1" t="s">
        <v>74</v>
      </c>
      <c r="H33" s="1" t="s">
        <v>74</v>
      </c>
      <c r="I33" s="1" t="s">
        <v>352</v>
      </c>
      <c r="J33" s="1" t="s">
        <v>353</v>
      </c>
      <c r="K33" s="1" t="s">
        <v>74</v>
      </c>
      <c r="L33" s="1" t="s">
        <v>74</v>
      </c>
      <c r="M33" s="1" t="s">
        <v>74</v>
      </c>
      <c r="N33" s="1" t="s">
        <v>74</v>
      </c>
      <c r="O33" s="1" t="s">
        <v>74</v>
      </c>
      <c r="P33" s="1" t="s">
        <v>74</v>
      </c>
      <c r="Q33" s="1" t="s">
        <v>74</v>
      </c>
      <c r="R33" s="1" t="s">
        <v>74</v>
      </c>
      <c r="S33" s="1" t="s">
        <v>74</v>
      </c>
      <c r="T33" s="1" t="s">
        <v>74</v>
      </c>
      <c r="U33" s="1" t="s">
        <v>74</v>
      </c>
      <c r="V33" s="1" t="s">
        <v>354</v>
      </c>
      <c r="W33" s="1" t="s">
        <v>74</v>
      </c>
      <c r="X33" s="1" t="s">
        <v>74</v>
      </c>
      <c r="Y33" s="1" t="s">
        <v>74</v>
      </c>
      <c r="Z33" s="1" t="s">
        <v>74</v>
      </c>
      <c r="AA33" s="1" t="s">
        <v>355</v>
      </c>
      <c r="AB33" s="1" t="s">
        <v>74</v>
      </c>
      <c r="AC33" s="1" t="s">
        <v>74</v>
      </c>
      <c r="AD33" s="1" t="s">
        <v>74</v>
      </c>
      <c r="AE33" s="1" t="s">
        <v>74</v>
      </c>
      <c r="AF33" s="1" t="s">
        <v>74</v>
      </c>
      <c r="AG33" s="1" t="s">
        <v>74</v>
      </c>
      <c r="AH33" s="1" t="s">
        <v>74</v>
      </c>
      <c r="AI33" s="1" t="s">
        <v>74</v>
      </c>
      <c r="AJ33" s="1" t="s">
        <v>74</v>
      </c>
      <c r="AK33" s="1" t="s">
        <v>74</v>
      </c>
      <c r="AL33" s="1" t="s">
        <v>74</v>
      </c>
      <c r="AM33" s="1" t="s">
        <v>74</v>
      </c>
      <c r="AN33" s="1" t="s">
        <v>74</v>
      </c>
      <c r="AO33" s="1" t="s">
        <v>356</v>
      </c>
      <c r="AP33" s="1" t="s">
        <v>357</v>
      </c>
      <c r="AQ33" s="1" t="s">
        <v>74</v>
      </c>
      <c r="AR33" s="1" t="s">
        <v>74</v>
      </c>
      <c r="AS33" s="1" t="s">
        <v>74</v>
      </c>
      <c r="AT33" s="1" t="s">
        <v>358</v>
      </c>
      <c r="AU33" s="1">
        <v>2023.0</v>
      </c>
      <c r="AV33" s="1">
        <v>27.0</v>
      </c>
      <c r="AW33" s="1">
        <v>75.0</v>
      </c>
      <c r="AX33" s="1" t="s">
        <v>74</v>
      </c>
      <c r="AY33" s="1" t="s">
        <v>74</v>
      </c>
      <c r="AZ33" s="1" t="s">
        <v>74</v>
      </c>
      <c r="BA33" s="1" t="s">
        <v>74</v>
      </c>
      <c r="BB33" s="1">
        <v>181.0</v>
      </c>
      <c r="BC33" s="1">
        <v>200.0</v>
      </c>
      <c r="BD33" s="1" t="s">
        <v>74</v>
      </c>
      <c r="BE33" s="1" t="s">
        <v>359</v>
      </c>
      <c r="BF33" s="2" t="str">
        <f>HYPERLINK("http://dx.doi.org/10.17141/iconos.75.2023.5528","http://dx.doi.org/10.17141/iconos.75.2023.5528")</f>
        <v>http://dx.doi.org/10.17141/iconos.75.2023.5528</v>
      </c>
      <c r="BG33" s="1" t="s">
        <v>74</v>
      </c>
      <c r="BH33" s="1" t="s">
        <v>74</v>
      </c>
      <c r="BI33" s="1" t="s">
        <v>74</v>
      </c>
      <c r="BJ33" s="1" t="s">
        <v>74</v>
      </c>
      <c r="BK33" s="1" t="s">
        <v>74</v>
      </c>
      <c r="BL33" s="1" t="s">
        <v>74</v>
      </c>
      <c r="BM33" s="1" t="s">
        <v>74</v>
      </c>
      <c r="BN33" s="1" t="s">
        <v>74</v>
      </c>
      <c r="BO33" s="1" t="s">
        <v>74</v>
      </c>
      <c r="BP33" s="1" t="s">
        <v>74</v>
      </c>
      <c r="BQ33" s="1" t="s">
        <v>74</v>
      </c>
      <c r="BR33" s="1" t="s">
        <v>74</v>
      </c>
      <c r="BS33" s="1" t="s">
        <v>360</v>
      </c>
      <c r="BT33" s="1" t="str">
        <f>HYPERLINK("https%3A%2F%2Fwww.webofscience.com%2Fwos%2Fwoscc%2Ffull-record%2FWOS:000908373700010","View Full Record in Web of Science")</f>
        <v>View Full Record in Web of Science</v>
      </c>
    </row>
    <row r="34" ht="12.75" customHeight="1">
      <c r="A34" s="1" t="s">
        <v>72</v>
      </c>
      <c r="B34" s="1" t="s">
        <v>361</v>
      </c>
      <c r="C34" s="1" t="s">
        <v>74</v>
      </c>
      <c r="D34" s="1" t="s">
        <v>74</v>
      </c>
      <c r="E34" s="1" t="s">
        <v>74</v>
      </c>
      <c r="F34" s="1" t="s">
        <v>362</v>
      </c>
      <c r="G34" s="1" t="s">
        <v>74</v>
      </c>
      <c r="H34" s="1" t="s">
        <v>74</v>
      </c>
      <c r="I34" s="1" t="s">
        <v>363</v>
      </c>
      <c r="J34" s="1" t="s">
        <v>364</v>
      </c>
      <c r="K34" s="1" t="s">
        <v>74</v>
      </c>
      <c r="L34" s="1" t="s">
        <v>74</v>
      </c>
      <c r="M34" s="1" t="s">
        <v>74</v>
      </c>
      <c r="N34" s="1" t="s">
        <v>74</v>
      </c>
      <c r="O34" s="1" t="s">
        <v>74</v>
      </c>
      <c r="P34" s="1" t="s">
        <v>74</v>
      </c>
      <c r="Q34" s="1" t="s">
        <v>74</v>
      </c>
      <c r="R34" s="1" t="s">
        <v>74</v>
      </c>
      <c r="S34" s="1" t="s">
        <v>74</v>
      </c>
      <c r="T34" s="1" t="s">
        <v>74</v>
      </c>
      <c r="U34" s="1" t="s">
        <v>74</v>
      </c>
      <c r="V34" s="1" t="s">
        <v>365</v>
      </c>
      <c r="W34" s="1" t="s">
        <v>74</v>
      </c>
      <c r="X34" s="1" t="s">
        <v>74</v>
      </c>
      <c r="Y34" s="1" t="s">
        <v>74</v>
      </c>
      <c r="Z34" s="1" t="s">
        <v>74</v>
      </c>
      <c r="AA34" s="1" t="s">
        <v>366</v>
      </c>
      <c r="AB34" s="1" t="s">
        <v>367</v>
      </c>
      <c r="AC34" s="1" t="s">
        <v>74</v>
      </c>
      <c r="AD34" s="1" t="s">
        <v>74</v>
      </c>
      <c r="AE34" s="1" t="s">
        <v>74</v>
      </c>
      <c r="AF34" s="1" t="s">
        <v>74</v>
      </c>
      <c r="AG34" s="1" t="s">
        <v>74</v>
      </c>
      <c r="AH34" s="1" t="s">
        <v>74</v>
      </c>
      <c r="AI34" s="1" t="s">
        <v>74</v>
      </c>
      <c r="AJ34" s="1" t="s">
        <v>74</v>
      </c>
      <c r="AK34" s="1" t="s">
        <v>74</v>
      </c>
      <c r="AL34" s="1" t="s">
        <v>74</v>
      </c>
      <c r="AM34" s="1" t="s">
        <v>74</v>
      </c>
      <c r="AN34" s="1" t="s">
        <v>74</v>
      </c>
      <c r="AO34" s="1" t="s">
        <v>368</v>
      </c>
      <c r="AP34" s="1" t="s">
        <v>369</v>
      </c>
      <c r="AQ34" s="1" t="s">
        <v>74</v>
      </c>
      <c r="AR34" s="1" t="s">
        <v>74</v>
      </c>
      <c r="AS34" s="1" t="s">
        <v>74</v>
      </c>
      <c r="AT34" s="1" t="s">
        <v>370</v>
      </c>
      <c r="AU34" s="1">
        <v>2022.0</v>
      </c>
      <c r="AV34" s="1">
        <v>51.0</v>
      </c>
      <c r="AW34" s="1" t="s">
        <v>74</v>
      </c>
      <c r="AX34" s="1" t="s">
        <v>74</v>
      </c>
      <c r="AY34" s="1" t="s">
        <v>74</v>
      </c>
      <c r="AZ34" s="1" t="s">
        <v>74</v>
      </c>
      <c r="BA34" s="1" t="s">
        <v>74</v>
      </c>
      <c r="BB34" s="1" t="s">
        <v>74</v>
      </c>
      <c r="BC34" s="1" t="s">
        <v>74</v>
      </c>
      <c r="BD34" s="1">
        <v>104441.0</v>
      </c>
      <c r="BE34" s="1" t="s">
        <v>371</v>
      </c>
      <c r="BF34" s="2" t="str">
        <f>HYPERLINK("http://dx.doi.org/10.1016/j.est.2022.104441","http://dx.doi.org/10.1016/j.est.2022.104441")</f>
        <v>http://dx.doi.org/10.1016/j.est.2022.104441</v>
      </c>
      <c r="BG34" s="1" t="s">
        <v>74</v>
      </c>
      <c r="BH34" s="1" t="s">
        <v>372</v>
      </c>
      <c r="BI34" s="1" t="s">
        <v>74</v>
      </c>
      <c r="BJ34" s="1" t="s">
        <v>74</v>
      </c>
      <c r="BK34" s="1" t="s">
        <v>74</v>
      </c>
      <c r="BL34" s="1" t="s">
        <v>74</v>
      </c>
      <c r="BM34" s="1" t="s">
        <v>74</v>
      </c>
      <c r="BN34" s="1" t="s">
        <v>74</v>
      </c>
      <c r="BO34" s="1" t="s">
        <v>74</v>
      </c>
      <c r="BP34" s="1" t="s">
        <v>74</v>
      </c>
      <c r="BQ34" s="1" t="s">
        <v>74</v>
      </c>
      <c r="BR34" s="1" t="s">
        <v>74</v>
      </c>
      <c r="BS34" s="1" t="s">
        <v>373</v>
      </c>
      <c r="BT34" s="1" t="str">
        <f>HYPERLINK("https%3A%2F%2Fwww.webofscience.com%2Fwos%2Fwoscc%2Ffull-record%2FWOS:000806560200001","View Full Record in Web of Science")</f>
        <v>View Full Record in Web of Science</v>
      </c>
    </row>
    <row r="35" ht="12.75" customHeight="1">
      <c r="A35" s="1" t="s">
        <v>72</v>
      </c>
      <c r="B35" s="1" t="s">
        <v>374</v>
      </c>
      <c r="C35" s="1" t="s">
        <v>74</v>
      </c>
      <c r="D35" s="1" t="s">
        <v>74</v>
      </c>
      <c r="E35" s="1" t="s">
        <v>74</v>
      </c>
      <c r="F35" s="1" t="s">
        <v>375</v>
      </c>
      <c r="G35" s="1" t="s">
        <v>74</v>
      </c>
      <c r="H35" s="1" t="s">
        <v>74</v>
      </c>
      <c r="I35" s="1" t="s">
        <v>376</v>
      </c>
      <c r="J35" s="1" t="s">
        <v>377</v>
      </c>
      <c r="K35" s="1" t="s">
        <v>74</v>
      </c>
      <c r="L35" s="1" t="s">
        <v>74</v>
      </c>
      <c r="M35" s="1" t="s">
        <v>74</v>
      </c>
      <c r="N35" s="1" t="s">
        <v>74</v>
      </c>
      <c r="O35" s="1" t="s">
        <v>74</v>
      </c>
      <c r="P35" s="1" t="s">
        <v>74</v>
      </c>
      <c r="Q35" s="1" t="s">
        <v>74</v>
      </c>
      <c r="R35" s="1" t="s">
        <v>74</v>
      </c>
      <c r="S35" s="1" t="s">
        <v>74</v>
      </c>
      <c r="T35" s="1" t="s">
        <v>74</v>
      </c>
      <c r="U35" s="1" t="s">
        <v>74</v>
      </c>
      <c r="V35" s="1" t="s">
        <v>378</v>
      </c>
      <c r="W35" s="1" t="s">
        <v>74</v>
      </c>
      <c r="X35" s="1" t="s">
        <v>74</v>
      </c>
      <c r="Y35" s="1" t="s">
        <v>74</v>
      </c>
      <c r="Z35" s="1" t="s">
        <v>74</v>
      </c>
      <c r="AA35" s="1" t="s">
        <v>379</v>
      </c>
      <c r="AB35" s="1" t="s">
        <v>380</v>
      </c>
      <c r="AC35" s="1" t="s">
        <v>74</v>
      </c>
      <c r="AD35" s="1" t="s">
        <v>74</v>
      </c>
      <c r="AE35" s="1" t="s">
        <v>74</v>
      </c>
      <c r="AF35" s="1" t="s">
        <v>74</v>
      </c>
      <c r="AG35" s="1" t="s">
        <v>74</v>
      </c>
      <c r="AH35" s="1" t="s">
        <v>74</v>
      </c>
      <c r="AI35" s="1" t="s">
        <v>74</v>
      </c>
      <c r="AJ35" s="1" t="s">
        <v>74</v>
      </c>
      <c r="AK35" s="1" t="s">
        <v>74</v>
      </c>
      <c r="AL35" s="1" t="s">
        <v>74</v>
      </c>
      <c r="AM35" s="1" t="s">
        <v>74</v>
      </c>
      <c r="AN35" s="1" t="s">
        <v>74</v>
      </c>
      <c r="AO35" s="1" t="s">
        <v>381</v>
      </c>
      <c r="AP35" s="1" t="s">
        <v>382</v>
      </c>
      <c r="AQ35" s="1" t="s">
        <v>74</v>
      </c>
      <c r="AR35" s="1" t="s">
        <v>74</v>
      </c>
      <c r="AS35" s="1" t="s">
        <v>74</v>
      </c>
      <c r="AT35" s="1" t="s">
        <v>383</v>
      </c>
      <c r="AU35" s="1">
        <v>2022.0</v>
      </c>
      <c r="AV35" s="1">
        <v>402.0</v>
      </c>
      <c r="AW35" s="1" t="s">
        <v>74</v>
      </c>
      <c r="AX35" s="1" t="s">
        <v>74</v>
      </c>
      <c r="AY35" s="1" t="s">
        <v>74</v>
      </c>
      <c r="AZ35" s="1" t="s">
        <v>74</v>
      </c>
      <c r="BA35" s="1" t="s">
        <v>74</v>
      </c>
      <c r="BB35" s="1" t="s">
        <v>74</v>
      </c>
      <c r="BC35" s="1" t="s">
        <v>74</v>
      </c>
      <c r="BD35" s="1">
        <v>139493.0</v>
      </c>
      <c r="BE35" s="1" t="s">
        <v>384</v>
      </c>
      <c r="BF35" s="2" t="str">
        <f>HYPERLINK("http://dx.doi.org/10.1016/j.electacta.2021.139493","http://dx.doi.org/10.1016/j.electacta.2021.139493")</f>
        <v>http://dx.doi.org/10.1016/j.electacta.2021.139493</v>
      </c>
      <c r="BG35" s="1" t="s">
        <v>74</v>
      </c>
      <c r="BH35" s="1" t="s">
        <v>74</v>
      </c>
      <c r="BI35" s="1" t="s">
        <v>74</v>
      </c>
      <c r="BJ35" s="1" t="s">
        <v>74</v>
      </c>
      <c r="BK35" s="1" t="s">
        <v>74</v>
      </c>
      <c r="BL35" s="1" t="s">
        <v>74</v>
      </c>
      <c r="BM35" s="1" t="s">
        <v>74</v>
      </c>
      <c r="BN35" s="1" t="s">
        <v>74</v>
      </c>
      <c r="BO35" s="1" t="s">
        <v>74</v>
      </c>
      <c r="BP35" s="1" t="s">
        <v>74</v>
      </c>
      <c r="BQ35" s="1" t="s">
        <v>74</v>
      </c>
      <c r="BR35" s="1" t="s">
        <v>74</v>
      </c>
      <c r="BS35" s="1" t="s">
        <v>385</v>
      </c>
      <c r="BT35" s="1" t="str">
        <f>HYPERLINK("https%3A%2F%2Fwww.webofscience.com%2Fwos%2Fwoscc%2Ffull-record%2FWOS:000754467300013","View Full Record in Web of Science")</f>
        <v>View Full Record in Web of Science</v>
      </c>
    </row>
    <row r="36" ht="12.75" customHeight="1">
      <c r="A36" s="1" t="s">
        <v>72</v>
      </c>
      <c r="B36" s="1" t="s">
        <v>386</v>
      </c>
      <c r="C36" s="1" t="s">
        <v>74</v>
      </c>
      <c r="D36" s="1" t="s">
        <v>74</v>
      </c>
      <c r="E36" s="1" t="s">
        <v>74</v>
      </c>
      <c r="F36" s="1" t="s">
        <v>387</v>
      </c>
      <c r="G36" s="1" t="s">
        <v>74</v>
      </c>
      <c r="H36" s="1" t="s">
        <v>74</v>
      </c>
      <c r="I36" s="1" t="s">
        <v>388</v>
      </c>
      <c r="J36" s="1" t="s">
        <v>389</v>
      </c>
      <c r="K36" s="1" t="s">
        <v>74</v>
      </c>
      <c r="L36" s="1" t="s">
        <v>74</v>
      </c>
      <c r="M36" s="1" t="s">
        <v>74</v>
      </c>
      <c r="N36" s="1" t="s">
        <v>74</v>
      </c>
      <c r="O36" s="1" t="s">
        <v>74</v>
      </c>
      <c r="P36" s="1" t="s">
        <v>74</v>
      </c>
      <c r="Q36" s="1" t="s">
        <v>74</v>
      </c>
      <c r="R36" s="1" t="s">
        <v>74</v>
      </c>
      <c r="S36" s="1" t="s">
        <v>74</v>
      </c>
      <c r="T36" s="1" t="s">
        <v>74</v>
      </c>
      <c r="U36" s="1" t="s">
        <v>74</v>
      </c>
      <c r="V36" s="1" t="s">
        <v>390</v>
      </c>
      <c r="W36" s="1" t="s">
        <v>74</v>
      </c>
      <c r="X36" s="1" t="s">
        <v>74</v>
      </c>
      <c r="Y36" s="1" t="s">
        <v>74</v>
      </c>
      <c r="Z36" s="1" t="s">
        <v>74</v>
      </c>
      <c r="AA36" s="1" t="s">
        <v>391</v>
      </c>
      <c r="AB36" s="1" t="s">
        <v>392</v>
      </c>
      <c r="AC36" s="1" t="s">
        <v>74</v>
      </c>
      <c r="AD36" s="1" t="s">
        <v>74</v>
      </c>
      <c r="AE36" s="1" t="s">
        <v>74</v>
      </c>
      <c r="AF36" s="1" t="s">
        <v>74</v>
      </c>
      <c r="AG36" s="1" t="s">
        <v>74</v>
      </c>
      <c r="AH36" s="1" t="s">
        <v>74</v>
      </c>
      <c r="AI36" s="1" t="s">
        <v>74</v>
      </c>
      <c r="AJ36" s="1" t="s">
        <v>74</v>
      </c>
      <c r="AK36" s="1" t="s">
        <v>74</v>
      </c>
      <c r="AL36" s="1" t="s">
        <v>74</v>
      </c>
      <c r="AM36" s="1" t="s">
        <v>74</v>
      </c>
      <c r="AN36" s="1" t="s">
        <v>74</v>
      </c>
      <c r="AO36" s="1" t="s">
        <v>393</v>
      </c>
      <c r="AP36" s="1" t="s">
        <v>394</v>
      </c>
      <c r="AQ36" s="1" t="s">
        <v>74</v>
      </c>
      <c r="AR36" s="1" t="s">
        <v>74</v>
      </c>
      <c r="AS36" s="1" t="s">
        <v>74</v>
      </c>
      <c r="AT36" s="1" t="s">
        <v>330</v>
      </c>
      <c r="AU36" s="1">
        <v>2021.0</v>
      </c>
      <c r="AV36" s="1">
        <v>2021.0</v>
      </c>
      <c r="AW36" s="1" t="s">
        <v>74</v>
      </c>
      <c r="AX36" s="1" t="s">
        <v>74</v>
      </c>
      <c r="AY36" s="1" t="s">
        <v>74</v>
      </c>
      <c r="AZ36" s="1" t="s">
        <v>74</v>
      </c>
      <c r="BA36" s="1" t="s">
        <v>74</v>
      </c>
      <c r="BB36" s="1" t="s">
        <v>74</v>
      </c>
      <c r="BC36" s="1" t="s">
        <v>74</v>
      </c>
      <c r="BD36" s="1">
        <v>7552200.0</v>
      </c>
      <c r="BE36" s="1" t="s">
        <v>395</v>
      </c>
      <c r="BF36" s="2" t="str">
        <f>HYPERLINK("http://dx.doi.org/10.1155/2021/7552200","http://dx.doi.org/10.1155/2021/7552200")</f>
        <v>http://dx.doi.org/10.1155/2021/7552200</v>
      </c>
      <c r="BG36" s="1" t="s">
        <v>74</v>
      </c>
      <c r="BH36" s="1" t="s">
        <v>74</v>
      </c>
      <c r="BI36" s="1" t="s">
        <v>74</v>
      </c>
      <c r="BJ36" s="1" t="s">
        <v>74</v>
      </c>
      <c r="BK36" s="1" t="s">
        <v>74</v>
      </c>
      <c r="BL36" s="1" t="s">
        <v>74</v>
      </c>
      <c r="BM36" s="1" t="s">
        <v>74</v>
      </c>
      <c r="BN36" s="1" t="s">
        <v>74</v>
      </c>
      <c r="BO36" s="1" t="s">
        <v>74</v>
      </c>
      <c r="BP36" s="1" t="s">
        <v>74</v>
      </c>
      <c r="BQ36" s="1" t="s">
        <v>74</v>
      </c>
      <c r="BR36" s="1" t="s">
        <v>74</v>
      </c>
      <c r="BS36" s="1" t="s">
        <v>396</v>
      </c>
      <c r="BT36" s="1" t="str">
        <f>HYPERLINK("https%3A%2F%2Fwww.webofscience.com%2Fwos%2Fwoscc%2Ffull-record%2FWOS:000732823800001","View Full Record in Web of Science")</f>
        <v>View Full Record in Web of Science</v>
      </c>
    </row>
    <row r="37" ht="12.75" customHeight="1">
      <c r="A37" s="1" t="s">
        <v>72</v>
      </c>
      <c r="B37" s="1" t="s">
        <v>397</v>
      </c>
      <c r="C37" s="1" t="s">
        <v>74</v>
      </c>
      <c r="D37" s="1" t="s">
        <v>74</v>
      </c>
      <c r="E37" s="1" t="s">
        <v>74</v>
      </c>
      <c r="F37" s="1" t="s">
        <v>398</v>
      </c>
      <c r="G37" s="1" t="s">
        <v>74</v>
      </c>
      <c r="H37" s="1" t="s">
        <v>74</v>
      </c>
      <c r="I37" s="1" t="s">
        <v>399</v>
      </c>
      <c r="J37" s="1" t="s">
        <v>400</v>
      </c>
      <c r="K37" s="1" t="s">
        <v>74</v>
      </c>
      <c r="L37" s="1" t="s">
        <v>74</v>
      </c>
      <c r="M37" s="1" t="s">
        <v>74</v>
      </c>
      <c r="N37" s="1" t="s">
        <v>74</v>
      </c>
      <c r="O37" s="1" t="s">
        <v>74</v>
      </c>
      <c r="P37" s="1" t="s">
        <v>74</v>
      </c>
      <c r="Q37" s="1" t="s">
        <v>74</v>
      </c>
      <c r="R37" s="1" t="s">
        <v>74</v>
      </c>
      <c r="S37" s="1" t="s">
        <v>74</v>
      </c>
      <c r="T37" s="1" t="s">
        <v>74</v>
      </c>
      <c r="U37" s="1" t="s">
        <v>74</v>
      </c>
      <c r="V37" s="1" t="s">
        <v>401</v>
      </c>
      <c r="W37" s="1" t="s">
        <v>74</v>
      </c>
      <c r="X37" s="1" t="s">
        <v>74</v>
      </c>
      <c r="Y37" s="1" t="s">
        <v>74</v>
      </c>
      <c r="Z37" s="1" t="s">
        <v>74</v>
      </c>
      <c r="AA37" s="1" t="s">
        <v>74</v>
      </c>
      <c r="AB37" s="1" t="s">
        <v>402</v>
      </c>
      <c r="AC37" s="1" t="s">
        <v>74</v>
      </c>
      <c r="AD37" s="1" t="s">
        <v>74</v>
      </c>
      <c r="AE37" s="1" t="s">
        <v>74</v>
      </c>
      <c r="AF37" s="1" t="s">
        <v>74</v>
      </c>
      <c r="AG37" s="1" t="s">
        <v>74</v>
      </c>
      <c r="AH37" s="1" t="s">
        <v>74</v>
      </c>
      <c r="AI37" s="1" t="s">
        <v>74</v>
      </c>
      <c r="AJ37" s="1" t="s">
        <v>74</v>
      </c>
      <c r="AK37" s="1" t="s">
        <v>74</v>
      </c>
      <c r="AL37" s="1" t="s">
        <v>74</v>
      </c>
      <c r="AM37" s="1" t="s">
        <v>74</v>
      </c>
      <c r="AN37" s="1" t="s">
        <v>74</v>
      </c>
      <c r="AO37" s="1" t="s">
        <v>403</v>
      </c>
      <c r="AP37" s="1" t="s">
        <v>404</v>
      </c>
      <c r="AQ37" s="1" t="s">
        <v>74</v>
      </c>
      <c r="AR37" s="1" t="s">
        <v>74</v>
      </c>
      <c r="AS37" s="1" t="s">
        <v>74</v>
      </c>
      <c r="AT37" s="1" t="s">
        <v>405</v>
      </c>
      <c r="AU37" s="1">
        <v>2021.0</v>
      </c>
      <c r="AV37" s="1">
        <v>36.0</v>
      </c>
      <c r="AW37" s="1">
        <v>22.0</v>
      </c>
      <c r="AX37" s="1" t="s">
        <v>74</v>
      </c>
      <c r="AY37" s="1" t="s">
        <v>74</v>
      </c>
      <c r="AZ37" s="1" t="s">
        <v>74</v>
      </c>
      <c r="BA37" s="1" t="s">
        <v>74</v>
      </c>
      <c r="BB37" s="1" t="s">
        <v>74</v>
      </c>
      <c r="BC37" s="1" t="s">
        <v>74</v>
      </c>
      <c r="BD37" s="1">
        <v>2150159.0</v>
      </c>
      <c r="BE37" s="1" t="s">
        <v>406</v>
      </c>
      <c r="BF37" s="2" t="str">
        <f>HYPERLINK("http://dx.doi.org/10.1142/S0217732321501595","http://dx.doi.org/10.1142/S0217732321501595")</f>
        <v>http://dx.doi.org/10.1142/S0217732321501595</v>
      </c>
      <c r="BG37" s="1" t="s">
        <v>74</v>
      </c>
      <c r="BH37" s="1" t="s">
        <v>74</v>
      </c>
      <c r="BI37" s="1" t="s">
        <v>74</v>
      </c>
      <c r="BJ37" s="1" t="s">
        <v>74</v>
      </c>
      <c r="BK37" s="1" t="s">
        <v>74</v>
      </c>
      <c r="BL37" s="1" t="s">
        <v>74</v>
      </c>
      <c r="BM37" s="1" t="s">
        <v>74</v>
      </c>
      <c r="BN37" s="1" t="s">
        <v>74</v>
      </c>
      <c r="BO37" s="1" t="s">
        <v>74</v>
      </c>
      <c r="BP37" s="1" t="s">
        <v>74</v>
      </c>
      <c r="BQ37" s="1" t="s">
        <v>74</v>
      </c>
      <c r="BR37" s="1" t="s">
        <v>74</v>
      </c>
      <c r="BS37" s="1" t="s">
        <v>407</v>
      </c>
      <c r="BT37" s="1" t="str">
        <f>HYPERLINK("https%3A%2F%2Fwww.webofscience.com%2Fwos%2Fwoscc%2Ffull-record%2FWOS:000679417700004","View Full Record in Web of Science")</f>
        <v>View Full Record in Web of Science</v>
      </c>
    </row>
    <row r="38" ht="12.75" customHeight="1">
      <c r="A38" s="1" t="s">
        <v>72</v>
      </c>
      <c r="B38" s="1" t="s">
        <v>408</v>
      </c>
      <c r="C38" s="1" t="s">
        <v>74</v>
      </c>
      <c r="D38" s="1" t="s">
        <v>74</v>
      </c>
      <c r="E38" s="1" t="s">
        <v>74</v>
      </c>
      <c r="F38" s="1" t="s">
        <v>409</v>
      </c>
      <c r="G38" s="1" t="s">
        <v>74</v>
      </c>
      <c r="H38" s="1" t="s">
        <v>74</v>
      </c>
      <c r="I38" s="1" t="s">
        <v>410</v>
      </c>
      <c r="J38" s="1" t="s">
        <v>411</v>
      </c>
      <c r="K38" s="1" t="s">
        <v>74</v>
      </c>
      <c r="L38" s="1" t="s">
        <v>74</v>
      </c>
      <c r="M38" s="1" t="s">
        <v>74</v>
      </c>
      <c r="N38" s="1" t="s">
        <v>74</v>
      </c>
      <c r="O38" s="1" t="s">
        <v>74</v>
      </c>
      <c r="P38" s="1" t="s">
        <v>74</v>
      </c>
      <c r="Q38" s="1" t="s">
        <v>74</v>
      </c>
      <c r="R38" s="1" t="s">
        <v>74</v>
      </c>
      <c r="S38" s="1" t="s">
        <v>74</v>
      </c>
      <c r="T38" s="1" t="s">
        <v>74</v>
      </c>
      <c r="U38" s="1" t="s">
        <v>74</v>
      </c>
      <c r="V38" s="1" t="s">
        <v>412</v>
      </c>
      <c r="W38" s="1" t="s">
        <v>74</v>
      </c>
      <c r="X38" s="1" t="s">
        <v>74</v>
      </c>
      <c r="Y38" s="1" t="s">
        <v>74</v>
      </c>
      <c r="Z38" s="1" t="s">
        <v>74</v>
      </c>
      <c r="AA38" s="1" t="s">
        <v>413</v>
      </c>
      <c r="AB38" s="1" t="s">
        <v>414</v>
      </c>
      <c r="AC38" s="1" t="s">
        <v>74</v>
      </c>
      <c r="AD38" s="1" t="s">
        <v>74</v>
      </c>
      <c r="AE38" s="1" t="s">
        <v>74</v>
      </c>
      <c r="AF38" s="1" t="s">
        <v>74</v>
      </c>
      <c r="AG38" s="1" t="s">
        <v>74</v>
      </c>
      <c r="AH38" s="1" t="s">
        <v>74</v>
      </c>
      <c r="AI38" s="1" t="s">
        <v>74</v>
      </c>
      <c r="AJ38" s="1" t="s">
        <v>74</v>
      </c>
      <c r="AK38" s="1" t="s">
        <v>74</v>
      </c>
      <c r="AL38" s="1" t="s">
        <v>74</v>
      </c>
      <c r="AM38" s="1" t="s">
        <v>74</v>
      </c>
      <c r="AN38" s="1" t="s">
        <v>74</v>
      </c>
      <c r="AO38" s="1" t="s">
        <v>415</v>
      </c>
      <c r="AP38" s="1" t="s">
        <v>416</v>
      </c>
      <c r="AQ38" s="1" t="s">
        <v>74</v>
      </c>
      <c r="AR38" s="1" t="s">
        <v>74</v>
      </c>
      <c r="AS38" s="1" t="s">
        <v>74</v>
      </c>
      <c r="AT38" s="1" t="s">
        <v>417</v>
      </c>
      <c r="AU38" s="1">
        <v>2021.0</v>
      </c>
      <c r="AV38" s="1">
        <v>45.0</v>
      </c>
      <c r="AW38" s="1">
        <v>30.0</v>
      </c>
      <c r="AX38" s="1" t="s">
        <v>74</v>
      </c>
      <c r="AY38" s="1" t="s">
        <v>74</v>
      </c>
      <c r="AZ38" s="1" t="s">
        <v>74</v>
      </c>
      <c r="BA38" s="1" t="s">
        <v>74</v>
      </c>
      <c r="BB38" s="1">
        <v>13360.0</v>
      </c>
      <c r="BC38" s="1">
        <v>13368.0</v>
      </c>
      <c r="BD38" s="1" t="s">
        <v>74</v>
      </c>
      <c r="BE38" s="1" t="s">
        <v>418</v>
      </c>
      <c r="BF38" s="2" t="str">
        <f>HYPERLINK("http://dx.doi.org/10.1039/d1nj01336j","http://dx.doi.org/10.1039/d1nj01336j")</f>
        <v>http://dx.doi.org/10.1039/d1nj01336j</v>
      </c>
      <c r="BG38" s="1" t="s">
        <v>74</v>
      </c>
      <c r="BH38" s="1" t="s">
        <v>419</v>
      </c>
      <c r="BI38" s="1" t="s">
        <v>74</v>
      </c>
      <c r="BJ38" s="1" t="s">
        <v>74</v>
      </c>
      <c r="BK38" s="1" t="s">
        <v>74</v>
      </c>
      <c r="BL38" s="1" t="s">
        <v>74</v>
      </c>
      <c r="BM38" s="1" t="s">
        <v>74</v>
      </c>
      <c r="BN38" s="1" t="s">
        <v>74</v>
      </c>
      <c r="BO38" s="1" t="s">
        <v>74</v>
      </c>
      <c r="BP38" s="1" t="s">
        <v>74</v>
      </c>
      <c r="BQ38" s="1" t="s">
        <v>74</v>
      </c>
      <c r="BR38" s="1" t="s">
        <v>74</v>
      </c>
      <c r="BS38" s="1" t="s">
        <v>420</v>
      </c>
      <c r="BT38" s="1" t="str">
        <f>HYPERLINK("https%3A%2F%2Fwww.webofscience.com%2Fwos%2Fwoscc%2Ffull-record%2FWOS:000671840500001","View Full Record in Web of Science")</f>
        <v>View Full Record in Web of Science</v>
      </c>
    </row>
    <row r="39" ht="12.75" customHeight="1">
      <c r="A39" s="1" t="s">
        <v>72</v>
      </c>
      <c r="B39" s="1" t="s">
        <v>421</v>
      </c>
      <c r="C39" s="1" t="s">
        <v>74</v>
      </c>
      <c r="D39" s="1" t="s">
        <v>74</v>
      </c>
      <c r="E39" s="1" t="s">
        <v>74</v>
      </c>
      <c r="F39" s="1" t="s">
        <v>422</v>
      </c>
      <c r="G39" s="1" t="s">
        <v>74</v>
      </c>
      <c r="H39" s="1" t="s">
        <v>74</v>
      </c>
      <c r="I39" s="1" t="s">
        <v>423</v>
      </c>
      <c r="J39" s="1" t="s">
        <v>424</v>
      </c>
      <c r="K39" s="1" t="s">
        <v>74</v>
      </c>
      <c r="L39" s="1" t="s">
        <v>74</v>
      </c>
      <c r="M39" s="1" t="s">
        <v>74</v>
      </c>
      <c r="N39" s="1" t="s">
        <v>74</v>
      </c>
      <c r="O39" s="1" t="s">
        <v>74</v>
      </c>
      <c r="P39" s="1" t="s">
        <v>74</v>
      </c>
      <c r="Q39" s="1" t="s">
        <v>74</v>
      </c>
      <c r="R39" s="1" t="s">
        <v>74</v>
      </c>
      <c r="S39" s="1" t="s">
        <v>74</v>
      </c>
      <c r="T39" s="1" t="s">
        <v>74</v>
      </c>
      <c r="U39" s="1" t="s">
        <v>74</v>
      </c>
      <c r="V39" s="1" t="s">
        <v>425</v>
      </c>
      <c r="W39" s="1" t="s">
        <v>74</v>
      </c>
      <c r="X39" s="1" t="s">
        <v>74</v>
      </c>
      <c r="Y39" s="1" t="s">
        <v>74</v>
      </c>
      <c r="Z39" s="1" t="s">
        <v>74</v>
      </c>
      <c r="AA39" s="1" t="s">
        <v>296</v>
      </c>
      <c r="AB39" s="1" t="s">
        <v>426</v>
      </c>
      <c r="AC39" s="1" t="s">
        <v>74</v>
      </c>
      <c r="AD39" s="1" t="s">
        <v>74</v>
      </c>
      <c r="AE39" s="1" t="s">
        <v>74</v>
      </c>
      <c r="AF39" s="1" t="s">
        <v>74</v>
      </c>
      <c r="AG39" s="1" t="s">
        <v>74</v>
      </c>
      <c r="AH39" s="1" t="s">
        <v>74</v>
      </c>
      <c r="AI39" s="1" t="s">
        <v>74</v>
      </c>
      <c r="AJ39" s="1" t="s">
        <v>74</v>
      </c>
      <c r="AK39" s="1" t="s">
        <v>74</v>
      </c>
      <c r="AL39" s="1" t="s">
        <v>74</v>
      </c>
      <c r="AM39" s="1" t="s">
        <v>74</v>
      </c>
      <c r="AN39" s="1" t="s">
        <v>74</v>
      </c>
      <c r="AO39" s="1" t="s">
        <v>427</v>
      </c>
      <c r="AP39" s="1" t="s">
        <v>428</v>
      </c>
      <c r="AQ39" s="1" t="s">
        <v>74</v>
      </c>
      <c r="AR39" s="1" t="s">
        <v>74</v>
      </c>
      <c r="AS39" s="1" t="s">
        <v>74</v>
      </c>
      <c r="AT39" s="1" t="s">
        <v>429</v>
      </c>
      <c r="AU39" s="1">
        <v>2021.0</v>
      </c>
      <c r="AV39" s="1">
        <v>91.0</v>
      </c>
      <c r="AW39" s="1">
        <v>5.0</v>
      </c>
      <c r="AX39" s="1" t="s">
        <v>74</v>
      </c>
      <c r="AY39" s="1" t="s">
        <v>74</v>
      </c>
      <c r="AZ39" s="1" t="s">
        <v>74</v>
      </c>
      <c r="BA39" s="1" t="s">
        <v>74</v>
      </c>
      <c r="BB39" s="1">
        <v>1981.0</v>
      </c>
      <c r="BC39" s="1">
        <v>2007.0</v>
      </c>
      <c r="BD39" s="1" t="s">
        <v>74</v>
      </c>
      <c r="BE39" s="1" t="s">
        <v>430</v>
      </c>
      <c r="BF39" s="2" t="str">
        <f>HYPERLINK("http://dx.doi.org/10.1007/s00419-020-01865-2","http://dx.doi.org/10.1007/s00419-020-01865-2")</f>
        <v>http://dx.doi.org/10.1007/s00419-020-01865-2</v>
      </c>
      <c r="BG39" s="1" t="s">
        <v>74</v>
      </c>
      <c r="BH39" s="1" t="s">
        <v>431</v>
      </c>
      <c r="BI39" s="1" t="s">
        <v>74</v>
      </c>
      <c r="BJ39" s="1" t="s">
        <v>74</v>
      </c>
      <c r="BK39" s="1" t="s">
        <v>74</v>
      </c>
      <c r="BL39" s="1" t="s">
        <v>74</v>
      </c>
      <c r="BM39" s="1" t="s">
        <v>74</v>
      </c>
      <c r="BN39" s="1" t="s">
        <v>74</v>
      </c>
      <c r="BO39" s="1" t="s">
        <v>74</v>
      </c>
      <c r="BP39" s="1" t="s">
        <v>74</v>
      </c>
      <c r="BQ39" s="1" t="s">
        <v>74</v>
      </c>
      <c r="BR39" s="1" t="s">
        <v>74</v>
      </c>
      <c r="BS39" s="1" t="s">
        <v>432</v>
      </c>
      <c r="BT39" s="1" t="str">
        <f>HYPERLINK("https%3A%2F%2Fwww.webofscience.com%2Fwos%2Fwoscc%2Ffull-record%2FWOS:000605527000003","View Full Record in Web of Science")</f>
        <v>View Full Record in Web of Science</v>
      </c>
    </row>
    <row r="40" ht="12.75" customHeight="1">
      <c r="A40" s="1" t="s">
        <v>72</v>
      </c>
      <c r="B40" s="1" t="s">
        <v>302</v>
      </c>
      <c r="C40" s="1" t="s">
        <v>74</v>
      </c>
      <c r="D40" s="1" t="s">
        <v>74</v>
      </c>
      <c r="E40" s="1" t="s">
        <v>74</v>
      </c>
      <c r="F40" s="1" t="s">
        <v>303</v>
      </c>
      <c r="G40" s="1" t="s">
        <v>74</v>
      </c>
      <c r="H40" s="1" t="s">
        <v>74</v>
      </c>
      <c r="I40" s="1" t="s">
        <v>433</v>
      </c>
      <c r="J40" s="1" t="s">
        <v>434</v>
      </c>
      <c r="K40" s="1" t="s">
        <v>74</v>
      </c>
      <c r="L40" s="1" t="s">
        <v>74</v>
      </c>
      <c r="M40" s="1" t="s">
        <v>74</v>
      </c>
      <c r="N40" s="1" t="s">
        <v>74</v>
      </c>
      <c r="O40" s="1" t="s">
        <v>74</v>
      </c>
      <c r="P40" s="1" t="s">
        <v>74</v>
      </c>
      <c r="Q40" s="1" t="s">
        <v>74</v>
      </c>
      <c r="R40" s="1" t="s">
        <v>74</v>
      </c>
      <c r="S40" s="1" t="s">
        <v>74</v>
      </c>
      <c r="T40" s="1" t="s">
        <v>74</v>
      </c>
      <c r="U40" s="1" t="s">
        <v>74</v>
      </c>
      <c r="V40" s="1" t="s">
        <v>435</v>
      </c>
      <c r="W40" s="1" t="s">
        <v>74</v>
      </c>
      <c r="X40" s="1" t="s">
        <v>74</v>
      </c>
      <c r="Y40" s="1" t="s">
        <v>74</v>
      </c>
      <c r="Z40" s="1" t="s">
        <v>74</v>
      </c>
      <c r="AA40" s="1" t="s">
        <v>74</v>
      </c>
      <c r="AB40" s="1" t="s">
        <v>307</v>
      </c>
      <c r="AC40" s="1" t="s">
        <v>74</v>
      </c>
      <c r="AD40" s="1" t="s">
        <v>74</v>
      </c>
      <c r="AE40" s="1" t="s">
        <v>74</v>
      </c>
      <c r="AF40" s="1" t="s">
        <v>74</v>
      </c>
      <c r="AG40" s="1" t="s">
        <v>74</v>
      </c>
      <c r="AH40" s="1" t="s">
        <v>74</v>
      </c>
      <c r="AI40" s="1" t="s">
        <v>74</v>
      </c>
      <c r="AJ40" s="1" t="s">
        <v>74</v>
      </c>
      <c r="AK40" s="1" t="s">
        <v>74</v>
      </c>
      <c r="AL40" s="1" t="s">
        <v>74</v>
      </c>
      <c r="AM40" s="1" t="s">
        <v>74</v>
      </c>
      <c r="AN40" s="1" t="s">
        <v>74</v>
      </c>
      <c r="AO40" s="1" t="s">
        <v>436</v>
      </c>
      <c r="AP40" s="1" t="s">
        <v>437</v>
      </c>
      <c r="AQ40" s="1" t="s">
        <v>74</v>
      </c>
      <c r="AR40" s="1" t="s">
        <v>74</v>
      </c>
      <c r="AS40" s="1" t="s">
        <v>74</v>
      </c>
      <c r="AT40" s="1" t="s">
        <v>438</v>
      </c>
      <c r="AU40" s="1">
        <v>2021.0</v>
      </c>
      <c r="AV40" s="1">
        <v>44.0</v>
      </c>
      <c r="AW40" s="1">
        <v>1.0</v>
      </c>
      <c r="AX40" s="1" t="s">
        <v>74</v>
      </c>
      <c r="AY40" s="1" t="s">
        <v>74</v>
      </c>
      <c r="AZ40" s="1" t="s">
        <v>74</v>
      </c>
      <c r="BA40" s="1" t="s">
        <v>74</v>
      </c>
      <c r="BB40" s="1">
        <v>385.0</v>
      </c>
      <c r="BC40" s="1">
        <v>410.0</v>
      </c>
      <c r="BD40" s="1" t="s">
        <v>74</v>
      </c>
      <c r="BE40" s="1" t="s">
        <v>439</v>
      </c>
      <c r="BF40" s="2" t="str">
        <f>HYPERLINK("http://dx.doi.org/10.1590/0101-3173.2021.v44n1.29.p385","http://dx.doi.org/10.1590/0101-3173.2021.v44n1.29.p385")</f>
        <v>http://dx.doi.org/10.1590/0101-3173.2021.v44n1.29.p385</v>
      </c>
      <c r="BG40" s="1" t="s">
        <v>74</v>
      </c>
      <c r="BH40" s="1" t="s">
        <v>74</v>
      </c>
      <c r="BI40" s="1" t="s">
        <v>74</v>
      </c>
      <c r="BJ40" s="1" t="s">
        <v>74</v>
      </c>
      <c r="BK40" s="1" t="s">
        <v>74</v>
      </c>
      <c r="BL40" s="1" t="s">
        <v>74</v>
      </c>
      <c r="BM40" s="1" t="s">
        <v>74</v>
      </c>
      <c r="BN40" s="1" t="s">
        <v>74</v>
      </c>
      <c r="BO40" s="1" t="s">
        <v>74</v>
      </c>
      <c r="BP40" s="1" t="s">
        <v>74</v>
      </c>
      <c r="BQ40" s="1" t="s">
        <v>74</v>
      </c>
      <c r="BR40" s="1" t="s">
        <v>74</v>
      </c>
      <c r="BS40" s="1" t="s">
        <v>440</v>
      </c>
      <c r="BT40" s="1" t="str">
        <f>HYPERLINK("https%3A%2F%2Fwww.webofscience.com%2Fwos%2Fwoscc%2Ffull-record%2FWOS:000667744800029","View Full Record in Web of Science")</f>
        <v>View Full Record in Web of Science</v>
      </c>
    </row>
    <row r="41" ht="12.75" customHeight="1">
      <c r="A41" s="1" t="s">
        <v>91</v>
      </c>
      <c r="B41" s="1" t="s">
        <v>441</v>
      </c>
      <c r="C41" s="1" t="s">
        <v>74</v>
      </c>
      <c r="D41" s="1" t="s">
        <v>74</v>
      </c>
      <c r="E41" s="1" t="s">
        <v>442</v>
      </c>
      <c r="F41" s="1" t="s">
        <v>443</v>
      </c>
      <c r="G41" s="1" t="s">
        <v>74</v>
      </c>
      <c r="H41" s="1" t="s">
        <v>74</v>
      </c>
      <c r="I41" s="1" t="s">
        <v>444</v>
      </c>
      <c r="J41" s="1" t="s">
        <v>445</v>
      </c>
      <c r="K41" s="1" t="s">
        <v>74</v>
      </c>
      <c r="L41" s="1" t="s">
        <v>74</v>
      </c>
      <c r="M41" s="1" t="s">
        <v>74</v>
      </c>
      <c r="N41" s="1" t="s">
        <v>74</v>
      </c>
      <c r="O41" s="1" t="s">
        <v>446</v>
      </c>
      <c r="P41" s="1" t="s">
        <v>447</v>
      </c>
      <c r="Q41" s="1" t="s">
        <v>448</v>
      </c>
      <c r="R41" s="1" t="s">
        <v>449</v>
      </c>
      <c r="S41" s="1" t="s">
        <v>74</v>
      </c>
      <c r="T41" s="1" t="s">
        <v>74</v>
      </c>
      <c r="U41" s="1" t="s">
        <v>74</v>
      </c>
      <c r="V41" s="1" t="s">
        <v>450</v>
      </c>
      <c r="W41" s="1" t="s">
        <v>74</v>
      </c>
      <c r="X41" s="1" t="s">
        <v>74</v>
      </c>
      <c r="Y41" s="1" t="s">
        <v>74</v>
      </c>
      <c r="Z41" s="1" t="s">
        <v>74</v>
      </c>
      <c r="AA41" s="1" t="s">
        <v>74</v>
      </c>
      <c r="AB41" s="1" t="s">
        <v>74</v>
      </c>
      <c r="AC41" s="1" t="s">
        <v>74</v>
      </c>
      <c r="AD41" s="1" t="s">
        <v>74</v>
      </c>
      <c r="AE41" s="1" t="s">
        <v>74</v>
      </c>
      <c r="AF41" s="1" t="s">
        <v>74</v>
      </c>
      <c r="AG41" s="1" t="s">
        <v>74</v>
      </c>
      <c r="AH41" s="1" t="s">
        <v>74</v>
      </c>
      <c r="AI41" s="1" t="s">
        <v>74</v>
      </c>
      <c r="AJ41" s="1" t="s">
        <v>74</v>
      </c>
      <c r="AK41" s="1" t="s">
        <v>74</v>
      </c>
      <c r="AL41" s="1" t="s">
        <v>74</v>
      </c>
      <c r="AM41" s="1" t="s">
        <v>74</v>
      </c>
      <c r="AN41" s="1" t="s">
        <v>74</v>
      </c>
      <c r="AO41" s="1" t="s">
        <v>74</v>
      </c>
      <c r="AP41" s="1" t="s">
        <v>74</v>
      </c>
      <c r="AQ41" s="1" t="s">
        <v>451</v>
      </c>
      <c r="AR41" s="1" t="s">
        <v>74</v>
      </c>
      <c r="AS41" s="1" t="s">
        <v>74</v>
      </c>
      <c r="AT41" s="1" t="s">
        <v>74</v>
      </c>
      <c r="AU41" s="1">
        <v>2021.0</v>
      </c>
      <c r="AV41" s="1" t="s">
        <v>74</v>
      </c>
      <c r="AW41" s="1" t="s">
        <v>74</v>
      </c>
      <c r="AX41" s="1" t="s">
        <v>74</v>
      </c>
      <c r="AY41" s="1" t="s">
        <v>74</v>
      </c>
      <c r="AZ41" s="1" t="s">
        <v>74</v>
      </c>
      <c r="BA41" s="1" t="s">
        <v>74</v>
      </c>
      <c r="BB41" s="1" t="s">
        <v>74</v>
      </c>
      <c r="BC41" s="1" t="s">
        <v>74</v>
      </c>
      <c r="BD41" s="1" t="s">
        <v>74</v>
      </c>
      <c r="BE41" s="1" t="s">
        <v>452</v>
      </c>
      <c r="BF41" s="2" t="str">
        <f>HYPERLINK("http://dx.doi.org/10.1109/ICAACCA51523.2021.9465237","http://dx.doi.org/10.1109/ICAACCA51523.2021.9465237")</f>
        <v>http://dx.doi.org/10.1109/ICAACCA51523.2021.9465237</v>
      </c>
      <c r="BG41" s="1" t="s">
        <v>74</v>
      </c>
      <c r="BH41" s="1" t="s">
        <v>74</v>
      </c>
      <c r="BI41" s="1" t="s">
        <v>74</v>
      </c>
      <c r="BJ41" s="1" t="s">
        <v>74</v>
      </c>
      <c r="BK41" s="1" t="s">
        <v>74</v>
      </c>
      <c r="BL41" s="1" t="s">
        <v>74</v>
      </c>
      <c r="BM41" s="1" t="s">
        <v>74</v>
      </c>
      <c r="BN41" s="1" t="s">
        <v>74</v>
      </c>
      <c r="BO41" s="1" t="s">
        <v>74</v>
      </c>
      <c r="BP41" s="1" t="s">
        <v>74</v>
      </c>
      <c r="BQ41" s="1" t="s">
        <v>74</v>
      </c>
      <c r="BR41" s="1" t="s">
        <v>74</v>
      </c>
      <c r="BS41" s="1" t="s">
        <v>453</v>
      </c>
      <c r="BT41" s="1" t="str">
        <f>HYPERLINK("https%3A%2F%2Fwww.webofscience.com%2Fwos%2Fwoscc%2Ffull-record%2FWOS:000855764500098","View Full Record in Web of Science")</f>
        <v>View Full Record in Web of Science</v>
      </c>
    </row>
    <row r="42" ht="12.75" customHeight="1">
      <c r="A42" s="1" t="s">
        <v>454</v>
      </c>
      <c r="B42" s="1" t="s">
        <v>455</v>
      </c>
      <c r="C42" s="1" t="s">
        <v>74</v>
      </c>
      <c r="D42" s="1" t="s">
        <v>456</v>
      </c>
      <c r="E42" s="1" t="s">
        <v>74</v>
      </c>
      <c r="F42" s="1" t="s">
        <v>457</v>
      </c>
      <c r="G42" s="1" t="s">
        <v>74</v>
      </c>
      <c r="H42" s="1" t="s">
        <v>74</v>
      </c>
      <c r="I42" s="1" t="s">
        <v>458</v>
      </c>
      <c r="J42" s="1" t="s">
        <v>459</v>
      </c>
      <c r="K42" s="1" t="s">
        <v>74</v>
      </c>
      <c r="L42" s="1" t="s">
        <v>74</v>
      </c>
      <c r="M42" s="1" t="s">
        <v>74</v>
      </c>
      <c r="N42" s="1" t="s">
        <v>74</v>
      </c>
      <c r="O42" s="1" t="s">
        <v>74</v>
      </c>
      <c r="P42" s="1" t="s">
        <v>74</v>
      </c>
      <c r="Q42" s="1" t="s">
        <v>74</v>
      </c>
      <c r="R42" s="1" t="s">
        <v>74</v>
      </c>
      <c r="S42" s="1" t="s">
        <v>74</v>
      </c>
      <c r="T42" s="1" t="s">
        <v>74</v>
      </c>
      <c r="U42" s="1" t="s">
        <v>74</v>
      </c>
      <c r="V42" s="1" t="s">
        <v>74</v>
      </c>
      <c r="W42" s="1" t="s">
        <v>74</v>
      </c>
      <c r="X42" s="1" t="s">
        <v>74</v>
      </c>
      <c r="Y42" s="1" t="s">
        <v>74</v>
      </c>
      <c r="Z42" s="1" t="s">
        <v>74</v>
      </c>
      <c r="AA42" s="1" t="s">
        <v>74</v>
      </c>
      <c r="AB42" s="1" t="s">
        <v>74</v>
      </c>
      <c r="AC42" s="1" t="s">
        <v>74</v>
      </c>
      <c r="AD42" s="1" t="s">
        <v>74</v>
      </c>
      <c r="AE42" s="1" t="s">
        <v>74</v>
      </c>
      <c r="AF42" s="1" t="s">
        <v>74</v>
      </c>
      <c r="AG42" s="1" t="s">
        <v>74</v>
      </c>
      <c r="AH42" s="1" t="s">
        <v>74</v>
      </c>
      <c r="AI42" s="1" t="s">
        <v>74</v>
      </c>
      <c r="AJ42" s="1" t="s">
        <v>74</v>
      </c>
      <c r="AK42" s="1" t="s">
        <v>74</v>
      </c>
      <c r="AL42" s="1" t="s">
        <v>74</v>
      </c>
      <c r="AM42" s="1" t="s">
        <v>74</v>
      </c>
      <c r="AN42" s="1" t="s">
        <v>74</v>
      </c>
      <c r="AO42" s="1" t="s">
        <v>74</v>
      </c>
      <c r="AP42" s="1" t="s">
        <v>74</v>
      </c>
      <c r="AQ42" s="1" t="s">
        <v>460</v>
      </c>
      <c r="AR42" s="1" t="s">
        <v>74</v>
      </c>
      <c r="AS42" s="1" t="s">
        <v>74</v>
      </c>
      <c r="AT42" s="1" t="s">
        <v>74</v>
      </c>
      <c r="AU42" s="1">
        <v>2021.0</v>
      </c>
      <c r="AV42" s="1" t="s">
        <v>74</v>
      </c>
      <c r="AW42" s="1" t="s">
        <v>74</v>
      </c>
      <c r="AX42" s="1" t="s">
        <v>74</v>
      </c>
      <c r="AY42" s="1" t="s">
        <v>74</v>
      </c>
      <c r="AZ42" s="1" t="s">
        <v>74</v>
      </c>
      <c r="BA42" s="1" t="s">
        <v>74</v>
      </c>
      <c r="BB42" s="1">
        <v>113.0</v>
      </c>
      <c r="BC42" s="1">
        <v>143.0</v>
      </c>
      <c r="BD42" s="1" t="s">
        <v>74</v>
      </c>
      <c r="BE42" s="1" t="s">
        <v>74</v>
      </c>
      <c r="BF42" s="1" t="s">
        <v>74</v>
      </c>
      <c r="BG42" s="1" t="s">
        <v>461</v>
      </c>
      <c r="BH42" s="1" t="s">
        <v>74</v>
      </c>
      <c r="BI42" s="1" t="s">
        <v>74</v>
      </c>
      <c r="BJ42" s="1" t="s">
        <v>74</v>
      </c>
      <c r="BK42" s="1" t="s">
        <v>74</v>
      </c>
      <c r="BL42" s="1" t="s">
        <v>74</v>
      </c>
      <c r="BM42" s="1" t="s">
        <v>74</v>
      </c>
      <c r="BN42" s="1" t="s">
        <v>74</v>
      </c>
      <c r="BO42" s="1" t="s">
        <v>74</v>
      </c>
      <c r="BP42" s="1" t="s">
        <v>74</v>
      </c>
      <c r="BQ42" s="1" t="s">
        <v>74</v>
      </c>
      <c r="BR42" s="1" t="s">
        <v>74</v>
      </c>
      <c r="BS42" s="1" t="s">
        <v>462</v>
      </c>
      <c r="BT42" s="1" t="str">
        <f>HYPERLINK("https%3A%2F%2Fwww.webofscience.com%2Fwos%2Fwoscc%2Ffull-record%2FWOS:000762754900006","View Full Record in Web of Science")</f>
        <v>View Full Record in Web of Science</v>
      </c>
    </row>
    <row r="43" ht="12.75" customHeight="1">
      <c r="A43" s="1" t="s">
        <v>72</v>
      </c>
      <c r="B43" s="1" t="s">
        <v>463</v>
      </c>
      <c r="C43" s="1" t="s">
        <v>74</v>
      </c>
      <c r="D43" s="1" t="s">
        <v>74</v>
      </c>
      <c r="E43" s="1" t="s">
        <v>74</v>
      </c>
      <c r="F43" s="1" t="s">
        <v>464</v>
      </c>
      <c r="G43" s="1" t="s">
        <v>74</v>
      </c>
      <c r="H43" s="1" t="s">
        <v>74</v>
      </c>
      <c r="I43" s="1" t="s">
        <v>465</v>
      </c>
      <c r="J43" s="1" t="s">
        <v>466</v>
      </c>
      <c r="K43" s="1" t="s">
        <v>74</v>
      </c>
      <c r="L43" s="1" t="s">
        <v>74</v>
      </c>
      <c r="M43" s="1" t="s">
        <v>74</v>
      </c>
      <c r="N43" s="1" t="s">
        <v>74</v>
      </c>
      <c r="O43" s="1" t="s">
        <v>74</v>
      </c>
      <c r="P43" s="1" t="s">
        <v>74</v>
      </c>
      <c r="Q43" s="1" t="s">
        <v>74</v>
      </c>
      <c r="R43" s="1" t="s">
        <v>74</v>
      </c>
      <c r="S43" s="1" t="s">
        <v>74</v>
      </c>
      <c r="T43" s="1" t="s">
        <v>74</v>
      </c>
      <c r="U43" s="1" t="s">
        <v>74</v>
      </c>
      <c r="V43" s="1" t="s">
        <v>467</v>
      </c>
      <c r="W43" s="1" t="s">
        <v>74</v>
      </c>
      <c r="X43" s="1" t="s">
        <v>74</v>
      </c>
      <c r="Y43" s="1" t="s">
        <v>74</v>
      </c>
      <c r="Z43" s="1" t="s">
        <v>74</v>
      </c>
      <c r="AA43" s="1" t="s">
        <v>468</v>
      </c>
      <c r="AB43" s="1" t="s">
        <v>469</v>
      </c>
      <c r="AC43" s="1" t="s">
        <v>74</v>
      </c>
      <c r="AD43" s="1" t="s">
        <v>74</v>
      </c>
      <c r="AE43" s="1" t="s">
        <v>74</v>
      </c>
      <c r="AF43" s="1" t="s">
        <v>74</v>
      </c>
      <c r="AG43" s="1" t="s">
        <v>74</v>
      </c>
      <c r="AH43" s="1" t="s">
        <v>74</v>
      </c>
      <c r="AI43" s="1" t="s">
        <v>74</v>
      </c>
      <c r="AJ43" s="1" t="s">
        <v>74</v>
      </c>
      <c r="AK43" s="1" t="s">
        <v>74</v>
      </c>
      <c r="AL43" s="1" t="s">
        <v>74</v>
      </c>
      <c r="AM43" s="1" t="s">
        <v>74</v>
      </c>
      <c r="AN43" s="1" t="s">
        <v>74</v>
      </c>
      <c r="AO43" s="1" t="s">
        <v>470</v>
      </c>
      <c r="AP43" s="1" t="s">
        <v>471</v>
      </c>
      <c r="AQ43" s="1" t="s">
        <v>74</v>
      </c>
      <c r="AR43" s="1" t="s">
        <v>74</v>
      </c>
      <c r="AS43" s="1" t="s">
        <v>74</v>
      </c>
      <c r="AT43" s="1" t="s">
        <v>74</v>
      </c>
      <c r="AU43" s="1">
        <v>2021.0</v>
      </c>
      <c r="AV43" s="1">
        <v>28.0</v>
      </c>
      <c r="AW43" s="1" t="s">
        <v>74</v>
      </c>
      <c r="AX43" s="1" t="s">
        <v>74</v>
      </c>
      <c r="AY43" s="1" t="s">
        <v>74</v>
      </c>
      <c r="AZ43" s="1" t="s">
        <v>74</v>
      </c>
      <c r="BA43" s="1" t="s">
        <v>74</v>
      </c>
      <c r="BB43" s="1">
        <v>127.0</v>
      </c>
      <c r="BC43" s="1">
        <v>140.0</v>
      </c>
      <c r="BD43" s="1" t="s">
        <v>74</v>
      </c>
      <c r="BE43" s="1" t="s">
        <v>472</v>
      </c>
      <c r="BF43" s="2" t="str">
        <f>HYPERLINK("http://dx.doi.org/10.37190/msc212810","http://dx.doi.org/10.37190/msc212810")</f>
        <v>http://dx.doi.org/10.37190/msc212810</v>
      </c>
      <c r="BG43" s="1" t="s">
        <v>74</v>
      </c>
      <c r="BH43" s="1" t="s">
        <v>74</v>
      </c>
      <c r="BI43" s="1" t="s">
        <v>74</v>
      </c>
      <c r="BJ43" s="1" t="s">
        <v>74</v>
      </c>
      <c r="BK43" s="1" t="s">
        <v>74</v>
      </c>
      <c r="BL43" s="1" t="s">
        <v>74</v>
      </c>
      <c r="BM43" s="1" t="s">
        <v>74</v>
      </c>
      <c r="BN43" s="1" t="s">
        <v>74</v>
      </c>
      <c r="BO43" s="1" t="s">
        <v>74</v>
      </c>
      <c r="BP43" s="1" t="s">
        <v>74</v>
      </c>
      <c r="BQ43" s="1" t="s">
        <v>74</v>
      </c>
      <c r="BR43" s="1" t="s">
        <v>74</v>
      </c>
      <c r="BS43" s="1" t="s">
        <v>473</v>
      </c>
      <c r="BT43" s="1" t="str">
        <f>HYPERLINK("https%3A%2F%2Fwww.webofscience.com%2Fwos%2Fwoscc%2Ffull-record%2FWOS:000808546400009","View Full Record in Web of Science")</f>
        <v>View Full Record in Web of Science</v>
      </c>
    </row>
    <row r="44" ht="12.75" customHeight="1">
      <c r="A44" s="1" t="s">
        <v>72</v>
      </c>
      <c r="B44" s="1" t="s">
        <v>474</v>
      </c>
      <c r="C44" s="1" t="s">
        <v>74</v>
      </c>
      <c r="D44" s="1" t="s">
        <v>74</v>
      </c>
      <c r="E44" s="1" t="s">
        <v>74</v>
      </c>
      <c r="F44" s="1" t="s">
        <v>475</v>
      </c>
      <c r="G44" s="1" t="s">
        <v>74</v>
      </c>
      <c r="H44" s="1" t="s">
        <v>74</v>
      </c>
      <c r="I44" s="1" t="s">
        <v>476</v>
      </c>
      <c r="J44" s="1" t="s">
        <v>477</v>
      </c>
      <c r="K44" s="1" t="s">
        <v>74</v>
      </c>
      <c r="L44" s="1" t="s">
        <v>74</v>
      </c>
      <c r="M44" s="1" t="s">
        <v>74</v>
      </c>
      <c r="N44" s="1" t="s">
        <v>74</v>
      </c>
      <c r="O44" s="1" t="s">
        <v>74</v>
      </c>
      <c r="P44" s="1" t="s">
        <v>74</v>
      </c>
      <c r="Q44" s="1" t="s">
        <v>74</v>
      </c>
      <c r="R44" s="1" t="s">
        <v>74</v>
      </c>
      <c r="S44" s="1" t="s">
        <v>74</v>
      </c>
      <c r="T44" s="1" t="s">
        <v>74</v>
      </c>
      <c r="U44" s="1" t="s">
        <v>74</v>
      </c>
      <c r="V44" s="1" t="s">
        <v>478</v>
      </c>
      <c r="W44" s="1" t="s">
        <v>74</v>
      </c>
      <c r="X44" s="1" t="s">
        <v>74</v>
      </c>
      <c r="Y44" s="1" t="s">
        <v>74</v>
      </c>
      <c r="Z44" s="1" t="s">
        <v>74</v>
      </c>
      <c r="AA44" s="1" t="s">
        <v>74</v>
      </c>
      <c r="AB44" s="1" t="s">
        <v>74</v>
      </c>
      <c r="AC44" s="1" t="s">
        <v>74</v>
      </c>
      <c r="AD44" s="1" t="s">
        <v>74</v>
      </c>
      <c r="AE44" s="1" t="s">
        <v>74</v>
      </c>
      <c r="AF44" s="1" t="s">
        <v>74</v>
      </c>
      <c r="AG44" s="1" t="s">
        <v>74</v>
      </c>
      <c r="AH44" s="1" t="s">
        <v>74</v>
      </c>
      <c r="AI44" s="1" t="s">
        <v>74</v>
      </c>
      <c r="AJ44" s="1" t="s">
        <v>74</v>
      </c>
      <c r="AK44" s="1" t="s">
        <v>74</v>
      </c>
      <c r="AL44" s="1" t="s">
        <v>74</v>
      </c>
      <c r="AM44" s="1" t="s">
        <v>74</v>
      </c>
      <c r="AN44" s="1" t="s">
        <v>74</v>
      </c>
      <c r="AO44" s="1" t="s">
        <v>479</v>
      </c>
      <c r="AP44" s="1" t="s">
        <v>74</v>
      </c>
      <c r="AQ44" s="1" t="s">
        <v>74</v>
      </c>
      <c r="AR44" s="1" t="s">
        <v>74</v>
      </c>
      <c r="AS44" s="1" t="s">
        <v>74</v>
      </c>
      <c r="AT44" s="1" t="s">
        <v>429</v>
      </c>
      <c r="AU44" s="1">
        <v>2020.0</v>
      </c>
      <c r="AV44" s="1" t="s">
        <v>74</v>
      </c>
      <c r="AW44" s="1">
        <v>101.0</v>
      </c>
      <c r="AX44" s="1" t="s">
        <v>74</v>
      </c>
      <c r="AY44" s="1" t="s">
        <v>74</v>
      </c>
      <c r="AZ44" s="1" t="s">
        <v>74</v>
      </c>
      <c r="BA44" s="1" t="s">
        <v>74</v>
      </c>
      <c r="BB44" s="1">
        <v>311.0</v>
      </c>
      <c r="BC44" s="1">
        <v>330.0</v>
      </c>
      <c r="BD44" s="1" t="s">
        <v>74</v>
      </c>
      <c r="BE44" s="1" t="s">
        <v>74</v>
      </c>
      <c r="BF44" s="1" t="s">
        <v>74</v>
      </c>
      <c r="BG44" s="1" t="s">
        <v>74</v>
      </c>
      <c r="BH44" s="1" t="s">
        <v>74</v>
      </c>
      <c r="BI44" s="1" t="s">
        <v>74</v>
      </c>
      <c r="BJ44" s="1" t="s">
        <v>74</v>
      </c>
      <c r="BK44" s="1" t="s">
        <v>74</v>
      </c>
      <c r="BL44" s="1" t="s">
        <v>74</v>
      </c>
      <c r="BM44" s="1" t="s">
        <v>74</v>
      </c>
      <c r="BN44" s="1" t="s">
        <v>74</v>
      </c>
      <c r="BO44" s="1" t="s">
        <v>74</v>
      </c>
      <c r="BP44" s="1" t="s">
        <v>74</v>
      </c>
      <c r="BQ44" s="1" t="s">
        <v>74</v>
      </c>
      <c r="BR44" s="1" t="s">
        <v>74</v>
      </c>
      <c r="BS44" s="1" t="s">
        <v>480</v>
      </c>
      <c r="BT44" s="1" t="str">
        <f>HYPERLINK("https%3A%2F%2Fwww.webofscience.com%2Fwos%2Fwoscc%2Ffull-record%2FWOS:000536124900014","View Full Record in Web of Science")</f>
        <v>View Full Record in Web of Science</v>
      </c>
    </row>
    <row r="45" ht="12.75" customHeight="1">
      <c r="A45" s="1" t="s">
        <v>72</v>
      </c>
      <c r="B45" s="1" t="s">
        <v>481</v>
      </c>
      <c r="C45" s="1" t="s">
        <v>74</v>
      </c>
      <c r="D45" s="1" t="s">
        <v>74</v>
      </c>
      <c r="E45" s="1" t="s">
        <v>74</v>
      </c>
      <c r="F45" s="1" t="s">
        <v>482</v>
      </c>
      <c r="G45" s="1" t="s">
        <v>74</v>
      </c>
      <c r="H45" s="1" t="s">
        <v>74</v>
      </c>
      <c r="I45" s="1" t="s">
        <v>483</v>
      </c>
      <c r="J45" s="1" t="s">
        <v>484</v>
      </c>
      <c r="K45" s="1" t="s">
        <v>74</v>
      </c>
      <c r="L45" s="1" t="s">
        <v>74</v>
      </c>
      <c r="M45" s="1" t="s">
        <v>74</v>
      </c>
      <c r="N45" s="1" t="s">
        <v>74</v>
      </c>
      <c r="O45" s="1" t="s">
        <v>74</v>
      </c>
      <c r="P45" s="1" t="s">
        <v>74</v>
      </c>
      <c r="Q45" s="1" t="s">
        <v>74</v>
      </c>
      <c r="R45" s="1" t="s">
        <v>74</v>
      </c>
      <c r="S45" s="1" t="s">
        <v>74</v>
      </c>
      <c r="T45" s="1" t="s">
        <v>74</v>
      </c>
      <c r="U45" s="1" t="s">
        <v>74</v>
      </c>
      <c r="V45" s="1" t="s">
        <v>485</v>
      </c>
      <c r="W45" s="1" t="s">
        <v>74</v>
      </c>
      <c r="X45" s="1" t="s">
        <v>74</v>
      </c>
      <c r="Y45" s="1" t="s">
        <v>74</v>
      </c>
      <c r="Z45" s="1" t="s">
        <v>74</v>
      </c>
      <c r="AA45" s="1" t="s">
        <v>296</v>
      </c>
      <c r="AB45" s="1" t="s">
        <v>486</v>
      </c>
      <c r="AC45" s="1" t="s">
        <v>74</v>
      </c>
      <c r="AD45" s="1" t="s">
        <v>74</v>
      </c>
      <c r="AE45" s="1" t="s">
        <v>74</v>
      </c>
      <c r="AF45" s="1" t="s">
        <v>74</v>
      </c>
      <c r="AG45" s="1" t="s">
        <v>74</v>
      </c>
      <c r="AH45" s="1" t="s">
        <v>74</v>
      </c>
      <c r="AI45" s="1" t="s">
        <v>74</v>
      </c>
      <c r="AJ45" s="1" t="s">
        <v>74</v>
      </c>
      <c r="AK45" s="1" t="s">
        <v>74</v>
      </c>
      <c r="AL45" s="1" t="s">
        <v>74</v>
      </c>
      <c r="AM45" s="1" t="s">
        <v>74</v>
      </c>
      <c r="AN45" s="1" t="s">
        <v>74</v>
      </c>
      <c r="AO45" s="1" t="s">
        <v>487</v>
      </c>
      <c r="AP45" s="1" t="s">
        <v>488</v>
      </c>
      <c r="AQ45" s="1" t="s">
        <v>74</v>
      </c>
      <c r="AR45" s="1" t="s">
        <v>74</v>
      </c>
      <c r="AS45" s="1" t="s">
        <v>74</v>
      </c>
      <c r="AT45" s="1" t="s">
        <v>347</v>
      </c>
      <c r="AU45" s="1">
        <v>2020.0</v>
      </c>
      <c r="AV45" s="1">
        <v>126.0</v>
      </c>
      <c r="AW45" s="1" t="s">
        <v>74</v>
      </c>
      <c r="AX45" s="1" t="s">
        <v>74</v>
      </c>
      <c r="AY45" s="1" t="s">
        <v>74</v>
      </c>
      <c r="AZ45" s="1" t="s">
        <v>74</v>
      </c>
      <c r="BA45" s="1" t="s">
        <v>74</v>
      </c>
      <c r="BB45" s="1" t="s">
        <v>74</v>
      </c>
      <c r="BC45" s="1" t="s">
        <v>74</v>
      </c>
      <c r="BD45" s="1">
        <v>103447.0</v>
      </c>
      <c r="BE45" s="1" t="s">
        <v>489</v>
      </c>
      <c r="BF45" s="2" t="str">
        <f>HYPERLINK("http://dx.doi.org/10.1016/j.robot.2020.103447","http://dx.doi.org/10.1016/j.robot.2020.103447")</f>
        <v>http://dx.doi.org/10.1016/j.robot.2020.103447</v>
      </c>
      <c r="BG45" s="1" t="s">
        <v>74</v>
      </c>
      <c r="BH45" s="1" t="s">
        <v>74</v>
      </c>
      <c r="BI45" s="1" t="s">
        <v>74</v>
      </c>
      <c r="BJ45" s="1" t="s">
        <v>74</v>
      </c>
      <c r="BK45" s="1" t="s">
        <v>74</v>
      </c>
      <c r="BL45" s="1" t="s">
        <v>74</v>
      </c>
      <c r="BM45" s="1" t="s">
        <v>74</v>
      </c>
      <c r="BN45" s="1" t="s">
        <v>74</v>
      </c>
      <c r="BO45" s="1" t="s">
        <v>74</v>
      </c>
      <c r="BP45" s="1" t="s">
        <v>74</v>
      </c>
      <c r="BQ45" s="1" t="s">
        <v>74</v>
      </c>
      <c r="BR45" s="1" t="s">
        <v>74</v>
      </c>
      <c r="BS45" s="1" t="s">
        <v>490</v>
      </c>
      <c r="BT45" s="1" t="str">
        <f>HYPERLINK("https%3A%2F%2Fwww.webofscience.com%2Fwos%2Fwoscc%2Ffull-record%2FWOS:000524382000004","View Full Record in Web of Science")</f>
        <v>View Full Record in Web of Science</v>
      </c>
    </row>
    <row r="46" ht="12.75" customHeight="1">
      <c r="A46" s="1" t="s">
        <v>454</v>
      </c>
      <c r="B46" s="1" t="s">
        <v>491</v>
      </c>
      <c r="C46" s="1" t="s">
        <v>74</v>
      </c>
      <c r="D46" s="1" t="s">
        <v>492</v>
      </c>
      <c r="E46" s="1" t="s">
        <v>74</v>
      </c>
      <c r="F46" s="1" t="s">
        <v>493</v>
      </c>
      <c r="G46" s="1" t="s">
        <v>74</v>
      </c>
      <c r="H46" s="1" t="s">
        <v>74</v>
      </c>
      <c r="I46" s="1" t="s">
        <v>494</v>
      </c>
      <c r="J46" s="1" t="s">
        <v>495</v>
      </c>
      <c r="K46" s="1" t="s">
        <v>496</v>
      </c>
      <c r="L46" s="1" t="s">
        <v>74</v>
      </c>
      <c r="M46" s="1" t="s">
        <v>74</v>
      </c>
      <c r="N46" s="1" t="s">
        <v>74</v>
      </c>
      <c r="O46" s="1" t="s">
        <v>74</v>
      </c>
      <c r="P46" s="1" t="s">
        <v>74</v>
      </c>
      <c r="Q46" s="1" t="s">
        <v>74</v>
      </c>
      <c r="R46" s="1" t="s">
        <v>74</v>
      </c>
      <c r="S46" s="1" t="s">
        <v>74</v>
      </c>
      <c r="T46" s="1" t="s">
        <v>74</v>
      </c>
      <c r="U46" s="1" t="s">
        <v>74</v>
      </c>
      <c r="V46" s="1" t="s">
        <v>74</v>
      </c>
      <c r="W46" s="1" t="s">
        <v>74</v>
      </c>
      <c r="X46" s="1" t="s">
        <v>74</v>
      </c>
      <c r="Y46" s="1" t="s">
        <v>74</v>
      </c>
      <c r="Z46" s="1" t="s">
        <v>74</v>
      </c>
      <c r="AA46" s="1" t="s">
        <v>497</v>
      </c>
      <c r="AB46" s="1" t="s">
        <v>74</v>
      </c>
      <c r="AC46" s="1" t="s">
        <v>74</v>
      </c>
      <c r="AD46" s="1" t="s">
        <v>74</v>
      </c>
      <c r="AE46" s="1" t="s">
        <v>74</v>
      </c>
      <c r="AF46" s="1" t="s">
        <v>74</v>
      </c>
      <c r="AG46" s="1" t="s">
        <v>74</v>
      </c>
      <c r="AH46" s="1" t="s">
        <v>74</v>
      </c>
      <c r="AI46" s="1" t="s">
        <v>74</v>
      </c>
      <c r="AJ46" s="1" t="s">
        <v>74</v>
      </c>
      <c r="AK46" s="1" t="s">
        <v>74</v>
      </c>
      <c r="AL46" s="1" t="s">
        <v>74</v>
      </c>
      <c r="AM46" s="1" t="s">
        <v>74</v>
      </c>
      <c r="AN46" s="1" t="s">
        <v>74</v>
      </c>
      <c r="AO46" s="1" t="s">
        <v>74</v>
      </c>
      <c r="AP46" s="1" t="s">
        <v>74</v>
      </c>
      <c r="AQ46" s="1" t="s">
        <v>498</v>
      </c>
      <c r="AR46" s="1" t="s">
        <v>74</v>
      </c>
      <c r="AS46" s="1" t="s">
        <v>74</v>
      </c>
      <c r="AT46" s="1" t="s">
        <v>74</v>
      </c>
      <c r="AU46" s="1">
        <v>2020.0</v>
      </c>
      <c r="AV46" s="1" t="s">
        <v>74</v>
      </c>
      <c r="AW46" s="1" t="s">
        <v>74</v>
      </c>
      <c r="AX46" s="1" t="s">
        <v>74</v>
      </c>
      <c r="AY46" s="1" t="s">
        <v>74</v>
      </c>
      <c r="AZ46" s="1" t="s">
        <v>74</v>
      </c>
      <c r="BA46" s="1" t="s">
        <v>74</v>
      </c>
      <c r="BB46" s="1">
        <v>479.0</v>
      </c>
      <c r="BC46" s="1">
        <v>487.0</v>
      </c>
      <c r="BD46" s="1" t="s">
        <v>74</v>
      </c>
      <c r="BE46" s="1" t="s">
        <v>74</v>
      </c>
      <c r="BF46" s="1" t="s">
        <v>74</v>
      </c>
      <c r="BG46" s="1" t="s">
        <v>74</v>
      </c>
      <c r="BH46" s="1" t="s">
        <v>74</v>
      </c>
      <c r="BI46" s="1" t="s">
        <v>74</v>
      </c>
      <c r="BJ46" s="1" t="s">
        <v>74</v>
      </c>
      <c r="BK46" s="1" t="s">
        <v>74</v>
      </c>
      <c r="BL46" s="1" t="s">
        <v>74</v>
      </c>
      <c r="BM46" s="1" t="s">
        <v>74</v>
      </c>
      <c r="BN46" s="1" t="s">
        <v>74</v>
      </c>
      <c r="BO46" s="1" t="s">
        <v>74</v>
      </c>
      <c r="BP46" s="1" t="s">
        <v>74</v>
      </c>
      <c r="BQ46" s="1" t="s">
        <v>74</v>
      </c>
      <c r="BR46" s="1" t="s">
        <v>74</v>
      </c>
      <c r="BS46" s="1" t="s">
        <v>499</v>
      </c>
      <c r="BT46" s="1" t="str">
        <f>HYPERLINK("https%3A%2F%2Fwww.webofscience.com%2Fwos%2Fwoscc%2Ffull-record%2FWOS:000787594100046","View Full Record in Web of Science")</f>
        <v>View Full Record in Web of Science</v>
      </c>
    </row>
    <row r="47" ht="12.75" customHeight="1">
      <c r="A47" s="1" t="s">
        <v>454</v>
      </c>
      <c r="B47" s="1" t="s">
        <v>500</v>
      </c>
      <c r="C47" s="1" t="s">
        <v>74</v>
      </c>
      <c r="D47" s="1" t="s">
        <v>501</v>
      </c>
      <c r="E47" s="1" t="s">
        <v>74</v>
      </c>
      <c r="F47" s="1" t="s">
        <v>502</v>
      </c>
      <c r="G47" s="1" t="s">
        <v>74</v>
      </c>
      <c r="H47" s="1" t="s">
        <v>74</v>
      </c>
      <c r="I47" s="1" t="s">
        <v>503</v>
      </c>
      <c r="J47" s="1" t="s">
        <v>504</v>
      </c>
      <c r="K47" s="1" t="s">
        <v>505</v>
      </c>
      <c r="L47" s="1" t="s">
        <v>74</v>
      </c>
      <c r="M47" s="1" t="s">
        <v>74</v>
      </c>
      <c r="N47" s="1" t="s">
        <v>74</v>
      </c>
      <c r="O47" s="1" t="s">
        <v>74</v>
      </c>
      <c r="P47" s="1" t="s">
        <v>74</v>
      </c>
      <c r="Q47" s="1" t="s">
        <v>74</v>
      </c>
      <c r="R47" s="1" t="s">
        <v>74</v>
      </c>
      <c r="S47" s="1" t="s">
        <v>74</v>
      </c>
      <c r="T47" s="1" t="s">
        <v>74</v>
      </c>
      <c r="U47" s="1" t="s">
        <v>74</v>
      </c>
      <c r="V47" s="1" t="s">
        <v>74</v>
      </c>
      <c r="W47" s="1" t="s">
        <v>74</v>
      </c>
      <c r="X47" s="1" t="s">
        <v>74</v>
      </c>
      <c r="Y47" s="1" t="s">
        <v>74</v>
      </c>
      <c r="Z47" s="1" t="s">
        <v>74</v>
      </c>
      <c r="AA47" s="1" t="s">
        <v>74</v>
      </c>
      <c r="AB47" s="1" t="s">
        <v>74</v>
      </c>
      <c r="AC47" s="1" t="s">
        <v>74</v>
      </c>
      <c r="AD47" s="1" t="s">
        <v>74</v>
      </c>
      <c r="AE47" s="1" t="s">
        <v>74</v>
      </c>
      <c r="AF47" s="1" t="s">
        <v>74</v>
      </c>
      <c r="AG47" s="1" t="s">
        <v>74</v>
      </c>
      <c r="AH47" s="1" t="s">
        <v>74</v>
      </c>
      <c r="AI47" s="1" t="s">
        <v>74</v>
      </c>
      <c r="AJ47" s="1" t="s">
        <v>74</v>
      </c>
      <c r="AK47" s="1" t="s">
        <v>74</v>
      </c>
      <c r="AL47" s="1" t="s">
        <v>74</v>
      </c>
      <c r="AM47" s="1" t="s">
        <v>74</v>
      </c>
      <c r="AN47" s="1" t="s">
        <v>74</v>
      </c>
      <c r="AO47" s="1" t="s">
        <v>74</v>
      </c>
      <c r="AP47" s="1" t="s">
        <v>74</v>
      </c>
      <c r="AQ47" s="1" t="s">
        <v>506</v>
      </c>
      <c r="AR47" s="1" t="s">
        <v>74</v>
      </c>
      <c r="AS47" s="1" t="s">
        <v>74</v>
      </c>
      <c r="AT47" s="1" t="s">
        <v>74</v>
      </c>
      <c r="AU47" s="1">
        <v>2020.0</v>
      </c>
      <c r="AV47" s="1">
        <v>8.0</v>
      </c>
      <c r="AW47" s="1" t="s">
        <v>74</v>
      </c>
      <c r="AX47" s="1" t="s">
        <v>74</v>
      </c>
      <c r="AY47" s="1" t="s">
        <v>74</v>
      </c>
      <c r="AZ47" s="1" t="s">
        <v>74</v>
      </c>
      <c r="BA47" s="1" t="s">
        <v>74</v>
      </c>
      <c r="BB47" s="1">
        <v>41.0</v>
      </c>
      <c r="BC47" s="1">
        <v>45.0</v>
      </c>
      <c r="BD47" s="1" t="s">
        <v>74</v>
      </c>
      <c r="BE47" s="1" t="s">
        <v>74</v>
      </c>
      <c r="BF47" s="1" t="s">
        <v>74</v>
      </c>
      <c r="BG47" s="1" t="s">
        <v>74</v>
      </c>
      <c r="BH47" s="1" t="s">
        <v>74</v>
      </c>
      <c r="BI47" s="1" t="s">
        <v>74</v>
      </c>
      <c r="BJ47" s="1" t="s">
        <v>74</v>
      </c>
      <c r="BK47" s="1" t="s">
        <v>74</v>
      </c>
      <c r="BL47" s="1" t="s">
        <v>74</v>
      </c>
      <c r="BM47" s="1" t="s">
        <v>74</v>
      </c>
      <c r="BN47" s="1" t="s">
        <v>74</v>
      </c>
      <c r="BO47" s="1" t="s">
        <v>74</v>
      </c>
      <c r="BP47" s="1" t="s">
        <v>74</v>
      </c>
      <c r="BQ47" s="1" t="s">
        <v>74</v>
      </c>
      <c r="BR47" s="1" t="s">
        <v>74</v>
      </c>
      <c r="BS47" s="1" t="s">
        <v>507</v>
      </c>
      <c r="BT47" s="1" t="str">
        <f>HYPERLINK("https%3A%2F%2Fwww.webofscience.com%2Fwos%2Fwoscc%2Ffull-record%2FWOS:000608865900007","View Full Record in Web of Science")</f>
        <v>View Full Record in Web of Science</v>
      </c>
    </row>
    <row r="48" ht="12.75" customHeight="1">
      <c r="A48" s="1" t="s">
        <v>72</v>
      </c>
      <c r="B48" s="1" t="s">
        <v>508</v>
      </c>
      <c r="C48" s="1" t="s">
        <v>74</v>
      </c>
      <c r="D48" s="1" t="s">
        <v>74</v>
      </c>
      <c r="E48" s="1" t="s">
        <v>74</v>
      </c>
      <c r="F48" s="1" t="s">
        <v>509</v>
      </c>
      <c r="G48" s="1" t="s">
        <v>74</v>
      </c>
      <c r="H48" s="1" t="s">
        <v>74</v>
      </c>
      <c r="I48" s="1" t="s">
        <v>510</v>
      </c>
      <c r="J48" s="1" t="s">
        <v>511</v>
      </c>
      <c r="K48" s="1" t="s">
        <v>74</v>
      </c>
      <c r="L48" s="1" t="s">
        <v>74</v>
      </c>
      <c r="M48" s="1" t="s">
        <v>74</v>
      </c>
      <c r="N48" s="1" t="s">
        <v>74</v>
      </c>
      <c r="O48" s="1" t="s">
        <v>74</v>
      </c>
      <c r="P48" s="1" t="s">
        <v>74</v>
      </c>
      <c r="Q48" s="1" t="s">
        <v>74</v>
      </c>
      <c r="R48" s="1" t="s">
        <v>74</v>
      </c>
      <c r="S48" s="1" t="s">
        <v>74</v>
      </c>
      <c r="T48" s="1" t="s">
        <v>74</v>
      </c>
      <c r="U48" s="1" t="s">
        <v>74</v>
      </c>
      <c r="V48" s="1" t="s">
        <v>512</v>
      </c>
      <c r="W48" s="1" t="s">
        <v>74</v>
      </c>
      <c r="X48" s="1" t="s">
        <v>74</v>
      </c>
      <c r="Y48" s="1" t="s">
        <v>74</v>
      </c>
      <c r="Z48" s="1" t="s">
        <v>74</v>
      </c>
      <c r="AA48" s="1" t="s">
        <v>74</v>
      </c>
      <c r="AB48" s="1" t="s">
        <v>74</v>
      </c>
      <c r="AC48" s="1" t="s">
        <v>74</v>
      </c>
      <c r="AD48" s="1" t="s">
        <v>74</v>
      </c>
      <c r="AE48" s="1" t="s">
        <v>74</v>
      </c>
      <c r="AF48" s="1" t="s">
        <v>74</v>
      </c>
      <c r="AG48" s="1" t="s">
        <v>74</v>
      </c>
      <c r="AH48" s="1" t="s">
        <v>74</v>
      </c>
      <c r="AI48" s="1" t="s">
        <v>74</v>
      </c>
      <c r="AJ48" s="1" t="s">
        <v>74</v>
      </c>
      <c r="AK48" s="1" t="s">
        <v>74</v>
      </c>
      <c r="AL48" s="1" t="s">
        <v>74</v>
      </c>
      <c r="AM48" s="1" t="s">
        <v>74</v>
      </c>
      <c r="AN48" s="1" t="s">
        <v>74</v>
      </c>
      <c r="AO48" s="1" t="s">
        <v>513</v>
      </c>
      <c r="AP48" s="1" t="s">
        <v>74</v>
      </c>
      <c r="AQ48" s="1" t="s">
        <v>74</v>
      </c>
      <c r="AR48" s="1" t="s">
        <v>74</v>
      </c>
      <c r="AS48" s="1" t="s">
        <v>74</v>
      </c>
      <c r="AT48" s="1" t="s">
        <v>74</v>
      </c>
      <c r="AU48" s="1">
        <v>2020.0</v>
      </c>
      <c r="AV48" s="1">
        <v>28.0</v>
      </c>
      <c r="AW48" s="1">
        <v>4.0</v>
      </c>
      <c r="AX48" s="1" t="s">
        <v>74</v>
      </c>
      <c r="AY48" s="1" t="s">
        <v>74</v>
      </c>
      <c r="AZ48" s="1" t="s">
        <v>74</v>
      </c>
      <c r="BA48" s="1" t="s">
        <v>74</v>
      </c>
      <c r="BB48" s="1">
        <v>1365.0</v>
      </c>
      <c r="BC48" s="1">
        <v>1381.0</v>
      </c>
      <c r="BD48" s="1" t="s">
        <v>74</v>
      </c>
      <c r="BE48" s="1" t="s">
        <v>514</v>
      </c>
      <c r="BF48" s="2" t="str">
        <f>HYPERLINK("http://dx.doi.org/10.4322/2526-8910.ctoARF2175","http://dx.doi.org/10.4322/2526-8910.ctoARF2175")</f>
        <v>http://dx.doi.org/10.4322/2526-8910.ctoARF2175</v>
      </c>
      <c r="BG48" s="1" t="s">
        <v>74</v>
      </c>
      <c r="BH48" s="1" t="s">
        <v>74</v>
      </c>
      <c r="BI48" s="1" t="s">
        <v>74</v>
      </c>
      <c r="BJ48" s="1" t="s">
        <v>74</v>
      </c>
      <c r="BK48" s="1" t="s">
        <v>74</v>
      </c>
      <c r="BL48" s="1" t="s">
        <v>74</v>
      </c>
      <c r="BM48" s="1" t="s">
        <v>74</v>
      </c>
      <c r="BN48" s="1" t="s">
        <v>74</v>
      </c>
      <c r="BO48" s="1" t="s">
        <v>74</v>
      </c>
      <c r="BP48" s="1" t="s">
        <v>74</v>
      </c>
      <c r="BQ48" s="1" t="s">
        <v>74</v>
      </c>
      <c r="BR48" s="1" t="s">
        <v>74</v>
      </c>
      <c r="BS48" s="1" t="s">
        <v>515</v>
      </c>
      <c r="BT48" s="1" t="str">
        <f>HYPERLINK("https%3A%2F%2Fwww.webofscience.com%2Fwos%2Fwoscc%2Ffull-record%2FWOS:000607934300019","View Full Record in Web of Science")</f>
        <v>View Full Record in Web of Science</v>
      </c>
    </row>
    <row r="49" ht="12.75" customHeight="1">
      <c r="A49" s="1" t="s">
        <v>72</v>
      </c>
      <c r="B49" s="1" t="s">
        <v>516</v>
      </c>
      <c r="C49" s="1" t="s">
        <v>74</v>
      </c>
      <c r="D49" s="1" t="s">
        <v>74</v>
      </c>
      <c r="E49" s="1" t="s">
        <v>74</v>
      </c>
      <c r="F49" s="1" t="s">
        <v>517</v>
      </c>
      <c r="G49" s="1" t="s">
        <v>74</v>
      </c>
      <c r="H49" s="1" t="s">
        <v>74</v>
      </c>
      <c r="I49" s="1" t="s">
        <v>518</v>
      </c>
      <c r="J49" s="1" t="s">
        <v>519</v>
      </c>
      <c r="K49" s="1" t="s">
        <v>74</v>
      </c>
      <c r="L49" s="1" t="s">
        <v>74</v>
      </c>
      <c r="M49" s="1" t="s">
        <v>74</v>
      </c>
      <c r="N49" s="1" t="s">
        <v>74</v>
      </c>
      <c r="O49" s="1" t="s">
        <v>74</v>
      </c>
      <c r="P49" s="1" t="s">
        <v>74</v>
      </c>
      <c r="Q49" s="1" t="s">
        <v>74</v>
      </c>
      <c r="R49" s="1" t="s">
        <v>74</v>
      </c>
      <c r="S49" s="1" t="s">
        <v>74</v>
      </c>
      <c r="T49" s="1" t="s">
        <v>74</v>
      </c>
      <c r="U49" s="1" t="s">
        <v>74</v>
      </c>
      <c r="V49" s="1" t="s">
        <v>520</v>
      </c>
      <c r="W49" s="1" t="s">
        <v>74</v>
      </c>
      <c r="X49" s="1" t="s">
        <v>74</v>
      </c>
      <c r="Y49" s="1" t="s">
        <v>74</v>
      </c>
      <c r="Z49" s="1" t="s">
        <v>74</v>
      </c>
      <c r="AA49" s="1" t="s">
        <v>521</v>
      </c>
      <c r="AB49" s="1" t="s">
        <v>522</v>
      </c>
      <c r="AC49" s="1" t="s">
        <v>74</v>
      </c>
      <c r="AD49" s="1" t="s">
        <v>74</v>
      </c>
      <c r="AE49" s="1" t="s">
        <v>74</v>
      </c>
      <c r="AF49" s="1" t="s">
        <v>74</v>
      </c>
      <c r="AG49" s="1" t="s">
        <v>74</v>
      </c>
      <c r="AH49" s="1" t="s">
        <v>74</v>
      </c>
      <c r="AI49" s="1" t="s">
        <v>74</v>
      </c>
      <c r="AJ49" s="1" t="s">
        <v>74</v>
      </c>
      <c r="AK49" s="1" t="s">
        <v>74</v>
      </c>
      <c r="AL49" s="1" t="s">
        <v>74</v>
      </c>
      <c r="AM49" s="1" t="s">
        <v>74</v>
      </c>
      <c r="AN49" s="1" t="s">
        <v>74</v>
      </c>
      <c r="AO49" s="1" t="s">
        <v>74</v>
      </c>
      <c r="AP49" s="1" t="s">
        <v>523</v>
      </c>
      <c r="AQ49" s="1" t="s">
        <v>74</v>
      </c>
      <c r="AR49" s="1" t="s">
        <v>74</v>
      </c>
      <c r="AS49" s="1" t="s">
        <v>74</v>
      </c>
      <c r="AT49" s="1" t="s">
        <v>205</v>
      </c>
      <c r="AU49" s="1">
        <v>2019.0</v>
      </c>
      <c r="AV49" s="1">
        <v>5.0</v>
      </c>
      <c r="AW49" s="1">
        <v>11.0</v>
      </c>
      <c r="AX49" s="1" t="s">
        <v>74</v>
      </c>
      <c r="AY49" s="1" t="s">
        <v>74</v>
      </c>
      <c r="AZ49" s="1" t="s">
        <v>74</v>
      </c>
      <c r="BA49" s="1" t="s">
        <v>74</v>
      </c>
      <c r="BB49" s="1" t="s">
        <v>74</v>
      </c>
      <c r="BC49" s="1" t="s">
        <v>74</v>
      </c>
      <c r="BD49" s="1" t="s">
        <v>524</v>
      </c>
      <c r="BE49" s="1" t="s">
        <v>525</v>
      </c>
      <c r="BF49" s="2" t="str">
        <f>HYPERLINK("http://dx.doi.org/10.1016/j.heliyon.2019.e02951","http://dx.doi.org/10.1016/j.heliyon.2019.e02951")</f>
        <v>http://dx.doi.org/10.1016/j.heliyon.2019.e02951</v>
      </c>
      <c r="BG49" s="1" t="s">
        <v>74</v>
      </c>
      <c r="BH49" s="1" t="s">
        <v>74</v>
      </c>
      <c r="BI49" s="1" t="s">
        <v>74</v>
      </c>
      <c r="BJ49" s="1" t="s">
        <v>74</v>
      </c>
      <c r="BK49" s="1" t="s">
        <v>74</v>
      </c>
      <c r="BL49" s="1" t="s">
        <v>74</v>
      </c>
      <c r="BM49" s="1" t="s">
        <v>74</v>
      </c>
      <c r="BN49" s="1">
        <v>3.1844781E7</v>
      </c>
      <c r="BO49" s="1" t="s">
        <v>74</v>
      </c>
      <c r="BP49" s="1" t="s">
        <v>74</v>
      </c>
      <c r="BQ49" s="1" t="s">
        <v>74</v>
      </c>
      <c r="BR49" s="1" t="s">
        <v>74</v>
      </c>
      <c r="BS49" s="1" t="s">
        <v>526</v>
      </c>
      <c r="BT49" s="1" t="str">
        <f>HYPERLINK("https%3A%2F%2Fwww.webofscience.com%2Fwos%2Fwoscc%2Ffull-record%2FWOS:000500530100170","View Full Record in Web of Science")</f>
        <v>View Full Record in Web of Science</v>
      </c>
    </row>
    <row r="50" ht="12.75" customHeight="1">
      <c r="A50" s="1" t="s">
        <v>72</v>
      </c>
      <c r="B50" s="1" t="s">
        <v>527</v>
      </c>
      <c r="C50" s="1" t="s">
        <v>74</v>
      </c>
      <c r="D50" s="1" t="s">
        <v>74</v>
      </c>
      <c r="E50" s="1" t="s">
        <v>74</v>
      </c>
      <c r="F50" s="1" t="s">
        <v>528</v>
      </c>
      <c r="G50" s="1" t="s">
        <v>74</v>
      </c>
      <c r="H50" s="1" t="s">
        <v>74</v>
      </c>
      <c r="I50" s="1" t="s">
        <v>529</v>
      </c>
      <c r="J50" s="1" t="s">
        <v>530</v>
      </c>
      <c r="K50" s="1" t="s">
        <v>74</v>
      </c>
      <c r="L50" s="1" t="s">
        <v>74</v>
      </c>
      <c r="M50" s="1" t="s">
        <v>74</v>
      </c>
      <c r="N50" s="1" t="s">
        <v>74</v>
      </c>
      <c r="O50" s="1" t="s">
        <v>74</v>
      </c>
      <c r="P50" s="1" t="s">
        <v>74</v>
      </c>
      <c r="Q50" s="1" t="s">
        <v>74</v>
      </c>
      <c r="R50" s="1" t="s">
        <v>74</v>
      </c>
      <c r="S50" s="1" t="s">
        <v>74</v>
      </c>
      <c r="T50" s="1" t="s">
        <v>74</v>
      </c>
      <c r="U50" s="1" t="s">
        <v>74</v>
      </c>
      <c r="V50" s="1" t="s">
        <v>531</v>
      </c>
      <c r="W50" s="1" t="s">
        <v>74</v>
      </c>
      <c r="X50" s="1" t="s">
        <v>74</v>
      </c>
      <c r="Y50" s="1" t="s">
        <v>74</v>
      </c>
      <c r="Z50" s="1" t="s">
        <v>74</v>
      </c>
      <c r="AA50" s="1" t="s">
        <v>532</v>
      </c>
      <c r="AB50" s="1" t="s">
        <v>533</v>
      </c>
      <c r="AC50" s="1" t="s">
        <v>74</v>
      </c>
      <c r="AD50" s="1" t="s">
        <v>74</v>
      </c>
      <c r="AE50" s="1" t="s">
        <v>74</v>
      </c>
      <c r="AF50" s="1" t="s">
        <v>74</v>
      </c>
      <c r="AG50" s="1" t="s">
        <v>74</v>
      </c>
      <c r="AH50" s="1" t="s">
        <v>74</v>
      </c>
      <c r="AI50" s="1" t="s">
        <v>74</v>
      </c>
      <c r="AJ50" s="1" t="s">
        <v>74</v>
      </c>
      <c r="AK50" s="1" t="s">
        <v>74</v>
      </c>
      <c r="AL50" s="1" t="s">
        <v>74</v>
      </c>
      <c r="AM50" s="1" t="s">
        <v>74</v>
      </c>
      <c r="AN50" s="1" t="s">
        <v>74</v>
      </c>
      <c r="AO50" s="1" t="s">
        <v>74</v>
      </c>
      <c r="AP50" s="1" t="s">
        <v>534</v>
      </c>
      <c r="AQ50" s="1" t="s">
        <v>74</v>
      </c>
      <c r="AR50" s="1" t="s">
        <v>74</v>
      </c>
      <c r="AS50" s="1" t="s">
        <v>74</v>
      </c>
      <c r="AT50" s="1" t="s">
        <v>161</v>
      </c>
      <c r="AU50" s="1">
        <v>2019.0</v>
      </c>
      <c r="AV50" s="1">
        <v>10.0</v>
      </c>
      <c r="AW50" s="1">
        <v>10.0</v>
      </c>
      <c r="AX50" s="1" t="s">
        <v>74</v>
      </c>
      <c r="AY50" s="1" t="s">
        <v>74</v>
      </c>
      <c r="AZ50" s="1" t="s">
        <v>74</v>
      </c>
      <c r="BA50" s="1" t="s">
        <v>74</v>
      </c>
      <c r="BB50" s="1" t="s">
        <v>74</v>
      </c>
      <c r="BC50" s="1" t="s">
        <v>74</v>
      </c>
      <c r="BD50" s="1">
        <v>565.0</v>
      </c>
      <c r="BE50" s="1" t="s">
        <v>535</v>
      </c>
      <c r="BF50" s="2" t="str">
        <f>HYPERLINK("http://dx.doi.org/10.3390/rel10100565","http://dx.doi.org/10.3390/rel10100565")</f>
        <v>http://dx.doi.org/10.3390/rel10100565</v>
      </c>
      <c r="BG50" s="1" t="s">
        <v>74</v>
      </c>
      <c r="BH50" s="1" t="s">
        <v>74</v>
      </c>
      <c r="BI50" s="1" t="s">
        <v>74</v>
      </c>
      <c r="BJ50" s="1" t="s">
        <v>74</v>
      </c>
      <c r="BK50" s="1" t="s">
        <v>74</v>
      </c>
      <c r="BL50" s="1" t="s">
        <v>74</v>
      </c>
      <c r="BM50" s="1" t="s">
        <v>74</v>
      </c>
      <c r="BN50" s="1" t="s">
        <v>74</v>
      </c>
      <c r="BO50" s="1" t="s">
        <v>74</v>
      </c>
      <c r="BP50" s="1" t="s">
        <v>74</v>
      </c>
      <c r="BQ50" s="1" t="s">
        <v>74</v>
      </c>
      <c r="BR50" s="1" t="s">
        <v>74</v>
      </c>
      <c r="BS50" s="1" t="s">
        <v>536</v>
      </c>
      <c r="BT50" s="1" t="str">
        <f>HYPERLINK("https%3A%2F%2Fwww.webofscience.com%2Fwos%2Fwoscc%2Ffull-record%2FWOS:000494721400047","View Full Record in Web of Science")</f>
        <v>View Full Record in Web of Science</v>
      </c>
    </row>
    <row r="51" ht="12.75" customHeight="1">
      <c r="A51" s="1" t="s">
        <v>72</v>
      </c>
      <c r="B51" s="1" t="s">
        <v>537</v>
      </c>
      <c r="C51" s="1" t="s">
        <v>74</v>
      </c>
      <c r="D51" s="1" t="s">
        <v>74</v>
      </c>
      <c r="E51" s="1" t="s">
        <v>74</v>
      </c>
      <c r="F51" s="1" t="s">
        <v>538</v>
      </c>
      <c r="G51" s="1" t="s">
        <v>74</v>
      </c>
      <c r="H51" s="1" t="s">
        <v>74</v>
      </c>
      <c r="I51" s="1" t="s">
        <v>539</v>
      </c>
      <c r="J51" s="1" t="s">
        <v>325</v>
      </c>
      <c r="K51" s="1" t="s">
        <v>74</v>
      </c>
      <c r="L51" s="1" t="s">
        <v>74</v>
      </c>
      <c r="M51" s="1" t="s">
        <v>74</v>
      </c>
      <c r="N51" s="1" t="s">
        <v>74</v>
      </c>
      <c r="O51" s="1" t="s">
        <v>74</v>
      </c>
      <c r="P51" s="1" t="s">
        <v>74</v>
      </c>
      <c r="Q51" s="1" t="s">
        <v>74</v>
      </c>
      <c r="R51" s="1" t="s">
        <v>74</v>
      </c>
      <c r="S51" s="1" t="s">
        <v>74</v>
      </c>
      <c r="T51" s="1" t="s">
        <v>74</v>
      </c>
      <c r="U51" s="1" t="s">
        <v>74</v>
      </c>
      <c r="V51" s="1" t="s">
        <v>540</v>
      </c>
      <c r="W51" s="1" t="s">
        <v>74</v>
      </c>
      <c r="X51" s="1" t="s">
        <v>74</v>
      </c>
      <c r="Y51" s="1" t="s">
        <v>74</v>
      </c>
      <c r="Z51" s="1" t="s">
        <v>74</v>
      </c>
      <c r="AA51" s="1" t="s">
        <v>541</v>
      </c>
      <c r="AB51" s="1" t="s">
        <v>542</v>
      </c>
      <c r="AC51" s="1" t="s">
        <v>74</v>
      </c>
      <c r="AD51" s="1" t="s">
        <v>74</v>
      </c>
      <c r="AE51" s="1" t="s">
        <v>74</v>
      </c>
      <c r="AF51" s="1" t="s">
        <v>74</v>
      </c>
      <c r="AG51" s="1" t="s">
        <v>74</v>
      </c>
      <c r="AH51" s="1" t="s">
        <v>74</v>
      </c>
      <c r="AI51" s="1" t="s">
        <v>74</v>
      </c>
      <c r="AJ51" s="1" t="s">
        <v>74</v>
      </c>
      <c r="AK51" s="1" t="s">
        <v>74</v>
      </c>
      <c r="AL51" s="1" t="s">
        <v>74</v>
      </c>
      <c r="AM51" s="1" t="s">
        <v>74</v>
      </c>
      <c r="AN51" s="1" t="s">
        <v>74</v>
      </c>
      <c r="AO51" s="1" t="s">
        <v>329</v>
      </c>
      <c r="AP51" s="1" t="s">
        <v>74</v>
      </c>
      <c r="AQ51" s="1" t="s">
        <v>74</v>
      </c>
      <c r="AR51" s="1" t="s">
        <v>74</v>
      </c>
      <c r="AS51" s="1" t="s">
        <v>74</v>
      </c>
      <c r="AT51" s="1" t="s">
        <v>543</v>
      </c>
      <c r="AU51" s="1">
        <v>2019.0</v>
      </c>
      <c r="AV51" s="1">
        <v>10.0</v>
      </c>
      <c r="AW51" s="1" t="s">
        <v>74</v>
      </c>
      <c r="AX51" s="1" t="s">
        <v>74</v>
      </c>
      <c r="AY51" s="1" t="s">
        <v>74</v>
      </c>
      <c r="AZ51" s="1" t="s">
        <v>74</v>
      </c>
      <c r="BA51" s="1" t="s">
        <v>74</v>
      </c>
      <c r="BB51" s="1" t="s">
        <v>74</v>
      </c>
      <c r="BC51" s="1" t="s">
        <v>74</v>
      </c>
      <c r="BD51" s="1">
        <v>1606.0</v>
      </c>
      <c r="BE51" s="1" t="s">
        <v>544</v>
      </c>
      <c r="BF51" s="2" t="str">
        <f>HYPERLINK("http://dx.doi.org/10.3389/fpsyg.2019.01606","http://dx.doi.org/10.3389/fpsyg.2019.01606")</f>
        <v>http://dx.doi.org/10.3389/fpsyg.2019.01606</v>
      </c>
      <c r="BG51" s="1" t="s">
        <v>74</v>
      </c>
      <c r="BH51" s="1" t="s">
        <v>74</v>
      </c>
      <c r="BI51" s="1" t="s">
        <v>74</v>
      </c>
      <c r="BJ51" s="1" t="s">
        <v>74</v>
      </c>
      <c r="BK51" s="1" t="s">
        <v>74</v>
      </c>
      <c r="BL51" s="1" t="s">
        <v>74</v>
      </c>
      <c r="BM51" s="1" t="s">
        <v>74</v>
      </c>
      <c r="BN51" s="1">
        <v>3.1354593E7</v>
      </c>
      <c r="BO51" s="1" t="s">
        <v>74</v>
      </c>
      <c r="BP51" s="1" t="s">
        <v>74</v>
      </c>
      <c r="BQ51" s="1" t="s">
        <v>74</v>
      </c>
      <c r="BR51" s="1" t="s">
        <v>74</v>
      </c>
      <c r="BS51" s="1" t="s">
        <v>545</v>
      </c>
      <c r="BT51" s="1" t="str">
        <f>HYPERLINK("https%3A%2F%2Fwww.webofscience.com%2Fwos%2Fwoscc%2Ffull-record%2FWOS:000475425000001","View Full Record in Web of Science")</f>
        <v>View Full Record in Web of Science</v>
      </c>
    </row>
    <row r="52" ht="12.75" customHeight="1">
      <c r="A52" s="1" t="s">
        <v>72</v>
      </c>
      <c r="B52" s="1" t="s">
        <v>546</v>
      </c>
      <c r="C52" s="1" t="s">
        <v>74</v>
      </c>
      <c r="D52" s="1" t="s">
        <v>74</v>
      </c>
      <c r="E52" s="1" t="s">
        <v>74</v>
      </c>
      <c r="F52" s="1" t="s">
        <v>547</v>
      </c>
      <c r="G52" s="1" t="s">
        <v>74</v>
      </c>
      <c r="H52" s="1" t="s">
        <v>74</v>
      </c>
      <c r="I52" s="1" t="s">
        <v>548</v>
      </c>
      <c r="J52" s="1" t="s">
        <v>549</v>
      </c>
      <c r="K52" s="1" t="s">
        <v>74</v>
      </c>
      <c r="L52" s="1" t="s">
        <v>74</v>
      </c>
      <c r="M52" s="1" t="s">
        <v>74</v>
      </c>
      <c r="N52" s="1" t="s">
        <v>74</v>
      </c>
      <c r="O52" s="1" t="s">
        <v>74</v>
      </c>
      <c r="P52" s="1" t="s">
        <v>74</v>
      </c>
      <c r="Q52" s="1" t="s">
        <v>74</v>
      </c>
      <c r="R52" s="1" t="s">
        <v>74</v>
      </c>
      <c r="S52" s="1" t="s">
        <v>74</v>
      </c>
      <c r="T52" s="1" t="s">
        <v>74</v>
      </c>
      <c r="U52" s="1" t="s">
        <v>74</v>
      </c>
      <c r="V52" s="1" t="s">
        <v>550</v>
      </c>
      <c r="W52" s="1" t="s">
        <v>74</v>
      </c>
      <c r="X52" s="1" t="s">
        <v>74</v>
      </c>
      <c r="Y52" s="1" t="s">
        <v>74</v>
      </c>
      <c r="Z52" s="1" t="s">
        <v>74</v>
      </c>
      <c r="AA52" s="1" t="s">
        <v>551</v>
      </c>
      <c r="AB52" s="1" t="s">
        <v>552</v>
      </c>
      <c r="AC52" s="1" t="s">
        <v>74</v>
      </c>
      <c r="AD52" s="1" t="s">
        <v>74</v>
      </c>
      <c r="AE52" s="1" t="s">
        <v>74</v>
      </c>
      <c r="AF52" s="1" t="s">
        <v>74</v>
      </c>
      <c r="AG52" s="1" t="s">
        <v>74</v>
      </c>
      <c r="AH52" s="1" t="s">
        <v>74</v>
      </c>
      <c r="AI52" s="1" t="s">
        <v>74</v>
      </c>
      <c r="AJ52" s="1" t="s">
        <v>74</v>
      </c>
      <c r="AK52" s="1" t="s">
        <v>74</v>
      </c>
      <c r="AL52" s="1" t="s">
        <v>74</v>
      </c>
      <c r="AM52" s="1" t="s">
        <v>74</v>
      </c>
      <c r="AN52" s="1" t="s">
        <v>74</v>
      </c>
      <c r="AO52" s="1" t="s">
        <v>553</v>
      </c>
      <c r="AP52" s="1" t="s">
        <v>554</v>
      </c>
      <c r="AQ52" s="1" t="s">
        <v>74</v>
      </c>
      <c r="AR52" s="1" t="s">
        <v>74</v>
      </c>
      <c r="AS52" s="1" t="s">
        <v>74</v>
      </c>
      <c r="AT52" s="1" t="s">
        <v>299</v>
      </c>
      <c r="AU52" s="1">
        <v>2019.0</v>
      </c>
      <c r="AV52" s="1">
        <v>17.0</v>
      </c>
      <c r="AW52" s="1">
        <v>1.0</v>
      </c>
      <c r="AX52" s="1" t="s">
        <v>74</v>
      </c>
      <c r="AY52" s="1" t="s">
        <v>74</v>
      </c>
      <c r="AZ52" s="1" t="s">
        <v>74</v>
      </c>
      <c r="BA52" s="1" t="s">
        <v>74</v>
      </c>
      <c r="BB52" s="1">
        <v>139.0</v>
      </c>
      <c r="BC52" s="1">
        <v>157.0</v>
      </c>
      <c r="BD52" s="1" t="s">
        <v>74</v>
      </c>
      <c r="BE52" s="1" t="s">
        <v>555</v>
      </c>
      <c r="BF52" s="2" t="str">
        <f>HYPERLINK("http://dx.doi.org/10.4335/17.1.139-157(2019)","http://dx.doi.org/10.4335/17.1.139-157(2019)")</f>
        <v>http://dx.doi.org/10.4335/17.1.139-157(2019)</v>
      </c>
      <c r="BG52" s="1" t="s">
        <v>74</v>
      </c>
      <c r="BH52" s="1" t="s">
        <v>74</v>
      </c>
      <c r="BI52" s="1" t="s">
        <v>74</v>
      </c>
      <c r="BJ52" s="1" t="s">
        <v>74</v>
      </c>
      <c r="BK52" s="1" t="s">
        <v>74</v>
      </c>
      <c r="BL52" s="1" t="s">
        <v>74</v>
      </c>
      <c r="BM52" s="1" t="s">
        <v>74</v>
      </c>
      <c r="BN52" s="1" t="s">
        <v>74</v>
      </c>
      <c r="BO52" s="1" t="s">
        <v>74</v>
      </c>
      <c r="BP52" s="1" t="s">
        <v>74</v>
      </c>
      <c r="BQ52" s="1" t="s">
        <v>74</v>
      </c>
      <c r="BR52" s="1" t="s">
        <v>74</v>
      </c>
      <c r="BS52" s="1" t="s">
        <v>556</v>
      </c>
      <c r="BT52" s="1" t="str">
        <f>HYPERLINK("https%3A%2F%2Fwww.webofscience.com%2Fwos%2Fwoscc%2Ffull-record%2FWOS:000456819000008","View Full Record in Web of Science")</f>
        <v>View Full Record in Web of Science</v>
      </c>
    </row>
    <row r="53" ht="12.75" customHeight="1">
      <c r="A53" s="1" t="s">
        <v>72</v>
      </c>
      <c r="B53" s="1" t="s">
        <v>557</v>
      </c>
      <c r="C53" s="1" t="s">
        <v>74</v>
      </c>
      <c r="D53" s="1" t="s">
        <v>74</v>
      </c>
      <c r="E53" s="1" t="s">
        <v>74</v>
      </c>
      <c r="F53" s="1" t="s">
        <v>558</v>
      </c>
      <c r="G53" s="1" t="s">
        <v>74</v>
      </c>
      <c r="H53" s="1" t="s">
        <v>74</v>
      </c>
      <c r="I53" s="1" t="s">
        <v>559</v>
      </c>
      <c r="J53" s="1" t="s">
        <v>560</v>
      </c>
      <c r="K53" s="1" t="s">
        <v>74</v>
      </c>
      <c r="L53" s="1" t="s">
        <v>74</v>
      </c>
      <c r="M53" s="1" t="s">
        <v>74</v>
      </c>
      <c r="N53" s="1" t="s">
        <v>74</v>
      </c>
      <c r="O53" s="1" t="s">
        <v>74</v>
      </c>
      <c r="P53" s="1" t="s">
        <v>74</v>
      </c>
      <c r="Q53" s="1" t="s">
        <v>74</v>
      </c>
      <c r="R53" s="1" t="s">
        <v>74</v>
      </c>
      <c r="S53" s="1" t="s">
        <v>74</v>
      </c>
      <c r="T53" s="1" t="s">
        <v>74</v>
      </c>
      <c r="U53" s="1" t="s">
        <v>74</v>
      </c>
      <c r="V53" s="1" t="s">
        <v>561</v>
      </c>
      <c r="W53" s="1" t="s">
        <v>74</v>
      </c>
      <c r="X53" s="1" t="s">
        <v>74</v>
      </c>
      <c r="Y53" s="1" t="s">
        <v>74</v>
      </c>
      <c r="Z53" s="1" t="s">
        <v>74</v>
      </c>
      <c r="AA53" s="1" t="s">
        <v>562</v>
      </c>
      <c r="AB53" s="1" t="s">
        <v>74</v>
      </c>
      <c r="AC53" s="1" t="s">
        <v>74</v>
      </c>
      <c r="AD53" s="1" t="s">
        <v>74</v>
      </c>
      <c r="AE53" s="1" t="s">
        <v>74</v>
      </c>
      <c r="AF53" s="1" t="s">
        <v>74</v>
      </c>
      <c r="AG53" s="1" t="s">
        <v>74</v>
      </c>
      <c r="AH53" s="1" t="s">
        <v>74</v>
      </c>
      <c r="AI53" s="1" t="s">
        <v>74</v>
      </c>
      <c r="AJ53" s="1" t="s">
        <v>74</v>
      </c>
      <c r="AK53" s="1" t="s">
        <v>74</v>
      </c>
      <c r="AL53" s="1" t="s">
        <v>74</v>
      </c>
      <c r="AM53" s="1" t="s">
        <v>74</v>
      </c>
      <c r="AN53" s="1" t="s">
        <v>74</v>
      </c>
      <c r="AO53" s="1" t="s">
        <v>563</v>
      </c>
      <c r="AP53" s="1" t="s">
        <v>74</v>
      </c>
      <c r="AQ53" s="1" t="s">
        <v>74</v>
      </c>
      <c r="AR53" s="1" t="s">
        <v>74</v>
      </c>
      <c r="AS53" s="1" t="s">
        <v>74</v>
      </c>
      <c r="AT53" s="1" t="s">
        <v>74</v>
      </c>
      <c r="AU53" s="1">
        <v>2019.0</v>
      </c>
      <c r="AV53" s="1" t="s">
        <v>74</v>
      </c>
      <c r="AW53" s="1">
        <v>79.0</v>
      </c>
      <c r="AX53" s="1" t="s">
        <v>74</v>
      </c>
      <c r="AY53" s="1" t="s">
        <v>74</v>
      </c>
      <c r="AZ53" s="1" t="s">
        <v>564</v>
      </c>
      <c r="BA53" s="1" t="s">
        <v>74</v>
      </c>
      <c r="BB53" s="1">
        <v>323.0</v>
      </c>
      <c r="BC53" s="1">
        <v>342.0</v>
      </c>
      <c r="BD53" s="1" t="s">
        <v>74</v>
      </c>
      <c r="BE53" s="1" t="s">
        <v>565</v>
      </c>
      <c r="BF53" s="2" t="str">
        <f>HYPERLINK("http://dx.doi.org/10.5209/CLAC.65661","http://dx.doi.org/10.5209/CLAC.65661")</f>
        <v>http://dx.doi.org/10.5209/CLAC.65661</v>
      </c>
      <c r="BG53" s="1" t="s">
        <v>74</v>
      </c>
      <c r="BH53" s="1" t="s">
        <v>74</v>
      </c>
      <c r="BI53" s="1" t="s">
        <v>74</v>
      </c>
      <c r="BJ53" s="1" t="s">
        <v>74</v>
      </c>
      <c r="BK53" s="1" t="s">
        <v>74</v>
      </c>
      <c r="BL53" s="1" t="s">
        <v>74</v>
      </c>
      <c r="BM53" s="1" t="s">
        <v>74</v>
      </c>
      <c r="BN53" s="1" t="s">
        <v>74</v>
      </c>
      <c r="BO53" s="1" t="s">
        <v>74</v>
      </c>
      <c r="BP53" s="1" t="s">
        <v>74</v>
      </c>
      <c r="BQ53" s="1" t="s">
        <v>74</v>
      </c>
      <c r="BR53" s="1" t="s">
        <v>74</v>
      </c>
      <c r="BS53" s="1" t="s">
        <v>566</v>
      </c>
      <c r="BT53" s="1" t="str">
        <f>HYPERLINK("https%3A%2F%2Fwww.webofscience.com%2Fwos%2Fwoscc%2Ffull-record%2FWOS:000493993700016","View Full Record in Web of Science")</f>
        <v>View Full Record in Web of Science</v>
      </c>
    </row>
    <row r="54" ht="12.75" customHeight="1">
      <c r="A54" s="1" t="s">
        <v>162</v>
      </c>
      <c r="B54" s="1" t="s">
        <v>567</v>
      </c>
      <c r="C54" s="1" t="s">
        <v>568</v>
      </c>
      <c r="D54" s="1" t="s">
        <v>74</v>
      </c>
      <c r="E54" s="1" t="s">
        <v>74</v>
      </c>
      <c r="F54" s="1" t="s">
        <v>569</v>
      </c>
      <c r="G54" s="1" t="s">
        <v>568</v>
      </c>
      <c r="H54" s="1" t="s">
        <v>74</v>
      </c>
      <c r="I54" s="1" t="s">
        <v>570</v>
      </c>
      <c r="J54" s="1" t="s">
        <v>571</v>
      </c>
      <c r="K54" s="1" t="s">
        <v>572</v>
      </c>
      <c r="L54" s="1" t="s">
        <v>74</v>
      </c>
      <c r="M54" s="1" t="s">
        <v>74</v>
      </c>
      <c r="N54" s="1" t="s">
        <v>74</v>
      </c>
      <c r="O54" s="1" t="s">
        <v>74</v>
      </c>
      <c r="P54" s="1" t="s">
        <v>74</v>
      </c>
      <c r="Q54" s="1" t="s">
        <v>74</v>
      </c>
      <c r="R54" s="1" t="s">
        <v>74</v>
      </c>
      <c r="S54" s="1" t="s">
        <v>74</v>
      </c>
      <c r="T54" s="1" t="s">
        <v>74</v>
      </c>
      <c r="U54" s="1" t="s">
        <v>74</v>
      </c>
      <c r="V54" s="1" t="s">
        <v>573</v>
      </c>
      <c r="W54" s="1" t="s">
        <v>74</v>
      </c>
      <c r="X54" s="1" t="s">
        <v>74</v>
      </c>
      <c r="Y54" s="1" t="s">
        <v>74</v>
      </c>
      <c r="Z54" s="1" t="s">
        <v>74</v>
      </c>
      <c r="AA54" s="1" t="s">
        <v>296</v>
      </c>
      <c r="AB54" s="1" t="s">
        <v>74</v>
      </c>
      <c r="AC54" s="1" t="s">
        <v>74</v>
      </c>
      <c r="AD54" s="1" t="s">
        <v>74</v>
      </c>
      <c r="AE54" s="1" t="s">
        <v>74</v>
      </c>
      <c r="AF54" s="1" t="s">
        <v>74</v>
      </c>
      <c r="AG54" s="1" t="s">
        <v>74</v>
      </c>
      <c r="AH54" s="1" t="s">
        <v>74</v>
      </c>
      <c r="AI54" s="1" t="s">
        <v>74</v>
      </c>
      <c r="AJ54" s="1" t="s">
        <v>74</v>
      </c>
      <c r="AK54" s="1" t="s">
        <v>74</v>
      </c>
      <c r="AL54" s="1" t="s">
        <v>74</v>
      </c>
      <c r="AM54" s="1" t="s">
        <v>74</v>
      </c>
      <c r="AN54" s="1" t="s">
        <v>74</v>
      </c>
      <c r="AO54" s="1" t="s">
        <v>574</v>
      </c>
      <c r="AP54" s="1" t="s">
        <v>575</v>
      </c>
      <c r="AQ54" s="1" t="s">
        <v>576</v>
      </c>
      <c r="AR54" s="1" t="s">
        <v>74</v>
      </c>
      <c r="AS54" s="1" t="s">
        <v>74</v>
      </c>
      <c r="AT54" s="1" t="s">
        <v>74</v>
      </c>
      <c r="AU54" s="1">
        <v>2019.0</v>
      </c>
      <c r="AV54" s="1" t="s">
        <v>74</v>
      </c>
      <c r="AW54" s="1" t="s">
        <v>74</v>
      </c>
      <c r="AX54" s="1" t="s">
        <v>74</v>
      </c>
      <c r="AY54" s="1" t="s">
        <v>74</v>
      </c>
      <c r="AZ54" s="1" t="s">
        <v>74</v>
      </c>
      <c r="BA54" s="1" t="s">
        <v>74</v>
      </c>
      <c r="BB54" s="1">
        <v>378.0</v>
      </c>
      <c r="BC54" s="1">
        <v>400.0</v>
      </c>
      <c r="BD54" s="1" t="s">
        <v>74</v>
      </c>
      <c r="BE54" s="1" t="s">
        <v>577</v>
      </c>
      <c r="BF54" s="2" t="str">
        <f>HYPERLINK("http://dx.doi.org/10.4018/978-1-5225-5709-8.ch018","http://dx.doi.org/10.4018/978-1-5225-5709-8.ch018")</f>
        <v>http://dx.doi.org/10.4018/978-1-5225-5709-8.ch018</v>
      </c>
      <c r="BG54" s="1" t="s">
        <v>578</v>
      </c>
      <c r="BH54" s="1" t="s">
        <v>74</v>
      </c>
      <c r="BI54" s="1" t="s">
        <v>74</v>
      </c>
      <c r="BJ54" s="1" t="s">
        <v>74</v>
      </c>
      <c r="BK54" s="1" t="s">
        <v>74</v>
      </c>
      <c r="BL54" s="1" t="s">
        <v>74</v>
      </c>
      <c r="BM54" s="1" t="s">
        <v>74</v>
      </c>
      <c r="BN54" s="1" t="s">
        <v>74</v>
      </c>
      <c r="BO54" s="1" t="s">
        <v>74</v>
      </c>
      <c r="BP54" s="1" t="s">
        <v>74</v>
      </c>
      <c r="BQ54" s="1" t="s">
        <v>74</v>
      </c>
      <c r="BR54" s="1" t="s">
        <v>74</v>
      </c>
      <c r="BS54" s="1" t="s">
        <v>579</v>
      </c>
      <c r="BT54" s="1" t="str">
        <f>HYPERLINK("https%3A%2F%2Fwww.webofscience.com%2Fwos%2Fwoscc%2Ffull-record%2FWOS:000487852300019","View Full Record in Web of Science")</f>
        <v>View Full Record in Web of Science</v>
      </c>
    </row>
    <row r="55" ht="12.75" customHeight="1">
      <c r="A55" s="1" t="s">
        <v>72</v>
      </c>
      <c r="B55" s="1" t="s">
        <v>580</v>
      </c>
      <c r="C55" s="1" t="s">
        <v>74</v>
      </c>
      <c r="D55" s="1" t="s">
        <v>74</v>
      </c>
      <c r="E55" s="1" t="s">
        <v>74</v>
      </c>
      <c r="F55" s="1" t="s">
        <v>581</v>
      </c>
      <c r="G55" s="1" t="s">
        <v>74</v>
      </c>
      <c r="H55" s="1" t="s">
        <v>74</v>
      </c>
      <c r="I55" s="1" t="s">
        <v>582</v>
      </c>
      <c r="J55" s="1" t="s">
        <v>583</v>
      </c>
      <c r="K55" s="1" t="s">
        <v>74</v>
      </c>
      <c r="L55" s="1" t="s">
        <v>74</v>
      </c>
      <c r="M55" s="1" t="s">
        <v>74</v>
      </c>
      <c r="N55" s="1" t="s">
        <v>74</v>
      </c>
      <c r="O55" s="1" t="s">
        <v>74</v>
      </c>
      <c r="P55" s="1" t="s">
        <v>74</v>
      </c>
      <c r="Q55" s="1" t="s">
        <v>74</v>
      </c>
      <c r="R55" s="1" t="s">
        <v>74</v>
      </c>
      <c r="S55" s="1" t="s">
        <v>74</v>
      </c>
      <c r="T55" s="1" t="s">
        <v>74</v>
      </c>
      <c r="U55" s="1" t="s">
        <v>74</v>
      </c>
      <c r="V55" s="1" t="s">
        <v>584</v>
      </c>
      <c r="W55" s="1" t="s">
        <v>74</v>
      </c>
      <c r="X55" s="1" t="s">
        <v>74</v>
      </c>
      <c r="Y55" s="1" t="s">
        <v>74</v>
      </c>
      <c r="Z55" s="1" t="s">
        <v>74</v>
      </c>
      <c r="AA55" s="1" t="s">
        <v>74</v>
      </c>
      <c r="AB55" s="1" t="s">
        <v>585</v>
      </c>
      <c r="AC55" s="1" t="s">
        <v>74</v>
      </c>
      <c r="AD55" s="1" t="s">
        <v>74</v>
      </c>
      <c r="AE55" s="1" t="s">
        <v>74</v>
      </c>
      <c r="AF55" s="1" t="s">
        <v>74</v>
      </c>
      <c r="AG55" s="1" t="s">
        <v>74</v>
      </c>
      <c r="AH55" s="1" t="s">
        <v>74</v>
      </c>
      <c r="AI55" s="1" t="s">
        <v>74</v>
      </c>
      <c r="AJ55" s="1" t="s">
        <v>74</v>
      </c>
      <c r="AK55" s="1" t="s">
        <v>74</v>
      </c>
      <c r="AL55" s="1" t="s">
        <v>74</v>
      </c>
      <c r="AM55" s="1" t="s">
        <v>74</v>
      </c>
      <c r="AN55" s="1" t="s">
        <v>74</v>
      </c>
      <c r="AO55" s="1" t="s">
        <v>586</v>
      </c>
      <c r="AP55" s="1" t="s">
        <v>587</v>
      </c>
      <c r="AQ55" s="1" t="s">
        <v>74</v>
      </c>
      <c r="AR55" s="1" t="s">
        <v>74</v>
      </c>
      <c r="AS55" s="1" t="s">
        <v>74</v>
      </c>
      <c r="AT55" s="1" t="s">
        <v>180</v>
      </c>
      <c r="AU55" s="1">
        <v>2018.0</v>
      </c>
      <c r="AV55" s="1">
        <v>200.0</v>
      </c>
      <c r="AW55" s="1" t="s">
        <v>74</v>
      </c>
      <c r="AX55" s="1" t="s">
        <v>74</v>
      </c>
      <c r="AY55" s="1" t="s">
        <v>74</v>
      </c>
      <c r="AZ55" s="1" t="s">
        <v>74</v>
      </c>
      <c r="BA55" s="1" t="s">
        <v>74</v>
      </c>
      <c r="BB55" s="1">
        <v>311.0</v>
      </c>
      <c r="BC55" s="1">
        <v>317.0</v>
      </c>
      <c r="BD55" s="1" t="s">
        <v>74</v>
      </c>
      <c r="BE55" s="1" t="s">
        <v>588</v>
      </c>
      <c r="BF55" s="2" t="str">
        <f>HYPERLINK("http://dx.doi.org/10.1016/j.ijpe.2018.04.004","http://dx.doi.org/10.1016/j.ijpe.2018.04.004")</f>
        <v>http://dx.doi.org/10.1016/j.ijpe.2018.04.004</v>
      </c>
      <c r="BG55" s="1" t="s">
        <v>74</v>
      </c>
      <c r="BH55" s="1" t="s">
        <v>74</v>
      </c>
      <c r="BI55" s="1" t="s">
        <v>74</v>
      </c>
      <c r="BJ55" s="1" t="s">
        <v>74</v>
      </c>
      <c r="BK55" s="1" t="s">
        <v>74</v>
      </c>
      <c r="BL55" s="1" t="s">
        <v>74</v>
      </c>
      <c r="BM55" s="1" t="s">
        <v>74</v>
      </c>
      <c r="BN55" s="1" t="s">
        <v>74</v>
      </c>
      <c r="BO55" s="1" t="s">
        <v>74</v>
      </c>
      <c r="BP55" s="1" t="s">
        <v>74</v>
      </c>
      <c r="BQ55" s="1" t="s">
        <v>74</v>
      </c>
      <c r="BR55" s="1" t="s">
        <v>74</v>
      </c>
      <c r="BS55" s="1" t="s">
        <v>589</v>
      </c>
      <c r="BT55" s="1" t="str">
        <f>HYPERLINK("https%3A%2F%2Fwww.webofscience.com%2Fwos%2Fwoscc%2Ffull-record%2FWOS:000434889900024","View Full Record in Web of Science")</f>
        <v>View Full Record in Web of Science</v>
      </c>
    </row>
    <row r="56" ht="12.75" customHeight="1">
      <c r="A56" s="1" t="s">
        <v>72</v>
      </c>
      <c r="B56" s="1" t="s">
        <v>590</v>
      </c>
      <c r="C56" s="1" t="s">
        <v>74</v>
      </c>
      <c r="D56" s="1" t="s">
        <v>74</v>
      </c>
      <c r="E56" s="1" t="s">
        <v>74</v>
      </c>
      <c r="F56" s="1" t="s">
        <v>591</v>
      </c>
      <c r="G56" s="1" t="s">
        <v>74</v>
      </c>
      <c r="H56" s="1" t="s">
        <v>74</v>
      </c>
      <c r="I56" s="1" t="s">
        <v>592</v>
      </c>
      <c r="J56" s="1" t="s">
        <v>593</v>
      </c>
      <c r="K56" s="1" t="s">
        <v>74</v>
      </c>
      <c r="L56" s="1" t="s">
        <v>74</v>
      </c>
      <c r="M56" s="1" t="s">
        <v>74</v>
      </c>
      <c r="N56" s="1" t="s">
        <v>74</v>
      </c>
      <c r="O56" s="1" t="s">
        <v>74</v>
      </c>
      <c r="P56" s="1" t="s">
        <v>74</v>
      </c>
      <c r="Q56" s="1" t="s">
        <v>74</v>
      </c>
      <c r="R56" s="1" t="s">
        <v>74</v>
      </c>
      <c r="S56" s="1" t="s">
        <v>74</v>
      </c>
      <c r="T56" s="1" t="s">
        <v>74</v>
      </c>
      <c r="U56" s="1" t="s">
        <v>74</v>
      </c>
      <c r="V56" s="1" t="s">
        <v>594</v>
      </c>
      <c r="W56" s="1" t="s">
        <v>74</v>
      </c>
      <c r="X56" s="1" t="s">
        <v>74</v>
      </c>
      <c r="Y56" s="1" t="s">
        <v>74</v>
      </c>
      <c r="Z56" s="1" t="s">
        <v>74</v>
      </c>
      <c r="AA56" s="1" t="s">
        <v>595</v>
      </c>
      <c r="AB56" s="1" t="s">
        <v>596</v>
      </c>
      <c r="AC56" s="1" t="s">
        <v>74</v>
      </c>
      <c r="AD56" s="1" t="s">
        <v>74</v>
      </c>
      <c r="AE56" s="1" t="s">
        <v>74</v>
      </c>
      <c r="AF56" s="1" t="s">
        <v>74</v>
      </c>
      <c r="AG56" s="1" t="s">
        <v>74</v>
      </c>
      <c r="AH56" s="1" t="s">
        <v>74</v>
      </c>
      <c r="AI56" s="1" t="s">
        <v>74</v>
      </c>
      <c r="AJ56" s="1" t="s">
        <v>74</v>
      </c>
      <c r="AK56" s="1" t="s">
        <v>74</v>
      </c>
      <c r="AL56" s="1" t="s">
        <v>74</v>
      </c>
      <c r="AM56" s="1" t="s">
        <v>74</v>
      </c>
      <c r="AN56" s="1" t="s">
        <v>74</v>
      </c>
      <c r="AO56" s="1" t="s">
        <v>597</v>
      </c>
      <c r="AP56" s="1" t="s">
        <v>74</v>
      </c>
      <c r="AQ56" s="1" t="s">
        <v>74</v>
      </c>
      <c r="AR56" s="1" t="s">
        <v>74</v>
      </c>
      <c r="AS56" s="1" t="s">
        <v>74</v>
      </c>
      <c r="AT56" s="1" t="s">
        <v>429</v>
      </c>
      <c r="AU56" s="1">
        <v>2018.0</v>
      </c>
      <c r="AV56" s="1">
        <v>10.0</v>
      </c>
      <c r="AW56" s="1">
        <v>5.0</v>
      </c>
      <c r="AX56" s="1" t="s">
        <v>74</v>
      </c>
      <c r="AY56" s="1" t="s">
        <v>74</v>
      </c>
      <c r="AZ56" s="1" t="s">
        <v>74</v>
      </c>
      <c r="BA56" s="1" t="s">
        <v>74</v>
      </c>
      <c r="BB56" s="1" t="s">
        <v>74</v>
      </c>
      <c r="BC56" s="1" t="s">
        <v>74</v>
      </c>
      <c r="BD56" s="1">
        <v>479.0</v>
      </c>
      <c r="BE56" s="1" t="s">
        <v>598</v>
      </c>
      <c r="BF56" s="2" t="str">
        <f>HYPERLINK("http://dx.doi.org/10.3390/polym10050479","http://dx.doi.org/10.3390/polym10050479")</f>
        <v>http://dx.doi.org/10.3390/polym10050479</v>
      </c>
      <c r="BG56" s="1" t="s">
        <v>74</v>
      </c>
      <c r="BH56" s="1" t="s">
        <v>74</v>
      </c>
      <c r="BI56" s="1" t="s">
        <v>74</v>
      </c>
      <c r="BJ56" s="1" t="s">
        <v>74</v>
      </c>
      <c r="BK56" s="1" t="s">
        <v>74</v>
      </c>
      <c r="BL56" s="1" t="s">
        <v>74</v>
      </c>
      <c r="BM56" s="1" t="s">
        <v>74</v>
      </c>
      <c r="BN56" s="1">
        <v>3.0966513E7</v>
      </c>
      <c r="BO56" s="1" t="s">
        <v>74</v>
      </c>
      <c r="BP56" s="1" t="s">
        <v>74</v>
      </c>
      <c r="BQ56" s="1" t="s">
        <v>74</v>
      </c>
      <c r="BR56" s="1" t="s">
        <v>74</v>
      </c>
      <c r="BS56" s="1" t="s">
        <v>599</v>
      </c>
      <c r="BT56" s="1" t="str">
        <f>HYPERLINK("https%3A%2F%2Fwww.webofscience.com%2Fwos%2Fwoscc%2Ffull-record%2FWOS:000435199300017","View Full Record in Web of Science")</f>
        <v>View Full Record in Web of Science</v>
      </c>
    </row>
    <row r="57" ht="12.75" customHeight="1">
      <c r="A57" s="1" t="s">
        <v>454</v>
      </c>
      <c r="B57" s="1" t="s">
        <v>600</v>
      </c>
      <c r="C57" s="1" t="s">
        <v>74</v>
      </c>
      <c r="D57" s="1" t="s">
        <v>74</v>
      </c>
      <c r="E57" s="1" t="s">
        <v>601</v>
      </c>
      <c r="F57" s="1" t="s">
        <v>602</v>
      </c>
      <c r="G57" s="1" t="s">
        <v>74</v>
      </c>
      <c r="H57" s="1" t="s">
        <v>74</v>
      </c>
      <c r="I57" s="1" t="s">
        <v>603</v>
      </c>
      <c r="J57" s="1" t="s">
        <v>604</v>
      </c>
      <c r="K57" s="1" t="s">
        <v>74</v>
      </c>
      <c r="L57" s="1" t="s">
        <v>74</v>
      </c>
      <c r="M57" s="1" t="s">
        <v>74</v>
      </c>
      <c r="N57" s="1" t="s">
        <v>74</v>
      </c>
      <c r="O57" s="1" t="s">
        <v>74</v>
      </c>
      <c r="P57" s="1" t="s">
        <v>74</v>
      </c>
      <c r="Q57" s="1" t="s">
        <v>74</v>
      </c>
      <c r="R57" s="1" t="s">
        <v>74</v>
      </c>
      <c r="S57" s="1" t="s">
        <v>74</v>
      </c>
      <c r="T57" s="1" t="s">
        <v>74</v>
      </c>
      <c r="U57" s="1" t="s">
        <v>74</v>
      </c>
      <c r="V57" s="1" t="s">
        <v>605</v>
      </c>
      <c r="W57" s="1" t="s">
        <v>74</v>
      </c>
      <c r="X57" s="1" t="s">
        <v>74</v>
      </c>
      <c r="Y57" s="1" t="s">
        <v>74</v>
      </c>
      <c r="Z57" s="1" t="s">
        <v>74</v>
      </c>
      <c r="AA57" s="1" t="s">
        <v>606</v>
      </c>
      <c r="AB57" s="1" t="s">
        <v>74</v>
      </c>
      <c r="AC57" s="1" t="s">
        <v>74</v>
      </c>
      <c r="AD57" s="1" t="s">
        <v>74</v>
      </c>
      <c r="AE57" s="1" t="s">
        <v>74</v>
      </c>
      <c r="AF57" s="1" t="s">
        <v>74</v>
      </c>
      <c r="AG57" s="1" t="s">
        <v>74</v>
      </c>
      <c r="AH57" s="1" t="s">
        <v>74</v>
      </c>
      <c r="AI57" s="1" t="s">
        <v>74</v>
      </c>
      <c r="AJ57" s="1" t="s">
        <v>74</v>
      </c>
      <c r="AK57" s="1" t="s">
        <v>74</v>
      </c>
      <c r="AL57" s="1" t="s">
        <v>74</v>
      </c>
      <c r="AM57" s="1" t="s">
        <v>74</v>
      </c>
      <c r="AN57" s="1" t="s">
        <v>74</v>
      </c>
      <c r="AO57" s="1" t="s">
        <v>74</v>
      </c>
      <c r="AP57" s="1" t="s">
        <v>74</v>
      </c>
      <c r="AQ57" s="1" t="s">
        <v>607</v>
      </c>
      <c r="AR57" s="1" t="s">
        <v>74</v>
      </c>
      <c r="AS57" s="1" t="s">
        <v>74</v>
      </c>
      <c r="AT57" s="1" t="s">
        <v>74</v>
      </c>
      <c r="AU57" s="1">
        <v>2018.0</v>
      </c>
      <c r="AV57" s="1" t="s">
        <v>74</v>
      </c>
      <c r="AW57" s="1" t="s">
        <v>74</v>
      </c>
      <c r="AX57" s="1" t="s">
        <v>74</v>
      </c>
      <c r="AY57" s="1" t="s">
        <v>74</v>
      </c>
      <c r="AZ57" s="1" t="s">
        <v>74</v>
      </c>
      <c r="BA57" s="1" t="s">
        <v>74</v>
      </c>
      <c r="BB57" s="1">
        <v>98.0</v>
      </c>
      <c r="BC57" s="1">
        <v>113.0</v>
      </c>
      <c r="BD57" s="1" t="s">
        <v>74</v>
      </c>
      <c r="BE57" s="1" t="s">
        <v>74</v>
      </c>
      <c r="BF57" s="1" t="s">
        <v>74</v>
      </c>
      <c r="BG57" s="1" t="s">
        <v>74</v>
      </c>
      <c r="BH57" s="1" t="s">
        <v>74</v>
      </c>
      <c r="BI57" s="1" t="s">
        <v>74</v>
      </c>
      <c r="BJ57" s="1" t="s">
        <v>74</v>
      </c>
      <c r="BK57" s="1" t="s">
        <v>74</v>
      </c>
      <c r="BL57" s="1" t="s">
        <v>74</v>
      </c>
      <c r="BM57" s="1" t="s">
        <v>74</v>
      </c>
      <c r="BN57" s="1" t="s">
        <v>74</v>
      </c>
      <c r="BO57" s="1" t="s">
        <v>74</v>
      </c>
      <c r="BP57" s="1" t="s">
        <v>74</v>
      </c>
      <c r="BQ57" s="1" t="s">
        <v>74</v>
      </c>
      <c r="BR57" s="1" t="s">
        <v>74</v>
      </c>
      <c r="BS57" s="1" t="s">
        <v>608</v>
      </c>
      <c r="BT57" s="1" t="str">
        <f>HYPERLINK("https%3A%2F%2Fwww.webofscience.com%2Fwos%2Fwoscc%2Ffull-record%2FWOS:000480327100007","View Full Record in Web of Science")</f>
        <v>View Full Record in Web of Science</v>
      </c>
    </row>
    <row r="58" ht="12.75" customHeight="1">
      <c r="A58" s="1" t="s">
        <v>454</v>
      </c>
      <c r="B58" s="1" t="s">
        <v>609</v>
      </c>
      <c r="C58" s="1" t="s">
        <v>74</v>
      </c>
      <c r="D58" s="1" t="s">
        <v>610</v>
      </c>
      <c r="E58" s="1" t="s">
        <v>74</v>
      </c>
      <c r="F58" s="1" t="s">
        <v>611</v>
      </c>
      <c r="G58" s="1" t="s">
        <v>74</v>
      </c>
      <c r="H58" s="1" t="s">
        <v>74</v>
      </c>
      <c r="I58" s="1" t="s">
        <v>612</v>
      </c>
      <c r="J58" s="1" t="s">
        <v>613</v>
      </c>
      <c r="K58" s="1" t="s">
        <v>74</v>
      </c>
      <c r="L58" s="1" t="s">
        <v>74</v>
      </c>
      <c r="M58" s="1" t="s">
        <v>74</v>
      </c>
      <c r="N58" s="1" t="s">
        <v>74</v>
      </c>
      <c r="O58" s="1" t="s">
        <v>74</v>
      </c>
      <c r="P58" s="1" t="s">
        <v>74</v>
      </c>
      <c r="Q58" s="1" t="s">
        <v>74</v>
      </c>
      <c r="R58" s="1" t="s">
        <v>74</v>
      </c>
      <c r="S58" s="1" t="s">
        <v>74</v>
      </c>
      <c r="T58" s="1" t="s">
        <v>74</v>
      </c>
      <c r="U58" s="1" t="s">
        <v>74</v>
      </c>
      <c r="V58" s="1" t="s">
        <v>74</v>
      </c>
      <c r="W58" s="1" t="s">
        <v>74</v>
      </c>
      <c r="X58" s="1" t="s">
        <v>74</v>
      </c>
      <c r="Y58" s="1" t="s">
        <v>74</v>
      </c>
      <c r="Z58" s="1" t="s">
        <v>74</v>
      </c>
      <c r="AA58" s="1" t="s">
        <v>614</v>
      </c>
      <c r="AB58" s="1" t="s">
        <v>74</v>
      </c>
      <c r="AC58" s="1" t="s">
        <v>74</v>
      </c>
      <c r="AD58" s="1" t="s">
        <v>74</v>
      </c>
      <c r="AE58" s="1" t="s">
        <v>74</v>
      </c>
      <c r="AF58" s="1" t="s">
        <v>74</v>
      </c>
      <c r="AG58" s="1" t="s">
        <v>74</v>
      </c>
      <c r="AH58" s="1" t="s">
        <v>74</v>
      </c>
      <c r="AI58" s="1" t="s">
        <v>74</v>
      </c>
      <c r="AJ58" s="1" t="s">
        <v>74</v>
      </c>
      <c r="AK58" s="1" t="s">
        <v>74</v>
      </c>
      <c r="AL58" s="1" t="s">
        <v>74</v>
      </c>
      <c r="AM58" s="1" t="s">
        <v>74</v>
      </c>
      <c r="AN58" s="1" t="s">
        <v>74</v>
      </c>
      <c r="AO58" s="1" t="s">
        <v>74</v>
      </c>
      <c r="AP58" s="1" t="s">
        <v>74</v>
      </c>
      <c r="AQ58" s="1" t="s">
        <v>615</v>
      </c>
      <c r="AR58" s="1" t="s">
        <v>74</v>
      </c>
      <c r="AS58" s="1" t="s">
        <v>74</v>
      </c>
      <c r="AT58" s="1" t="s">
        <v>74</v>
      </c>
      <c r="AU58" s="1">
        <v>2018.0</v>
      </c>
      <c r="AV58" s="1" t="s">
        <v>74</v>
      </c>
      <c r="AW58" s="1" t="s">
        <v>74</v>
      </c>
      <c r="AX58" s="1" t="s">
        <v>74</v>
      </c>
      <c r="AY58" s="1" t="s">
        <v>74</v>
      </c>
      <c r="AZ58" s="1" t="s">
        <v>74</v>
      </c>
      <c r="BA58" s="1" t="s">
        <v>74</v>
      </c>
      <c r="BB58" s="1">
        <v>205.0</v>
      </c>
      <c r="BC58" s="1">
        <v>220.0</v>
      </c>
      <c r="BD58" s="1" t="s">
        <v>74</v>
      </c>
      <c r="BE58" s="1" t="s">
        <v>74</v>
      </c>
      <c r="BF58" s="1" t="s">
        <v>74</v>
      </c>
      <c r="BG58" s="1" t="s">
        <v>616</v>
      </c>
      <c r="BH58" s="1" t="s">
        <v>74</v>
      </c>
      <c r="BI58" s="1" t="s">
        <v>74</v>
      </c>
      <c r="BJ58" s="1" t="s">
        <v>74</v>
      </c>
      <c r="BK58" s="1" t="s">
        <v>74</v>
      </c>
      <c r="BL58" s="1" t="s">
        <v>74</v>
      </c>
      <c r="BM58" s="1" t="s">
        <v>74</v>
      </c>
      <c r="BN58" s="1" t="s">
        <v>74</v>
      </c>
      <c r="BO58" s="1" t="s">
        <v>74</v>
      </c>
      <c r="BP58" s="1" t="s">
        <v>74</v>
      </c>
      <c r="BQ58" s="1" t="s">
        <v>74</v>
      </c>
      <c r="BR58" s="1" t="s">
        <v>74</v>
      </c>
      <c r="BS58" s="1" t="s">
        <v>617</v>
      </c>
      <c r="BT58" s="1" t="str">
        <f>HYPERLINK("https%3A%2F%2Fwww.webofscience.com%2Fwos%2Fwoscc%2Ffull-record%2FWOS:000440942900008","View Full Record in Web of Science")</f>
        <v>View Full Record in Web of Science</v>
      </c>
    </row>
    <row r="59" ht="12.75" customHeight="1">
      <c r="A59" s="1" t="s">
        <v>72</v>
      </c>
      <c r="B59" s="1" t="s">
        <v>474</v>
      </c>
      <c r="C59" s="1" t="s">
        <v>74</v>
      </c>
      <c r="D59" s="1" t="s">
        <v>74</v>
      </c>
      <c r="E59" s="1" t="s">
        <v>74</v>
      </c>
      <c r="F59" s="1" t="s">
        <v>475</v>
      </c>
      <c r="G59" s="1" t="s">
        <v>74</v>
      </c>
      <c r="H59" s="1" t="s">
        <v>74</v>
      </c>
      <c r="I59" s="1" t="s">
        <v>618</v>
      </c>
      <c r="J59" s="1" t="s">
        <v>619</v>
      </c>
      <c r="K59" s="1" t="s">
        <v>74</v>
      </c>
      <c r="L59" s="1" t="s">
        <v>74</v>
      </c>
      <c r="M59" s="1" t="s">
        <v>74</v>
      </c>
      <c r="N59" s="1" t="s">
        <v>74</v>
      </c>
      <c r="O59" s="1" t="s">
        <v>74</v>
      </c>
      <c r="P59" s="1" t="s">
        <v>74</v>
      </c>
      <c r="Q59" s="1" t="s">
        <v>74</v>
      </c>
      <c r="R59" s="1" t="s">
        <v>74</v>
      </c>
      <c r="S59" s="1" t="s">
        <v>74</v>
      </c>
      <c r="T59" s="1" t="s">
        <v>74</v>
      </c>
      <c r="U59" s="1" t="s">
        <v>74</v>
      </c>
      <c r="V59" s="1" t="s">
        <v>74</v>
      </c>
      <c r="W59" s="1" t="s">
        <v>74</v>
      </c>
      <c r="X59" s="1" t="s">
        <v>74</v>
      </c>
      <c r="Y59" s="1" t="s">
        <v>74</v>
      </c>
      <c r="Z59" s="1" t="s">
        <v>74</v>
      </c>
      <c r="AA59" s="1" t="s">
        <v>74</v>
      </c>
      <c r="AB59" s="1" t="s">
        <v>74</v>
      </c>
      <c r="AC59" s="1" t="s">
        <v>74</v>
      </c>
      <c r="AD59" s="1" t="s">
        <v>74</v>
      </c>
      <c r="AE59" s="1" t="s">
        <v>74</v>
      </c>
      <c r="AF59" s="1" t="s">
        <v>74</v>
      </c>
      <c r="AG59" s="1" t="s">
        <v>74</v>
      </c>
      <c r="AH59" s="1" t="s">
        <v>74</v>
      </c>
      <c r="AI59" s="1" t="s">
        <v>74</v>
      </c>
      <c r="AJ59" s="1" t="s">
        <v>74</v>
      </c>
      <c r="AK59" s="1" t="s">
        <v>74</v>
      </c>
      <c r="AL59" s="1" t="s">
        <v>74</v>
      </c>
      <c r="AM59" s="1" t="s">
        <v>74</v>
      </c>
      <c r="AN59" s="1" t="s">
        <v>74</v>
      </c>
      <c r="AO59" s="1" t="s">
        <v>620</v>
      </c>
      <c r="AP59" s="1" t="s">
        <v>74</v>
      </c>
      <c r="AQ59" s="1" t="s">
        <v>74</v>
      </c>
      <c r="AR59" s="1" t="s">
        <v>74</v>
      </c>
      <c r="AS59" s="1" t="s">
        <v>74</v>
      </c>
      <c r="AT59" s="1" t="s">
        <v>74</v>
      </c>
      <c r="AU59" s="1">
        <v>2018.0</v>
      </c>
      <c r="AV59" s="1" t="s">
        <v>74</v>
      </c>
      <c r="AW59" s="1">
        <v>63.0</v>
      </c>
      <c r="AX59" s="1" t="s">
        <v>74</v>
      </c>
      <c r="AY59" s="1" t="s">
        <v>74</v>
      </c>
      <c r="AZ59" s="1" t="s">
        <v>74</v>
      </c>
      <c r="BA59" s="1" t="s">
        <v>74</v>
      </c>
      <c r="BB59" s="1">
        <v>231.0</v>
      </c>
      <c r="BC59" s="1">
        <v>235.0</v>
      </c>
      <c r="BD59" s="1" t="s">
        <v>74</v>
      </c>
      <c r="BE59" s="1" t="s">
        <v>74</v>
      </c>
      <c r="BF59" s="1" t="s">
        <v>74</v>
      </c>
      <c r="BG59" s="1" t="s">
        <v>74</v>
      </c>
      <c r="BH59" s="1" t="s">
        <v>74</v>
      </c>
      <c r="BI59" s="1" t="s">
        <v>74</v>
      </c>
      <c r="BJ59" s="1" t="s">
        <v>74</v>
      </c>
      <c r="BK59" s="1" t="s">
        <v>74</v>
      </c>
      <c r="BL59" s="1" t="s">
        <v>74</v>
      </c>
      <c r="BM59" s="1" t="s">
        <v>74</v>
      </c>
      <c r="BN59" s="1" t="s">
        <v>74</v>
      </c>
      <c r="BO59" s="1" t="s">
        <v>74</v>
      </c>
      <c r="BP59" s="1" t="s">
        <v>74</v>
      </c>
      <c r="BQ59" s="1" t="s">
        <v>74</v>
      </c>
      <c r="BR59" s="1" t="s">
        <v>74</v>
      </c>
      <c r="BS59" s="1" t="s">
        <v>621</v>
      </c>
      <c r="BT59" s="1" t="str">
        <f>HYPERLINK("https%3A%2F%2Fwww.webofscience.com%2Fwos%2Fwoscc%2Ffull-record%2FWOS:000456644600017","View Full Record in Web of Science")</f>
        <v>View Full Record in Web of Science</v>
      </c>
    </row>
    <row r="60" ht="12.75" customHeight="1">
      <c r="A60" s="1" t="s">
        <v>72</v>
      </c>
      <c r="B60" s="1" t="s">
        <v>622</v>
      </c>
      <c r="C60" s="1" t="s">
        <v>74</v>
      </c>
      <c r="D60" s="1" t="s">
        <v>74</v>
      </c>
      <c r="E60" s="1" t="s">
        <v>74</v>
      </c>
      <c r="F60" s="1" t="s">
        <v>623</v>
      </c>
      <c r="G60" s="1" t="s">
        <v>74</v>
      </c>
      <c r="H60" s="1" t="s">
        <v>74</v>
      </c>
      <c r="I60" s="1" t="s">
        <v>624</v>
      </c>
      <c r="J60" s="1" t="s">
        <v>625</v>
      </c>
      <c r="K60" s="1" t="s">
        <v>74</v>
      </c>
      <c r="L60" s="1" t="s">
        <v>74</v>
      </c>
      <c r="M60" s="1" t="s">
        <v>74</v>
      </c>
      <c r="N60" s="1" t="s">
        <v>74</v>
      </c>
      <c r="O60" s="1" t="s">
        <v>74</v>
      </c>
      <c r="P60" s="1" t="s">
        <v>74</v>
      </c>
      <c r="Q60" s="1" t="s">
        <v>74</v>
      </c>
      <c r="R60" s="1" t="s">
        <v>74</v>
      </c>
      <c r="S60" s="1" t="s">
        <v>74</v>
      </c>
      <c r="T60" s="1" t="s">
        <v>74</v>
      </c>
      <c r="U60" s="1" t="s">
        <v>74</v>
      </c>
      <c r="V60" s="1" t="s">
        <v>626</v>
      </c>
      <c r="W60" s="1" t="s">
        <v>74</v>
      </c>
      <c r="X60" s="1" t="s">
        <v>74</v>
      </c>
      <c r="Y60" s="1" t="s">
        <v>74</v>
      </c>
      <c r="Z60" s="1" t="s">
        <v>74</v>
      </c>
      <c r="AA60" s="1" t="s">
        <v>627</v>
      </c>
      <c r="AB60" s="1" t="s">
        <v>628</v>
      </c>
      <c r="AC60" s="1" t="s">
        <v>74</v>
      </c>
      <c r="AD60" s="1" t="s">
        <v>74</v>
      </c>
      <c r="AE60" s="1" t="s">
        <v>74</v>
      </c>
      <c r="AF60" s="1" t="s">
        <v>74</v>
      </c>
      <c r="AG60" s="1" t="s">
        <v>74</v>
      </c>
      <c r="AH60" s="1" t="s">
        <v>74</v>
      </c>
      <c r="AI60" s="1" t="s">
        <v>74</v>
      </c>
      <c r="AJ60" s="1" t="s">
        <v>74</v>
      </c>
      <c r="AK60" s="1" t="s">
        <v>74</v>
      </c>
      <c r="AL60" s="1" t="s">
        <v>74</v>
      </c>
      <c r="AM60" s="1" t="s">
        <v>74</v>
      </c>
      <c r="AN60" s="1" t="s">
        <v>74</v>
      </c>
      <c r="AO60" s="1" t="s">
        <v>629</v>
      </c>
      <c r="AP60" s="1" t="s">
        <v>630</v>
      </c>
      <c r="AQ60" s="1" t="s">
        <v>74</v>
      </c>
      <c r="AR60" s="1" t="s">
        <v>74</v>
      </c>
      <c r="AS60" s="1" t="s">
        <v>74</v>
      </c>
      <c r="AT60" s="1" t="s">
        <v>299</v>
      </c>
      <c r="AU60" s="1">
        <v>2018.0</v>
      </c>
      <c r="AV60" s="1">
        <v>113.0</v>
      </c>
      <c r="AW60" s="1" t="s">
        <v>74</v>
      </c>
      <c r="AX60" s="1">
        <v>1.0</v>
      </c>
      <c r="AY60" s="1" t="s">
        <v>74</v>
      </c>
      <c r="AZ60" s="1" t="s">
        <v>74</v>
      </c>
      <c r="BA60" s="1" t="s">
        <v>74</v>
      </c>
      <c r="BB60" s="1">
        <v>26.0</v>
      </c>
      <c r="BC60" s="1" t="s">
        <v>631</v>
      </c>
      <c r="BD60" s="1" t="s">
        <v>74</v>
      </c>
      <c r="BE60" s="1" t="s">
        <v>632</v>
      </c>
      <c r="BF60" s="2" t="str">
        <f>HYPERLINK("http://dx.doi.org/10.5699/modelangrevi.113.1.0026","http://dx.doi.org/10.5699/modelangrevi.113.1.0026")</f>
        <v>http://dx.doi.org/10.5699/modelangrevi.113.1.0026</v>
      </c>
      <c r="BG60" s="1" t="s">
        <v>74</v>
      </c>
      <c r="BH60" s="1" t="s">
        <v>74</v>
      </c>
      <c r="BI60" s="1" t="s">
        <v>74</v>
      </c>
      <c r="BJ60" s="1" t="s">
        <v>74</v>
      </c>
      <c r="BK60" s="1" t="s">
        <v>74</v>
      </c>
      <c r="BL60" s="1" t="s">
        <v>74</v>
      </c>
      <c r="BM60" s="1" t="s">
        <v>74</v>
      </c>
      <c r="BN60" s="1" t="s">
        <v>74</v>
      </c>
      <c r="BO60" s="1" t="s">
        <v>74</v>
      </c>
      <c r="BP60" s="1" t="s">
        <v>74</v>
      </c>
      <c r="BQ60" s="1" t="s">
        <v>74</v>
      </c>
      <c r="BR60" s="1" t="s">
        <v>74</v>
      </c>
      <c r="BS60" s="1" t="s">
        <v>633</v>
      </c>
      <c r="BT60" s="1" t="str">
        <f>HYPERLINK("https%3A%2F%2Fwww.webofscience.com%2Fwos%2Fwoscc%2Ffull-record%2FWOS:000419166800002","View Full Record in Web of Science")</f>
        <v>View Full Record in Web of Science</v>
      </c>
    </row>
    <row r="61" ht="12.75" customHeight="1">
      <c r="A61" s="1" t="s">
        <v>454</v>
      </c>
      <c r="B61" s="1" t="s">
        <v>634</v>
      </c>
      <c r="C61" s="1" t="s">
        <v>74</v>
      </c>
      <c r="D61" s="1" t="s">
        <v>74</v>
      </c>
      <c r="E61" s="1" t="s">
        <v>601</v>
      </c>
      <c r="F61" s="1" t="s">
        <v>635</v>
      </c>
      <c r="G61" s="1" t="s">
        <v>74</v>
      </c>
      <c r="H61" s="1" t="s">
        <v>74</v>
      </c>
      <c r="I61" s="1" t="s">
        <v>636</v>
      </c>
      <c r="J61" s="1" t="s">
        <v>604</v>
      </c>
      <c r="K61" s="1" t="s">
        <v>74</v>
      </c>
      <c r="L61" s="1" t="s">
        <v>74</v>
      </c>
      <c r="M61" s="1" t="s">
        <v>74</v>
      </c>
      <c r="N61" s="1" t="s">
        <v>74</v>
      </c>
      <c r="O61" s="1" t="s">
        <v>74</v>
      </c>
      <c r="P61" s="1" t="s">
        <v>74</v>
      </c>
      <c r="Q61" s="1" t="s">
        <v>74</v>
      </c>
      <c r="R61" s="1" t="s">
        <v>74</v>
      </c>
      <c r="S61" s="1" t="s">
        <v>74</v>
      </c>
      <c r="T61" s="1" t="s">
        <v>74</v>
      </c>
      <c r="U61" s="1" t="s">
        <v>74</v>
      </c>
      <c r="V61" s="1" t="s">
        <v>637</v>
      </c>
      <c r="W61" s="1" t="s">
        <v>74</v>
      </c>
      <c r="X61" s="1" t="s">
        <v>74</v>
      </c>
      <c r="Y61" s="1" t="s">
        <v>74</v>
      </c>
      <c r="Z61" s="1" t="s">
        <v>74</v>
      </c>
      <c r="AA61" s="1" t="s">
        <v>74</v>
      </c>
      <c r="AB61" s="1" t="s">
        <v>74</v>
      </c>
      <c r="AC61" s="1" t="s">
        <v>74</v>
      </c>
      <c r="AD61" s="1" t="s">
        <v>74</v>
      </c>
      <c r="AE61" s="1" t="s">
        <v>74</v>
      </c>
      <c r="AF61" s="1" t="s">
        <v>74</v>
      </c>
      <c r="AG61" s="1" t="s">
        <v>74</v>
      </c>
      <c r="AH61" s="1" t="s">
        <v>74</v>
      </c>
      <c r="AI61" s="1" t="s">
        <v>74</v>
      </c>
      <c r="AJ61" s="1" t="s">
        <v>74</v>
      </c>
      <c r="AK61" s="1" t="s">
        <v>74</v>
      </c>
      <c r="AL61" s="1" t="s">
        <v>74</v>
      </c>
      <c r="AM61" s="1" t="s">
        <v>74</v>
      </c>
      <c r="AN61" s="1" t="s">
        <v>74</v>
      </c>
      <c r="AO61" s="1" t="s">
        <v>74</v>
      </c>
      <c r="AP61" s="1" t="s">
        <v>74</v>
      </c>
      <c r="AQ61" s="1" t="s">
        <v>607</v>
      </c>
      <c r="AR61" s="1" t="s">
        <v>74</v>
      </c>
      <c r="AS61" s="1" t="s">
        <v>74</v>
      </c>
      <c r="AT61" s="1" t="s">
        <v>74</v>
      </c>
      <c r="AU61" s="1">
        <v>2018.0</v>
      </c>
      <c r="AV61" s="1" t="s">
        <v>74</v>
      </c>
      <c r="AW61" s="1" t="s">
        <v>74</v>
      </c>
      <c r="AX61" s="1" t="s">
        <v>74</v>
      </c>
      <c r="AY61" s="1" t="s">
        <v>74</v>
      </c>
      <c r="AZ61" s="1" t="s">
        <v>74</v>
      </c>
      <c r="BA61" s="1" t="s">
        <v>74</v>
      </c>
      <c r="BB61" s="1">
        <v>126.0</v>
      </c>
      <c r="BC61" s="1">
        <v>141.0</v>
      </c>
      <c r="BD61" s="1" t="s">
        <v>74</v>
      </c>
      <c r="BE61" s="1" t="s">
        <v>74</v>
      </c>
      <c r="BF61" s="1" t="s">
        <v>74</v>
      </c>
      <c r="BG61" s="1" t="s">
        <v>74</v>
      </c>
      <c r="BH61" s="1" t="s">
        <v>74</v>
      </c>
      <c r="BI61" s="1" t="s">
        <v>74</v>
      </c>
      <c r="BJ61" s="1" t="s">
        <v>74</v>
      </c>
      <c r="BK61" s="1" t="s">
        <v>74</v>
      </c>
      <c r="BL61" s="1" t="s">
        <v>74</v>
      </c>
      <c r="BM61" s="1" t="s">
        <v>74</v>
      </c>
      <c r="BN61" s="1" t="s">
        <v>74</v>
      </c>
      <c r="BO61" s="1" t="s">
        <v>74</v>
      </c>
      <c r="BP61" s="1" t="s">
        <v>74</v>
      </c>
      <c r="BQ61" s="1" t="s">
        <v>74</v>
      </c>
      <c r="BR61" s="1" t="s">
        <v>74</v>
      </c>
      <c r="BS61" s="1" t="s">
        <v>638</v>
      </c>
      <c r="BT61" s="1" t="str">
        <f>HYPERLINK("https%3A%2F%2Fwww.webofscience.com%2Fwos%2Fwoscc%2Ffull-record%2FWOS:000480327100009","View Full Record in Web of Science")</f>
        <v>View Full Record in Web of Science</v>
      </c>
    </row>
    <row r="62" ht="12.75" customHeight="1">
      <c r="A62" s="1" t="s">
        <v>72</v>
      </c>
      <c r="B62" s="1" t="s">
        <v>639</v>
      </c>
      <c r="C62" s="1" t="s">
        <v>74</v>
      </c>
      <c r="D62" s="1" t="s">
        <v>74</v>
      </c>
      <c r="E62" s="1" t="s">
        <v>74</v>
      </c>
      <c r="F62" s="1" t="s">
        <v>640</v>
      </c>
      <c r="G62" s="1" t="s">
        <v>74</v>
      </c>
      <c r="H62" s="1" t="s">
        <v>74</v>
      </c>
      <c r="I62" s="1" t="s">
        <v>641</v>
      </c>
      <c r="J62" s="1" t="s">
        <v>642</v>
      </c>
      <c r="K62" s="1" t="s">
        <v>74</v>
      </c>
      <c r="L62" s="1" t="s">
        <v>74</v>
      </c>
      <c r="M62" s="1" t="s">
        <v>74</v>
      </c>
      <c r="N62" s="1" t="s">
        <v>74</v>
      </c>
      <c r="O62" s="1" t="s">
        <v>74</v>
      </c>
      <c r="P62" s="1" t="s">
        <v>74</v>
      </c>
      <c r="Q62" s="1" t="s">
        <v>74</v>
      </c>
      <c r="R62" s="1" t="s">
        <v>74</v>
      </c>
      <c r="S62" s="1" t="s">
        <v>74</v>
      </c>
      <c r="T62" s="1" t="s">
        <v>74</v>
      </c>
      <c r="U62" s="1" t="s">
        <v>74</v>
      </c>
      <c r="V62" s="1" t="s">
        <v>643</v>
      </c>
      <c r="W62" s="1" t="s">
        <v>74</v>
      </c>
      <c r="X62" s="1" t="s">
        <v>74</v>
      </c>
      <c r="Y62" s="1" t="s">
        <v>74</v>
      </c>
      <c r="Z62" s="1" t="s">
        <v>74</v>
      </c>
      <c r="AA62" s="1" t="s">
        <v>74</v>
      </c>
      <c r="AB62" s="1" t="s">
        <v>644</v>
      </c>
      <c r="AC62" s="1" t="s">
        <v>74</v>
      </c>
      <c r="AD62" s="1" t="s">
        <v>74</v>
      </c>
      <c r="AE62" s="1" t="s">
        <v>74</v>
      </c>
      <c r="AF62" s="1" t="s">
        <v>74</v>
      </c>
      <c r="AG62" s="1" t="s">
        <v>74</v>
      </c>
      <c r="AH62" s="1" t="s">
        <v>74</v>
      </c>
      <c r="AI62" s="1" t="s">
        <v>74</v>
      </c>
      <c r="AJ62" s="1" t="s">
        <v>74</v>
      </c>
      <c r="AK62" s="1" t="s">
        <v>74</v>
      </c>
      <c r="AL62" s="1" t="s">
        <v>74</v>
      </c>
      <c r="AM62" s="1" t="s">
        <v>74</v>
      </c>
      <c r="AN62" s="1" t="s">
        <v>74</v>
      </c>
      <c r="AO62" s="1" t="s">
        <v>645</v>
      </c>
      <c r="AP62" s="1" t="s">
        <v>74</v>
      </c>
      <c r="AQ62" s="1" t="s">
        <v>74</v>
      </c>
      <c r="AR62" s="1" t="s">
        <v>74</v>
      </c>
      <c r="AS62" s="1" t="s">
        <v>74</v>
      </c>
      <c r="AT62" s="1" t="s">
        <v>646</v>
      </c>
      <c r="AU62" s="1">
        <v>2017.0</v>
      </c>
      <c r="AV62" s="1">
        <v>16.0</v>
      </c>
      <c r="AW62" s="1">
        <v>2.0</v>
      </c>
      <c r="AX62" s="1" t="s">
        <v>74</v>
      </c>
      <c r="AY62" s="1" t="s">
        <v>74</v>
      </c>
      <c r="AZ62" s="1" t="s">
        <v>74</v>
      </c>
      <c r="BA62" s="1" t="s">
        <v>74</v>
      </c>
      <c r="BB62" s="1" t="s">
        <v>74</v>
      </c>
      <c r="BC62" s="1" t="s">
        <v>74</v>
      </c>
      <c r="BD62" s="1" t="s">
        <v>74</v>
      </c>
      <c r="BE62" s="1" t="s">
        <v>647</v>
      </c>
      <c r="BF62" s="2" t="str">
        <f>HYPERLINK("http://dx.doi.org/10.11144/Javeriana.upsy16-2.noda","http://dx.doi.org/10.11144/Javeriana.upsy16-2.noda")</f>
        <v>http://dx.doi.org/10.11144/Javeriana.upsy16-2.noda</v>
      </c>
      <c r="BG62" s="1" t="s">
        <v>74</v>
      </c>
      <c r="BH62" s="1" t="s">
        <v>74</v>
      </c>
      <c r="BI62" s="1" t="s">
        <v>74</v>
      </c>
      <c r="BJ62" s="1" t="s">
        <v>74</v>
      </c>
      <c r="BK62" s="1" t="s">
        <v>74</v>
      </c>
      <c r="BL62" s="1" t="s">
        <v>74</v>
      </c>
      <c r="BM62" s="1" t="s">
        <v>74</v>
      </c>
      <c r="BN62" s="1" t="s">
        <v>74</v>
      </c>
      <c r="BO62" s="1" t="s">
        <v>74</v>
      </c>
      <c r="BP62" s="1" t="s">
        <v>74</v>
      </c>
      <c r="BQ62" s="1" t="s">
        <v>74</v>
      </c>
      <c r="BR62" s="1" t="s">
        <v>74</v>
      </c>
      <c r="BS62" s="1" t="s">
        <v>648</v>
      </c>
      <c r="BT62" s="1" t="str">
        <f>HYPERLINK("https%3A%2F%2Fwww.webofscience.com%2Fwos%2Fwoscc%2Ffull-record%2FWOS:000411841300008","View Full Record in Web of Science")</f>
        <v>View Full Record in Web of Science</v>
      </c>
    </row>
    <row r="63" ht="12.75" customHeight="1">
      <c r="A63" s="1" t="s">
        <v>91</v>
      </c>
      <c r="B63" s="1" t="s">
        <v>649</v>
      </c>
      <c r="C63" s="1" t="s">
        <v>74</v>
      </c>
      <c r="D63" s="1" t="s">
        <v>650</v>
      </c>
      <c r="E63" s="1" t="s">
        <v>74</v>
      </c>
      <c r="F63" s="1" t="s">
        <v>651</v>
      </c>
      <c r="G63" s="1" t="s">
        <v>74</v>
      </c>
      <c r="H63" s="1" t="s">
        <v>74</v>
      </c>
      <c r="I63" s="1" t="s">
        <v>652</v>
      </c>
      <c r="J63" s="1" t="s">
        <v>653</v>
      </c>
      <c r="K63" s="1" t="s">
        <v>654</v>
      </c>
      <c r="L63" s="1" t="s">
        <v>74</v>
      </c>
      <c r="M63" s="1" t="s">
        <v>74</v>
      </c>
      <c r="N63" s="1" t="s">
        <v>74</v>
      </c>
      <c r="O63" s="1" t="s">
        <v>655</v>
      </c>
      <c r="P63" s="1" t="s">
        <v>656</v>
      </c>
      <c r="Q63" s="1" t="s">
        <v>657</v>
      </c>
      <c r="R63" s="1" t="s">
        <v>74</v>
      </c>
      <c r="S63" s="1" t="s">
        <v>74</v>
      </c>
      <c r="T63" s="1" t="s">
        <v>74</v>
      </c>
      <c r="U63" s="1" t="s">
        <v>74</v>
      </c>
      <c r="V63" s="1" t="s">
        <v>658</v>
      </c>
      <c r="W63" s="1" t="s">
        <v>74</v>
      </c>
      <c r="X63" s="1" t="s">
        <v>74</v>
      </c>
      <c r="Y63" s="1" t="s">
        <v>74</v>
      </c>
      <c r="Z63" s="1" t="s">
        <v>74</v>
      </c>
      <c r="AA63" s="1" t="s">
        <v>659</v>
      </c>
      <c r="AB63" s="1" t="s">
        <v>74</v>
      </c>
      <c r="AC63" s="1" t="s">
        <v>74</v>
      </c>
      <c r="AD63" s="1" t="s">
        <v>74</v>
      </c>
      <c r="AE63" s="1" t="s">
        <v>74</v>
      </c>
      <c r="AF63" s="1" t="s">
        <v>74</v>
      </c>
      <c r="AG63" s="1" t="s">
        <v>74</v>
      </c>
      <c r="AH63" s="1" t="s">
        <v>74</v>
      </c>
      <c r="AI63" s="1" t="s">
        <v>74</v>
      </c>
      <c r="AJ63" s="1" t="s">
        <v>74</v>
      </c>
      <c r="AK63" s="1" t="s">
        <v>74</v>
      </c>
      <c r="AL63" s="1" t="s">
        <v>74</v>
      </c>
      <c r="AM63" s="1" t="s">
        <v>74</v>
      </c>
      <c r="AN63" s="1" t="s">
        <v>74</v>
      </c>
      <c r="AO63" s="1" t="s">
        <v>660</v>
      </c>
      <c r="AP63" s="1" t="s">
        <v>74</v>
      </c>
      <c r="AQ63" s="1" t="s">
        <v>661</v>
      </c>
      <c r="AR63" s="1" t="s">
        <v>74</v>
      </c>
      <c r="AS63" s="1" t="s">
        <v>74</v>
      </c>
      <c r="AT63" s="1" t="s">
        <v>74</v>
      </c>
      <c r="AU63" s="1">
        <v>2017.0</v>
      </c>
      <c r="AV63" s="1" t="s">
        <v>74</v>
      </c>
      <c r="AW63" s="1" t="s">
        <v>74</v>
      </c>
      <c r="AX63" s="1" t="s">
        <v>74</v>
      </c>
      <c r="AY63" s="1" t="s">
        <v>74</v>
      </c>
      <c r="AZ63" s="1" t="s">
        <v>74</v>
      </c>
      <c r="BA63" s="1" t="s">
        <v>74</v>
      </c>
      <c r="BB63" s="1">
        <v>336.0</v>
      </c>
      <c r="BC63" s="1">
        <v>340.0</v>
      </c>
      <c r="BD63" s="1" t="s">
        <v>74</v>
      </c>
      <c r="BE63" s="1" t="s">
        <v>74</v>
      </c>
      <c r="BF63" s="1" t="s">
        <v>74</v>
      </c>
      <c r="BG63" s="1" t="s">
        <v>74</v>
      </c>
      <c r="BH63" s="1" t="s">
        <v>74</v>
      </c>
      <c r="BI63" s="1" t="s">
        <v>74</v>
      </c>
      <c r="BJ63" s="1" t="s">
        <v>74</v>
      </c>
      <c r="BK63" s="1" t="s">
        <v>74</v>
      </c>
      <c r="BL63" s="1" t="s">
        <v>74</v>
      </c>
      <c r="BM63" s="1" t="s">
        <v>74</v>
      </c>
      <c r="BN63" s="1" t="s">
        <v>74</v>
      </c>
      <c r="BO63" s="1" t="s">
        <v>74</v>
      </c>
      <c r="BP63" s="1" t="s">
        <v>74</v>
      </c>
      <c r="BQ63" s="1" t="s">
        <v>74</v>
      </c>
      <c r="BR63" s="1" t="s">
        <v>74</v>
      </c>
      <c r="BS63" s="1" t="s">
        <v>662</v>
      </c>
      <c r="BT63" s="1" t="str">
        <f>HYPERLINK("https%3A%2F%2Fwww.webofscience.com%2Fwos%2Fwoscc%2Ffull-record%2FWOS:000426981800061","View Full Record in Web of Science")</f>
        <v>View Full Record in Web of Science</v>
      </c>
    </row>
    <row r="64" ht="12.75" customHeight="1">
      <c r="A64" s="1" t="s">
        <v>72</v>
      </c>
      <c r="B64" s="1" t="s">
        <v>663</v>
      </c>
      <c r="C64" s="1" t="s">
        <v>74</v>
      </c>
      <c r="D64" s="1" t="s">
        <v>74</v>
      </c>
      <c r="E64" s="1" t="s">
        <v>74</v>
      </c>
      <c r="F64" s="1" t="s">
        <v>664</v>
      </c>
      <c r="G64" s="1" t="s">
        <v>74</v>
      </c>
      <c r="H64" s="1" t="s">
        <v>74</v>
      </c>
      <c r="I64" s="1" t="s">
        <v>665</v>
      </c>
      <c r="J64" s="1" t="s">
        <v>666</v>
      </c>
      <c r="K64" s="1" t="s">
        <v>74</v>
      </c>
      <c r="L64" s="1" t="s">
        <v>74</v>
      </c>
      <c r="M64" s="1" t="s">
        <v>74</v>
      </c>
      <c r="N64" s="1" t="s">
        <v>74</v>
      </c>
      <c r="O64" s="1" t="s">
        <v>74</v>
      </c>
      <c r="P64" s="1" t="s">
        <v>74</v>
      </c>
      <c r="Q64" s="1" t="s">
        <v>74</v>
      </c>
      <c r="R64" s="1" t="s">
        <v>74</v>
      </c>
      <c r="S64" s="1" t="s">
        <v>74</v>
      </c>
      <c r="T64" s="1" t="s">
        <v>74</v>
      </c>
      <c r="U64" s="1" t="s">
        <v>74</v>
      </c>
      <c r="V64" s="1" t="s">
        <v>667</v>
      </c>
      <c r="W64" s="1" t="s">
        <v>74</v>
      </c>
      <c r="X64" s="1" t="s">
        <v>74</v>
      </c>
      <c r="Y64" s="1" t="s">
        <v>74</v>
      </c>
      <c r="Z64" s="1" t="s">
        <v>74</v>
      </c>
      <c r="AA64" s="1" t="s">
        <v>74</v>
      </c>
      <c r="AB64" s="1" t="s">
        <v>74</v>
      </c>
      <c r="AC64" s="1" t="s">
        <v>74</v>
      </c>
      <c r="AD64" s="1" t="s">
        <v>74</v>
      </c>
      <c r="AE64" s="1" t="s">
        <v>74</v>
      </c>
      <c r="AF64" s="1" t="s">
        <v>74</v>
      </c>
      <c r="AG64" s="1" t="s">
        <v>74</v>
      </c>
      <c r="AH64" s="1" t="s">
        <v>74</v>
      </c>
      <c r="AI64" s="1" t="s">
        <v>74</v>
      </c>
      <c r="AJ64" s="1" t="s">
        <v>74</v>
      </c>
      <c r="AK64" s="1" t="s">
        <v>74</v>
      </c>
      <c r="AL64" s="1" t="s">
        <v>74</v>
      </c>
      <c r="AM64" s="1" t="s">
        <v>74</v>
      </c>
      <c r="AN64" s="1" t="s">
        <v>74</v>
      </c>
      <c r="AO64" s="1" t="s">
        <v>668</v>
      </c>
      <c r="AP64" s="1" t="s">
        <v>669</v>
      </c>
      <c r="AQ64" s="1" t="s">
        <v>74</v>
      </c>
      <c r="AR64" s="1" t="s">
        <v>74</v>
      </c>
      <c r="AS64" s="1" t="s">
        <v>74</v>
      </c>
      <c r="AT64" s="1" t="s">
        <v>74</v>
      </c>
      <c r="AU64" s="1">
        <v>2017.0</v>
      </c>
      <c r="AV64" s="1">
        <v>73.0</v>
      </c>
      <c r="AW64" s="1" t="s">
        <v>74</v>
      </c>
      <c r="AX64" s="1" t="s">
        <v>74</v>
      </c>
      <c r="AY64" s="1" t="s">
        <v>74</v>
      </c>
      <c r="AZ64" s="1" t="s">
        <v>74</v>
      </c>
      <c r="BA64" s="1" t="s">
        <v>74</v>
      </c>
      <c r="BB64" s="1">
        <v>161.0</v>
      </c>
      <c r="BC64" s="1">
        <v>178.0</v>
      </c>
      <c r="BD64" s="1" t="s">
        <v>74</v>
      </c>
      <c r="BE64" s="1" t="s">
        <v>74</v>
      </c>
      <c r="BF64" s="1" t="s">
        <v>74</v>
      </c>
      <c r="BG64" s="1" t="s">
        <v>74</v>
      </c>
      <c r="BH64" s="1" t="s">
        <v>74</v>
      </c>
      <c r="BI64" s="1" t="s">
        <v>74</v>
      </c>
      <c r="BJ64" s="1" t="s">
        <v>74</v>
      </c>
      <c r="BK64" s="1" t="s">
        <v>74</v>
      </c>
      <c r="BL64" s="1" t="s">
        <v>74</v>
      </c>
      <c r="BM64" s="1" t="s">
        <v>74</v>
      </c>
      <c r="BN64" s="1" t="s">
        <v>74</v>
      </c>
      <c r="BO64" s="1" t="s">
        <v>74</v>
      </c>
      <c r="BP64" s="1" t="s">
        <v>74</v>
      </c>
      <c r="BQ64" s="1" t="s">
        <v>74</v>
      </c>
      <c r="BR64" s="1" t="s">
        <v>74</v>
      </c>
      <c r="BS64" s="1" t="s">
        <v>670</v>
      </c>
      <c r="BT64" s="1" t="str">
        <f>HYPERLINK("https%3A%2F%2Fwww.webofscience.com%2Fwos%2Fwoscc%2Ffull-record%2FWOS:000424545600012","View Full Record in Web of Science")</f>
        <v>View Full Record in Web of Science</v>
      </c>
    </row>
    <row r="65" ht="12.75" customHeight="1">
      <c r="A65" s="1" t="s">
        <v>91</v>
      </c>
      <c r="B65" s="1" t="s">
        <v>671</v>
      </c>
      <c r="C65" s="1" t="s">
        <v>74</v>
      </c>
      <c r="D65" s="1" t="s">
        <v>74</v>
      </c>
      <c r="E65" s="1" t="s">
        <v>442</v>
      </c>
      <c r="F65" s="1" t="s">
        <v>672</v>
      </c>
      <c r="G65" s="1" t="s">
        <v>74</v>
      </c>
      <c r="H65" s="1" t="s">
        <v>74</v>
      </c>
      <c r="I65" s="1" t="s">
        <v>673</v>
      </c>
      <c r="J65" s="1" t="s">
        <v>674</v>
      </c>
      <c r="K65" s="1" t="s">
        <v>74</v>
      </c>
      <c r="L65" s="1" t="s">
        <v>74</v>
      </c>
      <c r="M65" s="1" t="s">
        <v>74</v>
      </c>
      <c r="N65" s="1" t="s">
        <v>74</v>
      </c>
      <c r="O65" s="1" t="s">
        <v>675</v>
      </c>
      <c r="P65" s="1" t="s">
        <v>676</v>
      </c>
      <c r="Q65" s="1" t="s">
        <v>677</v>
      </c>
      <c r="R65" s="1" t="s">
        <v>442</v>
      </c>
      <c r="S65" s="1" t="s">
        <v>678</v>
      </c>
      <c r="T65" s="1" t="s">
        <v>74</v>
      </c>
      <c r="U65" s="1" t="s">
        <v>74</v>
      </c>
      <c r="V65" s="1" t="s">
        <v>679</v>
      </c>
      <c r="W65" s="1" t="s">
        <v>74</v>
      </c>
      <c r="X65" s="1" t="s">
        <v>74</v>
      </c>
      <c r="Y65" s="1" t="s">
        <v>74</v>
      </c>
      <c r="Z65" s="1" t="s">
        <v>74</v>
      </c>
      <c r="AA65" s="1" t="s">
        <v>680</v>
      </c>
      <c r="AB65" s="1" t="s">
        <v>681</v>
      </c>
      <c r="AC65" s="1" t="s">
        <v>74</v>
      </c>
      <c r="AD65" s="1" t="s">
        <v>74</v>
      </c>
      <c r="AE65" s="1" t="s">
        <v>74</v>
      </c>
      <c r="AF65" s="1" t="s">
        <v>74</v>
      </c>
      <c r="AG65" s="1" t="s">
        <v>74</v>
      </c>
      <c r="AH65" s="1" t="s">
        <v>74</v>
      </c>
      <c r="AI65" s="1" t="s">
        <v>74</v>
      </c>
      <c r="AJ65" s="1" t="s">
        <v>74</v>
      </c>
      <c r="AK65" s="1" t="s">
        <v>74</v>
      </c>
      <c r="AL65" s="1" t="s">
        <v>74</v>
      </c>
      <c r="AM65" s="1" t="s">
        <v>74</v>
      </c>
      <c r="AN65" s="1" t="s">
        <v>74</v>
      </c>
      <c r="AO65" s="1" t="s">
        <v>74</v>
      </c>
      <c r="AP65" s="1" t="s">
        <v>74</v>
      </c>
      <c r="AQ65" s="1" t="s">
        <v>682</v>
      </c>
      <c r="AR65" s="1" t="s">
        <v>74</v>
      </c>
      <c r="AS65" s="1" t="s">
        <v>74</v>
      </c>
      <c r="AT65" s="1" t="s">
        <v>74</v>
      </c>
      <c r="AU65" s="1">
        <v>2016.0</v>
      </c>
      <c r="AV65" s="1" t="s">
        <v>74</v>
      </c>
      <c r="AW65" s="1" t="s">
        <v>74</v>
      </c>
      <c r="AX65" s="1" t="s">
        <v>74</v>
      </c>
      <c r="AY65" s="1" t="s">
        <v>74</v>
      </c>
      <c r="AZ65" s="1" t="s">
        <v>74</v>
      </c>
      <c r="BA65" s="1" t="s">
        <v>74</v>
      </c>
      <c r="BB65" s="1" t="s">
        <v>74</v>
      </c>
      <c r="BC65" s="1" t="s">
        <v>74</v>
      </c>
      <c r="BD65" s="1" t="s">
        <v>74</v>
      </c>
      <c r="BE65" s="1" t="s">
        <v>74</v>
      </c>
      <c r="BF65" s="1" t="s">
        <v>74</v>
      </c>
      <c r="BG65" s="1" t="s">
        <v>74</v>
      </c>
      <c r="BH65" s="1" t="s">
        <v>74</v>
      </c>
      <c r="BI65" s="1" t="s">
        <v>74</v>
      </c>
      <c r="BJ65" s="1" t="s">
        <v>74</v>
      </c>
      <c r="BK65" s="1" t="s">
        <v>74</v>
      </c>
      <c r="BL65" s="1" t="s">
        <v>74</v>
      </c>
      <c r="BM65" s="1" t="s">
        <v>74</v>
      </c>
      <c r="BN65" s="1" t="s">
        <v>74</v>
      </c>
      <c r="BO65" s="1" t="s">
        <v>74</v>
      </c>
      <c r="BP65" s="1" t="s">
        <v>74</v>
      </c>
      <c r="BQ65" s="1" t="s">
        <v>74</v>
      </c>
      <c r="BR65" s="1" t="s">
        <v>74</v>
      </c>
      <c r="BS65" s="1" t="s">
        <v>683</v>
      </c>
      <c r="BT65" s="1" t="str">
        <f>HYPERLINK("https%3A%2F%2Fwww.webofscience.com%2Fwos%2Fwoscc%2Ffull-record%2FWOS:000390556300058","View Full Record in Web of Science")</f>
        <v>View Full Record in Web of Science</v>
      </c>
    </row>
    <row r="66" ht="12.75" customHeight="1">
      <c r="A66" s="1" t="s">
        <v>91</v>
      </c>
      <c r="B66" s="1" t="s">
        <v>684</v>
      </c>
      <c r="C66" s="1" t="s">
        <v>74</v>
      </c>
      <c r="D66" s="1" t="s">
        <v>685</v>
      </c>
      <c r="E66" s="1" t="s">
        <v>74</v>
      </c>
      <c r="F66" s="1" t="s">
        <v>686</v>
      </c>
      <c r="G66" s="1" t="s">
        <v>74</v>
      </c>
      <c r="H66" s="1" t="s">
        <v>74</v>
      </c>
      <c r="I66" s="1" t="s">
        <v>687</v>
      </c>
      <c r="J66" s="1" t="s">
        <v>688</v>
      </c>
      <c r="K66" s="1" t="s">
        <v>74</v>
      </c>
      <c r="L66" s="1" t="s">
        <v>74</v>
      </c>
      <c r="M66" s="1" t="s">
        <v>74</v>
      </c>
      <c r="N66" s="1" t="s">
        <v>74</v>
      </c>
      <c r="O66" s="1" t="s">
        <v>689</v>
      </c>
      <c r="P66" s="1" t="s">
        <v>690</v>
      </c>
      <c r="Q66" s="1" t="s">
        <v>691</v>
      </c>
      <c r="R66" s="1" t="s">
        <v>692</v>
      </c>
      <c r="S66" s="1" t="s">
        <v>74</v>
      </c>
      <c r="T66" s="1" t="s">
        <v>74</v>
      </c>
      <c r="U66" s="1" t="s">
        <v>74</v>
      </c>
      <c r="V66" s="1" t="s">
        <v>693</v>
      </c>
      <c r="W66" s="1" t="s">
        <v>74</v>
      </c>
      <c r="X66" s="1" t="s">
        <v>74</v>
      </c>
      <c r="Y66" s="1" t="s">
        <v>74</v>
      </c>
      <c r="Z66" s="1" t="s">
        <v>74</v>
      </c>
      <c r="AA66" s="1" t="s">
        <v>694</v>
      </c>
      <c r="AB66" s="1" t="s">
        <v>695</v>
      </c>
      <c r="AC66" s="1" t="s">
        <v>74</v>
      </c>
      <c r="AD66" s="1" t="s">
        <v>74</v>
      </c>
      <c r="AE66" s="1" t="s">
        <v>74</v>
      </c>
      <c r="AF66" s="1" t="s">
        <v>74</v>
      </c>
      <c r="AG66" s="1" t="s">
        <v>74</v>
      </c>
      <c r="AH66" s="1" t="s">
        <v>74</v>
      </c>
      <c r="AI66" s="1" t="s">
        <v>74</v>
      </c>
      <c r="AJ66" s="1" t="s">
        <v>74</v>
      </c>
      <c r="AK66" s="1" t="s">
        <v>74</v>
      </c>
      <c r="AL66" s="1" t="s">
        <v>74</v>
      </c>
      <c r="AM66" s="1" t="s">
        <v>74</v>
      </c>
      <c r="AN66" s="1" t="s">
        <v>74</v>
      </c>
      <c r="AO66" s="1" t="s">
        <v>74</v>
      </c>
      <c r="AP66" s="1" t="s">
        <v>74</v>
      </c>
      <c r="AQ66" s="1" t="s">
        <v>696</v>
      </c>
      <c r="AR66" s="1" t="s">
        <v>74</v>
      </c>
      <c r="AS66" s="1" t="s">
        <v>74</v>
      </c>
      <c r="AT66" s="1" t="s">
        <v>74</v>
      </c>
      <c r="AU66" s="1">
        <v>2016.0</v>
      </c>
      <c r="AV66" s="1" t="s">
        <v>74</v>
      </c>
      <c r="AW66" s="1" t="s">
        <v>74</v>
      </c>
      <c r="AX66" s="1" t="s">
        <v>74</v>
      </c>
      <c r="AY66" s="1" t="s">
        <v>74</v>
      </c>
      <c r="AZ66" s="1" t="s">
        <v>74</v>
      </c>
      <c r="BA66" s="1" t="s">
        <v>74</v>
      </c>
      <c r="BB66" s="1">
        <v>147.0</v>
      </c>
      <c r="BC66" s="1">
        <v>150.0</v>
      </c>
      <c r="BD66" s="1" t="s">
        <v>74</v>
      </c>
      <c r="BE66" s="1" t="s">
        <v>74</v>
      </c>
      <c r="BF66" s="1" t="s">
        <v>74</v>
      </c>
      <c r="BG66" s="1" t="s">
        <v>74</v>
      </c>
      <c r="BH66" s="1" t="s">
        <v>74</v>
      </c>
      <c r="BI66" s="1" t="s">
        <v>74</v>
      </c>
      <c r="BJ66" s="1" t="s">
        <v>74</v>
      </c>
      <c r="BK66" s="1" t="s">
        <v>74</v>
      </c>
      <c r="BL66" s="1" t="s">
        <v>74</v>
      </c>
      <c r="BM66" s="1" t="s">
        <v>74</v>
      </c>
      <c r="BN66" s="1" t="s">
        <v>74</v>
      </c>
      <c r="BO66" s="1" t="s">
        <v>74</v>
      </c>
      <c r="BP66" s="1" t="s">
        <v>74</v>
      </c>
      <c r="BQ66" s="1" t="s">
        <v>74</v>
      </c>
      <c r="BR66" s="1" t="s">
        <v>74</v>
      </c>
      <c r="BS66" s="1" t="s">
        <v>697</v>
      </c>
      <c r="BT66" s="1" t="str">
        <f>HYPERLINK("https%3A%2F%2Fwww.webofscience.com%2Fwos%2Fwoscc%2Ffull-record%2FWOS:000391251000023","View Full Record in Web of Science")</f>
        <v>View Full Record in Web of Science</v>
      </c>
    </row>
    <row r="67" ht="12.75" customHeight="1">
      <c r="A67" s="1" t="s">
        <v>72</v>
      </c>
      <c r="B67" s="1" t="s">
        <v>698</v>
      </c>
      <c r="C67" s="1" t="s">
        <v>74</v>
      </c>
      <c r="D67" s="1" t="s">
        <v>74</v>
      </c>
      <c r="E67" s="1" t="s">
        <v>74</v>
      </c>
      <c r="F67" s="1" t="s">
        <v>699</v>
      </c>
      <c r="G67" s="1" t="s">
        <v>74</v>
      </c>
      <c r="H67" s="1" t="s">
        <v>74</v>
      </c>
      <c r="I67" s="1" t="s">
        <v>700</v>
      </c>
      <c r="J67" s="1" t="s">
        <v>701</v>
      </c>
      <c r="K67" s="1" t="s">
        <v>74</v>
      </c>
      <c r="L67" s="1" t="s">
        <v>74</v>
      </c>
      <c r="M67" s="1" t="s">
        <v>74</v>
      </c>
      <c r="N67" s="1" t="s">
        <v>74</v>
      </c>
      <c r="O67" s="1" t="s">
        <v>74</v>
      </c>
      <c r="P67" s="1" t="s">
        <v>74</v>
      </c>
      <c r="Q67" s="1" t="s">
        <v>74</v>
      </c>
      <c r="R67" s="1" t="s">
        <v>74</v>
      </c>
      <c r="S67" s="1" t="s">
        <v>74</v>
      </c>
      <c r="T67" s="1" t="s">
        <v>74</v>
      </c>
      <c r="U67" s="1" t="s">
        <v>74</v>
      </c>
      <c r="V67" s="1" t="s">
        <v>702</v>
      </c>
      <c r="W67" s="1" t="s">
        <v>74</v>
      </c>
      <c r="X67" s="1" t="s">
        <v>74</v>
      </c>
      <c r="Y67" s="1" t="s">
        <v>74</v>
      </c>
      <c r="Z67" s="1" t="s">
        <v>74</v>
      </c>
      <c r="AA67" s="1" t="s">
        <v>74</v>
      </c>
      <c r="AB67" s="1" t="s">
        <v>74</v>
      </c>
      <c r="AC67" s="1" t="s">
        <v>74</v>
      </c>
      <c r="AD67" s="1" t="s">
        <v>74</v>
      </c>
      <c r="AE67" s="1" t="s">
        <v>74</v>
      </c>
      <c r="AF67" s="1" t="s">
        <v>74</v>
      </c>
      <c r="AG67" s="1" t="s">
        <v>74</v>
      </c>
      <c r="AH67" s="1" t="s">
        <v>74</v>
      </c>
      <c r="AI67" s="1" t="s">
        <v>74</v>
      </c>
      <c r="AJ67" s="1" t="s">
        <v>74</v>
      </c>
      <c r="AK67" s="1" t="s">
        <v>74</v>
      </c>
      <c r="AL67" s="1" t="s">
        <v>74</v>
      </c>
      <c r="AM67" s="1" t="s">
        <v>74</v>
      </c>
      <c r="AN67" s="1" t="s">
        <v>74</v>
      </c>
      <c r="AO67" s="1" t="s">
        <v>703</v>
      </c>
      <c r="AP67" s="1" t="s">
        <v>704</v>
      </c>
      <c r="AQ67" s="1" t="s">
        <v>74</v>
      </c>
      <c r="AR67" s="1" t="s">
        <v>74</v>
      </c>
      <c r="AS67" s="1" t="s">
        <v>74</v>
      </c>
      <c r="AT67" s="1" t="s">
        <v>74</v>
      </c>
      <c r="AU67" s="1">
        <v>2016.0</v>
      </c>
      <c r="AV67" s="1">
        <v>45.0</v>
      </c>
      <c r="AW67" s="1">
        <v>3.0</v>
      </c>
      <c r="AX67" s="1" t="s">
        <v>74</v>
      </c>
      <c r="AY67" s="1" t="s">
        <v>74</v>
      </c>
      <c r="AZ67" s="1" t="s">
        <v>74</v>
      </c>
      <c r="BA67" s="1" t="s">
        <v>74</v>
      </c>
      <c r="BB67" s="1">
        <v>508.0</v>
      </c>
      <c r="BC67" s="1">
        <v>520.0</v>
      </c>
      <c r="BD67" s="1" t="s">
        <v>74</v>
      </c>
      <c r="BE67" s="1" t="s">
        <v>705</v>
      </c>
      <c r="BF67" s="2" t="str">
        <f>HYPERLINK("http://dx.doi.org/10.1108/K-11-2014-0277","http://dx.doi.org/10.1108/K-11-2014-0277")</f>
        <v>http://dx.doi.org/10.1108/K-11-2014-0277</v>
      </c>
      <c r="BG67" s="1" t="s">
        <v>74</v>
      </c>
      <c r="BH67" s="1" t="s">
        <v>74</v>
      </c>
      <c r="BI67" s="1" t="s">
        <v>74</v>
      </c>
      <c r="BJ67" s="1" t="s">
        <v>74</v>
      </c>
      <c r="BK67" s="1" t="s">
        <v>74</v>
      </c>
      <c r="BL67" s="1" t="s">
        <v>74</v>
      </c>
      <c r="BM67" s="1" t="s">
        <v>74</v>
      </c>
      <c r="BN67" s="1" t="s">
        <v>74</v>
      </c>
      <c r="BO67" s="1" t="s">
        <v>74</v>
      </c>
      <c r="BP67" s="1" t="s">
        <v>74</v>
      </c>
      <c r="BQ67" s="1" t="s">
        <v>74</v>
      </c>
      <c r="BR67" s="1" t="s">
        <v>74</v>
      </c>
      <c r="BS67" s="1" t="s">
        <v>706</v>
      </c>
      <c r="BT67" s="1" t="str">
        <f>HYPERLINK("https%3A%2F%2Fwww.webofscience.com%2Fwos%2Fwoscc%2Ffull-record%2FWOS:000374169100010","View Full Record in Web of Science")</f>
        <v>View Full Record in Web of Science</v>
      </c>
    </row>
    <row r="68" ht="12.75" customHeight="1">
      <c r="A68" s="1" t="s">
        <v>72</v>
      </c>
      <c r="B68" s="1" t="s">
        <v>707</v>
      </c>
      <c r="C68" s="1" t="s">
        <v>74</v>
      </c>
      <c r="D68" s="1" t="s">
        <v>74</v>
      </c>
      <c r="E68" s="1" t="s">
        <v>74</v>
      </c>
      <c r="F68" s="1" t="s">
        <v>708</v>
      </c>
      <c r="G68" s="1" t="s">
        <v>74</v>
      </c>
      <c r="H68" s="1" t="s">
        <v>74</v>
      </c>
      <c r="I68" s="1" t="s">
        <v>709</v>
      </c>
      <c r="J68" s="1" t="s">
        <v>710</v>
      </c>
      <c r="K68" s="1" t="s">
        <v>74</v>
      </c>
      <c r="L68" s="1" t="s">
        <v>74</v>
      </c>
      <c r="M68" s="1" t="s">
        <v>74</v>
      </c>
      <c r="N68" s="1" t="s">
        <v>74</v>
      </c>
      <c r="O68" s="1" t="s">
        <v>74</v>
      </c>
      <c r="P68" s="1" t="s">
        <v>74</v>
      </c>
      <c r="Q68" s="1" t="s">
        <v>74</v>
      </c>
      <c r="R68" s="1" t="s">
        <v>74</v>
      </c>
      <c r="S68" s="1" t="s">
        <v>74</v>
      </c>
      <c r="T68" s="1" t="s">
        <v>74</v>
      </c>
      <c r="U68" s="1" t="s">
        <v>74</v>
      </c>
      <c r="V68" s="1" t="s">
        <v>711</v>
      </c>
      <c r="W68" s="1" t="s">
        <v>74</v>
      </c>
      <c r="X68" s="1" t="s">
        <v>74</v>
      </c>
      <c r="Y68" s="1" t="s">
        <v>74</v>
      </c>
      <c r="Z68" s="1" t="s">
        <v>74</v>
      </c>
      <c r="AA68" s="1" t="s">
        <v>712</v>
      </c>
      <c r="AB68" s="1" t="s">
        <v>713</v>
      </c>
      <c r="AC68" s="1" t="s">
        <v>74</v>
      </c>
      <c r="AD68" s="1" t="s">
        <v>74</v>
      </c>
      <c r="AE68" s="1" t="s">
        <v>74</v>
      </c>
      <c r="AF68" s="1" t="s">
        <v>74</v>
      </c>
      <c r="AG68" s="1" t="s">
        <v>74</v>
      </c>
      <c r="AH68" s="1" t="s">
        <v>74</v>
      </c>
      <c r="AI68" s="1" t="s">
        <v>74</v>
      </c>
      <c r="AJ68" s="1" t="s">
        <v>74</v>
      </c>
      <c r="AK68" s="1" t="s">
        <v>74</v>
      </c>
      <c r="AL68" s="1" t="s">
        <v>74</v>
      </c>
      <c r="AM68" s="1" t="s">
        <v>74</v>
      </c>
      <c r="AN68" s="1" t="s">
        <v>74</v>
      </c>
      <c r="AO68" s="1" t="s">
        <v>714</v>
      </c>
      <c r="AP68" s="1" t="s">
        <v>715</v>
      </c>
      <c r="AQ68" s="1" t="s">
        <v>74</v>
      </c>
      <c r="AR68" s="1" t="s">
        <v>74</v>
      </c>
      <c r="AS68" s="1" t="s">
        <v>74</v>
      </c>
      <c r="AT68" s="1" t="s">
        <v>88</v>
      </c>
      <c r="AU68" s="1">
        <v>2015.0</v>
      </c>
      <c r="AV68" s="1">
        <v>39.0</v>
      </c>
      <c r="AW68" s="1">
        <v>6.0</v>
      </c>
      <c r="AX68" s="1" t="s">
        <v>74</v>
      </c>
      <c r="AY68" s="1" t="s">
        <v>74</v>
      </c>
      <c r="AZ68" s="1" t="s">
        <v>74</v>
      </c>
      <c r="BA68" s="1" t="s">
        <v>74</v>
      </c>
      <c r="BB68" s="1">
        <v>2792.0</v>
      </c>
      <c r="BC68" s="1">
        <v>2801.0</v>
      </c>
      <c r="BD68" s="1" t="s">
        <v>74</v>
      </c>
      <c r="BE68" s="1" t="s">
        <v>716</v>
      </c>
      <c r="BF68" s="2" t="str">
        <f>HYPERLINK("http://dx.doi.org/10.1111/jfpp.12530","http://dx.doi.org/10.1111/jfpp.12530")</f>
        <v>http://dx.doi.org/10.1111/jfpp.12530</v>
      </c>
      <c r="BG68" s="1" t="s">
        <v>74</v>
      </c>
      <c r="BH68" s="1" t="s">
        <v>74</v>
      </c>
      <c r="BI68" s="1" t="s">
        <v>74</v>
      </c>
      <c r="BJ68" s="1" t="s">
        <v>74</v>
      </c>
      <c r="BK68" s="1" t="s">
        <v>74</v>
      </c>
      <c r="BL68" s="1" t="s">
        <v>74</v>
      </c>
      <c r="BM68" s="1" t="s">
        <v>74</v>
      </c>
      <c r="BN68" s="1" t="s">
        <v>74</v>
      </c>
      <c r="BO68" s="1" t="s">
        <v>74</v>
      </c>
      <c r="BP68" s="1" t="s">
        <v>74</v>
      </c>
      <c r="BQ68" s="1" t="s">
        <v>74</v>
      </c>
      <c r="BR68" s="1" t="s">
        <v>74</v>
      </c>
      <c r="BS68" s="1" t="s">
        <v>717</v>
      </c>
      <c r="BT68" s="1" t="str">
        <f>HYPERLINK("https%3A%2F%2Fwww.webofscience.com%2Fwos%2Fwoscc%2Ffull-record%2FWOS:000368126300245","View Full Record in Web of Science")</f>
        <v>View Full Record in Web of Science</v>
      </c>
    </row>
    <row r="69" ht="12.75" customHeight="1">
      <c r="A69" s="1" t="s">
        <v>72</v>
      </c>
      <c r="B69" s="1" t="s">
        <v>718</v>
      </c>
      <c r="C69" s="1" t="s">
        <v>74</v>
      </c>
      <c r="D69" s="1" t="s">
        <v>74</v>
      </c>
      <c r="E69" s="1" t="s">
        <v>74</v>
      </c>
      <c r="F69" s="1" t="s">
        <v>719</v>
      </c>
      <c r="G69" s="1" t="s">
        <v>74</v>
      </c>
      <c r="H69" s="1" t="s">
        <v>74</v>
      </c>
      <c r="I69" s="1" t="s">
        <v>720</v>
      </c>
      <c r="J69" s="1" t="s">
        <v>721</v>
      </c>
      <c r="K69" s="1" t="s">
        <v>74</v>
      </c>
      <c r="L69" s="1" t="s">
        <v>74</v>
      </c>
      <c r="M69" s="1" t="s">
        <v>74</v>
      </c>
      <c r="N69" s="1" t="s">
        <v>74</v>
      </c>
      <c r="O69" s="1" t="s">
        <v>74</v>
      </c>
      <c r="P69" s="1" t="s">
        <v>74</v>
      </c>
      <c r="Q69" s="1" t="s">
        <v>74</v>
      </c>
      <c r="R69" s="1" t="s">
        <v>74</v>
      </c>
      <c r="S69" s="1" t="s">
        <v>74</v>
      </c>
      <c r="T69" s="1" t="s">
        <v>74</v>
      </c>
      <c r="U69" s="1" t="s">
        <v>74</v>
      </c>
      <c r="V69" s="1" t="s">
        <v>722</v>
      </c>
      <c r="W69" s="1" t="s">
        <v>74</v>
      </c>
      <c r="X69" s="1" t="s">
        <v>74</v>
      </c>
      <c r="Y69" s="1" t="s">
        <v>74</v>
      </c>
      <c r="Z69" s="1" t="s">
        <v>74</v>
      </c>
      <c r="AA69" s="1" t="s">
        <v>723</v>
      </c>
      <c r="AB69" s="1" t="s">
        <v>724</v>
      </c>
      <c r="AC69" s="1" t="s">
        <v>74</v>
      </c>
      <c r="AD69" s="1" t="s">
        <v>74</v>
      </c>
      <c r="AE69" s="1" t="s">
        <v>74</v>
      </c>
      <c r="AF69" s="1" t="s">
        <v>74</v>
      </c>
      <c r="AG69" s="1" t="s">
        <v>74</v>
      </c>
      <c r="AH69" s="1" t="s">
        <v>74</v>
      </c>
      <c r="AI69" s="1" t="s">
        <v>74</v>
      </c>
      <c r="AJ69" s="1" t="s">
        <v>74</v>
      </c>
      <c r="AK69" s="1" t="s">
        <v>74</v>
      </c>
      <c r="AL69" s="1" t="s">
        <v>74</v>
      </c>
      <c r="AM69" s="1" t="s">
        <v>74</v>
      </c>
      <c r="AN69" s="1" t="s">
        <v>74</v>
      </c>
      <c r="AO69" s="1" t="s">
        <v>725</v>
      </c>
      <c r="AP69" s="1" t="s">
        <v>726</v>
      </c>
      <c r="AQ69" s="1" t="s">
        <v>74</v>
      </c>
      <c r="AR69" s="1" t="s">
        <v>74</v>
      </c>
      <c r="AS69" s="1" t="s">
        <v>74</v>
      </c>
      <c r="AT69" s="1" t="s">
        <v>727</v>
      </c>
      <c r="AU69" s="1">
        <v>2015.0</v>
      </c>
      <c r="AV69" s="1">
        <v>105.0</v>
      </c>
      <c r="AW69" s="1" t="s">
        <v>74</v>
      </c>
      <c r="AX69" s="1" t="s">
        <v>74</v>
      </c>
      <c r="AY69" s="1" t="s">
        <v>74</v>
      </c>
      <c r="AZ69" s="1" t="s">
        <v>74</v>
      </c>
      <c r="BA69" s="1" t="s">
        <v>74</v>
      </c>
      <c r="BB69" s="1">
        <v>189.0</v>
      </c>
      <c r="BC69" s="1">
        <v>196.0</v>
      </c>
      <c r="BD69" s="1" t="s">
        <v>74</v>
      </c>
      <c r="BE69" s="1" t="s">
        <v>728</v>
      </c>
      <c r="BF69" s="2" t="str">
        <f>HYPERLINK("http://dx.doi.org/10.1016/j.enconman.2015.07.068","http://dx.doi.org/10.1016/j.enconman.2015.07.068")</f>
        <v>http://dx.doi.org/10.1016/j.enconman.2015.07.068</v>
      </c>
      <c r="BG69" s="1" t="s">
        <v>74</v>
      </c>
      <c r="BH69" s="1" t="s">
        <v>74</v>
      </c>
      <c r="BI69" s="1" t="s">
        <v>74</v>
      </c>
      <c r="BJ69" s="1" t="s">
        <v>74</v>
      </c>
      <c r="BK69" s="1" t="s">
        <v>74</v>
      </c>
      <c r="BL69" s="1" t="s">
        <v>74</v>
      </c>
      <c r="BM69" s="1" t="s">
        <v>74</v>
      </c>
      <c r="BN69" s="1" t="s">
        <v>74</v>
      </c>
      <c r="BO69" s="1" t="s">
        <v>74</v>
      </c>
      <c r="BP69" s="1" t="s">
        <v>74</v>
      </c>
      <c r="BQ69" s="1" t="s">
        <v>74</v>
      </c>
      <c r="BR69" s="1" t="s">
        <v>74</v>
      </c>
      <c r="BS69" s="1" t="s">
        <v>729</v>
      </c>
      <c r="BT69" s="1" t="str">
        <f>HYPERLINK("https%3A%2F%2Fwww.webofscience.com%2Fwos%2Fwoscc%2Ffull-record%2FWOS:000363068900017","View Full Record in Web of Science")</f>
        <v>View Full Record in Web of Science</v>
      </c>
    </row>
    <row r="70" ht="12.75" customHeight="1">
      <c r="A70" s="1" t="s">
        <v>72</v>
      </c>
      <c r="B70" s="1" t="s">
        <v>730</v>
      </c>
      <c r="C70" s="1" t="s">
        <v>74</v>
      </c>
      <c r="D70" s="1" t="s">
        <v>74</v>
      </c>
      <c r="E70" s="1" t="s">
        <v>74</v>
      </c>
      <c r="F70" s="1" t="s">
        <v>731</v>
      </c>
      <c r="G70" s="1" t="s">
        <v>74</v>
      </c>
      <c r="H70" s="1" t="s">
        <v>74</v>
      </c>
      <c r="I70" s="1" t="s">
        <v>732</v>
      </c>
      <c r="J70" s="1" t="s">
        <v>733</v>
      </c>
      <c r="K70" s="1" t="s">
        <v>74</v>
      </c>
      <c r="L70" s="1" t="s">
        <v>74</v>
      </c>
      <c r="M70" s="1" t="s">
        <v>74</v>
      </c>
      <c r="N70" s="1" t="s">
        <v>74</v>
      </c>
      <c r="O70" s="1" t="s">
        <v>74</v>
      </c>
      <c r="P70" s="1" t="s">
        <v>74</v>
      </c>
      <c r="Q70" s="1" t="s">
        <v>74</v>
      </c>
      <c r="R70" s="1" t="s">
        <v>74</v>
      </c>
      <c r="S70" s="1" t="s">
        <v>74</v>
      </c>
      <c r="T70" s="1" t="s">
        <v>74</v>
      </c>
      <c r="U70" s="1" t="s">
        <v>74</v>
      </c>
      <c r="V70" s="1" t="s">
        <v>734</v>
      </c>
      <c r="W70" s="1" t="s">
        <v>74</v>
      </c>
      <c r="X70" s="1" t="s">
        <v>74</v>
      </c>
      <c r="Y70" s="1" t="s">
        <v>74</v>
      </c>
      <c r="Z70" s="1" t="s">
        <v>74</v>
      </c>
      <c r="AA70" s="1" t="s">
        <v>296</v>
      </c>
      <c r="AB70" s="1" t="s">
        <v>735</v>
      </c>
      <c r="AC70" s="1" t="s">
        <v>74</v>
      </c>
      <c r="AD70" s="1" t="s">
        <v>74</v>
      </c>
      <c r="AE70" s="1" t="s">
        <v>74</v>
      </c>
      <c r="AF70" s="1" t="s">
        <v>74</v>
      </c>
      <c r="AG70" s="1" t="s">
        <v>74</v>
      </c>
      <c r="AH70" s="1" t="s">
        <v>74</v>
      </c>
      <c r="AI70" s="1" t="s">
        <v>74</v>
      </c>
      <c r="AJ70" s="1" t="s">
        <v>74</v>
      </c>
      <c r="AK70" s="1" t="s">
        <v>74</v>
      </c>
      <c r="AL70" s="1" t="s">
        <v>74</v>
      </c>
      <c r="AM70" s="1" t="s">
        <v>74</v>
      </c>
      <c r="AN70" s="1" t="s">
        <v>74</v>
      </c>
      <c r="AO70" s="1" t="s">
        <v>736</v>
      </c>
      <c r="AP70" s="1" t="s">
        <v>737</v>
      </c>
      <c r="AQ70" s="1" t="s">
        <v>74</v>
      </c>
      <c r="AR70" s="1" t="s">
        <v>74</v>
      </c>
      <c r="AS70" s="1" t="s">
        <v>74</v>
      </c>
      <c r="AT70" s="1" t="s">
        <v>205</v>
      </c>
      <c r="AU70" s="1">
        <v>2015.0</v>
      </c>
      <c r="AV70" s="1">
        <v>80.0</v>
      </c>
      <c r="AW70" s="1">
        <v>2.0</v>
      </c>
      <c r="AX70" s="1" t="s">
        <v>74</v>
      </c>
      <c r="AY70" s="1" t="s">
        <v>74</v>
      </c>
      <c r="AZ70" s="1" t="s">
        <v>74</v>
      </c>
      <c r="BA70" s="1" t="s">
        <v>74</v>
      </c>
      <c r="BB70" s="1">
        <v>193.0</v>
      </c>
      <c r="BC70" s="1">
        <v>205.0</v>
      </c>
      <c r="BD70" s="1" t="s">
        <v>74</v>
      </c>
      <c r="BE70" s="1" t="s">
        <v>738</v>
      </c>
      <c r="BF70" s="2" t="str">
        <f>HYPERLINK("http://dx.doi.org/10.1007/s10846-013-9989-1","http://dx.doi.org/10.1007/s10846-013-9989-1")</f>
        <v>http://dx.doi.org/10.1007/s10846-013-9989-1</v>
      </c>
      <c r="BG70" s="1" t="s">
        <v>74</v>
      </c>
      <c r="BH70" s="1" t="s">
        <v>74</v>
      </c>
      <c r="BI70" s="1" t="s">
        <v>74</v>
      </c>
      <c r="BJ70" s="1" t="s">
        <v>74</v>
      </c>
      <c r="BK70" s="1" t="s">
        <v>74</v>
      </c>
      <c r="BL70" s="1" t="s">
        <v>74</v>
      </c>
      <c r="BM70" s="1" t="s">
        <v>74</v>
      </c>
      <c r="BN70" s="1" t="s">
        <v>74</v>
      </c>
      <c r="BO70" s="1" t="s">
        <v>74</v>
      </c>
      <c r="BP70" s="1" t="s">
        <v>74</v>
      </c>
      <c r="BQ70" s="1" t="s">
        <v>74</v>
      </c>
      <c r="BR70" s="1" t="s">
        <v>74</v>
      </c>
      <c r="BS70" s="1" t="s">
        <v>739</v>
      </c>
      <c r="BT70" s="1" t="str">
        <f>HYPERLINK("https%3A%2F%2Fwww.webofscience.com%2Fwos%2Fwoscc%2Ffull-record%2FWOS:000362418000002","View Full Record in Web of Science")</f>
        <v>View Full Record in Web of Science</v>
      </c>
    </row>
    <row r="71" ht="12.75" customHeight="1">
      <c r="A71" s="1" t="s">
        <v>72</v>
      </c>
      <c r="B71" s="1" t="s">
        <v>740</v>
      </c>
      <c r="C71" s="1" t="s">
        <v>74</v>
      </c>
      <c r="D71" s="1" t="s">
        <v>74</v>
      </c>
      <c r="E71" s="1" t="s">
        <v>74</v>
      </c>
      <c r="F71" s="1" t="s">
        <v>741</v>
      </c>
      <c r="G71" s="1" t="s">
        <v>74</v>
      </c>
      <c r="H71" s="1" t="s">
        <v>74</v>
      </c>
      <c r="I71" s="1" t="s">
        <v>742</v>
      </c>
      <c r="J71" s="1" t="s">
        <v>743</v>
      </c>
      <c r="K71" s="1" t="s">
        <v>74</v>
      </c>
      <c r="L71" s="1" t="s">
        <v>74</v>
      </c>
      <c r="M71" s="1" t="s">
        <v>74</v>
      </c>
      <c r="N71" s="1" t="s">
        <v>74</v>
      </c>
      <c r="O71" s="1" t="s">
        <v>74</v>
      </c>
      <c r="P71" s="1" t="s">
        <v>74</v>
      </c>
      <c r="Q71" s="1" t="s">
        <v>74</v>
      </c>
      <c r="R71" s="1" t="s">
        <v>74</v>
      </c>
      <c r="S71" s="1" t="s">
        <v>74</v>
      </c>
      <c r="T71" s="1" t="s">
        <v>74</v>
      </c>
      <c r="U71" s="1" t="s">
        <v>74</v>
      </c>
      <c r="V71" s="1" t="s">
        <v>744</v>
      </c>
      <c r="W71" s="1" t="s">
        <v>74</v>
      </c>
      <c r="X71" s="1" t="s">
        <v>74</v>
      </c>
      <c r="Y71" s="1" t="s">
        <v>74</v>
      </c>
      <c r="Z71" s="1" t="s">
        <v>74</v>
      </c>
      <c r="AA71" s="1" t="s">
        <v>74</v>
      </c>
      <c r="AB71" s="1" t="s">
        <v>74</v>
      </c>
      <c r="AC71" s="1" t="s">
        <v>74</v>
      </c>
      <c r="AD71" s="1" t="s">
        <v>74</v>
      </c>
      <c r="AE71" s="1" t="s">
        <v>74</v>
      </c>
      <c r="AF71" s="1" t="s">
        <v>74</v>
      </c>
      <c r="AG71" s="1" t="s">
        <v>74</v>
      </c>
      <c r="AH71" s="1" t="s">
        <v>74</v>
      </c>
      <c r="AI71" s="1" t="s">
        <v>74</v>
      </c>
      <c r="AJ71" s="1" t="s">
        <v>74</v>
      </c>
      <c r="AK71" s="1" t="s">
        <v>74</v>
      </c>
      <c r="AL71" s="1" t="s">
        <v>74</v>
      </c>
      <c r="AM71" s="1" t="s">
        <v>74</v>
      </c>
      <c r="AN71" s="1" t="s">
        <v>74</v>
      </c>
      <c r="AO71" s="1" t="s">
        <v>745</v>
      </c>
      <c r="AP71" s="1" t="s">
        <v>74</v>
      </c>
      <c r="AQ71" s="1" t="s">
        <v>74</v>
      </c>
      <c r="AR71" s="1" t="s">
        <v>74</v>
      </c>
      <c r="AS71" s="1" t="s">
        <v>74</v>
      </c>
      <c r="AT71" s="1" t="s">
        <v>74</v>
      </c>
      <c r="AU71" s="1">
        <v>2015.0</v>
      </c>
      <c r="AV71" s="1">
        <v>25.0</v>
      </c>
      <c r="AW71" s="1">
        <v>1.0</v>
      </c>
      <c r="AX71" s="1" t="s">
        <v>74</v>
      </c>
      <c r="AY71" s="1" t="s">
        <v>74</v>
      </c>
      <c r="AZ71" s="1" t="s">
        <v>74</v>
      </c>
      <c r="BA71" s="1" t="s">
        <v>74</v>
      </c>
      <c r="BB71" s="1">
        <v>257.0</v>
      </c>
      <c r="BC71" s="1">
        <v>270.0</v>
      </c>
      <c r="BD71" s="1" t="s">
        <v>74</v>
      </c>
      <c r="BE71" s="1" t="s">
        <v>74</v>
      </c>
      <c r="BF71" s="1" t="s">
        <v>74</v>
      </c>
      <c r="BG71" s="1" t="s">
        <v>74</v>
      </c>
      <c r="BH71" s="1" t="s">
        <v>74</v>
      </c>
      <c r="BI71" s="1" t="s">
        <v>74</v>
      </c>
      <c r="BJ71" s="1" t="s">
        <v>74</v>
      </c>
      <c r="BK71" s="1" t="s">
        <v>74</v>
      </c>
      <c r="BL71" s="1" t="s">
        <v>74</v>
      </c>
      <c r="BM71" s="1" t="s">
        <v>74</v>
      </c>
      <c r="BN71" s="1" t="s">
        <v>74</v>
      </c>
      <c r="BO71" s="1" t="s">
        <v>74</v>
      </c>
      <c r="BP71" s="1" t="s">
        <v>74</v>
      </c>
      <c r="BQ71" s="1" t="s">
        <v>74</v>
      </c>
      <c r="BR71" s="1" t="s">
        <v>74</v>
      </c>
      <c r="BS71" s="1" t="s">
        <v>746</v>
      </c>
      <c r="BT71" s="1" t="str">
        <f>HYPERLINK("https%3A%2F%2Fwww.webofscience.com%2Fwos%2Fwoscc%2Ffull-record%2FWOS:000356124900013","View Full Record in Web of Science")</f>
        <v>View Full Record in Web of Science</v>
      </c>
    </row>
    <row r="72" ht="12.75" customHeight="1">
      <c r="A72" s="1" t="s">
        <v>72</v>
      </c>
      <c r="B72" s="1" t="s">
        <v>747</v>
      </c>
      <c r="C72" s="1" t="s">
        <v>74</v>
      </c>
      <c r="D72" s="1" t="s">
        <v>74</v>
      </c>
      <c r="E72" s="1" t="s">
        <v>74</v>
      </c>
      <c r="F72" s="1" t="s">
        <v>748</v>
      </c>
      <c r="G72" s="1" t="s">
        <v>74</v>
      </c>
      <c r="H72" s="1" t="s">
        <v>74</v>
      </c>
      <c r="I72" s="1" t="s">
        <v>749</v>
      </c>
      <c r="J72" s="1" t="s">
        <v>750</v>
      </c>
      <c r="K72" s="1" t="s">
        <v>74</v>
      </c>
      <c r="L72" s="1" t="s">
        <v>74</v>
      </c>
      <c r="M72" s="1" t="s">
        <v>74</v>
      </c>
      <c r="N72" s="1" t="s">
        <v>74</v>
      </c>
      <c r="O72" s="1" t="s">
        <v>74</v>
      </c>
      <c r="P72" s="1" t="s">
        <v>74</v>
      </c>
      <c r="Q72" s="1" t="s">
        <v>74</v>
      </c>
      <c r="R72" s="1" t="s">
        <v>74</v>
      </c>
      <c r="S72" s="1" t="s">
        <v>74</v>
      </c>
      <c r="T72" s="1" t="s">
        <v>74</v>
      </c>
      <c r="U72" s="1" t="s">
        <v>74</v>
      </c>
      <c r="V72" s="1" t="s">
        <v>751</v>
      </c>
      <c r="W72" s="1" t="s">
        <v>74</v>
      </c>
      <c r="X72" s="1" t="s">
        <v>74</v>
      </c>
      <c r="Y72" s="1" t="s">
        <v>74</v>
      </c>
      <c r="Z72" s="1" t="s">
        <v>74</v>
      </c>
      <c r="AA72" s="1" t="s">
        <v>752</v>
      </c>
      <c r="AB72" s="1" t="s">
        <v>753</v>
      </c>
      <c r="AC72" s="1" t="s">
        <v>74</v>
      </c>
      <c r="AD72" s="1" t="s">
        <v>74</v>
      </c>
      <c r="AE72" s="1" t="s">
        <v>74</v>
      </c>
      <c r="AF72" s="1" t="s">
        <v>74</v>
      </c>
      <c r="AG72" s="1" t="s">
        <v>74</v>
      </c>
      <c r="AH72" s="1" t="s">
        <v>74</v>
      </c>
      <c r="AI72" s="1" t="s">
        <v>74</v>
      </c>
      <c r="AJ72" s="1" t="s">
        <v>74</v>
      </c>
      <c r="AK72" s="1" t="s">
        <v>74</v>
      </c>
      <c r="AL72" s="1" t="s">
        <v>74</v>
      </c>
      <c r="AM72" s="1" t="s">
        <v>74</v>
      </c>
      <c r="AN72" s="1" t="s">
        <v>74</v>
      </c>
      <c r="AO72" s="1" t="s">
        <v>754</v>
      </c>
      <c r="AP72" s="1" t="s">
        <v>74</v>
      </c>
      <c r="AQ72" s="1" t="s">
        <v>74</v>
      </c>
      <c r="AR72" s="1" t="s">
        <v>74</v>
      </c>
      <c r="AS72" s="1" t="s">
        <v>74</v>
      </c>
      <c r="AT72" s="1" t="s">
        <v>755</v>
      </c>
      <c r="AU72" s="1">
        <v>2014.0</v>
      </c>
      <c r="AV72" s="1">
        <v>17.0</v>
      </c>
      <c r="AW72" s="1">
        <v>4.0</v>
      </c>
      <c r="AX72" s="1" t="s">
        <v>74</v>
      </c>
      <c r="AY72" s="1" t="s">
        <v>74</v>
      </c>
      <c r="AZ72" s="1" t="s">
        <v>74</v>
      </c>
      <c r="BA72" s="1" t="s">
        <v>74</v>
      </c>
      <c r="BB72" s="1">
        <v>150.0</v>
      </c>
      <c r="BC72" s="1">
        <v>155.0</v>
      </c>
      <c r="BD72" s="1" t="s">
        <v>74</v>
      </c>
      <c r="BE72" s="1" t="s">
        <v>756</v>
      </c>
      <c r="BF72" s="2" t="str">
        <f>HYPERLINK("http://dx.doi.org/10.1016/j.ejbt.2014.04.006","http://dx.doi.org/10.1016/j.ejbt.2014.04.006")</f>
        <v>http://dx.doi.org/10.1016/j.ejbt.2014.04.006</v>
      </c>
      <c r="BG72" s="1" t="s">
        <v>74</v>
      </c>
      <c r="BH72" s="1" t="s">
        <v>74</v>
      </c>
      <c r="BI72" s="1" t="s">
        <v>74</v>
      </c>
      <c r="BJ72" s="1" t="s">
        <v>74</v>
      </c>
      <c r="BK72" s="1" t="s">
        <v>74</v>
      </c>
      <c r="BL72" s="1" t="s">
        <v>74</v>
      </c>
      <c r="BM72" s="1" t="s">
        <v>74</v>
      </c>
      <c r="BN72" s="1" t="s">
        <v>74</v>
      </c>
      <c r="BO72" s="1" t="s">
        <v>74</v>
      </c>
      <c r="BP72" s="1" t="s">
        <v>74</v>
      </c>
      <c r="BQ72" s="1" t="s">
        <v>74</v>
      </c>
      <c r="BR72" s="1" t="s">
        <v>74</v>
      </c>
      <c r="BS72" s="1" t="s">
        <v>757</v>
      </c>
      <c r="BT72" s="1" t="str">
        <f>HYPERLINK("https%3A%2F%2Fwww.webofscience.com%2Fwos%2Fwoscc%2Ffull-record%2FWOS:000342851800001","View Full Record in Web of Science")</f>
        <v>View Full Record in Web of Science</v>
      </c>
    </row>
    <row r="73" ht="12.75" customHeight="1">
      <c r="A73" s="1" t="s">
        <v>72</v>
      </c>
      <c r="B73" s="1" t="s">
        <v>758</v>
      </c>
      <c r="C73" s="1" t="s">
        <v>74</v>
      </c>
      <c r="D73" s="1" t="s">
        <v>74</v>
      </c>
      <c r="E73" s="1" t="s">
        <v>74</v>
      </c>
      <c r="F73" s="1" t="s">
        <v>759</v>
      </c>
      <c r="G73" s="1" t="s">
        <v>74</v>
      </c>
      <c r="H73" s="1" t="s">
        <v>74</v>
      </c>
      <c r="I73" s="1" t="s">
        <v>760</v>
      </c>
      <c r="J73" s="1" t="s">
        <v>721</v>
      </c>
      <c r="K73" s="1" t="s">
        <v>74</v>
      </c>
      <c r="L73" s="1" t="s">
        <v>74</v>
      </c>
      <c r="M73" s="1" t="s">
        <v>74</v>
      </c>
      <c r="N73" s="1" t="s">
        <v>74</v>
      </c>
      <c r="O73" s="1" t="s">
        <v>74</v>
      </c>
      <c r="P73" s="1" t="s">
        <v>74</v>
      </c>
      <c r="Q73" s="1" t="s">
        <v>74</v>
      </c>
      <c r="R73" s="1" t="s">
        <v>74</v>
      </c>
      <c r="S73" s="1" t="s">
        <v>74</v>
      </c>
      <c r="T73" s="1" t="s">
        <v>74</v>
      </c>
      <c r="U73" s="1" t="s">
        <v>74</v>
      </c>
      <c r="V73" s="1" t="s">
        <v>761</v>
      </c>
      <c r="W73" s="1" t="s">
        <v>74</v>
      </c>
      <c r="X73" s="1" t="s">
        <v>74</v>
      </c>
      <c r="Y73" s="1" t="s">
        <v>74</v>
      </c>
      <c r="Z73" s="1" t="s">
        <v>74</v>
      </c>
      <c r="AA73" s="1" t="s">
        <v>74</v>
      </c>
      <c r="AB73" s="1" t="s">
        <v>74</v>
      </c>
      <c r="AC73" s="1" t="s">
        <v>74</v>
      </c>
      <c r="AD73" s="1" t="s">
        <v>74</v>
      </c>
      <c r="AE73" s="1" t="s">
        <v>74</v>
      </c>
      <c r="AF73" s="1" t="s">
        <v>74</v>
      </c>
      <c r="AG73" s="1" t="s">
        <v>74</v>
      </c>
      <c r="AH73" s="1" t="s">
        <v>74</v>
      </c>
      <c r="AI73" s="1" t="s">
        <v>74</v>
      </c>
      <c r="AJ73" s="1" t="s">
        <v>74</v>
      </c>
      <c r="AK73" s="1" t="s">
        <v>74</v>
      </c>
      <c r="AL73" s="1" t="s">
        <v>74</v>
      </c>
      <c r="AM73" s="1" t="s">
        <v>74</v>
      </c>
      <c r="AN73" s="1" t="s">
        <v>74</v>
      </c>
      <c r="AO73" s="1" t="s">
        <v>725</v>
      </c>
      <c r="AP73" s="1" t="s">
        <v>726</v>
      </c>
      <c r="AQ73" s="1" t="s">
        <v>74</v>
      </c>
      <c r="AR73" s="1" t="s">
        <v>74</v>
      </c>
      <c r="AS73" s="1" t="s">
        <v>74</v>
      </c>
      <c r="AT73" s="1" t="s">
        <v>370</v>
      </c>
      <c r="AU73" s="1">
        <v>2014.0</v>
      </c>
      <c r="AV73" s="1">
        <v>83.0</v>
      </c>
      <c r="AW73" s="1" t="s">
        <v>74</v>
      </c>
      <c r="AX73" s="1" t="s">
        <v>74</v>
      </c>
      <c r="AY73" s="1" t="s">
        <v>74</v>
      </c>
      <c r="AZ73" s="1" t="s">
        <v>74</v>
      </c>
      <c r="BA73" s="1" t="s">
        <v>74</v>
      </c>
      <c r="BB73" s="1">
        <v>241.0</v>
      </c>
      <c r="BC73" s="1">
        <v>248.0</v>
      </c>
      <c r="BD73" s="1" t="s">
        <v>74</v>
      </c>
      <c r="BE73" s="1" t="s">
        <v>762</v>
      </c>
      <c r="BF73" s="2" t="str">
        <f>HYPERLINK("http://dx.doi.org/10.1016/j.enconman.2014.03.077","http://dx.doi.org/10.1016/j.enconman.2014.03.077")</f>
        <v>http://dx.doi.org/10.1016/j.enconman.2014.03.077</v>
      </c>
      <c r="BG73" s="1" t="s">
        <v>74</v>
      </c>
      <c r="BH73" s="1" t="s">
        <v>74</v>
      </c>
      <c r="BI73" s="1" t="s">
        <v>74</v>
      </c>
      <c r="BJ73" s="1" t="s">
        <v>74</v>
      </c>
      <c r="BK73" s="1" t="s">
        <v>74</v>
      </c>
      <c r="BL73" s="1" t="s">
        <v>74</v>
      </c>
      <c r="BM73" s="1" t="s">
        <v>74</v>
      </c>
      <c r="BN73" s="1" t="s">
        <v>74</v>
      </c>
      <c r="BO73" s="1" t="s">
        <v>74</v>
      </c>
      <c r="BP73" s="1" t="s">
        <v>74</v>
      </c>
      <c r="BQ73" s="1" t="s">
        <v>74</v>
      </c>
      <c r="BR73" s="1" t="s">
        <v>74</v>
      </c>
      <c r="BS73" s="1" t="s">
        <v>763</v>
      </c>
      <c r="BT73" s="1" t="str">
        <f>HYPERLINK("https%3A%2F%2Fwww.webofscience.com%2Fwos%2Fwoscc%2Ffull-record%2FWOS:000336698600026","View Full Record in Web of Science")</f>
        <v>View Full Record in Web of Science</v>
      </c>
    </row>
    <row r="74" ht="12.75" customHeight="1">
      <c r="A74" s="1" t="s">
        <v>72</v>
      </c>
      <c r="B74" s="1" t="s">
        <v>764</v>
      </c>
      <c r="C74" s="1" t="s">
        <v>74</v>
      </c>
      <c r="D74" s="1" t="s">
        <v>74</v>
      </c>
      <c r="E74" s="1" t="s">
        <v>74</v>
      </c>
      <c r="F74" s="1" t="s">
        <v>765</v>
      </c>
      <c r="G74" s="1" t="s">
        <v>74</v>
      </c>
      <c r="H74" s="1" t="s">
        <v>74</v>
      </c>
      <c r="I74" s="1" t="s">
        <v>766</v>
      </c>
      <c r="J74" s="1" t="s">
        <v>767</v>
      </c>
      <c r="K74" s="1" t="s">
        <v>74</v>
      </c>
      <c r="L74" s="1" t="s">
        <v>74</v>
      </c>
      <c r="M74" s="1" t="s">
        <v>74</v>
      </c>
      <c r="N74" s="1" t="s">
        <v>74</v>
      </c>
      <c r="O74" s="1" t="s">
        <v>74</v>
      </c>
      <c r="P74" s="1" t="s">
        <v>74</v>
      </c>
      <c r="Q74" s="1" t="s">
        <v>74</v>
      </c>
      <c r="R74" s="1" t="s">
        <v>74</v>
      </c>
      <c r="S74" s="1" t="s">
        <v>74</v>
      </c>
      <c r="T74" s="1" t="s">
        <v>74</v>
      </c>
      <c r="U74" s="1" t="s">
        <v>74</v>
      </c>
      <c r="V74" s="1" t="s">
        <v>74</v>
      </c>
      <c r="W74" s="1" t="s">
        <v>74</v>
      </c>
      <c r="X74" s="1" t="s">
        <v>74</v>
      </c>
      <c r="Y74" s="1" t="s">
        <v>74</v>
      </c>
      <c r="Z74" s="1" t="s">
        <v>74</v>
      </c>
      <c r="AA74" s="1" t="s">
        <v>768</v>
      </c>
      <c r="AB74" s="1" t="s">
        <v>769</v>
      </c>
      <c r="AC74" s="1" t="s">
        <v>74</v>
      </c>
      <c r="AD74" s="1" t="s">
        <v>74</v>
      </c>
      <c r="AE74" s="1" t="s">
        <v>74</v>
      </c>
      <c r="AF74" s="1" t="s">
        <v>74</v>
      </c>
      <c r="AG74" s="1" t="s">
        <v>74</v>
      </c>
      <c r="AH74" s="1" t="s">
        <v>74</v>
      </c>
      <c r="AI74" s="1" t="s">
        <v>74</v>
      </c>
      <c r="AJ74" s="1" t="s">
        <v>74</v>
      </c>
      <c r="AK74" s="1" t="s">
        <v>74</v>
      </c>
      <c r="AL74" s="1" t="s">
        <v>74</v>
      </c>
      <c r="AM74" s="1" t="s">
        <v>74</v>
      </c>
      <c r="AN74" s="1" t="s">
        <v>74</v>
      </c>
      <c r="AO74" s="1" t="s">
        <v>770</v>
      </c>
      <c r="AP74" s="1" t="s">
        <v>771</v>
      </c>
      <c r="AQ74" s="1" t="s">
        <v>74</v>
      </c>
      <c r="AR74" s="1" t="s">
        <v>74</v>
      </c>
      <c r="AS74" s="1" t="s">
        <v>74</v>
      </c>
      <c r="AT74" s="1" t="s">
        <v>347</v>
      </c>
      <c r="AU74" s="1">
        <v>2014.0</v>
      </c>
      <c r="AV74" s="1">
        <v>28.0</v>
      </c>
      <c r="AW74" s="1">
        <v>1.0</v>
      </c>
      <c r="AX74" s="1" t="s">
        <v>74</v>
      </c>
      <c r="AY74" s="1" t="s">
        <v>162</v>
      </c>
      <c r="AZ74" s="1" t="s">
        <v>74</v>
      </c>
      <c r="BA74" s="1">
        <v>1184.4</v>
      </c>
      <c r="BB74" s="1" t="s">
        <v>74</v>
      </c>
      <c r="BC74" s="1" t="s">
        <v>74</v>
      </c>
      <c r="BD74" s="1" t="s">
        <v>74</v>
      </c>
      <c r="BE74" s="1" t="s">
        <v>74</v>
      </c>
      <c r="BF74" s="1" t="s">
        <v>74</v>
      </c>
      <c r="BG74" s="1" t="s">
        <v>74</v>
      </c>
      <c r="BH74" s="1" t="s">
        <v>74</v>
      </c>
      <c r="BI74" s="1" t="s">
        <v>74</v>
      </c>
      <c r="BJ74" s="1" t="s">
        <v>74</v>
      </c>
      <c r="BK74" s="1" t="s">
        <v>74</v>
      </c>
      <c r="BL74" s="1" t="s">
        <v>74</v>
      </c>
      <c r="BM74" s="1" t="s">
        <v>74</v>
      </c>
      <c r="BN74" s="1" t="s">
        <v>74</v>
      </c>
      <c r="BO74" s="1" t="s">
        <v>74</v>
      </c>
      <c r="BP74" s="1" t="s">
        <v>74</v>
      </c>
      <c r="BQ74" s="1" t="s">
        <v>74</v>
      </c>
      <c r="BR74" s="1" t="s">
        <v>74</v>
      </c>
      <c r="BS74" s="1" t="s">
        <v>772</v>
      </c>
      <c r="BT74" s="1" t="str">
        <f>HYPERLINK("https%3A%2F%2Fwww.webofscience.com%2Fwos%2Fwoscc%2Ffull-record%2FWOS:000346651002380","View Full Record in Web of Science")</f>
        <v>View Full Record in Web of Science</v>
      </c>
    </row>
    <row r="75" ht="12.75" customHeight="1">
      <c r="A75" s="1" t="s">
        <v>72</v>
      </c>
      <c r="B75" s="1" t="s">
        <v>773</v>
      </c>
      <c r="C75" s="1" t="s">
        <v>74</v>
      </c>
      <c r="D75" s="1" t="s">
        <v>74</v>
      </c>
      <c r="E75" s="1" t="s">
        <v>74</v>
      </c>
      <c r="F75" s="1" t="s">
        <v>774</v>
      </c>
      <c r="G75" s="1" t="s">
        <v>74</v>
      </c>
      <c r="H75" s="1" t="s">
        <v>74</v>
      </c>
      <c r="I75" s="1" t="s">
        <v>775</v>
      </c>
      <c r="J75" s="1" t="s">
        <v>776</v>
      </c>
      <c r="K75" s="1" t="s">
        <v>74</v>
      </c>
      <c r="L75" s="1" t="s">
        <v>74</v>
      </c>
      <c r="M75" s="1" t="s">
        <v>74</v>
      </c>
      <c r="N75" s="1" t="s">
        <v>74</v>
      </c>
      <c r="O75" s="1" t="s">
        <v>74</v>
      </c>
      <c r="P75" s="1" t="s">
        <v>74</v>
      </c>
      <c r="Q75" s="1" t="s">
        <v>74</v>
      </c>
      <c r="R75" s="1" t="s">
        <v>74</v>
      </c>
      <c r="S75" s="1" t="s">
        <v>74</v>
      </c>
      <c r="T75" s="1" t="s">
        <v>74</v>
      </c>
      <c r="U75" s="1" t="s">
        <v>74</v>
      </c>
      <c r="V75" s="1" t="s">
        <v>777</v>
      </c>
      <c r="W75" s="1" t="s">
        <v>74</v>
      </c>
      <c r="X75" s="1" t="s">
        <v>74</v>
      </c>
      <c r="Y75" s="1" t="s">
        <v>74</v>
      </c>
      <c r="Z75" s="1" t="s">
        <v>74</v>
      </c>
      <c r="AA75" s="1" t="s">
        <v>74</v>
      </c>
      <c r="AB75" s="1" t="s">
        <v>778</v>
      </c>
      <c r="AC75" s="1" t="s">
        <v>74</v>
      </c>
      <c r="AD75" s="1" t="s">
        <v>74</v>
      </c>
      <c r="AE75" s="1" t="s">
        <v>74</v>
      </c>
      <c r="AF75" s="1" t="s">
        <v>74</v>
      </c>
      <c r="AG75" s="1" t="s">
        <v>74</v>
      </c>
      <c r="AH75" s="1" t="s">
        <v>74</v>
      </c>
      <c r="AI75" s="1" t="s">
        <v>74</v>
      </c>
      <c r="AJ75" s="1" t="s">
        <v>74</v>
      </c>
      <c r="AK75" s="1" t="s">
        <v>74</v>
      </c>
      <c r="AL75" s="1" t="s">
        <v>74</v>
      </c>
      <c r="AM75" s="1" t="s">
        <v>74</v>
      </c>
      <c r="AN75" s="1" t="s">
        <v>74</v>
      </c>
      <c r="AO75" s="1" t="s">
        <v>779</v>
      </c>
      <c r="AP75" s="1" t="s">
        <v>74</v>
      </c>
      <c r="AQ75" s="1" t="s">
        <v>74</v>
      </c>
      <c r="AR75" s="1" t="s">
        <v>74</v>
      </c>
      <c r="AS75" s="1" t="s">
        <v>74</v>
      </c>
      <c r="AT75" s="1" t="s">
        <v>74</v>
      </c>
      <c r="AU75" s="1">
        <v>2014.0</v>
      </c>
      <c r="AV75" s="1">
        <v>42.0</v>
      </c>
      <c r="AW75" s="1">
        <v>1.0</v>
      </c>
      <c r="AX75" s="1" t="s">
        <v>74</v>
      </c>
      <c r="AY75" s="1" t="s">
        <v>74</v>
      </c>
      <c r="AZ75" s="1" t="s">
        <v>74</v>
      </c>
      <c r="BA75" s="1" t="s">
        <v>74</v>
      </c>
      <c r="BB75" s="1">
        <v>53.0</v>
      </c>
      <c r="BC75" s="1">
        <v>76.0</v>
      </c>
      <c r="BD75" s="1" t="s">
        <v>74</v>
      </c>
      <c r="BE75" s="1" t="s">
        <v>780</v>
      </c>
      <c r="BF75" s="2" t="str">
        <f>HYPERLINK("http://dx.doi.org/10.4067/S0718-22442014000100004","http://dx.doi.org/10.4067/S0718-22442014000100004")</f>
        <v>http://dx.doi.org/10.4067/S0718-22442014000100004</v>
      </c>
      <c r="BG75" s="1" t="s">
        <v>74</v>
      </c>
      <c r="BH75" s="1" t="s">
        <v>74</v>
      </c>
      <c r="BI75" s="1" t="s">
        <v>74</v>
      </c>
      <c r="BJ75" s="1" t="s">
        <v>74</v>
      </c>
      <c r="BK75" s="1" t="s">
        <v>74</v>
      </c>
      <c r="BL75" s="1" t="s">
        <v>74</v>
      </c>
      <c r="BM75" s="1" t="s">
        <v>74</v>
      </c>
      <c r="BN75" s="1" t="s">
        <v>74</v>
      </c>
      <c r="BO75" s="1" t="s">
        <v>74</v>
      </c>
      <c r="BP75" s="1" t="s">
        <v>74</v>
      </c>
      <c r="BQ75" s="1" t="s">
        <v>74</v>
      </c>
      <c r="BR75" s="1" t="s">
        <v>74</v>
      </c>
      <c r="BS75" s="1" t="s">
        <v>781</v>
      </c>
      <c r="BT75" s="1" t="str">
        <f>HYPERLINK("https%3A%2F%2Fwww.webofscience.com%2Fwos%2Fwoscc%2Ffull-record%2FWOS:000340694700004","View Full Record in Web of Science")</f>
        <v>View Full Record in Web of Science</v>
      </c>
    </row>
    <row r="76" ht="12.75" customHeight="1">
      <c r="A76" s="1" t="s">
        <v>72</v>
      </c>
      <c r="B76" s="1" t="s">
        <v>782</v>
      </c>
      <c r="C76" s="1" t="s">
        <v>74</v>
      </c>
      <c r="D76" s="1" t="s">
        <v>74</v>
      </c>
      <c r="E76" s="1" t="s">
        <v>74</v>
      </c>
      <c r="F76" s="1" t="s">
        <v>783</v>
      </c>
      <c r="G76" s="1" t="s">
        <v>74</v>
      </c>
      <c r="H76" s="1" t="s">
        <v>74</v>
      </c>
      <c r="I76" s="1" t="s">
        <v>784</v>
      </c>
      <c r="J76" s="1" t="s">
        <v>701</v>
      </c>
      <c r="K76" s="1" t="s">
        <v>74</v>
      </c>
      <c r="L76" s="1" t="s">
        <v>74</v>
      </c>
      <c r="M76" s="1" t="s">
        <v>74</v>
      </c>
      <c r="N76" s="1" t="s">
        <v>74</v>
      </c>
      <c r="O76" s="1" t="s">
        <v>785</v>
      </c>
      <c r="P76" s="1" t="s">
        <v>786</v>
      </c>
      <c r="Q76" s="1" t="s">
        <v>787</v>
      </c>
      <c r="R76" s="1" t="s">
        <v>788</v>
      </c>
      <c r="S76" s="1" t="s">
        <v>789</v>
      </c>
      <c r="T76" s="1" t="s">
        <v>74</v>
      </c>
      <c r="U76" s="1" t="s">
        <v>74</v>
      </c>
      <c r="V76" s="1" t="s">
        <v>790</v>
      </c>
      <c r="W76" s="1" t="s">
        <v>74</v>
      </c>
      <c r="X76" s="1" t="s">
        <v>74</v>
      </c>
      <c r="Y76" s="1" t="s">
        <v>74</v>
      </c>
      <c r="Z76" s="1" t="s">
        <v>74</v>
      </c>
      <c r="AA76" s="1" t="s">
        <v>74</v>
      </c>
      <c r="AB76" s="1" t="s">
        <v>791</v>
      </c>
      <c r="AC76" s="1" t="s">
        <v>74</v>
      </c>
      <c r="AD76" s="1" t="s">
        <v>74</v>
      </c>
      <c r="AE76" s="1" t="s">
        <v>74</v>
      </c>
      <c r="AF76" s="1" t="s">
        <v>74</v>
      </c>
      <c r="AG76" s="1" t="s">
        <v>74</v>
      </c>
      <c r="AH76" s="1" t="s">
        <v>74</v>
      </c>
      <c r="AI76" s="1" t="s">
        <v>74</v>
      </c>
      <c r="AJ76" s="1" t="s">
        <v>74</v>
      </c>
      <c r="AK76" s="1" t="s">
        <v>74</v>
      </c>
      <c r="AL76" s="1" t="s">
        <v>74</v>
      </c>
      <c r="AM76" s="1" t="s">
        <v>74</v>
      </c>
      <c r="AN76" s="1" t="s">
        <v>74</v>
      </c>
      <c r="AO76" s="1" t="s">
        <v>703</v>
      </c>
      <c r="AP76" s="1" t="s">
        <v>704</v>
      </c>
      <c r="AQ76" s="1" t="s">
        <v>74</v>
      </c>
      <c r="AR76" s="1" t="s">
        <v>74</v>
      </c>
      <c r="AS76" s="1" t="s">
        <v>74</v>
      </c>
      <c r="AT76" s="1" t="s">
        <v>74</v>
      </c>
      <c r="AU76" s="1">
        <v>2014.0</v>
      </c>
      <c r="AV76" s="1">
        <v>43.0</v>
      </c>
      <c r="AW76" s="1">
        <v>8.0</v>
      </c>
      <c r="AX76" s="1" t="s">
        <v>74</v>
      </c>
      <c r="AY76" s="1" t="s">
        <v>74</v>
      </c>
      <c r="AZ76" s="1" t="s">
        <v>564</v>
      </c>
      <c r="BA76" s="1" t="s">
        <v>74</v>
      </c>
      <c r="BB76" s="1">
        <v>1237.0</v>
      </c>
      <c r="BC76" s="1">
        <v>1247.0</v>
      </c>
      <c r="BD76" s="1" t="s">
        <v>74</v>
      </c>
      <c r="BE76" s="1" t="s">
        <v>792</v>
      </c>
      <c r="BF76" s="2" t="str">
        <f>HYPERLINK("http://dx.doi.org/10.1108/K-01-2014-0003","http://dx.doi.org/10.1108/K-01-2014-0003")</f>
        <v>http://dx.doi.org/10.1108/K-01-2014-0003</v>
      </c>
      <c r="BG76" s="1" t="s">
        <v>74</v>
      </c>
      <c r="BH76" s="1" t="s">
        <v>74</v>
      </c>
      <c r="BI76" s="1" t="s">
        <v>74</v>
      </c>
      <c r="BJ76" s="1" t="s">
        <v>74</v>
      </c>
      <c r="BK76" s="1" t="s">
        <v>74</v>
      </c>
      <c r="BL76" s="1" t="s">
        <v>74</v>
      </c>
      <c r="BM76" s="1" t="s">
        <v>74</v>
      </c>
      <c r="BN76" s="1" t="s">
        <v>74</v>
      </c>
      <c r="BO76" s="1" t="s">
        <v>74</v>
      </c>
      <c r="BP76" s="1" t="s">
        <v>74</v>
      </c>
      <c r="BQ76" s="1" t="s">
        <v>74</v>
      </c>
      <c r="BR76" s="1" t="s">
        <v>74</v>
      </c>
      <c r="BS76" s="1" t="s">
        <v>793</v>
      </c>
      <c r="BT76" s="1" t="str">
        <f>HYPERLINK("https%3A%2F%2Fwww.webofscience.com%2Fwos%2Fwoscc%2Ffull-record%2FWOS:000343399700010","View Full Record in Web of Science")</f>
        <v>View Full Record in Web of Science</v>
      </c>
    </row>
    <row r="77" ht="12.75" customHeight="1">
      <c r="A77" s="1" t="s">
        <v>72</v>
      </c>
      <c r="B77" s="1" t="s">
        <v>794</v>
      </c>
      <c r="C77" s="1" t="s">
        <v>74</v>
      </c>
      <c r="D77" s="1" t="s">
        <v>74</v>
      </c>
      <c r="E77" s="1" t="s">
        <v>74</v>
      </c>
      <c r="F77" s="1" t="s">
        <v>795</v>
      </c>
      <c r="G77" s="1" t="s">
        <v>74</v>
      </c>
      <c r="H77" s="1" t="s">
        <v>74</v>
      </c>
      <c r="I77" s="1" t="s">
        <v>796</v>
      </c>
      <c r="J77" s="1" t="s">
        <v>797</v>
      </c>
      <c r="K77" s="1" t="s">
        <v>74</v>
      </c>
      <c r="L77" s="1" t="s">
        <v>74</v>
      </c>
      <c r="M77" s="1" t="s">
        <v>74</v>
      </c>
      <c r="N77" s="1" t="s">
        <v>74</v>
      </c>
      <c r="O77" s="1" t="s">
        <v>74</v>
      </c>
      <c r="P77" s="1" t="s">
        <v>74</v>
      </c>
      <c r="Q77" s="1" t="s">
        <v>74</v>
      </c>
      <c r="R77" s="1" t="s">
        <v>74</v>
      </c>
      <c r="S77" s="1" t="s">
        <v>74</v>
      </c>
      <c r="T77" s="1" t="s">
        <v>74</v>
      </c>
      <c r="U77" s="1" t="s">
        <v>74</v>
      </c>
      <c r="V77" s="1" t="s">
        <v>798</v>
      </c>
      <c r="W77" s="1" t="s">
        <v>74</v>
      </c>
      <c r="X77" s="1" t="s">
        <v>74</v>
      </c>
      <c r="Y77" s="1" t="s">
        <v>74</v>
      </c>
      <c r="Z77" s="1" t="s">
        <v>74</v>
      </c>
      <c r="AA77" s="1" t="s">
        <v>74</v>
      </c>
      <c r="AB77" s="1" t="s">
        <v>74</v>
      </c>
      <c r="AC77" s="1" t="s">
        <v>74</v>
      </c>
      <c r="AD77" s="1" t="s">
        <v>74</v>
      </c>
      <c r="AE77" s="1" t="s">
        <v>74</v>
      </c>
      <c r="AF77" s="1" t="s">
        <v>74</v>
      </c>
      <c r="AG77" s="1" t="s">
        <v>74</v>
      </c>
      <c r="AH77" s="1" t="s">
        <v>74</v>
      </c>
      <c r="AI77" s="1" t="s">
        <v>74</v>
      </c>
      <c r="AJ77" s="1" t="s">
        <v>74</v>
      </c>
      <c r="AK77" s="1" t="s">
        <v>74</v>
      </c>
      <c r="AL77" s="1" t="s">
        <v>74</v>
      </c>
      <c r="AM77" s="1" t="s">
        <v>74</v>
      </c>
      <c r="AN77" s="1" t="s">
        <v>74</v>
      </c>
      <c r="AO77" s="1" t="s">
        <v>799</v>
      </c>
      <c r="AP77" s="1" t="s">
        <v>800</v>
      </c>
      <c r="AQ77" s="1" t="s">
        <v>74</v>
      </c>
      <c r="AR77" s="1" t="s">
        <v>74</v>
      </c>
      <c r="AS77" s="1" t="s">
        <v>74</v>
      </c>
      <c r="AT77" s="1" t="s">
        <v>358</v>
      </c>
      <c r="AU77" s="1">
        <v>2014.0</v>
      </c>
      <c r="AV77" s="1">
        <v>74.0</v>
      </c>
      <c r="AW77" s="1">
        <v>260.0</v>
      </c>
      <c r="AX77" s="1" t="s">
        <v>74</v>
      </c>
      <c r="AY77" s="1" t="s">
        <v>74</v>
      </c>
      <c r="AZ77" s="1" t="s">
        <v>74</v>
      </c>
      <c r="BA77" s="1" t="s">
        <v>74</v>
      </c>
      <c r="BB77" s="1">
        <v>129.0</v>
      </c>
      <c r="BC77" s="1">
        <v>159.0</v>
      </c>
      <c r="BD77" s="1" t="s">
        <v>74</v>
      </c>
      <c r="BE77" s="1" t="s">
        <v>801</v>
      </c>
      <c r="BF77" s="2" t="str">
        <f>HYPERLINK("http://dx.doi.org/10.3989/revindias.2014.005","http://dx.doi.org/10.3989/revindias.2014.005")</f>
        <v>http://dx.doi.org/10.3989/revindias.2014.005</v>
      </c>
      <c r="BG77" s="1" t="s">
        <v>74</v>
      </c>
      <c r="BH77" s="1" t="s">
        <v>74</v>
      </c>
      <c r="BI77" s="1" t="s">
        <v>74</v>
      </c>
      <c r="BJ77" s="1" t="s">
        <v>74</v>
      </c>
      <c r="BK77" s="1" t="s">
        <v>74</v>
      </c>
      <c r="BL77" s="1" t="s">
        <v>74</v>
      </c>
      <c r="BM77" s="1" t="s">
        <v>74</v>
      </c>
      <c r="BN77" s="1" t="s">
        <v>74</v>
      </c>
      <c r="BO77" s="1" t="s">
        <v>74</v>
      </c>
      <c r="BP77" s="1" t="s">
        <v>74</v>
      </c>
      <c r="BQ77" s="1" t="s">
        <v>74</v>
      </c>
      <c r="BR77" s="1" t="s">
        <v>74</v>
      </c>
      <c r="BS77" s="1" t="s">
        <v>802</v>
      </c>
      <c r="BT77" s="1" t="str">
        <f>HYPERLINK("https%3A%2F%2Fwww.webofscience.com%2Fwos%2Fwoscc%2Ffull-record%2FWOS:000339131000005","View Full Record in Web of Science")</f>
        <v>View Full Record in Web of Science</v>
      </c>
    </row>
    <row r="78" ht="12.75" customHeight="1">
      <c r="A78" s="1" t="s">
        <v>72</v>
      </c>
      <c r="B78" s="1" t="s">
        <v>803</v>
      </c>
      <c r="C78" s="1" t="s">
        <v>74</v>
      </c>
      <c r="D78" s="1" t="s">
        <v>74</v>
      </c>
      <c r="E78" s="1" t="s">
        <v>74</v>
      </c>
      <c r="F78" s="1" t="s">
        <v>804</v>
      </c>
      <c r="G78" s="1" t="s">
        <v>74</v>
      </c>
      <c r="H78" s="1" t="s">
        <v>74</v>
      </c>
      <c r="I78" s="1" t="s">
        <v>805</v>
      </c>
      <c r="J78" s="1" t="s">
        <v>806</v>
      </c>
      <c r="K78" s="1" t="s">
        <v>74</v>
      </c>
      <c r="L78" s="1" t="s">
        <v>74</v>
      </c>
      <c r="M78" s="1" t="s">
        <v>74</v>
      </c>
      <c r="N78" s="1" t="s">
        <v>74</v>
      </c>
      <c r="O78" s="1" t="s">
        <v>74</v>
      </c>
      <c r="P78" s="1" t="s">
        <v>74</v>
      </c>
      <c r="Q78" s="1" t="s">
        <v>74</v>
      </c>
      <c r="R78" s="1" t="s">
        <v>74</v>
      </c>
      <c r="S78" s="1" t="s">
        <v>74</v>
      </c>
      <c r="T78" s="1" t="s">
        <v>74</v>
      </c>
      <c r="U78" s="1" t="s">
        <v>74</v>
      </c>
      <c r="V78" s="1" t="s">
        <v>74</v>
      </c>
      <c r="W78" s="1" t="s">
        <v>74</v>
      </c>
      <c r="X78" s="1" t="s">
        <v>74</v>
      </c>
      <c r="Y78" s="1" t="s">
        <v>74</v>
      </c>
      <c r="Z78" s="1" t="s">
        <v>74</v>
      </c>
      <c r="AA78" s="1" t="s">
        <v>807</v>
      </c>
      <c r="AB78" s="1" t="s">
        <v>808</v>
      </c>
      <c r="AC78" s="1" t="s">
        <v>74</v>
      </c>
      <c r="AD78" s="1" t="s">
        <v>74</v>
      </c>
      <c r="AE78" s="1" t="s">
        <v>74</v>
      </c>
      <c r="AF78" s="1" t="s">
        <v>74</v>
      </c>
      <c r="AG78" s="1" t="s">
        <v>74</v>
      </c>
      <c r="AH78" s="1" t="s">
        <v>74</v>
      </c>
      <c r="AI78" s="1" t="s">
        <v>74</v>
      </c>
      <c r="AJ78" s="1" t="s">
        <v>74</v>
      </c>
      <c r="AK78" s="1" t="s">
        <v>74</v>
      </c>
      <c r="AL78" s="1" t="s">
        <v>74</v>
      </c>
      <c r="AM78" s="1" t="s">
        <v>74</v>
      </c>
      <c r="AN78" s="1" t="s">
        <v>74</v>
      </c>
      <c r="AO78" s="1" t="s">
        <v>809</v>
      </c>
      <c r="AP78" s="1" t="s">
        <v>74</v>
      </c>
      <c r="AQ78" s="1" t="s">
        <v>74</v>
      </c>
      <c r="AR78" s="1" t="s">
        <v>74</v>
      </c>
      <c r="AS78" s="1" t="s">
        <v>74</v>
      </c>
      <c r="AT78" s="1" t="s">
        <v>810</v>
      </c>
      <c r="AU78" s="1">
        <v>2012.0</v>
      </c>
      <c r="AV78" s="1">
        <v>70.0</v>
      </c>
      <c r="AW78" s="1">
        <v>3.0</v>
      </c>
      <c r="AX78" s="1" t="s">
        <v>74</v>
      </c>
      <c r="AY78" s="1" t="s">
        <v>74</v>
      </c>
      <c r="AZ78" s="1" t="s">
        <v>74</v>
      </c>
      <c r="BA78" s="1" t="s">
        <v>74</v>
      </c>
      <c r="BB78" s="1">
        <v>707.0</v>
      </c>
      <c r="BC78" s="1">
        <v>709.0</v>
      </c>
      <c r="BD78" s="1" t="s">
        <v>74</v>
      </c>
      <c r="BE78" s="1" t="s">
        <v>74</v>
      </c>
      <c r="BF78" s="1" t="s">
        <v>74</v>
      </c>
      <c r="BG78" s="1" t="s">
        <v>74</v>
      </c>
      <c r="BH78" s="1" t="s">
        <v>74</v>
      </c>
      <c r="BI78" s="1" t="s">
        <v>74</v>
      </c>
      <c r="BJ78" s="1" t="s">
        <v>74</v>
      </c>
      <c r="BK78" s="1" t="s">
        <v>74</v>
      </c>
      <c r="BL78" s="1" t="s">
        <v>74</v>
      </c>
      <c r="BM78" s="1" t="s">
        <v>74</v>
      </c>
      <c r="BN78" s="1" t="s">
        <v>74</v>
      </c>
      <c r="BO78" s="1" t="s">
        <v>74</v>
      </c>
      <c r="BP78" s="1" t="s">
        <v>74</v>
      </c>
      <c r="BQ78" s="1" t="s">
        <v>74</v>
      </c>
      <c r="BR78" s="1" t="s">
        <v>74</v>
      </c>
      <c r="BS78" s="1" t="s">
        <v>811</v>
      </c>
      <c r="BT78" s="1" t="str">
        <f>HYPERLINK("https%3A%2F%2Fwww.webofscience.com%2Fwos%2Fwoscc%2Ffull-record%2FWOS:000309200300012","View Full Record in Web of Science")</f>
        <v>View Full Record in Web of Science</v>
      </c>
    </row>
    <row r="79" ht="12.75" customHeight="1">
      <c r="A79" s="1" t="s">
        <v>72</v>
      </c>
      <c r="B79" s="1" t="s">
        <v>812</v>
      </c>
      <c r="C79" s="1" t="s">
        <v>74</v>
      </c>
      <c r="D79" s="1" t="s">
        <v>74</v>
      </c>
      <c r="E79" s="1" t="s">
        <v>74</v>
      </c>
      <c r="F79" s="1" t="s">
        <v>813</v>
      </c>
      <c r="G79" s="1" t="s">
        <v>74</v>
      </c>
      <c r="H79" s="1" t="s">
        <v>74</v>
      </c>
      <c r="I79" s="1" t="s">
        <v>814</v>
      </c>
      <c r="J79" s="1" t="s">
        <v>815</v>
      </c>
      <c r="K79" s="1" t="s">
        <v>74</v>
      </c>
      <c r="L79" s="1" t="s">
        <v>74</v>
      </c>
      <c r="M79" s="1" t="s">
        <v>74</v>
      </c>
      <c r="N79" s="1" t="s">
        <v>74</v>
      </c>
      <c r="O79" s="1" t="s">
        <v>74</v>
      </c>
      <c r="P79" s="1" t="s">
        <v>74</v>
      </c>
      <c r="Q79" s="1" t="s">
        <v>74</v>
      </c>
      <c r="R79" s="1" t="s">
        <v>74</v>
      </c>
      <c r="S79" s="1" t="s">
        <v>74</v>
      </c>
      <c r="T79" s="1" t="s">
        <v>74</v>
      </c>
      <c r="U79" s="1" t="s">
        <v>74</v>
      </c>
      <c r="V79" s="1" t="s">
        <v>816</v>
      </c>
      <c r="W79" s="1" t="s">
        <v>74</v>
      </c>
      <c r="X79" s="1" t="s">
        <v>74</v>
      </c>
      <c r="Y79" s="1" t="s">
        <v>74</v>
      </c>
      <c r="Z79" s="1" t="s">
        <v>74</v>
      </c>
      <c r="AA79" s="1" t="s">
        <v>296</v>
      </c>
      <c r="AB79" s="1" t="s">
        <v>486</v>
      </c>
      <c r="AC79" s="1" t="s">
        <v>74</v>
      </c>
      <c r="AD79" s="1" t="s">
        <v>74</v>
      </c>
      <c r="AE79" s="1" t="s">
        <v>74</v>
      </c>
      <c r="AF79" s="1" t="s">
        <v>74</v>
      </c>
      <c r="AG79" s="1" t="s">
        <v>74</v>
      </c>
      <c r="AH79" s="1" t="s">
        <v>74</v>
      </c>
      <c r="AI79" s="1" t="s">
        <v>74</v>
      </c>
      <c r="AJ79" s="1" t="s">
        <v>74</v>
      </c>
      <c r="AK79" s="1" t="s">
        <v>74</v>
      </c>
      <c r="AL79" s="1" t="s">
        <v>74</v>
      </c>
      <c r="AM79" s="1" t="s">
        <v>74</v>
      </c>
      <c r="AN79" s="1" t="s">
        <v>74</v>
      </c>
      <c r="AO79" s="1" t="s">
        <v>817</v>
      </c>
      <c r="AP79" s="1" t="s">
        <v>74</v>
      </c>
      <c r="AQ79" s="1" t="s">
        <v>74</v>
      </c>
      <c r="AR79" s="1" t="s">
        <v>74</v>
      </c>
      <c r="AS79" s="1" t="s">
        <v>74</v>
      </c>
      <c r="AT79" s="1" t="s">
        <v>818</v>
      </c>
      <c r="AU79" s="1">
        <v>2012.0</v>
      </c>
      <c r="AV79" s="1">
        <v>9.0</v>
      </c>
      <c r="AW79" s="1" t="s">
        <v>74</v>
      </c>
      <c r="AX79" s="1" t="s">
        <v>74</v>
      </c>
      <c r="AY79" s="1" t="s">
        <v>74</v>
      </c>
      <c r="AZ79" s="1" t="s">
        <v>74</v>
      </c>
      <c r="BA79" s="1" t="s">
        <v>74</v>
      </c>
      <c r="BB79" s="1" t="s">
        <v>74</v>
      </c>
      <c r="BC79" s="1" t="s">
        <v>74</v>
      </c>
      <c r="BD79" s="1">
        <v>58.0</v>
      </c>
      <c r="BE79" s="1" t="s">
        <v>819</v>
      </c>
      <c r="BF79" s="2" t="str">
        <f>HYPERLINK("http://dx.doi.org/10.5772/51701","http://dx.doi.org/10.5772/51701")</f>
        <v>http://dx.doi.org/10.5772/51701</v>
      </c>
      <c r="BG79" s="1" t="s">
        <v>74</v>
      </c>
      <c r="BH79" s="1" t="s">
        <v>74</v>
      </c>
      <c r="BI79" s="1" t="s">
        <v>74</v>
      </c>
      <c r="BJ79" s="1" t="s">
        <v>74</v>
      </c>
      <c r="BK79" s="1" t="s">
        <v>74</v>
      </c>
      <c r="BL79" s="1" t="s">
        <v>74</v>
      </c>
      <c r="BM79" s="1" t="s">
        <v>74</v>
      </c>
      <c r="BN79" s="1" t="s">
        <v>74</v>
      </c>
      <c r="BO79" s="1" t="s">
        <v>74</v>
      </c>
      <c r="BP79" s="1" t="s">
        <v>74</v>
      </c>
      <c r="BQ79" s="1" t="s">
        <v>74</v>
      </c>
      <c r="BR79" s="1" t="s">
        <v>74</v>
      </c>
      <c r="BS79" s="1" t="s">
        <v>820</v>
      </c>
      <c r="BT79" s="1" t="str">
        <f>HYPERLINK("https%3A%2F%2Fwww.webofscience.com%2Fwos%2Fwoscc%2Ffull-record%2FWOS:000309936100002","View Full Record in Web of Science")</f>
        <v>View Full Record in Web of Science</v>
      </c>
    </row>
    <row r="80" ht="12.75" customHeight="1">
      <c r="A80" s="1" t="s">
        <v>72</v>
      </c>
      <c r="B80" s="1" t="s">
        <v>821</v>
      </c>
      <c r="C80" s="1" t="s">
        <v>74</v>
      </c>
      <c r="D80" s="1" t="s">
        <v>74</v>
      </c>
      <c r="E80" s="1" t="s">
        <v>74</v>
      </c>
      <c r="F80" s="1" t="s">
        <v>822</v>
      </c>
      <c r="G80" s="1" t="s">
        <v>74</v>
      </c>
      <c r="H80" s="1" t="s">
        <v>74</v>
      </c>
      <c r="I80" s="1" t="s">
        <v>823</v>
      </c>
      <c r="J80" s="1" t="s">
        <v>824</v>
      </c>
      <c r="K80" s="1" t="s">
        <v>74</v>
      </c>
      <c r="L80" s="1" t="s">
        <v>74</v>
      </c>
      <c r="M80" s="1" t="s">
        <v>74</v>
      </c>
      <c r="N80" s="1" t="s">
        <v>74</v>
      </c>
      <c r="O80" s="1" t="s">
        <v>74</v>
      </c>
      <c r="P80" s="1" t="s">
        <v>74</v>
      </c>
      <c r="Q80" s="1" t="s">
        <v>74</v>
      </c>
      <c r="R80" s="1" t="s">
        <v>74</v>
      </c>
      <c r="S80" s="1" t="s">
        <v>74</v>
      </c>
      <c r="T80" s="1" t="s">
        <v>74</v>
      </c>
      <c r="U80" s="1" t="s">
        <v>74</v>
      </c>
      <c r="V80" s="1" t="s">
        <v>825</v>
      </c>
      <c r="W80" s="1" t="s">
        <v>74</v>
      </c>
      <c r="X80" s="1" t="s">
        <v>74</v>
      </c>
      <c r="Y80" s="1" t="s">
        <v>74</v>
      </c>
      <c r="Z80" s="1" t="s">
        <v>74</v>
      </c>
      <c r="AA80" s="1" t="s">
        <v>74</v>
      </c>
      <c r="AB80" s="1" t="s">
        <v>74</v>
      </c>
      <c r="AC80" s="1" t="s">
        <v>74</v>
      </c>
      <c r="AD80" s="1" t="s">
        <v>74</v>
      </c>
      <c r="AE80" s="1" t="s">
        <v>74</v>
      </c>
      <c r="AF80" s="1" t="s">
        <v>74</v>
      </c>
      <c r="AG80" s="1" t="s">
        <v>74</v>
      </c>
      <c r="AH80" s="1" t="s">
        <v>74</v>
      </c>
      <c r="AI80" s="1" t="s">
        <v>74</v>
      </c>
      <c r="AJ80" s="1" t="s">
        <v>74</v>
      </c>
      <c r="AK80" s="1" t="s">
        <v>74</v>
      </c>
      <c r="AL80" s="1" t="s">
        <v>74</v>
      </c>
      <c r="AM80" s="1" t="s">
        <v>74</v>
      </c>
      <c r="AN80" s="1" t="s">
        <v>74</v>
      </c>
      <c r="AO80" s="1" t="s">
        <v>826</v>
      </c>
      <c r="AP80" s="1" t="s">
        <v>74</v>
      </c>
      <c r="AQ80" s="1" t="s">
        <v>74</v>
      </c>
      <c r="AR80" s="1" t="s">
        <v>74</v>
      </c>
      <c r="AS80" s="1" t="s">
        <v>74</v>
      </c>
      <c r="AT80" s="1" t="s">
        <v>370</v>
      </c>
      <c r="AU80" s="1">
        <v>2012.0</v>
      </c>
      <c r="AV80" s="1">
        <v>56.0</v>
      </c>
      <c r="AW80" s="1" t="s">
        <v>74</v>
      </c>
      <c r="AX80" s="1" t="s">
        <v>74</v>
      </c>
      <c r="AY80" s="1" t="s">
        <v>74</v>
      </c>
      <c r="AZ80" s="1" t="s">
        <v>74</v>
      </c>
      <c r="BA80" s="1" t="s">
        <v>74</v>
      </c>
      <c r="BB80" s="1">
        <v>111.0</v>
      </c>
      <c r="BC80" s="1">
        <v>126.0</v>
      </c>
      <c r="BD80" s="1" t="s">
        <v>74</v>
      </c>
      <c r="BE80" s="1" t="s">
        <v>827</v>
      </c>
      <c r="BF80" s="2" t="str">
        <f>HYPERLINK("http://dx.doi.org/10.1016/j.ijengsci.2011.10.005","http://dx.doi.org/10.1016/j.ijengsci.2011.10.005")</f>
        <v>http://dx.doi.org/10.1016/j.ijengsci.2011.10.005</v>
      </c>
      <c r="BG80" s="1" t="s">
        <v>74</v>
      </c>
      <c r="BH80" s="1" t="s">
        <v>74</v>
      </c>
      <c r="BI80" s="1" t="s">
        <v>74</v>
      </c>
      <c r="BJ80" s="1" t="s">
        <v>74</v>
      </c>
      <c r="BK80" s="1" t="s">
        <v>74</v>
      </c>
      <c r="BL80" s="1" t="s">
        <v>74</v>
      </c>
      <c r="BM80" s="1" t="s">
        <v>74</v>
      </c>
      <c r="BN80" s="1" t="s">
        <v>74</v>
      </c>
      <c r="BO80" s="1" t="s">
        <v>74</v>
      </c>
      <c r="BP80" s="1" t="s">
        <v>74</v>
      </c>
      <c r="BQ80" s="1" t="s">
        <v>74</v>
      </c>
      <c r="BR80" s="1" t="s">
        <v>74</v>
      </c>
      <c r="BS80" s="1" t="s">
        <v>828</v>
      </c>
      <c r="BT80" s="1" t="str">
        <f>HYPERLINK("https%3A%2F%2Fwww.webofscience.com%2Fwos%2Fwoscc%2Ffull-record%2FWOS:000304848000009","View Full Record in Web of Science")</f>
        <v>View Full Record in Web of Science</v>
      </c>
    </row>
    <row r="81" ht="12.75" customHeight="1">
      <c r="A81" s="1" t="s">
        <v>72</v>
      </c>
      <c r="B81" s="1" t="s">
        <v>829</v>
      </c>
      <c r="C81" s="1" t="s">
        <v>74</v>
      </c>
      <c r="D81" s="1" t="s">
        <v>74</v>
      </c>
      <c r="E81" s="1" t="s">
        <v>74</v>
      </c>
      <c r="F81" s="1" t="s">
        <v>830</v>
      </c>
      <c r="G81" s="1" t="s">
        <v>74</v>
      </c>
      <c r="H81" s="1" t="s">
        <v>74</v>
      </c>
      <c r="I81" s="1" t="s">
        <v>831</v>
      </c>
      <c r="J81" s="1" t="s">
        <v>832</v>
      </c>
      <c r="K81" s="1" t="s">
        <v>74</v>
      </c>
      <c r="L81" s="1" t="s">
        <v>74</v>
      </c>
      <c r="M81" s="1" t="s">
        <v>74</v>
      </c>
      <c r="N81" s="1" t="s">
        <v>74</v>
      </c>
      <c r="O81" s="1" t="s">
        <v>74</v>
      </c>
      <c r="P81" s="1" t="s">
        <v>74</v>
      </c>
      <c r="Q81" s="1" t="s">
        <v>74</v>
      </c>
      <c r="R81" s="1" t="s">
        <v>74</v>
      </c>
      <c r="S81" s="1" t="s">
        <v>74</v>
      </c>
      <c r="T81" s="1" t="s">
        <v>74</v>
      </c>
      <c r="U81" s="1" t="s">
        <v>74</v>
      </c>
      <c r="V81" s="1" t="s">
        <v>833</v>
      </c>
      <c r="W81" s="1" t="s">
        <v>74</v>
      </c>
      <c r="X81" s="1" t="s">
        <v>74</v>
      </c>
      <c r="Y81" s="1" t="s">
        <v>74</v>
      </c>
      <c r="Z81" s="1" t="s">
        <v>74</v>
      </c>
      <c r="AA81" s="1" t="s">
        <v>834</v>
      </c>
      <c r="AB81" s="1" t="s">
        <v>74</v>
      </c>
      <c r="AC81" s="1" t="s">
        <v>74</v>
      </c>
      <c r="AD81" s="1" t="s">
        <v>74</v>
      </c>
      <c r="AE81" s="1" t="s">
        <v>74</v>
      </c>
      <c r="AF81" s="1" t="s">
        <v>74</v>
      </c>
      <c r="AG81" s="1" t="s">
        <v>74</v>
      </c>
      <c r="AH81" s="1" t="s">
        <v>74</v>
      </c>
      <c r="AI81" s="1" t="s">
        <v>74</v>
      </c>
      <c r="AJ81" s="1" t="s">
        <v>74</v>
      </c>
      <c r="AK81" s="1" t="s">
        <v>74</v>
      </c>
      <c r="AL81" s="1" t="s">
        <v>74</v>
      </c>
      <c r="AM81" s="1" t="s">
        <v>74</v>
      </c>
      <c r="AN81" s="1" t="s">
        <v>74</v>
      </c>
      <c r="AO81" s="1" t="s">
        <v>835</v>
      </c>
      <c r="AP81" s="1" t="s">
        <v>836</v>
      </c>
      <c r="AQ81" s="1" t="s">
        <v>74</v>
      </c>
      <c r="AR81" s="1" t="s">
        <v>74</v>
      </c>
      <c r="AS81" s="1" t="s">
        <v>74</v>
      </c>
      <c r="AT81" s="1" t="s">
        <v>180</v>
      </c>
      <c r="AU81" s="1">
        <v>2012.0</v>
      </c>
      <c r="AV81" s="1">
        <v>140.0</v>
      </c>
      <c r="AW81" s="1">
        <v>6.0</v>
      </c>
      <c r="AX81" s="1" t="s">
        <v>74</v>
      </c>
      <c r="AY81" s="1" t="s">
        <v>74</v>
      </c>
      <c r="AZ81" s="1" t="s">
        <v>74</v>
      </c>
      <c r="BA81" s="1" t="s">
        <v>74</v>
      </c>
      <c r="BB81" s="1">
        <v>767.0</v>
      </c>
      <c r="BC81" s="1">
        <v>770.0</v>
      </c>
      <c r="BD81" s="1" t="s">
        <v>74</v>
      </c>
      <c r="BE81" s="1" t="s">
        <v>837</v>
      </c>
      <c r="BF81" s="2" t="str">
        <f>HYPERLINK("http://dx.doi.org/10.4067/S0034-98872012000600011","http://dx.doi.org/10.4067/S0034-98872012000600011")</f>
        <v>http://dx.doi.org/10.4067/S0034-98872012000600011</v>
      </c>
      <c r="BG81" s="1" t="s">
        <v>74</v>
      </c>
      <c r="BH81" s="1" t="s">
        <v>74</v>
      </c>
      <c r="BI81" s="1" t="s">
        <v>74</v>
      </c>
      <c r="BJ81" s="1" t="s">
        <v>74</v>
      </c>
      <c r="BK81" s="1" t="s">
        <v>74</v>
      </c>
      <c r="BL81" s="1" t="s">
        <v>74</v>
      </c>
      <c r="BM81" s="1" t="s">
        <v>74</v>
      </c>
      <c r="BN81" s="1">
        <v>2.3282615E7</v>
      </c>
      <c r="BO81" s="1" t="s">
        <v>74</v>
      </c>
      <c r="BP81" s="1" t="s">
        <v>74</v>
      </c>
      <c r="BQ81" s="1" t="s">
        <v>74</v>
      </c>
      <c r="BR81" s="1" t="s">
        <v>74</v>
      </c>
      <c r="BS81" s="1" t="s">
        <v>838</v>
      </c>
      <c r="BT81" s="1" t="str">
        <f>HYPERLINK("https%3A%2F%2Fwww.webofscience.com%2Fwos%2Fwoscc%2Ffull-record%2FWOS:000306679400011","View Full Record in Web of Science")</f>
        <v>View Full Record in Web of Science</v>
      </c>
    </row>
    <row r="82" ht="12.75" customHeight="1">
      <c r="A82" s="1" t="s">
        <v>72</v>
      </c>
      <c r="B82" s="1" t="s">
        <v>839</v>
      </c>
      <c r="C82" s="1" t="s">
        <v>74</v>
      </c>
      <c r="D82" s="1" t="s">
        <v>74</v>
      </c>
      <c r="E82" s="1" t="s">
        <v>74</v>
      </c>
      <c r="F82" s="1" t="s">
        <v>840</v>
      </c>
      <c r="G82" s="1" t="s">
        <v>74</v>
      </c>
      <c r="H82" s="1" t="s">
        <v>74</v>
      </c>
      <c r="I82" s="1" t="s">
        <v>841</v>
      </c>
      <c r="J82" s="1" t="s">
        <v>842</v>
      </c>
      <c r="K82" s="1" t="s">
        <v>74</v>
      </c>
      <c r="L82" s="1" t="s">
        <v>74</v>
      </c>
      <c r="M82" s="1" t="s">
        <v>74</v>
      </c>
      <c r="N82" s="1" t="s">
        <v>74</v>
      </c>
      <c r="O82" s="1" t="s">
        <v>74</v>
      </c>
      <c r="P82" s="1" t="s">
        <v>74</v>
      </c>
      <c r="Q82" s="1" t="s">
        <v>74</v>
      </c>
      <c r="R82" s="1" t="s">
        <v>74</v>
      </c>
      <c r="S82" s="1" t="s">
        <v>74</v>
      </c>
      <c r="T82" s="1" t="s">
        <v>74</v>
      </c>
      <c r="U82" s="1" t="s">
        <v>74</v>
      </c>
      <c r="V82" s="1" t="s">
        <v>843</v>
      </c>
      <c r="W82" s="1" t="s">
        <v>74</v>
      </c>
      <c r="X82" s="1" t="s">
        <v>74</v>
      </c>
      <c r="Y82" s="1" t="s">
        <v>74</v>
      </c>
      <c r="Z82" s="1" t="s">
        <v>74</v>
      </c>
      <c r="AA82" s="1" t="s">
        <v>844</v>
      </c>
      <c r="AB82" s="1" t="s">
        <v>845</v>
      </c>
      <c r="AC82" s="1" t="s">
        <v>74</v>
      </c>
      <c r="AD82" s="1" t="s">
        <v>74</v>
      </c>
      <c r="AE82" s="1" t="s">
        <v>74</v>
      </c>
      <c r="AF82" s="1" t="s">
        <v>74</v>
      </c>
      <c r="AG82" s="1" t="s">
        <v>74</v>
      </c>
      <c r="AH82" s="1" t="s">
        <v>74</v>
      </c>
      <c r="AI82" s="1" t="s">
        <v>74</v>
      </c>
      <c r="AJ82" s="1" t="s">
        <v>74</v>
      </c>
      <c r="AK82" s="1" t="s">
        <v>74</v>
      </c>
      <c r="AL82" s="1" t="s">
        <v>74</v>
      </c>
      <c r="AM82" s="1" t="s">
        <v>74</v>
      </c>
      <c r="AN82" s="1" t="s">
        <v>74</v>
      </c>
      <c r="AO82" s="1" t="s">
        <v>846</v>
      </c>
      <c r="AP82" s="1" t="s">
        <v>74</v>
      </c>
      <c r="AQ82" s="1" t="s">
        <v>74</v>
      </c>
      <c r="AR82" s="1" t="s">
        <v>74</v>
      </c>
      <c r="AS82" s="1" t="s">
        <v>74</v>
      </c>
      <c r="AT82" s="1" t="s">
        <v>88</v>
      </c>
      <c r="AU82" s="1">
        <v>2011.0</v>
      </c>
      <c r="AV82" s="1">
        <v>31.0</v>
      </c>
      <c r="AW82" s="1">
        <v>6.0</v>
      </c>
      <c r="AX82" s="1" t="s">
        <v>74</v>
      </c>
      <c r="AY82" s="1" t="s">
        <v>74</v>
      </c>
      <c r="AZ82" s="1" t="s">
        <v>74</v>
      </c>
      <c r="BA82" s="1" t="s">
        <v>74</v>
      </c>
      <c r="BB82" s="1">
        <v>815.0</v>
      </c>
      <c r="BC82" s="1">
        <v>822.0</v>
      </c>
      <c r="BD82" s="1" t="s">
        <v>74</v>
      </c>
      <c r="BE82" s="1" t="s">
        <v>847</v>
      </c>
      <c r="BF82" s="2" t="str">
        <f>HYPERLINK("http://dx.doi.org/10.1016/j.fsi.2011.07.022","http://dx.doi.org/10.1016/j.fsi.2011.07.022")</f>
        <v>http://dx.doi.org/10.1016/j.fsi.2011.07.022</v>
      </c>
      <c r="BG82" s="1" t="s">
        <v>74</v>
      </c>
      <c r="BH82" s="1" t="s">
        <v>74</v>
      </c>
      <c r="BI82" s="1" t="s">
        <v>74</v>
      </c>
      <c r="BJ82" s="1" t="s">
        <v>74</v>
      </c>
      <c r="BK82" s="1" t="s">
        <v>74</v>
      </c>
      <c r="BL82" s="1" t="s">
        <v>74</v>
      </c>
      <c r="BM82" s="1" t="s">
        <v>74</v>
      </c>
      <c r="BN82" s="1">
        <v>2.1821134E7</v>
      </c>
      <c r="BO82" s="1" t="s">
        <v>74</v>
      </c>
      <c r="BP82" s="1" t="s">
        <v>74</v>
      </c>
      <c r="BQ82" s="1" t="s">
        <v>74</v>
      </c>
      <c r="BR82" s="1" t="s">
        <v>74</v>
      </c>
      <c r="BS82" s="1" t="s">
        <v>848</v>
      </c>
      <c r="BT82" s="1" t="str">
        <f>HYPERLINK("https%3A%2F%2Fwww.webofscience.com%2Fwos%2Fwoscc%2Ffull-record%2FWOS:000298569700012","View Full Record in Web of Science")</f>
        <v>View Full Record in Web of Science</v>
      </c>
    </row>
    <row r="83" ht="12.75" customHeight="1">
      <c r="A83" s="1" t="s">
        <v>72</v>
      </c>
      <c r="B83" s="1" t="s">
        <v>849</v>
      </c>
      <c r="C83" s="1" t="s">
        <v>74</v>
      </c>
      <c r="D83" s="1" t="s">
        <v>74</v>
      </c>
      <c r="E83" s="1" t="s">
        <v>74</v>
      </c>
      <c r="F83" s="1" t="s">
        <v>850</v>
      </c>
      <c r="G83" s="1" t="s">
        <v>74</v>
      </c>
      <c r="H83" s="1" t="s">
        <v>74</v>
      </c>
      <c r="I83" s="1" t="s">
        <v>851</v>
      </c>
      <c r="J83" s="1" t="s">
        <v>852</v>
      </c>
      <c r="K83" s="1" t="s">
        <v>74</v>
      </c>
      <c r="L83" s="1" t="s">
        <v>74</v>
      </c>
      <c r="M83" s="1" t="s">
        <v>74</v>
      </c>
      <c r="N83" s="1" t="s">
        <v>74</v>
      </c>
      <c r="O83" s="1" t="s">
        <v>74</v>
      </c>
      <c r="P83" s="1" t="s">
        <v>74</v>
      </c>
      <c r="Q83" s="1" t="s">
        <v>74</v>
      </c>
      <c r="R83" s="1" t="s">
        <v>74</v>
      </c>
      <c r="S83" s="1" t="s">
        <v>74</v>
      </c>
      <c r="T83" s="1" t="s">
        <v>74</v>
      </c>
      <c r="U83" s="1" t="s">
        <v>74</v>
      </c>
      <c r="V83" s="1" t="s">
        <v>853</v>
      </c>
      <c r="W83" s="1" t="s">
        <v>74</v>
      </c>
      <c r="X83" s="1" t="s">
        <v>74</v>
      </c>
      <c r="Y83" s="1" t="s">
        <v>74</v>
      </c>
      <c r="Z83" s="1" t="s">
        <v>74</v>
      </c>
      <c r="AA83" s="1" t="s">
        <v>854</v>
      </c>
      <c r="AB83" s="1" t="s">
        <v>855</v>
      </c>
      <c r="AC83" s="1" t="s">
        <v>74</v>
      </c>
      <c r="AD83" s="1" t="s">
        <v>74</v>
      </c>
      <c r="AE83" s="1" t="s">
        <v>74</v>
      </c>
      <c r="AF83" s="1" t="s">
        <v>74</v>
      </c>
      <c r="AG83" s="1" t="s">
        <v>74</v>
      </c>
      <c r="AH83" s="1" t="s">
        <v>74</v>
      </c>
      <c r="AI83" s="1" t="s">
        <v>74</v>
      </c>
      <c r="AJ83" s="1" t="s">
        <v>74</v>
      </c>
      <c r="AK83" s="1" t="s">
        <v>74</v>
      </c>
      <c r="AL83" s="1" t="s">
        <v>74</v>
      </c>
      <c r="AM83" s="1" t="s">
        <v>74</v>
      </c>
      <c r="AN83" s="1" t="s">
        <v>74</v>
      </c>
      <c r="AO83" s="1" t="s">
        <v>856</v>
      </c>
      <c r="AP83" s="1" t="s">
        <v>857</v>
      </c>
      <c r="AQ83" s="1" t="s">
        <v>74</v>
      </c>
      <c r="AR83" s="1" t="s">
        <v>74</v>
      </c>
      <c r="AS83" s="1" t="s">
        <v>74</v>
      </c>
      <c r="AT83" s="1" t="s">
        <v>148</v>
      </c>
      <c r="AU83" s="1">
        <v>2011.0</v>
      </c>
      <c r="AV83" s="1">
        <v>44.0</v>
      </c>
      <c r="AW83" s="1">
        <v>2.0</v>
      </c>
      <c r="AX83" s="1" t="s">
        <v>74</v>
      </c>
      <c r="AY83" s="1" t="s">
        <v>74</v>
      </c>
      <c r="AZ83" s="1" t="s">
        <v>74</v>
      </c>
      <c r="BA83" s="1" t="s">
        <v>74</v>
      </c>
      <c r="BB83" s="1">
        <v>566.0</v>
      </c>
      <c r="BC83" s="1">
        <v>574.0</v>
      </c>
      <c r="BD83" s="1" t="s">
        <v>74</v>
      </c>
      <c r="BE83" s="1" t="s">
        <v>858</v>
      </c>
      <c r="BF83" s="2" t="str">
        <f>HYPERLINK("http://dx.doi.org/10.1016/j.foodres.2010.12.009","http://dx.doi.org/10.1016/j.foodres.2010.12.009")</f>
        <v>http://dx.doi.org/10.1016/j.foodres.2010.12.009</v>
      </c>
      <c r="BG83" s="1" t="s">
        <v>74</v>
      </c>
      <c r="BH83" s="1" t="s">
        <v>74</v>
      </c>
      <c r="BI83" s="1" t="s">
        <v>74</v>
      </c>
      <c r="BJ83" s="1" t="s">
        <v>74</v>
      </c>
      <c r="BK83" s="1" t="s">
        <v>74</v>
      </c>
      <c r="BL83" s="1" t="s">
        <v>74</v>
      </c>
      <c r="BM83" s="1" t="s">
        <v>74</v>
      </c>
      <c r="BN83" s="1" t="s">
        <v>74</v>
      </c>
      <c r="BO83" s="1" t="s">
        <v>74</v>
      </c>
      <c r="BP83" s="1" t="s">
        <v>74</v>
      </c>
      <c r="BQ83" s="1" t="s">
        <v>74</v>
      </c>
      <c r="BR83" s="1" t="s">
        <v>74</v>
      </c>
      <c r="BS83" s="1" t="s">
        <v>859</v>
      </c>
      <c r="BT83" s="1" t="str">
        <f>HYPERLINK("https%3A%2F%2Fwww.webofscience.com%2Fwos%2Fwoscc%2Ffull-record%2FWOS:000289184400009","View Full Record in Web of Science")</f>
        <v>View Full Record in Web of Science</v>
      </c>
    </row>
    <row r="84" ht="12.75" customHeight="1">
      <c r="A84" s="1" t="s">
        <v>91</v>
      </c>
      <c r="B84" s="1" t="s">
        <v>860</v>
      </c>
      <c r="C84" s="1" t="s">
        <v>74</v>
      </c>
      <c r="D84" s="1" t="s">
        <v>861</v>
      </c>
      <c r="E84" s="1" t="s">
        <v>74</v>
      </c>
      <c r="F84" s="1" t="s">
        <v>862</v>
      </c>
      <c r="G84" s="1" t="s">
        <v>74</v>
      </c>
      <c r="H84" s="1" t="s">
        <v>74</v>
      </c>
      <c r="I84" s="1" t="s">
        <v>863</v>
      </c>
      <c r="J84" s="1" t="s">
        <v>864</v>
      </c>
      <c r="K84" s="1" t="s">
        <v>865</v>
      </c>
      <c r="L84" s="1" t="s">
        <v>74</v>
      </c>
      <c r="M84" s="1" t="s">
        <v>74</v>
      </c>
      <c r="N84" s="1" t="s">
        <v>74</v>
      </c>
      <c r="O84" s="1" t="s">
        <v>866</v>
      </c>
      <c r="P84" s="1" t="s">
        <v>867</v>
      </c>
      <c r="Q84" s="1" t="s">
        <v>868</v>
      </c>
      <c r="R84" s="1" t="s">
        <v>74</v>
      </c>
      <c r="S84" s="1" t="s">
        <v>74</v>
      </c>
      <c r="T84" s="1" t="s">
        <v>74</v>
      </c>
      <c r="U84" s="1" t="s">
        <v>74</v>
      </c>
      <c r="V84" s="1" t="s">
        <v>869</v>
      </c>
      <c r="W84" s="1" t="s">
        <v>74</v>
      </c>
      <c r="X84" s="1" t="s">
        <v>74</v>
      </c>
      <c r="Y84" s="1" t="s">
        <v>74</v>
      </c>
      <c r="Z84" s="1" t="s">
        <v>74</v>
      </c>
      <c r="AA84" s="1" t="s">
        <v>870</v>
      </c>
      <c r="AB84" s="1" t="s">
        <v>871</v>
      </c>
      <c r="AC84" s="1" t="s">
        <v>74</v>
      </c>
      <c r="AD84" s="1" t="s">
        <v>74</v>
      </c>
      <c r="AE84" s="1" t="s">
        <v>74</v>
      </c>
      <c r="AF84" s="1" t="s">
        <v>74</v>
      </c>
      <c r="AG84" s="1" t="s">
        <v>74</v>
      </c>
      <c r="AH84" s="1" t="s">
        <v>74</v>
      </c>
      <c r="AI84" s="1" t="s">
        <v>74</v>
      </c>
      <c r="AJ84" s="1" t="s">
        <v>74</v>
      </c>
      <c r="AK84" s="1" t="s">
        <v>74</v>
      </c>
      <c r="AL84" s="1" t="s">
        <v>74</v>
      </c>
      <c r="AM84" s="1" t="s">
        <v>74</v>
      </c>
      <c r="AN84" s="1" t="s">
        <v>74</v>
      </c>
      <c r="AO84" s="1" t="s">
        <v>872</v>
      </c>
      <c r="AP84" s="1" t="s">
        <v>74</v>
      </c>
      <c r="AQ84" s="1" t="s">
        <v>74</v>
      </c>
      <c r="AR84" s="1" t="s">
        <v>74</v>
      </c>
      <c r="AS84" s="1" t="s">
        <v>74</v>
      </c>
      <c r="AT84" s="1" t="s">
        <v>74</v>
      </c>
      <c r="AU84" s="1">
        <v>2011.0</v>
      </c>
      <c r="AV84" s="1">
        <v>1.0</v>
      </c>
      <c r="AW84" s="1" t="s">
        <v>74</v>
      </c>
      <c r="AX84" s="1" t="s">
        <v>74</v>
      </c>
      <c r="AY84" s="1" t="s">
        <v>74</v>
      </c>
      <c r="AZ84" s="1" t="s">
        <v>74</v>
      </c>
      <c r="BA84" s="1" t="s">
        <v>74</v>
      </c>
      <c r="BB84" s="1">
        <v>267.0</v>
      </c>
      <c r="BC84" s="1">
        <v>274.0</v>
      </c>
      <c r="BD84" s="1" t="s">
        <v>74</v>
      </c>
      <c r="BE84" s="1" t="s">
        <v>873</v>
      </c>
      <c r="BF84" s="2" t="str">
        <f>HYPERLINK("http://dx.doi.org/10.1016/j.profoo.2011.09.042","http://dx.doi.org/10.1016/j.profoo.2011.09.042")</f>
        <v>http://dx.doi.org/10.1016/j.profoo.2011.09.042</v>
      </c>
      <c r="BG84" s="1" t="s">
        <v>74</v>
      </c>
      <c r="BH84" s="1" t="s">
        <v>74</v>
      </c>
      <c r="BI84" s="1" t="s">
        <v>74</v>
      </c>
      <c r="BJ84" s="1" t="s">
        <v>74</v>
      </c>
      <c r="BK84" s="1" t="s">
        <v>74</v>
      </c>
      <c r="BL84" s="1" t="s">
        <v>74</v>
      </c>
      <c r="BM84" s="1" t="s">
        <v>74</v>
      </c>
      <c r="BN84" s="1" t="s">
        <v>74</v>
      </c>
      <c r="BO84" s="1" t="s">
        <v>74</v>
      </c>
      <c r="BP84" s="1" t="s">
        <v>74</v>
      </c>
      <c r="BQ84" s="1" t="s">
        <v>74</v>
      </c>
      <c r="BR84" s="1" t="s">
        <v>74</v>
      </c>
      <c r="BS84" s="1" t="s">
        <v>874</v>
      </c>
      <c r="BT84" s="1" t="str">
        <f>HYPERLINK("https%3A%2F%2Fwww.webofscience.com%2Fwos%2Fwoscc%2Ffull-record%2FWOS:000314355500042","View Full Record in Web of Science")</f>
        <v>View Full Record in Web of Science</v>
      </c>
    </row>
    <row r="85" ht="12.75" customHeight="1">
      <c r="A85" s="1" t="s">
        <v>72</v>
      </c>
      <c r="B85" s="1" t="s">
        <v>663</v>
      </c>
      <c r="C85" s="1" t="s">
        <v>74</v>
      </c>
      <c r="D85" s="1" t="s">
        <v>74</v>
      </c>
      <c r="E85" s="1" t="s">
        <v>74</v>
      </c>
      <c r="F85" s="1" t="s">
        <v>664</v>
      </c>
      <c r="G85" s="1" t="s">
        <v>74</v>
      </c>
      <c r="H85" s="1" t="s">
        <v>74</v>
      </c>
      <c r="I85" s="1" t="s">
        <v>875</v>
      </c>
      <c r="J85" s="1" t="s">
        <v>876</v>
      </c>
      <c r="K85" s="1" t="s">
        <v>74</v>
      </c>
      <c r="L85" s="1" t="s">
        <v>74</v>
      </c>
      <c r="M85" s="1" t="s">
        <v>74</v>
      </c>
      <c r="N85" s="1" t="s">
        <v>74</v>
      </c>
      <c r="O85" s="1" t="s">
        <v>74</v>
      </c>
      <c r="P85" s="1" t="s">
        <v>74</v>
      </c>
      <c r="Q85" s="1" t="s">
        <v>74</v>
      </c>
      <c r="R85" s="1" t="s">
        <v>74</v>
      </c>
      <c r="S85" s="1" t="s">
        <v>74</v>
      </c>
      <c r="T85" s="1" t="s">
        <v>74</v>
      </c>
      <c r="U85" s="1" t="s">
        <v>74</v>
      </c>
      <c r="V85" s="1" t="s">
        <v>877</v>
      </c>
      <c r="W85" s="1" t="s">
        <v>74</v>
      </c>
      <c r="X85" s="1" t="s">
        <v>74</v>
      </c>
      <c r="Y85" s="1" t="s">
        <v>74</v>
      </c>
      <c r="Z85" s="1" t="s">
        <v>74</v>
      </c>
      <c r="AA85" s="1" t="s">
        <v>74</v>
      </c>
      <c r="AB85" s="1" t="s">
        <v>878</v>
      </c>
      <c r="AC85" s="1" t="s">
        <v>74</v>
      </c>
      <c r="AD85" s="1" t="s">
        <v>74</v>
      </c>
      <c r="AE85" s="1" t="s">
        <v>74</v>
      </c>
      <c r="AF85" s="1" t="s">
        <v>74</v>
      </c>
      <c r="AG85" s="1" t="s">
        <v>74</v>
      </c>
      <c r="AH85" s="1" t="s">
        <v>74</v>
      </c>
      <c r="AI85" s="1" t="s">
        <v>74</v>
      </c>
      <c r="AJ85" s="1" t="s">
        <v>74</v>
      </c>
      <c r="AK85" s="1" t="s">
        <v>74</v>
      </c>
      <c r="AL85" s="1" t="s">
        <v>74</v>
      </c>
      <c r="AM85" s="1" t="s">
        <v>74</v>
      </c>
      <c r="AN85" s="1" t="s">
        <v>74</v>
      </c>
      <c r="AO85" s="1" t="s">
        <v>879</v>
      </c>
      <c r="AP85" s="1" t="s">
        <v>74</v>
      </c>
      <c r="AQ85" s="1" t="s">
        <v>74</v>
      </c>
      <c r="AR85" s="1" t="s">
        <v>74</v>
      </c>
      <c r="AS85" s="1" t="s">
        <v>74</v>
      </c>
      <c r="AT85" s="1" t="s">
        <v>358</v>
      </c>
      <c r="AU85" s="1">
        <v>2010.0</v>
      </c>
      <c r="AV85" s="1">
        <v>11.0</v>
      </c>
      <c r="AW85" s="1">
        <v>1.0</v>
      </c>
      <c r="AX85" s="1" t="s">
        <v>74</v>
      </c>
      <c r="AY85" s="1" t="s">
        <v>74</v>
      </c>
      <c r="AZ85" s="1" t="s">
        <v>74</v>
      </c>
      <c r="BA85" s="1" t="s">
        <v>74</v>
      </c>
      <c r="BB85" s="1">
        <v>17.0</v>
      </c>
      <c r="BC85" s="1">
        <v>32.0</v>
      </c>
      <c r="BD85" s="1" t="s">
        <v>74</v>
      </c>
      <c r="BE85" s="1" t="s">
        <v>880</v>
      </c>
      <c r="BF85" s="2" t="str">
        <f>HYPERLINK("http://dx.doi.org/10.4013/fsu.2010.111.02","http://dx.doi.org/10.4013/fsu.2010.111.02")</f>
        <v>http://dx.doi.org/10.4013/fsu.2010.111.02</v>
      </c>
      <c r="BG85" s="1" t="s">
        <v>74</v>
      </c>
      <c r="BH85" s="1" t="s">
        <v>74</v>
      </c>
      <c r="BI85" s="1" t="s">
        <v>74</v>
      </c>
      <c r="BJ85" s="1" t="s">
        <v>74</v>
      </c>
      <c r="BK85" s="1" t="s">
        <v>74</v>
      </c>
      <c r="BL85" s="1" t="s">
        <v>74</v>
      </c>
      <c r="BM85" s="1" t="s">
        <v>74</v>
      </c>
      <c r="BN85" s="1" t="s">
        <v>74</v>
      </c>
      <c r="BO85" s="1" t="s">
        <v>74</v>
      </c>
      <c r="BP85" s="1" t="s">
        <v>74</v>
      </c>
      <c r="BQ85" s="1" t="s">
        <v>74</v>
      </c>
      <c r="BR85" s="1" t="s">
        <v>74</v>
      </c>
      <c r="BS85" s="1" t="s">
        <v>881</v>
      </c>
      <c r="BT85" s="1" t="str">
        <f>HYPERLINK("https%3A%2F%2Fwww.webofscience.com%2Fwos%2Fwoscc%2Ffull-record%2FWOS:000280820500002","View Full Record in Web of Science")</f>
        <v>View Full Record in Web of Science</v>
      </c>
    </row>
    <row r="86" ht="12.75" customHeight="1">
      <c r="A86" s="1" t="s">
        <v>91</v>
      </c>
      <c r="B86" s="1" t="s">
        <v>882</v>
      </c>
      <c r="C86" s="1" t="s">
        <v>74</v>
      </c>
      <c r="D86" s="1" t="s">
        <v>883</v>
      </c>
      <c r="E86" s="1" t="s">
        <v>74</v>
      </c>
      <c r="F86" s="1" t="s">
        <v>884</v>
      </c>
      <c r="G86" s="1" t="s">
        <v>74</v>
      </c>
      <c r="H86" s="1" t="s">
        <v>74</v>
      </c>
      <c r="I86" s="1" t="s">
        <v>885</v>
      </c>
      <c r="J86" s="1" t="s">
        <v>886</v>
      </c>
      <c r="K86" s="1" t="s">
        <v>887</v>
      </c>
      <c r="L86" s="1" t="s">
        <v>74</v>
      </c>
      <c r="M86" s="1" t="s">
        <v>74</v>
      </c>
      <c r="N86" s="1" t="s">
        <v>74</v>
      </c>
      <c r="O86" s="1" t="s">
        <v>888</v>
      </c>
      <c r="P86" s="1" t="s">
        <v>889</v>
      </c>
      <c r="Q86" s="1" t="s">
        <v>890</v>
      </c>
      <c r="R86" s="1" t="s">
        <v>891</v>
      </c>
      <c r="S86" s="1" t="s">
        <v>74</v>
      </c>
      <c r="T86" s="1" t="s">
        <v>74</v>
      </c>
      <c r="U86" s="1" t="s">
        <v>74</v>
      </c>
      <c r="V86" s="1" t="s">
        <v>892</v>
      </c>
      <c r="W86" s="1" t="s">
        <v>74</v>
      </c>
      <c r="X86" s="1" t="s">
        <v>74</v>
      </c>
      <c r="Y86" s="1" t="s">
        <v>74</v>
      </c>
      <c r="Z86" s="1" t="s">
        <v>74</v>
      </c>
      <c r="AA86" s="1" t="s">
        <v>768</v>
      </c>
      <c r="AB86" s="1" t="s">
        <v>769</v>
      </c>
      <c r="AC86" s="1" t="s">
        <v>74</v>
      </c>
      <c r="AD86" s="1" t="s">
        <v>74</v>
      </c>
      <c r="AE86" s="1" t="s">
        <v>74</v>
      </c>
      <c r="AF86" s="1" t="s">
        <v>74</v>
      </c>
      <c r="AG86" s="1" t="s">
        <v>74</v>
      </c>
      <c r="AH86" s="1" t="s">
        <v>74</v>
      </c>
      <c r="AI86" s="1" t="s">
        <v>74</v>
      </c>
      <c r="AJ86" s="1" t="s">
        <v>74</v>
      </c>
      <c r="AK86" s="1" t="s">
        <v>74</v>
      </c>
      <c r="AL86" s="1" t="s">
        <v>74</v>
      </c>
      <c r="AM86" s="1" t="s">
        <v>74</v>
      </c>
      <c r="AN86" s="1" t="s">
        <v>74</v>
      </c>
      <c r="AO86" s="1" t="s">
        <v>893</v>
      </c>
      <c r="AP86" s="1" t="s">
        <v>894</v>
      </c>
      <c r="AQ86" s="1" t="s">
        <v>895</v>
      </c>
      <c r="AR86" s="1" t="s">
        <v>74</v>
      </c>
      <c r="AS86" s="1" t="s">
        <v>74</v>
      </c>
      <c r="AT86" s="1" t="s">
        <v>74</v>
      </c>
      <c r="AU86" s="1">
        <v>2009.0</v>
      </c>
      <c r="AV86" s="1">
        <v>5495.0</v>
      </c>
      <c r="AW86" s="1" t="s">
        <v>74</v>
      </c>
      <c r="AX86" s="1" t="s">
        <v>74</v>
      </c>
      <c r="AY86" s="1" t="s">
        <v>74</v>
      </c>
      <c r="AZ86" s="1" t="s">
        <v>74</v>
      </c>
      <c r="BA86" s="1" t="s">
        <v>74</v>
      </c>
      <c r="BB86" s="1">
        <v>440.0</v>
      </c>
      <c r="BC86" s="1">
        <v>447.0</v>
      </c>
      <c r="BD86" s="1" t="s">
        <v>74</v>
      </c>
      <c r="BE86" s="1" t="s">
        <v>74</v>
      </c>
      <c r="BF86" s="1" t="s">
        <v>74</v>
      </c>
      <c r="BG86" s="1" t="s">
        <v>74</v>
      </c>
      <c r="BH86" s="1" t="s">
        <v>74</v>
      </c>
      <c r="BI86" s="1" t="s">
        <v>74</v>
      </c>
      <c r="BJ86" s="1" t="s">
        <v>74</v>
      </c>
      <c r="BK86" s="1" t="s">
        <v>74</v>
      </c>
      <c r="BL86" s="1" t="s">
        <v>74</v>
      </c>
      <c r="BM86" s="1" t="s">
        <v>74</v>
      </c>
      <c r="BN86" s="1" t="s">
        <v>74</v>
      </c>
      <c r="BO86" s="1" t="s">
        <v>74</v>
      </c>
      <c r="BP86" s="1" t="s">
        <v>74</v>
      </c>
      <c r="BQ86" s="1" t="s">
        <v>74</v>
      </c>
      <c r="BR86" s="1" t="s">
        <v>74</v>
      </c>
      <c r="BS86" s="1" t="s">
        <v>896</v>
      </c>
      <c r="BT86" s="1" t="str">
        <f>HYPERLINK("https%3A%2F%2Fwww.webofscience.com%2Fwos%2Fwoscc%2Ffull-record%2FWOS:000279120700045","View Full Record in Web of Science")</f>
        <v>View Full Record in Web of Science</v>
      </c>
    </row>
    <row r="87" ht="12.75" customHeight="1">
      <c r="A87" s="1" t="s">
        <v>72</v>
      </c>
      <c r="B87" s="1" t="s">
        <v>897</v>
      </c>
      <c r="C87" s="1" t="s">
        <v>74</v>
      </c>
      <c r="D87" s="1" t="s">
        <v>74</v>
      </c>
      <c r="E87" s="1" t="s">
        <v>74</v>
      </c>
      <c r="F87" s="1" t="s">
        <v>898</v>
      </c>
      <c r="G87" s="1" t="s">
        <v>74</v>
      </c>
      <c r="H87" s="1" t="s">
        <v>74</v>
      </c>
      <c r="I87" s="1" t="s">
        <v>899</v>
      </c>
      <c r="J87" s="1" t="s">
        <v>900</v>
      </c>
      <c r="K87" s="1" t="s">
        <v>74</v>
      </c>
      <c r="L87" s="1" t="s">
        <v>74</v>
      </c>
      <c r="M87" s="1" t="s">
        <v>74</v>
      </c>
      <c r="N87" s="1" t="s">
        <v>74</v>
      </c>
      <c r="O87" s="1" t="s">
        <v>74</v>
      </c>
      <c r="P87" s="1" t="s">
        <v>74</v>
      </c>
      <c r="Q87" s="1" t="s">
        <v>74</v>
      </c>
      <c r="R87" s="1" t="s">
        <v>74</v>
      </c>
      <c r="S87" s="1" t="s">
        <v>74</v>
      </c>
      <c r="T87" s="1" t="s">
        <v>74</v>
      </c>
      <c r="U87" s="1" t="s">
        <v>74</v>
      </c>
      <c r="V87" s="1" t="s">
        <v>901</v>
      </c>
      <c r="W87" s="1" t="s">
        <v>74</v>
      </c>
      <c r="X87" s="1" t="s">
        <v>74</v>
      </c>
      <c r="Y87" s="1" t="s">
        <v>74</v>
      </c>
      <c r="Z87" s="1" t="s">
        <v>74</v>
      </c>
      <c r="AA87" s="1" t="s">
        <v>902</v>
      </c>
      <c r="AB87" s="1" t="s">
        <v>903</v>
      </c>
      <c r="AC87" s="1" t="s">
        <v>74</v>
      </c>
      <c r="AD87" s="1" t="s">
        <v>74</v>
      </c>
      <c r="AE87" s="1" t="s">
        <v>74</v>
      </c>
      <c r="AF87" s="1" t="s">
        <v>74</v>
      </c>
      <c r="AG87" s="1" t="s">
        <v>74</v>
      </c>
      <c r="AH87" s="1" t="s">
        <v>74</v>
      </c>
      <c r="AI87" s="1" t="s">
        <v>74</v>
      </c>
      <c r="AJ87" s="1" t="s">
        <v>74</v>
      </c>
      <c r="AK87" s="1" t="s">
        <v>74</v>
      </c>
      <c r="AL87" s="1" t="s">
        <v>74</v>
      </c>
      <c r="AM87" s="1" t="s">
        <v>74</v>
      </c>
      <c r="AN87" s="1" t="s">
        <v>74</v>
      </c>
      <c r="AO87" s="1" t="s">
        <v>904</v>
      </c>
      <c r="AP87" s="1" t="s">
        <v>905</v>
      </c>
      <c r="AQ87" s="1" t="s">
        <v>74</v>
      </c>
      <c r="AR87" s="1" t="s">
        <v>74</v>
      </c>
      <c r="AS87" s="1" t="s">
        <v>74</v>
      </c>
      <c r="AT87" s="1" t="s">
        <v>906</v>
      </c>
      <c r="AU87" s="1">
        <v>2008.0</v>
      </c>
      <c r="AV87" s="1">
        <v>69.0</v>
      </c>
      <c r="AW87" s="1">
        <v>11.0</v>
      </c>
      <c r="AX87" s="1" t="s">
        <v>74</v>
      </c>
      <c r="AY87" s="1" t="s">
        <v>74</v>
      </c>
      <c r="AZ87" s="1" t="s">
        <v>74</v>
      </c>
      <c r="BA87" s="1" t="s">
        <v>74</v>
      </c>
      <c r="BB87" s="1">
        <v>3692.0</v>
      </c>
      <c r="BC87" s="1">
        <v>3705.0</v>
      </c>
      <c r="BD87" s="1" t="s">
        <v>74</v>
      </c>
      <c r="BE87" s="1" t="s">
        <v>907</v>
      </c>
      <c r="BF87" s="2" t="str">
        <f>HYPERLINK("http://dx.doi.org/10.1016/j.na.2007.10.004","http://dx.doi.org/10.1016/j.na.2007.10.004")</f>
        <v>http://dx.doi.org/10.1016/j.na.2007.10.004</v>
      </c>
      <c r="BG87" s="1" t="s">
        <v>74</v>
      </c>
      <c r="BH87" s="1" t="s">
        <v>74</v>
      </c>
      <c r="BI87" s="1" t="s">
        <v>74</v>
      </c>
      <c r="BJ87" s="1" t="s">
        <v>74</v>
      </c>
      <c r="BK87" s="1" t="s">
        <v>74</v>
      </c>
      <c r="BL87" s="1" t="s">
        <v>74</v>
      </c>
      <c r="BM87" s="1" t="s">
        <v>74</v>
      </c>
      <c r="BN87" s="1" t="s">
        <v>74</v>
      </c>
      <c r="BO87" s="1" t="s">
        <v>74</v>
      </c>
      <c r="BP87" s="1" t="s">
        <v>74</v>
      </c>
      <c r="BQ87" s="1" t="s">
        <v>74</v>
      </c>
      <c r="BR87" s="1" t="s">
        <v>74</v>
      </c>
      <c r="BS87" s="1" t="s">
        <v>908</v>
      </c>
      <c r="BT87" s="1" t="str">
        <f>HYPERLINK("https%3A%2F%2Fwww.webofscience.com%2Fwos%2Fwoscc%2Ffull-record%2FWOS:000261319500003","View Full Record in Web of Science")</f>
        <v>View Full Record in Web of Science</v>
      </c>
    </row>
    <row r="88" ht="12.75" customHeight="1">
      <c r="A88" s="1" t="s">
        <v>72</v>
      </c>
      <c r="B88" s="1" t="s">
        <v>909</v>
      </c>
      <c r="C88" s="1" t="s">
        <v>74</v>
      </c>
      <c r="D88" s="1" t="s">
        <v>74</v>
      </c>
      <c r="E88" s="1" t="s">
        <v>74</v>
      </c>
      <c r="F88" s="1" t="s">
        <v>910</v>
      </c>
      <c r="G88" s="1" t="s">
        <v>74</v>
      </c>
      <c r="H88" s="1" t="s">
        <v>74</v>
      </c>
      <c r="I88" s="1" t="s">
        <v>911</v>
      </c>
      <c r="J88" s="1" t="s">
        <v>912</v>
      </c>
      <c r="K88" s="1" t="s">
        <v>74</v>
      </c>
      <c r="L88" s="1" t="s">
        <v>74</v>
      </c>
      <c r="M88" s="1" t="s">
        <v>74</v>
      </c>
      <c r="N88" s="1" t="s">
        <v>74</v>
      </c>
      <c r="O88" s="1" t="s">
        <v>74</v>
      </c>
      <c r="P88" s="1" t="s">
        <v>74</v>
      </c>
      <c r="Q88" s="1" t="s">
        <v>74</v>
      </c>
      <c r="R88" s="1" t="s">
        <v>74</v>
      </c>
      <c r="S88" s="1" t="s">
        <v>74</v>
      </c>
      <c r="T88" s="1" t="s">
        <v>74</v>
      </c>
      <c r="U88" s="1" t="s">
        <v>74</v>
      </c>
      <c r="V88" s="1" t="s">
        <v>913</v>
      </c>
      <c r="W88" s="1" t="s">
        <v>74</v>
      </c>
      <c r="X88" s="1" t="s">
        <v>74</v>
      </c>
      <c r="Y88" s="1" t="s">
        <v>74</v>
      </c>
      <c r="Z88" s="1" t="s">
        <v>74</v>
      </c>
      <c r="AA88" s="1" t="s">
        <v>74</v>
      </c>
      <c r="AB88" s="1" t="s">
        <v>74</v>
      </c>
      <c r="AC88" s="1" t="s">
        <v>74</v>
      </c>
      <c r="AD88" s="1" t="s">
        <v>74</v>
      </c>
      <c r="AE88" s="1" t="s">
        <v>74</v>
      </c>
      <c r="AF88" s="1" t="s">
        <v>74</v>
      </c>
      <c r="AG88" s="1" t="s">
        <v>74</v>
      </c>
      <c r="AH88" s="1" t="s">
        <v>74</v>
      </c>
      <c r="AI88" s="1" t="s">
        <v>74</v>
      </c>
      <c r="AJ88" s="1" t="s">
        <v>74</v>
      </c>
      <c r="AK88" s="1" t="s">
        <v>74</v>
      </c>
      <c r="AL88" s="1" t="s">
        <v>74</v>
      </c>
      <c r="AM88" s="1" t="s">
        <v>74</v>
      </c>
      <c r="AN88" s="1" t="s">
        <v>74</v>
      </c>
      <c r="AO88" s="1" t="s">
        <v>914</v>
      </c>
      <c r="AP88" s="1" t="s">
        <v>74</v>
      </c>
      <c r="AQ88" s="1" t="s">
        <v>74</v>
      </c>
      <c r="AR88" s="1" t="s">
        <v>74</v>
      </c>
      <c r="AS88" s="1" t="s">
        <v>74</v>
      </c>
      <c r="AT88" s="1" t="s">
        <v>915</v>
      </c>
      <c r="AU88" s="1">
        <v>2008.0</v>
      </c>
      <c r="AV88" s="1">
        <v>41.0</v>
      </c>
      <c r="AW88" s="1">
        <v>2.0</v>
      </c>
      <c r="AX88" s="1" t="s">
        <v>74</v>
      </c>
      <c r="AY88" s="1" t="s">
        <v>74</v>
      </c>
      <c r="AZ88" s="1" t="s">
        <v>74</v>
      </c>
      <c r="BA88" s="1" t="s">
        <v>74</v>
      </c>
      <c r="BB88" s="1">
        <v>341.0</v>
      </c>
      <c r="BC88" s="1">
        <v>369.0</v>
      </c>
      <c r="BD88" s="1" t="s">
        <v>74</v>
      </c>
      <c r="BE88" s="1" t="s">
        <v>74</v>
      </c>
      <c r="BF88" s="1" t="s">
        <v>74</v>
      </c>
      <c r="BG88" s="1" t="s">
        <v>74</v>
      </c>
      <c r="BH88" s="1" t="s">
        <v>74</v>
      </c>
      <c r="BI88" s="1" t="s">
        <v>74</v>
      </c>
      <c r="BJ88" s="1" t="s">
        <v>74</v>
      </c>
      <c r="BK88" s="1" t="s">
        <v>74</v>
      </c>
      <c r="BL88" s="1" t="s">
        <v>74</v>
      </c>
      <c r="BM88" s="1" t="s">
        <v>74</v>
      </c>
      <c r="BN88" s="1" t="s">
        <v>74</v>
      </c>
      <c r="BO88" s="1" t="s">
        <v>74</v>
      </c>
      <c r="BP88" s="1" t="s">
        <v>74</v>
      </c>
      <c r="BQ88" s="1" t="s">
        <v>74</v>
      </c>
      <c r="BR88" s="1" t="s">
        <v>74</v>
      </c>
      <c r="BS88" s="1" t="s">
        <v>916</v>
      </c>
      <c r="BT88" s="1" t="str">
        <f>HYPERLINK("https%3A%2F%2Fwww.webofscience.com%2Fwos%2Fwoscc%2Ffull-record%2FWOS:000261723600002","View Full Record in Web of Science")</f>
        <v>View Full Record in Web of Science</v>
      </c>
    </row>
    <row r="89" ht="12.75" customHeight="1">
      <c r="A89" s="1" t="s">
        <v>72</v>
      </c>
      <c r="B89" s="1" t="s">
        <v>917</v>
      </c>
      <c r="C89" s="1" t="s">
        <v>74</v>
      </c>
      <c r="D89" s="1" t="s">
        <v>74</v>
      </c>
      <c r="E89" s="1" t="s">
        <v>74</v>
      </c>
      <c r="F89" s="1" t="s">
        <v>918</v>
      </c>
      <c r="G89" s="1" t="s">
        <v>74</v>
      </c>
      <c r="H89" s="1" t="s">
        <v>74</v>
      </c>
      <c r="I89" s="1" t="s">
        <v>919</v>
      </c>
      <c r="J89" s="1" t="s">
        <v>920</v>
      </c>
      <c r="K89" s="1" t="s">
        <v>74</v>
      </c>
      <c r="L89" s="1" t="s">
        <v>74</v>
      </c>
      <c r="M89" s="1" t="s">
        <v>74</v>
      </c>
      <c r="N89" s="1" t="s">
        <v>74</v>
      </c>
      <c r="O89" s="1" t="s">
        <v>74</v>
      </c>
      <c r="P89" s="1" t="s">
        <v>74</v>
      </c>
      <c r="Q89" s="1" t="s">
        <v>74</v>
      </c>
      <c r="R89" s="1" t="s">
        <v>74</v>
      </c>
      <c r="S89" s="1" t="s">
        <v>74</v>
      </c>
      <c r="T89" s="1" t="s">
        <v>74</v>
      </c>
      <c r="U89" s="1" t="s">
        <v>74</v>
      </c>
      <c r="V89" s="1" t="s">
        <v>921</v>
      </c>
      <c r="W89" s="1" t="s">
        <v>74</v>
      </c>
      <c r="X89" s="1" t="s">
        <v>74</v>
      </c>
      <c r="Y89" s="1" t="s">
        <v>74</v>
      </c>
      <c r="Z89" s="1" t="s">
        <v>74</v>
      </c>
      <c r="AA89" s="1" t="s">
        <v>74</v>
      </c>
      <c r="AB89" s="1" t="s">
        <v>74</v>
      </c>
      <c r="AC89" s="1" t="s">
        <v>74</v>
      </c>
      <c r="AD89" s="1" t="s">
        <v>74</v>
      </c>
      <c r="AE89" s="1" t="s">
        <v>74</v>
      </c>
      <c r="AF89" s="1" t="s">
        <v>74</v>
      </c>
      <c r="AG89" s="1" t="s">
        <v>74</v>
      </c>
      <c r="AH89" s="1" t="s">
        <v>74</v>
      </c>
      <c r="AI89" s="1" t="s">
        <v>74</v>
      </c>
      <c r="AJ89" s="1" t="s">
        <v>74</v>
      </c>
      <c r="AK89" s="1" t="s">
        <v>74</v>
      </c>
      <c r="AL89" s="1" t="s">
        <v>74</v>
      </c>
      <c r="AM89" s="1" t="s">
        <v>74</v>
      </c>
      <c r="AN89" s="1" t="s">
        <v>74</v>
      </c>
      <c r="AO89" s="1" t="s">
        <v>922</v>
      </c>
      <c r="AP89" s="1" t="s">
        <v>74</v>
      </c>
      <c r="AQ89" s="1" t="s">
        <v>74</v>
      </c>
      <c r="AR89" s="1" t="s">
        <v>74</v>
      </c>
      <c r="AS89" s="1" t="s">
        <v>74</v>
      </c>
      <c r="AT89" s="1" t="s">
        <v>111</v>
      </c>
      <c r="AU89" s="1">
        <v>2008.0</v>
      </c>
      <c r="AV89" s="1">
        <v>44.0</v>
      </c>
      <c r="AW89" s="1">
        <v>4.0</v>
      </c>
      <c r="AX89" s="1" t="s">
        <v>74</v>
      </c>
      <c r="AY89" s="1" t="s">
        <v>74</v>
      </c>
      <c r="AZ89" s="1" t="s">
        <v>74</v>
      </c>
      <c r="BA89" s="1" t="s">
        <v>74</v>
      </c>
      <c r="BB89" s="1">
        <v>355.0</v>
      </c>
      <c r="BC89" s="1">
        <v>366.0</v>
      </c>
      <c r="BD89" s="1" t="s">
        <v>74</v>
      </c>
      <c r="BE89" s="1" t="s">
        <v>74</v>
      </c>
      <c r="BF89" s="1" t="s">
        <v>74</v>
      </c>
      <c r="BG89" s="1" t="s">
        <v>74</v>
      </c>
      <c r="BH89" s="1" t="s">
        <v>74</v>
      </c>
      <c r="BI89" s="1" t="s">
        <v>74</v>
      </c>
      <c r="BJ89" s="1" t="s">
        <v>74</v>
      </c>
      <c r="BK89" s="1" t="s">
        <v>74</v>
      </c>
      <c r="BL89" s="1" t="s">
        <v>74</v>
      </c>
      <c r="BM89" s="1" t="s">
        <v>74</v>
      </c>
      <c r="BN89" s="1" t="s">
        <v>74</v>
      </c>
      <c r="BO89" s="1" t="s">
        <v>74</v>
      </c>
      <c r="BP89" s="1" t="s">
        <v>74</v>
      </c>
      <c r="BQ89" s="1" t="s">
        <v>74</v>
      </c>
      <c r="BR89" s="1" t="s">
        <v>74</v>
      </c>
      <c r="BS89" s="1" t="s">
        <v>923</v>
      </c>
      <c r="BT89" s="1" t="str">
        <f>HYPERLINK("https%3A%2F%2Fwww.webofscience.com%2Fwos%2Fwoscc%2Ffull-record%2FWOS:000260313400008","View Full Record in Web of Science")</f>
        <v>View Full Record in Web of Science</v>
      </c>
    </row>
    <row r="90" ht="12.75" customHeight="1">
      <c r="A90" s="1" t="s">
        <v>72</v>
      </c>
      <c r="B90" s="1" t="s">
        <v>924</v>
      </c>
      <c r="C90" s="1" t="s">
        <v>74</v>
      </c>
      <c r="D90" s="1" t="s">
        <v>74</v>
      </c>
      <c r="E90" s="1" t="s">
        <v>74</v>
      </c>
      <c r="F90" s="1" t="s">
        <v>925</v>
      </c>
      <c r="G90" s="1" t="s">
        <v>74</v>
      </c>
      <c r="H90" s="1" t="s">
        <v>74</v>
      </c>
      <c r="I90" s="1" t="s">
        <v>926</v>
      </c>
      <c r="J90" s="1" t="s">
        <v>927</v>
      </c>
      <c r="K90" s="1" t="s">
        <v>74</v>
      </c>
      <c r="L90" s="1" t="s">
        <v>74</v>
      </c>
      <c r="M90" s="1" t="s">
        <v>74</v>
      </c>
      <c r="N90" s="1" t="s">
        <v>74</v>
      </c>
      <c r="O90" s="1" t="s">
        <v>74</v>
      </c>
      <c r="P90" s="1" t="s">
        <v>74</v>
      </c>
      <c r="Q90" s="1" t="s">
        <v>74</v>
      </c>
      <c r="R90" s="1" t="s">
        <v>74</v>
      </c>
      <c r="S90" s="1" t="s">
        <v>74</v>
      </c>
      <c r="T90" s="1" t="s">
        <v>74</v>
      </c>
      <c r="U90" s="1" t="s">
        <v>74</v>
      </c>
      <c r="V90" s="1" t="s">
        <v>74</v>
      </c>
      <c r="W90" s="1" t="s">
        <v>74</v>
      </c>
      <c r="X90" s="1" t="s">
        <v>74</v>
      </c>
      <c r="Y90" s="1" t="s">
        <v>74</v>
      </c>
      <c r="Z90" s="1" t="s">
        <v>74</v>
      </c>
      <c r="AA90" s="1" t="s">
        <v>928</v>
      </c>
      <c r="AB90" s="1" t="s">
        <v>929</v>
      </c>
      <c r="AC90" s="1" t="s">
        <v>74</v>
      </c>
      <c r="AD90" s="1" t="s">
        <v>74</v>
      </c>
      <c r="AE90" s="1" t="s">
        <v>74</v>
      </c>
      <c r="AF90" s="1" t="s">
        <v>74</v>
      </c>
      <c r="AG90" s="1" t="s">
        <v>74</v>
      </c>
      <c r="AH90" s="1" t="s">
        <v>74</v>
      </c>
      <c r="AI90" s="1" t="s">
        <v>74</v>
      </c>
      <c r="AJ90" s="1" t="s">
        <v>74</v>
      </c>
      <c r="AK90" s="1" t="s">
        <v>74</v>
      </c>
      <c r="AL90" s="1" t="s">
        <v>74</v>
      </c>
      <c r="AM90" s="1" t="s">
        <v>74</v>
      </c>
      <c r="AN90" s="1" t="s">
        <v>74</v>
      </c>
      <c r="AO90" s="1" t="s">
        <v>930</v>
      </c>
      <c r="AP90" s="1" t="s">
        <v>931</v>
      </c>
      <c r="AQ90" s="1" t="s">
        <v>74</v>
      </c>
      <c r="AR90" s="1" t="s">
        <v>74</v>
      </c>
      <c r="AS90" s="1" t="s">
        <v>74</v>
      </c>
      <c r="AT90" s="1" t="s">
        <v>74</v>
      </c>
      <c r="AU90" s="1">
        <v>2008.0</v>
      </c>
      <c r="AV90" s="1">
        <v>3.0</v>
      </c>
      <c r="AW90" s="1">
        <v>3.0</v>
      </c>
      <c r="AX90" s="1" t="s">
        <v>74</v>
      </c>
      <c r="AY90" s="1" t="s">
        <v>74</v>
      </c>
      <c r="AZ90" s="1" t="s">
        <v>74</v>
      </c>
      <c r="BA90" s="1" t="s">
        <v>74</v>
      </c>
      <c r="BB90" s="1">
        <v>259.0</v>
      </c>
      <c r="BC90" s="1">
        <v>269.0</v>
      </c>
      <c r="BD90" s="1" t="s">
        <v>74</v>
      </c>
      <c r="BE90" s="1" t="s">
        <v>932</v>
      </c>
      <c r="BF90" s="2" t="str">
        <f>HYPERLINK("http://dx.doi.org/10.15837/ijccc.2008.3.2394","http://dx.doi.org/10.15837/ijccc.2008.3.2394")</f>
        <v>http://dx.doi.org/10.15837/ijccc.2008.3.2394</v>
      </c>
      <c r="BG90" s="1" t="s">
        <v>74</v>
      </c>
      <c r="BH90" s="1" t="s">
        <v>74</v>
      </c>
      <c r="BI90" s="1" t="s">
        <v>74</v>
      </c>
      <c r="BJ90" s="1" t="s">
        <v>74</v>
      </c>
      <c r="BK90" s="1" t="s">
        <v>74</v>
      </c>
      <c r="BL90" s="1" t="s">
        <v>74</v>
      </c>
      <c r="BM90" s="1" t="s">
        <v>74</v>
      </c>
      <c r="BN90" s="1" t="s">
        <v>74</v>
      </c>
      <c r="BO90" s="1" t="s">
        <v>74</v>
      </c>
      <c r="BP90" s="1" t="s">
        <v>74</v>
      </c>
      <c r="BQ90" s="1" t="s">
        <v>74</v>
      </c>
      <c r="BR90" s="1" t="s">
        <v>74</v>
      </c>
      <c r="BS90" s="1" t="s">
        <v>933</v>
      </c>
      <c r="BT90" s="1" t="str">
        <f>HYPERLINK("https%3A%2F%2Fwww.webofscience.com%2Fwos%2Fwoscc%2Ffull-record%2FWOS:000257275300004","View Full Record in Web of Science")</f>
        <v>View Full Record in Web of Science</v>
      </c>
    </row>
    <row r="91" ht="12.75" customHeight="1">
      <c r="A91" s="1" t="s">
        <v>91</v>
      </c>
      <c r="B91" s="1" t="s">
        <v>934</v>
      </c>
      <c r="C91" s="1" t="s">
        <v>74</v>
      </c>
      <c r="D91" s="1" t="s">
        <v>935</v>
      </c>
      <c r="E91" s="1" t="s">
        <v>74</v>
      </c>
      <c r="F91" s="1" t="s">
        <v>936</v>
      </c>
      <c r="G91" s="1" t="s">
        <v>74</v>
      </c>
      <c r="H91" s="1" t="s">
        <v>74</v>
      </c>
      <c r="I91" s="1" t="s">
        <v>937</v>
      </c>
      <c r="J91" s="1" t="s">
        <v>938</v>
      </c>
      <c r="K91" s="1" t="s">
        <v>939</v>
      </c>
      <c r="L91" s="1" t="s">
        <v>74</v>
      </c>
      <c r="M91" s="1" t="s">
        <v>74</v>
      </c>
      <c r="N91" s="1" t="s">
        <v>74</v>
      </c>
      <c r="O91" s="1" t="s">
        <v>940</v>
      </c>
      <c r="P91" s="1" t="s">
        <v>941</v>
      </c>
      <c r="Q91" s="1" t="s">
        <v>942</v>
      </c>
      <c r="R91" s="1" t="s">
        <v>943</v>
      </c>
      <c r="S91" s="1" t="s">
        <v>74</v>
      </c>
      <c r="T91" s="1" t="s">
        <v>74</v>
      </c>
      <c r="U91" s="1" t="s">
        <v>74</v>
      </c>
      <c r="V91" s="1" t="s">
        <v>944</v>
      </c>
      <c r="W91" s="1" t="s">
        <v>74</v>
      </c>
      <c r="X91" s="1" t="s">
        <v>74</v>
      </c>
      <c r="Y91" s="1" t="s">
        <v>74</v>
      </c>
      <c r="Z91" s="1" t="s">
        <v>74</v>
      </c>
      <c r="AA91" s="1" t="s">
        <v>945</v>
      </c>
      <c r="AB91" s="1" t="s">
        <v>946</v>
      </c>
      <c r="AC91" s="1" t="s">
        <v>74</v>
      </c>
      <c r="AD91" s="1" t="s">
        <v>74</v>
      </c>
      <c r="AE91" s="1" t="s">
        <v>74</v>
      </c>
      <c r="AF91" s="1" t="s">
        <v>74</v>
      </c>
      <c r="AG91" s="1" t="s">
        <v>74</v>
      </c>
      <c r="AH91" s="1" t="s">
        <v>74</v>
      </c>
      <c r="AI91" s="1" t="s">
        <v>74</v>
      </c>
      <c r="AJ91" s="1" t="s">
        <v>74</v>
      </c>
      <c r="AK91" s="1" t="s">
        <v>74</v>
      </c>
      <c r="AL91" s="1" t="s">
        <v>74</v>
      </c>
      <c r="AM91" s="1" t="s">
        <v>74</v>
      </c>
      <c r="AN91" s="1" t="s">
        <v>74</v>
      </c>
      <c r="AO91" s="1" t="s">
        <v>947</v>
      </c>
      <c r="AP91" s="1" t="s">
        <v>74</v>
      </c>
      <c r="AQ91" s="1" t="s">
        <v>948</v>
      </c>
      <c r="AR91" s="1" t="s">
        <v>74</v>
      </c>
      <c r="AS91" s="1" t="s">
        <v>74</v>
      </c>
      <c r="AT91" s="1" t="s">
        <v>74</v>
      </c>
      <c r="AU91" s="1">
        <v>2008.0</v>
      </c>
      <c r="AV91" s="1" t="s">
        <v>74</v>
      </c>
      <c r="AW91" s="1" t="s">
        <v>74</v>
      </c>
      <c r="AX91" s="1" t="s">
        <v>74</v>
      </c>
      <c r="AY91" s="1" t="s">
        <v>74</v>
      </c>
      <c r="AZ91" s="1" t="s">
        <v>74</v>
      </c>
      <c r="BA91" s="1" t="s">
        <v>74</v>
      </c>
      <c r="BB91" s="1">
        <v>329.0</v>
      </c>
      <c r="BC91" s="1">
        <v>333.0</v>
      </c>
      <c r="BD91" s="1" t="s">
        <v>74</v>
      </c>
      <c r="BE91" s="1" t="s">
        <v>949</v>
      </c>
      <c r="BF91" s="2" t="str">
        <f>HYPERLINK("http://dx.doi.org/10.1109/PDP.2008.93","http://dx.doi.org/10.1109/PDP.2008.93")</f>
        <v>http://dx.doi.org/10.1109/PDP.2008.93</v>
      </c>
      <c r="BG91" s="1" t="s">
        <v>74</v>
      </c>
      <c r="BH91" s="1" t="s">
        <v>74</v>
      </c>
      <c r="BI91" s="1" t="s">
        <v>74</v>
      </c>
      <c r="BJ91" s="1" t="s">
        <v>74</v>
      </c>
      <c r="BK91" s="1" t="s">
        <v>74</v>
      </c>
      <c r="BL91" s="1" t="s">
        <v>74</v>
      </c>
      <c r="BM91" s="1" t="s">
        <v>74</v>
      </c>
      <c r="BN91" s="1" t="s">
        <v>74</v>
      </c>
      <c r="BO91" s="1" t="s">
        <v>74</v>
      </c>
      <c r="BP91" s="1" t="s">
        <v>74</v>
      </c>
      <c r="BQ91" s="1" t="s">
        <v>74</v>
      </c>
      <c r="BR91" s="1" t="s">
        <v>74</v>
      </c>
      <c r="BS91" s="1" t="s">
        <v>950</v>
      </c>
      <c r="BT91" s="1" t="str">
        <f>HYPERLINK("https%3A%2F%2Fwww.webofscience.com%2Fwos%2Fwoscc%2Ffull-record%2FWOS:000254266500043","View Full Record in Web of Science")</f>
        <v>View Full Record in Web of Science</v>
      </c>
    </row>
    <row r="92" ht="12.75" customHeight="1">
      <c r="A92" s="1" t="s">
        <v>72</v>
      </c>
      <c r="B92" s="1" t="s">
        <v>951</v>
      </c>
      <c r="C92" s="1" t="s">
        <v>74</v>
      </c>
      <c r="D92" s="1" t="s">
        <v>74</v>
      </c>
      <c r="E92" s="1" t="s">
        <v>74</v>
      </c>
      <c r="F92" s="1" t="s">
        <v>952</v>
      </c>
      <c r="G92" s="1" t="s">
        <v>74</v>
      </c>
      <c r="H92" s="1" t="s">
        <v>74</v>
      </c>
      <c r="I92" s="1" t="s">
        <v>953</v>
      </c>
      <c r="J92" s="1" t="s">
        <v>954</v>
      </c>
      <c r="K92" s="1" t="s">
        <v>74</v>
      </c>
      <c r="L92" s="1" t="s">
        <v>74</v>
      </c>
      <c r="M92" s="1" t="s">
        <v>74</v>
      </c>
      <c r="N92" s="1" t="s">
        <v>74</v>
      </c>
      <c r="O92" s="1" t="s">
        <v>74</v>
      </c>
      <c r="P92" s="1" t="s">
        <v>74</v>
      </c>
      <c r="Q92" s="1" t="s">
        <v>74</v>
      </c>
      <c r="R92" s="1" t="s">
        <v>74</v>
      </c>
      <c r="S92" s="1" t="s">
        <v>74</v>
      </c>
      <c r="T92" s="1" t="s">
        <v>74</v>
      </c>
      <c r="U92" s="1" t="s">
        <v>74</v>
      </c>
      <c r="V92" s="1" t="s">
        <v>955</v>
      </c>
      <c r="W92" s="1" t="s">
        <v>74</v>
      </c>
      <c r="X92" s="1" t="s">
        <v>74</v>
      </c>
      <c r="Y92" s="1" t="s">
        <v>74</v>
      </c>
      <c r="Z92" s="1" t="s">
        <v>74</v>
      </c>
      <c r="AA92" s="1" t="s">
        <v>74</v>
      </c>
      <c r="AB92" s="1" t="s">
        <v>74</v>
      </c>
      <c r="AC92" s="1" t="s">
        <v>74</v>
      </c>
      <c r="AD92" s="1" t="s">
        <v>74</v>
      </c>
      <c r="AE92" s="1" t="s">
        <v>74</v>
      </c>
      <c r="AF92" s="1" t="s">
        <v>74</v>
      </c>
      <c r="AG92" s="1" t="s">
        <v>74</v>
      </c>
      <c r="AH92" s="1" t="s">
        <v>74</v>
      </c>
      <c r="AI92" s="1" t="s">
        <v>74</v>
      </c>
      <c r="AJ92" s="1" t="s">
        <v>74</v>
      </c>
      <c r="AK92" s="1" t="s">
        <v>74</v>
      </c>
      <c r="AL92" s="1" t="s">
        <v>74</v>
      </c>
      <c r="AM92" s="1" t="s">
        <v>74</v>
      </c>
      <c r="AN92" s="1" t="s">
        <v>74</v>
      </c>
      <c r="AO92" s="1" t="s">
        <v>956</v>
      </c>
      <c r="AP92" s="1" t="s">
        <v>74</v>
      </c>
      <c r="AQ92" s="1" t="s">
        <v>74</v>
      </c>
      <c r="AR92" s="1" t="s">
        <v>74</v>
      </c>
      <c r="AS92" s="1" t="s">
        <v>74</v>
      </c>
      <c r="AT92" s="1" t="s">
        <v>74</v>
      </c>
      <c r="AU92" s="1">
        <v>2008.0</v>
      </c>
      <c r="AV92" s="1">
        <v>26.0</v>
      </c>
      <c r="AW92" s="1">
        <v>4.0</v>
      </c>
      <c r="AX92" s="1" t="s">
        <v>74</v>
      </c>
      <c r="AY92" s="1" t="s">
        <v>74</v>
      </c>
      <c r="AZ92" s="1" t="s">
        <v>74</v>
      </c>
      <c r="BA92" s="1" t="s">
        <v>74</v>
      </c>
      <c r="BB92" s="1">
        <v>476.0</v>
      </c>
      <c r="BC92" s="1">
        <v>486.0</v>
      </c>
      <c r="BD92" s="1" t="s">
        <v>74</v>
      </c>
      <c r="BE92" s="1" t="s">
        <v>957</v>
      </c>
      <c r="BF92" s="2" t="str">
        <f>HYPERLINK("http://dx.doi.org/10.1080/07373930801929508","http://dx.doi.org/10.1080/07373930801929508")</f>
        <v>http://dx.doi.org/10.1080/07373930801929508</v>
      </c>
      <c r="BG92" s="1" t="s">
        <v>74</v>
      </c>
      <c r="BH92" s="1" t="s">
        <v>74</v>
      </c>
      <c r="BI92" s="1" t="s">
        <v>74</v>
      </c>
      <c r="BJ92" s="1" t="s">
        <v>74</v>
      </c>
      <c r="BK92" s="1" t="s">
        <v>74</v>
      </c>
      <c r="BL92" s="1" t="s">
        <v>74</v>
      </c>
      <c r="BM92" s="1" t="s">
        <v>74</v>
      </c>
      <c r="BN92" s="1" t="s">
        <v>74</v>
      </c>
      <c r="BO92" s="1" t="s">
        <v>74</v>
      </c>
      <c r="BP92" s="1" t="s">
        <v>74</v>
      </c>
      <c r="BQ92" s="1" t="s">
        <v>74</v>
      </c>
      <c r="BR92" s="1" t="s">
        <v>74</v>
      </c>
      <c r="BS92" s="1" t="s">
        <v>958</v>
      </c>
      <c r="BT92" s="1" t="str">
        <f>HYPERLINK("https%3A%2F%2Fwww.webofscience.com%2Fwos%2Fwoscc%2Ffull-record%2FWOS:000255001100013","View Full Record in Web of Science")</f>
        <v>View Full Record in Web of Science</v>
      </c>
    </row>
    <row r="93" ht="12.75" customHeight="1">
      <c r="A93" s="1" t="s">
        <v>91</v>
      </c>
      <c r="B93" s="1" t="s">
        <v>959</v>
      </c>
      <c r="C93" s="1" t="s">
        <v>74</v>
      </c>
      <c r="D93" s="1" t="s">
        <v>960</v>
      </c>
      <c r="E93" s="1" t="s">
        <v>74</v>
      </c>
      <c r="F93" s="1" t="s">
        <v>961</v>
      </c>
      <c r="G93" s="1" t="s">
        <v>74</v>
      </c>
      <c r="H93" s="1" t="s">
        <v>74</v>
      </c>
      <c r="I93" s="1" t="s">
        <v>962</v>
      </c>
      <c r="J93" s="1" t="s">
        <v>963</v>
      </c>
      <c r="K93" s="1" t="s">
        <v>74</v>
      </c>
      <c r="L93" s="1" t="s">
        <v>74</v>
      </c>
      <c r="M93" s="1" t="s">
        <v>74</v>
      </c>
      <c r="N93" s="1" t="s">
        <v>74</v>
      </c>
      <c r="O93" s="1" t="s">
        <v>964</v>
      </c>
      <c r="P93" s="1" t="s">
        <v>965</v>
      </c>
      <c r="Q93" s="1" t="s">
        <v>966</v>
      </c>
      <c r="R93" s="1" t="s">
        <v>967</v>
      </c>
      <c r="S93" s="1" t="s">
        <v>74</v>
      </c>
      <c r="T93" s="1" t="s">
        <v>74</v>
      </c>
      <c r="U93" s="1" t="s">
        <v>74</v>
      </c>
      <c r="V93" s="1" t="s">
        <v>968</v>
      </c>
      <c r="W93" s="1" t="s">
        <v>74</v>
      </c>
      <c r="X93" s="1" t="s">
        <v>74</v>
      </c>
      <c r="Y93" s="1" t="s">
        <v>74</v>
      </c>
      <c r="Z93" s="1" t="s">
        <v>74</v>
      </c>
      <c r="AA93" s="1" t="s">
        <v>969</v>
      </c>
      <c r="AB93" s="1" t="s">
        <v>486</v>
      </c>
      <c r="AC93" s="1" t="s">
        <v>74</v>
      </c>
      <c r="AD93" s="1" t="s">
        <v>74</v>
      </c>
      <c r="AE93" s="1" t="s">
        <v>74</v>
      </c>
      <c r="AF93" s="1" t="s">
        <v>74</v>
      </c>
      <c r="AG93" s="1" t="s">
        <v>74</v>
      </c>
      <c r="AH93" s="1" t="s">
        <v>74</v>
      </c>
      <c r="AI93" s="1" t="s">
        <v>74</v>
      </c>
      <c r="AJ93" s="1" t="s">
        <v>74</v>
      </c>
      <c r="AK93" s="1" t="s">
        <v>74</v>
      </c>
      <c r="AL93" s="1" t="s">
        <v>74</v>
      </c>
      <c r="AM93" s="1" t="s">
        <v>74</v>
      </c>
      <c r="AN93" s="1" t="s">
        <v>74</v>
      </c>
      <c r="AO93" s="1" t="s">
        <v>74</v>
      </c>
      <c r="AP93" s="1" t="s">
        <v>74</v>
      </c>
      <c r="AQ93" s="1" t="s">
        <v>970</v>
      </c>
      <c r="AR93" s="1" t="s">
        <v>74</v>
      </c>
      <c r="AS93" s="1" t="s">
        <v>74</v>
      </c>
      <c r="AT93" s="1" t="s">
        <v>74</v>
      </c>
      <c r="AU93" s="1">
        <v>2008.0</v>
      </c>
      <c r="AV93" s="1" t="s">
        <v>74</v>
      </c>
      <c r="AW93" s="1" t="s">
        <v>74</v>
      </c>
      <c r="AX93" s="1" t="s">
        <v>74</v>
      </c>
      <c r="AY93" s="1" t="s">
        <v>74</v>
      </c>
      <c r="AZ93" s="1" t="s">
        <v>74</v>
      </c>
      <c r="BA93" s="1" t="s">
        <v>74</v>
      </c>
      <c r="BB93" s="1">
        <v>71.0</v>
      </c>
      <c r="BC93" s="1">
        <v>76.0</v>
      </c>
      <c r="BD93" s="1" t="s">
        <v>74</v>
      </c>
      <c r="BE93" s="1" t="s">
        <v>74</v>
      </c>
      <c r="BF93" s="1" t="s">
        <v>74</v>
      </c>
      <c r="BG93" s="1" t="s">
        <v>74</v>
      </c>
      <c r="BH93" s="1" t="s">
        <v>74</v>
      </c>
      <c r="BI93" s="1" t="s">
        <v>74</v>
      </c>
      <c r="BJ93" s="1" t="s">
        <v>74</v>
      </c>
      <c r="BK93" s="1" t="s">
        <v>74</v>
      </c>
      <c r="BL93" s="1" t="s">
        <v>74</v>
      </c>
      <c r="BM93" s="1" t="s">
        <v>74</v>
      </c>
      <c r="BN93" s="1" t="s">
        <v>74</v>
      </c>
      <c r="BO93" s="1" t="s">
        <v>74</v>
      </c>
      <c r="BP93" s="1" t="s">
        <v>74</v>
      </c>
      <c r="BQ93" s="1" t="s">
        <v>74</v>
      </c>
      <c r="BR93" s="1" t="s">
        <v>74</v>
      </c>
      <c r="BS93" s="1" t="s">
        <v>971</v>
      </c>
      <c r="BT93" s="1" t="str">
        <f>HYPERLINK("https%3A%2F%2Fwww.webofscience.com%2Fwos%2Fwoscc%2Ffull-record%2FWOS:000258901100012","View Full Record in Web of Science")</f>
        <v>View Full Record in Web of Science</v>
      </c>
    </row>
    <row r="94" ht="12.75" customHeight="1">
      <c r="A94" s="1" t="s">
        <v>72</v>
      </c>
      <c r="B94" s="1" t="s">
        <v>972</v>
      </c>
      <c r="C94" s="1" t="s">
        <v>74</v>
      </c>
      <c r="D94" s="1" t="s">
        <v>74</v>
      </c>
      <c r="E94" s="1" t="s">
        <v>74</v>
      </c>
      <c r="F94" s="1" t="s">
        <v>973</v>
      </c>
      <c r="G94" s="1" t="s">
        <v>74</v>
      </c>
      <c r="H94" s="1" t="s">
        <v>74</v>
      </c>
      <c r="I94" s="1" t="s">
        <v>974</v>
      </c>
      <c r="J94" s="1" t="s">
        <v>975</v>
      </c>
      <c r="K94" s="1" t="s">
        <v>74</v>
      </c>
      <c r="L94" s="1" t="s">
        <v>74</v>
      </c>
      <c r="M94" s="1" t="s">
        <v>74</v>
      </c>
      <c r="N94" s="1" t="s">
        <v>74</v>
      </c>
      <c r="O94" s="1" t="s">
        <v>74</v>
      </c>
      <c r="P94" s="1" t="s">
        <v>74</v>
      </c>
      <c r="Q94" s="1" t="s">
        <v>74</v>
      </c>
      <c r="R94" s="1" t="s">
        <v>74</v>
      </c>
      <c r="S94" s="1" t="s">
        <v>74</v>
      </c>
      <c r="T94" s="1" t="s">
        <v>74</v>
      </c>
      <c r="U94" s="1" t="s">
        <v>74</v>
      </c>
      <c r="V94" s="1" t="s">
        <v>976</v>
      </c>
      <c r="W94" s="1" t="s">
        <v>74</v>
      </c>
      <c r="X94" s="1" t="s">
        <v>74</v>
      </c>
      <c r="Y94" s="1" t="s">
        <v>74</v>
      </c>
      <c r="Z94" s="1" t="s">
        <v>74</v>
      </c>
      <c r="AA94" s="1" t="s">
        <v>977</v>
      </c>
      <c r="AB94" s="1" t="s">
        <v>978</v>
      </c>
      <c r="AC94" s="1" t="s">
        <v>74</v>
      </c>
      <c r="AD94" s="1" t="s">
        <v>74</v>
      </c>
      <c r="AE94" s="1" t="s">
        <v>74</v>
      </c>
      <c r="AF94" s="1" t="s">
        <v>74</v>
      </c>
      <c r="AG94" s="1" t="s">
        <v>74</v>
      </c>
      <c r="AH94" s="1" t="s">
        <v>74</v>
      </c>
      <c r="AI94" s="1" t="s">
        <v>74</v>
      </c>
      <c r="AJ94" s="1" t="s">
        <v>74</v>
      </c>
      <c r="AK94" s="1" t="s">
        <v>74</v>
      </c>
      <c r="AL94" s="1" t="s">
        <v>74</v>
      </c>
      <c r="AM94" s="1" t="s">
        <v>74</v>
      </c>
      <c r="AN94" s="1" t="s">
        <v>74</v>
      </c>
      <c r="AO94" s="1" t="s">
        <v>979</v>
      </c>
      <c r="AP94" s="1" t="s">
        <v>980</v>
      </c>
      <c r="AQ94" s="1" t="s">
        <v>74</v>
      </c>
      <c r="AR94" s="1" t="s">
        <v>74</v>
      </c>
      <c r="AS94" s="1" t="s">
        <v>74</v>
      </c>
      <c r="AT94" s="1" t="s">
        <v>205</v>
      </c>
      <c r="AU94" s="1">
        <v>2007.0</v>
      </c>
      <c r="AV94" s="1">
        <v>98.0</v>
      </c>
      <c r="AW94" s="1">
        <v>3.0</v>
      </c>
      <c r="AX94" s="1" t="s">
        <v>74</v>
      </c>
      <c r="AY94" s="1" t="s">
        <v>74</v>
      </c>
      <c r="AZ94" s="1" t="s">
        <v>74</v>
      </c>
      <c r="BA94" s="1" t="s">
        <v>74</v>
      </c>
      <c r="BB94" s="1">
        <v>310.0</v>
      </c>
      <c r="BC94" s="1">
        <v>318.0</v>
      </c>
      <c r="BD94" s="1" t="s">
        <v>74</v>
      </c>
      <c r="BE94" s="1" t="s">
        <v>981</v>
      </c>
      <c r="BF94" s="2" t="str">
        <f>HYPERLINK("http://dx.doi.org/10.1016/j.biosystemseng.2007.07.006","http://dx.doi.org/10.1016/j.biosystemseng.2007.07.006")</f>
        <v>http://dx.doi.org/10.1016/j.biosystemseng.2007.07.006</v>
      </c>
      <c r="BG94" s="1" t="s">
        <v>74</v>
      </c>
      <c r="BH94" s="1" t="s">
        <v>74</v>
      </c>
      <c r="BI94" s="1" t="s">
        <v>74</v>
      </c>
      <c r="BJ94" s="1" t="s">
        <v>74</v>
      </c>
      <c r="BK94" s="1" t="s">
        <v>74</v>
      </c>
      <c r="BL94" s="1" t="s">
        <v>74</v>
      </c>
      <c r="BM94" s="1" t="s">
        <v>74</v>
      </c>
      <c r="BN94" s="1" t="s">
        <v>74</v>
      </c>
      <c r="BO94" s="1" t="s">
        <v>74</v>
      </c>
      <c r="BP94" s="1" t="s">
        <v>74</v>
      </c>
      <c r="BQ94" s="1" t="s">
        <v>74</v>
      </c>
      <c r="BR94" s="1" t="s">
        <v>74</v>
      </c>
      <c r="BS94" s="1" t="s">
        <v>982</v>
      </c>
      <c r="BT94" s="1" t="str">
        <f>HYPERLINK("https%3A%2F%2Fwww.webofscience.com%2Fwos%2Fwoscc%2Ffull-record%2FWOS:000252141300006","View Full Record in Web of Science")</f>
        <v>View Full Record in Web of Science</v>
      </c>
    </row>
    <row r="95" ht="12.75" customHeight="1">
      <c r="A95" s="1" t="s">
        <v>72</v>
      </c>
      <c r="B95" s="1" t="s">
        <v>983</v>
      </c>
      <c r="C95" s="1" t="s">
        <v>74</v>
      </c>
      <c r="D95" s="1" t="s">
        <v>74</v>
      </c>
      <c r="E95" s="1" t="s">
        <v>74</v>
      </c>
      <c r="F95" s="1" t="s">
        <v>984</v>
      </c>
      <c r="G95" s="1" t="s">
        <v>74</v>
      </c>
      <c r="H95" s="1" t="s">
        <v>74</v>
      </c>
      <c r="I95" s="1" t="s">
        <v>985</v>
      </c>
      <c r="J95" s="1" t="s">
        <v>986</v>
      </c>
      <c r="K95" s="1" t="s">
        <v>74</v>
      </c>
      <c r="L95" s="1" t="s">
        <v>74</v>
      </c>
      <c r="M95" s="1" t="s">
        <v>74</v>
      </c>
      <c r="N95" s="1" t="s">
        <v>74</v>
      </c>
      <c r="O95" s="1" t="s">
        <v>987</v>
      </c>
      <c r="P95" s="1" t="s">
        <v>988</v>
      </c>
      <c r="Q95" s="1" t="s">
        <v>989</v>
      </c>
      <c r="R95" s="1" t="s">
        <v>74</v>
      </c>
      <c r="S95" s="1" t="s">
        <v>74</v>
      </c>
      <c r="T95" s="1" t="s">
        <v>74</v>
      </c>
      <c r="U95" s="1" t="s">
        <v>74</v>
      </c>
      <c r="V95" s="1" t="s">
        <v>74</v>
      </c>
      <c r="W95" s="1" t="s">
        <v>74</v>
      </c>
      <c r="X95" s="1" t="s">
        <v>74</v>
      </c>
      <c r="Y95" s="1" t="s">
        <v>74</v>
      </c>
      <c r="Z95" s="1" t="s">
        <v>74</v>
      </c>
      <c r="AA95" s="1" t="s">
        <v>74</v>
      </c>
      <c r="AB95" s="1" t="s">
        <v>74</v>
      </c>
      <c r="AC95" s="1" t="s">
        <v>74</v>
      </c>
      <c r="AD95" s="1" t="s">
        <v>74</v>
      </c>
      <c r="AE95" s="1" t="s">
        <v>74</v>
      </c>
      <c r="AF95" s="1" t="s">
        <v>74</v>
      </c>
      <c r="AG95" s="1" t="s">
        <v>74</v>
      </c>
      <c r="AH95" s="1" t="s">
        <v>74</v>
      </c>
      <c r="AI95" s="1" t="s">
        <v>74</v>
      </c>
      <c r="AJ95" s="1" t="s">
        <v>74</v>
      </c>
      <c r="AK95" s="1" t="s">
        <v>74</v>
      </c>
      <c r="AL95" s="1" t="s">
        <v>74</v>
      </c>
      <c r="AM95" s="1" t="s">
        <v>74</v>
      </c>
      <c r="AN95" s="1" t="s">
        <v>74</v>
      </c>
      <c r="AO95" s="1" t="s">
        <v>990</v>
      </c>
      <c r="AP95" s="1" t="s">
        <v>991</v>
      </c>
      <c r="AQ95" s="1" t="s">
        <v>74</v>
      </c>
      <c r="AR95" s="1" t="s">
        <v>74</v>
      </c>
      <c r="AS95" s="1" t="s">
        <v>74</v>
      </c>
      <c r="AT95" s="1" t="s">
        <v>276</v>
      </c>
      <c r="AU95" s="1">
        <v>2007.0</v>
      </c>
      <c r="AV95" s="1">
        <v>131.0</v>
      </c>
      <c r="AW95" s="1">
        <v>2.0</v>
      </c>
      <c r="AX95" s="1" t="s">
        <v>74</v>
      </c>
      <c r="AY95" s="1" t="s">
        <v>162</v>
      </c>
      <c r="AZ95" s="1" t="s">
        <v>74</v>
      </c>
      <c r="BA95" s="1" t="s">
        <v>74</v>
      </c>
      <c r="BB95" s="1" t="s">
        <v>992</v>
      </c>
      <c r="BC95" s="1" t="s">
        <v>993</v>
      </c>
      <c r="BD95" s="1" t="s">
        <v>74</v>
      </c>
      <c r="BE95" s="1" t="s">
        <v>994</v>
      </c>
      <c r="BF95" s="2" t="str">
        <f>HYPERLINK("http://dx.doi.org/10.1016/j.jbiotec.2007.07.857","http://dx.doi.org/10.1016/j.jbiotec.2007.07.857")</f>
        <v>http://dx.doi.org/10.1016/j.jbiotec.2007.07.857</v>
      </c>
      <c r="BG95" s="1" t="s">
        <v>74</v>
      </c>
      <c r="BH95" s="1" t="s">
        <v>74</v>
      </c>
      <c r="BI95" s="1" t="s">
        <v>74</v>
      </c>
      <c r="BJ95" s="1" t="s">
        <v>74</v>
      </c>
      <c r="BK95" s="1" t="s">
        <v>74</v>
      </c>
      <c r="BL95" s="1" t="s">
        <v>74</v>
      </c>
      <c r="BM95" s="1" t="s">
        <v>74</v>
      </c>
      <c r="BN95" s="1" t="s">
        <v>74</v>
      </c>
      <c r="BO95" s="1" t="s">
        <v>74</v>
      </c>
      <c r="BP95" s="1" t="s">
        <v>74</v>
      </c>
      <c r="BQ95" s="1" t="s">
        <v>74</v>
      </c>
      <c r="BR95" s="1" t="s">
        <v>74</v>
      </c>
      <c r="BS95" s="1" t="s">
        <v>995</v>
      </c>
      <c r="BT95" s="1" t="str">
        <f>HYPERLINK("https%3A%2F%2Fwww.webofscience.com%2Fwos%2Fwoscc%2Ffull-record%2FWOS:000249687100246","View Full Record in Web of Science")</f>
        <v>View Full Record in Web of Science</v>
      </c>
    </row>
    <row r="96" ht="12.75" customHeight="1">
      <c r="A96" s="1" t="s">
        <v>91</v>
      </c>
      <c r="B96" s="1" t="s">
        <v>996</v>
      </c>
      <c r="C96" s="1" t="s">
        <v>74</v>
      </c>
      <c r="D96" s="1" t="s">
        <v>74</v>
      </c>
      <c r="E96" s="1" t="s">
        <v>997</v>
      </c>
      <c r="F96" s="1" t="s">
        <v>998</v>
      </c>
      <c r="G96" s="1" t="s">
        <v>74</v>
      </c>
      <c r="H96" s="1" t="s">
        <v>74</v>
      </c>
      <c r="I96" s="1" t="s">
        <v>999</v>
      </c>
      <c r="J96" s="1" t="s">
        <v>1000</v>
      </c>
      <c r="K96" s="1" t="s">
        <v>74</v>
      </c>
      <c r="L96" s="1" t="s">
        <v>74</v>
      </c>
      <c r="M96" s="1" t="s">
        <v>74</v>
      </c>
      <c r="N96" s="1" t="s">
        <v>74</v>
      </c>
      <c r="O96" s="1" t="s">
        <v>1001</v>
      </c>
      <c r="P96" s="1" t="s">
        <v>1002</v>
      </c>
      <c r="Q96" s="1" t="s">
        <v>1003</v>
      </c>
      <c r="R96" s="1" t="s">
        <v>1004</v>
      </c>
      <c r="S96" s="1" t="s">
        <v>74</v>
      </c>
      <c r="T96" s="1" t="s">
        <v>74</v>
      </c>
      <c r="U96" s="1" t="s">
        <v>74</v>
      </c>
      <c r="V96" s="1" t="s">
        <v>1005</v>
      </c>
      <c r="W96" s="1" t="s">
        <v>74</v>
      </c>
      <c r="X96" s="1" t="s">
        <v>74</v>
      </c>
      <c r="Y96" s="1" t="s">
        <v>74</v>
      </c>
      <c r="Z96" s="1" t="s">
        <v>74</v>
      </c>
      <c r="AA96" s="1" t="s">
        <v>1006</v>
      </c>
      <c r="AB96" s="1" t="s">
        <v>1007</v>
      </c>
      <c r="AC96" s="1" t="s">
        <v>74</v>
      </c>
      <c r="AD96" s="1" t="s">
        <v>74</v>
      </c>
      <c r="AE96" s="1" t="s">
        <v>74</v>
      </c>
      <c r="AF96" s="1" t="s">
        <v>74</v>
      </c>
      <c r="AG96" s="1" t="s">
        <v>74</v>
      </c>
      <c r="AH96" s="1" t="s">
        <v>74</v>
      </c>
      <c r="AI96" s="1" t="s">
        <v>74</v>
      </c>
      <c r="AJ96" s="1" t="s">
        <v>74</v>
      </c>
      <c r="AK96" s="1" t="s">
        <v>74</v>
      </c>
      <c r="AL96" s="1" t="s">
        <v>74</v>
      </c>
      <c r="AM96" s="1" t="s">
        <v>74</v>
      </c>
      <c r="AN96" s="1" t="s">
        <v>74</v>
      </c>
      <c r="AO96" s="1" t="s">
        <v>74</v>
      </c>
      <c r="AP96" s="1" t="s">
        <v>74</v>
      </c>
      <c r="AQ96" s="1" t="s">
        <v>1008</v>
      </c>
      <c r="AR96" s="1" t="s">
        <v>74</v>
      </c>
      <c r="AS96" s="1" t="s">
        <v>74</v>
      </c>
      <c r="AT96" s="1" t="s">
        <v>74</v>
      </c>
      <c r="AU96" s="1">
        <v>2007.0</v>
      </c>
      <c r="AV96" s="1" t="s">
        <v>74</v>
      </c>
      <c r="AW96" s="1" t="s">
        <v>74</v>
      </c>
      <c r="AX96" s="1" t="s">
        <v>74</v>
      </c>
      <c r="AY96" s="1" t="s">
        <v>74</v>
      </c>
      <c r="AZ96" s="1" t="s">
        <v>74</v>
      </c>
      <c r="BA96" s="1" t="s">
        <v>74</v>
      </c>
      <c r="BB96" s="1">
        <v>691.0</v>
      </c>
      <c r="BC96" s="1">
        <v>698.0</v>
      </c>
      <c r="BD96" s="1" t="s">
        <v>74</v>
      </c>
      <c r="BE96" s="1" t="s">
        <v>74</v>
      </c>
      <c r="BF96" s="1" t="s">
        <v>74</v>
      </c>
      <c r="BG96" s="1" t="s">
        <v>74</v>
      </c>
      <c r="BH96" s="1" t="s">
        <v>74</v>
      </c>
      <c r="BI96" s="1" t="s">
        <v>74</v>
      </c>
      <c r="BJ96" s="1" t="s">
        <v>74</v>
      </c>
      <c r="BK96" s="1" t="s">
        <v>74</v>
      </c>
      <c r="BL96" s="1" t="s">
        <v>74</v>
      </c>
      <c r="BM96" s="1" t="s">
        <v>74</v>
      </c>
      <c r="BN96" s="1" t="s">
        <v>74</v>
      </c>
      <c r="BO96" s="1" t="s">
        <v>74</v>
      </c>
      <c r="BP96" s="1" t="s">
        <v>74</v>
      </c>
      <c r="BQ96" s="1" t="s">
        <v>74</v>
      </c>
      <c r="BR96" s="1" t="s">
        <v>74</v>
      </c>
      <c r="BS96" s="1" t="s">
        <v>1009</v>
      </c>
      <c r="BT96" s="1" t="str">
        <f>HYPERLINK("https%3A%2F%2Fwww.webofscience.com%2Fwos%2Fwoscc%2Ffull-record%2FWOS:000254072500087","View Full Record in Web of Science")</f>
        <v>View Full Record in Web of Science</v>
      </c>
    </row>
    <row r="97" ht="12.75" customHeight="1">
      <c r="A97" s="1" t="s">
        <v>72</v>
      </c>
      <c r="B97" s="1" t="s">
        <v>1010</v>
      </c>
      <c r="C97" s="1" t="s">
        <v>74</v>
      </c>
      <c r="D97" s="1" t="s">
        <v>74</v>
      </c>
      <c r="E97" s="1" t="s">
        <v>74</v>
      </c>
      <c r="F97" s="1" t="s">
        <v>1011</v>
      </c>
      <c r="G97" s="1" t="s">
        <v>74</v>
      </c>
      <c r="H97" s="1" t="s">
        <v>74</v>
      </c>
      <c r="I97" s="1" t="s">
        <v>1012</v>
      </c>
      <c r="J97" s="1" t="s">
        <v>1013</v>
      </c>
      <c r="K97" s="1" t="s">
        <v>74</v>
      </c>
      <c r="L97" s="1" t="s">
        <v>74</v>
      </c>
      <c r="M97" s="1" t="s">
        <v>74</v>
      </c>
      <c r="N97" s="1" t="s">
        <v>74</v>
      </c>
      <c r="O97" s="1" t="s">
        <v>74</v>
      </c>
      <c r="P97" s="1" t="s">
        <v>74</v>
      </c>
      <c r="Q97" s="1" t="s">
        <v>74</v>
      </c>
      <c r="R97" s="1" t="s">
        <v>74</v>
      </c>
      <c r="S97" s="1" t="s">
        <v>74</v>
      </c>
      <c r="T97" s="1" t="s">
        <v>74</v>
      </c>
      <c r="U97" s="1" t="s">
        <v>74</v>
      </c>
      <c r="V97" s="1" t="s">
        <v>1014</v>
      </c>
      <c r="W97" s="1" t="s">
        <v>74</v>
      </c>
      <c r="X97" s="1" t="s">
        <v>74</v>
      </c>
      <c r="Y97" s="1" t="s">
        <v>74</v>
      </c>
      <c r="Z97" s="1" t="s">
        <v>74</v>
      </c>
      <c r="AA97" s="1" t="s">
        <v>74</v>
      </c>
      <c r="AB97" s="1" t="s">
        <v>1015</v>
      </c>
      <c r="AC97" s="1" t="s">
        <v>74</v>
      </c>
      <c r="AD97" s="1" t="s">
        <v>74</v>
      </c>
      <c r="AE97" s="1" t="s">
        <v>74</v>
      </c>
      <c r="AF97" s="1" t="s">
        <v>74</v>
      </c>
      <c r="AG97" s="1" t="s">
        <v>74</v>
      </c>
      <c r="AH97" s="1" t="s">
        <v>74</v>
      </c>
      <c r="AI97" s="1" t="s">
        <v>74</v>
      </c>
      <c r="AJ97" s="1" t="s">
        <v>74</v>
      </c>
      <c r="AK97" s="1" t="s">
        <v>74</v>
      </c>
      <c r="AL97" s="1" t="s">
        <v>74</v>
      </c>
      <c r="AM97" s="1" t="s">
        <v>74</v>
      </c>
      <c r="AN97" s="1" t="s">
        <v>74</v>
      </c>
      <c r="AO97" s="1" t="s">
        <v>1016</v>
      </c>
      <c r="AP97" s="1" t="s">
        <v>74</v>
      </c>
      <c r="AQ97" s="1" t="s">
        <v>74</v>
      </c>
      <c r="AR97" s="1" t="s">
        <v>74</v>
      </c>
      <c r="AS97" s="1" t="s">
        <v>74</v>
      </c>
      <c r="AT97" s="1" t="s">
        <v>129</v>
      </c>
      <c r="AU97" s="1">
        <v>2006.0</v>
      </c>
      <c r="AV97" s="1">
        <v>21.0</v>
      </c>
      <c r="AW97" s="1">
        <v>5.0</v>
      </c>
      <c r="AX97" s="1" t="s">
        <v>74</v>
      </c>
      <c r="AY97" s="1" t="s">
        <v>74</v>
      </c>
      <c r="AZ97" s="1" t="s">
        <v>74</v>
      </c>
      <c r="BA97" s="1" t="s">
        <v>74</v>
      </c>
      <c r="BB97" s="1">
        <v>783.0</v>
      </c>
      <c r="BC97" s="1">
        <v>785.0</v>
      </c>
      <c r="BD97" s="1" t="s">
        <v>74</v>
      </c>
      <c r="BE97" s="1" t="s">
        <v>1017</v>
      </c>
      <c r="BF97" s="2" t="str">
        <f>HYPERLINK("http://dx.doi.org/10.1002/ffj.1712","http://dx.doi.org/10.1002/ffj.1712")</f>
        <v>http://dx.doi.org/10.1002/ffj.1712</v>
      </c>
      <c r="BG97" s="1" t="s">
        <v>74</v>
      </c>
      <c r="BH97" s="1" t="s">
        <v>74</v>
      </c>
      <c r="BI97" s="1" t="s">
        <v>74</v>
      </c>
      <c r="BJ97" s="1" t="s">
        <v>74</v>
      </c>
      <c r="BK97" s="1" t="s">
        <v>74</v>
      </c>
      <c r="BL97" s="1" t="s">
        <v>74</v>
      </c>
      <c r="BM97" s="1" t="s">
        <v>74</v>
      </c>
      <c r="BN97" s="1" t="s">
        <v>74</v>
      </c>
      <c r="BO97" s="1" t="s">
        <v>74</v>
      </c>
      <c r="BP97" s="1" t="s">
        <v>74</v>
      </c>
      <c r="BQ97" s="1" t="s">
        <v>74</v>
      </c>
      <c r="BR97" s="1" t="s">
        <v>74</v>
      </c>
      <c r="BS97" s="1" t="s">
        <v>1018</v>
      </c>
      <c r="BT97" s="1" t="str">
        <f>HYPERLINK("https%3A%2F%2Fwww.webofscience.com%2Fwos%2Fwoscc%2Ffull-record%2FWOS:000240472600010","View Full Record in Web of Science")</f>
        <v>View Full Record in Web of Science</v>
      </c>
    </row>
    <row r="98" ht="12.75" customHeight="1">
      <c r="A98" s="1" t="s">
        <v>72</v>
      </c>
      <c r="B98" s="1" t="s">
        <v>1019</v>
      </c>
      <c r="C98" s="1" t="s">
        <v>74</v>
      </c>
      <c r="D98" s="1" t="s">
        <v>74</v>
      </c>
      <c r="E98" s="1" t="s">
        <v>74</v>
      </c>
      <c r="F98" s="1" t="s">
        <v>1019</v>
      </c>
      <c r="G98" s="1" t="s">
        <v>74</v>
      </c>
      <c r="H98" s="1" t="s">
        <v>74</v>
      </c>
      <c r="I98" s="1" t="s">
        <v>1020</v>
      </c>
      <c r="J98" s="1" t="s">
        <v>1021</v>
      </c>
      <c r="K98" s="1" t="s">
        <v>74</v>
      </c>
      <c r="L98" s="1" t="s">
        <v>74</v>
      </c>
      <c r="M98" s="1" t="s">
        <v>74</v>
      </c>
      <c r="N98" s="1" t="s">
        <v>74</v>
      </c>
      <c r="O98" s="1" t="s">
        <v>74</v>
      </c>
      <c r="P98" s="1" t="s">
        <v>74</v>
      </c>
      <c r="Q98" s="1" t="s">
        <v>74</v>
      </c>
      <c r="R98" s="1" t="s">
        <v>74</v>
      </c>
      <c r="S98" s="1" t="s">
        <v>74</v>
      </c>
      <c r="T98" s="1" t="s">
        <v>74</v>
      </c>
      <c r="U98" s="1" t="s">
        <v>74</v>
      </c>
      <c r="V98" s="1" t="s">
        <v>1022</v>
      </c>
      <c r="W98" s="1" t="s">
        <v>74</v>
      </c>
      <c r="X98" s="1" t="s">
        <v>74</v>
      </c>
      <c r="Y98" s="1" t="s">
        <v>74</v>
      </c>
      <c r="Z98" s="1" t="s">
        <v>74</v>
      </c>
      <c r="AA98" s="1" t="s">
        <v>74</v>
      </c>
      <c r="AB98" s="1" t="s">
        <v>74</v>
      </c>
      <c r="AC98" s="1" t="s">
        <v>74</v>
      </c>
      <c r="AD98" s="1" t="s">
        <v>74</v>
      </c>
      <c r="AE98" s="1" t="s">
        <v>74</v>
      </c>
      <c r="AF98" s="1" t="s">
        <v>74</v>
      </c>
      <c r="AG98" s="1" t="s">
        <v>74</v>
      </c>
      <c r="AH98" s="1" t="s">
        <v>74</v>
      </c>
      <c r="AI98" s="1" t="s">
        <v>74</v>
      </c>
      <c r="AJ98" s="1" t="s">
        <v>74</v>
      </c>
      <c r="AK98" s="1" t="s">
        <v>74</v>
      </c>
      <c r="AL98" s="1" t="s">
        <v>74</v>
      </c>
      <c r="AM98" s="1" t="s">
        <v>74</v>
      </c>
      <c r="AN98" s="1" t="s">
        <v>74</v>
      </c>
      <c r="AO98" s="1" t="s">
        <v>1023</v>
      </c>
      <c r="AP98" s="1" t="s">
        <v>1024</v>
      </c>
      <c r="AQ98" s="1" t="s">
        <v>74</v>
      </c>
      <c r="AR98" s="1" t="s">
        <v>74</v>
      </c>
      <c r="AS98" s="1" t="s">
        <v>74</v>
      </c>
      <c r="AT98" s="1" t="s">
        <v>205</v>
      </c>
      <c r="AU98" s="1">
        <v>2005.0</v>
      </c>
      <c r="AV98" s="1">
        <v>54.0</v>
      </c>
      <c r="AW98" s="1">
        <v>11.0</v>
      </c>
      <c r="AX98" s="1" t="s">
        <v>74</v>
      </c>
      <c r="AY98" s="1" t="s">
        <v>74</v>
      </c>
      <c r="AZ98" s="1" t="s">
        <v>74</v>
      </c>
      <c r="BA98" s="1" t="s">
        <v>74</v>
      </c>
      <c r="BB98" s="1">
        <v>1484.0</v>
      </c>
      <c r="BC98" s="1">
        <v>1489.0</v>
      </c>
      <c r="BD98" s="1" t="s">
        <v>74</v>
      </c>
      <c r="BE98" s="1" t="s">
        <v>1025</v>
      </c>
      <c r="BF98" s="2" t="str">
        <f>HYPERLINK("http://dx.doi.org/10.1002/pi.1872","http://dx.doi.org/10.1002/pi.1872")</f>
        <v>http://dx.doi.org/10.1002/pi.1872</v>
      </c>
      <c r="BG98" s="1" t="s">
        <v>74</v>
      </c>
      <c r="BH98" s="1" t="s">
        <v>74</v>
      </c>
      <c r="BI98" s="1" t="s">
        <v>74</v>
      </c>
      <c r="BJ98" s="1" t="s">
        <v>74</v>
      </c>
      <c r="BK98" s="1" t="s">
        <v>74</v>
      </c>
      <c r="BL98" s="1" t="s">
        <v>74</v>
      </c>
      <c r="BM98" s="1" t="s">
        <v>74</v>
      </c>
      <c r="BN98" s="1" t="s">
        <v>74</v>
      </c>
      <c r="BO98" s="1" t="s">
        <v>74</v>
      </c>
      <c r="BP98" s="1" t="s">
        <v>74</v>
      </c>
      <c r="BQ98" s="1" t="s">
        <v>74</v>
      </c>
      <c r="BR98" s="1" t="s">
        <v>74</v>
      </c>
      <c r="BS98" s="1" t="s">
        <v>1026</v>
      </c>
      <c r="BT98" s="1" t="str">
        <f>HYPERLINK("https%3A%2F%2Fwww.webofscience.com%2Fwos%2Fwoscc%2Ffull-record%2FWOS:000232591700003","View Full Record in Web of Science")</f>
        <v>View Full Record in Web of Science</v>
      </c>
    </row>
    <row r="99" ht="12.75" customHeight="1">
      <c r="A99" s="1" t="s">
        <v>162</v>
      </c>
      <c r="B99" s="1" t="s">
        <v>1027</v>
      </c>
      <c r="C99" s="1" t="s">
        <v>74</v>
      </c>
      <c r="D99" s="1" t="s">
        <v>1028</v>
      </c>
      <c r="E99" s="1" t="s">
        <v>74</v>
      </c>
      <c r="F99" s="1" t="s">
        <v>1027</v>
      </c>
      <c r="G99" s="1" t="s">
        <v>74</v>
      </c>
      <c r="H99" s="1" t="s">
        <v>74</v>
      </c>
      <c r="I99" s="1" t="s">
        <v>1029</v>
      </c>
      <c r="J99" s="1" t="s">
        <v>1030</v>
      </c>
      <c r="K99" s="1" t="s">
        <v>887</v>
      </c>
      <c r="L99" s="1" t="s">
        <v>74</v>
      </c>
      <c r="M99" s="1" t="s">
        <v>74</v>
      </c>
      <c r="N99" s="1" t="s">
        <v>74</v>
      </c>
      <c r="O99" s="1" t="s">
        <v>1031</v>
      </c>
      <c r="P99" s="1" t="s">
        <v>1032</v>
      </c>
      <c r="Q99" s="1" t="s">
        <v>1033</v>
      </c>
      <c r="R99" s="1" t="s">
        <v>1034</v>
      </c>
      <c r="S99" s="1" t="s">
        <v>74</v>
      </c>
      <c r="T99" s="1" t="s">
        <v>74</v>
      </c>
      <c r="U99" s="1" t="s">
        <v>74</v>
      </c>
      <c r="V99" s="1" t="s">
        <v>1035</v>
      </c>
      <c r="W99" s="1" t="s">
        <v>74</v>
      </c>
      <c r="X99" s="1" t="s">
        <v>74</v>
      </c>
      <c r="Y99" s="1" t="s">
        <v>74</v>
      </c>
      <c r="Z99" s="1" t="s">
        <v>74</v>
      </c>
      <c r="AA99" s="1" t="s">
        <v>74</v>
      </c>
      <c r="AB99" s="1" t="s">
        <v>1036</v>
      </c>
      <c r="AC99" s="1" t="s">
        <v>74</v>
      </c>
      <c r="AD99" s="1" t="s">
        <v>74</v>
      </c>
      <c r="AE99" s="1" t="s">
        <v>74</v>
      </c>
      <c r="AF99" s="1" t="s">
        <v>74</v>
      </c>
      <c r="AG99" s="1" t="s">
        <v>74</v>
      </c>
      <c r="AH99" s="1" t="s">
        <v>74</v>
      </c>
      <c r="AI99" s="1" t="s">
        <v>74</v>
      </c>
      <c r="AJ99" s="1" t="s">
        <v>74</v>
      </c>
      <c r="AK99" s="1" t="s">
        <v>74</v>
      </c>
      <c r="AL99" s="1" t="s">
        <v>74</v>
      </c>
      <c r="AM99" s="1" t="s">
        <v>74</v>
      </c>
      <c r="AN99" s="1" t="s">
        <v>74</v>
      </c>
      <c r="AO99" s="1" t="s">
        <v>893</v>
      </c>
      <c r="AP99" s="1" t="s">
        <v>894</v>
      </c>
      <c r="AQ99" s="1" t="s">
        <v>1037</v>
      </c>
      <c r="AR99" s="1" t="s">
        <v>74</v>
      </c>
      <c r="AS99" s="1" t="s">
        <v>74</v>
      </c>
      <c r="AT99" s="1" t="s">
        <v>74</v>
      </c>
      <c r="AU99" s="1">
        <v>2005.0</v>
      </c>
      <c r="AV99" s="1">
        <v>3498.0</v>
      </c>
      <c r="AW99" s="1" t="s">
        <v>74</v>
      </c>
      <c r="AX99" s="1" t="s">
        <v>74</v>
      </c>
      <c r="AY99" s="1" t="s">
        <v>74</v>
      </c>
      <c r="AZ99" s="1" t="s">
        <v>74</v>
      </c>
      <c r="BA99" s="1" t="s">
        <v>74</v>
      </c>
      <c r="BB99" s="1">
        <v>833.0</v>
      </c>
      <c r="BC99" s="1">
        <v>838.0</v>
      </c>
      <c r="BD99" s="1" t="s">
        <v>74</v>
      </c>
      <c r="BE99" s="1" t="s">
        <v>74</v>
      </c>
      <c r="BF99" s="1" t="s">
        <v>74</v>
      </c>
      <c r="BG99" s="1" t="s">
        <v>74</v>
      </c>
      <c r="BH99" s="1" t="s">
        <v>74</v>
      </c>
      <c r="BI99" s="1" t="s">
        <v>74</v>
      </c>
      <c r="BJ99" s="1" t="s">
        <v>74</v>
      </c>
      <c r="BK99" s="1" t="s">
        <v>74</v>
      </c>
      <c r="BL99" s="1" t="s">
        <v>74</v>
      </c>
      <c r="BM99" s="1" t="s">
        <v>74</v>
      </c>
      <c r="BN99" s="1" t="s">
        <v>74</v>
      </c>
      <c r="BO99" s="1" t="s">
        <v>74</v>
      </c>
      <c r="BP99" s="1" t="s">
        <v>74</v>
      </c>
      <c r="BQ99" s="1" t="s">
        <v>74</v>
      </c>
      <c r="BR99" s="1" t="s">
        <v>74</v>
      </c>
      <c r="BS99" s="1" t="s">
        <v>1038</v>
      </c>
      <c r="BT99" s="1" t="str">
        <f>HYPERLINK("https%3A%2F%2Fwww.webofscience.com%2Fwos%2Fwoscc%2Ffull-record%2FWOS:000230167700132","View Full Record in Web of Science")</f>
        <v>View Full Record in Web of Science</v>
      </c>
    </row>
    <row r="100" ht="12.75" customHeight="1">
      <c r="A100" s="1" t="s">
        <v>72</v>
      </c>
      <c r="B100" s="1" t="s">
        <v>1039</v>
      </c>
      <c r="C100" s="1" t="s">
        <v>74</v>
      </c>
      <c r="D100" s="1" t="s">
        <v>74</v>
      </c>
      <c r="E100" s="1" t="s">
        <v>74</v>
      </c>
      <c r="F100" s="1" t="s">
        <v>1039</v>
      </c>
      <c r="G100" s="1" t="s">
        <v>74</v>
      </c>
      <c r="H100" s="1" t="s">
        <v>74</v>
      </c>
      <c r="I100" s="1" t="s">
        <v>1040</v>
      </c>
      <c r="J100" s="1" t="s">
        <v>1041</v>
      </c>
      <c r="K100" s="1" t="s">
        <v>74</v>
      </c>
      <c r="L100" s="1" t="s">
        <v>74</v>
      </c>
      <c r="M100" s="1" t="s">
        <v>74</v>
      </c>
      <c r="N100" s="1" t="s">
        <v>74</v>
      </c>
      <c r="O100" s="1" t="s">
        <v>74</v>
      </c>
      <c r="P100" s="1" t="s">
        <v>74</v>
      </c>
      <c r="Q100" s="1" t="s">
        <v>74</v>
      </c>
      <c r="R100" s="1" t="s">
        <v>74</v>
      </c>
      <c r="S100" s="1" t="s">
        <v>74</v>
      </c>
      <c r="T100" s="1" t="s">
        <v>74</v>
      </c>
      <c r="U100" s="1" t="s">
        <v>74</v>
      </c>
      <c r="V100" s="1" t="s">
        <v>1042</v>
      </c>
      <c r="W100" s="1" t="s">
        <v>74</v>
      </c>
      <c r="X100" s="1" t="s">
        <v>74</v>
      </c>
      <c r="Y100" s="1" t="s">
        <v>74</v>
      </c>
      <c r="Z100" s="1" t="s">
        <v>74</v>
      </c>
      <c r="AA100" s="1" t="s">
        <v>1043</v>
      </c>
      <c r="AB100" s="1" t="s">
        <v>1044</v>
      </c>
      <c r="AC100" s="1" t="s">
        <v>74</v>
      </c>
      <c r="AD100" s="1" t="s">
        <v>74</v>
      </c>
      <c r="AE100" s="1" t="s">
        <v>74</v>
      </c>
      <c r="AF100" s="1" t="s">
        <v>74</v>
      </c>
      <c r="AG100" s="1" t="s">
        <v>74</v>
      </c>
      <c r="AH100" s="1" t="s">
        <v>74</v>
      </c>
      <c r="AI100" s="1" t="s">
        <v>74</v>
      </c>
      <c r="AJ100" s="1" t="s">
        <v>74</v>
      </c>
      <c r="AK100" s="1" t="s">
        <v>74</v>
      </c>
      <c r="AL100" s="1" t="s">
        <v>74</v>
      </c>
      <c r="AM100" s="1" t="s">
        <v>74</v>
      </c>
      <c r="AN100" s="1" t="s">
        <v>74</v>
      </c>
      <c r="AO100" s="1" t="s">
        <v>1045</v>
      </c>
      <c r="AP100" s="1" t="s">
        <v>74</v>
      </c>
      <c r="AQ100" s="1" t="s">
        <v>74</v>
      </c>
      <c r="AR100" s="1" t="s">
        <v>74</v>
      </c>
      <c r="AS100" s="1" t="s">
        <v>74</v>
      </c>
      <c r="AT100" s="1" t="s">
        <v>74</v>
      </c>
      <c r="AU100" s="1">
        <v>2005.0</v>
      </c>
      <c r="AV100" s="1">
        <v>14.0</v>
      </c>
      <c r="AW100" s="1" t="s">
        <v>1046</v>
      </c>
      <c r="AX100" s="1" t="s">
        <v>74</v>
      </c>
      <c r="AY100" s="1" t="s">
        <v>74</v>
      </c>
      <c r="AZ100" s="1" t="s">
        <v>74</v>
      </c>
      <c r="BA100" s="1" t="s">
        <v>74</v>
      </c>
      <c r="BB100" s="1">
        <v>19.0</v>
      </c>
      <c r="BC100" s="1">
        <v>22.0</v>
      </c>
      <c r="BD100" s="1" t="s">
        <v>74</v>
      </c>
      <c r="BE100" s="1" t="s">
        <v>74</v>
      </c>
      <c r="BF100" s="1" t="s">
        <v>74</v>
      </c>
      <c r="BG100" s="1" t="s">
        <v>74</v>
      </c>
      <c r="BH100" s="1" t="s">
        <v>74</v>
      </c>
      <c r="BI100" s="1" t="s">
        <v>74</v>
      </c>
      <c r="BJ100" s="1" t="s">
        <v>74</v>
      </c>
      <c r="BK100" s="1" t="s">
        <v>74</v>
      </c>
      <c r="BL100" s="1" t="s">
        <v>74</v>
      </c>
      <c r="BM100" s="1" t="s">
        <v>74</v>
      </c>
      <c r="BN100" s="1" t="s">
        <v>74</v>
      </c>
      <c r="BO100" s="1" t="s">
        <v>74</v>
      </c>
      <c r="BP100" s="1" t="s">
        <v>74</v>
      </c>
      <c r="BQ100" s="1" t="s">
        <v>74</v>
      </c>
      <c r="BR100" s="1" t="s">
        <v>74</v>
      </c>
      <c r="BS100" s="1" t="s">
        <v>1047</v>
      </c>
      <c r="BT100" s="1" t="str">
        <f>HYPERLINK("https%3A%2F%2Fwww.webofscience.com%2Fwos%2Fwoscc%2Ffull-record%2FWOS:000234523200004","View Full Record in Web of Science")</f>
        <v>View Full Record in Web of Science</v>
      </c>
    </row>
    <row r="101" ht="12.75" customHeight="1">
      <c r="A101" s="1" t="s">
        <v>72</v>
      </c>
      <c r="B101" s="1" t="s">
        <v>1048</v>
      </c>
      <c r="C101" s="1" t="s">
        <v>74</v>
      </c>
      <c r="D101" s="1" t="s">
        <v>74</v>
      </c>
      <c r="E101" s="1" t="s">
        <v>74</v>
      </c>
      <c r="F101" s="1" t="s">
        <v>1048</v>
      </c>
      <c r="G101" s="1" t="s">
        <v>74</v>
      </c>
      <c r="H101" s="1" t="s">
        <v>74</v>
      </c>
      <c r="I101" s="1" t="s">
        <v>1049</v>
      </c>
      <c r="J101" s="1" t="s">
        <v>1050</v>
      </c>
      <c r="K101" s="1" t="s">
        <v>74</v>
      </c>
      <c r="L101" s="1" t="s">
        <v>74</v>
      </c>
      <c r="M101" s="1" t="s">
        <v>74</v>
      </c>
      <c r="N101" s="1" t="s">
        <v>74</v>
      </c>
      <c r="O101" s="1" t="s">
        <v>74</v>
      </c>
      <c r="P101" s="1" t="s">
        <v>74</v>
      </c>
      <c r="Q101" s="1" t="s">
        <v>74</v>
      </c>
      <c r="R101" s="1" t="s">
        <v>74</v>
      </c>
      <c r="S101" s="1" t="s">
        <v>74</v>
      </c>
      <c r="T101" s="1" t="s">
        <v>74</v>
      </c>
      <c r="U101" s="1" t="s">
        <v>74</v>
      </c>
      <c r="V101" s="1" t="s">
        <v>1051</v>
      </c>
      <c r="W101" s="1" t="s">
        <v>74</v>
      </c>
      <c r="X101" s="1" t="s">
        <v>74</v>
      </c>
      <c r="Y101" s="1" t="s">
        <v>74</v>
      </c>
      <c r="Z101" s="1" t="s">
        <v>74</v>
      </c>
      <c r="AA101" s="1" t="s">
        <v>1052</v>
      </c>
      <c r="AB101" s="1" t="s">
        <v>1053</v>
      </c>
      <c r="AC101" s="1" t="s">
        <v>74</v>
      </c>
      <c r="AD101" s="1" t="s">
        <v>74</v>
      </c>
      <c r="AE101" s="1" t="s">
        <v>74</v>
      </c>
      <c r="AF101" s="1" t="s">
        <v>74</v>
      </c>
      <c r="AG101" s="1" t="s">
        <v>74</v>
      </c>
      <c r="AH101" s="1" t="s">
        <v>74</v>
      </c>
      <c r="AI101" s="1" t="s">
        <v>74</v>
      </c>
      <c r="AJ101" s="1" t="s">
        <v>74</v>
      </c>
      <c r="AK101" s="1" t="s">
        <v>74</v>
      </c>
      <c r="AL101" s="1" t="s">
        <v>74</v>
      </c>
      <c r="AM101" s="1" t="s">
        <v>74</v>
      </c>
      <c r="AN101" s="1" t="s">
        <v>74</v>
      </c>
      <c r="AO101" s="1" t="s">
        <v>1054</v>
      </c>
      <c r="AP101" s="1" t="s">
        <v>74</v>
      </c>
      <c r="AQ101" s="1" t="s">
        <v>74</v>
      </c>
      <c r="AR101" s="1" t="s">
        <v>74</v>
      </c>
      <c r="AS101" s="1" t="s">
        <v>74</v>
      </c>
      <c r="AT101" s="1" t="s">
        <v>276</v>
      </c>
      <c r="AU101" s="1">
        <v>2004.0</v>
      </c>
      <c r="AV101" s="1">
        <v>49.0</v>
      </c>
      <c r="AW101" s="1">
        <v>3.0</v>
      </c>
      <c r="AX101" s="1" t="s">
        <v>74</v>
      </c>
      <c r="AY101" s="1" t="s">
        <v>74</v>
      </c>
      <c r="AZ101" s="1" t="s">
        <v>74</v>
      </c>
      <c r="BA101" s="1" t="s">
        <v>74</v>
      </c>
      <c r="BB101" s="1">
        <v>261.0</v>
      </c>
      <c r="BC101" s="1">
        <v>266.0</v>
      </c>
      <c r="BD101" s="1" t="s">
        <v>74</v>
      </c>
      <c r="BE101" s="1" t="s">
        <v>74</v>
      </c>
      <c r="BF101" s="1" t="s">
        <v>74</v>
      </c>
      <c r="BG101" s="1" t="s">
        <v>74</v>
      </c>
      <c r="BH101" s="1" t="s">
        <v>74</v>
      </c>
      <c r="BI101" s="1" t="s">
        <v>74</v>
      </c>
      <c r="BJ101" s="1" t="s">
        <v>74</v>
      </c>
      <c r="BK101" s="1" t="s">
        <v>74</v>
      </c>
      <c r="BL101" s="1" t="s">
        <v>74</v>
      </c>
      <c r="BM101" s="1" t="s">
        <v>74</v>
      </c>
      <c r="BN101" s="1" t="s">
        <v>74</v>
      </c>
      <c r="BO101" s="1" t="s">
        <v>74</v>
      </c>
      <c r="BP101" s="1" t="s">
        <v>74</v>
      </c>
      <c r="BQ101" s="1" t="s">
        <v>74</v>
      </c>
      <c r="BR101" s="1" t="s">
        <v>74</v>
      </c>
      <c r="BS101" s="1" t="s">
        <v>1055</v>
      </c>
      <c r="BT101" s="1" t="str">
        <f>HYPERLINK("https%3A%2F%2Fwww.webofscience.com%2Fwos%2Fwoscc%2Ffull-record%2FWOS:000223792700014","View Full Record in Web of Science")</f>
        <v>View Full Record in Web of Science</v>
      </c>
    </row>
    <row r="102" ht="12.75" customHeight="1">
      <c r="A102" s="1" t="s">
        <v>72</v>
      </c>
      <c r="B102" s="1" t="s">
        <v>1056</v>
      </c>
      <c r="C102" s="1" t="s">
        <v>74</v>
      </c>
      <c r="D102" s="1" t="s">
        <v>74</v>
      </c>
      <c r="E102" s="1" t="s">
        <v>74</v>
      </c>
      <c r="F102" s="1" t="s">
        <v>1056</v>
      </c>
      <c r="G102" s="1" t="s">
        <v>74</v>
      </c>
      <c r="H102" s="1" t="s">
        <v>74</v>
      </c>
      <c r="I102" s="1" t="s">
        <v>1057</v>
      </c>
      <c r="J102" s="1" t="s">
        <v>1058</v>
      </c>
      <c r="K102" s="1" t="s">
        <v>74</v>
      </c>
      <c r="L102" s="1" t="s">
        <v>74</v>
      </c>
      <c r="M102" s="1" t="s">
        <v>74</v>
      </c>
      <c r="N102" s="1" t="s">
        <v>74</v>
      </c>
      <c r="O102" s="1" t="s">
        <v>1059</v>
      </c>
      <c r="P102" s="1" t="s">
        <v>1060</v>
      </c>
      <c r="Q102" s="1" t="s">
        <v>1061</v>
      </c>
      <c r="R102" s="1" t="s">
        <v>1062</v>
      </c>
      <c r="S102" s="1" t="s">
        <v>74</v>
      </c>
      <c r="T102" s="1" t="s">
        <v>74</v>
      </c>
      <c r="U102" s="1" t="s">
        <v>74</v>
      </c>
      <c r="V102" s="1" t="s">
        <v>1063</v>
      </c>
      <c r="W102" s="1" t="s">
        <v>74</v>
      </c>
      <c r="X102" s="1" t="s">
        <v>74</v>
      </c>
      <c r="Y102" s="1" t="s">
        <v>74</v>
      </c>
      <c r="Z102" s="1" t="s">
        <v>74</v>
      </c>
      <c r="AA102" s="1" t="s">
        <v>1064</v>
      </c>
      <c r="AB102" s="1" t="s">
        <v>1065</v>
      </c>
      <c r="AC102" s="1" t="s">
        <v>74</v>
      </c>
      <c r="AD102" s="1" t="s">
        <v>74</v>
      </c>
      <c r="AE102" s="1" t="s">
        <v>74</v>
      </c>
      <c r="AF102" s="1" t="s">
        <v>74</v>
      </c>
      <c r="AG102" s="1" t="s">
        <v>74</v>
      </c>
      <c r="AH102" s="1" t="s">
        <v>74</v>
      </c>
      <c r="AI102" s="1" t="s">
        <v>74</v>
      </c>
      <c r="AJ102" s="1" t="s">
        <v>74</v>
      </c>
      <c r="AK102" s="1" t="s">
        <v>74</v>
      </c>
      <c r="AL102" s="1" t="s">
        <v>74</v>
      </c>
      <c r="AM102" s="1" t="s">
        <v>74</v>
      </c>
      <c r="AN102" s="1" t="s">
        <v>74</v>
      </c>
      <c r="AO102" s="1" t="s">
        <v>1066</v>
      </c>
      <c r="AP102" s="1" t="s">
        <v>1067</v>
      </c>
      <c r="AQ102" s="1" t="s">
        <v>74</v>
      </c>
      <c r="AR102" s="1" t="s">
        <v>74</v>
      </c>
      <c r="AS102" s="1" t="s">
        <v>74</v>
      </c>
      <c r="AT102" s="1" t="s">
        <v>370</v>
      </c>
      <c r="AU102" s="1">
        <v>2004.0</v>
      </c>
      <c r="AV102" s="1">
        <v>12.0</v>
      </c>
      <c r="AW102" s="1">
        <v>4.0</v>
      </c>
      <c r="AX102" s="1" t="s">
        <v>74</v>
      </c>
      <c r="AY102" s="1" t="s">
        <v>74</v>
      </c>
      <c r="AZ102" s="1" t="s">
        <v>74</v>
      </c>
      <c r="BA102" s="1" t="s">
        <v>74</v>
      </c>
      <c r="BB102" s="1" t="s">
        <v>1068</v>
      </c>
      <c r="BC102" s="1" t="s">
        <v>1069</v>
      </c>
      <c r="BD102" s="1" t="s">
        <v>1070</v>
      </c>
      <c r="BE102" s="1" t="s">
        <v>1071</v>
      </c>
      <c r="BF102" s="2" t="str">
        <f>HYPERLINK("http://dx.doi.org/10.1088/0965-0393/12/4/S09","http://dx.doi.org/10.1088/0965-0393/12/4/S09")</f>
        <v>http://dx.doi.org/10.1088/0965-0393/12/4/S09</v>
      </c>
      <c r="BG102" s="1" t="s">
        <v>74</v>
      </c>
      <c r="BH102" s="1" t="s">
        <v>74</v>
      </c>
      <c r="BI102" s="1" t="s">
        <v>74</v>
      </c>
      <c r="BJ102" s="1" t="s">
        <v>74</v>
      </c>
      <c r="BK102" s="1" t="s">
        <v>74</v>
      </c>
      <c r="BL102" s="1" t="s">
        <v>74</v>
      </c>
      <c r="BM102" s="1" t="s">
        <v>74</v>
      </c>
      <c r="BN102" s="1" t="s">
        <v>74</v>
      </c>
      <c r="BO102" s="1" t="s">
        <v>74</v>
      </c>
      <c r="BP102" s="1" t="s">
        <v>74</v>
      </c>
      <c r="BQ102" s="1" t="s">
        <v>74</v>
      </c>
      <c r="BR102" s="1" t="s">
        <v>74</v>
      </c>
      <c r="BS102" s="1" t="s">
        <v>1072</v>
      </c>
      <c r="BT102" s="1" t="str">
        <f>HYPERLINK("https%3A%2F%2Fwww.webofscience.com%2Fwos%2Fwoscc%2Ffull-record%2FWOS:000222671000023","View Full Record in Web of Science")</f>
        <v>View Full Record in Web of Science</v>
      </c>
    </row>
    <row r="103" ht="12.75" customHeight="1">
      <c r="A103" s="1" t="s">
        <v>72</v>
      </c>
      <c r="B103" s="1" t="s">
        <v>1073</v>
      </c>
      <c r="C103" s="1" t="s">
        <v>74</v>
      </c>
      <c r="D103" s="1" t="s">
        <v>74</v>
      </c>
      <c r="E103" s="1" t="s">
        <v>74</v>
      </c>
      <c r="F103" s="1" t="s">
        <v>1073</v>
      </c>
      <c r="G103" s="1" t="s">
        <v>74</v>
      </c>
      <c r="H103" s="1" t="s">
        <v>74</v>
      </c>
      <c r="I103" s="1" t="s">
        <v>1074</v>
      </c>
      <c r="J103" s="1" t="s">
        <v>1075</v>
      </c>
      <c r="K103" s="1" t="s">
        <v>74</v>
      </c>
      <c r="L103" s="1" t="s">
        <v>74</v>
      </c>
      <c r="M103" s="1" t="s">
        <v>74</v>
      </c>
      <c r="N103" s="1" t="s">
        <v>74</v>
      </c>
      <c r="O103" s="1" t="s">
        <v>1076</v>
      </c>
      <c r="P103" s="1" t="s">
        <v>1077</v>
      </c>
      <c r="Q103" s="1" t="s">
        <v>1078</v>
      </c>
      <c r="R103" s="1" t="s">
        <v>74</v>
      </c>
      <c r="S103" s="1" t="s">
        <v>74</v>
      </c>
      <c r="T103" s="1" t="s">
        <v>74</v>
      </c>
      <c r="U103" s="1" t="s">
        <v>74</v>
      </c>
      <c r="V103" s="1" t="s">
        <v>1079</v>
      </c>
      <c r="W103" s="1" t="s">
        <v>74</v>
      </c>
      <c r="X103" s="1" t="s">
        <v>74</v>
      </c>
      <c r="Y103" s="1" t="s">
        <v>74</v>
      </c>
      <c r="Z103" s="1" t="s">
        <v>74</v>
      </c>
      <c r="AA103" s="1" t="s">
        <v>74</v>
      </c>
      <c r="AB103" s="1" t="s">
        <v>74</v>
      </c>
      <c r="AC103" s="1" t="s">
        <v>74</v>
      </c>
      <c r="AD103" s="1" t="s">
        <v>74</v>
      </c>
      <c r="AE103" s="1" t="s">
        <v>74</v>
      </c>
      <c r="AF103" s="1" t="s">
        <v>74</v>
      </c>
      <c r="AG103" s="1" t="s">
        <v>74</v>
      </c>
      <c r="AH103" s="1" t="s">
        <v>74</v>
      </c>
      <c r="AI103" s="1" t="s">
        <v>74</v>
      </c>
      <c r="AJ103" s="1" t="s">
        <v>74</v>
      </c>
      <c r="AK103" s="1" t="s">
        <v>74</v>
      </c>
      <c r="AL103" s="1" t="s">
        <v>74</v>
      </c>
      <c r="AM103" s="1" t="s">
        <v>74</v>
      </c>
      <c r="AN103" s="1" t="s">
        <v>74</v>
      </c>
      <c r="AO103" s="1" t="s">
        <v>1080</v>
      </c>
      <c r="AP103" s="1" t="s">
        <v>1081</v>
      </c>
      <c r="AQ103" s="1" t="s">
        <v>74</v>
      </c>
      <c r="AR103" s="1" t="s">
        <v>74</v>
      </c>
      <c r="AS103" s="1" t="s">
        <v>74</v>
      </c>
      <c r="AT103" s="1" t="s">
        <v>1082</v>
      </c>
      <c r="AU103" s="1">
        <v>2003.0</v>
      </c>
      <c r="AV103" s="1">
        <v>143.0</v>
      </c>
      <c r="AW103" s="1" t="s">
        <v>74</v>
      </c>
      <c r="AX103" s="1" t="s">
        <v>74</v>
      </c>
      <c r="AY103" s="1" t="s">
        <v>74</v>
      </c>
      <c r="AZ103" s="1" t="s">
        <v>564</v>
      </c>
      <c r="BA103" s="1" t="s">
        <v>74</v>
      </c>
      <c r="BB103" s="1">
        <v>533.0</v>
      </c>
      <c r="BC103" s="1">
        <v>538.0</v>
      </c>
      <c r="BD103" s="1" t="s">
        <v>74</v>
      </c>
      <c r="BE103" s="1" t="s">
        <v>1083</v>
      </c>
      <c r="BF103" s="2" t="str">
        <f>HYPERLINK("http://dx.doi.org/10.1016/S0924-0136(03)00342-X","http://dx.doi.org/10.1016/S0924-0136(03)00342-X")</f>
        <v>http://dx.doi.org/10.1016/S0924-0136(03)00342-X</v>
      </c>
      <c r="BG103" s="1" t="s">
        <v>74</v>
      </c>
      <c r="BH103" s="1" t="s">
        <v>74</v>
      </c>
      <c r="BI103" s="1" t="s">
        <v>74</v>
      </c>
      <c r="BJ103" s="1" t="s">
        <v>74</v>
      </c>
      <c r="BK103" s="1" t="s">
        <v>74</v>
      </c>
      <c r="BL103" s="1" t="s">
        <v>74</v>
      </c>
      <c r="BM103" s="1" t="s">
        <v>74</v>
      </c>
      <c r="BN103" s="1" t="s">
        <v>74</v>
      </c>
      <c r="BO103" s="1" t="s">
        <v>74</v>
      </c>
      <c r="BP103" s="1" t="s">
        <v>74</v>
      </c>
      <c r="BQ103" s="1" t="s">
        <v>74</v>
      </c>
      <c r="BR103" s="1" t="s">
        <v>74</v>
      </c>
      <c r="BS103" s="1" t="s">
        <v>1084</v>
      </c>
      <c r="BT103" s="1" t="str">
        <f>HYPERLINK("https%3A%2F%2Fwww.webofscience.com%2Fwos%2Fwoscc%2Ffull-record%2FWOS:000187510100101","View Full Record in Web of Science")</f>
        <v>View Full Record in Web of Science</v>
      </c>
    </row>
    <row r="104" ht="12.75" customHeight="1">
      <c r="A104" s="1" t="s">
        <v>72</v>
      </c>
      <c r="B104" s="1" t="s">
        <v>1085</v>
      </c>
      <c r="C104" s="1" t="s">
        <v>74</v>
      </c>
      <c r="D104" s="1" t="s">
        <v>74</v>
      </c>
      <c r="E104" s="1" t="s">
        <v>74</v>
      </c>
      <c r="F104" s="1" t="s">
        <v>1085</v>
      </c>
      <c r="G104" s="1" t="s">
        <v>74</v>
      </c>
      <c r="H104" s="1" t="s">
        <v>74</v>
      </c>
      <c r="I104" s="1" t="s">
        <v>1086</v>
      </c>
      <c r="J104" s="1" t="s">
        <v>1087</v>
      </c>
      <c r="K104" s="1" t="s">
        <v>74</v>
      </c>
      <c r="L104" s="1" t="s">
        <v>74</v>
      </c>
      <c r="M104" s="1" t="s">
        <v>74</v>
      </c>
      <c r="N104" s="1" t="s">
        <v>74</v>
      </c>
      <c r="O104" s="1" t="s">
        <v>74</v>
      </c>
      <c r="P104" s="1" t="s">
        <v>74</v>
      </c>
      <c r="Q104" s="1" t="s">
        <v>74</v>
      </c>
      <c r="R104" s="1" t="s">
        <v>74</v>
      </c>
      <c r="S104" s="1" t="s">
        <v>74</v>
      </c>
      <c r="T104" s="1" t="s">
        <v>74</v>
      </c>
      <c r="U104" s="1" t="s">
        <v>74</v>
      </c>
      <c r="V104" s="1" t="s">
        <v>1088</v>
      </c>
      <c r="W104" s="1" t="s">
        <v>74</v>
      </c>
      <c r="X104" s="1" t="s">
        <v>74</v>
      </c>
      <c r="Y104" s="1" t="s">
        <v>74</v>
      </c>
      <c r="Z104" s="1" t="s">
        <v>74</v>
      </c>
      <c r="AA104" s="1" t="s">
        <v>1089</v>
      </c>
      <c r="AB104" s="1" t="s">
        <v>1090</v>
      </c>
      <c r="AC104" s="1" t="s">
        <v>74</v>
      </c>
      <c r="AD104" s="1" t="s">
        <v>74</v>
      </c>
      <c r="AE104" s="1" t="s">
        <v>74</v>
      </c>
      <c r="AF104" s="1" t="s">
        <v>74</v>
      </c>
      <c r="AG104" s="1" t="s">
        <v>74</v>
      </c>
      <c r="AH104" s="1" t="s">
        <v>74</v>
      </c>
      <c r="AI104" s="1" t="s">
        <v>74</v>
      </c>
      <c r="AJ104" s="1" t="s">
        <v>74</v>
      </c>
      <c r="AK104" s="1" t="s">
        <v>74</v>
      </c>
      <c r="AL104" s="1" t="s">
        <v>74</v>
      </c>
      <c r="AM104" s="1" t="s">
        <v>74</v>
      </c>
      <c r="AN104" s="1" t="s">
        <v>74</v>
      </c>
      <c r="AO104" s="1" t="s">
        <v>1091</v>
      </c>
      <c r="AP104" s="1" t="s">
        <v>1092</v>
      </c>
      <c r="AQ104" s="1" t="s">
        <v>74</v>
      </c>
      <c r="AR104" s="1" t="s">
        <v>74</v>
      </c>
      <c r="AS104" s="1" t="s">
        <v>74</v>
      </c>
      <c r="AT104" s="1" t="s">
        <v>1093</v>
      </c>
      <c r="AU104" s="1">
        <v>2003.0</v>
      </c>
      <c r="AV104" s="1">
        <v>56.0</v>
      </c>
      <c r="AW104" s="1">
        <v>14.0</v>
      </c>
      <c r="AX104" s="1" t="s">
        <v>74</v>
      </c>
      <c r="AY104" s="1" t="s">
        <v>74</v>
      </c>
      <c r="AZ104" s="1" t="s">
        <v>74</v>
      </c>
      <c r="BA104" s="1" t="s">
        <v>74</v>
      </c>
      <c r="BB104" s="1">
        <v>1193.0</v>
      </c>
      <c r="BC104" s="1">
        <v>1201.0</v>
      </c>
      <c r="BD104" s="1" t="s">
        <v>74</v>
      </c>
      <c r="BE104" s="1" t="s">
        <v>1094</v>
      </c>
      <c r="BF104" s="2" t="str">
        <f>HYPERLINK("http://dx.doi.org/10.1080/00958970310001624447","http://dx.doi.org/10.1080/00958970310001624447")</f>
        <v>http://dx.doi.org/10.1080/00958970310001624447</v>
      </c>
      <c r="BG104" s="1" t="s">
        <v>74</v>
      </c>
      <c r="BH104" s="1" t="s">
        <v>74</v>
      </c>
      <c r="BI104" s="1" t="s">
        <v>74</v>
      </c>
      <c r="BJ104" s="1" t="s">
        <v>74</v>
      </c>
      <c r="BK104" s="1" t="s">
        <v>74</v>
      </c>
      <c r="BL104" s="1" t="s">
        <v>74</v>
      </c>
      <c r="BM104" s="1" t="s">
        <v>74</v>
      </c>
      <c r="BN104" s="1" t="s">
        <v>74</v>
      </c>
      <c r="BO104" s="1" t="s">
        <v>74</v>
      </c>
      <c r="BP104" s="1" t="s">
        <v>74</v>
      </c>
      <c r="BQ104" s="1" t="s">
        <v>74</v>
      </c>
      <c r="BR104" s="1" t="s">
        <v>74</v>
      </c>
      <c r="BS104" s="1" t="s">
        <v>1095</v>
      </c>
      <c r="BT104" s="1" t="str">
        <f>HYPERLINK("https%3A%2F%2Fwww.webofscience.com%2Fwos%2Fwoscc%2Ffull-record%2FWOS:000188356200002","View Full Record in Web of Science")</f>
        <v>View Full Record in Web of Science</v>
      </c>
    </row>
    <row r="105" ht="12.75" customHeight="1">
      <c r="A105" s="1" t="s">
        <v>72</v>
      </c>
      <c r="B105" s="1" t="s">
        <v>124</v>
      </c>
      <c r="C105" s="1" t="s">
        <v>74</v>
      </c>
      <c r="D105" s="1" t="s">
        <v>74</v>
      </c>
      <c r="E105" s="1" t="s">
        <v>74</v>
      </c>
      <c r="F105" s="1" t="s">
        <v>124</v>
      </c>
      <c r="G105" s="1" t="s">
        <v>74</v>
      </c>
      <c r="H105" s="1" t="s">
        <v>74</v>
      </c>
      <c r="I105" s="1" t="s">
        <v>1096</v>
      </c>
      <c r="J105" s="1" t="s">
        <v>126</v>
      </c>
      <c r="K105" s="1" t="s">
        <v>74</v>
      </c>
      <c r="L105" s="1" t="s">
        <v>74</v>
      </c>
      <c r="M105" s="1" t="s">
        <v>74</v>
      </c>
      <c r="N105" s="1" t="s">
        <v>74</v>
      </c>
      <c r="O105" s="1" t="s">
        <v>74</v>
      </c>
      <c r="P105" s="1" t="s">
        <v>74</v>
      </c>
      <c r="Q105" s="1" t="s">
        <v>74</v>
      </c>
      <c r="R105" s="1" t="s">
        <v>74</v>
      </c>
      <c r="S105" s="1" t="s">
        <v>74</v>
      </c>
      <c r="T105" s="1" t="s">
        <v>74</v>
      </c>
      <c r="U105" s="1" t="s">
        <v>74</v>
      </c>
      <c r="V105" s="1" t="s">
        <v>1097</v>
      </c>
      <c r="W105" s="1" t="s">
        <v>74</v>
      </c>
      <c r="X105" s="1" t="s">
        <v>74</v>
      </c>
      <c r="Y105" s="1" t="s">
        <v>74</v>
      </c>
      <c r="Z105" s="1" t="s">
        <v>74</v>
      </c>
      <c r="AA105" s="1" t="s">
        <v>74</v>
      </c>
      <c r="AB105" s="1" t="s">
        <v>74</v>
      </c>
      <c r="AC105" s="1" t="s">
        <v>74</v>
      </c>
      <c r="AD105" s="1" t="s">
        <v>74</v>
      </c>
      <c r="AE105" s="1" t="s">
        <v>74</v>
      </c>
      <c r="AF105" s="1" t="s">
        <v>74</v>
      </c>
      <c r="AG105" s="1" t="s">
        <v>74</v>
      </c>
      <c r="AH105" s="1" t="s">
        <v>74</v>
      </c>
      <c r="AI105" s="1" t="s">
        <v>74</v>
      </c>
      <c r="AJ105" s="1" t="s">
        <v>74</v>
      </c>
      <c r="AK105" s="1" t="s">
        <v>74</v>
      </c>
      <c r="AL105" s="1" t="s">
        <v>74</v>
      </c>
      <c r="AM105" s="1" t="s">
        <v>74</v>
      </c>
      <c r="AN105" s="1" t="s">
        <v>74</v>
      </c>
      <c r="AO105" s="1" t="s">
        <v>128</v>
      </c>
      <c r="AP105" s="1" t="s">
        <v>1098</v>
      </c>
      <c r="AQ105" s="1" t="s">
        <v>74</v>
      </c>
      <c r="AR105" s="1" t="s">
        <v>74</v>
      </c>
      <c r="AS105" s="1" t="s">
        <v>74</v>
      </c>
      <c r="AT105" s="1" t="s">
        <v>1099</v>
      </c>
      <c r="AU105" s="1">
        <v>2002.0</v>
      </c>
      <c r="AV105" s="1">
        <v>17.0</v>
      </c>
      <c r="AW105" s="1">
        <v>3.0</v>
      </c>
      <c r="AX105" s="1" t="s">
        <v>74</v>
      </c>
      <c r="AY105" s="1" t="s">
        <v>74</v>
      </c>
      <c r="AZ105" s="1" t="s">
        <v>74</v>
      </c>
      <c r="BA105" s="1" t="s">
        <v>74</v>
      </c>
      <c r="BB105" s="1">
        <v>158.0</v>
      </c>
      <c r="BC105" s="1">
        <v>164.0</v>
      </c>
      <c r="BD105" s="1" t="s">
        <v>74</v>
      </c>
      <c r="BE105" s="1" t="s">
        <v>1100</v>
      </c>
      <c r="BF105" s="2" t="str">
        <f>HYPERLINK("http://dx.doi.org/10.1002/bio.677","http://dx.doi.org/10.1002/bio.677")</f>
        <v>http://dx.doi.org/10.1002/bio.677</v>
      </c>
      <c r="BG105" s="1" t="s">
        <v>74</v>
      </c>
      <c r="BH105" s="1" t="s">
        <v>74</v>
      </c>
      <c r="BI105" s="1" t="s">
        <v>74</v>
      </c>
      <c r="BJ105" s="1" t="s">
        <v>74</v>
      </c>
      <c r="BK105" s="1" t="s">
        <v>74</v>
      </c>
      <c r="BL105" s="1" t="s">
        <v>74</v>
      </c>
      <c r="BM105" s="1" t="s">
        <v>74</v>
      </c>
      <c r="BN105" s="1">
        <v>1.2164365E7</v>
      </c>
      <c r="BO105" s="1" t="s">
        <v>74</v>
      </c>
      <c r="BP105" s="1" t="s">
        <v>74</v>
      </c>
      <c r="BQ105" s="1" t="s">
        <v>74</v>
      </c>
      <c r="BR105" s="1" t="s">
        <v>74</v>
      </c>
      <c r="BS105" s="1" t="s">
        <v>1101</v>
      </c>
      <c r="BT105" s="1" t="str">
        <f>HYPERLINK("https%3A%2F%2Fwww.webofscience.com%2Fwos%2Fwoscc%2Ffull-record%2FWOS:000175537000004","View Full Record in Web of Science")</f>
        <v>View Full Record in Web of Science</v>
      </c>
    </row>
    <row r="106" ht="12.75" customHeight="1">
      <c r="A106" s="1" t="s">
        <v>91</v>
      </c>
      <c r="B106" s="1" t="s">
        <v>1102</v>
      </c>
      <c r="C106" s="1" t="s">
        <v>74</v>
      </c>
      <c r="D106" s="1" t="s">
        <v>1103</v>
      </c>
      <c r="E106" s="1" t="s">
        <v>74</v>
      </c>
      <c r="F106" s="1" t="s">
        <v>1102</v>
      </c>
      <c r="G106" s="1" t="s">
        <v>74</v>
      </c>
      <c r="H106" s="1" t="s">
        <v>74</v>
      </c>
      <c r="I106" s="1" t="s">
        <v>1104</v>
      </c>
      <c r="J106" s="1" t="s">
        <v>1105</v>
      </c>
      <c r="K106" s="1" t="s">
        <v>96</v>
      </c>
      <c r="L106" s="1" t="s">
        <v>74</v>
      </c>
      <c r="M106" s="1" t="s">
        <v>74</v>
      </c>
      <c r="N106" s="1" t="s">
        <v>74</v>
      </c>
      <c r="O106" s="1" t="s">
        <v>1106</v>
      </c>
      <c r="P106" s="1" t="s">
        <v>1107</v>
      </c>
      <c r="Q106" s="1" t="s">
        <v>1108</v>
      </c>
      <c r="R106" s="1" t="s">
        <v>1109</v>
      </c>
      <c r="S106" s="1" t="s">
        <v>74</v>
      </c>
      <c r="T106" s="1" t="s">
        <v>74</v>
      </c>
      <c r="U106" s="1" t="s">
        <v>74</v>
      </c>
      <c r="V106" s="1" t="s">
        <v>1110</v>
      </c>
      <c r="W106" s="1" t="s">
        <v>74</v>
      </c>
      <c r="X106" s="1" t="s">
        <v>74</v>
      </c>
      <c r="Y106" s="1" t="s">
        <v>74</v>
      </c>
      <c r="Z106" s="1" t="s">
        <v>74</v>
      </c>
      <c r="AA106" s="1" t="s">
        <v>1111</v>
      </c>
      <c r="AB106" s="1" t="s">
        <v>1112</v>
      </c>
      <c r="AC106" s="1" t="s">
        <v>74</v>
      </c>
      <c r="AD106" s="1" t="s">
        <v>74</v>
      </c>
      <c r="AE106" s="1" t="s">
        <v>74</v>
      </c>
      <c r="AF106" s="1" t="s">
        <v>74</v>
      </c>
      <c r="AG106" s="1" t="s">
        <v>74</v>
      </c>
      <c r="AH106" s="1" t="s">
        <v>74</v>
      </c>
      <c r="AI106" s="1" t="s">
        <v>74</v>
      </c>
      <c r="AJ106" s="1" t="s">
        <v>74</v>
      </c>
      <c r="AK106" s="1" t="s">
        <v>74</v>
      </c>
      <c r="AL106" s="1" t="s">
        <v>74</v>
      </c>
      <c r="AM106" s="1" t="s">
        <v>74</v>
      </c>
      <c r="AN106" s="1" t="s">
        <v>74</v>
      </c>
      <c r="AO106" s="1" t="s">
        <v>102</v>
      </c>
      <c r="AP106" s="1" t="s">
        <v>74</v>
      </c>
      <c r="AQ106" s="1" t="s">
        <v>1113</v>
      </c>
      <c r="AR106" s="1" t="s">
        <v>74</v>
      </c>
      <c r="AS106" s="1" t="s">
        <v>74</v>
      </c>
      <c r="AT106" s="1" t="s">
        <v>74</v>
      </c>
      <c r="AU106" s="1">
        <v>2001.0</v>
      </c>
      <c r="AV106" s="1">
        <v>10.0</v>
      </c>
      <c r="AW106" s="1" t="s">
        <v>74</v>
      </c>
      <c r="AX106" s="1" t="s">
        <v>74</v>
      </c>
      <c r="AY106" s="1" t="s">
        <v>74</v>
      </c>
      <c r="AZ106" s="1" t="s">
        <v>74</v>
      </c>
      <c r="BA106" s="1" t="s">
        <v>74</v>
      </c>
      <c r="BB106" s="1">
        <v>163.0</v>
      </c>
      <c r="BC106" s="1">
        <v>170.0</v>
      </c>
      <c r="BD106" s="1" t="s">
        <v>74</v>
      </c>
      <c r="BE106" s="1" t="s">
        <v>74</v>
      </c>
      <c r="BF106" s="1" t="s">
        <v>74</v>
      </c>
      <c r="BG106" s="1" t="s">
        <v>74</v>
      </c>
      <c r="BH106" s="1" t="s">
        <v>74</v>
      </c>
      <c r="BI106" s="1" t="s">
        <v>74</v>
      </c>
      <c r="BJ106" s="1" t="s">
        <v>74</v>
      </c>
      <c r="BK106" s="1" t="s">
        <v>74</v>
      </c>
      <c r="BL106" s="1" t="s">
        <v>74</v>
      </c>
      <c r="BM106" s="1" t="s">
        <v>74</v>
      </c>
      <c r="BN106" s="1" t="s">
        <v>74</v>
      </c>
      <c r="BO106" s="1" t="s">
        <v>74</v>
      </c>
      <c r="BP106" s="1" t="s">
        <v>74</v>
      </c>
      <c r="BQ106" s="1" t="s">
        <v>74</v>
      </c>
      <c r="BR106" s="1" t="s">
        <v>74</v>
      </c>
      <c r="BS106" s="1" t="s">
        <v>1114</v>
      </c>
      <c r="BT106" s="1" t="str">
        <f>HYPERLINK("https%3A%2F%2Fwww.webofscience.com%2Fwos%2Fwoscc%2Ffull-record%2FWOS:000172548900017","View Full Record in Web of Science")</f>
        <v>View Full Record in Web of Science</v>
      </c>
    </row>
    <row r="107" ht="12.75" customHeight="1">
      <c r="A107" s="1" t="s">
        <v>72</v>
      </c>
      <c r="B107" s="1" t="s">
        <v>1115</v>
      </c>
      <c r="C107" s="1" t="s">
        <v>74</v>
      </c>
      <c r="D107" s="1" t="s">
        <v>74</v>
      </c>
      <c r="E107" s="1" t="s">
        <v>74</v>
      </c>
      <c r="F107" s="1" t="s">
        <v>1115</v>
      </c>
      <c r="G107" s="1" t="s">
        <v>74</v>
      </c>
      <c r="H107" s="1" t="s">
        <v>74</v>
      </c>
      <c r="I107" s="1" t="s">
        <v>1116</v>
      </c>
      <c r="J107" s="1" t="s">
        <v>1117</v>
      </c>
      <c r="K107" s="1" t="s">
        <v>74</v>
      </c>
      <c r="L107" s="1" t="s">
        <v>74</v>
      </c>
      <c r="M107" s="1" t="s">
        <v>74</v>
      </c>
      <c r="N107" s="1" t="s">
        <v>74</v>
      </c>
      <c r="O107" s="1" t="s">
        <v>74</v>
      </c>
      <c r="P107" s="1" t="s">
        <v>74</v>
      </c>
      <c r="Q107" s="1" t="s">
        <v>74</v>
      </c>
      <c r="R107" s="1" t="s">
        <v>74</v>
      </c>
      <c r="S107" s="1" t="s">
        <v>74</v>
      </c>
      <c r="T107" s="1" t="s">
        <v>74</v>
      </c>
      <c r="U107" s="1" t="s">
        <v>74</v>
      </c>
      <c r="V107" s="1" t="s">
        <v>1118</v>
      </c>
      <c r="W107" s="1" t="s">
        <v>74</v>
      </c>
      <c r="X107" s="1" t="s">
        <v>74</v>
      </c>
      <c r="Y107" s="1" t="s">
        <v>74</v>
      </c>
      <c r="Z107" s="1" t="s">
        <v>74</v>
      </c>
      <c r="AA107" s="1" t="s">
        <v>902</v>
      </c>
      <c r="AB107" s="1" t="s">
        <v>1119</v>
      </c>
      <c r="AC107" s="1" t="s">
        <v>74</v>
      </c>
      <c r="AD107" s="1" t="s">
        <v>74</v>
      </c>
      <c r="AE107" s="1" t="s">
        <v>74</v>
      </c>
      <c r="AF107" s="1" t="s">
        <v>74</v>
      </c>
      <c r="AG107" s="1" t="s">
        <v>74</v>
      </c>
      <c r="AH107" s="1" t="s">
        <v>74</v>
      </c>
      <c r="AI107" s="1" t="s">
        <v>74</v>
      </c>
      <c r="AJ107" s="1" t="s">
        <v>74</v>
      </c>
      <c r="AK107" s="1" t="s">
        <v>74</v>
      </c>
      <c r="AL107" s="1" t="s">
        <v>74</v>
      </c>
      <c r="AM107" s="1" t="s">
        <v>74</v>
      </c>
      <c r="AN107" s="1" t="s">
        <v>74</v>
      </c>
      <c r="AO107" s="1" t="s">
        <v>1120</v>
      </c>
      <c r="AP107" s="1" t="s">
        <v>74</v>
      </c>
      <c r="AQ107" s="1" t="s">
        <v>74</v>
      </c>
      <c r="AR107" s="1" t="s">
        <v>74</v>
      </c>
      <c r="AS107" s="1" t="s">
        <v>74</v>
      </c>
      <c r="AT107" s="1" t="s">
        <v>88</v>
      </c>
      <c r="AU107" s="1">
        <v>1998.0</v>
      </c>
      <c r="AV107" s="1">
        <v>126.0</v>
      </c>
      <c r="AW107" s="1">
        <v>12.0</v>
      </c>
      <c r="AX107" s="1" t="s">
        <v>74</v>
      </c>
      <c r="AY107" s="1" t="s">
        <v>74</v>
      </c>
      <c r="AZ107" s="1" t="s">
        <v>74</v>
      </c>
      <c r="BA107" s="1" t="s">
        <v>74</v>
      </c>
      <c r="BB107" s="1">
        <v>3581.0</v>
      </c>
      <c r="BC107" s="1">
        <v>3587.0</v>
      </c>
      <c r="BD107" s="1" t="s">
        <v>74</v>
      </c>
      <c r="BE107" s="1" t="s">
        <v>1121</v>
      </c>
      <c r="BF107" s="2" t="str">
        <f>HYPERLINK("http://dx.doi.org/10.1090/S0002-9939-98-04594-8","http://dx.doi.org/10.1090/S0002-9939-98-04594-8")</f>
        <v>http://dx.doi.org/10.1090/S0002-9939-98-04594-8</v>
      </c>
      <c r="BG107" s="1" t="s">
        <v>74</v>
      </c>
      <c r="BH107" s="1" t="s">
        <v>74</v>
      </c>
      <c r="BI107" s="1" t="s">
        <v>74</v>
      </c>
      <c r="BJ107" s="1" t="s">
        <v>74</v>
      </c>
      <c r="BK107" s="1" t="s">
        <v>74</v>
      </c>
      <c r="BL107" s="1" t="s">
        <v>74</v>
      </c>
      <c r="BM107" s="1" t="s">
        <v>74</v>
      </c>
      <c r="BN107" s="1" t="s">
        <v>74</v>
      </c>
      <c r="BO107" s="1" t="s">
        <v>74</v>
      </c>
      <c r="BP107" s="1" t="s">
        <v>74</v>
      </c>
      <c r="BQ107" s="1" t="s">
        <v>74</v>
      </c>
      <c r="BR107" s="1" t="s">
        <v>74</v>
      </c>
      <c r="BS107" s="1" t="s">
        <v>1122</v>
      </c>
      <c r="BT107" s="1" t="str">
        <f>HYPERLINK("https%3A%2F%2Fwww.webofscience.com%2Fwos%2Fwoscc%2Ffull-record%2FWOS:000076992800019","View Full Record in Web of Science")</f>
        <v>View Full Record in Web of Science</v>
      </c>
    </row>
    <row r="108" ht="12.75" customHeight="1">
      <c r="A108" s="1" t="s">
        <v>72</v>
      </c>
      <c r="B108" s="1" t="s">
        <v>1123</v>
      </c>
      <c r="C108" s="1" t="s">
        <v>74</v>
      </c>
      <c r="D108" s="1" t="s">
        <v>74</v>
      </c>
      <c r="E108" s="1" t="s">
        <v>74</v>
      </c>
      <c r="F108" s="1" t="s">
        <v>1123</v>
      </c>
      <c r="G108" s="1" t="s">
        <v>74</v>
      </c>
      <c r="H108" s="1" t="s">
        <v>74</v>
      </c>
      <c r="I108" s="1" t="s">
        <v>1124</v>
      </c>
      <c r="J108" s="1" t="s">
        <v>954</v>
      </c>
      <c r="K108" s="1" t="s">
        <v>74</v>
      </c>
      <c r="L108" s="1" t="s">
        <v>74</v>
      </c>
      <c r="M108" s="1" t="s">
        <v>74</v>
      </c>
      <c r="N108" s="1" t="s">
        <v>74</v>
      </c>
      <c r="O108" s="1" t="s">
        <v>74</v>
      </c>
      <c r="P108" s="1" t="s">
        <v>74</v>
      </c>
      <c r="Q108" s="1" t="s">
        <v>74</v>
      </c>
      <c r="R108" s="1" t="s">
        <v>74</v>
      </c>
      <c r="S108" s="1" t="s">
        <v>74</v>
      </c>
      <c r="T108" s="1" t="s">
        <v>74</v>
      </c>
      <c r="U108" s="1" t="s">
        <v>74</v>
      </c>
      <c r="V108" s="1" t="s">
        <v>1125</v>
      </c>
      <c r="W108" s="1" t="s">
        <v>74</v>
      </c>
      <c r="X108" s="1" t="s">
        <v>74</v>
      </c>
      <c r="Y108" s="1" t="s">
        <v>74</v>
      </c>
      <c r="Z108" s="1" t="s">
        <v>74</v>
      </c>
      <c r="AA108" s="1" t="s">
        <v>74</v>
      </c>
      <c r="AB108" s="1" t="s">
        <v>74</v>
      </c>
      <c r="AC108" s="1" t="s">
        <v>74</v>
      </c>
      <c r="AD108" s="1" t="s">
        <v>74</v>
      </c>
      <c r="AE108" s="1" t="s">
        <v>74</v>
      </c>
      <c r="AF108" s="1" t="s">
        <v>74</v>
      </c>
      <c r="AG108" s="1" t="s">
        <v>74</v>
      </c>
      <c r="AH108" s="1" t="s">
        <v>74</v>
      </c>
      <c r="AI108" s="1" t="s">
        <v>74</v>
      </c>
      <c r="AJ108" s="1" t="s">
        <v>74</v>
      </c>
      <c r="AK108" s="1" t="s">
        <v>74</v>
      </c>
      <c r="AL108" s="1" t="s">
        <v>74</v>
      </c>
      <c r="AM108" s="1" t="s">
        <v>74</v>
      </c>
      <c r="AN108" s="1" t="s">
        <v>74</v>
      </c>
      <c r="AO108" s="1" t="s">
        <v>956</v>
      </c>
      <c r="AP108" s="1" t="s">
        <v>74</v>
      </c>
      <c r="AQ108" s="1" t="s">
        <v>74</v>
      </c>
      <c r="AR108" s="1" t="s">
        <v>74</v>
      </c>
      <c r="AS108" s="1" t="s">
        <v>74</v>
      </c>
      <c r="AT108" s="1" t="s">
        <v>74</v>
      </c>
      <c r="AU108" s="1">
        <v>1998.0</v>
      </c>
      <c r="AV108" s="1">
        <v>16.0</v>
      </c>
      <c r="AW108" s="1" t="s">
        <v>140</v>
      </c>
      <c r="AX108" s="1" t="s">
        <v>74</v>
      </c>
      <c r="AY108" s="1" t="s">
        <v>74</v>
      </c>
      <c r="AZ108" s="1" t="s">
        <v>74</v>
      </c>
      <c r="BA108" s="1" t="s">
        <v>74</v>
      </c>
      <c r="BB108" s="1">
        <v>199.0</v>
      </c>
      <c r="BC108" s="1">
        <v>215.0</v>
      </c>
      <c r="BD108" s="1" t="s">
        <v>74</v>
      </c>
      <c r="BE108" s="1" t="s">
        <v>1126</v>
      </c>
      <c r="BF108" s="2" t="str">
        <f>HYPERLINK("http://dx.doi.org/10.1080/07373939808917399","http://dx.doi.org/10.1080/07373939808917399")</f>
        <v>http://dx.doi.org/10.1080/07373939808917399</v>
      </c>
      <c r="BG108" s="1" t="s">
        <v>74</v>
      </c>
      <c r="BH108" s="1" t="s">
        <v>74</v>
      </c>
      <c r="BI108" s="1" t="s">
        <v>74</v>
      </c>
      <c r="BJ108" s="1" t="s">
        <v>74</v>
      </c>
      <c r="BK108" s="1" t="s">
        <v>74</v>
      </c>
      <c r="BL108" s="1" t="s">
        <v>74</v>
      </c>
      <c r="BM108" s="1" t="s">
        <v>74</v>
      </c>
      <c r="BN108" s="1" t="s">
        <v>74</v>
      </c>
      <c r="BO108" s="1" t="s">
        <v>74</v>
      </c>
      <c r="BP108" s="1" t="s">
        <v>74</v>
      </c>
      <c r="BQ108" s="1" t="s">
        <v>74</v>
      </c>
      <c r="BR108" s="1" t="s">
        <v>74</v>
      </c>
      <c r="BS108" s="1" t="s">
        <v>1127</v>
      </c>
      <c r="BT108" s="1" t="str">
        <f>HYPERLINK("https%3A%2F%2Fwww.webofscience.com%2Fwos%2Fwoscc%2Ffull-record%2FWOS:000072620000012","View Full Record in Web of Science")</f>
        <v>View Full Record in Web of Science</v>
      </c>
    </row>
    <row r="109" ht="12.75" customHeight="1">
      <c r="A109" s="1" t="s">
        <v>72</v>
      </c>
      <c r="B109" s="1" t="s">
        <v>1128</v>
      </c>
      <c r="C109" s="1" t="s">
        <v>74</v>
      </c>
      <c r="D109" s="1" t="s">
        <v>74</v>
      </c>
      <c r="E109" s="1" t="s">
        <v>74</v>
      </c>
      <c r="F109" s="1" t="s">
        <v>1128</v>
      </c>
      <c r="G109" s="1" t="s">
        <v>74</v>
      </c>
      <c r="H109" s="1" t="s">
        <v>74</v>
      </c>
      <c r="I109" s="1" t="s">
        <v>1129</v>
      </c>
      <c r="J109" s="1" t="s">
        <v>1130</v>
      </c>
      <c r="K109" s="1" t="s">
        <v>74</v>
      </c>
      <c r="L109" s="1" t="s">
        <v>74</v>
      </c>
      <c r="M109" s="1" t="s">
        <v>74</v>
      </c>
      <c r="N109" s="1" t="s">
        <v>74</v>
      </c>
      <c r="O109" s="1" t="s">
        <v>74</v>
      </c>
      <c r="P109" s="1" t="s">
        <v>74</v>
      </c>
      <c r="Q109" s="1" t="s">
        <v>74</v>
      </c>
      <c r="R109" s="1" t="s">
        <v>74</v>
      </c>
      <c r="S109" s="1" t="s">
        <v>74</v>
      </c>
      <c r="T109" s="1" t="s">
        <v>74</v>
      </c>
      <c r="U109" s="1" t="s">
        <v>74</v>
      </c>
      <c r="V109" s="1" t="s">
        <v>1131</v>
      </c>
      <c r="W109" s="1" t="s">
        <v>74</v>
      </c>
      <c r="X109" s="1" t="s">
        <v>74</v>
      </c>
      <c r="Y109" s="1" t="s">
        <v>74</v>
      </c>
      <c r="Z109" s="1" t="s">
        <v>74</v>
      </c>
      <c r="AA109" s="1" t="s">
        <v>1132</v>
      </c>
      <c r="AB109" s="1" t="s">
        <v>74</v>
      </c>
      <c r="AC109" s="1" t="s">
        <v>74</v>
      </c>
      <c r="AD109" s="1" t="s">
        <v>74</v>
      </c>
      <c r="AE109" s="1" t="s">
        <v>74</v>
      </c>
      <c r="AF109" s="1" t="s">
        <v>74</v>
      </c>
      <c r="AG109" s="1" t="s">
        <v>74</v>
      </c>
      <c r="AH109" s="1" t="s">
        <v>74</v>
      </c>
      <c r="AI109" s="1" t="s">
        <v>74</v>
      </c>
      <c r="AJ109" s="1" t="s">
        <v>74</v>
      </c>
      <c r="AK109" s="1" t="s">
        <v>74</v>
      </c>
      <c r="AL109" s="1" t="s">
        <v>74</v>
      </c>
      <c r="AM109" s="1" t="s">
        <v>74</v>
      </c>
      <c r="AN109" s="1" t="s">
        <v>74</v>
      </c>
      <c r="AO109" s="1" t="s">
        <v>1133</v>
      </c>
      <c r="AP109" s="1" t="s">
        <v>74</v>
      </c>
      <c r="AQ109" s="1" t="s">
        <v>74</v>
      </c>
      <c r="AR109" s="1" t="s">
        <v>74</v>
      </c>
      <c r="AS109" s="1" t="s">
        <v>74</v>
      </c>
      <c r="AT109" s="1" t="s">
        <v>1134</v>
      </c>
      <c r="AU109" s="1">
        <v>1997.0</v>
      </c>
      <c r="AV109" s="1">
        <v>155.0</v>
      </c>
      <c r="AW109" s="1">
        <v>1.0</v>
      </c>
      <c r="AX109" s="1" t="s">
        <v>74</v>
      </c>
      <c r="AY109" s="1" t="s">
        <v>74</v>
      </c>
      <c r="AZ109" s="1" t="s">
        <v>74</v>
      </c>
      <c r="BA109" s="1" t="s">
        <v>74</v>
      </c>
      <c r="BB109" s="1">
        <v>125.0</v>
      </c>
      <c r="BC109" s="1">
        <v>130.0</v>
      </c>
      <c r="BD109" s="1" t="s">
        <v>74</v>
      </c>
      <c r="BE109" s="1" t="s">
        <v>1135</v>
      </c>
      <c r="BF109" s="2" t="str">
        <f>HYPERLINK("http://dx.doi.org/10.1111/j.1574-6968.1997.tb12696.x","http://dx.doi.org/10.1111/j.1574-6968.1997.tb12696.x")</f>
        <v>http://dx.doi.org/10.1111/j.1574-6968.1997.tb12696.x</v>
      </c>
      <c r="BG109" s="1" t="s">
        <v>74</v>
      </c>
      <c r="BH109" s="1" t="s">
        <v>74</v>
      </c>
      <c r="BI109" s="1" t="s">
        <v>74</v>
      </c>
      <c r="BJ109" s="1" t="s">
        <v>74</v>
      </c>
      <c r="BK109" s="1" t="s">
        <v>74</v>
      </c>
      <c r="BL109" s="1" t="s">
        <v>74</v>
      </c>
      <c r="BM109" s="1" t="s">
        <v>74</v>
      </c>
      <c r="BN109" s="1">
        <v>9345772.0</v>
      </c>
      <c r="BO109" s="1" t="s">
        <v>74</v>
      </c>
      <c r="BP109" s="1" t="s">
        <v>74</v>
      </c>
      <c r="BQ109" s="1" t="s">
        <v>74</v>
      </c>
      <c r="BR109" s="1" t="s">
        <v>74</v>
      </c>
      <c r="BS109" s="1" t="s">
        <v>1136</v>
      </c>
      <c r="BT109" s="1" t="str">
        <f>HYPERLINK("https%3A%2F%2Fwww.webofscience.com%2Fwos%2Fwoscc%2Ffull-record%2FWOS:000071091300019","View Full Record in Web of Science")</f>
        <v>View Full Record in Web of Science</v>
      </c>
    </row>
    <row r="110" ht="12.75" customHeight="1">
      <c r="A110" s="1" t="s">
        <v>72</v>
      </c>
      <c r="B110" s="1" t="s">
        <v>1137</v>
      </c>
      <c r="C110" s="1" t="s">
        <v>74</v>
      </c>
      <c r="D110" s="1" t="s">
        <v>74</v>
      </c>
      <c r="E110" s="1" t="s">
        <v>74</v>
      </c>
      <c r="F110" s="1" t="s">
        <v>1137</v>
      </c>
      <c r="G110" s="1" t="s">
        <v>74</v>
      </c>
      <c r="H110" s="1" t="s">
        <v>74</v>
      </c>
      <c r="I110" s="1" t="s">
        <v>1138</v>
      </c>
      <c r="J110" s="1" t="s">
        <v>1139</v>
      </c>
      <c r="K110" s="1" t="s">
        <v>74</v>
      </c>
      <c r="L110" s="1" t="s">
        <v>74</v>
      </c>
      <c r="M110" s="1" t="s">
        <v>74</v>
      </c>
      <c r="N110" s="1" t="s">
        <v>74</v>
      </c>
      <c r="O110" s="1" t="s">
        <v>74</v>
      </c>
      <c r="P110" s="1" t="s">
        <v>74</v>
      </c>
      <c r="Q110" s="1" t="s">
        <v>74</v>
      </c>
      <c r="R110" s="1" t="s">
        <v>74</v>
      </c>
      <c r="S110" s="1" t="s">
        <v>74</v>
      </c>
      <c r="T110" s="1" t="s">
        <v>74</v>
      </c>
      <c r="U110" s="1" t="s">
        <v>74</v>
      </c>
      <c r="V110" s="1" t="s">
        <v>74</v>
      </c>
      <c r="W110" s="1" t="s">
        <v>74</v>
      </c>
      <c r="X110" s="1" t="s">
        <v>74</v>
      </c>
      <c r="Y110" s="1" t="s">
        <v>74</v>
      </c>
      <c r="Z110" s="1" t="s">
        <v>74</v>
      </c>
      <c r="AA110" s="1" t="s">
        <v>74</v>
      </c>
      <c r="AB110" s="1" t="s">
        <v>74</v>
      </c>
      <c r="AC110" s="1" t="s">
        <v>74</v>
      </c>
      <c r="AD110" s="1" t="s">
        <v>74</v>
      </c>
      <c r="AE110" s="1" t="s">
        <v>74</v>
      </c>
      <c r="AF110" s="1" t="s">
        <v>74</v>
      </c>
      <c r="AG110" s="1" t="s">
        <v>74</v>
      </c>
      <c r="AH110" s="1" t="s">
        <v>74</v>
      </c>
      <c r="AI110" s="1" t="s">
        <v>74</v>
      </c>
      <c r="AJ110" s="1" t="s">
        <v>74</v>
      </c>
      <c r="AK110" s="1" t="s">
        <v>74</v>
      </c>
      <c r="AL110" s="1" t="s">
        <v>74</v>
      </c>
      <c r="AM110" s="1" t="s">
        <v>74</v>
      </c>
      <c r="AN110" s="1" t="s">
        <v>74</v>
      </c>
      <c r="AO110" s="1" t="s">
        <v>1140</v>
      </c>
      <c r="AP110" s="1" t="s">
        <v>74</v>
      </c>
      <c r="AQ110" s="1" t="s">
        <v>74</v>
      </c>
      <c r="AR110" s="1" t="s">
        <v>74</v>
      </c>
      <c r="AS110" s="1" t="s">
        <v>74</v>
      </c>
      <c r="AT110" s="1" t="s">
        <v>74</v>
      </c>
      <c r="AU110" s="1">
        <v>1997.0</v>
      </c>
      <c r="AV110" s="1">
        <v>56.0</v>
      </c>
      <c r="AW110" s="1" t="s">
        <v>74</v>
      </c>
      <c r="AX110" s="1" t="s">
        <v>74</v>
      </c>
      <c r="AY110" s="1">
        <v>1.0</v>
      </c>
      <c r="AZ110" s="1" t="s">
        <v>74</v>
      </c>
      <c r="BA110" s="1" t="s">
        <v>74</v>
      </c>
      <c r="BB110" s="1">
        <v>289.0</v>
      </c>
      <c r="BC110" s="1">
        <v>289.0</v>
      </c>
      <c r="BD110" s="1" t="s">
        <v>74</v>
      </c>
      <c r="BE110" s="1" t="s">
        <v>74</v>
      </c>
      <c r="BF110" s="1" t="s">
        <v>74</v>
      </c>
      <c r="BG110" s="1" t="s">
        <v>74</v>
      </c>
      <c r="BH110" s="1" t="s">
        <v>74</v>
      </c>
      <c r="BI110" s="1" t="s">
        <v>74</v>
      </c>
      <c r="BJ110" s="1" t="s">
        <v>74</v>
      </c>
      <c r="BK110" s="1" t="s">
        <v>74</v>
      </c>
      <c r="BL110" s="1" t="s">
        <v>74</v>
      </c>
      <c r="BM110" s="1" t="s">
        <v>74</v>
      </c>
      <c r="BN110" s="1" t="s">
        <v>74</v>
      </c>
      <c r="BO110" s="1" t="s">
        <v>74</v>
      </c>
      <c r="BP110" s="1" t="s">
        <v>74</v>
      </c>
      <c r="BQ110" s="1" t="s">
        <v>74</v>
      </c>
      <c r="BR110" s="1" t="s">
        <v>74</v>
      </c>
      <c r="BS110" s="1" t="s">
        <v>1141</v>
      </c>
      <c r="BT110" s="1" t="str">
        <f>HYPERLINK("https%3A%2F%2Fwww.webofscience.com%2Fwos%2Fwoscc%2Ffull-record%2FWOS:A1997XG86500328","View Full Record in Web of Science")</f>
        <v>View Full Record in Web of Science</v>
      </c>
    </row>
    <row r="111" ht="12.75" customHeight="1">
      <c r="A111" s="1" t="s">
        <v>72</v>
      </c>
      <c r="B111" s="1" t="s">
        <v>1142</v>
      </c>
      <c r="C111" s="1" t="s">
        <v>74</v>
      </c>
      <c r="D111" s="1" t="s">
        <v>74</v>
      </c>
      <c r="E111" s="1" t="s">
        <v>74</v>
      </c>
      <c r="F111" s="1" t="s">
        <v>1142</v>
      </c>
      <c r="G111" s="1" t="s">
        <v>74</v>
      </c>
      <c r="H111" s="1" t="s">
        <v>74</v>
      </c>
      <c r="I111" s="1" t="s">
        <v>1143</v>
      </c>
      <c r="J111" s="1" t="s">
        <v>1144</v>
      </c>
      <c r="K111" s="1" t="s">
        <v>74</v>
      </c>
      <c r="L111" s="1" t="s">
        <v>74</v>
      </c>
      <c r="M111" s="1" t="s">
        <v>74</v>
      </c>
      <c r="N111" s="1" t="s">
        <v>74</v>
      </c>
      <c r="O111" s="1" t="s">
        <v>74</v>
      </c>
      <c r="P111" s="1" t="s">
        <v>74</v>
      </c>
      <c r="Q111" s="1" t="s">
        <v>74</v>
      </c>
      <c r="R111" s="1" t="s">
        <v>74</v>
      </c>
      <c r="S111" s="1" t="s">
        <v>74</v>
      </c>
      <c r="T111" s="1" t="s">
        <v>74</v>
      </c>
      <c r="U111" s="1" t="s">
        <v>74</v>
      </c>
      <c r="V111" s="1" t="s">
        <v>1145</v>
      </c>
      <c r="W111" s="1" t="s">
        <v>74</v>
      </c>
      <c r="X111" s="1" t="s">
        <v>74</v>
      </c>
      <c r="Y111" s="1" t="s">
        <v>74</v>
      </c>
      <c r="Z111" s="1" t="s">
        <v>74</v>
      </c>
      <c r="AA111" s="1" t="s">
        <v>74</v>
      </c>
      <c r="AB111" s="1" t="s">
        <v>74</v>
      </c>
      <c r="AC111" s="1" t="s">
        <v>74</v>
      </c>
      <c r="AD111" s="1" t="s">
        <v>74</v>
      </c>
      <c r="AE111" s="1" t="s">
        <v>74</v>
      </c>
      <c r="AF111" s="1" t="s">
        <v>74</v>
      </c>
      <c r="AG111" s="1" t="s">
        <v>74</v>
      </c>
      <c r="AH111" s="1" t="s">
        <v>74</v>
      </c>
      <c r="AI111" s="1" t="s">
        <v>74</v>
      </c>
      <c r="AJ111" s="1" t="s">
        <v>74</v>
      </c>
      <c r="AK111" s="1" t="s">
        <v>74</v>
      </c>
      <c r="AL111" s="1" t="s">
        <v>74</v>
      </c>
      <c r="AM111" s="1" t="s">
        <v>74</v>
      </c>
      <c r="AN111" s="1" t="s">
        <v>74</v>
      </c>
      <c r="AO111" s="1" t="s">
        <v>1146</v>
      </c>
      <c r="AP111" s="1" t="s">
        <v>74</v>
      </c>
      <c r="AQ111" s="1" t="s">
        <v>74</v>
      </c>
      <c r="AR111" s="1" t="s">
        <v>74</v>
      </c>
      <c r="AS111" s="1" t="s">
        <v>74</v>
      </c>
      <c r="AT111" s="1" t="s">
        <v>818</v>
      </c>
      <c r="AU111" s="1">
        <v>1994.0</v>
      </c>
      <c r="AV111" s="1" t="s">
        <v>74</v>
      </c>
      <c r="AW111" s="1">
        <v>16.0</v>
      </c>
      <c r="AX111" s="1" t="s">
        <v>74</v>
      </c>
      <c r="AY111" s="1" t="s">
        <v>74</v>
      </c>
      <c r="AZ111" s="1" t="s">
        <v>74</v>
      </c>
      <c r="BA111" s="1" t="s">
        <v>74</v>
      </c>
      <c r="BB111" s="1">
        <v>1829.0</v>
      </c>
      <c r="BC111" s="1">
        <v>1830.0</v>
      </c>
      <c r="BD111" s="1" t="s">
        <v>74</v>
      </c>
      <c r="BE111" s="1" t="s">
        <v>1147</v>
      </c>
      <c r="BF111" s="2" t="str">
        <f>HYPERLINK("http://dx.doi.org/10.1039/c39940001829","http://dx.doi.org/10.1039/c39940001829")</f>
        <v>http://dx.doi.org/10.1039/c39940001829</v>
      </c>
      <c r="BG111" s="1" t="s">
        <v>74</v>
      </c>
      <c r="BH111" s="1" t="s">
        <v>74</v>
      </c>
      <c r="BI111" s="1" t="s">
        <v>74</v>
      </c>
      <c r="BJ111" s="1" t="s">
        <v>74</v>
      </c>
      <c r="BK111" s="1" t="s">
        <v>74</v>
      </c>
      <c r="BL111" s="1" t="s">
        <v>74</v>
      </c>
      <c r="BM111" s="1" t="s">
        <v>74</v>
      </c>
      <c r="BN111" s="1" t="s">
        <v>74</v>
      </c>
      <c r="BO111" s="1" t="s">
        <v>74</v>
      </c>
      <c r="BP111" s="1" t="s">
        <v>74</v>
      </c>
      <c r="BQ111" s="1" t="s">
        <v>74</v>
      </c>
      <c r="BR111" s="1" t="s">
        <v>74</v>
      </c>
      <c r="BS111" s="1" t="s">
        <v>1148</v>
      </c>
      <c r="BT111" s="1" t="str">
        <f>HYPERLINK("https%3A%2F%2Fwww.webofscience.com%2Fwos%2Fwoscc%2Ffull-record%2FWOS:A1994PB81000005","View Full Record in Web of Science")</f>
        <v>View Full Record in Web of Science</v>
      </c>
    </row>
    <row r="112" ht="12.75" customHeight="1">
      <c r="A112" s="1" t="s">
        <v>72</v>
      </c>
      <c r="B112" s="1" t="s">
        <v>1149</v>
      </c>
      <c r="C112" s="1" t="s">
        <v>74</v>
      </c>
      <c r="D112" s="1" t="s">
        <v>74</v>
      </c>
      <c r="E112" s="1" t="s">
        <v>74</v>
      </c>
      <c r="F112" s="1" t="s">
        <v>1149</v>
      </c>
      <c r="G112" s="1" t="s">
        <v>74</v>
      </c>
      <c r="H112" s="1" t="s">
        <v>74</v>
      </c>
      <c r="I112" s="1" t="s">
        <v>1150</v>
      </c>
      <c r="J112" s="1" t="s">
        <v>954</v>
      </c>
      <c r="K112" s="1" t="s">
        <v>74</v>
      </c>
      <c r="L112" s="1" t="s">
        <v>74</v>
      </c>
      <c r="M112" s="1" t="s">
        <v>74</v>
      </c>
      <c r="N112" s="1" t="s">
        <v>74</v>
      </c>
      <c r="O112" s="1" t="s">
        <v>74</v>
      </c>
      <c r="P112" s="1" t="s">
        <v>74</v>
      </c>
      <c r="Q112" s="1" t="s">
        <v>74</v>
      </c>
      <c r="R112" s="1" t="s">
        <v>74</v>
      </c>
      <c r="S112" s="1" t="s">
        <v>74</v>
      </c>
      <c r="T112" s="1" t="s">
        <v>74</v>
      </c>
      <c r="U112" s="1" t="s">
        <v>74</v>
      </c>
      <c r="V112" s="1" t="s">
        <v>1151</v>
      </c>
      <c r="W112" s="1" t="s">
        <v>74</v>
      </c>
      <c r="X112" s="1" t="s">
        <v>74</v>
      </c>
      <c r="Y112" s="1" t="s">
        <v>74</v>
      </c>
      <c r="Z112" s="1" t="s">
        <v>74</v>
      </c>
      <c r="AA112" s="1" t="s">
        <v>74</v>
      </c>
      <c r="AB112" s="1" t="s">
        <v>74</v>
      </c>
      <c r="AC112" s="1" t="s">
        <v>74</v>
      </c>
      <c r="AD112" s="1" t="s">
        <v>74</v>
      </c>
      <c r="AE112" s="1" t="s">
        <v>74</v>
      </c>
      <c r="AF112" s="1" t="s">
        <v>74</v>
      </c>
      <c r="AG112" s="1" t="s">
        <v>74</v>
      </c>
      <c r="AH112" s="1" t="s">
        <v>74</v>
      </c>
      <c r="AI112" s="1" t="s">
        <v>74</v>
      </c>
      <c r="AJ112" s="1" t="s">
        <v>74</v>
      </c>
      <c r="AK112" s="1" t="s">
        <v>74</v>
      </c>
      <c r="AL112" s="1" t="s">
        <v>74</v>
      </c>
      <c r="AM112" s="1" t="s">
        <v>74</v>
      </c>
      <c r="AN112" s="1" t="s">
        <v>74</v>
      </c>
      <c r="AO112" s="1" t="s">
        <v>956</v>
      </c>
      <c r="AP112" s="1" t="s">
        <v>74</v>
      </c>
      <c r="AQ112" s="1" t="s">
        <v>74</v>
      </c>
      <c r="AR112" s="1" t="s">
        <v>74</v>
      </c>
      <c r="AS112" s="1" t="s">
        <v>74</v>
      </c>
      <c r="AT112" s="1" t="s">
        <v>74</v>
      </c>
      <c r="AU112" s="1">
        <v>1994.0</v>
      </c>
      <c r="AV112" s="1">
        <v>12.0</v>
      </c>
      <c r="AW112" s="1">
        <v>7.0</v>
      </c>
      <c r="AX112" s="1" t="s">
        <v>74</v>
      </c>
      <c r="AY112" s="1" t="s">
        <v>74</v>
      </c>
      <c r="AZ112" s="1" t="s">
        <v>74</v>
      </c>
      <c r="BA112" s="1" t="s">
        <v>74</v>
      </c>
      <c r="BB112" s="1">
        <v>1629.0</v>
      </c>
      <c r="BC112" s="1">
        <v>1651.0</v>
      </c>
      <c r="BD112" s="1" t="s">
        <v>74</v>
      </c>
      <c r="BE112" s="1" t="s">
        <v>1152</v>
      </c>
      <c r="BF112" s="2" t="str">
        <f>HYPERLINK("http://dx.doi.org/10.1080/07373939408962190","http://dx.doi.org/10.1080/07373939408962190")</f>
        <v>http://dx.doi.org/10.1080/07373939408962190</v>
      </c>
      <c r="BG112" s="1" t="s">
        <v>74</v>
      </c>
      <c r="BH112" s="1" t="s">
        <v>74</v>
      </c>
      <c r="BI112" s="1" t="s">
        <v>74</v>
      </c>
      <c r="BJ112" s="1" t="s">
        <v>74</v>
      </c>
      <c r="BK112" s="1" t="s">
        <v>74</v>
      </c>
      <c r="BL112" s="1" t="s">
        <v>74</v>
      </c>
      <c r="BM112" s="1" t="s">
        <v>74</v>
      </c>
      <c r="BN112" s="1" t="s">
        <v>74</v>
      </c>
      <c r="BO112" s="1" t="s">
        <v>74</v>
      </c>
      <c r="BP112" s="1" t="s">
        <v>74</v>
      </c>
      <c r="BQ112" s="1" t="s">
        <v>74</v>
      </c>
      <c r="BR112" s="1" t="s">
        <v>74</v>
      </c>
      <c r="BS112" s="1" t="s">
        <v>1153</v>
      </c>
      <c r="BT112" s="1" t="str">
        <f>HYPERLINK("https%3A%2F%2Fwww.webofscience.com%2Fwos%2Fwoscc%2Ffull-record%2FWOS:A1994PG40000006","View Full Record in Web of Science")</f>
        <v>View Full Record in Web of Science</v>
      </c>
    </row>
    <row r="113" ht="12.75" customHeight="1">
      <c r="A113" s="1" t="s">
        <v>72</v>
      </c>
      <c r="B113" s="1" t="s">
        <v>1154</v>
      </c>
      <c r="C113" s="1" t="s">
        <v>74</v>
      </c>
      <c r="D113" s="1" t="s">
        <v>74</v>
      </c>
      <c r="E113" s="1" t="s">
        <v>74</v>
      </c>
      <c r="F113" s="1" t="s">
        <v>1154</v>
      </c>
      <c r="G113" s="1" t="s">
        <v>74</v>
      </c>
      <c r="H113" s="1" t="s">
        <v>74</v>
      </c>
      <c r="I113" s="1" t="s">
        <v>1155</v>
      </c>
      <c r="J113" s="1" t="s">
        <v>1156</v>
      </c>
      <c r="K113" s="1" t="s">
        <v>74</v>
      </c>
      <c r="L113" s="1" t="s">
        <v>74</v>
      </c>
      <c r="M113" s="1" t="s">
        <v>74</v>
      </c>
      <c r="N113" s="1" t="s">
        <v>74</v>
      </c>
      <c r="O113" s="1" t="s">
        <v>74</v>
      </c>
      <c r="P113" s="1" t="s">
        <v>74</v>
      </c>
      <c r="Q113" s="1" t="s">
        <v>74</v>
      </c>
      <c r="R113" s="1" t="s">
        <v>74</v>
      </c>
      <c r="S113" s="1" t="s">
        <v>74</v>
      </c>
      <c r="T113" s="1" t="s">
        <v>74</v>
      </c>
      <c r="U113" s="1" t="s">
        <v>74</v>
      </c>
      <c r="V113" s="1" t="s">
        <v>1157</v>
      </c>
      <c r="W113" s="1" t="s">
        <v>74</v>
      </c>
      <c r="X113" s="1" t="s">
        <v>74</v>
      </c>
      <c r="Y113" s="1" t="s">
        <v>74</v>
      </c>
      <c r="Z113" s="1" t="s">
        <v>74</v>
      </c>
      <c r="AA113" s="1" t="s">
        <v>74</v>
      </c>
      <c r="AB113" s="1" t="s">
        <v>74</v>
      </c>
      <c r="AC113" s="1" t="s">
        <v>74</v>
      </c>
      <c r="AD113" s="1" t="s">
        <v>74</v>
      </c>
      <c r="AE113" s="1" t="s">
        <v>74</v>
      </c>
      <c r="AF113" s="1" t="s">
        <v>74</v>
      </c>
      <c r="AG113" s="1" t="s">
        <v>74</v>
      </c>
      <c r="AH113" s="1" t="s">
        <v>74</v>
      </c>
      <c r="AI113" s="1" t="s">
        <v>74</v>
      </c>
      <c r="AJ113" s="1" t="s">
        <v>74</v>
      </c>
      <c r="AK113" s="1" t="s">
        <v>74</v>
      </c>
      <c r="AL113" s="1" t="s">
        <v>74</v>
      </c>
      <c r="AM113" s="1" t="s">
        <v>74</v>
      </c>
      <c r="AN113" s="1" t="s">
        <v>74</v>
      </c>
      <c r="AO113" s="1" t="s">
        <v>1158</v>
      </c>
      <c r="AP113" s="1" t="s">
        <v>74</v>
      </c>
      <c r="AQ113" s="1" t="s">
        <v>74</v>
      </c>
      <c r="AR113" s="1" t="s">
        <v>74</v>
      </c>
      <c r="AS113" s="1" t="s">
        <v>74</v>
      </c>
      <c r="AT113" s="1" t="s">
        <v>180</v>
      </c>
      <c r="AU113" s="1">
        <v>1993.0</v>
      </c>
      <c r="AV113" s="1">
        <v>38.0</v>
      </c>
      <c r="AW113" s="1" t="s">
        <v>1159</v>
      </c>
      <c r="AX113" s="1" t="s">
        <v>74</v>
      </c>
      <c r="AY113" s="1" t="s">
        <v>74</v>
      </c>
      <c r="AZ113" s="1" t="s">
        <v>74</v>
      </c>
      <c r="BA113" s="1" t="s">
        <v>74</v>
      </c>
      <c r="BB113" s="1">
        <v>257.0</v>
      </c>
      <c r="BC113" s="1">
        <v>265.0</v>
      </c>
      <c r="BD113" s="1" t="s">
        <v>74</v>
      </c>
      <c r="BE113" s="1" t="s">
        <v>1160</v>
      </c>
      <c r="BF113" s="2" t="str">
        <f>HYPERLINK("http://dx.doi.org/10.1016/0301-7516(93)90078-O","http://dx.doi.org/10.1016/0301-7516(93)90078-O")</f>
        <v>http://dx.doi.org/10.1016/0301-7516(93)90078-O</v>
      </c>
      <c r="BG113" s="1" t="s">
        <v>74</v>
      </c>
      <c r="BH113" s="1" t="s">
        <v>74</v>
      </c>
      <c r="BI113" s="1" t="s">
        <v>74</v>
      </c>
      <c r="BJ113" s="1" t="s">
        <v>74</v>
      </c>
      <c r="BK113" s="1" t="s">
        <v>74</v>
      </c>
      <c r="BL113" s="1" t="s">
        <v>74</v>
      </c>
      <c r="BM113" s="1" t="s">
        <v>74</v>
      </c>
      <c r="BN113" s="1" t="s">
        <v>74</v>
      </c>
      <c r="BO113" s="1" t="s">
        <v>74</v>
      </c>
      <c r="BP113" s="1" t="s">
        <v>74</v>
      </c>
      <c r="BQ113" s="1" t="s">
        <v>74</v>
      </c>
      <c r="BR113" s="1" t="s">
        <v>74</v>
      </c>
      <c r="BS113" s="1" t="s">
        <v>1161</v>
      </c>
      <c r="BT113" s="1" t="str">
        <f>HYPERLINK("https%3A%2F%2Fwww.webofscience.com%2Fwos%2Fwoscc%2Ffull-record%2FWOS:A1993LL49000006","View Full Record in Web of Science")</f>
        <v>View Full Record in Web of Science</v>
      </c>
    </row>
    <row r="114" ht="12.75" customHeight="1">
      <c r="A114" s="1" t="s">
        <v>72</v>
      </c>
      <c r="B114" s="1" t="s">
        <v>1162</v>
      </c>
      <c r="C114" s="1" t="s">
        <v>74</v>
      </c>
      <c r="D114" s="1" t="s">
        <v>74</v>
      </c>
      <c r="E114" s="1" t="s">
        <v>74</v>
      </c>
      <c r="F114" s="1" t="s">
        <v>1162</v>
      </c>
      <c r="G114" s="1" t="s">
        <v>74</v>
      </c>
      <c r="H114" s="1" t="s">
        <v>74</v>
      </c>
      <c r="I114" s="1" t="s">
        <v>1163</v>
      </c>
      <c r="J114" s="1" t="s">
        <v>1164</v>
      </c>
      <c r="K114" s="1" t="s">
        <v>74</v>
      </c>
      <c r="L114" s="1" t="s">
        <v>74</v>
      </c>
      <c r="M114" s="1" t="s">
        <v>74</v>
      </c>
      <c r="N114" s="1" t="s">
        <v>74</v>
      </c>
      <c r="O114" s="1" t="s">
        <v>74</v>
      </c>
      <c r="P114" s="1" t="s">
        <v>74</v>
      </c>
      <c r="Q114" s="1" t="s">
        <v>74</v>
      </c>
      <c r="R114" s="1" t="s">
        <v>74</v>
      </c>
      <c r="S114" s="1" t="s">
        <v>74</v>
      </c>
      <c r="T114" s="1" t="s">
        <v>74</v>
      </c>
      <c r="U114" s="1" t="s">
        <v>74</v>
      </c>
      <c r="V114" s="1" t="s">
        <v>1165</v>
      </c>
      <c r="W114" s="1" t="s">
        <v>74</v>
      </c>
      <c r="X114" s="1" t="s">
        <v>74</v>
      </c>
      <c r="Y114" s="1" t="s">
        <v>74</v>
      </c>
      <c r="Z114" s="1" t="s">
        <v>74</v>
      </c>
      <c r="AA114" s="1" t="s">
        <v>1166</v>
      </c>
      <c r="AB114" s="1" t="s">
        <v>1167</v>
      </c>
      <c r="AC114" s="1" t="s">
        <v>74</v>
      </c>
      <c r="AD114" s="1" t="s">
        <v>74</v>
      </c>
      <c r="AE114" s="1" t="s">
        <v>74</v>
      </c>
      <c r="AF114" s="1" t="s">
        <v>74</v>
      </c>
      <c r="AG114" s="1" t="s">
        <v>74</v>
      </c>
      <c r="AH114" s="1" t="s">
        <v>74</v>
      </c>
      <c r="AI114" s="1" t="s">
        <v>74</v>
      </c>
      <c r="AJ114" s="1" t="s">
        <v>74</v>
      </c>
      <c r="AK114" s="1" t="s">
        <v>74</v>
      </c>
      <c r="AL114" s="1" t="s">
        <v>74</v>
      </c>
      <c r="AM114" s="1" t="s">
        <v>74</v>
      </c>
      <c r="AN114" s="1" t="s">
        <v>74</v>
      </c>
      <c r="AO114" s="1" t="s">
        <v>1168</v>
      </c>
      <c r="AP114" s="1" t="s">
        <v>74</v>
      </c>
      <c r="AQ114" s="1" t="s">
        <v>74</v>
      </c>
      <c r="AR114" s="1" t="s">
        <v>74</v>
      </c>
      <c r="AS114" s="1" t="s">
        <v>74</v>
      </c>
      <c r="AT114" s="1" t="s">
        <v>74</v>
      </c>
      <c r="AU114" s="1">
        <v>1991.0</v>
      </c>
      <c r="AV114" s="1">
        <v>30.0</v>
      </c>
      <c r="AW114" s="1">
        <v>10.0</v>
      </c>
      <c r="AX114" s="1" t="s">
        <v>74</v>
      </c>
      <c r="AY114" s="1" t="s">
        <v>74</v>
      </c>
      <c r="AZ114" s="1" t="s">
        <v>74</v>
      </c>
      <c r="BA114" s="1" t="s">
        <v>74</v>
      </c>
      <c r="BB114" s="1">
        <v>3281.0</v>
      </c>
      <c r="BC114" s="1">
        <v>3283.0</v>
      </c>
      <c r="BD114" s="1" t="s">
        <v>74</v>
      </c>
      <c r="BE114" s="1" t="s">
        <v>1169</v>
      </c>
      <c r="BF114" s="2" t="str">
        <f>HYPERLINK("http://dx.doi.org/10.1016/0031-9422(91)83193-O","http://dx.doi.org/10.1016/0031-9422(91)83193-O")</f>
        <v>http://dx.doi.org/10.1016/0031-9422(91)83193-O</v>
      </c>
      <c r="BG114" s="1" t="s">
        <v>74</v>
      </c>
      <c r="BH114" s="1" t="s">
        <v>74</v>
      </c>
      <c r="BI114" s="1" t="s">
        <v>74</v>
      </c>
      <c r="BJ114" s="1" t="s">
        <v>74</v>
      </c>
      <c r="BK114" s="1" t="s">
        <v>74</v>
      </c>
      <c r="BL114" s="1" t="s">
        <v>74</v>
      </c>
      <c r="BM114" s="1" t="s">
        <v>74</v>
      </c>
      <c r="BN114" s="1" t="s">
        <v>74</v>
      </c>
      <c r="BO114" s="1" t="s">
        <v>74</v>
      </c>
      <c r="BP114" s="1" t="s">
        <v>74</v>
      </c>
      <c r="BQ114" s="1" t="s">
        <v>74</v>
      </c>
      <c r="BR114" s="1" t="s">
        <v>74</v>
      </c>
      <c r="BS114" s="1" t="s">
        <v>1170</v>
      </c>
      <c r="BT114" s="1" t="str">
        <f>HYPERLINK("https%3A%2F%2Fwww.webofscience.com%2Fwos%2Fwoscc%2Ffull-record%2FWOS:A1991GJ02000022","View Full Record in Web of Science")</f>
        <v>View Full Record in Web of Science</v>
      </c>
    </row>
    <row r="115" ht="12.75" customHeight="1">
      <c r="A115" s="1" t="s">
        <v>72</v>
      </c>
      <c r="B115" s="1" t="s">
        <v>1171</v>
      </c>
      <c r="C115" s="1" t="s">
        <v>74</v>
      </c>
      <c r="D115" s="1" t="s">
        <v>74</v>
      </c>
      <c r="E115" s="1" t="s">
        <v>74</v>
      </c>
      <c r="F115" s="1" t="s">
        <v>1171</v>
      </c>
      <c r="G115" s="1" t="s">
        <v>74</v>
      </c>
      <c r="H115" s="1" t="s">
        <v>74</v>
      </c>
      <c r="I115" s="1" t="s">
        <v>1172</v>
      </c>
      <c r="J115" s="1" t="s">
        <v>1173</v>
      </c>
      <c r="K115" s="1" t="s">
        <v>74</v>
      </c>
      <c r="L115" s="1" t="s">
        <v>74</v>
      </c>
      <c r="M115" s="1" t="s">
        <v>74</v>
      </c>
      <c r="N115" s="1" t="s">
        <v>74</v>
      </c>
      <c r="O115" s="1" t="s">
        <v>74</v>
      </c>
      <c r="P115" s="1" t="s">
        <v>74</v>
      </c>
      <c r="Q115" s="1" t="s">
        <v>74</v>
      </c>
      <c r="R115" s="1" t="s">
        <v>74</v>
      </c>
      <c r="S115" s="1" t="s">
        <v>74</v>
      </c>
      <c r="T115" s="1" t="s">
        <v>74</v>
      </c>
      <c r="U115" s="1" t="s">
        <v>74</v>
      </c>
      <c r="V115" s="1" t="s">
        <v>74</v>
      </c>
      <c r="W115" s="1" t="s">
        <v>74</v>
      </c>
      <c r="X115" s="1" t="s">
        <v>74</v>
      </c>
      <c r="Y115" s="1" t="s">
        <v>74</v>
      </c>
      <c r="Z115" s="1" t="s">
        <v>74</v>
      </c>
      <c r="AA115" s="1" t="s">
        <v>1174</v>
      </c>
      <c r="AB115" s="1" t="s">
        <v>74</v>
      </c>
      <c r="AC115" s="1" t="s">
        <v>74</v>
      </c>
      <c r="AD115" s="1" t="s">
        <v>74</v>
      </c>
      <c r="AE115" s="1" t="s">
        <v>74</v>
      </c>
      <c r="AF115" s="1" t="s">
        <v>74</v>
      </c>
      <c r="AG115" s="1" t="s">
        <v>74</v>
      </c>
      <c r="AH115" s="1" t="s">
        <v>74</v>
      </c>
      <c r="AI115" s="1" t="s">
        <v>74</v>
      </c>
      <c r="AJ115" s="1" t="s">
        <v>74</v>
      </c>
      <c r="AK115" s="1" t="s">
        <v>74</v>
      </c>
      <c r="AL115" s="1" t="s">
        <v>74</v>
      </c>
      <c r="AM115" s="1" t="s">
        <v>74</v>
      </c>
      <c r="AN115" s="1" t="s">
        <v>74</v>
      </c>
      <c r="AO115" s="1" t="s">
        <v>1175</v>
      </c>
      <c r="AP115" s="1" t="s">
        <v>74</v>
      </c>
      <c r="AQ115" s="1" t="s">
        <v>74</v>
      </c>
      <c r="AR115" s="1" t="s">
        <v>74</v>
      </c>
      <c r="AS115" s="1" t="s">
        <v>74</v>
      </c>
      <c r="AT115" s="1" t="s">
        <v>1176</v>
      </c>
      <c r="AU115" s="1">
        <v>1990.0</v>
      </c>
      <c r="AV115" s="1">
        <v>28.0</v>
      </c>
      <c r="AW115" s="1">
        <v>9.0</v>
      </c>
      <c r="AX115" s="1" t="s">
        <v>74</v>
      </c>
      <c r="AY115" s="1" t="s">
        <v>74</v>
      </c>
      <c r="AZ115" s="1" t="s">
        <v>74</v>
      </c>
      <c r="BA115" s="1" t="s">
        <v>74</v>
      </c>
      <c r="BB115" s="1">
        <v>2465.0</v>
      </c>
      <c r="BC115" s="1">
        <v>2474.0</v>
      </c>
      <c r="BD115" s="1" t="s">
        <v>74</v>
      </c>
      <c r="BE115" s="1" t="s">
        <v>1177</v>
      </c>
      <c r="BF115" s="2" t="str">
        <f>HYPERLINK("http://dx.doi.org/10.1002/pola.1990.080280919","http://dx.doi.org/10.1002/pola.1990.080280919")</f>
        <v>http://dx.doi.org/10.1002/pola.1990.080280919</v>
      </c>
      <c r="BG115" s="1" t="s">
        <v>74</v>
      </c>
      <c r="BH115" s="1" t="s">
        <v>74</v>
      </c>
      <c r="BI115" s="1" t="s">
        <v>74</v>
      </c>
      <c r="BJ115" s="1" t="s">
        <v>74</v>
      </c>
      <c r="BK115" s="1" t="s">
        <v>74</v>
      </c>
      <c r="BL115" s="1" t="s">
        <v>74</v>
      </c>
      <c r="BM115" s="1" t="s">
        <v>74</v>
      </c>
      <c r="BN115" s="1" t="s">
        <v>74</v>
      </c>
      <c r="BO115" s="1" t="s">
        <v>74</v>
      </c>
      <c r="BP115" s="1" t="s">
        <v>74</v>
      </c>
      <c r="BQ115" s="1" t="s">
        <v>74</v>
      </c>
      <c r="BR115" s="1" t="s">
        <v>74</v>
      </c>
      <c r="BS115" s="1" t="s">
        <v>1178</v>
      </c>
      <c r="BT115" s="1" t="str">
        <f>HYPERLINK("https%3A%2F%2Fwww.webofscience.com%2Fwos%2Fwoscc%2Ffull-record%2FWOS:A1990DQ33500019","View Full Record in Web of Science")</f>
        <v>View Full Record in Web of Science</v>
      </c>
    </row>
    <row r="116" ht="12.75" customHeight="1">
      <c r="A116" s="1" t="s">
        <v>72</v>
      </c>
      <c r="B116" s="1" t="s">
        <v>1179</v>
      </c>
      <c r="C116" s="1" t="s">
        <v>74</v>
      </c>
      <c r="D116" s="1" t="s">
        <v>74</v>
      </c>
      <c r="E116" s="1" t="s">
        <v>74</v>
      </c>
      <c r="F116" s="1" t="s">
        <v>1179</v>
      </c>
      <c r="G116" s="1" t="s">
        <v>74</v>
      </c>
      <c r="H116" s="1" t="s">
        <v>74</v>
      </c>
      <c r="I116" s="1" t="s">
        <v>1180</v>
      </c>
      <c r="J116" s="1" t="s">
        <v>1181</v>
      </c>
      <c r="K116" s="1" t="s">
        <v>74</v>
      </c>
      <c r="L116" s="1" t="s">
        <v>74</v>
      </c>
      <c r="M116" s="1" t="s">
        <v>74</v>
      </c>
      <c r="N116" s="1" t="s">
        <v>74</v>
      </c>
      <c r="O116" s="1" t="s">
        <v>74</v>
      </c>
      <c r="P116" s="1" t="s">
        <v>74</v>
      </c>
      <c r="Q116" s="1" t="s">
        <v>74</v>
      </c>
      <c r="R116" s="1" t="s">
        <v>74</v>
      </c>
      <c r="S116" s="1" t="s">
        <v>74</v>
      </c>
      <c r="T116" s="1" t="s">
        <v>74</v>
      </c>
      <c r="U116" s="1" t="s">
        <v>74</v>
      </c>
      <c r="V116" s="1" t="s">
        <v>74</v>
      </c>
      <c r="W116" s="1" t="s">
        <v>74</v>
      </c>
      <c r="X116" s="1" t="s">
        <v>74</v>
      </c>
      <c r="Y116" s="1" t="s">
        <v>74</v>
      </c>
      <c r="Z116" s="1" t="s">
        <v>74</v>
      </c>
      <c r="AA116" s="1" t="s">
        <v>74</v>
      </c>
      <c r="AB116" s="1" t="s">
        <v>74</v>
      </c>
      <c r="AC116" s="1" t="s">
        <v>74</v>
      </c>
      <c r="AD116" s="1" t="s">
        <v>74</v>
      </c>
      <c r="AE116" s="1" t="s">
        <v>74</v>
      </c>
      <c r="AF116" s="1" t="s">
        <v>74</v>
      </c>
      <c r="AG116" s="1" t="s">
        <v>74</v>
      </c>
      <c r="AH116" s="1" t="s">
        <v>74</v>
      </c>
      <c r="AI116" s="1" t="s">
        <v>74</v>
      </c>
      <c r="AJ116" s="1" t="s">
        <v>74</v>
      </c>
      <c r="AK116" s="1" t="s">
        <v>74</v>
      </c>
      <c r="AL116" s="1" t="s">
        <v>74</v>
      </c>
      <c r="AM116" s="1" t="s">
        <v>74</v>
      </c>
      <c r="AN116" s="1" t="s">
        <v>74</v>
      </c>
      <c r="AO116" s="1" t="s">
        <v>1182</v>
      </c>
      <c r="AP116" s="1" t="s">
        <v>74</v>
      </c>
      <c r="AQ116" s="1" t="s">
        <v>74</v>
      </c>
      <c r="AR116" s="1" t="s">
        <v>74</v>
      </c>
      <c r="AS116" s="1" t="s">
        <v>74</v>
      </c>
      <c r="AT116" s="1" t="s">
        <v>111</v>
      </c>
      <c r="AU116" s="1">
        <v>1989.0</v>
      </c>
      <c r="AV116" s="1">
        <v>5.0</v>
      </c>
      <c r="AW116" s="1">
        <v>4.0</v>
      </c>
      <c r="AX116" s="1" t="s">
        <v>74</v>
      </c>
      <c r="AY116" s="1" t="s">
        <v>74</v>
      </c>
      <c r="AZ116" s="1" t="s">
        <v>74</v>
      </c>
      <c r="BA116" s="1" t="s">
        <v>74</v>
      </c>
      <c r="BB116" s="1">
        <v>942.0</v>
      </c>
      <c r="BC116" s="1">
        <v>947.0</v>
      </c>
      <c r="BD116" s="1" t="s">
        <v>74</v>
      </c>
      <c r="BE116" s="1" t="s">
        <v>1183</v>
      </c>
      <c r="BF116" s="2" t="str">
        <f>HYPERLINK("http://dx.doi.org/10.1021/la00088a011","http://dx.doi.org/10.1021/la00088a011")</f>
        <v>http://dx.doi.org/10.1021/la00088a011</v>
      </c>
      <c r="BG116" s="1" t="s">
        <v>74</v>
      </c>
      <c r="BH116" s="1" t="s">
        <v>74</v>
      </c>
      <c r="BI116" s="1" t="s">
        <v>74</v>
      </c>
      <c r="BJ116" s="1" t="s">
        <v>74</v>
      </c>
      <c r="BK116" s="1" t="s">
        <v>74</v>
      </c>
      <c r="BL116" s="1" t="s">
        <v>74</v>
      </c>
      <c r="BM116" s="1" t="s">
        <v>74</v>
      </c>
      <c r="BN116" s="1" t="s">
        <v>74</v>
      </c>
      <c r="BO116" s="1" t="s">
        <v>74</v>
      </c>
      <c r="BP116" s="1" t="s">
        <v>74</v>
      </c>
      <c r="BQ116" s="1" t="s">
        <v>74</v>
      </c>
      <c r="BR116" s="1" t="s">
        <v>74</v>
      </c>
      <c r="BS116" s="1" t="s">
        <v>1184</v>
      </c>
      <c r="BT116" s="1" t="str">
        <f>HYPERLINK("https%3A%2F%2Fwww.webofscience.com%2Fwos%2Fwoscc%2Ffull-record%2FWOS:A1989AG68500011","View Full Record in Web of Science")</f>
        <v>View Full Record in Web of Science</v>
      </c>
    </row>
    <row r="117" ht="12.75" customHeight="1">
      <c r="A117" s="1" t="s">
        <v>72</v>
      </c>
      <c r="B117" s="1" t="s">
        <v>1185</v>
      </c>
      <c r="C117" s="1" t="s">
        <v>74</v>
      </c>
      <c r="D117" s="1" t="s">
        <v>74</v>
      </c>
      <c r="E117" s="1" t="s">
        <v>74</v>
      </c>
      <c r="F117" s="1" t="s">
        <v>1185</v>
      </c>
      <c r="G117" s="1" t="s">
        <v>74</v>
      </c>
      <c r="H117" s="1" t="s">
        <v>74</v>
      </c>
      <c r="I117" s="1" t="s">
        <v>1186</v>
      </c>
      <c r="J117" s="1" t="s">
        <v>1187</v>
      </c>
      <c r="K117" s="1" t="s">
        <v>74</v>
      </c>
      <c r="L117" s="1" t="s">
        <v>74</v>
      </c>
      <c r="M117" s="1" t="s">
        <v>74</v>
      </c>
      <c r="N117" s="1" t="s">
        <v>74</v>
      </c>
      <c r="O117" s="1" t="s">
        <v>74</v>
      </c>
      <c r="P117" s="1" t="s">
        <v>74</v>
      </c>
      <c r="Q117" s="1" t="s">
        <v>74</v>
      </c>
      <c r="R117" s="1" t="s">
        <v>74</v>
      </c>
      <c r="S117" s="1" t="s">
        <v>74</v>
      </c>
      <c r="T117" s="1" t="s">
        <v>74</v>
      </c>
      <c r="U117" s="1" t="s">
        <v>74</v>
      </c>
      <c r="V117" s="1" t="s">
        <v>74</v>
      </c>
      <c r="W117" s="1" t="s">
        <v>74</v>
      </c>
      <c r="X117" s="1" t="s">
        <v>74</v>
      </c>
      <c r="Y117" s="1" t="s">
        <v>74</v>
      </c>
      <c r="Z117" s="1" t="s">
        <v>74</v>
      </c>
      <c r="AA117" s="1" t="s">
        <v>74</v>
      </c>
      <c r="AB117" s="1" t="s">
        <v>74</v>
      </c>
      <c r="AC117" s="1" t="s">
        <v>74</v>
      </c>
      <c r="AD117" s="1" t="s">
        <v>74</v>
      </c>
      <c r="AE117" s="1" t="s">
        <v>74</v>
      </c>
      <c r="AF117" s="1" t="s">
        <v>74</v>
      </c>
      <c r="AG117" s="1" t="s">
        <v>74</v>
      </c>
      <c r="AH117" s="1" t="s">
        <v>74</v>
      </c>
      <c r="AI117" s="1" t="s">
        <v>74</v>
      </c>
      <c r="AJ117" s="1" t="s">
        <v>74</v>
      </c>
      <c r="AK117" s="1" t="s">
        <v>74</v>
      </c>
      <c r="AL117" s="1" t="s">
        <v>74</v>
      </c>
      <c r="AM117" s="1" t="s">
        <v>74</v>
      </c>
      <c r="AN117" s="1" t="s">
        <v>74</v>
      </c>
      <c r="AO117" s="1" t="s">
        <v>1188</v>
      </c>
      <c r="AP117" s="1" t="s">
        <v>74</v>
      </c>
      <c r="AQ117" s="1" t="s">
        <v>74</v>
      </c>
      <c r="AR117" s="1" t="s">
        <v>74</v>
      </c>
      <c r="AS117" s="1" t="s">
        <v>74</v>
      </c>
      <c r="AT117" s="1" t="s">
        <v>1189</v>
      </c>
      <c r="AU117" s="1">
        <v>1989.0</v>
      </c>
      <c r="AV117" s="1">
        <v>51.0</v>
      </c>
      <c r="AW117" s="1">
        <v>1.0</v>
      </c>
      <c r="AX117" s="1" t="s">
        <v>74</v>
      </c>
      <c r="AY117" s="1" t="s">
        <v>74</v>
      </c>
      <c r="AZ117" s="1" t="s">
        <v>74</v>
      </c>
      <c r="BA117" s="1" t="s">
        <v>74</v>
      </c>
      <c r="BB117" s="1">
        <v>67.0</v>
      </c>
      <c r="BC117" s="1">
        <v>72.0</v>
      </c>
      <c r="BD117" s="1" t="s">
        <v>74</v>
      </c>
      <c r="BE117" s="1" t="s">
        <v>1190</v>
      </c>
      <c r="BF117" s="2" t="str">
        <f>HYPERLINK("http://dx.doi.org/10.1016/0304-5102(89)87010-5","http://dx.doi.org/10.1016/0304-5102(89)87010-5")</f>
        <v>http://dx.doi.org/10.1016/0304-5102(89)87010-5</v>
      </c>
      <c r="BG117" s="1" t="s">
        <v>74</v>
      </c>
      <c r="BH117" s="1" t="s">
        <v>74</v>
      </c>
      <c r="BI117" s="1" t="s">
        <v>74</v>
      </c>
      <c r="BJ117" s="1" t="s">
        <v>74</v>
      </c>
      <c r="BK117" s="1" t="s">
        <v>74</v>
      </c>
      <c r="BL117" s="1" t="s">
        <v>74</v>
      </c>
      <c r="BM117" s="1" t="s">
        <v>74</v>
      </c>
      <c r="BN117" s="1" t="s">
        <v>74</v>
      </c>
      <c r="BO117" s="1" t="s">
        <v>74</v>
      </c>
      <c r="BP117" s="1" t="s">
        <v>74</v>
      </c>
      <c r="BQ117" s="1" t="s">
        <v>74</v>
      </c>
      <c r="BR117" s="1" t="s">
        <v>74</v>
      </c>
      <c r="BS117" s="1" t="s">
        <v>1191</v>
      </c>
      <c r="BT117" s="1" t="str">
        <f>HYPERLINK("https%3A%2F%2Fwww.webofscience.com%2Fwos%2Fwoscc%2Ffull-record%2FWOS:A1989T930200010","View Full Record in Web of Science")</f>
        <v>View Full Record in Web of Science</v>
      </c>
    </row>
    <row r="118" ht="12.75" customHeight="1">
      <c r="A118" s="1" t="s">
        <v>72</v>
      </c>
      <c r="B118" s="1" t="s">
        <v>1192</v>
      </c>
      <c r="C118" s="1" t="s">
        <v>74</v>
      </c>
      <c r="D118" s="1" t="s">
        <v>74</v>
      </c>
      <c r="E118" s="1" t="s">
        <v>74</v>
      </c>
      <c r="F118" s="1" t="s">
        <v>1192</v>
      </c>
      <c r="G118" s="1" t="s">
        <v>74</v>
      </c>
      <c r="H118" s="1" t="s">
        <v>74</v>
      </c>
      <c r="I118" s="1" t="s">
        <v>1193</v>
      </c>
      <c r="J118" s="1" t="s">
        <v>177</v>
      </c>
      <c r="K118" s="1" t="s">
        <v>74</v>
      </c>
      <c r="L118" s="1" t="s">
        <v>74</v>
      </c>
      <c r="M118" s="1" t="s">
        <v>74</v>
      </c>
      <c r="N118" s="1" t="s">
        <v>74</v>
      </c>
      <c r="O118" s="1" t="s">
        <v>74</v>
      </c>
      <c r="P118" s="1" t="s">
        <v>74</v>
      </c>
      <c r="Q118" s="1" t="s">
        <v>74</v>
      </c>
      <c r="R118" s="1" t="s">
        <v>74</v>
      </c>
      <c r="S118" s="1" t="s">
        <v>74</v>
      </c>
      <c r="T118" s="1" t="s">
        <v>74</v>
      </c>
      <c r="U118" s="1" t="s">
        <v>74</v>
      </c>
      <c r="V118" s="1" t="s">
        <v>74</v>
      </c>
      <c r="W118" s="1" t="s">
        <v>74</v>
      </c>
      <c r="X118" s="1" t="s">
        <v>74</v>
      </c>
      <c r="Y118" s="1" t="s">
        <v>74</v>
      </c>
      <c r="Z118" s="1" t="s">
        <v>74</v>
      </c>
      <c r="AA118" s="1" t="s">
        <v>1194</v>
      </c>
      <c r="AB118" s="1" t="s">
        <v>74</v>
      </c>
      <c r="AC118" s="1" t="s">
        <v>74</v>
      </c>
      <c r="AD118" s="1" t="s">
        <v>74</v>
      </c>
      <c r="AE118" s="1" t="s">
        <v>74</v>
      </c>
      <c r="AF118" s="1" t="s">
        <v>74</v>
      </c>
      <c r="AG118" s="1" t="s">
        <v>74</v>
      </c>
      <c r="AH118" s="1" t="s">
        <v>74</v>
      </c>
      <c r="AI118" s="1" t="s">
        <v>74</v>
      </c>
      <c r="AJ118" s="1" t="s">
        <v>74</v>
      </c>
      <c r="AK118" s="1" t="s">
        <v>74</v>
      </c>
      <c r="AL118" s="1" t="s">
        <v>74</v>
      </c>
      <c r="AM118" s="1" t="s">
        <v>74</v>
      </c>
      <c r="AN118" s="1" t="s">
        <v>74</v>
      </c>
      <c r="AO118" s="1" t="s">
        <v>179</v>
      </c>
      <c r="AP118" s="1" t="s">
        <v>74</v>
      </c>
      <c r="AQ118" s="1" t="s">
        <v>74</v>
      </c>
      <c r="AR118" s="1" t="s">
        <v>74</v>
      </c>
      <c r="AS118" s="1" t="s">
        <v>74</v>
      </c>
      <c r="AT118" s="1" t="s">
        <v>180</v>
      </c>
      <c r="AU118" s="1">
        <v>1988.0</v>
      </c>
      <c r="AV118" s="1">
        <v>33.0</v>
      </c>
      <c r="AW118" s="1">
        <v>2.0</v>
      </c>
      <c r="AX118" s="1" t="s">
        <v>74</v>
      </c>
      <c r="AY118" s="1" t="s">
        <v>74</v>
      </c>
      <c r="AZ118" s="1" t="s">
        <v>74</v>
      </c>
      <c r="BA118" s="1" t="s">
        <v>74</v>
      </c>
      <c r="BB118" s="1">
        <v>83.0</v>
      </c>
      <c r="BC118" s="1">
        <v>87.0</v>
      </c>
      <c r="BD118" s="1" t="s">
        <v>74</v>
      </c>
      <c r="BE118" s="1" t="s">
        <v>74</v>
      </c>
      <c r="BF118" s="1" t="s">
        <v>74</v>
      </c>
      <c r="BG118" s="1" t="s">
        <v>74</v>
      </c>
      <c r="BH118" s="1" t="s">
        <v>74</v>
      </c>
      <c r="BI118" s="1" t="s">
        <v>74</v>
      </c>
      <c r="BJ118" s="1" t="s">
        <v>74</v>
      </c>
      <c r="BK118" s="1" t="s">
        <v>74</v>
      </c>
      <c r="BL118" s="1" t="s">
        <v>74</v>
      </c>
      <c r="BM118" s="1" t="s">
        <v>74</v>
      </c>
      <c r="BN118" s="1" t="s">
        <v>74</v>
      </c>
      <c r="BO118" s="1" t="s">
        <v>74</v>
      </c>
      <c r="BP118" s="1" t="s">
        <v>74</v>
      </c>
      <c r="BQ118" s="1" t="s">
        <v>74</v>
      </c>
      <c r="BR118" s="1" t="s">
        <v>74</v>
      </c>
      <c r="BS118" s="1" t="s">
        <v>1195</v>
      </c>
      <c r="BT118" s="1" t="str">
        <f>HYPERLINK("https%3A%2F%2Fwww.webofscience.com%2Fwos%2Fwoscc%2Ffull-record%2FWOS:A1988P037100004","View Full Record in Web of Science")</f>
        <v>View Full Record in Web of Science</v>
      </c>
    </row>
    <row r="119" ht="12.75" customHeight="1">
      <c r="A119" s="1" t="s">
        <v>72</v>
      </c>
      <c r="B119" s="1" t="s">
        <v>1196</v>
      </c>
      <c r="C119" s="1" t="s">
        <v>74</v>
      </c>
      <c r="D119" s="1" t="s">
        <v>74</v>
      </c>
      <c r="E119" s="1" t="s">
        <v>74</v>
      </c>
      <c r="F119" s="1" t="s">
        <v>1196</v>
      </c>
      <c r="G119" s="1" t="s">
        <v>74</v>
      </c>
      <c r="H119" s="1" t="s">
        <v>74</v>
      </c>
      <c r="I119" s="1" t="s">
        <v>1197</v>
      </c>
      <c r="J119" s="1" t="s">
        <v>767</v>
      </c>
      <c r="K119" s="1" t="s">
        <v>74</v>
      </c>
      <c r="L119" s="1" t="s">
        <v>74</v>
      </c>
      <c r="M119" s="1" t="s">
        <v>74</v>
      </c>
      <c r="N119" s="1" t="s">
        <v>74</v>
      </c>
      <c r="O119" s="1" t="s">
        <v>74</v>
      </c>
      <c r="P119" s="1" t="s">
        <v>74</v>
      </c>
      <c r="Q119" s="1" t="s">
        <v>74</v>
      </c>
      <c r="R119" s="1" t="s">
        <v>74</v>
      </c>
      <c r="S119" s="1" t="s">
        <v>74</v>
      </c>
      <c r="T119" s="1" t="s">
        <v>74</v>
      </c>
      <c r="U119" s="1" t="s">
        <v>74</v>
      </c>
      <c r="V119" s="1" t="s">
        <v>74</v>
      </c>
      <c r="W119" s="1" t="s">
        <v>74</v>
      </c>
      <c r="X119" s="1" t="s">
        <v>74</v>
      </c>
      <c r="Y119" s="1" t="s">
        <v>74</v>
      </c>
      <c r="Z119" s="1" t="s">
        <v>74</v>
      </c>
      <c r="AA119" s="1" t="s">
        <v>74</v>
      </c>
      <c r="AB119" s="1" t="s">
        <v>74</v>
      </c>
      <c r="AC119" s="1" t="s">
        <v>74</v>
      </c>
      <c r="AD119" s="1" t="s">
        <v>74</v>
      </c>
      <c r="AE119" s="1" t="s">
        <v>74</v>
      </c>
      <c r="AF119" s="1" t="s">
        <v>74</v>
      </c>
      <c r="AG119" s="1" t="s">
        <v>74</v>
      </c>
      <c r="AH119" s="1" t="s">
        <v>74</v>
      </c>
      <c r="AI119" s="1" t="s">
        <v>74</v>
      </c>
      <c r="AJ119" s="1" t="s">
        <v>74</v>
      </c>
      <c r="AK119" s="1" t="s">
        <v>74</v>
      </c>
      <c r="AL119" s="1" t="s">
        <v>74</v>
      </c>
      <c r="AM119" s="1" t="s">
        <v>74</v>
      </c>
      <c r="AN119" s="1" t="s">
        <v>74</v>
      </c>
      <c r="AO119" s="1" t="s">
        <v>770</v>
      </c>
      <c r="AP119" s="1" t="s">
        <v>771</v>
      </c>
      <c r="AQ119" s="1" t="s">
        <v>74</v>
      </c>
      <c r="AR119" s="1" t="s">
        <v>74</v>
      </c>
      <c r="AS119" s="1" t="s">
        <v>74</v>
      </c>
      <c r="AT119" s="1" t="s">
        <v>1198</v>
      </c>
      <c r="AU119" s="1">
        <v>1988.0</v>
      </c>
      <c r="AV119" s="1">
        <v>2.0</v>
      </c>
      <c r="AW119" s="1">
        <v>5.0</v>
      </c>
      <c r="AX119" s="1" t="s">
        <v>74</v>
      </c>
      <c r="AY119" s="1" t="s">
        <v>74</v>
      </c>
      <c r="AZ119" s="1" t="s">
        <v>74</v>
      </c>
      <c r="BA119" s="1" t="s">
        <v>74</v>
      </c>
      <c r="BB119" s="1" t="s">
        <v>1199</v>
      </c>
      <c r="BC119" s="1" t="s">
        <v>1199</v>
      </c>
      <c r="BD119" s="1" t="s">
        <v>74</v>
      </c>
      <c r="BE119" s="1" t="s">
        <v>74</v>
      </c>
      <c r="BF119" s="1" t="s">
        <v>74</v>
      </c>
      <c r="BG119" s="1" t="s">
        <v>74</v>
      </c>
      <c r="BH119" s="1" t="s">
        <v>74</v>
      </c>
      <c r="BI119" s="1" t="s">
        <v>74</v>
      </c>
      <c r="BJ119" s="1" t="s">
        <v>74</v>
      </c>
      <c r="BK119" s="1" t="s">
        <v>74</v>
      </c>
      <c r="BL119" s="1" t="s">
        <v>74</v>
      </c>
      <c r="BM119" s="1" t="s">
        <v>74</v>
      </c>
      <c r="BN119" s="1" t="s">
        <v>74</v>
      </c>
      <c r="BO119" s="1" t="s">
        <v>74</v>
      </c>
      <c r="BP119" s="1" t="s">
        <v>74</v>
      </c>
      <c r="BQ119" s="1" t="s">
        <v>74</v>
      </c>
      <c r="BR119" s="1" t="s">
        <v>74</v>
      </c>
      <c r="BS119" s="1" t="s">
        <v>1200</v>
      </c>
      <c r="BT119" s="1" t="str">
        <f>HYPERLINK("https%3A%2F%2Fwww.webofscience.com%2Fwos%2Fwoscc%2Ffull-record%2FWOS:A1988M598400451","View Full Record in Web of Science")</f>
        <v>View Full Record in Web of Science</v>
      </c>
    </row>
    <row r="120" ht="12.75" customHeight="1">
      <c r="A120" s="1" t="s">
        <v>72</v>
      </c>
      <c r="B120" s="1" t="s">
        <v>1201</v>
      </c>
      <c r="C120" s="1" t="s">
        <v>74</v>
      </c>
      <c r="D120" s="1" t="s">
        <v>74</v>
      </c>
      <c r="E120" s="1" t="s">
        <v>74</v>
      </c>
      <c r="F120" s="1" t="s">
        <v>1201</v>
      </c>
      <c r="G120" s="1" t="s">
        <v>74</v>
      </c>
      <c r="H120" s="1" t="s">
        <v>74</v>
      </c>
      <c r="I120" s="1" t="s">
        <v>1202</v>
      </c>
      <c r="J120" s="1" t="s">
        <v>203</v>
      </c>
      <c r="K120" s="1" t="s">
        <v>74</v>
      </c>
      <c r="L120" s="1" t="s">
        <v>74</v>
      </c>
      <c r="M120" s="1" t="s">
        <v>74</v>
      </c>
      <c r="N120" s="1" t="s">
        <v>74</v>
      </c>
      <c r="O120" s="1" t="s">
        <v>74</v>
      </c>
      <c r="P120" s="1" t="s">
        <v>74</v>
      </c>
      <c r="Q120" s="1" t="s">
        <v>74</v>
      </c>
      <c r="R120" s="1" t="s">
        <v>74</v>
      </c>
      <c r="S120" s="1" t="s">
        <v>74</v>
      </c>
      <c r="T120" s="1" t="s">
        <v>74</v>
      </c>
      <c r="U120" s="1" t="s">
        <v>74</v>
      </c>
      <c r="V120" s="1" t="s">
        <v>74</v>
      </c>
      <c r="W120" s="1" t="s">
        <v>74</v>
      </c>
      <c r="X120" s="1" t="s">
        <v>74</v>
      </c>
      <c r="Y120" s="1" t="s">
        <v>74</v>
      </c>
      <c r="Z120" s="1" t="s">
        <v>74</v>
      </c>
      <c r="AA120" s="1" t="s">
        <v>74</v>
      </c>
      <c r="AB120" s="1" t="s">
        <v>74</v>
      </c>
      <c r="AC120" s="1" t="s">
        <v>74</v>
      </c>
      <c r="AD120" s="1" t="s">
        <v>74</v>
      </c>
      <c r="AE120" s="1" t="s">
        <v>74</v>
      </c>
      <c r="AF120" s="1" t="s">
        <v>74</v>
      </c>
      <c r="AG120" s="1" t="s">
        <v>74</v>
      </c>
      <c r="AH120" s="1" t="s">
        <v>74</v>
      </c>
      <c r="AI120" s="1" t="s">
        <v>74</v>
      </c>
      <c r="AJ120" s="1" t="s">
        <v>74</v>
      </c>
      <c r="AK120" s="1" t="s">
        <v>74</v>
      </c>
      <c r="AL120" s="1" t="s">
        <v>74</v>
      </c>
      <c r="AM120" s="1" t="s">
        <v>74</v>
      </c>
      <c r="AN120" s="1" t="s">
        <v>74</v>
      </c>
      <c r="AO120" s="1" t="s">
        <v>204</v>
      </c>
      <c r="AP120" s="1" t="s">
        <v>74</v>
      </c>
      <c r="AQ120" s="1" t="s">
        <v>74</v>
      </c>
      <c r="AR120" s="1" t="s">
        <v>74</v>
      </c>
      <c r="AS120" s="1" t="s">
        <v>74</v>
      </c>
      <c r="AT120" s="1" t="s">
        <v>205</v>
      </c>
      <c r="AU120" s="1">
        <v>1986.0</v>
      </c>
      <c r="AV120" s="1">
        <v>19.0</v>
      </c>
      <c r="AW120" s="1">
        <v>2.0</v>
      </c>
      <c r="AX120" s="1" t="s">
        <v>74</v>
      </c>
      <c r="AY120" s="1" t="s">
        <v>74</v>
      </c>
      <c r="AZ120" s="1" t="s">
        <v>74</v>
      </c>
      <c r="BA120" s="1" t="s">
        <v>74</v>
      </c>
      <c r="BB120" s="1" t="s">
        <v>1203</v>
      </c>
      <c r="BC120" s="1" t="s">
        <v>1203</v>
      </c>
      <c r="BD120" s="1" t="s">
        <v>74</v>
      </c>
      <c r="BE120" s="1" t="s">
        <v>74</v>
      </c>
      <c r="BF120" s="1" t="s">
        <v>74</v>
      </c>
      <c r="BG120" s="1" t="s">
        <v>74</v>
      </c>
      <c r="BH120" s="1" t="s">
        <v>74</v>
      </c>
      <c r="BI120" s="1" t="s">
        <v>74</v>
      </c>
      <c r="BJ120" s="1" t="s">
        <v>74</v>
      </c>
      <c r="BK120" s="1" t="s">
        <v>74</v>
      </c>
      <c r="BL120" s="1" t="s">
        <v>74</v>
      </c>
      <c r="BM120" s="1" t="s">
        <v>74</v>
      </c>
      <c r="BN120" s="1" t="s">
        <v>74</v>
      </c>
      <c r="BO120" s="1" t="s">
        <v>74</v>
      </c>
      <c r="BP120" s="1" t="s">
        <v>74</v>
      </c>
      <c r="BQ120" s="1" t="s">
        <v>74</v>
      </c>
      <c r="BR120" s="1" t="s">
        <v>74</v>
      </c>
      <c r="BS120" s="1" t="s">
        <v>1204</v>
      </c>
      <c r="BT120" s="1" t="str">
        <f>HYPERLINK("https%3A%2F%2Fwww.webofscience.com%2Fwos%2Fwoscc%2Ffull-record%2FWOS:A1986F093100094","View Full Record in Web of Science")</f>
        <v>View Full Record in Web of Science</v>
      </c>
    </row>
    <row r="121" ht="12.75" customHeight="1">
      <c r="A121" s="1" t="s">
        <v>72</v>
      </c>
      <c r="B121" s="1" t="s">
        <v>1205</v>
      </c>
      <c r="C121" s="1" t="s">
        <v>74</v>
      </c>
      <c r="D121" s="1" t="s">
        <v>74</v>
      </c>
      <c r="E121" s="1" t="s">
        <v>74</v>
      </c>
      <c r="F121" s="1" t="s">
        <v>1205</v>
      </c>
      <c r="G121" s="1" t="s">
        <v>74</v>
      </c>
      <c r="H121" s="1" t="s">
        <v>74</v>
      </c>
      <c r="I121" s="1" t="s">
        <v>1206</v>
      </c>
      <c r="J121" s="1" t="s">
        <v>1207</v>
      </c>
      <c r="K121" s="1" t="s">
        <v>74</v>
      </c>
      <c r="L121" s="1" t="s">
        <v>74</v>
      </c>
      <c r="M121" s="1" t="s">
        <v>74</v>
      </c>
      <c r="N121" s="1" t="s">
        <v>74</v>
      </c>
      <c r="O121" s="1" t="s">
        <v>74</v>
      </c>
      <c r="P121" s="1" t="s">
        <v>74</v>
      </c>
      <c r="Q121" s="1" t="s">
        <v>74</v>
      </c>
      <c r="R121" s="1" t="s">
        <v>74</v>
      </c>
      <c r="S121" s="1" t="s">
        <v>74</v>
      </c>
      <c r="T121" s="1" t="s">
        <v>74</v>
      </c>
      <c r="U121" s="1" t="s">
        <v>74</v>
      </c>
      <c r="V121" s="1" t="s">
        <v>74</v>
      </c>
      <c r="W121" s="1" t="s">
        <v>74</v>
      </c>
      <c r="X121" s="1" t="s">
        <v>74</v>
      </c>
      <c r="Y121" s="1" t="s">
        <v>74</v>
      </c>
      <c r="Z121" s="1" t="s">
        <v>74</v>
      </c>
      <c r="AA121" s="1" t="s">
        <v>1208</v>
      </c>
      <c r="AB121" s="1" t="s">
        <v>74</v>
      </c>
      <c r="AC121" s="1" t="s">
        <v>74</v>
      </c>
      <c r="AD121" s="1" t="s">
        <v>74</v>
      </c>
      <c r="AE121" s="1" t="s">
        <v>74</v>
      </c>
      <c r="AF121" s="1" t="s">
        <v>74</v>
      </c>
      <c r="AG121" s="1" t="s">
        <v>74</v>
      </c>
      <c r="AH121" s="1" t="s">
        <v>74</v>
      </c>
      <c r="AI121" s="1" t="s">
        <v>74</v>
      </c>
      <c r="AJ121" s="1" t="s">
        <v>74</v>
      </c>
      <c r="AK121" s="1" t="s">
        <v>74</v>
      </c>
      <c r="AL121" s="1" t="s">
        <v>74</v>
      </c>
      <c r="AM121" s="1" t="s">
        <v>74</v>
      </c>
      <c r="AN121" s="1" t="s">
        <v>74</v>
      </c>
      <c r="AO121" s="1" t="s">
        <v>1209</v>
      </c>
      <c r="AP121" s="1" t="s">
        <v>74</v>
      </c>
      <c r="AQ121" s="1" t="s">
        <v>74</v>
      </c>
      <c r="AR121" s="1" t="s">
        <v>74</v>
      </c>
      <c r="AS121" s="1" t="s">
        <v>74</v>
      </c>
      <c r="AT121" s="1" t="s">
        <v>1210</v>
      </c>
      <c r="AU121" s="1">
        <v>1986.0</v>
      </c>
      <c r="AV121" s="1">
        <v>210.0</v>
      </c>
      <c r="AW121" s="1">
        <v>1.0</v>
      </c>
      <c r="AX121" s="1" t="s">
        <v>74</v>
      </c>
      <c r="AY121" s="1" t="s">
        <v>74</v>
      </c>
      <c r="AZ121" s="1" t="s">
        <v>74</v>
      </c>
      <c r="BA121" s="1" t="s">
        <v>74</v>
      </c>
      <c r="BB121" s="1">
        <v>95.0</v>
      </c>
      <c r="BC121" s="1">
        <v>110.0</v>
      </c>
      <c r="BD121" s="1" t="s">
        <v>74</v>
      </c>
      <c r="BE121" s="1" t="s">
        <v>1211</v>
      </c>
      <c r="BF121" s="2" t="str">
        <f>HYPERLINK("http://dx.doi.org/10.1016/0022-0728(86)90316-5","http://dx.doi.org/10.1016/0022-0728(86)90316-5")</f>
        <v>http://dx.doi.org/10.1016/0022-0728(86)90316-5</v>
      </c>
      <c r="BG121" s="1" t="s">
        <v>74</v>
      </c>
      <c r="BH121" s="1" t="s">
        <v>74</v>
      </c>
      <c r="BI121" s="1" t="s">
        <v>74</v>
      </c>
      <c r="BJ121" s="1" t="s">
        <v>74</v>
      </c>
      <c r="BK121" s="1" t="s">
        <v>74</v>
      </c>
      <c r="BL121" s="1" t="s">
        <v>74</v>
      </c>
      <c r="BM121" s="1" t="s">
        <v>74</v>
      </c>
      <c r="BN121" s="1" t="s">
        <v>74</v>
      </c>
      <c r="BO121" s="1" t="s">
        <v>74</v>
      </c>
      <c r="BP121" s="1" t="s">
        <v>74</v>
      </c>
      <c r="BQ121" s="1" t="s">
        <v>74</v>
      </c>
      <c r="BR121" s="1" t="s">
        <v>74</v>
      </c>
      <c r="BS121" s="1" t="s">
        <v>1212</v>
      </c>
      <c r="BT121" s="1" t="str">
        <f>HYPERLINK("https%3A%2F%2Fwww.webofscience.com%2Fwos%2Fwoscc%2Ffull-record%2FWOS:A1986E375200006","View Full Record in Web of Science")</f>
        <v>View Full Record in Web of Science</v>
      </c>
    </row>
    <row r="122" ht="12.75" customHeight="1">
      <c r="A122" s="1" t="s">
        <v>72</v>
      </c>
      <c r="B122" s="1" t="s">
        <v>1213</v>
      </c>
      <c r="C122" s="1" t="s">
        <v>74</v>
      </c>
      <c r="D122" s="1" t="s">
        <v>74</v>
      </c>
      <c r="E122" s="1" t="s">
        <v>74</v>
      </c>
      <c r="F122" s="1" t="s">
        <v>1213</v>
      </c>
      <c r="G122" s="1" t="s">
        <v>74</v>
      </c>
      <c r="H122" s="1" t="s">
        <v>74</v>
      </c>
      <c r="I122" s="1" t="s">
        <v>1214</v>
      </c>
      <c r="J122" s="1" t="s">
        <v>1215</v>
      </c>
      <c r="K122" s="1" t="s">
        <v>74</v>
      </c>
      <c r="L122" s="1" t="s">
        <v>74</v>
      </c>
      <c r="M122" s="1" t="s">
        <v>74</v>
      </c>
      <c r="N122" s="1" t="s">
        <v>74</v>
      </c>
      <c r="O122" s="1" t="s">
        <v>74</v>
      </c>
      <c r="P122" s="1" t="s">
        <v>74</v>
      </c>
      <c r="Q122" s="1" t="s">
        <v>74</v>
      </c>
      <c r="R122" s="1" t="s">
        <v>74</v>
      </c>
      <c r="S122" s="1" t="s">
        <v>74</v>
      </c>
      <c r="T122" s="1" t="s">
        <v>74</v>
      </c>
      <c r="U122" s="1" t="s">
        <v>74</v>
      </c>
      <c r="V122" s="1" t="s">
        <v>74</v>
      </c>
      <c r="W122" s="1" t="s">
        <v>74</v>
      </c>
      <c r="X122" s="1" t="s">
        <v>74</v>
      </c>
      <c r="Y122" s="1" t="s">
        <v>74</v>
      </c>
      <c r="Z122" s="1" t="s">
        <v>74</v>
      </c>
      <c r="AA122" s="1" t="s">
        <v>74</v>
      </c>
      <c r="AB122" s="1" t="s">
        <v>74</v>
      </c>
      <c r="AC122" s="1" t="s">
        <v>74</v>
      </c>
      <c r="AD122" s="1" t="s">
        <v>74</v>
      </c>
      <c r="AE122" s="1" t="s">
        <v>74</v>
      </c>
      <c r="AF122" s="1" t="s">
        <v>74</v>
      </c>
      <c r="AG122" s="1" t="s">
        <v>74</v>
      </c>
      <c r="AH122" s="1" t="s">
        <v>74</v>
      </c>
      <c r="AI122" s="1" t="s">
        <v>74</v>
      </c>
      <c r="AJ122" s="1" t="s">
        <v>74</v>
      </c>
      <c r="AK122" s="1" t="s">
        <v>74</v>
      </c>
      <c r="AL122" s="1" t="s">
        <v>74</v>
      </c>
      <c r="AM122" s="1" t="s">
        <v>74</v>
      </c>
      <c r="AN122" s="1" t="s">
        <v>74</v>
      </c>
      <c r="AO122" s="1" t="s">
        <v>1216</v>
      </c>
      <c r="AP122" s="1" t="s">
        <v>1217</v>
      </c>
      <c r="AQ122" s="1" t="s">
        <v>74</v>
      </c>
      <c r="AR122" s="1" t="s">
        <v>74</v>
      </c>
      <c r="AS122" s="1" t="s">
        <v>74</v>
      </c>
      <c r="AT122" s="1" t="s">
        <v>74</v>
      </c>
      <c r="AU122" s="1">
        <v>1985.0</v>
      </c>
      <c r="AV122" s="1">
        <v>16.0</v>
      </c>
      <c r="AW122" s="1">
        <v>2.0</v>
      </c>
      <c r="AX122" s="1" t="s">
        <v>74</v>
      </c>
      <c r="AY122" s="1" t="s">
        <v>74</v>
      </c>
      <c r="AZ122" s="1" t="s">
        <v>74</v>
      </c>
      <c r="BA122" s="1" t="s">
        <v>74</v>
      </c>
      <c r="BB122" s="1">
        <v>143.0</v>
      </c>
      <c r="BC122" s="1">
        <v>152.0</v>
      </c>
      <c r="BD122" s="1" t="s">
        <v>74</v>
      </c>
      <c r="BE122" s="1" t="s">
        <v>74</v>
      </c>
      <c r="BF122" s="1" t="s">
        <v>74</v>
      </c>
      <c r="BG122" s="1" t="s">
        <v>74</v>
      </c>
      <c r="BH122" s="1" t="s">
        <v>74</v>
      </c>
      <c r="BI122" s="1" t="s">
        <v>74</v>
      </c>
      <c r="BJ122" s="1" t="s">
        <v>74</v>
      </c>
      <c r="BK122" s="1" t="s">
        <v>74</v>
      </c>
      <c r="BL122" s="1" t="s">
        <v>74</v>
      </c>
      <c r="BM122" s="1" t="s">
        <v>74</v>
      </c>
      <c r="BN122" s="1" t="s">
        <v>74</v>
      </c>
      <c r="BO122" s="1" t="s">
        <v>74</v>
      </c>
      <c r="BP122" s="1" t="s">
        <v>74</v>
      </c>
      <c r="BQ122" s="1" t="s">
        <v>74</v>
      </c>
      <c r="BR122" s="1" t="s">
        <v>74</v>
      </c>
      <c r="BS122" s="1" t="s">
        <v>1218</v>
      </c>
      <c r="BT122" s="1" t="str">
        <f>HYPERLINK("https%3A%2F%2Fwww.webofscience.com%2Fwos%2Fwoscc%2Ffull-record%2FWOS:A1985ACK9500007","View Full Record in Web of Science")</f>
        <v>View Full Record in Web of Science</v>
      </c>
    </row>
    <row r="123" ht="12.75" customHeight="1">
      <c r="A123" s="1" t="s">
        <v>72</v>
      </c>
      <c r="B123" s="1" t="s">
        <v>1219</v>
      </c>
      <c r="C123" s="1" t="s">
        <v>74</v>
      </c>
      <c r="D123" s="1" t="s">
        <v>74</v>
      </c>
      <c r="E123" s="1" t="s">
        <v>74</v>
      </c>
      <c r="F123" s="1" t="s">
        <v>1219</v>
      </c>
      <c r="G123" s="1" t="s">
        <v>74</v>
      </c>
      <c r="H123" s="1" t="s">
        <v>74</v>
      </c>
      <c r="I123" s="1" t="s">
        <v>1220</v>
      </c>
      <c r="J123" s="1" t="s">
        <v>1221</v>
      </c>
      <c r="K123" s="1" t="s">
        <v>74</v>
      </c>
      <c r="L123" s="1" t="s">
        <v>74</v>
      </c>
      <c r="M123" s="1" t="s">
        <v>74</v>
      </c>
      <c r="N123" s="1" t="s">
        <v>74</v>
      </c>
      <c r="O123" s="1" t="s">
        <v>74</v>
      </c>
      <c r="P123" s="1" t="s">
        <v>74</v>
      </c>
      <c r="Q123" s="1" t="s">
        <v>74</v>
      </c>
      <c r="R123" s="1" t="s">
        <v>74</v>
      </c>
      <c r="S123" s="1" t="s">
        <v>74</v>
      </c>
      <c r="T123" s="1" t="s">
        <v>74</v>
      </c>
      <c r="U123" s="1" t="s">
        <v>74</v>
      </c>
      <c r="V123" s="1" t="s">
        <v>74</v>
      </c>
      <c r="W123" s="1" t="s">
        <v>74</v>
      </c>
      <c r="X123" s="1" t="s">
        <v>74</v>
      </c>
      <c r="Y123" s="1" t="s">
        <v>74</v>
      </c>
      <c r="Z123" s="1" t="s">
        <v>74</v>
      </c>
      <c r="AA123" s="1" t="s">
        <v>74</v>
      </c>
      <c r="AB123" s="1" t="s">
        <v>74</v>
      </c>
      <c r="AC123" s="1" t="s">
        <v>74</v>
      </c>
      <c r="AD123" s="1" t="s">
        <v>74</v>
      </c>
      <c r="AE123" s="1" t="s">
        <v>74</v>
      </c>
      <c r="AF123" s="1" t="s">
        <v>74</v>
      </c>
      <c r="AG123" s="1" t="s">
        <v>74</v>
      </c>
      <c r="AH123" s="1" t="s">
        <v>74</v>
      </c>
      <c r="AI123" s="1" t="s">
        <v>74</v>
      </c>
      <c r="AJ123" s="1" t="s">
        <v>74</v>
      </c>
      <c r="AK123" s="1" t="s">
        <v>74</v>
      </c>
      <c r="AL123" s="1" t="s">
        <v>74</v>
      </c>
      <c r="AM123" s="1" t="s">
        <v>74</v>
      </c>
      <c r="AN123" s="1" t="s">
        <v>74</v>
      </c>
      <c r="AO123" s="1" t="s">
        <v>1222</v>
      </c>
      <c r="AP123" s="1" t="s">
        <v>74</v>
      </c>
      <c r="AQ123" s="1" t="s">
        <v>74</v>
      </c>
      <c r="AR123" s="1" t="s">
        <v>74</v>
      </c>
      <c r="AS123" s="1" t="s">
        <v>74</v>
      </c>
      <c r="AT123" s="1" t="s">
        <v>74</v>
      </c>
      <c r="AU123" s="1">
        <v>1985.0</v>
      </c>
      <c r="AV123" s="1" t="s">
        <v>74</v>
      </c>
      <c r="AW123" s="1">
        <v>10.0</v>
      </c>
      <c r="AX123" s="1" t="s">
        <v>74</v>
      </c>
      <c r="AY123" s="1" t="s">
        <v>74</v>
      </c>
      <c r="AZ123" s="1" t="s">
        <v>74</v>
      </c>
      <c r="BA123" s="1" t="s">
        <v>74</v>
      </c>
      <c r="BB123" s="1">
        <v>337.0</v>
      </c>
      <c r="BC123" s="1">
        <v>338.0</v>
      </c>
      <c r="BD123" s="1" t="s">
        <v>74</v>
      </c>
      <c r="BE123" s="1" t="s">
        <v>74</v>
      </c>
      <c r="BF123" s="1" t="s">
        <v>74</v>
      </c>
      <c r="BG123" s="1" t="s">
        <v>74</v>
      </c>
      <c r="BH123" s="1" t="s">
        <v>74</v>
      </c>
      <c r="BI123" s="1" t="s">
        <v>74</v>
      </c>
      <c r="BJ123" s="1" t="s">
        <v>74</v>
      </c>
      <c r="BK123" s="1" t="s">
        <v>74</v>
      </c>
      <c r="BL123" s="1" t="s">
        <v>74</v>
      </c>
      <c r="BM123" s="1" t="s">
        <v>74</v>
      </c>
      <c r="BN123" s="1" t="s">
        <v>74</v>
      </c>
      <c r="BO123" s="1" t="s">
        <v>74</v>
      </c>
      <c r="BP123" s="1" t="s">
        <v>74</v>
      </c>
      <c r="BQ123" s="1" t="s">
        <v>74</v>
      </c>
      <c r="BR123" s="1" t="s">
        <v>74</v>
      </c>
      <c r="BS123" s="1" t="s">
        <v>1223</v>
      </c>
      <c r="BT123" s="1" t="str">
        <f>HYPERLINK("https%3A%2F%2Fwww.webofscience.com%2Fwos%2Fwoscc%2Ffull-record%2FWOS:A1985AHS5000006","View Full Record in Web of Science")</f>
        <v>View Full Record in Web of Science</v>
      </c>
    </row>
    <row r="124" ht="12.75" customHeight="1">
      <c r="A124" s="1" t="s">
        <v>72</v>
      </c>
      <c r="B124" s="1" t="s">
        <v>1224</v>
      </c>
      <c r="C124" s="1" t="s">
        <v>74</v>
      </c>
      <c r="D124" s="1" t="s">
        <v>74</v>
      </c>
      <c r="E124" s="1" t="s">
        <v>74</v>
      </c>
      <c r="F124" s="1" t="s">
        <v>1224</v>
      </c>
      <c r="G124" s="1" t="s">
        <v>74</v>
      </c>
      <c r="H124" s="1" t="s">
        <v>74</v>
      </c>
      <c r="I124" s="1" t="s">
        <v>1225</v>
      </c>
      <c r="J124" s="1" t="s">
        <v>1226</v>
      </c>
      <c r="K124" s="1" t="s">
        <v>74</v>
      </c>
      <c r="L124" s="1" t="s">
        <v>74</v>
      </c>
      <c r="M124" s="1" t="s">
        <v>74</v>
      </c>
      <c r="N124" s="1" t="s">
        <v>74</v>
      </c>
      <c r="O124" s="1" t="s">
        <v>74</v>
      </c>
      <c r="P124" s="1" t="s">
        <v>74</v>
      </c>
      <c r="Q124" s="1" t="s">
        <v>74</v>
      </c>
      <c r="R124" s="1" t="s">
        <v>74</v>
      </c>
      <c r="S124" s="1" t="s">
        <v>74</v>
      </c>
      <c r="T124" s="1" t="s">
        <v>74</v>
      </c>
      <c r="U124" s="1" t="s">
        <v>74</v>
      </c>
      <c r="V124" s="1" t="s">
        <v>74</v>
      </c>
      <c r="W124" s="1" t="s">
        <v>74</v>
      </c>
      <c r="X124" s="1" t="s">
        <v>74</v>
      </c>
      <c r="Y124" s="1" t="s">
        <v>74</v>
      </c>
      <c r="Z124" s="1" t="s">
        <v>74</v>
      </c>
      <c r="AA124" s="1" t="s">
        <v>1227</v>
      </c>
      <c r="AB124" s="1" t="s">
        <v>74</v>
      </c>
      <c r="AC124" s="1" t="s">
        <v>74</v>
      </c>
      <c r="AD124" s="1" t="s">
        <v>74</v>
      </c>
      <c r="AE124" s="1" t="s">
        <v>74</v>
      </c>
      <c r="AF124" s="1" t="s">
        <v>74</v>
      </c>
      <c r="AG124" s="1" t="s">
        <v>74</v>
      </c>
      <c r="AH124" s="1" t="s">
        <v>74</v>
      </c>
      <c r="AI124" s="1" t="s">
        <v>74</v>
      </c>
      <c r="AJ124" s="1" t="s">
        <v>74</v>
      </c>
      <c r="AK124" s="1" t="s">
        <v>74</v>
      </c>
      <c r="AL124" s="1" t="s">
        <v>74</v>
      </c>
      <c r="AM124" s="1" t="s">
        <v>74</v>
      </c>
      <c r="AN124" s="1" t="s">
        <v>74</v>
      </c>
      <c r="AO124" s="1" t="s">
        <v>1228</v>
      </c>
      <c r="AP124" s="1" t="s">
        <v>74</v>
      </c>
      <c r="AQ124" s="1" t="s">
        <v>74</v>
      </c>
      <c r="AR124" s="1" t="s">
        <v>74</v>
      </c>
      <c r="AS124" s="1" t="s">
        <v>74</v>
      </c>
      <c r="AT124" s="1" t="s">
        <v>74</v>
      </c>
      <c r="AU124" s="1">
        <v>1983.0</v>
      </c>
      <c r="AV124" s="1">
        <v>130.0</v>
      </c>
      <c r="AW124" s="1">
        <v>3.0</v>
      </c>
      <c r="AX124" s="1" t="s">
        <v>74</v>
      </c>
      <c r="AY124" s="1" t="s">
        <v>74</v>
      </c>
      <c r="AZ124" s="1" t="s">
        <v>74</v>
      </c>
      <c r="BA124" s="1" t="s">
        <v>74</v>
      </c>
      <c r="BB124" s="1" t="s">
        <v>1229</v>
      </c>
      <c r="BC124" s="1" t="s">
        <v>1229</v>
      </c>
      <c r="BD124" s="1" t="s">
        <v>74</v>
      </c>
      <c r="BE124" s="1" t="s">
        <v>74</v>
      </c>
      <c r="BF124" s="1" t="s">
        <v>74</v>
      </c>
      <c r="BG124" s="1" t="s">
        <v>74</v>
      </c>
      <c r="BH124" s="1" t="s">
        <v>74</v>
      </c>
      <c r="BI124" s="1" t="s">
        <v>74</v>
      </c>
      <c r="BJ124" s="1" t="s">
        <v>74</v>
      </c>
      <c r="BK124" s="1" t="s">
        <v>74</v>
      </c>
      <c r="BL124" s="1" t="s">
        <v>74</v>
      </c>
      <c r="BM124" s="1" t="s">
        <v>74</v>
      </c>
      <c r="BN124" s="1" t="s">
        <v>74</v>
      </c>
      <c r="BO124" s="1" t="s">
        <v>74</v>
      </c>
      <c r="BP124" s="1" t="s">
        <v>74</v>
      </c>
      <c r="BQ124" s="1" t="s">
        <v>74</v>
      </c>
      <c r="BR124" s="1" t="s">
        <v>74</v>
      </c>
      <c r="BS124" s="1" t="s">
        <v>1230</v>
      </c>
      <c r="BT124" s="1" t="str">
        <f>HYPERLINK("https%3A%2F%2Fwww.webofscience.com%2Fwos%2Fwoscc%2Ffull-record%2FWOS:A1983QF82600773","View Full Record in Web of Science")</f>
        <v>View Full Record in Web of Science</v>
      </c>
    </row>
    <row r="125" ht="12.75" customHeight="1">
      <c r="A125" s="1" t="s">
        <v>72</v>
      </c>
      <c r="B125" s="1" t="s">
        <v>1231</v>
      </c>
      <c r="C125" s="1" t="s">
        <v>74</v>
      </c>
      <c r="D125" s="1" t="s">
        <v>74</v>
      </c>
      <c r="E125" s="1" t="s">
        <v>74</v>
      </c>
      <c r="F125" s="1" t="s">
        <v>1231</v>
      </c>
      <c r="G125" s="1" t="s">
        <v>74</v>
      </c>
      <c r="H125" s="1" t="s">
        <v>74</v>
      </c>
      <c r="I125" s="1" t="s">
        <v>1232</v>
      </c>
      <c r="J125" s="1" t="s">
        <v>1233</v>
      </c>
      <c r="K125" s="1" t="s">
        <v>74</v>
      </c>
      <c r="L125" s="1" t="s">
        <v>74</v>
      </c>
      <c r="M125" s="1" t="s">
        <v>74</v>
      </c>
      <c r="N125" s="1" t="s">
        <v>74</v>
      </c>
      <c r="O125" s="1" t="s">
        <v>74</v>
      </c>
      <c r="P125" s="1" t="s">
        <v>74</v>
      </c>
      <c r="Q125" s="1" t="s">
        <v>74</v>
      </c>
      <c r="R125" s="1" t="s">
        <v>74</v>
      </c>
      <c r="S125" s="1" t="s">
        <v>74</v>
      </c>
      <c r="T125" s="1" t="s">
        <v>74</v>
      </c>
      <c r="U125" s="1" t="s">
        <v>74</v>
      </c>
      <c r="V125" s="1" t="s">
        <v>74</v>
      </c>
      <c r="W125" s="1" t="s">
        <v>74</v>
      </c>
      <c r="X125" s="1" t="s">
        <v>74</v>
      </c>
      <c r="Y125" s="1" t="s">
        <v>74</v>
      </c>
      <c r="Z125" s="1" t="s">
        <v>74</v>
      </c>
      <c r="AA125" s="1" t="s">
        <v>74</v>
      </c>
      <c r="AB125" s="1" t="s">
        <v>74</v>
      </c>
      <c r="AC125" s="1" t="s">
        <v>74</v>
      </c>
      <c r="AD125" s="1" t="s">
        <v>74</v>
      </c>
      <c r="AE125" s="1" t="s">
        <v>74</v>
      </c>
      <c r="AF125" s="1" t="s">
        <v>74</v>
      </c>
      <c r="AG125" s="1" t="s">
        <v>74</v>
      </c>
      <c r="AH125" s="1" t="s">
        <v>74</v>
      </c>
      <c r="AI125" s="1" t="s">
        <v>74</v>
      </c>
      <c r="AJ125" s="1" t="s">
        <v>74</v>
      </c>
      <c r="AK125" s="1" t="s">
        <v>74</v>
      </c>
      <c r="AL125" s="1" t="s">
        <v>74</v>
      </c>
      <c r="AM125" s="1" t="s">
        <v>74</v>
      </c>
      <c r="AN125" s="1" t="s">
        <v>74</v>
      </c>
      <c r="AO125" s="1" t="s">
        <v>1234</v>
      </c>
      <c r="AP125" s="1" t="s">
        <v>74</v>
      </c>
      <c r="AQ125" s="1" t="s">
        <v>74</v>
      </c>
      <c r="AR125" s="1" t="s">
        <v>74</v>
      </c>
      <c r="AS125" s="1" t="s">
        <v>74</v>
      </c>
      <c r="AT125" s="1" t="s">
        <v>74</v>
      </c>
      <c r="AU125" s="1">
        <v>1980.0</v>
      </c>
      <c r="AV125" s="1">
        <v>84.0</v>
      </c>
      <c r="AW125" s="1">
        <v>19.0</v>
      </c>
      <c r="AX125" s="1" t="s">
        <v>74</v>
      </c>
      <c r="AY125" s="1" t="s">
        <v>74</v>
      </c>
      <c r="AZ125" s="1" t="s">
        <v>74</v>
      </c>
      <c r="BA125" s="1" t="s">
        <v>74</v>
      </c>
      <c r="BB125" s="1">
        <v>2406.0</v>
      </c>
      <c r="BC125" s="1">
        <v>2408.0</v>
      </c>
      <c r="BD125" s="1" t="s">
        <v>74</v>
      </c>
      <c r="BE125" s="1" t="s">
        <v>1235</v>
      </c>
      <c r="BF125" s="2" t="str">
        <f>HYPERLINK("http://dx.doi.org/10.1021/j100456a014","http://dx.doi.org/10.1021/j100456a014")</f>
        <v>http://dx.doi.org/10.1021/j100456a014</v>
      </c>
      <c r="BG125" s="1" t="s">
        <v>74</v>
      </c>
      <c r="BH125" s="1" t="s">
        <v>74</v>
      </c>
      <c r="BI125" s="1" t="s">
        <v>74</v>
      </c>
      <c r="BJ125" s="1" t="s">
        <v>74</v>
      </c>
      <c r="BK125" s="1" t="s">
        <v>74</v>
      </c>
      <c r="BL125" s="1" t="s">
        <v>74</v>
      </c>
      <c r="BM125" s="1" t="s">
        <v>74</v>
      </c>
      <c r="BN125" s="1" t="s">
        <v>74</v>
      </c>
      <c r="BO125" s="1" t="s">
        <v>74</v>
      </c>
      <c r="BP125" s="1" t="s">
        <v>74</v>
      </c>
      <c r="BQ125" s="1" t="s">
        <v>74</v>
      </c>
      <c r="BR125" s="1" t="s">
        <v>74</v>
      </c>
      <c r="BS125" s="1" t="s">
        <v>1236</v>
      </c>
      <c r="BT125" s="1" t="str">
        <f>HYPERLINK("https%3A%2F%2Fwww.webofscience.com%2Fwos%2Fwoscc%2Ffull-record%2FWOS:A1980KH90300014","View Full Record in Web of Science")</f>
        <v>View Full Record in Web of Science</v>
      </c>
    </row>
    <row r="126" ht="12.75" customHeight="1">
      <c r="A126" s="1" t="s">
        <v>72</v>
      </c>
      <c r="B126" s="1" t="s">
        <v>1237</v>
      </c>
      <c r="C126" s="1" t="s">
        <v>74</v>
      </c>
      <c r="D126" s="1" t="s">
        <v>74</v>
      </c>
      <c r="E126" s="1" t="s">
        <v>74</v>
      </c>
      <c r="F126" s="1" t="s">
        <v>1238</v>
      </c>
      <c r="G126" s="1" t="s">
        <v>74</v>
      </c>
      <c r="H126" s="1" t="s">
        <v>74</v>
      </c>
      <c r="I126" s="1" t="s">
        <v>1239</v>
      </c>
      <c r="J126" s="1" t="s">
        <v>1240</v>
      </c>
      <c r="K126" s="1" t="s">
        <v>74</v>
      </c>
      <c r="L126" s="1" t="s">
        <v>74</v>
      </c>
      <c r="M126" s="1" t="s">
        <v>74</v>
      </c>
      <c r="N126" s="1" t="s">
        <v>74</v>
      </c>
      <c r="O126" s="1" t="s">
        <v>74</v>
      </c>
      <c r="P126" s="1" t="s">
        <v>74</v>
      </c>
      <c r="Q126" s="1" t="s">
        <v>74</v>
      </c>
      <c r="R126" s="1" t="s">
        <v>74</v>
      </c>
      <c r="S126" s="1" t="s">
        <v>74</v>
      </c>
      <c r="T126" s="1" t="s">
        <v>74</v>
      </c>
      <c r="U126" s="1" t="s">
        <v>74</v>
      </c>
      <c r="V126" s="1" t="s">
        <v>1241</v>
      </c>
      <c r="W126" s="1" t="s">
        <v>74</v>
      </c>
      <c r="X126" s="1" t="s">
        <v>74</v>
      </c>
      <c r="Y126" s="1" t="s">
        <v>74</v>
      </c>
      <c r="Z126" s="1" t="s">
        <v>74</v>
      </c>
      <c r="AA126" s="1" t="s">
        <v>74</v>
      </c>
      <c r="AB126" s="1" t="s">
        <v>74</v>
      </c>
      <c r="AC126" s="1" t="s">
        <v>74</v>
      </c>
      <c r="AD126" s="1" t="s">
        <v>74</v>
      </c>
      <c r="AE126" s="1" t="s">
        <v>74</v>
      </c>
      <c r="AF126" s="1" t="s">
        <v>74</v>
      </c>
      <c r="AG126" s="1" t="s">
        <v>74</v>
      </c>
      <c r="AH126" s="1" t="s">
        <v>74</v>
      </c>
      <c r="AI126" s="1" t="s">
        <v>74</v>
      </c>
      <c r="AJ126" s="1" t="s">
        <v>74</v>
      </c>
      <c r="AK126" s="1" t="s">
        <v>74</v>
      </c>
      <c r="AL126" s="1" t="s">
        <v>74</v>
      </c>
      <c r="AM126" s="1" t="s">
        <v>74</v>
      </c>
      <c r="AN126" s="1" t="s">
        <v>74</v>
      </c>
      <c r="AO126" s="1" t="s">
        <v>74</v>
      </c>
      <c r="AP126" s="1" t="s">
        <v>1242</v>
      </c>
      <c r="AQ126" s="1" t="s">
        <v>74</v>
      </c>
      <c r="AR126" s="1" t="s">
        <v>74</v>
      </c>
      <c r="AS126" s="1" t="s">
        <v>74</v>
      </c>
      <c r="AT126" s="1" t="s">
        <v>1243</v>
      </c>
      <c r="AU126" s="1">
        <v>2025.0</v>
      </c>
      <c r="AV126" s="1">
        <v>17.0</v>
      </c>
      <c r="AW126" s="1">
        <v>4.0</v>
      </c>
      <c r="AX126" s="1" t="s">
        <v>74</v>
      </c>
      <c r="AY126" s="1" t="s">
        <v>74</v>
      </c>
      <c r="AZ126" s="1" t="s">
        <v>74</v>
      </c>
      <c r="BA126" s="1" t="s">
        <v>74</v>
      </c>
      <c r="BB126" s="1" t="s">
        <v>74</v>
      </c>
      <c r="BC126" s="1" t="s">
        <v>74</v>
      </c>
      <c r="BD126" s="1">
        <v>591.0</v>
      </c>
      <c r="BE126" s="1" t="s">
        <v>1244</v>
      </c>
      <c r="BF126" s="2" t="str">
        <f>HYPERLINK("http://dx.doi.org/10.3390/sym17040591","http://dx.doi.org/10.3390/sym17040591")</f>
        <v>http://dx.doi.org/10.3390/sym17040591</v>
      </c>
      <c r="BG126" s="1" t="s">
        <v>74</v>
      </c>
      <c r="BH126" s="1" t="s">
        <v>74</v>
      </c>
      <c r="BI126" s="1" t="s">
        <v>74</v>
      </c>
      <c r="BJ126" s="1" t="s">
        <v>74</v>
      </c>
      <c r="BK126" s="1" t="s">
        <v>74</v>
      </c>
      <c r="BL126" s="1" t="s">
        <v>74</v>
      </c>
      <c r="BM126" s="1" t="s">
        <v>74</v>
      </c>
      <c r="BN126" s="1" t="s">
        <v>74</v>
      </c>
      <c r="BO126" s="1" t="s">
        <v>74</v>
      </c>
      <c r="BP126" s="1" t="s">
        <v>74</v>
      </c>
      <c r="BQ126" s="1" t="s">
        <v>74</v>
      </c>
      <c r="BR126" s="1" t="s">
        <v>74</v>
      </c>
      <c r="BS126" s="1" t="s">
        <v>1245</v>
      </c>
      <c r="BT126" s="1" t="str">
        <f>HYPERLINK("https%3A%2F%2Fwww.webofscience.com%2Fwos%2Fwoscc%2Ffull-record%2FWOS:001475707900001","View Full Record in Web of Science")</f>
        <v>View Full Record in Web of Science</v>
      </c>
    </row>
    <row r="127" ht="12.75" customHeight="1">
      <c r="A127" s="1" t="s">
        <v>72</v>
      </c>
      <c r="B127" s="1" t="s">
        <v>1246</v>
      </c>
      <c r="C127" s="1" t="s">
        <v>74</v>
      </c>
      <c r="D127" s="1" t="s">
        <v>74</v>
      </c>
      <c r="E127" s="1" t="s">
        <v>74</v>
      </c>
      <c r="F127" s="1" t="s">
        <v>1247</v>
      </c>
      <c r="G127" s="1" t="s">
        <v>74</v>
      </c>
      <c r="H127" s="1" t="s">
        <v>74</v>
      </c>
      <c r="I127" s="1" t="s">
        <v>1248</v>
      </c>
      <c r="J127" s="1" t="s">
        <v>1249</v>
      </c>
      <c r="K127" s="1" t="s">
        <v>74</v>
      </c>
      <c r="L127" s="1" t="s">
        <v>74</v>
      </c>
      <c r="M127" s="1" t="s">
        <v>74</v>
      </c>
      <c r="N127" s="1" t="s">
        <v>74</v>
      </c>
      <c r="O127" s="1" t="s">
        <v>74</v>
      </c>
      <c r="P127" s="1" t="s">
        <v>74</v>
      </c>
      <c r="Q127" s="1" t="s">
        <v>74</v>
      </c>
      <c r="R127" s="1" t="s">
        <v>74</v>
      </c>
      <c r="S127" s="1" t="s">
        <v>74</v>
      </c>
      <c r="T127" s="1" t="s">
        <v>74</v>
      </c>
      <c r="U127" s="1" t="s">
        <v>74</v>
      </c>
      <c r="V127" s="1" t="s">
        <v>1250</v>
      </c>
      <c r="W127" s="1" t="s">
        <v>74</v>
      </c>
      <c r="X127" s="1" t="s">
        <v>74</v>
      </c>
      <c r="Y127" s="1" t="s">
        <v>74</v>
      </c>
      <c r="Z127" s="1" t="s">
        <v>74</v>
      </c>
      <c r="AA127" s="1" t="s">
        <v>296</v>
      </c>
      <c r="AB127" s="1" t="s">
        <v>74</v>
      </c>
      <c r="AC127" s="1" t="s">
        <v>74</v>
      </c>
      <c r="AD127" s="1" t="s">
        <v>74</v>
      </c>
      <c r="AE127" s="1" t="s">
        <v>74</v>
      </c>
      <c r="AF127" s="1" t="s">
        <v>74</v>
      </c>
      <c r="AG127" s="1" t="s">
        <v>74</v>
      </c>
      <c r="AH127" s="1" t="s">
        <v>74</v>
      </c>
      <c r="AI127" s="1" t="s">
        <v>74</v>
      </c>
      <c r="AJ127" s="1" t="s">
        <v>74</v>
      </c>
      <c r="AK127" s="1" t="s">
        <v>74</v>
      </c>
      <c r="AL127" s="1" t="s">
        <v>74</v>
      </c>
      <c r="AM127" s="1" t="s">
        <v>74</v>
      </c>
      <c r="AN127" s="1" t="s">
        <v>74</v>
      </c>
      <c r="AO127" s="1" t="s">
        <v>74</v>
      </c>
      <c r="AP127" s="1" t="s">
        <v>1251</v>
      </c>
      <c r="AQ127" s="1" t="s">
        <v>74</v>
      </c>
      <c r="AR127" s="1" t="s">
        <v>74</v>
      </c>
      <c r="AS127" s="1" t="s">
        <v>74</v>
      </c>
      <c r="AT127" s="1" t="s">
        <v>1252</v>
      </c>
      <c r="AU127" s="1">
        <v>2025.0</v>
      </c>
      <c r="AV127" s="1">
        <v>13.0</v>
      </c>
      <c r="AW127" s="1">
        <v>4.0</v>
      </c>
      <c r="AX127" s="1" t="s">
        <v>74</v>
      </c>
      <c r="AY127" s="1" t="s">
        <v>74</v>
      </c>
      <c r="AZ127" s="1" t="s">
        <v>74</v>
      </c>
      <c r="BA127" s="1" t="s">
        <v>74</v>
      </c>
      <c r="BB127" s="1" t="s">
        <v>74</v>
      </c>
      <c r="BC127" s="1" t="s">
        <v>74</v>
      </c>
      <c r="BD127" s="1">
        <v>135.0</v>
      </c>
      <c r="BE127" s="1" t="s">
        <v>1253</v>
      </c>
      <c r="BF127" s="2" t="str">
        <f>HYPERLINK("http://dx.doi.org/10.3390/technologies13040135","http://dx.doi.org/10.3390/technologies13040135")</f>
        <v>http://dx.doi.org/10.3390/technologies13040135</v>
      </c>
      <c r="BG127" s="1" t="s">
        <v>74</v>
      </c>
      <c r="BH127" s="1" t="s">
        <v>74</v>
      </c>
      <c r="BI127" s="1" t="s">
        <v>74</v>
      </c>
      <c r="BJ127" s="1" t="s">
        <v>74</v>
      </c>
      <c r="BK127" s="1" t="s">
        <v>74</v>
      </c>
      <c r="BL127" s="1" t="s">
        <v>74</v>
      </c>
      <c r="BM127" s="1" t="s">
        <v>74</v>
      </c>
      <c r="BN127" s="1" t="s">
        <v>74</v>
      </c>
      <c r="BO127" s="1" t="s">
        <v>74</v>
      </c>
      <c r="BP127" s="1" t="s">
        <v>74</v>
      </c>
      <c r="BQ127" s="1" t="s">
        <v>74</v>
      </c>
      <c r="BR127" s="1" t="s">
        <v>74</v>
      </c>
      <c r="BS127" s="1" t="s">
        <v>1254</v>
      </c>
      <c r="BT127" s="1" t="str">
        <f>HYPERLINK("https%3A%2F%2Fwww.webofscience.com%2Fwos%2Fwoscc%2Ffull-record%2FWOS:001474323700001","View Full Record in Web of Science")</f>
        <v>View Full Record in Web of Science</v>
      </c>
    </row>
    <row r="128" ht="12.75" customHeight="1">
      <c r="A128" s="1" t="s">
        <v>72</v>
      </c>
      <c r="B128" s="1" t="s">
        <v>1255</v>
      </c>
      <c r="C128" s="1" t="s">
        <v>74</v>
      </c>
      <c r="D128" s="1" t="s">
        <v>74</v>
      </c>
      <c r="E128" s="1" t="s">
        <v>74</v>
      </c>
      <c r="F128" s="1" t="s">
        <v>1256</v>
      </c>
      <c r="G128" s="1" t="s">
        <v>74</v>
      </c>
      <c r="H128" s="1" t="s">
        <v>74</v>
      </c>
      <c r="I128" s="1" t="s">
        <v>1257</v>
      </c>
      <c r="J128" s="1" t="s">
        <v>593</v>
      </c>
      <c r="K128" s="1" t="s">
        <v>74</v>
      </c>
      <c r="L128" s="1" t="s">
        <v>74</v>
      </c>
      <c r="M128" s="1" t="s">
        <v>74</v>
      </c>
      <c r="N128" s="1" t="s">
        <v>74</v>
      </c>
      <c r="O128" s="1" t="s">
        <v>74</v>
      </c>
      <c r="P128" s="1" t="s">
        <v>74</v>
      </c>
      <c r="Q128" s="1" t="s">
        <v>74</v>
      </c>
      <c r="R128" s="1" t="s">
        <v>74</v>
      </c>
      <c r="S128" s="1" t="s">
        <v>74</v>
      </c>
      <c r="T128" s="1" t="s">
        <v>74</v>
      </c>
      <c r="U128" s="1" t="s">
        <v>74</v>
      </c>
      <c r="V128" s="1" t="s">
        <v>1258</v>
      </c>
      <c r="W128" s="1" t="s">
        <v>74</v>
      </c>
      <c r="X128" s="1" t="s">
        <v>74</v>
      </c>
      <c r="Y128" s="1" t="s">
        <v>74</v>
      </c>
      <c r="Z128" s="1" t="s">
        <v>74</v>
      </c>
      <c r="AA128" s="1" t="s">
        <v>74</v>
      </c>
      <c r="AB128" s="1" t="s">
        <v>74</v>
      </c>
      <c r="AC128" s="1" t="s">
        <v>74</v>
      </c>
      <c r="AD128" s="1" t="s">
        <v>74</v>
      </c>
      <c r="AE128" s="1" t="s">
        <v>74</v>
      </c>
      <c r="AF128" s="1" t="s">
        <v>74</v>
      </c>
      <c r="AG128" s="1" t="s">
        <v>74</v>
      </c>
      <c r="AH128" s="1" t="s">
        <v>74</v>
      </c>
      <c r="AI128" s="1" t="s">
        <v>74</v>
      </c>
      <c r="AJ128" s="1" t="s">
        <v>74</v>
      </c>
      <c r="AK128" s="1" t="s">
        <v>74</v>
      </c>
      <c r="AL128" s="1" t="s">
        <v>74</v>
      </c>
      <c r="AM128" s="1" t="s">
        <v>74</v>
      </c>
      <c r="AN128" s="1" t="s">
        <v>74</v>
      </c>
      <c r="AO128" s="1" t="s">
        <v>74</v>
      </c>
      <c r="AP128" s="1" t="s">
        <v>597</v>
      </c>
      <c r="AQ128" s="1" t="s">
        <v>74</v>
      </c>
      <c r="AR128" s="1" t="s">
        <v>74</v>
      </c>
      <c r="AS128" s="1" t="s">
        <v>74</v>
      </c>
      <c r="AT128" s="1" t="s">
        <v>148</v>
      </c>
      <c r="AU128" s="1">
        <v>2025.0</v>
      </c>
      <c r="AV128" s="1">
        <v>17.0</v>
      </c>
      <c r="AW128" s="1">
        <v>5.0</v>
      </c>
      <c r="AX128" s="1" t="s">
        <v>74</v>
      </c>
      <c r="AY128" s="1" t="s">
        <v>74</v>
      </c>
      <c r="AZ128" s="1" t="s">
        <v>74</v>
      </c>
      <c r="BA128" s="1" t="s">
        <v>74</v>
      </c>
      <c r="BB128" s="1" t="s">
        <v>74</v>
      </c>
      <c r="BC128" s="1" t="s">
        <v>74</v>
      </c>
      <c r="BD128" s="1">
        <v>682.0</v>
      </c>
      <c r="BE128" s="1" t="s">
        <v>1259</v>
      </c>
      <c r="BF128" s="2" t="str">
        <f>HYPERLINK("http://dx.doi.org/10.3390/polym17050682","http://dx.doi.org/10.3390/polym17050682")</f>
        <v>http://dx.doi.org/10.3390/polym17050682</v>
      </c>
      <c r="BG128" s="1" t="s">
        <v>74</v>
      </c>
      <c r="BH128" s="1" t="s">
        <v>74</v>
      </c>
      <c r="BI128" s="1" t="s">
        <v>74</v>
      </c>
      <c r="BJ128" s="1" t="s">
        <v>74</v>
      </c>
      <c r="BK128" s="1" t="s">
        <v>74</v>
      </c>
      <c r="BL128" s="1" t="s">
        <v>74</v>
      </c>
      <c r="BM128" s="1" t="s">
        <v>74</v>
      </c>
      <c r="BN128" s="1">
        <v>4.0076175E7</v>
      </c>
      <c r="BO128" s="1" t="s">
        <v>74</v>
      </c>
      <c r="BP128" s="1" t="s">
        <v>74</v>
      </c>
      <c r="BQ128" s="1" t="s">
        <v>74</v>
      </c>
      <c r="BR128" s="1" t="s">
        <v>74</v>
      </c>
      <c r="BS128" s="1" t="s">
        <v>1260</v>
      </c>
      <c r="BT128" s="1" t="str">
        <f>HYPERLINK("https%3A%2F%2Fwww.webofscience.com%2Fwos%2Fwoscc%2Ffull-record%2FWOS:001442718800001","View Full Record in Web of Science")</f>
        <v>View Full Record in Web of Science</v>
      </c>
    </row>
    <row r="129" ht="12.75" customHeight="1">
      <c r="A129" s="1" t="s">
        <v>72</v>
      </c>
      <c r="B129" s="1" t="s">
        <v>1261</v>
      </c>
      <c r="C129" s="1" t="s">
        <v>74</v>
      </c>
      <c r="D129" s="1" t="s">
        <v>74</v>
      </c>
      <c r="E129" s="1" t="s">
        <v>74</v>
      </c>
      <c r="F129" s="1" t="s">
        <v>1262</v>
      </c>
      <c r="G129" s="1" t="s">
        <v>74</v>
      </c>
      <c r="H129" s="1" t="s">
        <v>74</v>
      </c>
      <c r="I129" s="1" t="s">
        <v>1263</v>
      </c>
      <c r="J129" s="1" t="s">
        <v>1264</v>
      </c>
      <c r="K129" s="1" t="s">
        <v>74</v>
      </c>
      <c r="L129" s="1" t="s">
        <v>74</v>
      </c>
      <c r="M129" s="1" t="s">
        <v>74</v>
      </c>
      <c r="N129" s="1" t="s">
        <v>74</v>
      </c>
      <c r="O129" s="1" t="s">
        <v>74</v>
      </c>
      <c r="P129" s="1" t="s">
        <v>74</v>
      </c>
      <c r="Q129" s="1" t="s">
        <v>74</v>
      </c>
      <c r="R129" s="1" t="s">
        <v>74</v>
      </c>
      <c r="S129" s="1" t="s">
        <v>74</v>
      </c>
      <c r="T129" s="1" t="s">
        <v>74</v>
      </c>
      <c r="U129" s="1" t="s">
        <v>74</v>
      </c>
      <c r="V129" s="1" t="s">
        <v>1265</v>
      </c>
      <c r="W129" s="1" t="s">
        <v>74</v>
      </c>
      <c r="X129" s="1" t="s">
        <v>74</v>
      </c>
      <c r="Y129" s="1" t="s">
        <v>74</v>
      </c>
      <c r="Z129" s="1" t="s">
        <v>74</v>
      </c>
      <c r="AA129" s="1" t="s">
        <v>296</v>
      </c>
      <c r="AB129" s="1" t="s">
        <v>486</v>
      </c>
      <c r="AC129" s="1" t="s">
        <v>74</v>
      </c>
      <c r="AD129" s="1" t="s">
        <v>74</v>
      </c>
      <c r="AE129" s="1" t="s">
        <v>74</v>
      </c>
      <c r="AF129" s="1" t="s">
        <v>74</v>
      </c>
      <c r="AG129" s="1" t="s">
        <v>74</v>
      </c>
      <c r="AH129" s="1" t="s">
        <v>74</v>
      </c>
      <c r="AI129" s="1" t="s">
        <v>74</v>
      </c>
      <c r="AJ129" s="1" t="s">
        <v>74</v>
      </c>
      <c r="AK129" s="1" t="s">
        <v>74</v>
      </c>
      <c r="AL129" s="1" t="s">
        <v>74</v>
      </c>
      <c r="AM129" s="1" t="s">
        <v>74</v>
      </c>
      <c r="AN129" s="1" t="s">
        <v>74</v>
      </c>
      <c r="AO129" s="1" t="s">
        <v>74</v>
      </c>
      <c r="AP129" s="1" t="s">
        <v>1266</v>
      </c>
      <c r="AQ129" s="1" t="s">
        <v>74</v>
      </c>
      <c r="AR129" s="1" t="s">
        <v>74</v>
      </c>
      <c r="AS129" s="1" t="s">
        <v>74</v>
      </c>
      <c r="AT129" s="1" t="s">
        <v>88</v>
      </c>
      <c r="AU129" s="1">
        <v>2024.0</v>
      </c>
      <c r="AV129" s="1">
        <v>14.0</v>
      </c>
      <c r="AW129" s="1">
        <v>23.0</v>
      </c>
      <c r="AX129" s="1" t="s">
        <v>74</v>
      </c>
      <c r="AY129" s="1" t="s">
        <v>74</v>
      </c>
      <c r="AZ129" s="1" t="s">
        <v>74</v>
      </c>
      <c r="BA129" s="1" t="s">
        <v>74</v>
      </c>
      <c r="BB129" s="1" t="s">
        <v>74</v>
      </c>
      <c r="BC129" s="1" t="s">
        <v>74</v>
      </c>
      <c r="BD129" s="1">
        <v>11010.0</v>
      </c>
      <c r="BE129" s="1" t="s">
        <v>1267</v>
      </c>
      <c r="BF129" s="2" t="str">
        <f>HYPERLINK("http://dx.doi.org/10.3390/app142311010","http://dx.doi.org/10.3390/app142311010")</f>
        <v>http://dx.doi.org/10.3390/app142311010</v>
      </c>
      <c r="BG129" s="1" t="s">
        <v>74</v>
      </c>
      <c r="BH129" s="1" t="s">
        <v>74</v>
      </c>
      <c r="BI129" s="1" t="s">
        <v>74</v>
      </c>
      <c r="BJ129" s="1" t="s">
        <v>74</v>
      </c>
      <c r="BK129" s="1" t="s">
        <v>74</v>
      </c>
      <c r="BL129" s="1" t="s">
        <v>74</v>
      </c>
      <c r="BM129" s="1" t="s">
        <v>74</v>
      </c>
      <c r="BN129" s="1" t="s">
        <v>74</v>
      </c>
      <c r="BO129" s="1" t="s">
        <v>74</v>
      </c>
      <c r="BP129" s="1" t="s">
        <v>74</v>
      </c>
      <c r="BQ129" s="1" t="s">
        <v>74</v>
      </c>
      <c r="BR129" s="1" t="s">
        <v>74</v>
      </c>
      <c r="BS129" s="1" t="s">
        <v>1268</v>
      </c>
      <c r="BT129" s="1" t="str">
        <f>HYPERLINK("https%3A%2F%2Fwww.webofscience.com%2Fwos%2Fwoscc%2Ffull-record%2FWOS:001376258400001","View Full Record in Web of Science")</f>
        <v>View Full Record in Web of Science</v>
      </c>
    </row>
    <row r="130" ht="12.75" customHeight="1">
      <c r="A130" s="1" t="s">
        <v>72</v>
      </c>
      <c r="B130" s="1" t="s">
        <v>267</v>
      </c>
      <c r="C130" s="1" t="s">
        <v>74</v>
      </c>
      <c r="D130" s="1" t="s">
        <v>74</v>
      </c>
      <c r="E130" s="1" t="s">
        <v>74</v>
      </c>
      <c r="F130" s="1" t="s">
        <v>1269</v>
      </c>
      <c r="G130" s="1" t="s">
        <v>74</v>
      </c>
      <c r="H130" s="1" t="s">
        <v>74</v>
      </c>
      <c r="I130" s="1" t="s">
        <v>1270</v>
      </c>
      <c r="J130" s="1" t="s">
        <v>1271</v>
      </c>
      <c r="K130" s="1" t="s">
        <v>74</v>
      </c>
      <c r="L130" s="1" t="s">
        <v>74</v>
      </c>
      <c r="M130" s="1" t="s">
        <v>74</v>
      </c>
      <c r="N130" s="1" t="s">
        <v>74</v>
      </c>
      <c r="O130" s="1" t="s">
        <v>74</v>
      </c>
      <c r="P130" s="1" t="s">
        <v>74</v>
      </c>
      <c r="Q130" s="1" t="s">
        <v>74</v>
      </c>
      <c r="R130" s="1" t="s">
        <v>74</v>
      </c>
      <c r="S130" s="1" t="s">
        <v>74</v>
      </c>
      <c r="T130" s="1" t="s">
        <v>74</v>
      </c>
      <c r="U130" s="1" t="s">
        <v>74</v>
      </c>
      <c r="V130" s="1" t="s">
        <v>1272</v>
      </c>
      <c r="W130" s="1" t="s">
        <v>74</v>
      </c>
      <c r="X130" s="1" t="s">
        <v>74</v>
      </c>
      <c r="Y130" s="1" t="s">
        <v>74</v>
      </c>
      <c r="Z130" s="1" t="s">
        <v>74</v>
      </c>
      <c r="AA130" s="1" t="s">
        <v>272</v>
      </c>
      <c r="AB130" s="1" t="s">
        <v>74</v>
      </c>
      <c r="AC130" s="1" t="s">
        <v>74</v>
      </c>
      <c r="AD130" s="1" t="s">
        <v>74</v>
      </c>
      <c r="AE130" s="1" t="s">
        <v>74</v>
      </c>
      <c r="AF130" s="1" t="s">
        <v>74</v>
      </c>
      <c r="AG130" s="1" t="s">
        <v>74</v>
      </c>
      <c r="AH130" s="1" t="s">
        <v>74</v>
      </c>
      <c r="AI130" s="1" t="s">
        <v>74</v>
      </c>
      <c r="AJ130" s="1" t="s">
        <v>74</v>
      </c>
      <c r="AK130" s="1" t="s">
        <v>74</v>
      </c>
      <c r="AL130" s="1" t="s">
        <v>74</v>
      </c>
      <c r="AM130" s="1" t="s">
        <v>74</v>
      </c>
      <c r="AN130" s="1" t="s">
        <v>74</v>
      </c>
      <c r="AO130" s="1" t="s">
        <v>1273</v>
      </c>
      <c r="AP130" s="1" t="s">
        <v>1274</v>
      </c>
      <c r="AQ130" s="1" t="s">
        <v>74</v>
      </c>
      <c r="AR130" s="1" t="s">
        <v>74</v>
      </c>
      <c r="AS130" s="1" t="s">
        <v>74</v>
      </c>
      <c r="AT130" s="1" t="s">
        <v>161</v>
      </c>
      <c r="AU130" s="1">
        <v>2024.0</v>
      </c>
      <c r="AV130" s="1">
        <v>18.0</v>
      </c>
      <c r="AW130" s="1">
        <v>7.0</v>
      </c>
      <c r="AX130" s="1" t="s">
        <v>74</v>
      </c>
      <c r="AY130" s="1" t="s">
        <v>74</v>
      </c>
      <c r="AZ130" s="1" t="s">
        <v>74</v>
      </c>
      <c r="BA130" s="1" t="s">
        <v>74</v>
      </c>
      <c r="BB130" s="1" t="s">
        <v>74</v>
      </c>
      <c r="BC130" s="1" t="s">
        <v>74</v>
      </c>
      <c r="BD130" s="1">
        <v>167.0</v>
      </c>
      <c r="BE130" s="1" t="s">
        <v>1275</v>
      </c>
      <c r="BF130" s="2" t="str">
        <f>HYPERLINK("http://dx.doi.org/10.1007/s11785-024-01613-2","http://dx.doi.org/10.1007/s11785-024-01613-2")</f>
        <v>http://dx.doi.org/10.1007/s11785-024-01613-2</v>
      </c>
      <c r="BG130" s="1" t="s">
        <v>74</v>
      </c>
      <c r="BH130" s="1" t="s">
        <v>74</v>
      </c>
      <c r="BI130" s="1" t="s">
        <v>74</v>
      </c>
      <c r="BJ130" s="1" t="s">
        <v>74</v>
      </c>
      <c r="BK130" s="1" t="s">
        <v>74</v>
      </c>
      <c r="BL130" s="1" t="s">
        <v>74</v>
      </c>
      <c r="BM130" s="1" t="s">
        <v>74</v>
      </c>
      <c r="BN130" s="1" t="s">
        <v>74</v>
      </c>
      <c r="BO130" s="1" t="s">
        <v>74</v>
      </c>
      <c r="BP130" s="1" t="s">
        <v>74</v>
      </c>
      <c r="BQ130" s="1" t="s">
        <v>74</v>
      </c>
      <c r="BR130" s="1" t="s">
        <v>74</v>
      </c>
      <c r="BS130" s="1" t="s">
        <v>1276</v>
      </c>
      <c r="BT130" s="1" t="str">
        <f>HYPERLINK("https%3A%2F%2Fwww.webofscience.com%2Fwos%2Fwoscc%2Ffull-record%2FWOS:001330562200001","View Full Record in Web of Science")</f>
        <v>View Full Record in Web of Science</v>
      </c>
    </row>
    <row r="131" ht="12.75" customHeight="1">
      <c r="A131" s="1" t="s">
        <v>72</v>
      </c>
      <c r="B131" s="1" t="s">
        <v>1277</v>
      </c>
      <c r="C131" s="1" t="s">
        <v>74</v>
      </c>
      <c r="D131" s="1" t="s">
        <v>74</v>
      </c>
      <c r="E131" s="1" t="s">
        <v>74</v>
      </c>
      <c r="F131" s="1" t="s">
        <v>1278</v>
      </c>
      <c r="G131" s="1" t="s">
        <v>74</v>
      </c>
      <c r="H131" s="1" t="s">
        <v>74</v>
      </c>
      <c r="I131" s="1" t="s">
        <v>1279</v>
      </c>
      <c r="J131" s="1" t="s">
        <v>1280</v>
      </c>
      <c r="K131" s="1" t="s">
        <v>74</v>
      </c>
      <c r="L131" s="1" t="s">
        <v>74</v>
      </c>
      <c r="M131" s="1" t="s">
        <v>74</v>
      </c>
      <c r="N131" s="1" t="s">
        <v>74</v>
      </c>
      <c r="O131" s="1" t="s">
        <v>74</v>
      </c>
      <c r="P131" s="1" t="s">
        <v>74</v>
      </c>
      <c r="Q131" s="1" t="s">
        <v>74</v>
      </c>
      <c r="R131" s="1" t="s">
        <v>74</v>
      </c>
      <c r="S131" s="1" t="s">
        <v>74</v>
      </c>
      <c r="T131" s="1" t="s">
        <v>74</v>
      </c>
      <c r="U131" s="1" t="s">
        <v>74</v>
      </c>
      <c r="V131" s="1" t="s">
        <v>1281</v>
      </c>
      <c r="W131" s="1" t="s">
        <v>74</v>
      </c>
      <c r="X131" s="1" t="s">
        <v>74</v>
      </c>
      <c r="Y131" s="1" t="s">
        <v>74</v>
      </c>
      <c r="Z131" s="1" t="s">
        <v>74</v>
      </c>
      <c r="AA131" s="1" t="s">
        <v>74</v>
      </c>
      <c r="AB131" s="1" t="s">
        <v>74</v>
      </c>
      <c r="AC131" s="1" t="s">
        <v>74</v>
      </c>
      <c r="AD131" s="1" t="s">
        <v>74</v>
      </c>
      <c r="AE131" s="1" t="s">
        <v>74</v>
      </c>
      <c r="AF131" s="1" t="s">
        <v>74</v>
      </c>
      <c r="AG131" s="1" t="s">
        <v>74</v>
      </c>
      <c r="AH131" s="1" t="s">
        <v>74</v>
      </c>
      <c r="AI131" s="1" t="s">
        <v>74</v>
      </c>
      <c r="AJ131" s="1" t="s">
        <v>74</v>
      </c>
      <c r="AK131" s="1" t="s">
        <v>74</v>
      </c>
      <c r="AL131" s="1" t="s">
        <v>74</v>
      </c>
      <c r="AM131" s="1" t="s">
        <v>74</v>
      </c>
      <c r="AN131" s="1" t="s">
        <v>74</v>
      </c>
      <c r="AO131" s="1" t="s">
        <v>1282</v>
      </c>
      <c r="AP131" s="1" t="s">
        <v>74</v>
      </c>
      <c r="AQ131" s="1" t="s">
        <v>74</v>
      </c>
      <c r="AR131" s="1" t="s">
        <v>74</v>
      </c>
      <c r="AS131" s="1" t="s">
        <v>74</v>
      </c>
      <c r="AT131" s="1" t="s">
        <v>370</v>
      </c>
      <c r="AU131" s="1">
        <v>2024.0</v>
      </c>
      <c r="AV131" s="1" t="s">
        <v>74</v>
      </c>
      <c r="AW131" s="1">
        <v>68.0</v>
      </c>
      <c r="AX131" s="1" t="s">
        <v>74</v>
      </c>
      <c r="AY131" s="1" t="s">
        <v>74</v>
      </c>
      <c r="AZ131" s="1" t="s">
        <v>74</v>
      </c>
      <c r="BA131" s="1" t="s">
        <v>74</v>
      </c>
      <c r="BB131" s="1">
        <v>11.0</v>
      </c>
      <c r="BC131" s="1">
        <v>30.0</v>
      </c>
      <c r="BD131" s="1" t="s">
        <v>74</v>
      </c>
      <c r="BE131" s="1" t="s">
        <v>1283</v>
      </c>
      <c r="BF131" s="2" t="str">
        <f>HYPERLINK("http://dx.doi.org/10.29393/AL68-1NTFC10001","http://dx.doi.org/10.29393/AL68-1NTFC10001")</f>
        <v>http://dx.doi.org/10.29393/AL68-1NTFC10001</v>
      </c>
      <c r="BG131" s="1" t="s">
        <v>74</v>
      </c>
      <c r="BH131" s="1" t="s">
        <v>74</v>
      </c>
      <c r="BI131" s="1" t="s">
        <v>74</v>
      </c>
      <c r="BJ131" s="1" t="s">
        <v>74</v>
      </c>
      <c r="BK131" s="1" t="s">
        <v>74</v>
      </c>
      <c r="BL131" s="1" t="s">
        <v>74</v>
      </c>
      <c r="BM131" s="1" t="s">
        <v>74</v>
      </c>
      <c r="BN131" s="1" t="s">
        <v>74</v>
      </c>
      <c r="BO131" s="1" t="s">
        <v>74</v>
      </c>
      <c r="BP131" s="1" t="s">
        <v>74</v>
      </c>
      <c r="BQ131" s="1" t="s">
        <v>74</v>
      </c>
      <c r="BR131" s="1" t="s">
        <v>74</v>
      </c>
      <c r="BS131" s="1" t="s">
        <v>1284</v>
      </c>
      <c r="BT131" s="1" t="str">
        <f>HYPERLINK("https%3A%2F%2Fwww.webofscience.com%2Fwos%2Fwoscc%2Ffull-record%2FWOS:001362568800002","View Full Record in Web of Science")</f>
        <v>View Full Record in Web of Science</v>
      </c>
    </row>
    <row r="132" ht="12.75" customHeight="1">
      <c r="A132" s="1" t="s">
        <v>72</v>
      </c>
      <c r="B132" s="1" t="s">
        <v>1285</v>
      </c>
      <c r="C132" s="1" t="s">
        <v>74</v>
      </c>
      <c r="D132" s="1" t="s">
        <v>74</v>
      </c>
      <c r="E132" s="1" t="s">
        <v>74</v>
      </c>
      <c r="F132" s="1" t="s">
        <v>1286</v>
      </c>
      <c r="G132" s="1" t="s">
        <v>74</v>
      </c>
      <c r="H132" s="1" t="s">
        <v>74</v>
      </c>
      <c r="I132" s="1" t="s">
        <v>1287</v>
      </c>
      <c r="J132" s="1" t="s">
        <v>1288</v>
      </c>
      <c r="K132" s="1" t="s">
        <v>74</v>
      </c>
      <c r="L132" s="1" t="s">
        <v>74</v>
      </c>
      <c r="M132" s="1" t="s">
        <v>74</v>
      </c>
      <c r="N132" s="1" t="s">
        <v>74</v>
      </c>
      <c r="O132" s="1" t="s">
        <v>74</v>
      </c>
      <c r="P132" s="1" t="s">
        <v>74</v>
      </c>
      <c r="Q132" s="1" t="s">
        <v>74</v>
      </c>
      <c r="R132" s="1" t="s">
        <v>74</v>
      </c>
      <c r="S132" s="1" t="s">
        <v>74</v>
      </c>
      <c r="T132" s="1" t="s">
        <v>74</v>
      </c>
      <c r="U132" s="1" t="s">
        <v>74</v>
      </c>
      <c r="V132" s="1" t="s">
        <v>1289</v>
      </c>
      <c r="W132" s="1" t="s">
        <v>74</v>
      </c>
      <c r="X132" s="1" t="s">
        <v>74</v>
      </c>
      <c r="Y132" s="1" t="s">
        <v>74</v>
      </c>
      <c r="Z132" s="1" t="s">
        <v>74</v>
      </c>
      <c r="AA132" s="1" t="s">
        <v>74</v>
      </c>
      <c r="AB132" s="1" t="s">
        <v>1290</v>
      </c>
      <c r="AC132" s="1" t="s">
        <v>74</v>
      </c>
      <c r="AD132" s="1" t="s">
        <v>74</v>
      </c>
      <c r="AE132" s="1" t="s">
        <v>74</v>
      </c>
      <c r="AF132" s="1" t="s">
        <v>74</v>
      </c>
      <c r="AG132" s="1" t="s">
        <v>74</v>
      </c>
      <c r="AH132" s="1" t="s">
        <v>74</v>
      </c>
      <c r="AI132" s="1" t="s">
        <v>74</v>
      </c>
      <c r="AJ132" s="1" t="s">
        <v>74</v>
      </c>
      <c r="AK132" s="1" t="s">
        <v>74</v>
      </c>
      <c r="AL132" s="1" t="s">
        <v>74</v>
      </c>
      <c r="AM132" s="1" t="s">
        <v>74</v>
      </c>
      <c r="AN132" s="1" t="s">
        <v>74</v>
      </c>
      <c r="AO132" s="1" t="s">
        <v>1291</v>
      </c>
      <c r="AP132" s="1" t="s">
        <v>1292</v>
      </c>
      <c r="AQ132" s="1" t="s">
        <v>74</v>
      </c>
      <c r="AR132" s="1" t="s">
        <v>74</v>
      </c>
      <c r="AS132" s="1" t="s">
        <v>74</v>
      </c>
      <c r="AT132" s="1" t="s">
        <v>1293</v>
      </c>
      <c r="AU132" s="1">
        <v>2024.0</v>
      </c>
      <c r="AV132" s="1">
        <v>95.0</v>
      </c>
      <c r="AW132" s="1">
        <v>1.0</v>
      </c>
      <c r="AX132" s="1" t="s">
        <v>74</v>
      </c>
      <c r="AY132" s="1" t="s">
        <v>74</v>
      </c>
      <c r="AZ132" s="1" t="s">
        <v>74</v>
      </c>
      <c r="BA132" s="1" t="s">
        <v>74</v>
      </c>
      <c r="BB132" s="1">
        <v>41.0</v>
      </c>
      <c r="BC132" s="1">
        <v>52.0</v>
      </c>
      <c r="BD132" s="1" t="s">
        <v>74</v>
      </c>
      <c r="BE132" s="1" t="s">
        <v>1294</v>
      </c>
      <c r="BF132" s="2" t="str">
        <f>HYPERLINK("http://dx.doi.org/10.32641/andespediatr.v95i1.4752","http://dx.doi.org/10.32641/andespediatr.v95i1.4752")</f>
        <v>http://dx.doi.org/10.32641/andespediatr.v95i1.4752</v>
      </c>
      <c r="BG132" s="1" t="s">
        <v>74</v>
      </c>
      <c r="BH132" s="1" t="s">
        <v>74</v>
      </c>
      <c r="BI132" s="1" t="s">
        <v>74</v>
      </c>
      <c r="BJ132" s="1" t="s">
        <v>74</v>
      </c>
      <c r="BK132" s="1" t="s">
        <v>74</v>
      </c>
      <c r="BL132" s="1" t="s">
        <v>74</v>
      </c>
      <c r="BM132" s="1" t="s">
        <v>74</v>
      </c>
      <c r="BN132" s="1">
        <v>3.8587343E7</v>
      </c>
      <c r="BO132" s="1" t="s">
        <v>74</v>
      </c>
      <c r="BP132" s="1" t="s">
        <v>74</v>
      </c>
      <c r="BQ132" s="1" t="s">
        <v>74</v>
      </c>
      <c r="BR132" s="1" t="s">
        <v>74</v>
      </c>
      <c r="BS132" s="1" t="s">
        <v>1295</v>
      </c>
      <c r="BT132" s="1" t="str">
        <f>HYPERLINK("https%3A%2F%2Fwww.webofscience.com%2Fwos%2Fwoscc%2Ffull-record%2FWOS:001178849200005","View Full Record in Web of Science")</f>
        <v>View Full Record in Web of Science</v>
      </c>
    </row>
    <row r="133" ht="12.75" customHeight="1">
      <c r="A133" s="1" t="s">
        <v>72</v>
      </c>
      <c r="B133" s="1" t="s">
        <v>1296</v>
      </c>
      <c r="C133" s="1" t="s">
        <v>74</v>
      </c>
      <c r="D133" s="1" t="s">
        <v>74</v>
      </c>
      <c r="E133" s="1" t="s">
        <v>74</v>
      </c>
      <c r="F133" s="1" t="s">
        <v>1297</v>
      </c>
      <c r="G133" s="1" t="s">
        <v>74</v>
      </c>
      <c r="H133" s="1" t="s">
        <v>74</v>
      </c>
      <c r="I133" s="1" t="s">
        <v>1298</v>
      </c>
      <c r="J133" s="1" t="s">
        <v>1299</v>
      </c>
      <c r="K133" s="1" t="s">
        <v>74</v>
      </c>
      <c r="L133" s="1" t="s">
        <v>74</v>
      </c>
      <c r="M133" s="1" t="s">
        <v>74</v>
      </c>
      <c r="N133" s="1" t="s">
        <v>74</v>
      </c>
      <c r="O133" s="1" t="s">
        <v>74</v>
      </c>
      <c r="P133" s="1" t="s">
        <v>74</v>
      </c>
      <c r="Q133" s="1" t="s">
        <v>74</v>
      </c>
      <c r="R133" s="1" t="s">
        <v>74</v>
      </c>
      <c r="S133" s="1" t="s">
        <v>74</v>
      </c>
      <c r="T133" s="1" t="s">
        <v>74</v>
      </c>
      <c r="U133" s="1" t="s">
        <v>74</v>
      </c>
      <c r="V133" s="1" t="s">
        <v>74</v>
      </c>
      <c r="W133" s="1" t="s">
        <v>74</v>
      </c>
      <c r="X133" s="1" t="s">
        <v>74</v>
      </c>
      <c r="Y133" s="1" t="s">
        <v>74</v>
      </c>
      <c r="Z133" s="1" t="s">
        <v>74</v>
      </c>
      <c r="AA133" s="1" t="s">
        <v>74</v>
      </c>
      <c r="AB133" s="1" t="s">
        <v>74</v>
      </c>
      <c r="AC133" s="1" t="s">
        <v>74</v>
      </c>
      <c r="AD133" s="1" t="s">
        <v>74</v>
      </c>
      <c r="AE133" s="1" t="s">
        <v>74</v>
      </c>
      <c r="AF133" s="1" t="s">
        <v>74</v>
      </c>
      <c r="AG133" s="1" t="s">
        <v>74</v>
      </c>
      <c r="AH133" s="1" t="s">
        <v>74</v>
      </c>
      <c r="AI133" s="1" t="s">
        <v>74</v>
      </c>
      <c r="AJ133" s="1" t="s">
        <v>74</v>
      </c>
      <c r="AK133" s="1" t="s">
        <v>74</v>
      </c>
      <c r="AL133" s="1" t="s">
        <v>74</v>
      </c>
      <c r="AM133" s="1" t="s">
        <v>74</v>
      </c>
      <c r="AN133" s="1" t="s">
        <v>74</v>
      </c>
      <c r="AO133" s="1" t="s">
        <v>1300</v>
      </c>
      <c r="AP133" s="1" t="s">
        <v>74</v>
      </c>
      <c r="AQ133" s="1" t="s">
        <v>74</v>
      </c>
      <c r="AR133" s="1" t="s">
        <v>74</v>
      </c>
      <c r="AS133" s="1" t="s">
        <v>74</v>
      </c>
      <c r="AT133" s="1" t="s">
        <v>74</v>
      </c>
      <c r="AU133" s="1">
        <v>2024.0</v>
      </c>
      <c r="AV133" s="1" t="s">
        <v>74</v>
      </c>
      <c r="AW133" s="1">
        <v>24.0</v>
      </c>
      <c r="AX133" s="1" t="s">
        <v>74</v>
      </c>
      <c r="AY133" s="1" t="s">
        <v>74</v>
      </c>
      <c r="AZ133" s="1" t="s">
        <v>74</v>
      </c>
      <c r="BA133" s="1" t="s">
        <v>74</v>
      </c>
      <c r="BB133" s="1" t="s">
        <v>74</v>
      </c>
      <c r="BC133" s="1" t="s">
        <v>74</v>
      </c>
      <c r="BD133" s="1" t="s">
        <v>74</v>
      </c>
      <c r="BE133" s="1" t="s">
        <v>1301</v>
      </c>
      <c r="BF133" s="2" t="str">
        <f>HYPERLINK("http://dx.doi.org/10.7203/KAM.24.30124","http://dx.doi.org/10.7203/KAM.24.30124")</f>
        <v>http://dx.doi.org/10.7203/KAM.24.30124</v>
      </c>
      <c r="BG133" s="1" t="s">
        <v>74</v>
      </c>
      <c r="BH133" s="1" t="s">
        <v>74</v>
      </c>
      <c r="BI133" s="1" t="s">
        <v>74</v>
      </c>
      <c r="BJ133" s="1" t="s">
        <v>74</v>
      </c>
      <c r="BK133" s="1" t="s">
        <v>74</v>
      </c>
      <c r="BL133" s="1" t="s">
        <v>74</v>
      </c>
      <c r="BM133" s="1" t="s">
        <v>74</v>
      </c>
      <c r="BN133" s="1" t="s">
        <v>74</v>
      </c>
      <c r="BO133" s="1" t="s">
        <v>74</v>
      </c>
      <c r="BP133" s="1" t="s">
        <v>74</v>
      </c>
      <c r="BQ133" s="1" t="s">
        <v>74</v>
      </c>
      <c r="BR133" s="1" t="s">
        <v>74</v>
      </c>
      <c r="BS133" s="1" t="s">
        <v>1302</v>
      </c>
      <c r="BT133" s="1" t="str">
        <f>HYPERLINK("https%3A%2F%2Fwww.webofscience.com%2Fwos%2Fwoscc%2Ffull-record%2FWOS:001411162000001","View Full Record in Web of Science")</f>
        <v>View Full Record in Web of Science</v>
      </c>
    </row>
    <row r="134" ht="12.75" customHeight="1">
      <c r="A134" s="1" t="s">
        <v>72</v>
      </c>
      <c r="B134" s="1" t="s">
        <v>1303</v>
      </c>
      <c r="C134" s="1" t="s">
        <v>74</v>
      </c>
      <c r="D134" s="1" t="s">
        <v>74</v>
      </c>
      <c r="E134" s="1" t="s">
        <v>74</v>
      </c>
      <c r="F134" s="1" t="s">
        <v>1304</v>
      </c>
      <c r="G134" s="1" t="s">
        <v>74</v>
      </c>
      <c r="H134" s="1" t="s">
        <v>74</v>
      </c>
      <c r="I134" s="1" t="s">
        <v>1305</v>
      </c>
      <c r="J134" s="1" t="s">
        <v>1299</v>
      </c>
      <c r="K134" s="1" t="s">
        <v>74</v>
      </c>
      <c r="L134" s="1" t="s">
        <v>74</v>
      </c>
      <c r="M134" s="1" t="s">
        <v>74</v>
      </c>
      <c r="N134" s="1" t="s">
        <v>74</v>
      </c>
      <c r="O134" s="1" t="s">
        <v>74</v>
      </c>
      <c r="P134" s="1" t="s">
        <v>74</v>
      </c>
      <c r="Q134" s="1" t="s">
        <v>74</v>
      </c>
      <c r="R134" s="1" t="s">
        <v>74</v>
      </c>
      <c r="S134" s="1" t="s">
        <v>74</v>
      </c>
      <c r="T134" s="1" t="s">
        <v>74</v>
      </c>
      <c r="U134" s="1" t="s">
        <v>74</v>
      </c>
      <c r="V134" s="1" t="s">
        <v>1306</v>
      </c>
      <c r="W134" s="1" t="s">
        <v>74</v>
      </c>
      <c r="X134" s="1" t="s">
        <v>74</v>
      </c>
      <c r="Y134" s="1" t="s">
        <v>74</v>
      </c>
      <c r="Z134" s="1" t="s">
        <v>74</v>
      </c>
      <c r="AA134" s="1" t="s">
        <v>74</v>
      </c>
      <c r="AB134" s="1" t="s">
        <v>74</v>
      </c>
      <c r="AC134" s="1" t="s">
        <v>74</v>
      </c>
      <c r="AD134" s="1" t="s">
        <v>74</v>
      </c>
      <c r="AE134" s="1" t="s">
        <v>74</v>
      </c>
      <c r="AF134" s="1" t="s">
        <v>74</v>
      </c>
      <c r="AG134" s="1" t="s">
        <v>74</v>
      </c>
      <c r="AH134" s="1" t="s">
        <v>74</v>
      </c>
      <c r="AI134" s="1" t="s">
        <v>74</v>
      </c>
      <c r="AJ134" s="1" t="s">
        <v>74</v>
      </c>
      <c r="AK134" s="1" t="s">
        <v>74</v>
      </c>
      <c r="AL134" s="1" t="s">
        <v>74</v>
      </c>
      <c r="AM134" s="1" t="s">
        <v>74</v>
      </c>
      <c r="AN134" s="1" t="s">
        <v>74</v>
      </c>
      <c r="AO134" s="1" t="s">
        <v>1300</v>
      </c>
      <c r="AP134" s="1" t="s">
        <v>74</v>
      </c>
      <c r="AQ134" s="1" t="s">
        <v>74</v>
      </c>
      <c r="AR134" s="1" t="s">
        <v>74</v>
      </c>
      <c r="AS134" s="1" t="s">
        <v>74</v>
      </c>
      <c r="AT134" s="1" t="s">
        <v>74</v>
      </c>
      <c r="AU134" s="1">
        <v>2024.0</v>
      </c>
      <c r="AV134" s="1" t="s">
        <v>74</v>
      </c>
      <c r="AW134" s="1">
        <v>24.0</v>
      </c>
      <c r="AX134" s="1" t="s">
        <v>74</v>
      </c>
      <c r="AY134" s="1" t="s">
        <v>74</v>
      </c>
      <c r="AZ134" s="1" t="s">
        <v>74</v>
      </c>
      <c r="BA134" s="1" t="s">
        <v>74</v>
      </c>
      <c r="BB134" s="1" t="s">
        <v>74</v>
      </c>
      <c r="BC134" s="1" t="s">
        <v>74</v>
      </c>
      <c r="BD134" s="1" t="s">
        <v>74</v>
      </c>
      <c r="BE134" s="1" t="s">
        <v>1307</v>
      </c>
      <c r="BF134" s="2" t="str">
        <f>HYPERLINK("http://dx.doi.org/10.7203/KAM.24.28378","http://dx.doi.org/10.7203/KAM.24.28378")</f>
        <v>http://dx.doi.org/10.7203/KAM.24.28378</v>
      </c>
      <c r="BG134" s="1" t="s">
        <v>74</v>
      </c>
      <c r="BH134" s="1" t="s">
        <v>74</v>
      </c>
      <c r="BI134" s="1" t="s">
        <v>74</v>
      </c>
      <c r="BJ134" s="1" t="s">
        <v>74</v>
      </c>
      <c r="BK134" s="1" t="s">
        <v>74</v>
      </c>
      <c r="BL134" s="1" t="s">
        <v>74</v>
      </c>
      <c r="BM134" s="1" t="s">
        <v>74</v>
      </c>
      <c r="BN134" s="1" t="s">
        <v>74</v>
      </c>
      <c r="BO134" s="1" t="s">
        <v>74</v>
      </c>
      <c r="BP134" s="1" t="s">
        <v>74</v>
      </c>
      <c r="BQ134" s="1" t="s">
        <v>74</v>
      </c>
      <c r="BR134" s="1" t="s">
        <v>74</v>
      </c>
      <c r="BS134" s="1" t="s">
        <v>1308</v>
      </c>
      <c r="BT134" s="1" t="str">
        <f>HYPERLINK("https%3A%2F%2Fwww.webofscience.com%2Fwos%2Fwoscc%2Ffull-record%2FWOS:001411162000003","View Full Record in Web of Science")</f>
        <v>View Full Record in Web of Science</v>
      </c>
    </row>
    <row r="135" ht="12.75" customHeight="1">
      <c r="A135" s="1" t="s">
        <v>72</v>
      </c>
      <c r="B135" s="1" t="s">
        <v>1309</v>
      </c>
      <c r="C135" s="1" t="s">
        <v>74</v>
      </c>
      <c r="D135" s="1" t="s">
        <v>74</v>
      </c>
      <c r="E135" s="1" t="s">
        <v>74</v>
      </c>
      <c r="F135" s="1" t="s">
        <v>1310</v>
      </c>
      <c r="G135" s="1" t="s">
        <v>74</v>
      </c>
      <c r="H135" s="1" t="s">
        <v>74</v>
      </c>
      <c r="I135" s="1" t="s">
        <v>1311</v>
      </c>
      <c r="J135" s="1" t="s">
        <v>1312</v>
      </c>
      <c r="K135" s="1" t="s">
        <v>74</v>
      </c>
      <c r="L135" s="1" t="s">
        <v>74</v>
      </c>
      <c r="M135" s="1" t="s">
        <v>74</v>
      </c>
      <c r="N135" s="1" t="s">
        <v>74</v>
      </c>
      <c r="O135" s="1" t="s">
        <v>74</v>
      </c>
      <c r="P135" s="1" t="s">
        <v>74</v>
      </c>
      <c r="Q135" s="1" t="s">
        <v>74</v>
      </c>
      <c r="R135" s="1" t="s">
        <v>74</v>
      </c>
      <c r="S135" s="1" t="s">
        <v>74</v>
      </c>
      <c r="T135" s="1" t="s">
        <v>74</v>
      </c>
      <c r="U135" s="1" t="s">
        <v>74</v>
      </c>
      <c r="V135" s="1" t="s">
        <v>1313</v>
      </c>
      <c r="W135" s="1" t="s">
        <v>74</v>
      </c>
      <c r="X135" s="1" t="s">
        <v>74</v>
      </c>
      <c r="Y135" s="1" t="s">
        <v>74</v>
      </c>
      <c r="Z135" s="1" t="s">
        <v>74</v>
      </c>
      <c r="AA135" s="1" t="s">
        <v>1314</v>
      </c>
      <c r="AB135" s="1" t="s">
        <v>1315</v>
      </c>
      <c r="AC135" s="1" t="s">
        <v>74</v>
      </c>
      <c r="AD135" s="1" t="s">
        <v>74</v>
      </c>
      <c r="AE135" s="1" t="s">
        <v>74</v>
      </c>
      <c r="AF135" s="1" t="s">
        <v>74</v>
      </c>
      <c r="AG135" s="1" t="s">
        <v>74</v>
      </c>
      <c r="AH135" s="1" t="s">
        <v>74</v>
      </c>
      <c r="AI135" s="1" t="s">
        <v>74</v>
      </c>
      <c r="AJ135" s="1" t="s">
        <v>74</v>
      </c>
      <c r="AK135" s="1" t="s">
        <v>74</v>
      </c>
      <c r="AL135" s="1" t="s">
        <v>74</v>
      </c>
      <c r="AM135" s="1" t="s">
        <v>74</v>
      </c>
      <c r="AN135" s="1" t="s">
        <v>74</v>
      </c>
      <c r="AO135" s="1" t="s">
        <v>1316</v>
      </c>
      <c r="AP135" s="1" t="s">
        <v>1317</v>
      </c>
      <c r="AQ135" s="1" t="s">
        <v>74</v>
      </c>
      <c r="AR135" s="1" t="s">
        <v>74</v>
      </c>
      <c r="AS135" s="1" t="s">
        <v>74</v>
      </c>
      <c r="AT135" s="1" t="s">
        <v>161</v>
      </c>
      <c r="AU135" s="1">
        <v>2023.0</v>
      </c>
      <c r="AV135" s="1">
        <v>457.0</v>
      </c>
      <c r="AW135" s="1" t="s">
        <v>74</v>
      </c>
      <c r="AX135" s="1" t="s">
        <v>74</v>
      </c>
      <c r="AY135" s="1" t="s">
        <v>74</v>
      </c>
      <c r="AZ135" s="1" t="s">
        <v>74</v>
      </c>
      <c r="BA135" s="1" t="s">
        <v>74</v>
      </c>
      <c r="BB135" s="1" t="s">
        <v>74</v>
      </c>
      <c r="BC135" s="1" t="s">
        <v>74</v>
      </c>
      <c r="BD135" s="1">
        <v>169401.0</v>
      </c>
      <c r="BE135" s="1" t="s">
        <v>1318</v>
      </c>
      <c r="BF135" s="2" t="str">
        <f>HYPERLINK("http://dx.doi.org/10.1016/j.aop.2023.169401","http://dx.doi.org/10.1016/j.aop.2023.169401")</f>
        <v>http://dx.doi.org/10.1016/j.aop.2023.169401</v>
      </c>
      <c r="BG135" s="1" t="s">
        <v>74</v>
      </c>
      <c r="BH135" s="1" t="s">
        <v>1319</v>
      </c>
      <c r="BI135" s="1" t="s">
        <v>74</v>
      </c>
      <c r="BJ135" s="1" t="s">
        <v>74</v>
      </c>
      <c r="BK135" s="1" t="s">
        <v>74</v>
      </c>
      <c r="BL135" s="1" t="s">
        <v>74</v>
      </c>
      <c r="BM135" s="1" t="s">
        <v>74</v>
      </c>
      <c r="BN135" s="1" t="s">
        <v>74</v>
      </c>
      <c r="BO135" s="1" t="s">
        <v>74</v>
      </c>
      <c r="BP135" s="1" t="s">
        <v>74</v>
      </c>
      <c r="BQ135" s="1" t="s">
        <v>74</v>
      </c>
      <c r="BR135" s="1" t="s">
        <v>74</v>
      </c>
      <c r="BS135" s="1" t="s">
        <v>1320</v>
      </c>
      <c r="BT135" s="1" t="str">
        <f>HYPERLINK("https%3A%2F%2Fwww.webofscience.com%2Fwos%2Fwoscc%2Ffull-record%2FWOS:001036791300001","View Full Record in Web of Science")</f>
        <v>View Full Record in Web of Science</v>
      </c>
    </row>
    <row r="136" ht="12.75" customHeight="1">
      <c r="A136" s="1" t="s">
        <v>72</v>
      </c>
      <c r="B136" s="1" t="s">
        <v>1321</v>
      </c>
      <c r="C136" s="1" t="s">
        <v>74</v>
      </c>
      <c r="D136" s="1" t="s">
        <v>74</v>
      </c>
      <c r="E136" s="1" t="s">
        <v>74</v>
      </c>
      <c r="F136" s="1" t="s">
        <v>1322</v>
      </c>
      <c r="G136" s="1" t="s">
        <v>74</v>
      </c>
      <c r="H136" s="1" t="s">
        <v>74</v>
      </c>
      <c r="I136" s="1" t="s">
        <v>1323</v>
      </c>
      <c r="J136" s="1" t="s">
        <v>593</v>
      </c>
      <c r="K136" s="1" t="s">
        <v>74</v>
      </c>
      <c r="L136" s="1" t="s">
        <v>74</v>
      </c>
      <c r="M136" s="1" t="s">
        <v>74</v>
      </c>
      <c r="N136" s="1" t="s">
        <v>74</v>
      </c>
      <c r="O136" s="1" t="s">
        <v>74</v>
      </c>
      <c r="P136" s="1" t="s">
        <v>74</v>
      </c>
      <c r="Q136" s="1" t="s">
        <v>74</v>
      </c>
      <c r="R136" s="1" t="s">
        <v>74</v>
      </c>
      <c r="S136" s="1" t="s">
        <v>74</v>
      </c>
      <c r="T136" s="1" t="s">
        <v>74</v>
      </c>
      <c r="U136" s="1" t="s">
        <v>74</v>
      </c>
      <c r="V136" s="1" t="s">
        <v>1324</v>
      </c>
      <c r="W136" s="1" t="s">
        <v>74</v>
      </c>
      <c r="X136" s="1" t="s">
        <v>74</v>
      </c>
      <c r="Y136" s="1" t="s">
        <v>74</v>
      </c>
      <c r="Z136" s="1" t="s">
        <v>74</v>
      </c>
      <c r="AA136" s="1" t="s">
        <v>1325</v>
      </c>
      <c r="AB136" s="1" t="s">
        <v>1326</v>
      </c>
      <c r="AC136" s="1" t="s">
        <v>74</v>
      </c>
      <c r="AD136" s="1" t="s">
        <v>74</v>
      </c>
      <c r="AE136" s="1" t="s">
        <v>74</v>
      </c>
      <c r="AF136" s="1" t="s">
        <v>74</v>
      </c>
      <c r="AG136" s="1" t="s">
        <v>74</v>
      </c>
      <c r="AH136" s="1" t="s">
        <v>74</v>
      </c>
      <c r="AI136" s="1" t="s">
        <v>74</v>
      </c>
      <c r="AJ136" s="1" t="s">
        <v>74</v>
      </c>
      <c r="AK136" s="1" t="s">
        <v>74</v>
      </c>
      <c r="AL136" s="1" t="s">
        <v>74</v>
      </c>
      <c r="AM136" s="1" t="s">
        <v>74</v>
      </c>
      <c r="AN136" s="1" t="s">
        <v>74</v>
      </c>
      <c r="AO136" s="1" t="s">
        <v>74</v>
      </c>
      <c r="AP136" s="1" t="s">
        <v>597</v>
      </c>
      <c r="AQ136" s="1" t="s">
        <v>74</v>
      </c>
      <c r="AR136" s="1" t="s">
        <v>74</v>
      </c>
      <c r="AS136" s="1" t="s">
        <v>74</v>
      </c>
      <c r="AT136" s="1" t="s">
        <v>1327</v>
      </c>
      <c r="AU136" s="1">
        <v>2023.0</v>
      </c>
      <c r="AV136" s="1">
        <v>15.0</v>
      </c>
      <c r="AW136" s="1">
        <v>9.0</v>
      </c>
      <c r="AX136" s="1" t="s">
        <v>74</v>
      </c>
      <c r="AY136" s="1" t="s">
        <v>74</v>
      </c>
      <c r="AZ136" s="1" t="s">
        <v>74</v>
      </c>
      <c r="BA136" s="1" t="s">
        <v>74</v>
      </c>
      <c r="BB136" s="1" t="s">
        <v>74</v>
      </c>
      <c r="BC136" s="1" t="s">
        <v>74</v>
      </c>
      <c r="BD136" s="1">
        <v>2192.0</v>
      </c>
      <c r="BE136" s="1" t="s">
        <v>1328</v>
      </c>
      <c r="BF136" s="2" t="str">
        <f>HYPERLINK("http://dx.doi.org/10.3390/polym15092192","http://dx.doi.org/10.3390/polym15092192")</f>
        <v>http://dx.doi.org/10.3390/polym15092192</v>
      </c>
      <c r="BG136" s="1" t="s">
        <v>74</v>
      </c>
      <c r="BH136" s="1" t="s">
        <v>74</v>
      </c>
      <c r="BI136" s="1" t="s">
        <v>74</v>
      </c>
      <c r="BJ136" s="1" t="s">
        <v>74</v>
      </c>
      <c r="BK136" s="1" t="s">
        <v>74</v>
      </c>
      <c r="BL136" s="1" t="s">
        <v>74</v>
      </c>
      <c r="BM136" s="1" t="s">
        <v>74</v>
      </c>
      <c r="BN136" s="1">
        <v>3.7177337E7</v>
      </c>
      <c r="BO136" s="1" t="s">
        <v>74</v>
      </c>
      <c r="BP136" s="1" t="s">
        <v>74</v>
      </c>
      <c r="BQ136" s="1" t="s">
        <v>74</v>
      </c>
      <c r="BR136" s="1" t="s">
        <v>74</v>
      </c>
      <c r="BS136" s="1" t="s">
        <v>1329</v>
      </c>
      <c r="BT136" s="1" t="str">
        <f>HYPERLINK("https%3A%2F%2Fwww.webofscience.com%2Fwos%2Fwoscc%2Ffull-record%2FWOS:000987585800001","View Full Record in Web of Science")</f>
        <v>View Full Record in Web of Science</v>
      </c>
    </row>
    <row r="137" ht="12.75" customHeight="1">
      <c r="A137" s="1" t="s">
        <v>72</v>
      </c>
      <c r="B137" s="1" t="s">
        <v>1330</v>
      </c>
      <c r="C137" s="1" t="s">
        <v>74</v>
      </c>
      <c r="D137" s="1" t="s">
        <v>74</v>
      </c>
      <c r="E137" s="1" t="s">
        <v>74</v>
      </c>
      <c r="F137" s="1" t="s">
        <v>1331</v>
      </c>
      <c r="G137" s="1" t="s">
        <v>74</v>
      </c>
      <c r="H137" s="1" t="s">
        <v>74</v>
      </c>
      <c r="I137" s="1" t="s">
        <v>1332</v>
      </c>
      <c r="J137" s="1" t="s">
        <v>1333</v>
      </c>
      <c r="K137" s="1" t="s">
        <v>74</v>
      </c>
      <c r="L137" s="1" t="s">
        <v>74</v>
      </c>
      <c r="M137" s="1" t="s">
        <v>74</v>
      </c>
      <c r="N137" s="1" t="s">
        <v>74</v>
      </c>
      <c r="O137" s="1" t="s">
        <v>74</v>
      </c>
      <c r="P137" s="1" t="s">
        <v>74</v>
      </c>
      <c r="Q137" s="1" t="s">
        <v>74</v>
      </c>
      <c r="R137" s="1" t="s">
        <v>74</v>
      </c>
      <c r="S137" s="1" t="s">
        <v>74</v>
      </c>
      <c r="T137" s="1" t="s">
        <v>74</v>
      </c>
      <c r="U137" s="1" t="s">
        <v>74</v>
      </c>
      <c r="V137" s="1" t="s">
        <v>1334</v>
      </c>
      <c r="W137" s="1" t="s">
        <v>74</v>
      </c>
      <c r="X137" s="1" t="s">
        <v>74</v>
      </c>
      <c r="Y137" s="1" t="s">
        <v>74</v>
      </c>
      <c r="Z137" s="1" t="s">
        <v>74</v>
      </c>
      <c r="AA137" s="1" t="s">
        <v>74</v>
      </c>
      <c r="AB137" s="1" t="s">
        <v>74</v>
      </c>
      <c r="AC137" s="1" t="s">
        <v>74</v>
      </c>
      <c r="AD137" s="1" t="s">
        <v>74</v>
      </c>
      <c r="AE137" s="1" t="s">
        <v>74</v>
      </c>
      <c r="AF137" s="1" t="s">
        <v>74</v>
      </c>
      <c r="AG137" s="1" t="s">
        <v>74</v>
      </c>
      <c r="AH137" s="1" t="s">
        <v>74</v>
      </c>
      <c r="AI137" s="1" t="s">
        <v>74</v>
      </c>
      <c r="AJ137" s="1" t="s">
        <v>74</v>
      </c>
      <c r="AK137" s="1" t="s">
        <v>74</v>
      </c>
      <c r="AL137" s="1" t="s">
        <v>74</v>
      </c>
      <c r="AM137" s="1" t="s">
        <v>74</v>
      </c>
      <c r="AN137" s="1" t="s">
        <v>74</v>
      </c>
      <c r="AO137" s="1" t="s">
        <v>1335</v>
      </c>
      <c r="AP137" s="1" t="s">
        <v>1336</v>
      </c>
      <c r="AQ137" s="1" t="s">
        <v>74</v>
      </c>
      <c r="AR137" s="1" t="s">
        <v>74</v>
      </c>
      <c r="AS137" s="1" t="s">
        <v>74</v>
      </c>
      <c r="AT137" s="1" t="s">
        <v>74</v>
      </c>
      <c r="AU137" s="1">
        <v>2023.0</v>
      </c>
      <c r="AV137" s="1" t="s">
        <v>74</v>
      </c>
      <c r="AW137" s="1">
        <v>39.0</v>
      </c>
      <c r="AX137" s="1" t="s">
        <v>74</v>
      </c>
      <c r="AY137" s="1" t="s">
        <v>74</v>
      </c>
      <c r="AZ137" s="1" t="s">
        <v>74</v>
      </c>
      <c r="BA137" s="1" t="s">
        <v>74</v>
      </c>
      <c r="BB137" s="1">
        <v>127.0</v>
      </c>
      <c r="BC137" s="1">
        <v>144.0</v>
      </c>
      <c r="BD137" s="1" t="s">
        <v>74</v>
      </c>
      <c r="BE137" s="1" t="s">
        <v>74</v>
      </c>
      <c r="BF137" s="1" t="s">
        <v>74</v>
      </c>
      <c r="BG137" s="1" t="s">
        <v>74</v>
      </c>
      <c r="BH137" s="1" t="s">
        <v>74</v>
      </c>
      <c r="BI137" s="1" t="s">
        <v>74</v>
      </c>
      <c r="BJ137" s="1" t="s">
        <v>74</v>
      </c>
      <c r="BK137" s="1" t="s">
        <v>74</v>
      </c>
      <c r="BL137" s="1" t="s">
        <v>74</v>
      </c>
      <c r="BM137" s="1" t="s">
        <v>74</v>
      </c>
      <c r="BN137" s="1" t="s">
        <v>74</v>
      </c>
      <c r="BO137" s="1" t="s">
        <v>74</v>
      </c>
      <c r="BP137" s="1" t="s">
        <v>74</v>
      </c>
      <c r="BQ137" s="1" t="s">
        <v>74</v>
      </c>
      <c r="BR137" s="1" t="s">
        <v>74</v>
      </c>
      <c r="BS137" s="1" t="s">
        <v>1337</v>
      </c>
      <c r="BT137" s="1" t="str">
        <f>HYPERLINK("https%3A%2F%2Fwww.webofscience.com%2Fwos%2Fwoscc%2Ffull-record%2FWOS:001144754000007","View Full Record in Web of Science")</f>
        <v>View Full Record in Web of Science</v>
      </c>
    </row>
    <row r="138" ht="12.75" customHeight="1">
      <c r="A138" s="1" t="s">
        <v>72</v>
      </c>
      <c r="B138" s="1" t="s">
        <v>1338</v>
      </c>
      <c r="C138" s="1" t="s">
        <v>74</v>
      </c>
      <c r="D138" s="1" t="s">
        <v>74</v>
      </c>
      <c r="E138" s="1" t="s">
        <v>74</v>
      </c>
      <c r="F138" s="1" t="s">
        <v>1339</v>
      </c>
      <c r="G138" s="1" t="s">
        <v>74</v>
      </c>
      <c r="H138" s="1" t="s">
        <v>74</v>
      </c>
      <c r="I138" s="1" t="s">
        <v>1340</v>
      </c>
      <c r="J138" s="1" t="s">
        <v>1341</v>
      </c>
      <c r="K138" s="1" t="s">
        <v>74</v>
      </c>
      <c r="L138" s="1" t="s">
        <v>74</v>
      </c>
      <c r="M138" s="1" t="s">
        <v>74</v>
      </c>
      <c r="N138" s="1" t="s">
        <v>74</v>
      </c>
      <c r="O138" s="1" t="s">
        <v>74</v>
      </c>
      <c r="P138" s="1" t="s">
        <v>74</v>
      </c>
      <c r="Q138" s="1" t="s">
        <v>74</v>
      </c>
      <c r="R138" s="1" t="s">
        <v>74</v>
      </c>
      <c r="S138" s="1" t="s">
        <v>74</v>
      </c>
      <c r="T138" s="1" t="s">
        <v>74</v>
      </c>
      <c r="U138" s="1" t="s">
        <v>74</v>
      </c>
      <c r="V138" s="1" t="s">
        <v>1342</v>
      </c>
      <c r="W138" s="1" t="s">
        <v>74</v>
      </c>
      <c r="X138" s="1" t="s">
        <v>74</v>
      </c>
      <c r="Y138" s="1" t="s">
        <v>74</v>
      </c>
      <c r="Z138" s="1" t="s">
        <v>74</v>
      </c>
      <c r="AA138" s="1" t="s">
        <v>1132</v>
      </c>
      <c r="AB138" s="1" t="s">
        <v>1343</v>
      </c>
      <c r="AC138" s="1" t="s">
        <v>74</v>
      </c>
      <c r="AD138" s="1" t="s">
        <v>74</v>
      </c>
      <c r="AE138" s="1" t="s">
        <v>74</v>
      </c>
      <c r="AF138" s="1" t="s">
        <v>74</v>
      </c>
      <c r="AG138" s="1" t="s">
        <v>74</v>
      </c>
      <c r="AH138" s="1" t="s">
        <v>74</v>
      </c>
      <c r="AI138" s="1" t="s">
        <v>74</v>
      </c>
      <c r="AJ138" s="1" t="s">
        <v>74</v>
      </c>
      <c r="AK138" s="1" t="s">
        <v>74</v>
      </c>
      <c r="AL138" s="1" t="s">
        <v>74</v>
      </c>
      <c r="AM138" s="1" t="s">
        <v>74</v>
      </c>
      <c r="AN138" s="1" t="s">
        <v>74</v>
      </c>
      <c r="AO138" s="1" t="s">
        <v>74</v>
      </c>
      <c r="AP138" s="1" t="s">
        <v>1344</v>
      </c>
      <c r="AQ138" s="1" t="s">
        <v>74</v>
      </c>
      <c r="AR138" s="1" t="s">
        <v>74</v>
      </c>
      <c r="AS138" s="1" t="s">
        <v>74</v>
      </c>
      <c r="AT138" s="1" t="s">
        <v>370</v>
      </c>
      <c r="AU138" s="1">
        <v>2022.0</v>
      </c>
      <c r="AV138" s="1">
        <v>12.0</v>
      </c>
      <c r="AW138" s="1">
        <v>7.0</v>
      </c>
      <c r="AX138" s="1" t="s">
        <v>74</v>
      </c>
      <c r="AY138" s="1" t="s">
        <v>74</v>
      </c>
      <c r="AZ138" s="1" t="s">
        <v>74</v>
      </c>
      <c r="BA138" s="1" t="s">
        <v>74</v>
      </c>
      <c r="BB138" s="1" t="s">
        <v>74</v>
      </c>
      <c r="BC138" s="1" t="s">
        <v>74</v>
      </c>
      <c r="BD138" s="1">
        <v>683.0</v>
      </c>
      <c r="BE138" s="1" t="s">
        <v>1345</v>
      </c>
      <c r="BF138" s="2" t="str">
        <f>HYPERLINK("http://dx.doi.org/10.3390/catal12070683","http://dx.doi.org/10.3390/catal12070683")</f>
        <v>http://dx.doi.org/10.3390/catal12070683</v>
      </c>
      <c r="BG138" s="1" t="s">
        <v>74</v>
      </c>
      <c r="BH138" s="1" t="s">
        <v>74</v>
      </c>
      <c r="BI138" s="1" t="s">
        <v>74</v>
      </c>
      <c r="BJ138" s="1" t="s">
        <v>74</v>
      </c>
      <c r="BK138" s="1" t="s">
        <v>74</v>
      </c>
      <c r="BL138" s="1" t="s">
        <v>74</v>
      </c>
      <c r="BM138" s="1" t="s">
        <v>74</v>
      </c>
      <c r="BN138" s="1" t="s">
        <v>74</v>
      </c>
      <c r="BO138" s="1" t="s">
        <v>74</v>
      </c>
      <c r="BP138" s="1" t="s">
        <v>74</v>
      </c>
      <c r="BQ138" s="1" t="s">
        <v>74</v>
      </c>
      <c r="BR138" s="1" t="s">
        <v>74</v>
      </c>
      <c r="BS138" s="1" t="s">
        <v>1346</v>
      </c>
      <c r="BT138" s="1" t="str">
        <f>HYPERLINK("https%3A%2F%2Fwww.webofscience.com%2Fwos%2Fwoscc%2Ffull-record%2FWOS:000831691100001","View Full Record in Web of Science")</f>
        <v>View Full Record in Web of Science</v>
      </c>
    </row>
    <row r="139" ht="12.75" customHeight="1">
      <c r="A139" s="1" t="s">
        <v>72</v>
      </c>
      <c r="B139" s="1" t="s">
        <v>1347</v>
      </c>
      <c r="C139" s="1" t="s">
        <v>74</v>
      </c>
      <c r="D139" s="1" t="s">
        <v>74</v>
      </c>
      <c r="E139" s="1" t="s">
        <v>74</v>
      </c>
      <c r="F139" s="1" t="s">
        <v>1348</v>
      </c>
      <c r="G139" s="1" t="s">
        <v>74</v>
      </c>
      <c r="H139" s="1" t="s">
        <v>74</v>
      </c>
      <c r="I139" s="1" t="s">
        <v>1349</v>
      </c>
      <c r="J139" s="1" t="s">
        <v>1350</v>
      </c>
      <c r="K139" s="1" t="s">
        <v>74</v>
      </c>
      <c r="L139" s="1" t="s">
        <v>74</v>
      </c>
      <c r="M139" s="1" t="s">
        <v>74</v>
      </c>
      <c r="N139" s="1" t="s">
        <v>74</v>
      </c>
      <c r="O139" s="1" t="s">
        <v>74</v>
      </c>
      <c r="P139" s="1" t="s">
        <v>74</v>
      </c>
      <c r="Q139" s="1" t="s">
        <v>74</v>
      </c>
      <c r="R139" s="1" t="s">
        <v>74</v>
      </c>
      <c r="S139" s="1" t="s">
        <v>74</v>
      </c>
      <c r="T139" s="1" t="s">
        <v>74</v>
      </c>
      <c r="U139" s="1" t="s">
        <v>74</v>
      </c>
      <c r="V139" s="1" t="s">
        <v>1351</v>
      </c>
      <c r="W139" s="1" t="s">
        <v>74</v>
      </c>
      <c r="X139" s="1" t="s">
        <v>74</v>
      </c>
      <c r="Y139" s="1" t="s">
        <v>74</v>
      </c>
      <c r="Z139" s="1" t="s">
        <v>74</v>
      </c>
      <c r="AA139" s="1" t="s">
        <v>1352</v>
      </c>
      <c r="AB139" s="1" t="s">
        <v>1353</v>
      </c>
      <c r="AC139" s="1" t="s">
        <v>74</v>
      </c>
      <c r="AD139" s="1" t="s">
        <v>74</v>
      </c>
      <c r="AE139" s="1" t="s">
        <v>74</v>
      </c>
      <c r="AF139" s="1" t="s">
        <v>74</v>
      </c>
      <c r="AG139" s="1" t="s">
        <v>74</v>
      </c>
      <c r="AH139" s="1" t="s">
        <v>74</v>
      </c>
      <c r="AI139" s="1" t="s">
        <v>74</v>
      </c>
      <c r="AJ139" s="1" t="s">
        <v>74</v>
      </c>
      <c r="AK139" s="1" t="s">
        <v>74</v>
      </c>
      <c r="AL139" s="1" t="s">
        <v>74</v>
      </c>
      <c r="AM139" s="1" t="s">
        <v>74</v>
      </c>
      <c r="AN139" s="1" t="s">
        <v>74</v>
      </c>
      <c r="AO139" s="1" t="s">
        <v>1354</v>
      </c>
      <c r="AP139" s="1" t="s">
        <v>1355</v>
      </c>
      <c r="AQ139" s="1" t="s">
        <v>74</v>
      </c>
      <c r="AR139" s="1" t="s">
        <v>74</v>
      </c>
      <c r="AS139" s="1" t="s">
        <v>74</v>
      </c>
      <c r="AT139" s="1" t="s">
        <v>74</v>
      </c>
      <c r="AU139" s="1">
        <v>2022.0</v>
      </c>
      <c r="AV139" s="1">
        <v>49.0</v>
      </c>
      <c r="AW139" s="1">
        <v>90.0</v>
      </c>
      <c r="AX139" s="1" t="s">
        <v>74</v>
      </c>
      <c r="AY139" s="1" t="s">
        <v>74</v>
      </c>
      <c r="AZ139" s="1" t="s">
        <v>74</v>
      </c>
      <c r="BA139" s="1" t="s">
        <v>74</v>
      </c>
      <c r="BB139" s="1">
        <v>53.0</v>
      </c>
      <c r="BC139" s="1">
        <v>80.0</v>
      </c>
      <c r="BD139" s="1" t="s">
        <v>74</v>
      </c>
      <c r="BE139" s="1" t="s">
        <v>1356</v>
      </c>
      <c r="BF139" s="2" t="str">
        <f>HYPERLINK("http://dx.doi.org/10.21678/apuntes.90.1372","http://dx.doi.org/10.21678/apuntes.90.1372")</f>
        <v>http://dx.doi.org/10.21678/apuntes.90.1372</v>
      </c>
      <c r="BG139" s="1" t="s">
        <v>74</v>
      </c>
      <c r="BH139" s="1" t="s">
        <v>74</v>
      </c>
      <c r="BI139" s="1" t="s">
        <v>74</v>
      </c>
      <c r="BJ139" s="1" t="s">
        <v>74</v>
      </c>
      <c r="BK139" s="1" t="s">
        <v>74</v>
      </c>
      <c r="BL139" s="1" t="s">
        <v>74</v>
      </c>
      <c r="BM139" s="1" t="s">
        <v>74</v>
      </c>
      <c r="BN139" s="1" t="s">
        <v>74</v>
      </c>
      <c r="BO139" s="1" t="s">
        <v>74</v>
      </c>
      <c r="BP139" s="1" t="s">
        <v>74</v>
      </c>
      <c r="BQ139" s="1" t="s">
        <v>74</v>
      </c>
      <c r="BR139" s="1" t="s">
        <v>74</v>
      </c>
      <c r="BS139" s="1" t="s">
        <v>1357</v>
      </c>
      <c r="BT139" s="1" t="str">
        <f>HYPERLINK("https%3A%2F%2Fwww.webofscience.com%2Fwos%2Fwoscc%2Ffull-record%2FWOS:000748501500002","View Full Record in Web of Science")</f>
        <v>View Full Record in Web of Science</v>
      </c>
    </row>
    <row r="140" ht="12.75" customHeight="1">
      <c r="A140" s="1" t="s">
        <v>72</v>
      </c>
      <c r="B140" s="1" t="s">
        <v>1358</v>
      </c>
      <c r="C140" s="1" t="s">
        <v>74</v>
      </c>
      <c r="D140" s="1" t="s">
        <v>74</v>
      </c>
      <c r="E140" s="1" t="s">
        <v>74</v>
      </c>
      <c r="F140" s="1" t="s">
        <v>1359</v>
      </c>
      <c r="G140" s="1" t="s">
        <v>74</v>
      </c>
      <c r="H140" s="1" t="s">
        <v>74</v>
      </c>
      <c r="I140" s="1" t="s">
        <v>1360</v>
      </c>
      <c r="J140" s="1" t="s">
        <v>1361</v>
      </c>
      <c r="K140" s="1" t="s">
        <v>74</v>
      </c>
      <c r="L140" s="1" t="s">
        <v>74</v>
      </c>
      <c r="M140" s="1" t="s">
        <v>74</v>
      </c>
      <c r="N140" s="1" t="s">
        <v>74</v>
      </c>
      <c r="O140" s="1" t="s">
        <v>74</v>
      </c>
      <c r="P140" s="1" t="s">
        <v>74</v>
      </c>
      <c r="Q140" s="1" t="s">
        <v>74</v>
      </c>
      <c r="R140" s="1" t="s">
        <v>74</v>
      </c>
      <c r="S140" s="1" t="s">
        <v>74</v>
      </c>
      <c r="T140" s="1" t="s">
        <v>74</v>
      </c>
      <c r="U140" s="1" t="s">
        <v>74</v>
      </c>
      <c r="V140" s="1" t="s">
        <v>1362</v>
      </c>
      <c r="W140" s="1" t="s">
        <v>74</v>
      </c>
      <c r="X140" s="1" t="s">
        <v>74</v>
      </c>
      <c r="Y140" s="1" t="s">
        <v>74</v>
      </c>
      <c r="Z140" s="1" t="s">
        <v>74</v>
      </c>
      <c r="AA140" s="1" t="s">
        <v>1363</v>
      </c>
      <c r="AB140" s="1" t="s">
        <v>1364</v>
      </c>
      <c r="AC140" s="1" t="s">
        <v>74</v>
      </c>
      <c r="AD140" s="1" t="s">
        <v>74</v>
      </c>
      <c r="AE140" s="1" t="s">
        <v>74</v>
      </c>
      <c r="AF140" s="1" t="s">
        <v>74</v>
      </c>
      <c r="AG140" s="1" t="s">
        <v>74</v>
      </c>
      <c r="AH140" s="1" t="s">
        <v>74</v>
      </c>
      <c r="AI140" s="1" t="s">
        <v>74</v>
      </c>
      <c r="AJ140" s="1" t="s">
        <v>74</v>
      </c>
      <c r="AK140" s="1" t="s">
        <v>74</v>
      </c>
      <c r="AL140" s="1" t="s">
        <v>74</v>
      </c>
      <c r="AM140" s="1" t="s">
        <v>74</v>
      </c>
      <c r="AN140" s="1" t="s">
        <v>74</v>
      </c>
      <c r="AO140" s="1" t="s">
        <v>1365</v>
      </c>
      <c r="AP140" s="1" t="s">
        <v>1366</v>
      </c>
      <c r="AQ140" s="1" t="s">
        <v>74</v>
      </c>
      <c r="AR140" s="1" t="s">
        <v>74</v>
      </c>
      <c r="AS140" s="1" t="s">
        <v>74</v>
      </c>
      <c r="AT140" s="1" t="s">
        <v>1367</v>
      </c>
      <c r="AU140" s="1">
        <v>2021.0</v>
      </c>
      <c r="AV140" s="1">
        <v>411.0</v>
      </c>
      <c r="AW140" s="1" t="s">
        <v>74</v>
      </c>
      <c r="AX140" s="1" t="s">
        <v>74</v>
      </c>
      <c r="AY140" s="1" t="s">
        <v>74</v>
      </c>
      <c r="AZ140" s="1" t="s">
        <v>74</v>
      </c>
      <c r="BA140" s="1" t="s">
        <v>74</v>
      </c>
      <c r="BB140" s="1" t="s">
        <v>74</v>
      </c>
      <c r="BC140" s="1" t="s">
        <v>74</v>
      </c>
      <c r="BD140" s="1">
        <v>126472.0</v>
      </c>
      <c r="BE140" s="1" t="s">
        <v>1368</v>
      </c>
      <c r="BF140" s="2" t="str">
        <f>HYPERLINK("http://dx.doi.org/10.1016/j.amc.2021.126472","http://dx.doi.org/10.1016/j.amc.2021.126472")</f>
        <v>http://dx.doi.org/10.1016/j.amc.2021.126472</v>
      </c>
      <c r="BG140" s="1" t="s">
        <v>74</v>
      </c>
      <c r="BH140" s="1" t="s">
        <v>1369</v>
      </c>
      <c r="BI140" s="1" t="s">
        <v>74</v>
      </c>
      <c r="BJ140" s="1" t="s">
        <v>74</v>
      </c>
      <c r="BK140" s="1" t="s">
        <v>74</v>
      </c>
      <c r="BL140" s="1" t="s">
        <v>74</v>
      </c>
      <c r="BM140" s="1" t="s">
        <v>74</v>
      </c>
      <c r="BN140" s="1" t="s">
        <v>74</v>
      </c>
      <c r="BO140" s="1" t="s">
        <v>74</v>
      </c>
      <c r="BP140" s="1" t="s">
        <v>74</v>
      </c>
      <c r="BQ140" s="1" t="s">
        <v>74</v>
      </c>
      <c r="BR140" s="1" t="s">
        <v>74</v>
      </c>
      <c r="BS140" s="1" t="s">
        <v>1370</v>
      </c>
      <c r="BT140" s="1" t="str">
        <f>HYPERLINK("https%3A%2F%2Fwww.webofscience.com%2Fwos%2Fwoscc%2Ffull-record%2FWOS:000697153800008","View Full Record in Web of Science")</f>
        <v>View Full Record in Web of Science</v>
      </c>
    </row>
    <row r="141" ht="12.75" customHeight="1">
      <c r="A141" s="1" t="s">
        <v>72</v>
      </c>
      <c r="B141" s="1" t="s">
        <v>1371</v>
      </c>
      <c r="C141" s="1" t="s">
        <v>74</v>
      </c>
      <c r="D141" s="1" t="s">
        <v>74</v>
      </c>
      <c r="E141" s="1" t="s">
        <v>74</v>
      </c>
      <c r="F141" s="1" t="s">
        <v>1372</v>
      </c>
      <c r="G141" s="1" t="s">
        <v>74</v>
      </c>
      <c r="H141" s="1" t="s">
        <v>74</v>
      </c>
      <c r="I141" s="1" t="s">
        <v>1373</v>
      </c>
      <c r="J141" s="1" t="s">
        <v>1374</v>
      </c>
      <c r="K141" s="1" t="s">
        <v>74</v>
      </c>
      <c r="L141" s="1" t="s">
        <v>74</v>
      </c>
      <c r="M141" s="1" t="s">
        <v>74</v>
      </c>
      <c r="N141" s="1" t="s">
        <v>74</v>
      </c>
      <c r="O141" s="1" t="s">
        <v>74</v>
      </c>
      <c r="P141" s="1" t="s">
        <v>74</v>
      </c>
      <c r="Q141" s="1" t="s">
        <v>74</v>
      </c>
      <c r="R141" s="1" t="s">
        <v>74</v>
      </c>
      <c r="S141" s="1" t="s">
        <v>74</v>
      </c>
      <c r="T141" s="1" t="s">
        <v>74</v>
      </c>
      <c r="U141" s="1" t="s">
        <v>74</v>
      </c>
      <c r="V141" s="1" t="s">
        <v>1375</v>
      </c>
      <c r="W141" s="1" t="s">
        <v>74</v>
      </c>
      <c r="X141" s="1" t="s">
        <v>74</v>
      </c>
      <c r="Y141" s="1" t="s">
        <v>74</v>
      </c>
      <c r="Z141" s="1" t="s">
        <v>74</v>
      </c>
      <c r="AA141" s="1" t="s">
        <v>1376</v>
      </c>
      <c r="AB141" s="1" t="s">
        <v>1377</v>
      </c>
      <c r="AC141" s="1" t="s">
        <v>74</v>
      </c>
      <c r="AD141" s="1" t="s">
        <v>74</v>
      </c>
      <c r="AE141" s="1" t="s">
        <v>74</v>
      </c>
      <c r="AF141" s="1" t="s">
        <v>74</v>
      </c>
      <c r="AG141" s="1" t="s">
        <v>74</v>
      </c>
      <c r="AH141" s="1" t="s">
        <v>74</v>
      </c>
      <c r="AI141" s="1" t="s">
        <v>74</v>
      </c>
      <c r="AJ141" s="1" t="s">
        <v>74</v>
      </c>
      <c r="AK141" s="1" t="s">
        <v>74</v>
      </c>
      <c r="AL141" s="1" t="s">
        <v>74</v>
      </c>
      <c r="AM141" s="1" t="s">
        <v>74</v>
      </c>
      <c r="AN141" s="1" t="s">
        <v>74</v>
      </c>
      <c r="AO141" s="1" t="s">
        <v>74</v>
      </c>
      <c r="AP141" s="1" t="s">
        <v>1378</v>
      </c>
      <c r="AQ141" s="1" t="s">
        <v>74</v>
      </c>
      <c r="AR141" s="1" t="s">
        <v>74</v>
      </c>
      <c r="AS141" s="1" t="s">
        <v>74</v>
      </c>
      <c r="AT141" s="1" t="s">
        <v>148</v>
      </c>
      <c r="AU141" s="1">
        <v>2021.0</v>
      </c>
      <c r="AV141" s="1">
        <v>26.0</v>
      </c>
      <c r="AW141" s="1">
        <v>6.0</v>
      </c>
      <c r="AX141" s="1" t="s">
        <v>74</v>
      </c>
      <c r="AY141" s="1" t="s">
        <v>74</v>
      </c>
      <c r="AZ141" s="1" t="s">
        <v>74</v>
      </c>
      <c r="BA141" s="1" t="s">
        <v>74</v>
      </c>
      <c r="BB141" s="1" t="s">
        <v>74</v>
      </c>
      <c r="BC141" s="1" t="s">
        <v>74</v>
      </c>
      <c r="BD141" s="1">
        <v>1586.0</v>
      </c>
      <c r="BE141" s="1" t="s">
        <v>1379</v>
      </c>
      <c r="BF141" s="2" t="str">
        <f>HYPERLINK("http://dx.doi.org/10.3390/molecules26061586","http://dx.doi.org/10.3390/molecules26061586")</f>
        <v>http://dx.doi.org/10.3390/molecules26061586</v>
      </c>
      <c r="BG141" s="1" t="s">
        <v>74</v>
      </c>
      <c r="BH141" s="1" t="s">
        <v>74</v>
      </c>
      <c r="BI141" s="1" t="s">
        <v>74</v>
      </c>
      <c r="BJ141" s="1" t="s">
        <v>74</v>
      </c>
      <c r="BK141" s="1" t="s">
        <v>74</v>
      </c>
      <c r="BL141" s="1" t="s">
        <v>74</v>
      </c>
      <c r="BM141" s="1" t="s">
        <v>74</v>
      </c>
      <c r="BN141" s="1">
        <v>3.3805628E7</v>
      </c>
      <c r="BO141" s="1" t="s">
        <v>74</v>
      </c>
      <c r="BP141" s="1" t="s">
        <v>74</v>
      </c>
      <c r="BQ141" s="1" t="s">
        <v>74</v>
      </c>
      <c r="BR141" s="1" t="s">
        <v>74</v>
      </c>
      <c r="BS141" s="1" t="s">
        <v>1380</v>
      </c>
      <c r="BT141" s="1" t="str">
        <f>HYPERLINK("https%3A%2F%2Fwww.webofscience.com%2Fwos%2Fwoscc%2Ffull-record%2FWOS:000645387700001","View Full Record in Web of Science")</f>
        <v>View Full Record in Web of Science</v>
      </c>
    </row>
    <row r="142" ht="12.75" customHeight="1">
      <c r="A142" s="1" t="s">
        <v>72</v>
      </c>
      <c r="B142" s="1" t="s">
        <v>1381</v>
      </c>
      <c r="C142" s="1" t="s">
        <v>74</v>
      </c>
      <c r="D142" s="1" t="s">
        <v>74</v>
      </c>
      <c r="E142" s="1" t="s">
        <v>74</v>
      </c>
      <c r="F142" s="1" t="s">
        <v>1382</v>
      </c>
      <c r="G142" s="1" t="s">
        <v>74</v>
      </c>
      <c r="H142" s="1" t="s">
        <v>74</v>
      </c>
      <c r="I142" s="1" t="s">
        <v>1383</v>
      </c>
      <c r="J142" s="1" t="s">
        <v>400</v>
      </c>
      <c r="K142" s="1" t="s">
        <v>74</v>
      </c>
      <c r="L142" s="1" t="s">
        <v>74</v>
      </c>
      <c r="M142" s="1" t="s">
        <v>74</v>
      </c>
      <c r="N142" s="1" t="s">
        <v>74</v>
      </c>
      <c r="O142" s="1" t="s">
        <v>74</v>
      </c>
      <c r="P142" s="1" t="s">
        <v>74</v>
      </c>
      <c r="Q142" s="1" t="s">
        <v>74</v>
      </c>
      <c r="R142" s="1" t="s">
        <v>74</v>
      </c>
      <c r="S142" s="1" t="s">
        <v>74</v>
      </c>
      <c r="T142" s="1" t="s">
        <v>74</v>
      </c>
      <c r="U142" s="1" t="s">
        <v>74</v>
      </c>
      <c r="V142" s="1" t="s">
        <v>1384</v>
      </c>
      <c r="W142" s="1" t="s">
        <v>74</v>
      </c>
      <c r="X142" s="1" t="s">
        <v>74</v>
      </c>
      <c r="Y142" s="1" t="s">
        <v>74</v>
      </c>
      <c r="Z142" s="1" t="s">
        <v>74</v>
      </c>
      <c r="AA142" s="1" t="s">
        <v>1385</v>
      </c>
      <c r="AB142" s="1" t="s">
        <v>1386</v>
      </c>
      <c r="AC142" s="1" t="s">
        <v>74</v>
      </c>
      <c r="AD142" s="1" t="s">
        <v>74</v>
      </c>
      <c r="AE142" s="1" t="s">
        <v>74</v>
      </c>
      <c r="AF142" s="1" t="s">
        <v>74</v>
      </c>
      <c r="AG142" s="1" t="s">
        <v>74</v>
      </c>
      <c r="AH142" s="1" t="s">
        <v>74</v>
      </c>
      <c r="AI142" s="1" t="s">
        <v>74</v>
      </c>
      <c r="AJ142" s="1" t="s">
        <v>74</v>
      </c>
      <c r="AK142" s="1" t="s">
        <v>74</v>
      </c>
      <c r="AL142" s="1" t="s">
        <v>74</v>
      </c>
      <c r="AM142" s="1" t="s">
        <v>74</v>
      </c>
      <c r="AN142" s="1" t="s">
        <v>74</v>
      </c>
      <c r="AO142" s="1" t="s">
        <v>403</v>
      </c>
      <c r="AP142" s="1" t="s">
        <v>404</v>
      </c>
      <c r="AQ142" s="1" t="s">
        <v>74</v>
      </c>
      <c r="AR142" s="1" t="s">
        <v>74</v>
      </c>
      <c r="AS142" s="1" t="s">
        <v>74</v>
      </c>
      <c r="AT142" s="1" t="s">
        <v>1387</v>
      </c>
      <c r="AU142" s="1">
        <v>2021.0</v>
      </c>
      <c r="AV142" s="1">
        <v>36.0</v>
      </c>
      <c r="AW142" s="1">
        <v>6.0</v>
      </c>
      <c r="AX142" s="1" t="s">
        <v>74</v>
      </c>
      <c r="AY142" s="1" t="s">
        <v>74</v>
      </c>
      <c r="AZ142" s="1" t="s">
        <v>74</v>
      </c>
      <c r="BA142" s="1" t="s">
        <v>74</v>
      </c>
      <c r="BB142" s="1" t="s">
        <v>74</v>
      </c>
      <c r="BC142" s="1" t="s">
        <v>74</v>
      </c>
      <c r="BD142" s="1">
        <v>2150032.0</v>
      </c>
      <c r="BE142" s="1" t="s">
        <v>1388</v>
      </c>
      <c r="BF142" s="2" t="str">
        <f>HYPERLINK("http://dx.doi.org/10.1142/S0217732321500322","http://dx.doi.org/10.1142/S0217732321500322")</f>
        <v>http://dx.doi.org/10.1142/S0217732321500322</v>
      </c>
      <c r="BG142" s="1" t="s">
        <v>74</v>
      </c>
      <c r="BH142" s="1" t="s">
        <v>74</v>
      </c>
      <c r="BI142" s="1" t="s">
        <v>74</v>
      </c>
      <c r="BJ142" s="1" t="s">
        <v>74</v>
      </c>
      <c r="BK142" s="1" t="s">
        <v>74</v>
      </c>
      <c r="BL142" s="1" t="s">
        <v>74</v>
      </c>
      <c r="BM142" s="1" t="s">
        <v>74</v>
      </c>
      <c r="BN142" s="1" t="s">
        <v>74</v>
      </c>
      <c r="BO142" s="1" t="s">
        <v>74</v>
      </c>
      <c r="BP142" s="1" t="s">
        <v>74</v>
      </c>
      <c r="BQ142" s="1" t="s">
        <v>74</v>
      </c>
      <c r="BR142" s="1" t="s">
        <v>74</v>
      </c>
      <c r="BS142" s="1" t="s">
        <v>1389</v>
      </c>
      <c r="BT142" s="1" t="str">
        <f>HYPERLINK("https%3A%2F%2Fwww.webofscience.com%2Fwos%2Fwoscc%2Ffull-record%2FWOS:000625176900006","View Full Record in Web of Science")</f>
        <v>View Full Record in Web of Science</v>
      </c>
    </row>
    <row r="143" ht="12.75" customHeight="1">
      <c r="A143" s="1" t="s">
        <v>72</v>
      </c>
      <c r="B143" s="1" t="s">
        <v>1390</v>
      </c>
      <c r="C143" s="1" t="s">
        <v>74</v>
      </c>
      <c r="D143" s="1" t="s">
        <v>74</v>
      </c>
      <c r="E143" s="1" t="s">
        <v>74</v>
      </c>
      <c r="F143" s="1" t="s">
        <v>1391</v>
      </c>
      <c r="G143" s="1" t="s">
        <v>74</v>
      </c>
      <c r="H143" s="1" t="s">
        <v>74</v>
      </c>
      <c r="I143" s="1" t="s">
        <v>1392</v>
      </c>
      <c r="J143" s="1" t="s">
        <v>1393</v>
      </c>
      <c r="K143" s="1" t="s">
        <v>74</v>
      </c>
      <c r="L143" s="1" t="s">
        <v>74</v>
      </c>
      <c r="M143" s="1" t="s">
        <v>74</v>
      </c>
      <c r="N143" s="1" t="s">
        <v>74</v>
      </c>
      <c r="O143" s="1" t="s">
        <v>74</v>
      </c>
      <c r="P143" s="1" t="s">
        <v>74</v>
      </c>
      <c r="Q143" s="1" t="s">
        <v>74</v>
      </c>
      <c r="R143" s="1" t="s">
        <v>74</v>
      </c>
      <c r="S143" s="1" t="s">
        <v>74</v>
      </c>
      <c r="T143" s="1" t="s">
        <v>74</v>
      </c>
      <c r="U143" s="1" t="s">
        <v>74</v>
      </c>
      <c r="V143" s="1" t="s">
        <v>1394</v>
      </c>
      <c r="W143" s="1" t="s">
        <v>74</v>
      </c>
      <c r="X143" s="1" t="s">
        <v>74</v>
      </c>
      <c r="Y143" s="1" t="s">
        <v>74</v>
      </c>
      <c r="Z143" s="1" t="s">
        <v>74</v>
      </c>
      <c r="AA143" s="1" t="s">
        <v>1395</v>
      </c>
      <c r="AB143" s="1" t="s">
        <v>1396</v>
      </c>
      <c r="AC143" s="1" t="s">
        <v>74</v>
      </c>
      <c r="AD143" s="1" t="s">
        <v>74</v>
      </c>
      <c r="AE143" s="1" t="s">
        <v>74</v>
      </c>
      <c r="AF143" s="1" t="s">
        <v>74</v>
      </c>
      <c r="AG143" s="1" t="s">
        <v>74</v>
      </c>
      <c r="AH143" s="1" t="s">
        <v>74</v>
      </c>
      <c r="AI143" s="1" t="s">
        <v>74</v>
      </c>
      <c r="AJ143" s="1" t="s">
        <v>74</v>
      </c>
      <c r="AK143" s="1" t="s">
        <v>74</v>
      </c>
      <c r="AL143" s="1" t="s">
        <v>74</v>
      </c>
      <c r="AM143" s="1" t="s">
        <v>74</v>
      </c>
      <c r="AN143" s="1" t="s">
        <v>74</v>
      </c>
      <c r="AO143" s="1" t="s">
        <v>1397</v>
      </c>
      <c r="AP143" s="1" t="s">
        <v>74</v>
      </c>
      <c r="AQ143" s="1" t="s">
        <v>74</v>
      </c>
      <c r="AR143" s="1" t="s">
        <v>74</v>
      </c>
      <c r="AS143" s="1" t="s">
        <v>74</v>
      </c>
      <c r="AT143" s="1" t="s">
        <v>74</v>
      </c>
      <c r="AU143" s="1">
        <v>2021.0</v>
      </c>
      <c r="AV143" s="1" t="s">
        <v>74</v>
      </c>
      <c r="AW143" s="1" t="s">
        <v>74</v>
      </c>
      <c r="AX143" s="1" t="s">
        <v>74</v>
      </c>
      <c r="AY143" s="1" t="s">
        <v>74</v>
      </c>
      <c r="AZ143" s="1">
        <v>2.0</v>
      </c>
      <c r="BA143" s="1" t="s">
        <v>74</v>
      </c>
      <c r="BB143" s="1">
        <v>170.0</v>
      </c>
      <c r="BC143" s="1">
        <v>176.0</v>
      </c>
      <c r="BD143" s="1" t="s">
        <v>74</v>
      </c>
      <c r="BE143" s="1" t="s">
        <v>1398</v>
      </c>
      <c r="BF143" s="2" t="str">
        <f>HYPERLINK("http://dx.doi.org/10.13128/techne-10704","http://dx.doi.org/10.13128/techne-10704")</f>
        <v>http://dx.doi.org/10.13128/techne-10704</v>
      </c>
      <c r="BG143" s="1" t="s">
        <v>74</v>
      </c>
      <c r="BH143" s="1" t="s">
        <v>74</v>
      </c>
      <c r="BI143" s="1" t="s">
        <v>74</v>
      </c>
      <c r="BJ143" s="1" t="s">
        <v>74</v>
      </c>
      <c r="BK143" s="1" t="s">
        <v>74</v>
      </c>
      <c r="BL143" s="1" t="s">
        <v>74</v>
      </c>
      <c r="BM143" s="1" t="s">
        <v>74</v>
      </c>
      <c r="BN143" s="1" t="s">
        <v>74</v>
      </c>
      <c r="BO143" s="1" t="s">
        <v>74</v>
      </c>
      <c r="BP143" s="1" t="s">
        <v>74</v>
      </c>
      <c r="BQ143" s="1" t="s">
        <v>74</v>
      </c>
      <c r="BR143" s="1" t="s">
        <v>74</v>
      </c>
      <c r="BS143" s="1" t="s">
        <v>1399</v>
      </c>
      <c r="BT143" s="1" t="str">
        <f>HYPERLINK("https%3A%2F%2Fwww.webofscience.com%2Fwos%2Fwoscc%2Ffull-record%2FWOS:000632942300033","View Full Record in Web of Science")</f>
        <v>View Full Record in Web of Science</v>
      </c>
    </row>
    <row r="144" ht="12.75" customHeight="1">
      <c r="A144" s="1" t="s">
        <v>72</v>
      </c>
      <c r="B144" s="1" t="s">
        <v>1400</v>
      </c>
      <c r="C144" s="1" t="s">
        <v>74</v>
      </c>
      <c r="D144" s="1" t="s">
        <v>74</v>
      </c>
      <c r="E144" s="1" t="s">
        <v>74</v>
      </c>
      <c r="F144" s="1" t="s">
        <v>1401</v>
      </c>
      <c r="G144" s="1" t="s">
        <v>74</v>
      </c>
      <c r="H144" s="1" t="s">
        <v>74</v>
      </c>
      <c r="I144" s="1" t="s">
        <v>1402</v>
      </c>
      <c r="J144" s="1" t="s">
        <v>1403</v>
      </c>
      <c r="K144" s="1" t="s">
        <v>74</v>
      </c>
      <c r="L144" s="1" t="s">
        <v>74</v>
      </c>
      <c r="M144" s="1" t="s">
        <v>74</v>
      </c>
      <c r="N144" s="1" t="s">
        <v>74</v>
      </c>
      <c r="O144" s="1" t="s">
        <v>74</v>
      </c>
      <c r="P144" s="1" t="s">
        <v>74</v>
      </c>
      <c r="Q144" s="1" t="s">
        <v>74</v>
      </c>
      <c r="R144" s="1" t="s">
        <v>74</v>
      </c>
      <c r="S144" s="1" t="s">
        <v>74</v>
      </c>
      <c r="T144" s="1" t="s">
        <v>74</v>
      </c>
      <c r="U144" s="1" t="s">
        <v>74</v>
      </c>
      <c r="V144" s="1" t="s">
        <v>1404</v>
      </c>
      <c r="W144" s="1" t="s">
        <v>74</v>
      </c>
      <c r="X144" s="1" t="s">
        <v>74</v>
      </c>
      <c r="Y144" s="1" t="s">
        <v>74</v>
      </c>
      <c r="Z144" s="1" t="s">
        <v>74</v>
      </c>
      <c r="AA144" s="1" t="s">
        <v>1405</v>
      </c>
      <c r="AB144" s="1" t="s">
        <v>1406</v>
      </c>
      <c r="AC144" s="1" t="s">
        <v>74</v>
      </c>
      <c r="AD144" s="1" t="s">
        <v>74</v>
      </c>
      <c r="AE144" s="1" t="s">
        <v>74</v>
      </c>
      <c r="AF144" s="1" t="s">
        <v>74</v>
      </c>
      <c r="AG144" s="1" t="s">
        <v>74</v>
      </c>
      <c r="AH144" s="1" t="s">
        <v>74</v>
      </c>
      <c r="AI144" s="1" t="s">
        <v>74</v>
      </c>
      <c r="AJ144" s="1" t="s">
        <v>74</v>
      </c>
      <c r="AK144" s="1" t="s">
        <v>74</v>
      </c>
      <c r="AL144" s="1" t="s">
        <v>74</v>
      </c>
      <c r="AM144" s="1" t="s">
        <v>74</v>
      </c>
      <c r="AN144" s="1" t="s">
        <v>74</v>
      </c>
      <c r="AO144" s="1" t="s">
        <v>1407</v>
      </c>
      <c r="AP144" s="1" t="s">
        <v>1408</v>
      </c>
      <c r="AQ144" s="1" t="s">
        <v>74</v>
      </c>
      <c r="AR144" s="1" t="s">
        <v>74</v>
      </c>
      <c r="AS144" s="1" t="s">
        <v>74</v>
      </c>
      <c r="AT144" s="1" t="s">
        <v>347</v>
      </c>
      <c r="AU144" s="1">
        <v>2022.0</v>
      </c>
      <c r="AV144" s="1">
        <v>311.0</v>
      </c>
      <c r="AW144" s="1">
        <v>2.0</v>
      </c>
      <c r="AX144" s="1" t="s">
        <v>74</v>
      </c>
      <c r="AY144" s="1" t="s">
        <v>74</v>
      </c>
      <c r="AZ144" s="1" t="s">
        <v>564</v>
      </c>
      <c r="BA144" s="1" t="s">
        <v>74</v>
      </c>
      <c r="BB144" s="1">
        <v>731.0</v>
      </c>
      <c r="BC144" s="1">
        <v>747.0</v>
      </c>
      <c r="BD144" s="1" t="s">
        <v>74</v>
      </c>
      <c r="BE144" s="1" t="s">
        <v>1409</v>
      </c>
      <c r="BF144" s="2" t="str">
        <f>HYPERLINK("http://dx.doi.org/10.1007/s10479-020-03777-4","http://dx.doi.org/10.1007/s10479-020-03777-4")</f>
        <v>http://dx.doi.org/10.1007/s10479-020-03777-4</v>
      </c>
      <c r="BG144" s="1" t="s">
        <v>74</v>
      </c>
      <c r="BH144" s="1" t="s">
        <v>1410</v>
      </c>
      <c r="BI144" s="1" t="s">
        <v>74</v>
      </c>
      <c r="BJ144" s="1" t="s">
        <v>74</v>
      </c>
      <c r="BK144" s="1" t="s">
        <v>74</v>
      </c>
      <c r="BL144" s="1" t="s">
        <v>74</v>
      </c>
      <c r="BM144" s="1" t="s">
        <v>74</v>
      </c>
      <c r="BN144" s="1" t="s">
        <v>74</v>
      </c>
      <c r="BO144" s="1" t="s">
        <v>74</v>
      </c>
      <c r="BP144" s="1" t="s">
        <v>74</v>
      </c>
      <c r="BQ144" s="1" t="s">
        <v>74</v>
      </c>
      <c r="BR144" s="1" t="s">
        <v>74</v>
      </c>
      <c r="BS144" s="1" t="s">
        <v>1411</v>
      </c>
      <c r="BT144" s="1" t="str">
        <f>HYPERLINK("https%3A%2F%2Fwww.webofscience.com%2Fwos%2Fwoscc%2Ffull-record%2FWOS:000564505100001","View Full Record in Web of Science")</f>
        <v>View Full Record in Web of Science</v>
      </c>
    </row>
    <row r="145" ht="12.75" customHeight="1">
      <c r="A145" s="1" t="s">
        <v>72</v>
      </c>
      <c r="B145" s="1" t="s">
        <v>1412</v>
      </c>
      <c r="C145" s="1" t="s">
        <v>74</v>
      </c>
      <c r="D145" s="1" t="s">
        <v>74</v>
      </c>
      <c r="E145" s="1" t="s">
        <v>74</v>
      </c>
      <c r="F145" s="1" t="s">
        <v>1413</v>
      </c>
      <c r="G145" s="1" t="s">
        <v>74</v>
      </c>
      <c r="H145" s="1" t="s">
        <v>74</v>
      </c>
      <c r="I145" s="1" t="s">
        <v>1414</v>
      </c>
      <c r="J145" s="1" t="s">
        <v>1415</v>
      </c>
      <c r="K145" s="1" t="s">
        <v>74</v>
      </c>
      <c r="L145" s="1" t="s">
        <v>74</v>
      </c>
      <c r="M145" s="1" t="s">
        <v>74</v>
      </c>
      <c r="N145" s="1" t="s">
        <v>74</v>
      </c>
      <c r="O145" s="1" t="s">
        <v>74</v>
      </c>
      <c r="P145" s="1" t="s">
        <v>74</v>
      </c>
      <c r="Q145" s="1" t="s">
        <v>74</v>
      </c>
      <c r="R145" s="1" t="s">
        <v>74</v>
      </c>
      <c r="S145" s="1" t="s">
        <v>74</v>
      </c>
      <c r="T145" s="1" t="s">
        <v>74</v>
      </c>
      <c r="U145" s="1" t="s">
        <v>74</v>
      </c>
      <c r="V145" s="1" t="s">
        <v>1416</v>
      </c>
      <c r="W145" s="1" t="s">
        <v>74</v>
      </c>
      <c r="X145" s="1" t="s">
        <v>74</v>
      </c>
      <c r="Y145" s="1" t="s">
        <v>74</v>
      </c>
      <c r="Z145" s="1" t="s">
        <v>74</v>
      </c>
      <c r="AA145" s="1" t="s">
        <v>74</v>
      </c>
      <c r="AB145" s="1" t="s">
        <v>1417</v>
      </c>
      <c r="AC145" s="1" t="s">
        <v>74</v>
      </c>
      <c r="AD145" s="1" t="s">
        <v>74</v>
      </c>
      <c r="AE145" s="1" t="s">
        <v>74</v>
      </c>
      <c r="AF145" s="1" t="s">
        <v>74</v>
      </c>
      <c r="AG145" s="1" t="s">
        <v>74</v>
      </c>
      <c r="AH145" s="1" t="s">
        <v>74</v>
      </c>
      <c r="AI145" s="1" t="s">
        <v>74</v>
      </c>
      <c r="AJ145" s="1" t="s">
        <v>74</v>
      </c>
      <c r="AK145" s="1" t="s">
        <v>74</v>
      </c>
      <c r="AL145" s="1" t="s">
        <v>74</v>
      </c>
      <c r="AM145" s="1" t="s">
        <v>74</v>
      </c>
      <c r="AN145" s="1" t="s">
        <v>74</v>
      </c>
      <c r="AO145" s="1" t="s">
        <v>1418</v>
      </c>
      <c r="AP145" s="1" t="s">
        <v>74</v>
      </c>
      <c r="AQ145" s="1" t="s">
        <v>74</v>
      </c>
      <c r="AR145" s="1" t="s">
        <v>74</v>
      </c>
      <c r="AS145" s="1" t="s">
        <v>74</v>
      </c>
      <c r="AT145" s="1" t="s">
        <v>180</v>
      </c>
      <c r="AU145" s="1">
        <v>2020.0</v>
      </c>
      <c r="AV145" s="1">
        <v>42.0</v>
      </c>
      <c r="AW145" s="1" t="s">
        <v>74</v>
      </c>
      <c r="AX145" s="1" t="s">
        <v>74</v>
      </c>
      <c r="AY145" s="1" t="s">
        <v>74</v>
      </c>
      <c r="AZ145" s="1" t="s">
        <v>74</v>
      </c>
      <c r="BA145" s="1" t="s">
        <v>74</v>
      </c>
      <c r="BB145" s="1">
        <v>52.0</v>
      </c>
      <c r="BC145" s="1">
        <v>71.0</v>
      </c>
      <c r="BD145" s="1" t="s">
        <v>74</v>
      </c>
      <c r="BE145" s="1" t="s">
        <v>1419</v>
      </c>
      <c r="BF145" s="2" t="str">
        <f>HYPERLINK("http://dx.doi.org/10.5354/0717-5051.2020.54281","http://dx.doi.org/10.5354/0717-5051.2020.54281")</f>
        <v>http://dx.doi.org/10.5354/0717-5051.2020.54281</v>
      </c>
      <c r="BG145" s="1" t="s">
        <v>74</v>
      </c>
      <c r="BH145" s="1" t="s">
        <v>74</v>
      </c>
      <c r="BI145" s="1" t="s">
        <v>74</v>
      </c>
      <c r="BJ145" s="1" t="s">
        <v>74</v>
      </c>
      <c r="BK145" s="1" t="s">
        <v>74</v>
      </c>
      <c r="BL145" s="1" t="s">
        <v>74</v>
      </c>
      <c r="BM145" s="1" t="s">
        <v>74</v>
      </c>
      <c r="BN145" s="1" t="s">
        <v>74</v>
      </c>
      <c r="BO145" s="1" t="s">
        <v>74</v>
      </c>
      <c r="BP145" s="1" t="s">
        <v>74</v>
      </c>
      <c r="BQ145" s="1" t="s">
        <v>74</v>
      </c>
      <c r="BR145" s="1" t="s">
        <v>74</v>
      </c>
      <c r="BS145" s="1" t="s">
        <v>1420</v>
      </c>
      <c r="BT145" s="1" t="str">
        <f>HYPERLINK("https%3A%2F%2Fwww.webofscience.com%2Fwos%2Fwoscc%2Ffull-record%2FWOS:000546175900005","View Full Record in Web of Science")</f>
        <v>View Full Record in Web of Science</v>
      </c>
    </row>
    <row r="146" ht="12.75" customHeight="1">
      <c r="A146" s="1" t="s">
        <v>72</v>
      </c>
      <c r="B146" s="1" t="s">
        <v>1421</v>
      </c>
      <c r="C146" s="1" t="s">
        <v>74</v>
      </c>
      <c r="D146" s="1" t="s">
        <v>74</v>
      </c>
      <c r="E146" s="1" t="s">
        <v>74</v>
      </c>
      <c r="F146" s="1" t="s">
        <v>1422</v>
      </c>
      <c r="G146" s="1" t="s">
        <v>74</v>
      </c>
      <c r="H146" s="1" t="s">
        <v>74</v>
      </c>
      <c r="I146" s="1" t="s">
        <v>1423</v>
      </c>
      <c r="J146" s="1" t="s">
        <v>1424</v>
      </c>
      <c r="K146" s="1" t="s">
        <v>74</v>
      </c>
      <c r="L146" s="1" t="s">
        <v>74</v>
      </c>
      <c r="M146" s="1" t="s">
        <v>74</v>
      </c>
      <c r="N146" s="1" t="s">
        <v>74</v>
      </c>
      <c r="O146" s="1" t="s">
        <v>74</v>
      </c>
      <c r="P146" s="1" t="s">
        <v>74</v>
      </c>
      <c r="Q146" s="1" t="s">
        <v>74</v>
      </c>
      <c r="R146" s="1" t="s">
        <v>74</v>
      </c>
      <c r="S146" s="1" t="s">
        <v>74</v>
      </c>
      <c r="T146" s="1" t="s">
        <v>74</v>
      </c>
      <c r="U146" s="1" t="s">
        <v>74</v>
      </c>
      <c r="V146" s="1" t="s">
        <v>74</v>
      </c>
      <c r="W146" s="1" t="s">
        <v>74</v>
      </c>
      <c r="X146" s="1" t="s">
        <v>74</v>
      </c>
      <c r="Y146" s="1" t="s">
        <v>74</v>
      </c>
      <c r="Z146" s="1" t="s">
        <v>74</v>
      </c>
      <c r="AA146" s="1" t="s">
        <v>74</v>
      </c>
      <c r="AB146" s="1" t="s">
        <v>74</v>
      </c>
      <c r="AC146" s="1" t="s">
        <v>74</v>
      </c>
      <c r="AD146" s="1" t="s">
        <v>74</v>
      </c>
      <c r="AE146" s="1" t="s">
        <v>74</v>
      </c>
      <c r="AF146" s="1" t="s">
        <v>74</v>
      </c>
      <c r="AG146" s="1" t="s">
        <v>74</v>
      </c>
      <c r="AH146" s="1" t="s">
        <v>74</v>
      </c>
      <c r="AI146" s="1" t="s">
        <v>74</v>
      </c>
      <c r="AJ146" s="1" t="s">
        <v>74</v>
      </c>
      <c r="AK146" s="1" t="s">
        <v>74</v>
      </c>
      <c r="AL146" s="1" t="s">
        <v>74</v>
      </c>
      <c r="AM146" s="1" t="s">
        <v>74</v>
      </c>
      <c r="AN146" s="1" t="s">
        <v>74</v>
      </c>
      <c r="AO146" s="1" t="s">
        <v>1425</v>
      </c>
      <c r="AP146" s="1" t="s">
        <v>1426</v>
      </c>
      <c r="AQ146" s="1" t="s">
        <v>74</v>
      </c>
      <c r="AR146" s="1" t="s">
        <v>74</v>
      </c>
      <c r="AS146" s="1" t="s">
        <v>74</v>
      </c>
      <c r="AT146" s="1" t="s">
        <v>429</v>
      </c>
      <c r="AU146" s="1">
        <v>2020.0</v>
      </c>
      <c r="AV146" s="1">
        <v>49.0</v>
      </c>
      <c r="AW146" s="1">
        <v>1.0</v>
      </c>
      <c r="AX146" s="1" t="s">
        <v>74</v>
      </c>
      <c r="AY146" s="1" t="s">
        <v>74</v>
      </c>
      <c r="AZ146" s="1" t="s">
        <v>74</v>
      </c>
      <c r="BA146" s="1" t="s">
        <v>74</v>
      </c>
      <c r="BB146" s="1">
        <v>131.0</v>
      </c>
      <c r="BC146" s="1">
        <v>147.0</v>
      </c>
      <c r="BD146" s="1" t="s">
        <v>74</v>
      </c>
      <c r="BE146" s="1" t="s">
        <v>74</v>
      </c>
      <c r="BF146" s="1" t="s">
        <v>74</v>
      </c>
      <c r="BG146" s="1" t="s">
        <v>74</v>
      </c>
      <c r="BH146" s="1" t="s">
        <v>74</v>
      </c>
      <c r="BI146" s="1" t="s">
        <v>74</v>
      </c>
      <c r="BJ146" s="1" t="s">
        <v>74</v>
      </c>
      <c r="BK146" s="1" t="s">
        <v>74</v>
      </c>
      <c r="BL146" s="1" t="s">
        <v>74</v>
      </c>
      <c r="BM146" s="1" t="s">
        <v>74</v>
      </c>
      <c r="BN146" s="1" t="s">
        <v>74</v>
      </c>
      <c r="BO146" s="1" t="s">
        <v>74</v>
      </c>
      <c r="BP146" s="1" t="s">
        <v>74</v>
      </c>
      <c r="BQ146" s="1" t="s">
        <v>74</v>
      </c>
      <c r="BR146" s="1" t="s">
        <v>74</v>
      </c>
      <c r="BS146" s="1" t="s">
        <v>1427</v>
      </c>
      <c r="BT146" s="1" t="str">
        <f>HYPERLINK("https%3A%2F%2Fwww.webofscience.com%2Fwos%2Fwoscc%2Ffull-record%2FWOS:000574911500010","View Full Record in Web of Science")</f>
        <v>View Full Record in Web of Science</v>
      </c>
    </row>
    <row r="147" ht="12.75" customHeight="1">
      <c r="A147" s="1" t="s">
        <v>454</v>
      </c>
      <c r="B147" s="1" t="s">
        <v>1428</v>
      </c>
      <c r="C147" s="1" t="s">
        <v>74</v>
      </c>
      <c r="D147" s="1" t="s">
        <v>74</v>
      </c>
      <c r="E147" s="1" t="s">
        <v>1429</v>
      </c>
      <c r="F147" s="1" t="s">
        <v>1430</v>
      </c>
      <c r="G147" s="1" t="s">
        <v>74</v>
      </c>
      <c r="H147" s="1" t="s">
        <v>74</v>
      </c>
      <c r="I147" s="1" t="s">
        <v>1431</v>
      </c>
      <c r="J147" s="1" t="s">
        <v>1432</v>
      </c>
      <c r="K147" s="1" t="s">
        <v>74</v>
      </c>
      <c r="L147" s="1" t="s">
        <v>74</v>
      </c>
      <c r="M147" s="1" t="s">
        <v>74</v>
      </c>
      <c r="N147" s="1" t="s">
        <v>74</v>
      </c>
      <c r="O147" s="1" t="s">
        <v>74</v>
      </c>
      <c r="P147" s="1" t="s">
        <v>74</v>
      </c>
      <c r="Q147" s="1" t="s">
        <v>74</v>
      </c>
      <c r="R147" s="1" t="s">
        <v>74</v>
      </c>
      <c r="S147" s="1" t="s">
        <v>74</v>
      </c>
      <c r="T147" s="1" t="s">
        <v>74</v>
      </c>
      <c r="U147" s="1" t="s">
        <v>74</v>
      </c>
      <c r="V147" s="1" t="s">
        <v>1433</v>
      </c>
      <c r="W147" s="1" t="s">
        <v>74</v>
      </c>
      <c r="X147" s="1" t="s">
        <v>74</v>
      </c>
      <c r="Y147" s="1" t="s">
        <v>74</v>
      </c>
      <c r="Z147" s="1" t="s">
        <v>74</v>
      </c>
      <c r="AA147" s="1" t="s">
        <v>1434</v>
      </c>
      <c r="AB147" s="1" t="s">
        <v>74</v>
      </c>
      <c r="AC147" s="1" t="s">
        <v>74</v>
      </c>
      <c r="AD147" s="1" t="s">
        <v>74</v>
      </c>
      <c r="AE147" s="1" t="s">
        <v>74</v>
      </c>
      <c r="AF147" s="1" t="s">
        <v>74</v>
      </c>
      <c r="AG147" s="1" t="s">
        <v>74</v>
      </c>
      <c r="AH147" s="1" t="s">
        <v>74</v>
      </c>
      <c r="AI147" s="1" t="s">
        <v>74</v>
      </c>
      <c r="AJ147" s="1" t="s">
        <v>74</v>
      </c>
      <c r="AK147" s="1" t="s">
        <v>74</v>
      </c>
      <c r="AL147" s="1" t="s">
        <v>74</v>
      </c>
      <c r="AM147" s="1" t="s">
        <v>74</v>
      </c>
      <c r="AN147" s="1" t="s">
        <v>74</v>
      </c>
      <c r="AO147" s="1" t="s">
        <v>74</v>
      </c>
      <c r="AP147" s="1" t="s">
        <v>74</v>
      </c>
      <c r="AQ147" s="1" t="s">
        <v>1435</v>
      </c>
      <c r="AR147" s="1" t="s">
        <v>74</v>
      </c>
      <c r="AS147" s="1" t="s">
        <v>74</v>
      </c>
      <c r="AT147" s="1" t="s">
        <v>74</v>
      </c>
      <c r="AU147" s="1">
        <v>2019.0</v>
      </c>
      <c r="AV147" s="1" t="s">
        <v>74</v>
      </c>
      <c r="AW147" s="1" t="s">
        <v>74</v>
      </c>
      <c r="AX147" s="1" t="s">
        <v>74</v>
      </c>
      <c r="AY147" s="1" t="s">
        <v>74</v>
      </c>
      <c r="AZ147" s="1" t="s">
        <v>74</v>
      </c>
      <c r="BA147" s="1" t="s">
        <v>74</v>
      </c>
      <c r="BB147" s="1">
        <v>137.0</v>
      </c>
      <c r="BC147" s="1">
        <v>143.0</v>
      </c>
      <c r="BD147" s="1" t="s">
        <v>74</v>
      </c>
      <c r="BE147" s="1" t="s">
        <v>74</v>
      </c>
      <c r="BF147" s="1" t="s">
        <v>74</v>
      </c>
      <c r="BG147" s="1" t="s">
        <v>74</v>
      </c>
      <c r="BH147" s="1" t="s">
        <v>74</v>
      </c>
      <c r="BI147" s="1" t="s">
        <v>74</v>
      </c>
      <c r="BJ147" s="1" t="s">
        <v>74</v>
      </c>
      <c r="BK147" s="1" t="s">
        <v>74</v>
      </c>
      <c r="BL147" s="1" t="s">
        <v>74</v>
      </c>
      <c r="BM147" s="1" t="s">
        <v>74</v>
      </c>
      <c r="BN147" s="1" t="s">
        <v>74</v>
      </c>
      <c r="BO147" s="1" t="s">
        <v>74</v>
      </c>
      <c r="BP147" s="1" t="s">
        <v>74</v>
      </c>
      <c r="BQ147" s="1" t="s">
        <v>74</v>
      </c>
      <c r="BR147" s="1" t="s">
        <v>74</v>
      </c>
      <c r="BS147" s="1" t="s">
        <v>1436</v>
      </c>
      <c r="BT147" s="1" t="str">
        <f>HYPERLINK("https%3A%2F%2Fwww.webofscience.com%2Fwos%2Fwoscc%2Ffull-record%2FWOS:000886992800011","View Full Record in Web of Science")</f>
        <v>View Full Record in Web of Science</v>
      </c>
    </row>
    <row r="148" ht="12.75" customHeight="1">
      <c r="A148" s="1" t="s">
        <v>72</v>
      </c>
      <c r="B148" s="1" t="s">
        <v>1437</v>
      </c>
      <c r="C148" s="1" t="s">
        <v>74</v>
      </c>
      <c r="D148" s="1" t="s">
        <v>74</v>
      </c>
      <c r="E148" s="1" t="s">
        <v>74</v>
      </c>
      <c r="F148" s="1" t="s">
        <v>1438</v>
      </c>
      <c r="G148" s="1" t="s">
        <v>74</v>
      </c>
      <c r="H148" s="1" t="s">
        <v>74</v>
      </c>
      <c r="I148" s="1" t="s">
        <v>1439</v>
      </c>
      <c r="J148" s="1" t="s">
        <v>1440</v>
      </c>
      <c r="K148" s="1" t="s">
        <v>74</v>
      </c>
      <c r="L148" s="1" t="s">
        <v>74</v>
      </c>
      <c r="M148" s="1" t="s">
        <v>74</v>
      </c>
      <c r="N148" s="1" t="s">
        <v>74</v>
      </c>
      <c r="O148" s="1" t="s">
        <v>74</v>
      </c>
      <c r="P148" s="1" t="s">
        <v>74</v>
      </c>
      <c r="Q148" s="1" t="s">
        <v>74</v>
      </c>
      <c r="R148" s="1" t="s">
        <v>74</v>
      </c>
      <c r="S148" s="1" t="s">
        <v>74</v>
      </c>
      <c r="T148" s="1" t="s">
        <v>74</v>
      </c>
      <c r="U148" s="1" t="s">
        <v>74</v>
      </c>
      <c r="V148" s="1" t="s">
        <v>1441</v>
      </c>
      <c r="W148" s="1" t="s">
        <v>74</v>
      </c>
      <c r="X148" s="1" t="s">
        <v>74</v>
      </c>
      <c r="Y148" s="1" t="s">
        <v>74</v>
      </c>
      <c r="Z148" s="1" t="s">
        <v>74</v>
      </c>
      <c r="AA148" s="1" t="s">
        <v>74</v>
      </c>
      <c r="AB148" s="1" t="s">
        <v>1442</v>
      </c>
      <c r="AC148" s="1" t="s">
        <v>74</v>
      </c>
      <c r="AD148" s="1" t="s">
        <v>74</v>
      </c>
      <c r="AE148" s="1" t="s">
        <v>74</v>
      </c>
      <c r="AF148" s="1" t="s">
        <v>74</v>
      </c>
      <c r="AG148" s="1" t="s">
        <v>74</v>
      </c>
      <c r="AH148" s="1" t="s">
        <v>74</v>
      </c>
      <c r="AI148" s="1" t="s">
        <v>74</v>
      </c>
      <c r="AJ148" s="1" t="s">
        <v>74</v>
      </c>
      <c r="AK148" s="1" t="s">
        <v>74</v>
      </c>
      <c r="AL148" s="1" t="s">
        <v>74</v>
      </c>
      <c r="AM148" s="1" t="s">
        <v>74</v>
      </c>
      <c r="AN148" s="1" t="s">
        <v>74</v>
      </c>
      <c r="AO148" s="1" t="s">
        <v>1443</v>
      </c>
      <c r="AP148" s="1" t="s">
        <v>74</v>
      </c>
      <c r="AQ148" s="1" t="s">
        <v>74</v>
      </c>
      <c r="AR148" s="1" t="s">
        <v>74</v>
      </c>
      <c r="AS148" s="1" t="s">
        <v>74</v>
      </c>
      <c r="AT148" s="1" t="s">
        <v>88</v>
      </c>
      <c r="AU148" s="1">
        <v>2018.0</v>
      </c>
      <c r="AV148" s="1">
        <v>17.0</v>
      </c>
      <c r="AW148" s="1">
        <v>3.0</v>
      </c>
      <c r="AX148" s="1" t="s">
        <v>74</v>
      </c>
      <c r="AY148" s="1" t="s">
        <v>74</v>
      </c>
      <c r="AZ148" s="1" t="s">
        <v>74</v>
      </c>
      <c r="BA148" s="1" t="s">
        <v>74</v>
      </c>
      <c r="BB148" s="1">
        <v>412.0</v>
      </c>
      <c r="BC148" s="1">
        <v>422.0</v>
      </c>
      <c r="BD148" s="1" t="s">
        <v>74</v>
      </c>
      <c r="BE148" s="1" t="s">
        <v>1444</v>
      </c>
      <c r="BF148" s="2" t="str">
        <f>HYPERLINK("http://dx.doi.org/10.7764/RDLC.17.3.412","http://dx.doi.org/10.7764/RDLC.17.3.412")</f>
        <v>http://dx.doi.org/10.7764/RDLC.17.3.412</v>
      </c>
      <c r="BG148" s="1" t="s">
        <v>74</v>
      </c>
      <c r="BH148" s="1" t="s">
        <v>74</v>
      </c>
      <c r="BI148" s="1" t="s">
        <v>74</v>
      </c>
      <c r="BJ148" s="1" t="s">
        <v>74</v>
      </c>
      <c r="BK148" s="1" t="s">
        <v>74</v>
      </c>
      <c r="BL148" s="1" t="s">
        <v>74</v>
      </c>
      <c r="BM148" s="1" t="s">
        <v>74</v>
      </c>
      <c r="BN148" s="1" t="s">
        <v>74</v>
      </c>
      <c r="BO148" s="1" t="s">
        <v>74</v>
      </c>
      <c r="BP148" s="1" t="s">
        <v>74</v>
      </c>
      <c r="BQ148" s="1" t="s">
        <v>74</v>
      </c>
      <c r="BR148" s="1" t="s">
        <v>74</v>
      </c>
      <c r="BS148" s="1" t="s">
        <v>1445</v>
      </c>
      <c r="BT148" s="1" t="str">
        <f>HYPERLINK("https%3A%2F%2Fwww.webofscience.com%2Fwos%2Fwoscc%2Ffull-record%2FWOS:000457475200006","View Full Record in Web of Science")</f>
        <v>View Full Record in Web of Science</v>
      </c>
    </row>
    <row r="149" ht="12.75" customHeight="1">
      <c r="A149" s="1" t="s">
        <v>72</v>
      </c>
      <c r="B149" s="1" t="s">
        <v>1446</v>
      </c>
      <c r="C149" s="1" t="s">
        <v>74</v>
      </c>
      <c r="D149" s="1" t="s">
        <v>74</v>
      </c>
      <c r="E149" s="1" t="s">
        <v>74</v>
      </c>
      <c r="F149" s="1" t="s">
        <v>1447</v>
      </c>
      <c r="G149" s="1" t="s">
        <v>74</v>
      </c>
      <c r="H149" s="1" t="s">
        <v>74</v>
      </c>
      <c r="I149" s="1" t="s">
        <v>1448</v>
      </c>
      <c r="J149" s="1" t="s">
        <v>1449</v>
      </c>
      <c r="K149" s="1" t="s">
        <v>74</v>
      </c>
      <c r="L149" s="1" t="s">
        <v>74</v>
      </c>
      <c r="M149" s="1" t="s">
        <v>74</v>
      </c>
      <c r="N149" s="1" t="s">
        <v>74</v>
      </c>
      <c r="O149" s="1" t="s">
        <v>74</v>
      </c>
      <c r="P149" s="1" t="s">
        <v>74</v>
      </c>
      <c r="Q149" s="1" t="s">
        <v>74</v>
      </c>
      <c r="R149" s="1" t="s">
        <v>74</v>
      </c>
      <c r="S149" s="1" t="s">
        <v>74</v>
      </c>
      <c r="T149" s="1" t="s">
        <v>74</v>
      </c>
      <c r="U149" s="1" t="s">
        <v>74</v>
      </c>
      <c r="V149" s="1" t="s">
        <v>74</v>
      </c>
      <c r="W149" s="1" t="s">
        <v>74</v>
      </c>
      <c r="X149" s="1" t="s">
        <v>74</v>
      </c>
      <c r="Y149" s="1" t="s">
        <v>74</v>
      </c>
      <c r="Z149" s="1" t="s">
        <v>74</v>
      </c>
      <c r="AA149" s="1" t="s">
        <v>1450</v>
      </c>
      <c r="AB149" s="1" t="s">
        <v>1451</v>
      </c>
      <c r="AC149" s="1" t="s">
        <v>74</v>
      </c>
      <c r="AD149" s="1" t="s">
        <v>74</v>
      </c>
      <c r="AE149" s="1" t="s">
        <v>74</v>
      </c>
      <c r="AF149" s="1" t="s">
        <v>74</v>
      </c>
      <c r="AG149" s="1" t="s">
        <v>74</v>
      </c>
      <c r="AH149" s="1" t="s">
        <v>74</v>
      </c>
      <c r="AI149" s="1" t="s">
        <v>74</v>
      </c>
      <c r="AJ149" s="1" t="s">
        <v>74</v>
      </c>
      <c r="AK149" s="1" t="s">
        <v>74</v>
      </c>
      <c r="AL149" s="1" t="s">
        <v>74</v>
      </c>
      <c r="AM149" s="1" t="s">
        <v>74</v>
      </c>
      <c r="AN149" s="1" t="s">
        <v>74</v>
      </c>
      <c r="AO149" s="1" t="s">
        <v>1452</v>
      </c>
      <c r="AP149" s="1" t="s">
        <v>1453</v>
      </c>
      <c r="AQ149" s="1" t="s">
        <v>74</v>
      </c>
      <c r="AR149" s="1" t="s">
        <v>74</v>
      </c>
      <c r="AS149" s="1" t="s">
        <v>74</v>
      </c>
      <c r="AT149" s="1" t="s">
        <v>161</v>
      </c>
      <c r="AU149" s="1">
        <v>2018.0</v>
      </c>
      <c r="AV149" s="1">
        <v>25.0</v>
      </c>
      <c r="AW149" s="1" t="s">
        <v>74</v>
      </c>
      <c r="AX149" s="1" t="s">
        <v>74</v>
      </c>
      <c r="AY149" s="1">
        <v>1.0</v>
      </c>
      <c r="AZ149" s="1" t="s">
        <v>74</v>
      </c>
      <c r="BA149" s="1" t="s">
        <v>1454</v>
      </c>
      <c r="BB149" s="1" t="s">
        <v>1455</v>
      </c>
      <c r="BC149" s="1" t="s">
        <v>1455</v>
      </c>
      <c r="BD149" s="1" t="s">
        <v>74</v>
      </c>
      <c r="BE149" s="1" t="s">
        <v>74</v>
      </c>
      <c r="BF149" s="1" t="s">
        <v>74</v>
      </c>
      <c r="BG149" s="1" t="s">
        <v>74</v>
      </c>
      <c r="BH149" s="1" t="s">
        <v>74</v>
      </c>
      <c r="BI149" s="1" t="s">
        <v>74</v>
      </c>
      <c r="BJ149" s="1" t="s">
        <v>74</v>
      </c>
      <c r="BK149" s="1" t="s">
        <v>74</v>
      </c>
      <c r="BL149" s="1" t="s">
        <v>74</v>
      </c>
      <c r="BM149" s="1" t="s">
        <v>74</v>
      </c>
      <c r="BN149" s="1" t="s">
        <v>74</v>
      </c>
      <c r="BO149" s="1" t="s">
        <v>74</v>
      </c>
      <c r="BP149" s="1" t="s">
        <v>74</v>
      </c>
      <c r="BQ149" s="1" t="s">
        <v>74</v>
      </c>
      <c r="BR149" s="1" t="s">
        <v>74</v>
      </c>
      <c r="BS149" s="1" t="s">
        <v>1456</v>
      </c>
      <c r="BT149" s="1" t="str">
        <f>HYPERLINK("https%3A%2F%2Fwww.webofscience.com%2Fwos%2Fwoscc%2Ffull-record%2FWOS:000446532700241","View Full Record in Web of Science")</f>
        <v>View Full Record in Web of Science</v>
      </c>
    </row>
    <row r="150" ht="12.75" customHeight="1">
      <c r="A150" s="1" t="s">
        <v>72</v>
      </c>
      <c r="B150" s="1" t="s">
        <v>1457</v>
      </c>
      <c r="C150" s="1" t="s">
        <v>74</v>
      </c>
      <c r="D150" s="1" t="s">
        <v>74</v>
      </c>
      <c r="E150" s="1" t="s">
        <v>74</v>
      </c>
      <c r="F150" s="1" t="s">
        <v>1458</v>
      </c>
      <c r="G150" s="1" t="s">
        <v>74</v>
      </c>
      <c r="H150" s="1" t="s">
        <v>74</v>
      </c>
      <c r="I150" s="1" t="s">
        <v>1459</v>
      </c>
      <c r="J150" s="1" t="s">
        <v>1460</v>
      </c>
      <c r="K150" s="1" t="s">
        <v>74</v>
      </c>
      <c r="L150" s="1" t="s">
        <v>74</v>
      </c>
      <c r="M150" s="1" t="s">
        <v>74</v>
      </c>
      <c r="N150" s="1" t="s">
        <v>74</v>
      </c>
      <c r="O150" s="1" t="s">
        <v>74</v>
      </c>
      <c r="P150" s="1" t="s">
        <v>74</v>
      </c>
      <c r="Q150" s="1" t="s">
        <v>74</v>
      </c>
      <c r="R150" s="1" t="s">
        <v>74</v>
      </c>
      <c r="S150" s="1" t="s">
        <v>74</v>
      </c>
      <c r="T150" s="1" t="s">
        <v>74</v>
      </c>
      <c r="U150" s="1" t="s">
        <v>74</v>
      </c>
      <c r="V150" s="1" t="s">
        <v>1461</v>
      </c>
      <c r="W150" s="1" t="s">
        <v>74</v>
      </c>
      <c r="X150" s="1" t="s">
        <v>74</v>
      </c>
      <c r="Y150" s="1" t="s">
        <v>74</v>
      </c>
      <c r="Z150" s="1" t="s">
        <v>74</v>
      </c>
      <c r="AA150" s="1" t="s">
        <v>1462</v>
      </c>
      <c r="AB150" s="1" t="s">
        <v>1463</v>
      </c>
      <c r="AC150" s="1" t="s">
        <v>74</v>
      </c>
      <c r="AD150" s="1" t="s">
        <v>74</v>
      </c>
      <c r="AE150" s="1" t="s">
        <v>74</v>
      </c>
      <c r="AF150" s="1" t="s">
        <v>74</v>
      </c>
      <c r="AG150" s="1" t="s">
        <v>74</v>
      </c>
      <c r="AH150" s="1" t="s">
        <v>74</v>
      </c>
      <c r="AI150" s="1" t="s">
        <v>74</v>
      </c>
      <c r="AJ150" s="1" t="s">
        <v>74</v>
      </c>
      <c r="AK150" s="1" t="s">
        <v>74</v>
      </c>
      <c r="AL150" s="1" t="s">
        <v>74</v>
      </c>
      <c r="AM150" s="1" t="s">
        <v>74</v>
      </c>
      <c r="AN150" s="1" t="s">
        <v>74</v>
      </c>
      <c r="AO150" s="1" t="s">
        <v>1464</v>
      </c>
      <c r="AP150" s="1" t="s">
        <v>74</v>
      </c>
      <c r="AQ150" s="1" t="s">
        <v>74</v>
      </c>
      <c r="AR150" s="1" t="s">
        <v>74</v>
      </c>
      <c r="AS150" s="1" t="s">
        <v>74</v>
      </c>
      <c r="AT150" s="1" t="s">
        <v>74</v>
      </c>
      <c r="AU150" s="1">
        <v>2018.0</v>
      </c>
      <c r="AV150" s="1">
        <v>23.0</v>
      </c>
      <c r="AW150" s="1">
        <v>2.0</v>
      </c>
      <c r="AX150" s="1" t="s">
        <v>74</v>
      </c>
      <c r="AY150" s="1" t="s">
        <v>74</v>
      </c>
      <c r="AZ150" s="1" t="s">
        <v>74</v>
      </c>
      <c r="BA150" s="1" t="s">
        <v>74</v>
      </c>
      <c r="BB150" s="1" t="s">
        <v>74</v>
      </c>
      <c r="BC150" s="1" t="s">
        <v>74</v>
      </c>
      <c r="BD150" s="1" t="s">
        <v>1465</v>
      </c>
      <c r="BE150" s="1" t="s">
        <v>1466</v>
      </c>
      <c r="BF150" s="2" t="str">
        <f>HYPERLINK("http://dx.doi.org/10.1590/S1517-707620180002.0382","http://dx.doi.org/10.1590/S1517-707620180002.0382")</f>
        <v>http://dx.doi.org/10.1590/S1517-707620180002.0382</v>
      </c>
      <c r="BG150" s="1" t="s">
        <v>74</v>
      </c>
      <c r="BH150" s="1" t="s">
        <v>74</v>
      </c>
      <c r="BI150" s="1" t="s">
        <v>74</v>
      </c>
      <c r="BJ150" s="1" t="s">
        <v>74</v>
      </c>
      <c r="BK150" s="1" t="s">
        <v>74</v>
      </c>
      <c r="BL150" s="1" t="s">
        <v>74</v>
      </c>
      <c r="BM150" s="1" t="s">
        <v>74</v>
      </c>
      <c r="BN150" s="1" t="s">
        <v>74</v>
      </c>
      <c r="BO150" s="1" t="s">
        <v>74</v>
      </c>
      <c r="BP150" s="1" t="s">
        <v>74</v>
      </c>
      <c r="BQ150" s="1" t="s">
        <v>74</v>
      </c>
      <c r="BR150" s="1" t="s">
        <v>74</v>
      </c>
      <c r="BS150" s="1" t="s">
        <v>1467</v>
      </c>
      <c r="BT150" s="1" t="str">
        <f>HYPERLINK("https%3A%2F%2Fwww.webofscience.com%2Fwos%2Fwoscc%2Ffull-record%2FWOS:000439159500056","View Full Record in Web of Science")</f>
        <v>View Full Record in Web of Science</v>
      </c>
    </row>
    <row r="151" ht="12.75" customHeight="1">
      <c r="A151" s="1" t="s">
        <v>454</v>
      </c>
      <c r="B151" s="1" t="s">
        <v>1468</v>
      </c>
      <c r="C151" s="1" t="s">
        <v>74</v>
      </c>
      <c r="D151" s="1" t="s">
        <v>74</v>
      </c>
      <c r="E151" s="1" t="s">
        <v>601</v>
      </c>
      <c r="F151" s="1" t="s">
        <v>1469</v>
      </c>
      <c r="G151" s="1" t="s">
        <v>74</v>
      </c>
      <c r="H151" s="1" t="s">
        <v>74</v>
      </c>
      <c r="I151" s="1" t="s">
        <v>1470</v>
      </c>
      <c r="J151" s="1" t="s">
        <v>604</v>
      </c>
      <c r="K151" s="1" t="s">
        <v>74</v>
      </c>
      <c r="L151" s="1" t="s">
        <v>74</v>
      </c>
      <c r="M151" s="1" t="s">
        <v>74</v>
      </c>
      <c r="N151" s="1" t="s">
        <v>74</v>
      </c>
      <c r="O151" s="1" t="s">
        <v>74</v>
      </c>
      <c r="P151" s="1" t="s">
        <v>74</v>
      </c>
      <c r="Q151" s="1" t="s">
        <v>74</v>
      </c>
      <c r="R151" s="1" t="s">
        <v>74</v>
      </c>
      <c r="S151" s="1" t="s">
        <v>74</v>
      </c>
      <c r="T151" s="1" t="s">
        <v>74</v>
      </c>
      <c r="U151" s="1" t="s">
        <v>74</v>
      </c>
      <c r="V151" s="1" t="s">
        <v>1471</v>
      </c>
      <c r="W151" s="1" t="s">
        <v>74</v>
      </c>
      <c r="X151" s="1" t="s">
        <v>74</v>
      </c>
      <c r="Y151" s="1" t="s">
        <v>74</v>
      </c>
      <c r="Z151" s="1" t="s">
        <v>74</v>
      </c>
      <c r="AA151" s="1" t="s">
        <v>1472</v>
      </c>
      <c r="AB151" s="1" t="s">
        <v>74</v>
      </c>
      <c r="AC151" s="1" t="s">
        <v>74</v>
      </c>
      <c r="AD151" s="1" t="s">
        <v>74</v>
      </c>
      <c r="AE151" s="1" t="s">
        <v>74</v>
      </c>
      <c r="AF151" s="1" t="s">
        <v>74</v>
      </c>
      <c r="AG151" s="1" t="s">
        <v>74</v>
      </c>
      <c r="AH151" s="1" t="s">
        <v>74</v>
      </c>
      <c r="AI151" s="1" t="s">
        <v>74</v>
      </c>
      <c r="AJ151" s="1" t="s">
        <v>74</v>
      </c>
      <c r="AK151" s="1" t="s">
        <v>74</v>
      </c>
      <c r="AL151" s="1" t="s">
        <v>74</v>
      </c>
      <c r="AM151" s="1" t="s">
        <v>74</v>
      </c>
      <c r="AN151" s="1" t="s">
        <v>74</v>
      </c>
      <c r="AO151" s="1" t="s">
        <v>74</v>
      </c>
      <c r="AP151" s="1" t="s">
        <v>74</v>
      </c>
      <c r="AQ151" s="1" t="s">
        <v>607</v>
      </c>
      <c r="AR151" s="1" t="s">
        <v>74</v>
      </c>
      <c r="AS151" s="1" t="s">
        <v>74</v>
      </c>
      <c r="AT151" s="1" t="s">
        <v>74</v>
      </c>
      <c r="AU151" s="1">
        <v>2018.0</v>
      </c>
      <c r="AV151" s="1" t="s">
        <v>74</v>
      </c>
      <c r="AW151" s="1" t="s">
        <v>74</v>
      </c>
      <c r="AX151" s="1" t="s">
        <v>74</v>
      </c>
      <c r="AY151" s="1" t="s">
        <v>74</v>
      </c>
      <c r="AZ151" s="1" t="s">
        <v>74</v>
      </c>
      <c r="BA151" s="1" t="s">
        <v>74</v>
      </c>
      <c r="BB151" s="1">
        <v>49.0</v>
      </c>
      <c r="BC151" s="1">
        <v>62.0</v>
      </c>
      <c r="BD151" s="1" t="s">
        <v>74</v>
      </c>
      <c r="BE151" s="1" t="s">
        <v>74</v>
      </c>
      <c r="BF151" s="1" t="s">
        <v>74</v>
      </c>
      <c r="BG151" s="1" t="s">
        <v>74</v>
      </c>
      <c r="BH151" s="1" t="s">
        <v>74</v>
      </c>
      <c r="BI151" s="1" t="s">
        <v>74</v>
      </c>
      <c r="BJ151" s="1" t="s">
        <v>74</v>
      </c>
      <c r="BK151" s="1" t="s">
        <v>74</v>
      </c>
      <c r="BL151" s="1" t="s">
        <v>74</v>
      </c>
      <c r="BM151" s="1" t="s">
        <v>74</v>
      </c>
      <c r="BN151" s="1" t="s">
        <v>74</v>
      </c>
      <c r="BO151" s="1" t="s">
        <v>74</v>
      </c>
      <c r="BP151" s="1" t="s">
        <v>74</v>
      </c>
      <c r="BQ151" s="1" t="s">
        <v>74</v>
      </c>
      <c r="BR151" s="1" t="s">
        <v>74</v>
      </c>
      <c r="BS151" s="1" t="s">
        <v>1473</v>
      </c>
      <c r="BT151" s="1" t="str">
        <f>HYPERLINK("https%3A%2F%2Fwww.webofscience.com%2Fwos%2Fwoscc%2Ffull-record%2FWOS:000480327100004","View Full Record in Web of Science")</f>
        <v>View Full Record in Web of Science</v>
      </c>
    </row>
    <row r="152" ht="12.75" customHeight="1">
      <c r="A152" s="1" t="s">
        <v>454</v>
      </c>
      <c r="B152" s="1" t="s">
        <v>1474</v>
      </c>
      <c r="C152" s="1" t="s">
        <v>74</v>
      </c>
      <c r="D152" s="1" t="s">
        <v>74</v>
      </c>
      <c r="E152" s="1" t="s">
        <v>601</v>
      </c>
      <c r="F152" s="1" t="s">
        <v>1475</v>
      </c>
      <c r="G152" s="1" t="s">
        <v>74</v>
      </c>
      <c r="H152" s="1" t="s">
        <v>74</v>
      </c>
      <c r="I152" s="1" t="s">
        <v>1476</v>
      </c>
      <c r="J152" s="1" t="s">
        <v>604</v>
      </c>
      <c r="K152" s="1" t="s">
        <v>74</v>
      </c>
      <c r="L152" s="1" t="s">
        <v>74</v>
      </c>
      <c r="M152" s="1" t="s">
        <v>74</v>
      </c>
      <c r="N152" s="1" t="s">
        <v>74</v>
      </c>
      <c r="O152" s="1" t="s">
        <v>74</v>
      </c>
      <c r="P152" s="1" t="s">
        <v>74</v>
      </c>
      <c r="Q152" s="1" t="s">
        <v>74</v>
      </c>
      <c r="R152" s="1" t="s">
        <v>74</v>
      </c>
      <c r="S152" s="1" t="s">
        <v>74</v>
      </c>
      <c r="T152" s="1" t="s">
        <v>74</v>
      </c>
      <c r="U152" s="1" t="s">
        <v>74</v>
      </c>
      <c r="V152" s="1" t="s">
        <v>1477</v>
      </c>
      <c r="W152" s="1" t="s">
        <v>74</v>
      </c>
      <c r="X152" s="1" t="s">
        <v>74</v>
      </c>
      <c r="Y152" s="1" t="s">
        <v>74</v>
      </c>
      <c r="Z152" s="1" t="s">
        <v>74</v>
      </c>
      <c r="AA152" s="1" t="s">
        <v>74</v>
      </c>
      <c r="AB152" s="1" t="s">
        <v>74</v>
      </c>
      <c r="AC152" s="1" t="s">
        <v>74</v>
      </c>
      <c r="AD152" s="1" t="s">
        <v>74</v>
      </c>
      <c r="AE152" s="1" t="s">
        <v>74</v>
      </c>
      <c r="AF152" s="1" t="s">
        <v>74</v>
      </c>
      <c r="AG152" s="1" t="s">
        <v>74</v>
      </c>
      <c r="AH152" s="1" t="s">
        <v>74</v>
      </c>
      <c r="AI152" s="1" t="s">
        <v>74</v>
      </c>
      <c r="AJ152" s="1" t="s">
        <v>74</v>
      </c>
      <c r="AK152" s="1" t="s">
        <v>74</v>
      </c>
      <c r="AL152" s="1" t="s">
        <v>74</v>
      </c>
      <c r="AM152" s="1" t="s">
        <v>74</v>
      </c>
      <c r="AN152" s="1" t="s">
        <v>74</v>
      </c>
      <c r="AO152" s="1" t="s">
        <v>74</v>
      </c>
      <c r="AP152" s="1" t="s">
        <v>74</v>
      </c>
      <c r="AQ152" s="1" t="s">
        <v>607</v>
      </c>
      <c r="AR152" s="1" t="s">
        <v>74</v>
      </c>
      <c r="AS152" s="1" t="s">
        <v>74</v>
      </c>
      <c r="AT152" s="1" t="s">
        <v>74</v>
      </c>
      <c r="AU152" s="1">
        <v>2018.0</v>
      </c>
      <c r="AV152" s="1" t="s">
        <v>74</v>
      </c>
      <c r="AW152" s="1" t="s">
        <v>74</v>
      </c>
      <c r="AX152" s="1" t="s">
        <v>74</v>
      </c>
      <c r="AY152" s="1" t="s">
        <v>74</v>
      </c>
      <c r="AZ152" s="1" t="s">
        <v>74</v>
      </c>
      <c r="BA152" s="1" t="s">
        <v>74</v>
      </c>
      <c r="BB152" s="1">
        <v>187.0</v>
      </c>
      <c r="BC152" s="1">
        <v>204.0</v>
      </c>
      <c r="BD152" s="1" t="s">
        <v>74</v>
      </c>
      <c r="BE152" s="1" t="s">
        <v>74</v>
      </c>
      <c r="BF152" s="1" t="s">
        <v>74</v>
      </c>
      <c r="BG152" s="1" t="s">
        <v>74</v>
      </c>
      <c r="BH152" s="1" t="s">
        <v>74</v>
      </c>
      <c r="BI152" s="1" t="s">
        <v>74</v>
      </c>
      <c r="BJ152" s="1" t="s">
        <v>74</v>
      </c>
      <c r="BK152" s="1" t="s">
        <v>74</v>
      </c>
      <c r="BL152" s="1" t="s">
        <v>74</v>
      </c>
      <c r="BM152" s="1" t="s">
        <v>74</v>
      </c>
      <c r="BN152" s="1" t="s">
        <v>74</v>
      </c>
      <c r="BO152" s="1" t="s">
        <v>74</v>
      </c>
      <c r="BP152" s="1" t="s">
        <v>74</v>
      </c>
      <c r="BQ152" s="1" t="s">
        <v>74</v>
      </c>
      <c r="BR152" s="1" t="s">
        <v>74</v>
      </c>
      <c r="BS152" s="1" t="s">
        <v>1478</v>
      </c>
      <c r="BT152" s="1" t="str">
        <f>HYPERLINK("https%3A%2F%2Fwww.webofscience.com%2Fwos%2Fwoscc%2Ffull-record%2FWOS:000480327100013","View Full Record in Web of Science")</f>
        <v>View Full Record in Web of Science</v>
      </c>
    </row>
    <row r="153" ht="12.75" customHeight="1">
      <c r="A153" s="1" t="s">
        <v>454</v>
      </c>
      <c r="B153" s="1" t="s">
        <v>1479</v>
      </c>
      <c r="C153" s="1" t="s">
        <v>1480</v>
      </c>
      <c r="D153" s="1" t="s">
        <v>74</v>
      </c>
      <c r="E153" s="1" t="s">
        <v>74</v>
      </c>
      <c r="F153" s="1" t="s">
        <v>1481</v>
      </c>
      <c r="G153" s="1" t="s">
        <v>1480</v>
      </c>
      <c r="H153" s="1" t="s">
        <v>74</v>
      </c>
      <c r="I153" s="1" t="s">
        <v>1482</v>
      </c>
      <c r="J153" s="1" t="s">
        <v>1483</v>
      </c>
      <c r="K153" s="1" t="s">
        <v>74</v>
      </c>
      <c r="L153" s="1" t="s">
        <v>74</v>
      </c>
      <c r="M153" s="1" t="s">
        <v>74</v>
      </c>
      <c r="N153" s="1" t="s">
        <v>74</v>
      </c>
      <c r="O153" s="1" t="s">
        <v>74</v>
      </c>
      <c r="P153" s="1" t="s">
        <v>74</v>
      </c>
      <c r="Q153" s="1" t="s">
        <v>74</v>
      </c>
      <c r="R153" s="1" t="s">
        <v>74</v>
      </c>
      <c r="S153" s="1" t="s">
        <v>74</v>
      </c>
      <c r="T153" s="1" t="s">
        <v>74</v>
      </c>
      <c r="U153" s="1" t="s">
        <v>74</v>
      </c>
      <c r="V153" s="1" t="s">
        <v>1484</v>
      </c>
      <c r="W153" s="1" t="s">
        <v>74</v>
      </c>
      <c r="X153" s="1" t="s">
        <v>74</v>
      </c>
      <c r="Y153" s="1" t="s">
        <v>74</v>
      </c>
      <c r="Z153" s="1" t="s">
        <v>74</v>
      </c>
      <c r="AA153" s="1" t="s">
        <v>74</v>
      </c>
      <c r="AB153" s="1" t="s">
        <v>74</v>
      </c>
      <c r="AC153" s="1" t="s">
        <v>74</v>
      </c>
      <c r="AD153" s="1" t="s">
        <v>74</v>
      </c>
      <c r="AE153" s="1" t="s">
        <v>74</v>
      </c>
      <c r="AF153" s="1" t="s">
        <v>74</v>
      </c>
      <c r="AG153" s="1" t="s">
        <v>74</v>
      </c>
      <c r="AH153" s="1" t="s">
        <v>74</v>
      </c>
      <c r="AI153" s="1" t="s">
        <v>74</v>
      </c>
      <c r="AJ153" s="1" t="s">
        <v>74</v>
      </c>
      <c r="AK153" s="1" t="s">
        <v>74</v>
      </c>
      <c r="AL153" s="1" t="s">
        <v>74</v>
      </c>
      <c r="AM153" s="1" t="s">
        <v>74</v>
      </c>
      <c r="AN153" s="1" t="s">
        <v>74</v>
      </c>
      <c r="AO153" s="1" t="s">
        <v>74</v>
      </c>
      <c r="AP153" s="1" t="s">
        <v>74</v>
      </c>
      <c r="AQ153" s="1" t="s">
        <v>1485</v>
      </c>
      <c r="AR153" s="1" t="s">
        <v>74</v>
      </c>
      <c r="AS153" s="1" t="s">
        <v>74</v>
      </c>
      <c r="AT153" s="1" t="s">
        <v>74</v>
      </c>
      <c r="AU153" s="1">
        <v>2018.0</v>
      </c>
      <c r="AV153" s="1" t="s">
        <v>74</v>
      </c>
      <c r="AW153" s="1" t="s">
        <v>74</v>
      </c>
      <c r="AX153" s="1" t="s">
        <v>74</v>
      </c>
      <c r="AY153" s="1" t="s">
        <v>74</v>
      </c>
      <c r="AZ153" s="1" t="s">
        <v>74</v>
      </c>
      <c r="BA153" s="1" t="s">
        <v>74</v>
      </c>
      <c r="BB153" s="1">
        <v>140.0</v>
      </c>
      <c r="BC153" s="1">
        <v>152.0</v>
      </c>
      <c r="BD153" s="1" t="s">
        <v>74</v>
      </c>
      <c r="BE153" s="1" t="s">
        <v>74</v>
      </c>
      <c r="BF153" s="1" t="s">
        <v>74</v>
      </c>
      <c r="BG153" s="1" t="s">
        <v>74</v>
      </c>
      <c r="BH153" s="1" t="s">
        <v>74</v>
      </c>
      <c r="BI153" s="1" t="s">
        <v>74</v>
      </c>
      <c r="BJ153" s="1" t="s">
        <v>74</v>
      </c>
      <c r="BK153" s="1" t="s">
        <v>74</v>
      </c>
      <c r="BL153" s="1" t="s">
        <v>74</v>
      </c>
      <c r="BM153" s="1" t="s">
        <v>74</v>
      </c>
      <c r="BN153" s="1" t="s">
        <v>74</v>
      </c>
      <c r="BO153" s="1" t="s">
        <v>74</v>
      </c>
      <c r="BP153" s="1" t="s">
        <v>74</v>
      </c>
      <c r="BQ153" s="1" t="s">
        <v>74</v>
      </c>
      <c r="BR153" s="1" t="s">
        <v>74</v>
      </c>
      <c r="BS153" s="1" t="s">
        <v>1486</v>
      </c>
      <c r="BT153" s="1" t="str">
        <f>HYPERLINK("https%3A%2F%2Fwww.webofscience.com%2Fwos%2Fwoscc%2Ffull-record%2FWOS:000483366800011","View Full Record in Web of Science")</f>
        <v>View Full Record in Web of Science</v>
      </c>
    </row>
    <row r="154" ht="12.75" customHeight="1">
      <c r="A154" s="1" t="s">
        <v>72</v>
      </c>
      <c r="B154" s="1" t="s">
        <v>1487</v>
      </c>
      <c r="C154" s="1" t="s">
        <v>74</v>
      </c>
      <c r="D154" s="1" t="s">
        <v>74</v>
      </c>
      <c r="E154" s="1" t="s">
        <v>74</v>
      </c>
      <c r="F154" s="1" t="s">
        <v>1488</v>
      </c>
      <c r="G154" s="1" t="s">
        <v>74</v>
      </c>
      <c r="H154" s="1" t="s">
        <v>74</v>
      </c>
      <c r="I154" s="1" t="s">
        <v>1489</v>
      </c>
      <c r="J154" s="1" t="s">
        <v>1490</v>
      </c>
      <c r="K154" s="1" t="s">
        <v>74</v>
      </c>
      <c r="L154" s="1" t="s">
        <v>74</v>
      </c>
      <c r="M154" s="1" t="s">
        <v>74</v>
      </c>
      <c r="N154" s="1" t="s">
        <v>74</v>
      </c>
      <c r="O154" s="1" t="s">
        <v>74</v>
      </c>
      <c r="P154" s="1" t="s">
        <v>74</v>
      </c>
      <c r="Q154" s="1" t="s">
        <v>74</v>
      </c>
      <c r="R154" s="1" t="s">
        <v>74</v>
      </c>
      <c r="S154" s="1" t="s">
        <v>74</v>
      </c>
      <c r="T154" s="1" t="s">
        <v>74</v>
      </c>
      <c r="U154" s="1" t="s">
        <v>74</v>
      </c>
      <c r="V154" s="1" t="s">
        <v>74</v>
      </c>
      <c r="W154" s="1" t="s">
        <v>74</v>
      </c>
      <c r="X154" s="1" t="s">
        <v>74</v>
      </c>
      <c r="Y154" s="1" t="s">
        <v>74</v>
      </c>
      <c r="Z154" s="1" t="s">
        <v>74</v>
      </c>
      <c r="AA154" s="1" t="s">
        <v>74</v>
      </c>
      <c r="AB154" s="1" t="s">
        <v>74</v>
      </c>
      <c r="AC154" s="1" t="s">
        <v>74</v>
      </c>
      <c r="AD154" s="1" t="s">
        <v>74</v>
      </c>
      <c r="AE154" s="1" t="s">
        <v>74</v>
      </c>
      <c r="AF154" s="1" t="s">
        <v>74</v>
      </c>
      <c r="AG154" s="1" t="s">
        <v>74</v>
      </c>
      <c r="AH154" s="1" t="s">
        <v>74</v>
      </c>
      <c r="AI154" s="1" t="s">
        <v>74</v>
      </c>
      <c r="AJ154" s="1" t="s">
        <v>74</v>
      </c>
      <c r="AK154" s="1" t="s">
        <v>74</v>
      </c>
      <c r="AL154" s="1" t="s">
        <v>74</v>
      </c>
      <c r="AM154" s="1" t="s">
        <v>74</v>
      </c>
      <c r="AN154" s="1" t="s">
        <v>74</v>
      </c>
      <c r="AO154" s="1" t="s">
        <v>1491</v>
      </c>
      <c r="AP154" s="1" t="s">
        <v>1492</v>
      </c>
      <c r="AQ154" s="1" t="s">
        <v>74</v>
      </c>
      <c r="AR154" s="1" t="s">
        <v>74</v>
      </c>
      <c r="AS154" s="1" t="s">
        <v>74</v>
      </c>
      <c r="AT154" s="1" t="s">
        <v>1493</v>
      </c>
      <c r="AU154" s="1">
        <v>2018.0</v>
      </c>
      <c r="AV154" s="1">
        <v>72.0</v>
      </c>
      <c r="AW154" s="1">
        <v>229.0</v>
      </c>
      <c r="AX154" s="1" t="s">
        <v>74</v>
      </c>
      <c r="AY154" s="1" t="s">
        <v>74</v>
      </c>
      <c r="AZ154" s="1" t="s">
        <v>74</v>
      </c>
      <c r="BA154" s="1" t="s">
        <v>74</v>
      </c>
      <c r="BB154" s="1">
        <v>9.0</v>
      </c>
      <c r="BC154" s="1">
        <v>11.0</v>
      </c>
      <c r="BD154" s="1" t="s">
        <v>74</v>
      </c>
      <c r="BE154" s="1" t="s">
        <v>74</v>
      </c>
      <c r="BF154" s="1" t="s">
        <v>74</v>
      </c>
      <c r="BG154" s="1" t="s">
        <v>74</v>
      </c>
      <c r="BH154" s="1" t="s">
        <v>74</v>
      </c>
      <c r="BI154" s="1" t="s">
        <v>74</v>
      </c>
      <c r="BJ154" s="1" t="s">
        <v>74</v>
      </c>
      <c r="BK154" s="1" t="s">
        <v>74</v>
      </c>
      <c r="BL154" s="1" t="s">
        <v>74</v>
      </c>
      <c r="BM154" s="1" t="s">
        <v>74</v>
      </c>
      <c r="BN154" s="1" t="s">
        <v>74</v>
      </c>
      <c r="BO154" s="1" t="s">
        <v>74</v>
      </c>
      <c r="BP154" s="1" t="s">
        <v>74</v>
      </c>
      <c r="BQ154" s="1" t="s">
        <v>74</v>
      </c>
      <c r="BR154" s="1" t="s">
        <v>74</v>
      </c>
      <c r="BS154" s="1" t="s">
        <v>1494</v>
      </c>
      <c r="BT154" s="1" t="str">
        <f>HYPERLINK("https%3A%2F%2Fwww.webofscience.com%2Fwos%2Fwoscc%2Ffull-record%2FWOS:000439240300002","View Full Record in Web of Science")</f>
        <v>View Full Record in Web of Science</v>
      </c>
    </row>
    <row r="155" ht="12.75" customHeight="1">
      <c r="A155" s="1" t="s">
        <v>72</v>
      </c>
      <c r="B155" s="1" t="s">
        <v>1495</v>
      </c>
      <c r="C155" s="1" t="s">
        <v>74</v>
      </c>
      <c r="D155" s="1" t="s">
        <v>74</v>
      </c>
      <c r="E155" s="1" t="s">
        <v>74</v>
      </c>
      <c r="F155" s="1" t="s">
        <v>1496</v>
      </c>
      <c r="G155" s="1" t="s">
        <v>74</v>
      </c>
      <c r="H155" s="1" t="s">
        <v>74</v>
      </c>
      <c r="I155" s="1" t="s">
        <v>1497</v>
      </c>
      <c r="J155" s="1" t="s">
        <v>1498</v>
      </c>
      <c r="K155" s="1" t="s">
        <v>74</v>
      </c>
      <c r="L155" s="1" t="s">
        <v>74</v>
      </c>
      <c r="M155" s="1" t="s">
        <v>74</v>
      </c>
      <c r="N155" s="1" t="s">
        <v>74</v>
      </c>
      <c r="O155" s="1" t="s">
        <v>74</v>
      </c>
      <c r="P155" s="1" t="s">
        <v>74</v>
      </c>
      <c r="Q155" s="1" t="s">
        <v>74</v>
      </c>
      <c r="R155" s="1" t="s">
        <v>74</v>
      </c>
      <c r="S155" s="1" t="s">
        <v>74</v>
      </c>
      <c r="T155" s="1" t="s">
        <v>74</v>
      </c>
      <c r="U155" s="1" t="s">
        <v>74</v>
      </c>
      <c r="V155" s="1" t="s">
        <v>1499</v>
      </c>
      <c r="W155" s="1" t="s">
        <v>74</v>
      </c>
      <c r="X155" s="1" t="s">
        <v>74</v>
      </c>
      <c r="Y155" s="1" t="s">
        <v>74</v>
      </c>
      <c r="Z155" s="1" t="s">
        <v>74</v>
      </c>
      <c r="AA155" s="1" t="s">
        <v>74</v>
      </c>
      <c r="AB155" s="1" t="s">
        <v>74</v>
      </c>
      <c r="AC155" s="1" t="s">
        <v>74</v>
      </c>
      <c r="AD155" s="1" t="s">
        <v>74</v>
      </c>
      <c r="AE155" s="1" t="s">
        <v>74</v>
      </c>
      <c r="AF155" s="1" t="s">
        <v>74</v>
      </c>
      <c r="AG155" s="1" t="s">
        <v>74</v>
      </c>
      <c r="AH155" s="1" t="s">
        <v>74</v>
      </c>
      <c r="AI155" s="1" t="s">
        <v>74</v>
      </c>
      <c r="AJ155" s="1" t="s">
        <v>74</v>
      </c>
      <c r="AK155" s="1" t="s">
        <v>74</v>
      </c>
      <c r="AL155" s="1" t="s">
        <v>74</v>
      </c>
      <c r="AM155" s="1" t="s">
        <v>74</v>
      </c>
      <c r="AN155" s="1" t="s">
        <v>74</v>
      </c>
      <c r="AO155" s="1" t="s">
        <v>1500</v>
      </c>
      <c r="AP155" s="1" t="s">
        <v>1501</v>
      </c>
      <c r="AQ155" s="1" t="s">
        <v>74</v>
      </c>
      <c r="AR155" s="1" t="s">
        <v>74</v>
      </c>
      <c r="AS155" s="1" t="s">
        <v>74</v>
      </c>
      <c r="AT155" s="1" t="s">
        <v>74</v>
      </c>
      <c r="AU155" s="1">
        <v>2018.0</v>
      </c>
      <c r="AV155" s="1">
        <v>43.0</v>
      </c>
      <c r="AW155" s="1">
        <v>1.0</v>
      </c>
      <c r="AX155" s="1" t="s">
        <v>74</v>
      </c>
      <c r="AY155" s="1" t="s">
        <v>74</v>
      </c>
      <c r="AZ155" s="1" t="s">
        <v>74</v>
      </c>
      <c r="BA155" s="1" t="s">
        <v>74</v>
      </c>
      <c r="BB155" s="1">
        <v>419.0</v>
      </c>
      <c r="BC155" s="1">
        <v>424.0</v>
      </c>
      <c r="BD155" s="1" t="s">
        <v>74</v>
      </c>
      <c r="BE155" s="1" t="s">
        <v>1502</v>
      </c>
      <c r="BF155" s="2" t="str">
        <f>HYPERLINK("http://dx.doi.org/10.5186/aasfm.2018.4314","http://dx.doi.org/10.5186/aasfm.2018.4314")</f>
        <v>http://dx.doi.org/10.5186/aasfm.2018.4314</v>
      </c>
      <c r="BG155" s="1" t="s">
        <v>74</v>
      </c>
      <c r="BH155" s="1" t="s">
        <v>74</v>
      </c>
      <c r="BI155" s="1" t="s">
        <v>74</v>
      </c>
      <c r="BJ155" s="1" t="s">
        <v>74</v>
      </c>
      <c r="BK155" s="1" t="s">
        <v>74</v>
      </c>
      <c r="BL155" s="1" t="s">
        <v>74</v>
      </c>
      <c r="BM155" s="1" t="s">
        <v>74</v>
      </c>
      <c r="BN155" s="1" t="s">
        <v>74</v>
      </c>
      <c r="BO155" s="1" t="s">
        <v>74</v>
      </c>
      <c r="BP155" s="1" t="s">
        <v>74</v>
      </c>
      <c r="BQ155" s="1" t="s">
        <v>74</v>
      </c>
      <c r="BR155" s="1" t="s">
        <v>74</v>
      </c>
      <c r="BS155" s="1" t="s">
        <v>1503</v>
      </c>
      <c r="BT155" s="1" t="str">
        <f>HYPERLINK("https%3A%2F%2Fwww.webofscience.com%2Fwos%2Fwoscc%2Ffull-record%2FWOS:000429434500024","View Full Record in Web of Science")</f>
        <v>View Full Record in Web of Science</v>
      </c>
    </row>
    <row r="156" ht="12.75" customHeight="1">
      <c r="A156" s="1" t="s">
        <v>454</v>
      </c>
      <c r="B156" s="1" t="s">
        <v>1504</v>
      </c>
      <c r="C156" s="1" t="s">
        <v>74</v>
      </c>
      <c r="D156" s="1" t="s">
        <v>1505</v>
      </c>
      <c r="E156" s="1" t="s">
        <v>74</v>
      </c>
      <c r="F156" s="1" t="s">
        <v>1506</v>
      </c>
      <c r="G156" s="1" t="s">
        <v>74</v>
      </c>
      <c r="H156" s="1" t="s">
        <v>74</v>
      </c>
      <c r="I156" s="1" t="s">
        <v>1507</v>
      </c>
      <c r="J156" s="1" t="s">
        <v>1508</v>
      </c>
      <c r="K156" s="1" t="s">
        <v>74</v>
      </c>
      <c r="L156" s="1" t="s">
        <v>74</v>
      </c>
      <c r="M156" s="1" t="s">
        <v>74</v>
      </c>
      <c r="N156" s="1" t="s">
        <v>74</v>
      </c>
      <c r="O156" s="1" t="s">
        <v>74</v>
      </c>
      <c r="P156" s="1" t="s">
        <v>74</v>
      </c>
      <c r="Q156" s="1" t="s">
        <v>74</v>
      </c>
      <c r="R156" s="1" t="s">
        <v>74</v>
      </c>
      <c r="S156" s="1" t="s">
        <v>74</v>
      </c>
      <c r="T156" s="1" t="s">
        <v>74</v>
      </c>
      <c r="U156" s="1" t="s">
        <v>74</v>
      </c>
      <c r="V156" s="1" t="s">
        <v>74</v>
      </c>
      <c r="W156" s="1" t="s">
        <v>74</v>
      </c>
      <c r="X156" s="1" t="s">
        <v>74</v>
      </c>
      <c r="Y156" s="1" t="s">
        <v>74</v>
      </c>
      <c r="Z156" s="1" t="s">
        <v>74</v>
      </c>
      <c r="AA156" s="1" t="s">
        <v>74</v>
      </c>
      <c r="AB156" s="1" t="s">
        <v>74</v>
      </c>
      <c r="AC156" s="1" t="s">
        <v>74</v>
      </c>
      <c r="AD156" s="1" t="s">
        <v>74</v>
      </c>
      <c r="AE156" s="1" t="s">
        <v>74</v>
      </c>
      <c r="AF156" s="1" t="s">
        <v>74</v>
      </c>
      <c r="AG156" s="1" t="s">
        <v>74</v>
      </c>
      <c r="AH156" s="1" t="s">
        <v>74</v>
      </c>
      <c r="AI156" s="1" t="s">
        <v>74</v>
      </c>
      <c r="AJ156" s="1" t="s">
        <v>74</v>
      </c>
      <c r="AK156" s="1" t="s">
        <v>74</v>
      </c>
      <c r="AL156" s="1" t="s">
        <v>74</v>
      </c>
      <c r="AM156" s="1" t="s">
        <v>74</v>
      </c>
      <c r="AN156" s="1" t="s">
        <v>74</v>
      </c>
      <c r="AO156" s="1" t="s">
        <v>74</v>
      </c>
      <c r="AP156" s="1" t="s">
        <v>74</v>
      </c>
      <c r="AQ156" s="1" t="s">
        <v>1509</v>
      </c>
      <c r="AR156" s="1" t="s">
        <v>74</v>
      </c>
      <c r="AS156" s="1" t="s">
        <v>74</v>
      </c>
      <c r="AT156" s="1" t="s">
        <v>74</v>
      </c>
      <c r="AU156" s="1">
        <v>2018.0</v>
      </c>
      <c r="AV156" s="1" t="s">
        <v>74</v>
      </c>
      <c r="AW156" s="1" t="s">
        <v>74</v>
      </c>
      <c r="AX156" s="1" t="s">
        <v>74</v>
      </c>
      <c r="AY156" s="1" t="s">
        <v>74</v>
      </c>
      <c r="AZ156" s="1" t="s">
        <v>74</v>
      </c>
      <c r="BA156" s="1" t="s">
        <v>74</v>
      </c>
      <c r="BB156" s="1">
        <v>327.0</v>
      </c>
      <c r="BC156" s="1">
        <v>354.0</v>
      </c>
      <c r="BD156" s="1" t="s">
        <v>74</v>
      </c>
      <c r="BE156" s="1" t="s">
        <v>74</v>
      </c>
      <c r="BF156" s="1" t="s">
        <v>74</v>
      </c>
      <c r="BG156" s="1" t="s">
        <v>74</v>
      </c>
      <c r="BH156" s="1" t="s">
        <v>74</v>
      </c>
      <c r="BI156" s="1" t="s">
        <v>74</v>
      </c>
      <c r="BJ156" s="1" t="s">
        <v>74</v>
      </c>
      <c r="BK156" s="1" t="s">
        <v>74</v>
      </c>
      <c r="BL156" s="1" t="s">
        <v>74</v>
      </c>
      <c r="BM156" s="1" t="s">
        <v>74</v>
      </c>
      <c r="BN156" s="1" t="s">
        <v>74</v>
      </c>
      <c r="BO156" s="1" t="s">
        <v>74</v>
      </c>
      <c r="BP156" s="1" t="s">
        <v>74</v>
      </c>
      <c r="BQ156" s="1" t="s">
        <v>74</v>
      </c>
      <c r="BR156" s="1" t="s">
        <v>74</v>
      </c>
      <c r="BS156" s="1" t="s">
        <v>1510</v>
      </c>
      <c r="BT156" s="1" t="str">
        <f>HYPERLINK("https%3A%2F%2Fwww.webofscience.com%2Fwos%2Fwoscc%2Ffull-record%2FWOS:000668284400015","View Full Record in Web of Science")</f>
        <v>View Full Record in Web of Science</v>
      </c>
    </row>
    <row r="157" ht="12.75" customHeight="1">
      <c r="A157" s="1" t="s">
        <v>72</v>
      </c>
      <c r="B157" s="1" t="s">
        <v>1511</v>
      </c>
      <c r="C157" s="1" t="s">
        <v>74</v>
      </c>
      <c r="D157" s="1" t="s">
        <v>74</v>
      </c>
      <c r="E157" s="1" t="s">
        <v>74</v>
      </c>
      <c r="F157" s="1" t="s">
        <v>1512</v>
      </c>
      <c r="G157" s="1" t="s">
        <v>74</v>
      </c>
      <c r="H157" s="1" t="s">
        <v>74</v>
      </c>
      <c r="I157" s="1" t="s">
        <v>1513</v>
      </c>
      <c r="J157" s="1" t="s">
        <v>1514</v>
      </c>
      <c r="K157" s="1" t="s">
        <v>74</v>
      </c>
      <c r="L157" s="1" t="s">
        <v>74</v>
      </c>
      <c r="M157" s="1" t="s">
        <v>74</v>
      </c>
      <c r="N157" s="1" t="s">
        <v>74</v>
      </c>
      <c r="O157" s="1" t="s">
        <v>1515</v>
      </c>
      <c r="P157" s="1" t="s">
        <v>1516</v>
      </c>
      <c r="Q157" s="1" t="s">
        <v>1517</v>
      </c>
      <c r="R157" s="1" t="s">
        <v>74</v>
      </c>
      <c r="S157" s="1" t="s">
        <v>74</v>
      </c>
      <c r="T157" s="1" t="s">
        <v>74</v>
      </c>
      <c r="U157" s="1" t="s">
        <v>74</v>
      </c>
      <c r="V157" s="1" t="s">
        <v>74</v>
      </c>
      <c r="W157" s="1" t="s">
        <v>74</v>
      </c>
      <c r="X157" s="1" t="s">
        <v>74</v>
      </c>
      <c r="Y157" s="1" t="s">
        <v>74</v>
      </c>
      <c r="Z157" s="1" t="s">
        <v>74</v>
      </c>
      <c r="AA157" s="1" t="s">
        <v>1518</v>
      </c>
      <c r="AB157" s="1" t="s">
        <v>1519</v>
      </c>
      <c r="AC157" s="1" t="s">
        <v>74</v>
      </c>
      <c r="AD157" s="1" t="s">
        <v>74</v>
      </c>
      <c r="AE157" s="1" t="s">
        <v>74</v>
      </c>
      <c r="AF157" s="1" t="s">
        <v>74</v>
      </c>
      <c r="AG157" s="1" t="s">
        <v>74</v>
      </c>
      <c r="AH157" s="1" t="s">
        <v>74</v>
      </c>
      <c r="AI157" s="1" t="s">
        <v>74</v>
      </c>
      <c r="AJ157" s="1" t="s">
        <v>74</v>
      </c>
      <c r="AK157" s="1" t="s">
        <v>74</v>
      </c>
      <c r="AL157" s="1" t="s">
        <v>74</v>
      </c>
      <c r="AM157" s="1" t="s">
        <v>74</v>
      </c>
      <c r="AN157" s="1" t="s">
        <v>74</v>
      </c>
      <c r="AO157" s="1" t="s">
        <v>1520</v>
      </c>
      <c r="AP157" s="1" t="s">
        <v>1521</v>
      </c>
      <c r="AQ157" s="1" t="s">
        <v>74</v>
      </c>
      <c r="AR157" s="1" t="s">
        <v>74</v>
      </c>
      <c r="AS157" s="1" t="s">
        <v>74</v>
      </c>
      <c r="AT157" s="1" t="s">
        <v>180</v>
      </c>
      <c r="AU157" s="1">
        <v>2017.0</v>
      </c>
      <c r="AV157" s="1">
        <v>65.0</v>
      </c>
      <c r="AW157" s="1" t="s">
        <v>74</v>
      </c>
      <c r="AX157" s="1" t="s">
        <v>74</v>
      </c>
      <c r="AY157" s="1">
        <v>1.0</v>
      </c>
      <c r="AZ157" s="1" t="s">
        <v>74</v>
      </c>
      <c r="BA157" s="1" t="s">
        <v>1522</v>
      </c>
      <c r="BB157" s="1" t="s">
        <v>1523</v>
      </c>
      <c r="BC157" s="1" t="s">
        <v>1524</v>
      </c>
      <c r="BD157" s="1" t="s">
        <v>74</v>
      </c>
      <c r="BE157" s="1" t="s">
        <v>74</v>
      </c>
      <c r="BF157" s="1" t="s">
        <v>74</v>
      </c>
      <c r="BG157" s="1" t="s">
        <v>74</v>
      </c>
      <c r="BH157" s="1" t="s">
        <v>74</v>
      </c>
      <c r="BI157" s="1" t="s">
        <v>74</v>
      </c>
      <c r="BJ157" s="1" t="s">
        <v>74</v>
      </c>
      <c r="BK157" s="1" t="s">
        <v>74</v>
      </c>
      <c r="BL157" s="1" t="s">
        <v>74</v>
      </c>
      <c r="BM157" s="1" t="s">
        <v>74</v>
      </c>
      <c r="BN157" s="1" t="s">
        <v>74</v>
      </c>
      <c r="BO157" s="1" t="s">
        <v>74</v>
      </c>
      <c r="BP157" s="1" t="s">
        <v>74</v>
      </c>
      <c r="BQ157" s="1" t="s">
        <v>74</v>
      </c>
      <c r="BR157" s="1" t="s">
        <v>74</v>
      </c>
      <c r="BS157" s="1" t="s">
        <v>1525</v>
      </c>
      <c r="BT157" s="1" t="str">
        <f>HYPERLINK("https%3A%2F%2Fwww.webofscience.com%2Fwos%2Fwoscc%2Ffull-record%2FWOS:000403071700422","View Full Record in Web of Science")</f>
        <v>View Full Record in Web of Science</v>
      </c>
    </row>
    <row r="158" ht="12.75" customHeight="1">
      <c r="A158" s="1" t="s">
        <v>91</v>
      </c>
      <c r="B158" s="1" t="s">
        <v>1526</v>
      </c>
      <c r="C158" s="1" t="s">
        <v>74</v>
      </c>
      <c r="D158" s="1" t="s">
        <v>1527</v>
      </c>
      <c r="E158" s="1" t="s">
        <v>74</v>
      </c>
      <c r="F158" s="1" t="s">
        <v>1528</v>
      </c>
      <c r="G158" s="1" t="s">
        <v>74</v>
      </c>
      <c r="H158" s="1" t="s">
        <v>74</v>
      </c>
      <c r="I158" s="1" t="s">
        <v>1529</v>
      </c>
      <c r="J158" s="1" t="s">
        <v>1530</v>
      </c>
      <c r="K158" s="1" t="s">
        <v>887</v>
      </c>
      <c r="L158" s="1" t="s">
        <v>74</v>
      </c>
      <c r="M158" s="1" t="s">
        <v>74</v>
      </c>
      <c r="N158" s="1" t="s">
        <v>74</v>
      </c>
      <c r="O158" s="1" t="s">
        <v>1531</v>
      </c>
      <c r="P158" s="1" t="s">
        <v>1532</v>
      </c>
      <c r="Q158" s="1" t="s">
        <v>1533</v>
      </c>
      <c r="R158" s="1" t="s">
        <v>74</v>
      </c>
      <c r="S158" s="1" t="s">
        <v>74</v>
      </c>
      <c r="T158" s="1" t="s">
        <v>74</v>
      </c>
      <c r="U158" s="1" t="s">
        <v>74</v>
      </c>
      <c r="V158" s="1" t="s">
        <v>1534</v>
      </c>
      <c r="W158" s="1" t="s">
        <v>74</v>
      </c>
      <c r="X158" s="1" t="s">
        <v>74</v>
      </c>
      <c r="Y158" s="1" t="s">
        <v>74</v>
      </c>
      <c r="Z158" s="1" t="s">
        <v>74</v>
      </c>
      <c r="AA158" s="1" t="s">
        <v>1535</v>
      </c>
      <c r="AB158" s="1" t="s">
        <v>1536</v>
      </c>
      <c r="AC158" s="1" t="s">
        <v>74</v>
      </c>
      <c r="AD158" s="1" t="s">
        <v>74</v>
      </c>
      <c r="AE158" s="1" t="s">
        <v>74</v>
      </c>
      <c r="AF158" s="1" t="s">
        <v>74</v>
      </c>
      <c r="AG158" s="1" t="s">
        <v>74</v>
      </c>
      <c r="AH158" s="1" t="s">
        <v>74</v>
      </c>
      <c r="AI158" s="1" t="s">
        <v>74</v>
      </c>
      <c r="AJ158" s="1" t="s">
        <v>74</v>
      </c>
      <c r="AK158" s="1" t="s">
        <v>74</v>
      </c>
      <c r="AL158" s="1" t="s">
        <v>74</v>
      </c>
      <c r="AM158" s="1" t="s">
        <v>74</v>
      </c>
      <c r="AN158" s="1" t="s">
        <v>74</v>
      </c>
      <c r="AO158" s="1" t="s">
        <v>893</v>
      </c>
      <c r="AP158" s="1" t="s">
        <v>894</v>
      </c>
      <c r="AQ158" s="1" t="s">
        <v>1537</v>
      </c>
      <c r="AR158" s="1" t="s">
        <v>74</v>
      </c>
      <c r="AS158" s="1" t="s">
        <v>74</v>
      </c>
      <c r="AT158" s="1" t="s">
        <v>74</v>
      </c>
      <c r="AU158" s="1">
        <v>2017.0</v>
      </c>
      <c r="AV158" s="1">
        <v>10486.0</v>
      </c>
      <c r="AW158" s="1" t="s">
        <v>74</v>
      </c>
      <c r="AX158" s="1" t="s">
        <v>74</v>
      </c>
      <c r="AY158" s="1" t="s">
        <v>74</v>
      </c>
      <c r="AZ158" s="1" t="s">
        <v>74</v>
      </c>
      <c r="BA158" s="1" t="s">
        <v>74</v>
      </c>
      <c r="BB158" s="1">
        <v>250.0</v>
      </c>
      <c r="BC158" s="1">
        <v>262.0</v>
      </c>
      <c r="BD158" s="1" t="s">
        <v>74</v>
      </c>
      <c r="BE158" s="1" t="s">
        <v>1538</v>
      </c>
      <c r="BF158" s="2" t="str">
        <f>HYPERLINK("http://dx.doi.org/10.1007/978-3-319-65515-4_21","http://dx.doi.org/10.1007/978-3-319-65515-4_21")</f>
        <v>http://dx.doi.org/10.1007/978-3-319-65515-4_21</v>
      </c>
      <c r="BG158" s="1" t="s">
        <v>74</v>
      </c>
      <c r="BH158" s="1" t="s">
        <v>74</v>
      </c>
      <c r="BI158" s="1" t="s">
        <v>74</v>
      </c>
      <c r="BJ158" s="1" t="s">
        <v>74</v>
      </c>
      <c r="BK158" s="1" t="s">
        <v>74</v>
      </c>
      <c r="BL158" s="1" t="s">
        <v>74</v>
      </c>
      <c r="BM158" s="1" t="s">
        <v>74</v>
      </c>
      <c r="BN158" s="1" t="s">
        <v>74</v>
      </c>
      <c r="BO158" s="1" t="s">
        <v>74</v>
      </c>
      <c r="BP158" s="1" t="s">
        <v>74</v>
      </c>
      <c r="BQ158" s="1" t="s">
        <v>74</v>
      </c>
      <c r="BR158" s="1" t="s">
        <v>74</v>
      </c>
      <c r="BS158" s="1" t="s">
        <v>1539</v>
      </c>
      <c r="BT158" s="1" t="str">
        <f>HYPERLINK("https%3A%2F%2Fwww.webofscience.com%2Fwos%2Fwoscc%2Ffull-record%2FWOS:000441450500021","View Full Record in Web of Science")</f>
        <v>View Full Record in Web of Science</v>
      </c>
    </row>
    <row r="159" ht="12.75" customHeight="1">
      <c r="A159" s="1" t="s">
        <v>72</v>
      </c>
      <c r="B159" s="1" t="s">
        <v>1540</v>
      </c>
      <c r="C159" s="1" t="s">
        <v>74</v>
      </c>
      <c r="D159" s="1" t="s">
        <v>74</v>
      </c>
      <c r="E159" s="1" t="s">
        <v>74</v>
      </c>
      <c r="F159" s="1" t="s">
        <v>1541</v>
      </c>
      <c r="G159" s="1" t="s">
        <v>74</v>
      </c>
      <c r="H159" s="1" t="s">
        <v>74</v>
      </c>
      <c r="I159" s="1" t="s">
        <v>1542</v>
      </c>
      <c r="J159" s="1" t="s">
        <v>1543</v>
      </c>
      <c r="K159" s="1" t="s">
        <v>74</v>
      </c>
      <c r="L159" s="1" t="s">
        <v>74</v>
      </c>
      <c r="M159" s="1" t="s">
        <v>74</v>
      </c>
      <c r="N159" s="1" t="s">
        <v>74</v>
      </c>
      <c r="O159" s="1" t="s">
        <v>74</v>
      </c>
      <c r="P159" s="1" t="s">
        <v>74</v>
      </c>
      <c r="Q159" s="1" t="s">
        <v>74</v>
      </c>
      <c r="R159" s="1" t="s">
        <v>74</v>
      </c>
      <c r="S159" s="1" t="s">
        <v>74</v>
      </c>
      <c r="T159" s="1" t="s">
        <v>74</v>
      </c>
      <c r="U159" s="1" t="s">
        <v>74</v>
      </c>
      <c r="V159" s="1" t="s">
        <v>1544</v>
      </c>
      <c r="W159" s="1" t="s">
        <v>74</v>
      </c>
      <c r="X159" s="1" t="s">
        <v>74</v>
      </c>
      <c r="Y159" s="1" t="s">
        <v>74</v>
      </c>
      <c r="Z159" s="1" t="s">
        <v>74</v>
      </c>
      <c r="AA159" s="1" t="s">
        <v>1545</v>
      </c>
      <c r="AB159" s="1" t="s">
        <v>74</v>
      </c>
      <c r="AC159" s="1" t="s">
        <v>74</v>
      </c>
      <c r="AD159" s="1" t="s">
        <v>74</v>
      </c>
      <c r="AE159" s="1" t="s">
        <v>74</v>
      </c>
      <c r="AF159" s="1" t="s">
        <v>74</v>
      </c>
      <c r="AG159" s="1" t="s">
        <v>74</v>
      </c>
      <c r="AH159" s="1" t="s">
        <v>74</v>
      </c>
      <c r="AI159" s="1" t="s">
        <v>74</v>
      </c>
      <c r="AJ159" s="1" t="s">
        <v>74</v>
      </c>
      <c r="AK159" s="1" t="s">
        <v>74</v>
      </c>
      <c r="AL159" s="1" t="s">
        <v>74</v>
      </c>
      <c r="AM159" s="1" t="s">
        <v>74</v>
      </c>
      <c r="AN159" s="1" t="s">
        <v>74</v>
      </c>
      <c r="AO159" s="1" t="s">
        <v>1546</v>
      </c>
      <c r="AP159" s="1" t="s">
        <v>74</v>
      </c>
      <c r="AQ159" s="1" t="s">
        <v>74</v>
      </c>
      <c r="AR159" s="1" t="s">
        <v>74</v>
      </c>
      <c r="AS159" s="1" t="s">
        <v>74</v>
      </c>
      <c r="AT159" s="1" t="s">
        <v>74</v>
      </c>
      <c r="AU159" s="1">
        <v>2017.0</v>
      </c>
      <c r="AV159" s="1">
        <v>35.0</v>
      </c>
      <c r="AW159" s="1" t="s">
        <v>74</v>
      </c>
      <c r="AX159" s="1" t="s">
        <v>74</v>
      </c>
      <c r="AY159" s="1" t="s">
        <v>74</v>
      </c>
      <c r="AZ159" s="1" t="s">
        <v>74</v>
      </c>
      <c r="BA159" s="1" t="s">
        <v>74</v>
      </c>
      <c r="BB159" s="1">
        <v>37.0</v>
      </c>
      <c r="BC159" s="1">
        <v>50.0</v>
      </c>
      <c r="BD159" s="1" t="s">
        <v>74</v>
      </c>
      <c r="BE159" s="1" t="s">
        <v>1547</v>
      </c>
      <c r="BF159" s="2" t="str">
        <f>HYPERLINK("http://dx.doi.org/10.7560/SLAPC3503","http://dx.doi.org/10.7560/SLAPC3503")</f>
        <v>http://dx.doi.org/10.7560/SLAPC3503</v>
      </c>
      <c r="BG159" s="1" t="s">
        <v>74</v>
      </c>
      <c r="BH159" s="1" t="s">
        <v>74</v>
      </c>
      <c r="BI159" s="1" t="s">
        <v>74</v>
      </c>
      <c r="BJ159" s="1" t="s">
        <v>74</v>
      </c>
      <c r="BK159" s="1" t="s">
        <v>74</v>
      </c>
      <c r="BL159" s="1" t="s">
        <v>74</v>
      </c>
      <c r="BM159" s="1" t="s">
        <v>74</v>
      </c>
      <c r="BN159" s="1" t="s">
        <v>74</v>
      </c>
      <c r="BO159" s="1" t="s">
        <v>74</v>
      </c>
      <c r="BP159" s="1" t="s">
        <v>74</v>
      </c>
      <c r="BQ159" s="1" t="s">
        <v>74</v>
      </c>
      <c r="BR159" s="1" t="s">
        <v>74</v>
      </c>
      <c r="BS159" s="1" t="s">
        <v>1548</v>
      </c>
      <c r="BT159" s="1" t="str">
        <f>HYPERLINK("https%3A%2F%2Fwww.webofscience.com%2Fwos%2Fwoscc%2Ffull-record%2FWOS:000401924900003","View Full Record in Web of Science")</f>
        <v>View Full Record in Web of Science</v>
      </c>
    </row>
    <row r="160" ht="12.75" customHeight="1">
      <c r="A160" s="1" t="s">
        <v>72</v>
      </c>
      <c r="B160" s="1" t="s">
        <v>730</v>
      </c>
      <c r="C160" s="1" t="s">
        <v>74</v>
      </c>
      <c r="D160" s="1" t="s">
        <v>74</v>
      </c>
      <c r="E160" s="1" t="s">
        <v>74</v>
      </c>
      <c r="F160" s="1" t="s">
        <v>731</v>
      </c>
      <c r="G160" s="1" t="s">
        <v>74</v>
      </c>
      <c r="H160" s="1" t="s">
        <v>74</v>
      </c>
      <c r="I160" s="1" t="s">
        <v>1549</v>
      </c>
      <c r="J160" s="1" t="s">
        <v>815</v>
      </c>
      <c r="K160" s="1" t="s">
        <v>74</v>
      </c>
      <c r="L160" s="1" t="s">
        <v>74</v>
      </c>
      <c r="M160" s="1" t="s">
        <v>74</v>
      </c>
      <c r="N160" s="1" t="s">
        <v>74</v>
      </c>
      <c r="O160" s="1" t="s">
        <v>74</v>
      </c>
      <c r="P160" s="1" t="s">
        <v>74</v>
      </c>
      <c r="Q160" s="1" t="s">
        <v>74</v>
      </c>
      <c r="R160" s="1" t="s">
        <v>74</v>
      </c>
      <c r="S160" s="1" t="s">
        <v>74</v>
      </c>
      <c r="T160" s="1" t="s">
        <v>74</v>
      </c>
      <c r="U160" s="1" t="s">
        <v>74</v>
      </c>
      <c r="V160" s="1" t="s">
        <v>1550</v>
      </c>
      <c r="W160" s="1" t="s">
        <v>74</v>
      </c>
      <c r="X160" s="1" t="s">
        <v>74</v>
      </c>
      <c r="Y160" s="1" t="s">
        <v>74</v>
      </c>
      <c r="Z160" s="1" t="s">
        <v>74</v>
      </c>
      <c r="AA160" s="1" t="s">
        <v>296</v>
      </c>
      <c r="AB160" s="1" t="s">
        <v>486</v>
      </c>
      <c r="AC160" s="1" t="s">
        <v>74</v>
      </c>
      <c r="AD160" s="1" t="s">
        <v>74</v>
      </c>
      <c r="AE160" s="1" t="s">
        <v>74</v>
      </c>
      <c r="AF160" s="1" t="s">
        <v>74</v>
      </c>
      <c r="AG160" s="1" t="s">
        <v>74</v>
      </c>
      <c r="AH160" s="1" t="s">
        <v>74</v>
      </c>
      <c r="AI160" s="1" t="s">
        <v>74</v>
      </c>
      <c r="AJ160" s="1" t="s">
        <v>74</v>
      </c>
      <c r="AK160" s="1" t="s">
        <v>74</v>
      </c>
      <c r="AL160" s="1" t="s">
        <v>74</v>
      </c>
      <c r="AM160" s="1" t="s">
        <v>74</v>
      </c>
      <c r="AN160" s="1" t="s">
        <v>74</v>
      </c>
      <c r="AO160" s="1" t="s">
        <v>817</v>
      </c>
      <c r="AP160" s="1" t="s">
        <v>74</v>
      </c>
      <c r="AQ160" s="1" t="s">
        <v>74</v>
      </c>
      <c r="AR160" s="1" t="s">
        <v>74</v>
      </c>
      <c r="AS160" s="1" t="s">
        <v>74</v>
      </c>
      <c r="AT160" s="1" t="s">
        <v>1551</v>
      </c>
      <c r="AU160" s="1">
        <v>2016.0</v>
      </c>
      <c r="AV160" s="1">
        <v>13.0</v>
      </c>
      <c r="AW160" s="1" t="s">
        <v>74</v>
      </c>
      <c r="AX160" s="1" t="s">
        <v>74</v>
      </c>
      <c r="AY160" s="1" t="s">
        <v>74</v>
      </c>
      <c r="AZ160" s="1" t="s">
        <v>74</v>
      </c>
      <c r="BA160" s="1" t="s">
        <v>74</v>
      </c>
      <c r="BB160" s="1" t="s">
        <v>74</v>
      </c>
      <c r="BC160" s="1" t="s">
        <v>74</v>
      </c>
      <c r="BD160" s="1">
        <v>108.0</v>
      </c>
      <c r="BE160" s="1" t="s">
        <v>1552</v>
      </c>
      <c r="BF160" s="2" t="str">
        <f>HYPERLINK("http://dx.doi.org/10.5772/63966","http://dx.doi.org/10.5772/63966")</f>
        <v>http://dx.doi.org/10.5772/63966</v>
      </c>
      <c r="BG160" s="1" t="s">
        <v>74</v>
      </c>
      <c r="BH160" s="1" t="s">
        <v>74</v>
      </c>
      <c r="BI160" s="1" t="s">
        <v>74</v>
      </c>
      <c r="BJ160" s="1" t="s">
        <v>74</v>
      </c>
      <c r="BK160" s="1" t="s">
        <v>74</v>
      </c>
      <c r="BL160" s="1" t="s">
        <v>74</v>
      </c>
      <c r="BM160" s="1" t="s">
        <v>74</v>
      </c>
      <c r="BN160" s="1" t="s">
        <v>74</v>
      </c>
      <c r="BO160" s="1" t="s">
        <v>74</v>
      </c>
      <c r="BP160" s="1" t="s">
        <v>74</v>
      </c>
      <c r="BQ160" s="1" t="s">
        <v>74</v>
      </c>
      <c r="BR160" s="1" t="s">
        <v>74</v>
      </c>
      <c r="BS160" s="1" t="s">
        <v>1553</v>
      </c>
      <c r="BT160" s="1" t="str">
        <f>HYPERLINK("https%3A%2F%2Fwww.webofscience.com%2Fwos%2Fwoscc%2Ffull-record%2FWOS:000377334500001","View Full Record in Web of Science")</f>
        <v>View Full Record in Web of Science</v>
      </c>
    </row>
    <row r="161" ht="12.75" customHeight="1">
      <c r="A161" s="1" t="s">
        <v>72</v>
      </c>
      <c r="B161" s="1" t="s">
        <v>1554</v>
      </c>
      <c r="C161" s="1" t="s">
        <v>74</v>
      </c>
      <c r="D161" s="1" t="s">
        <v>74</v>
      </c>
      <c r="E161" s="1" t="s">
        <v>74</v>
      </c>
      <c r="F161" s="1" t="s">
        <v>1555</v>
      </c>
      <c r="G161" s="1" t="s">
        <v>74</v>
      </c>
      <c r="H161" s="1" t="s">
        <v>74</v>
      </c>
      <c r="I161" s="1" t="s">
        <v>1556</v>
      </c>
      <c r="J161" s="1" t="s">
        <v>1557</v>
      </c>
      <c r="K161" s="1" t="s">
        <v>74</v>
      </c>
      <c r="L161" s="1" t="s">
        <v>74</v>
      </c>
      <c r="M161" s="1" t="s">
        <v>74</v>
      </c>
      <c r="N161" s="1" t="s">
        <v>74</v>
      </c>
      <c r="O161" s="1" t="s">
        <v>74</v>
      </c>
      <c r="P161" s="1" t="s">
        <v>74</v>
      </c>
      <c r="Q161" s="1" t="s">
        <v>74</v>
      </c>
      <c r="R161" s="1" t="s">
        <v>74</v>
      </c>
      <c r="S161" s="1" t="s">
        <v>74</v>
      </c>
      <c r="T161" s="1" t="s">
        <v>74</v>
      </c>
      <c r="U161" s="1" t="s">
        <v>74</v>
      </c>
      <c r="V161" s="1" t="s">
        <v>1558</v>
      </c>
      <c r="W161" s="1" t="s">
        <v>74</v>
      </c>
      <c r="X161" s="1" t="s">
        <v>74</v>
      </c>
      <c r="Y161" s="1" t="s">
        <v>74</v>
      </c>
      <c r="Z161" s="1" t="s">
        <v>74</v>
      </c>
      <c r="AA161" s="1" t="s">
        <v>1559</v>
      </c>
      <c r="AB161" s="1" t="s">
        <v>1560</v>
      </c>
      <c r="AC161" s="1" t="s">
        <v>74</v>
      </c>
      <c r="AD161" s="1" t="s">
        <v>74</v>
      </c>
      <c r="AE161" s="1" t="s">
        <v>74</v>
      </c>
      <c r="AF161" s="1" t="s">
        <v>74</v>
      </c>
      <c r="AG161" s="1" t="s">
        <v>74</v>
      </c>
      <c r="AH161" s="1" t="s">
        <v>74</v>
      </c>
      <c r="AI161" s="1" t="s">
        <v>74</v>
      </c>
      <c r="AJ161" s="1" t="s">
        <v>74</v>
      </c>
      <c r="AK161" s="1" t="s">
        <v>74</v>
      </c>
      <c r="AL161" s="1" t="s">
        <v>74</v>
      </c>
      <c r="AM161" s="1" t="s">
        <v>74</v>
      </c>
      <c r="AN161" s="1" t="s">
        <v>74</v>
      </c>
      <c r="AO161" s="1" t="s">
        <v>1561</v>
      </c>
      <c r="AP161" s="1" t="s">
        <v>1562</v>
      </c>
      <c r="AQ161" s="1" t="s">
        <v>74</v>
      </c>
      <c r="AR161" s="1" t="s">
        <v>74</v>
      </c>
      <c r="AS161" s="1" t="s">
        <v>74</v>
      </c>
      <c r="AT161" s="1" t="s">
        <v>1252</v>
      </c>
      <c r="AU161" s="1">
        <v>2016.0</v>
      </c>
      <c r="AV161" s="1">
        <v>196.0</v>
      </c>
      <c r="AW161" s="1" t="s">
        <v>74</v>
      </c>
      <c r="AX161" s="1" t="s">
        <v>74</v>
      </c>
      <c r="AY161" s="1" t="s">
        <v>74</v>
      </c>
      <c r="AZ161" s="1" t="s">
        <v>74</v>
      </c>
      <c r="BA161" s="1" t="s">
        <v>74</v>
      </c>
      <c r="BB161" s="1">
        <v>968.0</v>
      </c>
      <c r="BC161" s="1">
        <v>975.0</v>
      </c>
      <c r="BD161" s="1" t="s">
        <v>74</v>
      </c>
      <c r="BE161" s="1" t="s">
        <v>1563</v>
      </c>
      <c r="BF161" s="2" t="str">
        <f>HYPERLINK("http://dx.doi.org/10.1016/j.foodchem.2015.10.023","http://dx.doi.org/10.1016/j.foodchem.2015.10.023")</f>
        <v>http://dx.doi.org/10.1016/j.foodchem.2015.10.023</v>
      </c>
      <c r="BG161" s="1" t="s">
        <v>74</v>
      </c>
      <c r="BH161" s="1" t="s">
        <v>74</v>
      </c>
      <c r="BI161" s="1" t="s">
        <v>74</v>
      </c>
      <c r="BJ161" s="1" t="s">
        <v>74</v>
      </c>
      <c r="BK161" s="1" t="s">
        <v>74</v>
      </c>
      <c r="BL161" s="1" t="s">
        <v>74</v>
      </c>
      <c r="BM161" s="1" t="s">
        <v>74</v>
      </c>
      <c r="BN161" s="1">
        <v>2.6593579E7</v>
      </c>
      <c r="BO161" s="1" t="s">
        <v>74</v>
      </c>
      <c r="BP161" s="1" t="s">
        <v>74</v>
      </c>
      <c r="BQ161" s="1" t="s">
        <v>74</v>
      </c>
      <c r="BR161" s="1" t="s">
        <v>74</v>
      </c>
      <c r="BS161" s="1" t="s">
        <v>1564</v>
      </c>
      <c r="BT161" s="1" t="str">
        <f>HYPERLINK("https%3A%2F%2Fwww.webofscience.com%2Fwos%2Fwoscc%2Ffull-record%2FWOS:000366223800122","View Full Record in Web of Science")</f>
        <v>View Full Record in Web of Science</v>
      </c>
    </row>
    <row r="162" ht="12.75" customHeight="1">
      <c r="A162" s="1" t="s">
        <v>454</v>
      </c>
      <c r="B162" s="1" t="s">
        <v>1565</v>
      </c>
      <c r="C162" s="1" t="s">
        <v>1566</v>
      </c>
      <c r="D162" s="1" t="s">
        <v>74</v>
      </c>
      <c r="E162" s="1" t="s">
        <v>74</v>
      </c>
      <c r="F162" s="1" t="s">
        <v>1567</v>
      </c>
      <c r="G162" s="1" t="s">
        <v>1566</v>
      </c>
      <c r="H162" s="1" t="s">
        <v>74</v>
      </c>
      <c r="I162" s="1" t="s">
        <v>1568</v>
      </c>
      <c r="J162" s="1" t="s">
        <v>1569</v>
      </c>
      <c r="K162" s="1" t="s">
        <v>1570</v>
      </c>
      <c r="L162" s="1" t="s">
        <v>74</v>
      </c>
      <c r="M162" s="1" t="s">
        <v>74</v>
      </c>
      <c r="N162" s="1" t="s">
        <v>74</v>
      </c>
      <c r="O162" s="1" t="s">
        <v>74</v>
      </c>
      <c r="P162" s="1" t="s">
        <v>74</v>
      </c>
      <c r="Q162" s="1" t="s">
        <v>74</v>
      </c>
      <c r="R162" s="1" t="s">
        <v>74</v>
      </c>
      <c r="S162" s="1" t="s">
        <v>74</v>
      </c>
      <c r="T162" s="1" t="s">
        <v>74</v>
      </c>
      <c r="U162" s="1" t="s">
        <v>74</v>
      </c>
      <c r="V162" s="1" t="s">
        <v>74</v>
      </c>
      <c r="W162" s="1" t="s">
        <v>74</v>
      </c>
      <c r="X162" s="1" t="s">
        <v>74</v>
      </c>
      <c r="Y162" s="1" t="s">
        <v>74</v>
      </c>
      <c r="Z162" s="1" t="s">
        <v>74</v>
      </c>
      <c r="AA162" s="1" t="s">
        <v>1571</v>
      </c>
      <c r="AB162" s="1" t="s">
        <v>74</v>
      </c>
      <c r="AC162" s="1" t="s">
        <v>74</v>
      </c>
      <c r="AD162" s="1" t="s">
        <v>74</v>
      </c>
      <c r="AE162" s="1" t="s">
        <v>74</v>
      </c>
      <c r="AF162" s="1" t="s">
        <v>74</v>
      </c>
      <c r="AG162" s="1" t="s">
        <v>74</v>
      </c>
      <c r="AH162" s="1" t="s">
        <v>74</v>
      </c>
      <c r="AI162" s="1" t="s">
        <v>74</v>
      </c>
      <c r="AJ162" s="1" t="s">
        <v>74</v>
      </c>
      <c r="AK162" s="1" t="s">
        <v>74</v>
      </c>
      <c r="AL162" s="1" t="s">
        <v>74</v>
      </c>
      <c r="AM162" s="1" t="s">
        <v>74</v>
      </c>
      <c r="AN162" s="1" t="s">
        <v>74</v>
      </c>
      <c r="AO162" s="1" t="s">
        <v>74</v>
      </c>
      <c r="AP162" s="1" t="s">
        <v>74</v>
      </c>
      <c r="AQ162" s="1" t="s">
        <v>1572</v>
      </c>
      <c r="AR162" s="1" t="s">
        <v>74</v>
      </c>
      <c r="AS162" s="1" t="s">
        <v>74</v>
      </c>
      <c r="AT162" s="1" t="s">
        <v>74</v>
      </c>
      <c r="AU162" s="1">
        <v>2016.0</v>
      </c>
      <c r="AV162" s="1" t="s">
        <v>74</v>
      </c>
      <c r="AW162" s="1" t="s">
        <v>74</v>
      </c>
      <c r="AX162" s="1" t="s">
        <v>74</v>
      </c>
      <c r="AY162" s="1" t="s">
        <v>74</v>
      </c>
      <c r="AZ162" s="1" t="s">
        <v>74</v>
      </c>
      <c r="BA162" s="1" t="s">
        <v>74</v>
      </c>
      <c r="BB162" s="1">
        <v>136.0</v>
      </c>
      <c r="BC162" s="1">
        <v>144.0</v>
      </c>
      <c r="BD162" s="1" t="s">
        <v>74</v>
      </c>
      <c r="BE162" s="1" t="s">
        <v>74</v>
      </c>
      <c r="BF162" s="1" t="s">
        <v>74</v>
      </c>
      <c r="BG162" s="1" t="s">
        <v>74</v>
      </c>
      <c r="BH162" s="1" t="s">
        <v>74</v>
      </c>
      <c r="BI162" s="1" t="s">
        <v>74</v>
      </c>
      <c r="BJ162" s="1" t="s">
        <v>74</v>
      </c>
      <c r="BK162" s="1" t="s">
        <v>74</v>
      </c>
      <c r="BL162" s="1" t="s">
        <v>74</v>
      </c>
      <c r="BM162" s="1" t="s">
        <v>74</v>
      </c>
      <c r="BN162" s="1" t="s">
        <v>74</v>
      </c>
      <c r="BO162" s="1" t="s">
        <v>74</v>
      </c>
      <c r="BP162" s="1" t="s">
        <v>74</v>
      </c>
      <c r="BQ162" s="1" t="s">
        <v>74</v>
      </c>
      <c r="BR162" s="1" t="s">
        <v>74</v>
      </c>
      <c r="BS162" s="1" t="s">
        <v>1573</v>
      </c>
      <c r="BT162" s="1" t="str">
        <f>HYPERLINK("https%3A%2F%2Fwww.webofscience.com%2Fwos%2Fwoscc%2Ffull-record%2FWOS:000458913900008","View Full Record in Web of Science")</f>
        <v>View Full Record in Web of Science</v>
      </c>
    </row>
    <row r="163" ht="12.75" customHeight="1">
      <c r="A163" s="1" t="s">
        <v>91</v>
      </c>
      <c r="B163" s="1" t="s">
        <v>1574</v>
      </c>
      <c r="C163" s="1" t="s">
        <v>74</v>
      </c>
      <c r="D163" s="1" t="s">
        <v>74</v>
      </c>
      <c r="E163" s="1" t="s">
        <v>442</v>
      </c>
      <c r="F163" s="1" t="s">
        <v>1575</v>
      </c>
      <c r="G163" s="1" t="s">
        <v>74</v>
      </c>
      <c r="H163" s="1" t="s">
        <v>74</v>
      </c>
      <c r="I163" s="1" t="s">
        <v>1576</v>
      </c>
      <c r="J163" s="1" t="s">
        <v>1577</v>
      </c>
      <c r="K163" s="1" t="s">
        <v>1578</v>
      </c>
      <c r="L163" s="1" t="s">
        <v>74</v>
      </c>
      <c r="M163" s="1" t="s">
        <v>74</v>
      </c>
      <c r="N163" s="1" t="s">
        <v>74</v>
      </c>
      <c r="O163" s="1" t="s">
        <v>1579</v>
      </c>
      <c r="P163" s="1" t="s">
        <v>1580</v>
      </c>
      <c r="Q163" s="1" t="s">
        <v>1581</v>
      </c>
      <c r="R163" s="1" t="s">
        <v>1582</v>
      </c>
      <c r="S163" s="1" t="s">
        <v>74</v>
      </c>
      <c r="T163" s="1" t="s">
        <v>74</v>
      </c>
      <c r="U163" s="1" t="s">
        <v>74</v>
      </c>
      <c r="V163" s="1" t="s">
        <v>1583</v>
      </c>
      <c r="W163" s="1" t="s">
        <v>74</v>
      </c>
      <c r="X163" s="1" t="s">
        <v>74</v>
      </c>
      <c r="Y163" s="1" t="s">
        <v>74</v>
      </c>
      <c r="Z163" s="1" t="s">
        <v>74</v>
      </c>
      <c r="AA163" s="1" t="s">
        <v>1584</v>
      </c>
      <c r="AB163" s="1" t="s">
        <v>74</v>
      </c>
      <c r="AC163" s="1" t="s">
        <v>74</v>
      </c>
      <c r="AD163" s="1" t="s">
        <v>74</v>
      </c>
      <c r="AE163" s="1" t="s">
        <v>74</v>
      </c>
      <c r="AF163" s="1" t="s">
        <v>74</v>
      </c>
      <c r="AG163" s="1" t="s">
        <v>74</v>
      </c>
      <c r="AH163" s="1" t="s">
        <v>74</v>
      </c>
      <c r="AI163" s="1" t="s">
        <v>74</v>
      </c>
      <c r="AJ163" s="1" t="s">
        <v>74</v>
      </c>
      <c r="AK163" s="1" t="s">
        <v>74</v>
      </c>
      <c r="AL163" s="1" t="s">
        <v>74</v>
      </c>
      <c r="AM163" s="1" t="s">
        <v>74</v>
      </c>
      <c r="AN163" s="1" t="s">
        <v>74</v>
      </c>
      <c r="AO163" s="1" t="s">
        <v>1585</v>
      </c>
      <c r="AP163" s="1" t="s">
        <v>74</v>
      </c>
      <c r="AQ163" s="1" t="s">
        <v>1586</v>
      </c>
      <c r="AR163" s="1" t="s">
        <v>74</v>
      </c>
      <c r="AS163" s="1" t="s">
        <v>74</v>
      </c>
      <c r="AT163" s="1" t="s">
        <v>74</v>
      </c>
      <c r="AU163" s="1">
        <v>2016.0</v>
      </c>
      <c r="AV163" s="1" t="s">
        <v>74</v>
      </c>
      <c r="AW163" s="1" t="s">
        <v>74</v>
      </c>
      <c r="AX163" s="1" t="s">
        <v>74</v>
      </c>
      <c r="AY163" s="1" t="s">
        <v>74</v>
      </c>
      <c r="AZ163" s="1" t="s">
        <v>74</v>
      </c>
      <c r="BA163" s="1" t="s">
        <v>74</v>
      </c>
      <c r="BB163" s="1" t="s">
        <v>74</v>
      </c>
      <c r="BC163" s="1" t="s">
        <v>74</v>
      </c>
      <c r="BD163" s="1" t="s">
        <v>74</v>
      </c>
      <c r="BE163" s="1" t="s">
        <v>74</v>
      </c>
      <c r="BF163" s="1" t="s">
        <v>74</v>
      </c>
      <c r="BG163" s="1" t="s">
        <v>74</v>
      </c>
      <c r="BH163" s="1" t="s">
        <v>74</v>
      </c>
      <c r="BI163" s="1" t="s">
        <v>74</v>
      </c>
      <c r="BJ163" s="1" t="s">
        <v>74</v>
      </c>
      <c r="BK163" s="1" t="s">
        <v>74</v>
      </c>
      <c r="BL163" s="1" t="s">
        <v>74</v>
      </c>
      <c r="BM163" s="1" t="s">
        <v>74</v>
      </c>
      <c r="BN163" s="1" t="s">
        <v>74</v>
      </c>
      <c r="BO163" s="1" t="s">
        <v>74</v>
      </c>
      <c r="BP163" s="1" t="s">
        <v>74</v>
      </c>
      <c r="BQ163" s="1" t="s">
        <v>74</v>
      </c>
      <c r="BR163" s="1" t="s">
        <v>74</v>
      </c>
      <c r="BS163" s="1" t="s">
        <v>1587</v>
      </c>
      <c r="BT163" s="1" t="str">
        <f>HYPERLINK("https%3A%2F%2Fwww.webofscience.com%2Fwos%2Fwoscc%2Ffull-record%2FWOS:000400692400006","View Full Record in Web of Science")</f>
        <v>View Full Record in Web of Science</v>
      </c>
    </row>
    <row r="164" ht="12.75" customHeight="1">
      <c r="A164" s="1" t="s">
        <v>91</v>
      </c>
      <c r="B164" s="1" t="s">
        <v>1588</v>
      </c>
      <c r="C164" s="1" t="s">
        <v>74</v>
      </c>
      <c r="D164" s="1" t="s">
        <v>1589</v>
      </c>
      <c r="E164" s="1" t="s">
        <v>74</v>
      </c>
      <c r="F164" s="1" t="s">
        <v>1590</v>
      </c>
      <c r="G164" s="1" t="s">
        <v>74</v>
      </c>
      <c r="H164" s="1" t="s">
        <v>74</v>
      </c>
      <c r="I164" s="1" t="s">
        <v>1591</v>
      </c>
      <c r="J164" s="1" t="s">
        <v>1592</v>
      </c>
      <c r="K164" s="1" t="s">
        <v>1593</v>
      </c>
      <c r="L164" s="1" t="s">
        <v>74</v>
      </c>
      <c r="M164" s="1" t="s">
        <v>74</v>
      </c>
      <c r="N164" s="1" t="s">
        <v>74</v>
      </c>
      <c r="O164" s="1" t="s">
        <v>1594</v>
      </c>
      <c r="P164" s="1" t="s">
        <v>1595</v>
      </c>
      <c r="Q164" s="1" t="s">
        <v>1596</v>
      </c>
      <c r="R164" s="1" t="s">
        <v>74</v>
      </c>
      <c r="S164" s="1" t="s">
        <v>74</v>
      </c>
      <c r="T164" s="1" t="s">
        <v>74</v>
      </c>
      <c r="U164" s="1" t="s">
        <v>74</v>
      </c>
      <c r="V164" s="1" t="s">
        <v>1597</v>
      </c>
      <c r="W164" s="1" t="s">
        <v>74</v>
      </c>
      <c r="X164" s="1" t="s">
        <v>74</v>
      </c>
      <c r="Y164" s="1" t="s">
        <v>74</v>
      </c>
      <c r="Z164" s="1" t="s">
        <v>74</v>
      </c>
      <c r="AA164" s="1" t="s">
        <v>1472</v>
      </c>
      <c r="AB164" s="1" t="s">
        <v>74</v>
      </c>
      <c r="AC164" s="1" t="s">
        <v>74</v>
      </c>
      <c r="AD164" s="1" t="s">
        <v>74</v>
      </c>
      <c r="AE164" s="1" t="s">
        <v>74</v>
      </c>
      <c r="AF164" s="1" t="s">
        <v>74</v>
      </c>
      <c r="AG164" s="1" t="s">
        <v>74</v>
      </c>
      <c r="AH164" s="1" t="s">
        <v>74</v>
      </c>
      <c r="AI164" s="1" t="s">
        <v>74</v>
      </c>
      <c r="AJ164" s="1" t="s">
        <v>74</v>
      </c>
      <c r="AK164" s="1" t="s">
        <v>74</v>
      </c>
      <c r="AL164" s="1" t="s">
        <v>74</v>
      </c>
      <c r="AM164" s="1" t="s">
        <v>74</v>
      </c>
      <c r="AN164" s="1" t="s">
        <v>74</v>
      </c>
      <c r="AO164" s="1" t="s">
        <v>1598</v>
      </c>
      <c r="AP164" s="1" t="s">
        <v>74</v>
      </c>
      <c r="AQ164" s="1" t="s">
        <v>1599</v>
      </c>
      <c r="AR164" s="1" t="s">
        <v>74</v>
      </c>
      <c r="AS164" s="1" t="s">
        <v>74</v>
      </c>
      <c r="AT164" s="1" t="s">
        <v>74</v>
      </c>
      <c r="AU164" s="1">
        <v>2015.0</v>
      </c>
      <c r="AV164" s="1" t="s">
        <v>74</v>
      </c>
      <c r="AW164" s="1" t="s">
        <v>74</v>
      </c>
      <c r="AX164" s="1" t="s">
        <v>74</v>
      </c>
      <c r="AY164" s="1" t="s">
        <v>74</v>
      </c>
      <c r="AZ164" s="1" t="s">
        <v>74</v>
      </c>
      <c r="BA164" s="1" t="s">
        <v>74</v>
      </c>
      <c r="BB164" s="1">
        <v>2624.0</v>
      </c>
      <c r="BC164" s="1">
        <v>2632.0</v>
      </c>
      <c r="BD164" s="1" t="s">
        <v>74</v>
      </c>
      <c r="BE164" s="1" t="s">
        <v>74</v>
      </c>
      <c r="BF164" s="1" t="s">
        <v>74</v>
      </c>
      <c r="BG164" s="1" t="s">
        <v>74</v>
      </c>
      <c r="BH164" s="1" t="s">
        <v>74</v>
      </c>
      <c r="BI164" s="1" t="s">
        <v>74</v>
      </c>
      <c r="BJ164" s="1" t="s">
        <v>74</v>
      </c>
      <c r="BK164" s="1" t="s">
        <v>74</v>
      </c>
      <c r="BL164" s="1" t="s">
        <v>74</v>
      </c>
      <c r="BM164" s="1" t="s">
        <v>74</v>
      </c>
      <c r="BN164" s="1" t="s">
        <v>74</v>
      </c>
      <c r="BO164" s="1" t="s">
        <v>74</v>
      </c>
      <c r="BP164" s="1" t="s">
        <v>74</v>
      </c>
      <c r="BQ164" s="1" t="s">
        <v>74</v>
      </c>
      <c r="BR164" s="1" t="s">
        <v>74</v>
      </c>
      <c r="BS164" s="1" t="s">
        <v>1600</v>
      </c>
      <c r="BT164" s="1" t="str">
        <f>HYPERLINK("https%3A%2F%2Fwww.webofscience.com%2Fwos%2Fwoscc%2Ffull-record%2FWOS:000377304002100","View Full Record in Web of Science")</f>
        <v>View Full Record in Web of Science</v>
      </c>
    </row>
    <row r="165" ht="12.75" customHeight="1">
      <c r="A165" s="1" t="s">
        <v>72</v>
      </c>
      <c r="B165" s="1" t="s">
        <v>812</v>
      </c>
      <c r="C165" s="1" t="s">
        <v>74</v>
      </c>
      <c r="D165" s="1" t="s">
        <v>74</v>
      </c>
      <c r="E165" s="1" t="s">
        <v>74</v>
      </c>
      <c r="F165" s="1" t="s">
        <v>1601</v>
      </c>
      <c r="G165" s="1" t="s">
        <v>74</v>
      </c>
      <c r="H165" s="1" t="s">
        <v>74</v>
      </c>
      <c r="I165" s="1" t="s">
        <v>1602</v>
      </c>
      <c r="J165" s="1" t="s">
        <v>1603</v>
      </c>
      <c r="K165" s="1" t="s">
        <v>74</v>
      </c>
      <c r="L165" s="1" t="s">
        <v>74</v>
      </c>
      <c r="M165" s="1" t="s">
        <v>74</v>
      </c>
      <c r="N165" s="1" t="s">
        <v>74</v>
      </c>
      <c r="O165" s="1" t="s">
        <v>74</v>
      </c>
      <c r="P165" s="1" t="s">
        <v>74</v>
      </c>
      <c r="Q165" s="1" t="s">
        <v>74</v>
      </c>
      <c r="R165" s="1" t="s">
        <v>74</v>
      </c>
      <c r="S165" s="1" t="s">
        <v>74</v>
      </c>
      <c r="T165" s="1" t="s">
        <v>74</v>
      </c>
      <c r="U165" s="1" t="s">
        <v>74</v>
      </c>
      <c r="V165" s="1" t="s">
        <v>1604</v>
      </c>
      <c r="W165" s="1" t="s">
        <v>74</v>
      </c>
      <c r="X165" s="1" t="s">
        <v>74</v>
      </c>
      <c r="Y165" s="1" t="s">
        <v>74</v>
      </c>
      <c r="Z165" s="1" t="s">
        <v>74</v>
      </c>
      <c r="AA165" s="1" t="s">
        <v>296</v>
      </c>
      <c r="AB165" s="1" t="s">
        <v>74</v>
      </c>
      <c r="AC165" s="1" t="s">
        <v>74</v>
      </c>
      <c r="AD165" s="1" t="s">
        <v>74</v>
      </c>
      <c r="AE165" s="1" t="s">
        <v>74</v>
      </c>
      <c r="AF165" s="1" t="s">
        <v>74</v>
      </c>
      <c r="AG165" s="1" t="s">
        <v>74</v>
      </c>
      <c r="AH165" s="1" t="s">
        <v>74</v>
      </c>
      <c r="AI165" s="1" t="s">
        <v>74</v>
      </c>
      <c r="AJ165" s="1" t="s">
        <v>74</v>
      </c>
      <c r="AK165" s="1" t="s">
        <v>74</v>
      </c>
      <c r="AL165" s="1" t="s">
        <v>74</v>
      </c>
      <c r="AM165" s="1" t="s">
        <v>74</v>
      </c>
      <c r="AN165" s="1" t="s">
        <v>74</v>
      </c>
      <c r="AO165" s="1" t="s">
        <v>1605</v>
      </c>
      <c r="AP165" s="1" t="s">
        <v>74</v>
      </c>
      <c r="AQ165" s="1" t="s">
        <v>74</v>
      </c>
      <c r="AR165" s="1" t="s">
        <v>74</v>
      </c>
      <c r="AS165" s="1" t="s">
        <v>74</v>
      </c>
      <c r="AT165" s="1" t="s">
        <v>276</v>
      </c>
      <c r="AU165" s="1">
        <v>2014.0</v>
      </c>
      <c r="AV165" s="1">
        <v>12.0</v>
      </c>
      <c r="AW165" s="1">
        <v>6.0</v>
      </c>
      <c r="AX165" s="1" t="s">
        <v>74</v>
      </c>
      <c r="AY165" s="1" t="s">
        <v>74</v>
      </c>
      <c r="AZ165" s="1" t="s">
        <v>74</v>
      </c>
      <c r="BA165" s="1" t="s">
        <v>74</v>
      </c>
      <c r="BB165" s="1">
        <v>997.0</v>
      </c>
      <c r="BC165" s="1">
        <v>1004.0</v>
      </c>
      <c r="BD165" s="1" t="s">
        <v>74</v>
      </c>
      <c r="BE165" s="1" t="s">
        <v>1606</v>
      </c>
      <c r="BF165" s="2" t="str">
        <f>HYPERLINK("http://dx.doi.org/10.1109/TLA.2014.6893992","http://dx.doi.org/10.1109/TLA.2014.6893992")</f>
        <v>http://dx.doi.org/10.1109/TLA.2014.6893992</v>
      </c>
      <c r="BG165" s="1" t="s">
        <v>74</v>
      </c>
      <c r="BH165" s="1" t="s">
        <v>74</v>
      </c>
      <c r="BI165" s="1" t="s">
        <v>74</v>
      </c>
      <c r="BJ165" s="1" t="s">
        <v>74</v>
      </c>
      <c r="BK165" s="1" t="s">
        <v>74</v>
      </c>
      <c r="BL165" s="1" t="s">
        <v>74</v>
      </c>
      <c r="BM165" s="1" t="s">
        <v>74</v>
      </c>
      <c r="BN165" s="1" t="s">
        <v>74</v>
      </c>
      <c r="BO165" s="1" t="s">
        <v>74</v>
      </c>
      <c r="BP165" s="1" t="s">
        <v>74</v>
      </c>
      <c r="BQ165" s="1" t="s">
        <v>74</v>
      </c>
      <c r="BR165" s="1" t="s">
        <v>74</v>
      </c>
      <c r="BS165" s="1" t="s">
        <v>1607</v>
      </c>
      <c r="BT165" s="1" t="str">
        <f>HYPERLINK("https%3A%2F%2Fwww.webofscience.com%2Fwos%2Fwoscc%2Ffull-record%2FWOS:000342055200007","View Full Record in Web of Science")</f>
        <v>View Full Record in Web of Science</v>
      </c>
    </row>
    <row r="166" ht="12.75" customHeight="1">
      <c r="A166" s="1" t="s">
        <v>72</v>
      </c>
      <c r="B166" s="1" t="s">
        <v>1608</v>
      </c>
      <c r="C166" s="1" t="s">
        <v>74</v>
      </c>
      <c r="D166" s="1" t="s">
        <v>74</v>
      </c>
      <c r="E166" s="1" t="s">
        <v>74</v>
      </c>
      <c r="F166" s="1" t="s">
        <v>1609</v>
      </c>
      <c r="G166" s="1" t="s">
        <v>74</v>
      </c>
      <c r="H166" s="1" t="s">
        <v>74</v>
      </c>
      <c r="I166" s="1" t="s">
        <v>1610</v>
      </c>
      <c r="J166" s="1" t="s">
        <v>1611</v>
      </c>
      <c r="K166" s="1" t="s">
        <v>74</v>
      </c>
      <c r="L166" s="1" t="s">
        <v>74</v>
      </c>
      <c r="M166" s="1" t="s">
        <v>74</v>
      </c>
      <c r="N166" s="1" t="s">
        <v>74</v>
      </c>
      <c r="O166" s="1" t="s">
        <v>74</v>
      </c>
      <c r="P166" s="1" t="s">
        <v>74</v>
      </c>
      <c r="Q166" s="1" t="s">
        <v>74</v>
      </c>
      <c r="R166" s="1" t="s">
        <v>74</v>
      </c>
      <c r="S166" s="1" t="s">
        <v>74</v>
      </c>
      <c r="T166" s="1" t="s">
        <v>74</v>
      </c>
      <c r="U166" s="1" t="s">
        <v>74</v>
      </c>
      <c r="V166" s="1" t="s">
        <v>1612</v>
      </c>
      <c r="W166" s="1" t="s">
        <v>74</v>
      </c>
      <c r="X166" s="1" t="s">
        <v>74</v>
      </c>
      <c r="Y166" s="1" t="s">
        <v>74</v>
      </c>
      <c r="Z166" s="1" t="s">
        <v>74</v>
      </c>
      <c r="AA166" s="1" t="s">
        <v>1613</v>
      </c>
      <c r="AB166" s="1" t="s">
        <v>1614</v>
      </c>
      <c r="AC166" s="1" t="s">
        <v>74</v>
      </c>
      <c r="AD166" s="1" t="s">
        <v>74</v>
      </c>
      <c r="AE166" s="1" t="s">
        <v>74</v>
      </c>
      <c r="AF166" s="1" t="s">
        <v>74</v>
      </c>
      <c r="AG166" s="1" t="s">
        <v>74</v>
      </c>
      <c r="AH166" s="1" t="s">
        <v>74</v>
      </c>
      <c r="AI166" s="1" t="s">
        <v>74</v>
      </c>
      <c r="AJ166" s="1" t="s">
        <v>74</v>
      </c>
      <c r="AK166" s="1" t="s">
        <v>74</v>
      </c>
      <c r="AL166" s="1" t="s">
        <v>74</v>
      </c>
      <c r="AM166" s="1" t="s">
        <v>74</v>
      </c>
      <c r="AN166" s="1" t="s">
        <v>74</v>
      </c>
      <c r="AO166" s="1" t="s">
        <v>1615</v>
      </c>
      <c r="AP166" s="1" t="s">
        <v>1616</v>
      </c>
      <c r="AQ166" s="1" t="s">
        <v>74</v>
      </c>
      <c r="AR166" s="1" t="s">
        <v>74</v>
      </c>
      <c r="AS166" s="1" t="s">
        <v>74</v>
      </c>
      <c r="AT166" s="1" t="s">
        <v>74</v>
      </c>
      <c r="AU166" s="1">
        <v>2014.0</v>
      </c>
      <c r="AV166" s="1">
        <v>37.0</v>
      </c>
      <c r="AW166" s="1">
        <v>4.0</v>
      </c>
      <c r="AX166" s="1" t="s">
        <v>74</v>
      </c>
      <c r="AY166" s="1" t="s">
        <v>74</v>
      </c>
      <c r="AZ166" s="1" t="s">
        <v>74</v>
      </c>
      <c r="BA166" s="1" t="s">
        <v>74</v>
      </c>
      <c r="BB166" s="1">
        <v>745.0</v>
      </c>
      <c r="BC166" s="1">
        <v>747.0</v>
      </c>
      <c r="BD166" s="1" t="s">
        <v>74</v>
      </c>
      <c r="BE166" s="1" t="s">
        <v>1617</v>
      </c>
      <c r="BF166" s="2" t="str">
        <f>HYPERLINK("http://dx.doi.org/10.5935/0100-4042.20140120","http://dx.doi.org/10.5935/0100-4042.20140120")</f>
        <v>http://dx.doi.org/10.5935/0100-4042.20140120</v>
      </c>
      <c r="BG166" s="1" t="s">
        <v>74</v>
      </c>
      <c r="BH166" s="1" t="s">
        <v>74</v>
      </c>
      <c r="BI166" s="1" t="s">
        <v>74</v>
      </c>
      <c r="BJ166" s="1" t="s">
        <v>74</v>
      </c>
      <c r="BK166" s="1" t="s">
        <v>74</v>
      </c>
      <c r="BL166" s="1" t="s">
        <v>74</v>
      </c>
      <c r="BM166" s="1" t="s">
        <v>74</v>
      </c>
      <c r="BN166" s="1" t="s">
        <v>74</v>
      </c>
      <c r="BO166" s="1" t="s">
        <v>74</v>
      </c>
      <c r="BP166" s="1" t="s">
        <v>74</v>
      </c>
      <c r="BQ166" s="1" t="s">
        <v>74</v>
      </c>
      <c r="BR166" s="1" t="s">
        <v>74</v>
      </c>
      <c r="BS166" s="1" t="s">
        <v>1618</v>
      </c>
      <c r="BT166" s="1" t="str">
        <f>HYPERLINK("https%3A%2F%2Fwww.webofscience.com%2Fwos%2Fwoscc%2Ffull-record%2FWOS:000340357600027","View Full Record in Web of Science")</f>
        <v>View Full Record in Web of Science</v>
      </c>
    </row>
    <row r="167" ht="12.75" customHeight="1">
      <c r="A167" s="1" t="s">
        <v>72</v>
      </c>
      <c r="B167" s="1" t="s">
        <v>1619</v>
      </c>
      <c r="C167" s="1" t="s">
        <v>74</v>
      </c>
      <c r="D167" s="1" t="s">
        <v>74</v>
      </c>
      <c r="E167" s="1" t="s">
        <v>74</v>
      </c>
      <c r="F167" s="1" t="s">
        <v>1620</v>
      </c>
      <c r="G167" s="1" t="s">
        <v>74</v>
      </c>
      <c r="H167" s="1" t="s">
        <v>74</v>
      </c>
      <c r="I167" s="1" t="s">
        <v>1621</v>
      </c>
      <c r="J167" s="1" t="s">
        <v>1622</v>
      </c>
      <c r="K167" s="1" t="s">
        <v>74</v>
      </c>
      <c r="L167" s="1" t="s">
        <v>74</v>
      </c>
      <c r="M167" s="1" t="s">
        <v>74</v>
      </c>
      <c r="N167" s="1" t="s">
        <v>74</v>
      </c>
      <c r="O167" s="1" t="s">
        <v>74</v>
      </c>
      <c r="P167" s="1" t="s">
        <v>74</v>
      </c>
      <c r="Q167" s="1" t="s">
        <v>74</v>
      </c>
      <c r="R167" s="1" t="s">
        <v>74</v>
      </c>
      <c r="S167" s="1" t="s">
        <v>74</v>
      </c>
      <c r="T167" s="1" t="s">
        <v>74</v>
      </c>
      <c r="U167" s="1" t="s">
        <v>74</v>
      </c>
      <c r="V167" s="1" t="s">
        <v>1623</v>
      </c>
      <c r="W167" s="1" t="s">
        <v>74</v>
      </c>
      <c r="X167" s="1" t="s">
        <v>74</v>
      </c>
      <c r="Y167" s="1" t="s">
        <v>74</v>
      </c>
      <c r="Z167" s="1" t="s">
        <v>74</v>
      </c>
      <c r="AA167" s="1" t="s">
        <v>1624</v>
      </c>
      <c r="AB167" s="1" t="s">
        <v>74</v>
      </c>
      <c r="AC167" s="1" t="s">
        <v>74</v>
      </c>
      <c r="AD167" s="1" t="s">
        <v>74</v>
      </c>
      <c r="AE167" s="1" t="s">
        <v>74</v>
      </c>
      <c r="AF167" s="1" t="s">
        <v>74</v>
      </c>
      <c r="AG167" s="1" t="s">
        <v>74</v>
      </c>
      <c r="AH167" s="1" t="s">
        <v>74</v>
      </c>
      <c r="AI167" s="1" t="s">
        <v>74</v>
      </c>
      <c r="AJ167" s="1" t="s">
        <v>74</v>
      </c>
      <c r="AK167" s="1" t="s">
        <v>74</v>
      </c>
      <c r="AL167" s="1" t="s">
        <v>74</v>
      </c>
      <c r="AM167" s="1" t="s">
        <v>74</v>
      </c>
      <c r="AN167" s="1" t="s">
        <v>74</v>
      </c>
      <c r="AO167" s="1" t="s">
        <v>1625</v>
      </c>
      <c r="AP167" s="1" t="s">
        <v>74</v>
      </c>
      <c r="AQ167" s="1" t="s">
        <v>74</v>
      </c>
      <c r="AR167" s="1" t="s">
        <v>74</v>
      </c>
      <c r="AS167" s="1" t="s">
        <v>74</v>
      </c>
      <c r="AT167" s="1" t="s">
        <v>74</v>
      </c>
      <c r="AU167" s="1">
        <v>2014.0</v>
      </c>
      <c r="AV167" s="1">
        <v>32.0</v>
      </c>
      <c r="AW167" s="1">
        <v>2.0</v>
      </c>
      <c r="AX167" s="1" t="s">
        <v>74</v>
      </c>
      <c r="AY167" s="1" t="s">
        <v>74</v>
      </c>
      <c r="AZ167" s="1" t="s">
        <v>74</v>
      </c>
      <c r="BA167" s="1" t="s">
        <v>74</v>
      </c>
      <c r="BB167" s="1">
        <v>133.0</v>
      </c>
      <c r="BC167" s="1">
        <v>141.0</v>
      </c>
      <c r="BD167" s="1" t="s">
        <v>74</v>
      </c>
      <c r="BE167" s="1" t="s">
        <v>74</v>
      </c>
      <c r="BF167" s="1" t="s">
        <v>74</v>
      </c>
      <c r="BG167" s="1" t="s">
        <v>74</v>
      </c>
      <c r="BH167" s="1" t="s">
        <v>74</v>
      </c>
      <c r="BI167" s="1" t="s">
        <v>74</v>
      </c>
      <c r="BJ167" s="1" t="s">
        <v>74</v>
      </c>
      <c r="BK167" s="1" t="s">
        <v>74</v>
      </c>
      <c r="BL167" s="1" t="s">
        <v>74</v>
      </c>
      <c r="BM167" s="1" t="s">
        <v>74</v>
      </c>
      <c r="BN167" s="1" t="s">
        <v>74</v>
      </c>
      <c r="BO167" s="1" t="s">
        <v>74</v>
      </c>
      <c r="BP167" s="1" t="s">
        <v>74</v>
      </c>
      <c r="BQ167" s="1" t="s">
        <v>74</v>
      </c>
      <c r="BR167" s="1" t="s">
        <v>74</v>
      </c>
      <c r="BS167" s="1" t="s">
        <v>1626</v>
      </c>
      <c r="BT167" s="1" t="str">
        <f>HYPERLINK("https%3A%2F%2Fwww.webofscience.com%2Fwos%2Fwoscc%2Ffull-record%2FWOS:000347634100006","View Full Record in Web of Science")</f>
        <v>View Full Record in Web of Science</v>
      </c>
    </row>
    <row r="168" ht="12.75" customHeight="1">
      <c r="A168" s="1" t="s">
        <v>72</v>
      </c>
      <c r="B168" s="1" t="s">
        <v>1627</v>
      </c>
      <c r="C168" s="1" t="s">
        <v>74</v>
      </c>
      <c r="D168" s="1" t="s">
        <v>74</v>
      </c>
      <c r="E168" s="1" t="s">
        <v>74</v>
      </c>
      <c r="F168" s="1" t="s">
        <v>1628</v>
      </c>
      <c r="G168" s="1" t="s">
        <v>74</v>
      </c>
      <c r="H168" s="1" t="s">
        <v>74</v>
      </c>
      <c r="I168" s="1" t="s">
        <v>1629</v>
      </c>
      <c r="J168" s="1" t="s">
        <v>776</v>
      </c>
      <c r="K168" s="1" t="s">
        <v>74</v>
      </c>
      <c r="L168" s="1" t="s">
        <v>74</v>
      </c>
      <c r="M168" s="1" t="s">
        <v>74</v>
      </c>
      <c r="N168" s="1" t="s">
        <v>74</v>
      </c>
      <c r="O168" s="1" t="s">
        <v>74</v>
      </c>
      <c r="P168" s="1" t="s">
        <v>74</v>
      </c>
      <c r="Q168" s="1" t="s">
        <v>74</v>
      </c>
      <c r="R168" s="1" t="s">
        <v>74</v>
      </c>
      <c r="S168" s="1" t="s">
        <v>74</v>
      </c>
      <c r="T168" s="1" t="s">
        <v>74</v>
      </c>
      <c r="U168" s="1" t="s">
        <v>74</v>
      </c>
      <c r="V168" s="1" t="s">
        <v>1630</v>
      </c>
      <c r="W168" s="1" t="s">
        <v>74</v>
      </c>
      <c r="X168" s="1" t="s">
        <v>74</v>
      </c>
      <c r="Y168" s="1" t="s">
        <v>74</v>
      </c>
      <c r="Z168" s="1" t="s">
        <v>74</v>
      </c>
      <c r="AA168" s="1" t="s">
        <v>74</v>
      </c>
      <c r="AB168" s="1" t="s">
        <v>74</v>
      </c>
      <c r="AC168" s="1" t="s">
        <v>74</v>
      </c>
      <c r="AD168" s="1" t="s">
        <v>74</v>
      </c>
      <c r="AE168" s="1" t="s">
        <v>74</v>
      </c>
      <c r="AF168" s="1" t="s">
        <v>74</v>
      </c>
      <c r="AG168" s="1" t="s">
        <v>74</v>
      </c>
      <c r="AH168" s="1" t="s">
        <v>74</v>
      </c>
      <c r="AI168" s="1" t="s">
        <v>74</v>
      </c>
      <c r="AJ168" s="1" t="s">
        <v>74</v>
      </c>
      <c r="AK168" s="1" t="s">
        <v>74</v>
      </c>
      <c r="AL168" s="1" t="s">
        <v>74</v>
      </c>
      <c r="AM168" s="1" t="s">
        <v>74</v>
      </c>
      <c r="AN168" s="1" t="s">
        <v>74</v>
      </c>
      <c r="AO168" s="1" t="s">
        <v>779</v>
      </c>
      <c r="AP168" s="1" t="s">
        <v>74</v>
      </c>
      <c r="AQ168" s="1" t="s">
        <v>74</v>
      </c>
      <c r="AR168" s="1" t="s">
        <v>74</v>
      </c>
      <c r="AS168" s="1" t="s">
        <v>74</v>
      </c>
      <c r="AT168" s="1" t="s">
        <v>74</v>
      </c>
      <c r="AU168" s="1">
        <v>2014.0</v>
      </c>
      <c r="AV168" s="1">
        <v>42.0</v>
      </c>
      <c r="AW168" s="1">
        <v>2.0</v>
      </c>
      <c r="AX168" s="1" t="s">
        <v>74</v>
      </c>
      <c r="AY168" s="1" t="s">
        <v>74</v>
      </c>
      <c r="AZ168" s="1" t="s">
        <v>74</v>
      </c>
      <c r="BA168" s="1" t="s">
        <v>74</v>
      </c>
      <c r="BB168" s="1">
        <v>41.0</v>
      </c>
      <c r="BC168" s="1">
        <v>60.0</v>
      </c>
      <c r="BD168" s="1" t="s">
        <v>74</v>
      </c>
      <c r="BE168" s="1" t="s">
        <v>1631</v>
      </c>
      <c r="BF168" s="2" t="str">
        <f>HYPERLINK("http://dx.doi.org/10.4067/S0718-22442014000200003","http://dx.doi.org/10.4067/S0718-22442014000200003")</f>
        <v>http://dx.doi.org/10.4067/S0718-22442014000200003</v>
      </c>
      <c r="BG168" s="1" t="s">
        <v>74</v>
      </c>
      <c r="BH168" s="1" t="s">
        <v>74</v>
      </c>
      <c r="BI168" s="1" t="s">
        <v>74</v>
      </c>
      <c r="BJ168" s="1" t="s">
        <v>74</v>
      </c>
      <c r="BK168" s="1" t="s">
        <v>74</v>
      </c>
      <c r="BL168" s="1" t="s">
        <v>74</v>
      </c>
      <c r="BM168" s="1" t="s">
        <v>74</v>
      </c>
      <c r="BN168" s="1" t="s">
        <v>74</v>
      </c>
      <c r="BO168" s="1" t="s">
        <v>74</v>
      </c>
      <c r="BP168" s="1" t="s">
        <v>74</v>
      </c>
      <c r="BQ168" s="1" t="s">
        <v>74</v>
      </c>
      <c r="BR168" s="1" t="s">
        <v>74</v>
      </c>
      <c r="BS168" s="1" t="s">
        <v>1632</v>
      </c>
      <c r="BT168" s="1" t="str">
        <f>HYPERLINK("https%3A%2F%2Fwww.webofscience.com%2Fwos%2Fwoscc%2Ffull-record%2FWOS:000348347200003","View Full Record in Web of Science")</f>
        <v>View Full Record in Web of Science</v>
      </c>
    </row>
    <row r="169" ht="12.75" customHeight="1">
      <c r="A169" s="1" t="s">
        <v>91</v>
      </c>
      <c r="B169" s="1" t="s">
        <v>1633</v>
      </c>
      <c r="C169" s="1" t="s">
        <v>74</v>
      </c>
      <c r="D169" s="1" t="s">
        <v>1634</v>
      </c>
      <c r="E169" s="1" t="s">
        <v>74</v>
      </c>
      <c r="F169" s="1" t="s">
        <v>1635</v>
      </c>
      <c r="G169" s="1" t="s">
        <v>74</v>
      </c>
      <c r="H169" s="1" t="s">
        <v>74</v>
      </c>
      <c r="I169" s="1" t="s">
        <v>1636</v>
      </c>
      <c r="J169" s="1" t="s">
        <v>1637</v>
      </c>
      <c r="K169" s="1" t="s">
        <v>1638</v>
      </c>
      <c r="L169" s="1" t="s">
        <v>74</v>
      </c>
      <c r="M169" s="1" t="s">
        <v>74</v>
      </c>
      <c r="N169" s="1" t="s">
        <v>74</v>
      </c>
      <c r="O169" s="1" t="s">
        <v>1639</v>
      </c>
      <c r="P169" s="1" t="s">
        <v>1640</v>
      </c>
      <c r="Q169" s="1" t="s">
        <v>1533</v>
      </c>
      <c r="R169" s="1" t="s">
        <v>74</v>
      </c>
      <c r="S169" s="1" t="s">
        <v>74</v>
      </c>
      <c r="T169" s="1" t="s">
        <v>74</v>
      </c>
      <c r="U169" s="1" t="s">
        <v>74</v>
      </c>
      <c r="V169" s="1" t="s">
        <v>1641</v>
      </c>
      <c r="W169" s="1" t="s">
        <v>74</v>
      </c>
      <c r="X169" s="1" t="s">
        <v>74</v>
      </c>
      <c r="Y169" s="1" t="s">
        <v>74</v>
      </c>
      <c r="Z169" s="1" t="s">
        <v>74</v>
      </c>
      <c r="AA169" s="1" t="s">
        <v>1642</v>
      </c>
      <c r="AB169" s="1" t="s">
        <v>1643</v>
      </c>
      <c r="AC169" s="1" t="s">
        <v>74</v>
      </c>
      <c r="AD169" s="1" t="s">
        <v>74</v>
      </c>
      <c r="AE169" s="1" t="s">
        <v>74</v>
      </c>
      <c r="AF169" s="1" t="s">
        <v>74</v>
      </c>
      <c r="AG169" s="1" t="s">
        <v>74</v>
      </c>
      <c r="AH169" s="1" t="s">
        <v>74</v>
      </c>
      <c r="AI169" s="1" t="s">
        <v>74</v>
      </c>
      <c r="AJ169" s="1" t="s">
        <v>74</v>
      </c>
      <c r="AK169" s="1" t="s">
        <v>74</v>
      </c>
      <c r="AL169" s="1" t="s">
        <v>74</v>
      </c>
      <c r="AM169" s="1" t="s">
        <v>74</v>
      </c>
      <c r="AN169" s="1" t="s">
        <v>74</v>
      </c>
      <c r="AO169" s="1" t="s">
        <v>1644</v>
      </c>
      <c r="AP169" s="1" t="s">
        <v>1645</v>
      </c>
      <c r="AQ169" s="1" t="s">
        <v>74</v>
      </c>
      <c r="AR169" s="1" t="s">
        <v>74</v>
      </c>
      <c r="AS169" s="1" t="s">
        <v>74</v>
      </c>
      <c r="AT169" s="1" t="s">
        <v>74</v>
      </c>
      <c r="AU169" s="1">
        <v>2014.0</v>
      </c>
      <c r="AV169" s="1">
        <v>490.0</v>
      </c>
      <c r="AW169" s="1" t="s">
        <v>74</v>
      </c>
      <c r="AX169" s="1" t="s">
        <v>74</v>
      </c>
      <c r="AY169" s="1" t="s">
        <v>74</v>
      </c>
      <c r="AZ169" s="1" t="s">
        <v>74</v>
      </c>
      <c r="BA169" s="1" t="s">
        <v>74</v>
      </c>
      <c r="BB169" s="1" t="s">
        <v>74</v>
      </c>
      <c r="BC169" s="1" t="s">
        <v>74</v>
      </c>
      <c r="BD169" s="1">
        <v>12044.0</v>
      </c>
      <c r="BE169" s="1" t="s">
        <v>1646</v>
      </c>
      <c r="BF169" s="2" t="str">
        <f>HYPERLINK("http://dx.doi.org/10.1088/1742-6596/490/1/012044","http://dx.doi.org/10.1088/1742-6596/490/1/012044")</f>
        <v>http://dx.doi.org/10.1088/1742-6596/490/1/012044</v>
      </c>
      <c r="BG169" s="1" t="s">
        <v>74</v>
      </c>
      <c r="BH169" s="1" t="s">
        <v>74</v>
      </c>
      <c r="BI169" s="1" t="s">
        <v>74</v>
      </c>
      <c r="BJ169" s="1" t="s">
        <v>74</v>
      </c>
      <c r="BK169" s="1" t="s">
        <v>74</v>
      </c>
      <c r="BL169" s="1" t="s">
        <v>74</v>
      </c>
      <c r="BM169" s="1" t="s">
        <v>74</v>
      </c>
      <c r="BN169" s="1" t="s">
        <v>74</v>
      </c>
      <c r="BO169" s="1" t="s">
        <v>74</v>
      </c>
      <c r="BP169" s="1" t="s">
        <v>74</v>
      </c>
      <c r="BQ169" s="1" t="s">
        <v>74</v>
      </c>
      <c r="BR169" s="1" t="s">
        <v>74</v>
      </c>
      <c r="BS169" s="1" t="s">
        <v>1647</v>
      </c>
      <c r="BT169" s="1" t="str">
        <f>HYPERLINK("https%3A%2F%2Fwww.webofscience.com%2Fwos%2Fwoscc%2Ffull-record%2FWOS:000335909300044","View Full Record in Web of Science")</f>
        <v>View Full Record in Web of Science</v>
      </c>
    </row>
    <row r="170" ht="12.75" customHeight="1">
      <c r="A170" s="1" t="s">
        <v>91</v>
      </c>
      <c r="B170" s="1" t="s">
        <v>1648</v>
      </c>
      <c r="C170" s="1" t="s">
        <v>74</v>
      </c>
      <c r="D170" s="1" t="s">
        <v>1649</v>
      </c>
      <c r="E170" s="1" t="s">
        <v>74</v>
      </c>
      <c r="F170" s="1" t="s">
        <v>1650</v>
      </c>
      <c r="G170" s="1" t="s">
        <v>74</v>
      </c>
      <c r="H170" s="1" t="s">
        <v>74</v>
      </c>
      <c r="I170" s="1" t="s">
        <v>1651</v>
      </c>
      <c r="J170" s="1" t="s">
        <v>1652</v>
      </c>
      <c r="K170" s="1" t="s">
        <v>1653</v>
      </c>
      <c r="L170" s="1" t="s">
        <v>74</v>
      </c>
      <c r="M170" s="1" t="s">
        <v>74</v>
      </c>
      <c r="N170" s="1" t="s">
        <v>74</v>
      </c>
      <c r="O170" s="1" t="s">
        <v>1654</v>
      </c>
      <c r="P170" s="1" t="s">
        <v>1655</v>
      </c>
      <c r="Q170" s="1" t="s">
        <v>1656</v>
      </c>
      <c r="R170" s="1" t="s">
        <v>1657</v>
      </c>
      <c r="S170" s="1" t="s">
        <v>74</v>
      </c>
      <c r="T170" s="1" t="s">
        <v>74</v>
      </c>
      <c r="U170" s="1" t="s">
        <v>74</v>
      </c>
      <c r="V170" s="1" t="s">
        <v>1658</v>
      </c>
      <c r="W170" s="1" t="s">
        <v>74</v>
      </c>
      <c r="X170" s="1" t="s">
        <v>74</v>
      </c>
      <c r="Y170" s="1" t="s">
        <v>74</v>
      </c>
      <c r="Z170" s="1" t="s">
        <v>74</v>
      </c>
      <c r="AA170" s="1" t="s">
        <v>74</v>
      </c>
      <c r="AB170" s="1" t="s">
        <v>74</v>
      </c>
      <c r="AC170" s="1" t="s">
        <v>74</v>
      </c>
      <c r="AD170" s="1" t="s">
        <v>74</v>
      </c>
      <c r="AE170" s="1" t="s">
        <v>74</v>
      </c>
      <c r="AF170" s="1" t="s">
        <v>74</v>
      </c>
      <c r="AG170" s="1" t="s">
        <v>74</v>
      </c>
      <c r="AH170" s="1" t="s">
        <v>74</v>
      </c>
      <c r="AI170" s="1" t="s">
        <v>74</v>
      </c>
      <c r="AJ170" s="1" t="s">
        <v>74</v>
      </c>
      <c r="AK170" s="1" t="s">
        <v>74</v>
      </c>
      <c r="AL170" s="1" t="s">
        <v>74</v>
      </c>
      <c r="AM170" s="1" t="s">
        <v>74</v>
      </c>
      <c r="AN170" s="1" t="s">
        <v>74</v>
      </c>
      <c r="AO170" s="1" t="s">
        <v>1659</v>
      </c>
      <c r="AP170" s="1" t="s">
        <v>74</v>
      </c>
      <c r="AQ170" s="1" t="s">
        <v>1660</v>
      </c>
      <c r="AR170" s="1" t="s">
        <v>74</v>
      </c>
      <c r="AS170" s="1" t="s">
        <v>74</v>
      </c>
      <c r="AT170" s="1" t="s">
        <v>74</v>
      </c>
      <c r="AU170" s="1">
        <v>2013.0</v>
      </c>
      <c r="AV170" s="1">
        <v>54.0</v>
      </c>
      <c r="AW170" s="1" t="s">
        <v>74</v>
      </c>
      <c r="AX170" s="1" t="s">
        <v>74</v>
      </c>
      <c r="AY170" s="1" t="s">
        <v>74</v>
      </c>
      <c r="AZ170" s="1" t="s">
        <v>74</v>
      </c>
      <c r="BA170" s="1" t="s">
        <v>74</v>
      </c>
      <c r="BB170" s="1">
        <v>25.0</v>
      </c>
      <c r="BC170" s="1">
        <v>52.0</v>
      </c>
      <c r="BD170" s="1" t="s">
        <v>74</v>
      </c>
      <c r="BE170" s="1" t="s">
        <v>1661</v>
      </c>
      <c r="BF170" s="2" t="str">
        <f>HYPERLINK("http://dx.doi.org/10.1007/978-3-642-38830-9_3","http://dx.doi.org/10.1007/978-3-642-38830-9_3")</f>
        <v>http://dx.doi.org/10.1007/978-3-642-38830-9_3</v>
      </c>
      <c r="BG170" s="1" t="s">
        <v>74</v>
      </c>
      <c r="BH170" s="1" t="s">
        <v>74</v>
      </c>
      <c r="BI170" s="1" t="s">
        <v>74</v>
      </c>
      <c r="BJ170" s="1" t="s">
        <v>74</v>
      </c>
      <c r="BK170" s="1" t="s">
        <v>74</v>
      </c>
      <c r="BL170" s="1" t="s">
        <v>74</v>
      </c>
      <c r="BM170" s="1" t="s">
        <v>74</v>
      </c>
      <c r="BN170" s="1" t="s">
        <v>74</v>
      </c>
      <c r="BO170" s="1" t="s">
        <v>74</v>
      </c>
      <c r="BP170" s="1" t="s">
        <v>74</v>
      </c>
      <c r="BQ170" s="1" t="s">
        <v>74</v>
      </c>
      <c r="BR170" s="1" t="s">
        <v>74</v>
      </c>
      <c r="BS170" s="1" t="s">
        <v>1662</v>
      </c>
      <c r="BT170" s="1" t="str">
        <f>HYPERLINK("https%3A%2F%2Fwww.webofscience.com%2Fwos%2Fwoscc%2Ffull-record%2FWOS:000337594300003","View Full Record in Web of Science")</f>
        <v>View Full Record in Web of Science</v>
      </c>
    </row>
    <row r="171" ht="12.75" customHeight="1">
      <c r="A171" s="1" t="s">
        <v>72</v>
      </c>
      <c r="B171" s="1" t="s">
        <v>1663</v>
      </c>
      <c r="C171" s="1" t="s">
        <v>74</v>
      </c>
      <c r="D171" s="1" t="s">
        <v>74</v>
      </c>
      <c r="E171" s="1" t="s">
        <v>74</v>
      </c>
      <c r="F171" s="1" t="s">
        <v>1664</v>
      </c>
      <c r="G171" s="1" t="s">
        <v>74</v>
      </c>
      <c r="H171" s="1" t="s">
        <v>74</v>
      </c>
      <c r="I171" s="1" t="s">
        <v>1665</v>
      </c>
      <c r="J171" s="1" t="s">
        <v>1666</v>
      </c>
      <c r="K171" s="1" t="s">
        <v>74</v>
      </c>
      <c r="L171" s="1" t="s">
        <v>74</v>
      </c>
      <c r="M171" s="1" t="s">
        <v>74</v>
      </c>
      <c r="N171" s="1" t="s">
        <v>74</v>
      </c>
      <c r="O171" s="1" t="s">
        <v>74</v>
      </c>
      <c r="P171" s="1" t="s">
        <v>74</v>
      </c>
      <c r="Q171" s="1" t="s">
        <v>74</v>
      </c>
      <c r="R171" s="1" t="s">
        <v>74</v>
      </c>
      <c r="S171" s="1" t="s">
        <v>74</v>
      </c>
      <c r="T171" s="1" t="s">
        <v>74</v>
      </c>
      <c r="U171" s="1" t="s">
        <v>74</v>
      </c>
      <c r="V171" s="1" t="s">
        <v>1667</v>
      </c>
      <c r="W171" s="1" t="s">
        <v>74</v>
      </c>
      <c r="X171" s="1" t="s">
        <v>74</v>
      </c>
      <c r="Y171" s="1" t="s">
        <v>74</v>
      </c>
      <c r="Z171" s="1" t="s">
        <v>74</v>
      </c>
      <c r="AA171" s="1" t="s">
        <v>74</v>
      </c>
      <c r="AB171" s="1" t="s">
        <v>74</v>
      </c>
      <c r="AC171" s="1" t="s">
        <v>74</v>
      </c>
      <c r="AD171" s="1" t="s">
        <v>74</v>
      </c>
      <c r="AE171" s="1" t="s">
        <v>74</v>
      </c>
      <c r="AF171" s="1" t="s">
        <v>74</v>
      </c>
      <c r="AG171" s="1" t="s">
        <v>74</v>
      </c>
      <c r="AH171" s="1" t="s">
        <v>74</v>
      </c>
      <c r="AI171" s="1" t="s">
        <v>74</v>
      </c>
      <c r="AJ171" s="1" t="s">
        <v>74</v>
      </c>
      <c r="AK171" s="1" t="s">
        <v>74</v>
      </c>
      <c r="AL171" s="1" t="s">
        <v>74</v>
      </c>
      <c r="AM171" s="1" t="s">
        <v>74</v>
      </c>
      <c r="AN171" s="1" t="s">
        <v>74</v>
      </c>
      <c r="AO171" s="1" t="s">
        <v>1668</v>
      </c>
      <c r="AP171" s="1" t="s">
        <v>1669</v>
      </c>
      <c r="AQ171" s="1" t="s">
        <v>74</v>
      </c>
      <c r="AR171" s="1" t="s">
        <v>74</v>
      </c>
      <c r="AS171" s="1" t="s">
        <v>74</v>
      </c>
      <c r="AT171" s="1" t="s">
        <v>276</v>
      </c>
      <c r="AU171" s="1">
        <v>2012.0</v>
      </c>
      <c r="AV171" s="1">
        <v>38.0</v>
      </c>
      <c r="AW171" s="1" t="s">
        <v>74</v>
      </c>
      <c r="AX171" s="1" t="s">
        <v>74</v>
      </c>
      <c r="AY171" s="1" t="s">
        <v>74</v>
      </c>
      <c r="AZ171" s="1" t="s">
        <v>74</v>
      </c>
      <c r="BA171" s="1" t="s">
        <v>74</v>
      </c>
      <c r="BB171" s="1">
        <v>389.0</v>
      </c>
      <c r="BC171" s="1">
        <v>395.0</v>
      </c>
      <c r="BD171" s="1" t="s">
        <v>74</v>
      </c>
      <c r="BE171" s="1" t="s">
        <v>1670</v>
      </c>
      <c r="BF171" s="2" t="str">
        <f>HYPERLINK("http://dx.doi.org/10.1016/j.jmgm.2012.05.001","http://dx.doi.org/10.1016/j.jmgm.2012.05.001")</f>
        <v>http://dx.doi.org/10.1016/j.jmgm.2012.05.001</v>
      </c>
      <c r="BG171" s="1" t="s">
        <v>74</v>
      </c>
      <c r="BH171" s="1" t="s">
        <v>74</v>
      </c>
      <c r="BI171" s="1" t="s">
        <v>74</v>
      </c>
      <c r="BJ171" s="1" t="s">
        <v>74</v>
      </c>
      <c r="BK171" s="1" t="s">
        <v>74</v>
      </c>
      <c r="BL171" s="1" t="s">
        <v>74</v>
      </c>
      <c r="BM171" s="1" t="s">
        <v>74</v>
      </c>
      <c r="BN171" s="1">
        <v>2.308518E7</v>
      </c>
      <c r="BO171" s="1" t="s">
        <v>74</v>
      </c>
      <c r="BP171" s="1" t="s">
        <v>74</v>
      </c>
      <c r="BQ171" s="1" t="s">
        <v>74</v>
      </c>
      <c r="BR171" s="1" t="s">
        <v>74</v>
      </c>
      <c r="BS171" s="1" t="s">
        <v>1671</v>
      </c>
      <c r="BT171" s="1" t="str">
        <f>HYPERLINK("https%3A%2F%2Fwww.webofscience.com%2Fwos%2Fwoscc%2Ffull-record%2FWOS:000313392800042","View Full Record in Web of Science")</f>
        <v>View Full Record in Web of Science</v>
      </c>
    </row>
    <row r="172" ht="12.75" customHeight="1">
      <c r="A172" s="1" t="s">
        <v>72</v>
      </c>
      <c r="B172" s="1" t="s">
        <v>1672</v>
      </c>
      <c r="C172" s="1" t="s">
        <v>74</v>
      </c>
      <c r="D172" s="1" t="s">
        <v>74</v>
      </c>
      <c r="E172" s="1" t="s">
        <v>74</v>
      </c>
      <c r="F172" s="1" t="s">
        <v>1673</v>
      </c>
      <c r="G172" s="1" t="s">
        <v>74</v>
      </c>
      <c r="H172" s="1" t="s">
        <v>74</v>
      </c>
      <c r="I172" s="1" t="s">
        <v>1674</v>
      </c>
      <c r="J172" s="1" t="s">
        <v>912</v>
      </c>
      <c r="K172" s="1" t="s">
        <v>74</v>
      </c>
      <c r="L172" s="1" t="s">
        <v>74</v>
      </c>
      <c r="M172" s="1" t="s">
        <v>74</v>
      </c>
      <c r="N172" s="1" t="s">
        <v>74</v>
      </c>
      <c r="O172" s="1" t="s">
        <v>74</v>
      </c>
      <c r="P172" s="1" t="s">
        <v>74</v>
      </c>
      <c r="Q172" s="1" t="s">
        <v>74</v>
      </c>
      <c r="R172" s="1" t="s">
        <v>74</v>
      </c>
      <c r="S172" s="1" t="s">
        <v>74</v>
      </c>
      <c r="T172" s="1" t="s">
        <v>74</v>
      </c>
      <c r="U172" s="1" t="s">
        <v>74</v>
      </c>
      <c r="V172" s="1" t="s">
        <v>74</v>
      </c>
      <c r="W172" s="1" t="s">
        <v>74</v>
      </c>
      <c r="X172" s="1" t="s">
        <v>74</v>
      </c>
      <c r="Y172" s="1" t="s">
        <v>74</v>
      </c>
      <c r="Z172" s="1" t="s">
        <v>74</v>
      </c>
      <c r="AA172" s="1" t="s">
        <v>74</v>
      </c>
      <c r="AB172" s="1" t="s">
        <v>74</v>
      </c>
      <c r="AC172" s="1" t="s">
        <v>74</v>
      </c>
      <c r="AD172" s="1" t="s">
        <v>74</v>
      </c>
      <c r="AE172" s="1" t="s">
        <v>74</v>
      </c>
      <c r="AF172" s="1" t="s">
        <v>74</v>
      </c>
      <c r="AG172" s="1" t="s">
        <v>74</v>
      </c>
      <c r="AH172" s="1" t="s">
        <v>74</v>
      </c>
      <c r="AI172" s="1" t="s">
        <v>74</v>
      </c>
      <c r="AJ172" s="1" t="s">
        <v>74</v>
      </c>
      <c r="AK172" s="1" t="s">
        <v>74</v>
      </c>
      <c r="AL172" s="1" t="s">
        <v>74</v>
      </c>
      <c r="AM172" s="1" t="s">
        <v>74</v>
      </c>
      <c r="AN172" s="1" t="s">
        <v>74</v>
      </c>
      <c r="AO172" s="1" t="s">
        <v>914</v>
      </c>
      <c r="AP172" s="1" t="s">
        <v>74</v>
      </c>
      <c r="AQ172" s="1" t="s">
        <v>74</v>
      </c>
      <c r="AR172" s="1" t="s">
        <v>74</v>
      </c>
      <c r="AS172" s="1" t="s">
        <v>74</v>
      </c>
      <c r="AT172" s="1" t="s">
        <v>1493</v>
      </c>
      <c r="AU172" s="1">
        <v>2012.0</v>
      </c>
      <c r="AV172" s="1">
        <v>45.0</v>
      </c>
      <c r="AW172" s="1">
        <v>1.0</v>
      </c>
      <c r="AX172" s="1" t="s">
        <v>74</v>
      </c>
      <c r="AY172" s="1" t="s">
        <v>74</v>
      </c>
      <c r="AZ172" s="1" t="s">
        <v>74</v>
      </c>
      <c r="BA172" s="1" t="s">
        <v>74</v>
      </c>
      <c r="BB172" s="1">
        <v>301.0</v>
      </c>
      <c r="BC172" s="1">
        <v>304.0</v>
      </c>
      <c r="BD172" s="1" t="s">
        <v>74</v>
      </c>
      <c r="BE172" s="1" t="s">
        <v>74</v>
      </c>
      <c r="BF172" s="1" t="s">
        <v>74</v>
      </c>
      <c r="BG172" s="1" t="s">
        <v>74</v>
      </c>
      <c r="BH172" s="1" t="s">
        <v>74</v>
      </c>
      <c r="BI172" s="1" t="s">
        <v>74</v>
      </c>
      <c r="BJ172" s="1" t="s">
        <v>74</v>
      </c>
      <c r="BK172" s="1" t="s">
        <v>74</v>
      </c>
      <c r="BL172" s="1" t="s">
        <v>74</v>
      </c>
      <c r="BM172" s="1" t="s">
        <v>74</v>
      </c>
      <c r="BN172" s="1" t="s">
        <v>74</v>
      </c>
      <c r="BO172" s="1" t="s">
        <v>74</v>
      </c>
      <c r="BP172" s="1" t="s">
        <v>74</v>
      </c>
      <c r="BQ172" s="1" t="s">
        <v>74</v>
      </c>
      <c r="BR172" s="1" t="s">
        <v>74</v>
      </c>
      <c r="BS172" s="1" t="s">
        <v>1675</v>
      </c>
      <c r="BT172" s="1" t="str">
        <f>HYPERLINK("https%3A%2F%2Fwww.webofscience.com%2Fwos%2Fwoscc%2Ffull-record%2FWOS:000306396500025","View Full Record in Web of Science")</f>
        <v>View Full Record in Web of Science</v>
      </c>
    </row>
    <row r="173" ht="12.75" customHeight="1">
      <c r="A173" s="1" t="s">
        <v>72</v>
      </c>
      <c r="B173" s="1" t="s">
        <v>1676</v>
      </c>
      <c r="C173" s="1" t="s">
        <v>74</v>
      </c>
      <c r="D173" s="1" t="s">
        <v>74</v>
      </c>
      <c r="E173" s="1" t="s">
        <v>74</v>
      </c>
      <c r="F173" s="1" t="s">
        <v>1677</v>
      </c>
      <c r="G173" s="1" t="s">
        <v>74</v>
      </c>
      <c r="H173" s="1" t="s">
        <v>74</v>
      </c>
      <c r="I173" s="1" t="s">
        <v>1678</v>
      </c>
      <c r="J173" s="1" t="s">
        <v>1679</v>
      </c>
      <c r="K173" s="1" t="s">
        <v>74</v>
      </c>
      <c r="L173" s="1" t="s">
        <v>74</v>
      </c>
      <c r="M173" s="1" t="s">
        <v>74</v>
      </c>
      <c r="N173" s="1" t="s">
        <v>74</v>
      </c>
      <c r="O173" s="1" t="s">
        <v>74</v>
      </c>
      <c r="P173" s="1" t="s">
        <v>74</v>
      </c>
      <c r="Q173" s="1" t="s">
        <v>74</v>
      </c>
      <c r="R173" s="1" t="s">
        <v>74</v>
      </c>
      <c r="S173" s="1" t="s">
        <v>74</v>
      </c>
      <c r="T173" s="1" t="s">
        <v>74</v>
      </c>
      <c r="U173" s="1" t="s">
        <v>74</v>
      </c>
      <c r="V173" s="1" t="s">
        <v>1680</v>
      </c>
      <c r="W173" s="1" t="s">
        <v>74</v>
      </c>
      <c r="X173" s="1" t="s">
        <v>74</v>
      </c>
      <c r="Y173" s="1" t="s">
        <v>74</v>
      </c>
      <c r="Z173" s="1" t="s">
        <v>74</v>
      </c>
      <c r="AA173" s="1" t="s">
        <v>1681</v>
      </c>
      <c r="AB173" s="1" t="s">
        <v>1682</v>
      </c>
      <c r="AC173" s="1" t="s">
        <v>74</v>
      </c>
      <c r="AD173" s="1" t="s">
        <v>74</v>
      </c>
      <c r="AE173" s="1" t="s">
        <v>74</v>
      </c>
      <c r="AF173" s="1" t="s">
        <v>74</v>
      </c>
      <c r="AG173" s="1" t="s">
        <v>74</v>
      </c>
      <c r="AH173" s="1" t="s">
        <v>74</v>
      </c>
      <c r="AI173" s="1" t="s">
        <v>74</v>
      </c>
      <c r="AJ173" s="1" t="s">
        <v>74</v>
      </c>
      <c r="AK173" s="1" t="s">
        <v>74</v>
      </c>
      <c r="AL173" s="1" t="s">
        <v>74</v>
      </c>
      <c r="AM173" s="1" t="s">
        <v>74</v>
      </c>
      <c r="AN173" s="1" t="s">
        <v>74</v>
      </c>
      <c r="AO173" s="1" t="s">
        <v>1683</v>
      </c>
      <c r="AP173" s="1" t="s">
        <v>1684</v>
      </c>
      <c r="AQ173" s="1" t="s">
        <v>74</v>
      </c>
      <c r="AR173" s="1" t="s">
        <v>74</v>
      </c>
      <c r="AS173" s="1" t="s">
        <v>74</v>
      </c>
      <c r="AT173" s="1" t="s">
        <v>205</v>
      </c>
      <c r="AU173" s="1">
        <v>2011.0</v>
      </c>
      <c r="AV173" s="1">
        <v>13.0</v>
      </c>
      <c r="AW173" s="1">
        <v>11.0</v>
      </c>
      <c r="AX173" s="1" t="s">
        <v>74</v>
      </c>
      <c r="AY173" s="1" t="s">
        <v>74</v>
      </c>
      <c r="AZ173" s="1" t="s">
        <v>74</v>
      </c>
      <c r="BA173" s="1" t="s">
        <v>74</v>
      </c>
      <c r="BB173" s="1">
        <v>1182.0</v>
      </c>
      <c r="BC173" s="1">
        <v>1185.0</v>
      </c>
      <c r="BD173" s="1" t="s">
        <v>74</v>
      </c>
      <c r="BE173" s="1" t="s">
        <v>1685</v>
      </c>
      <c r="BF173" s="2" t="str">
        <f>HYPERLINK("http://dx.doi.org/10.1016/j.elecom.2011.08.050","http://dx.doi.org/10.1016/j.elecom.2011.08.050")</f>
        <v>http://dx.doi.org/10.1016/j.elecom.2011.08.050</v>
      </c>
      <c r="BG173" s="1" t="s">
        <v>74</v>
      </c>
      <c r="BH173" s="1" t="s">
        <v>74</v>
      </c>
      <c r="BI173" s="1" t="s">
        <v>74</v>
      </c>
      <c r="BJ173" s="1" t="s">
        <v>74</v>
      </c>
      <c r="BK173" s="1" t="s">
        <v>74</v>
      </c>
      <c r="BL173" s="1" t="s">
        <v>74</v>
      </c>
      <c r="BM173" s="1" t="s">
        <v>74</v>
      </c>
      <c r="BN173" s="1" t="s">
        <v>74</v>
      </c>
      <c r="BO173" s="1" t="s">
        <v>74</v>
      </c>
      <c r="BP173" s="1" t="s">
        <v>74</v>
      </c>
      <c r="BQ173" s="1" t="s">
        <v>74</v>
      </c>
      <c r="BR173" s="1" t="s">
        <v>74</v>
      </c>
      <c r="BS173" s="1" t="s">
        <v>1686</v>
      </c>
      <c r="BT173" s="1" t="str">
        <f>HYPERLINK("https%3A%2F%2Fwww.webofscience.com%2Fwos%2Fwoscc%2Ffull-record%2FWOS:000297492800009","View Full Record in Web of Science")</f>
        <v>View Full Record in Web of Science</v>
      </c>
    </row>
    <row r="174" ht="12.75" customHeight="1">
      <c r="A174" s="1" t="s">
        <v>72</v>
      </c>
      <c r="B174" s="1" t="s">
        <v>1687</v>
      </c>
      <c r="C174" s="1" t="s">
        <v>74</v>
      </c>
      <c r="D174" s="1" t="s">
        <v>74</v>
      </c>
      <c r="E174" s="1" t="s">
        <v>74</v>
      </c>
      <c r="F174" s="1" t="s">
        <v>1688</v>
      </c>
      <c r="G174" s="1" t="s">
        <v>74</v>
      </c>
      <c r="H174" s="1" t="s">
        <v>74</v>
      </c>
      <c r="I174" s="1" t="s">
        <v>1689</v>
      </c>
      <c r="J174" s="1" t="s">
        <v>1690</v>
      </c>
      <c r="K174" s="1" t="s">
        <v>74</v>
      </c>
      <c r="L174" s="1" t="s">
        <v>74</v>
      </c>
      <c r="M174" s="1" t="s">
        <v>74</v>
      </c>
      <c r="N174" s="1" t="s">
        <v>74</v>
      </c>
      <c r="O174" s="1" t="s">
        <v>74</v>
      </c>
      <c r="P174" s="1" t="s">
        <v>74</v>
      </c>
      <c r="Q174" s="1" t="s">
        <v>74</v>
      </c>
      <c r="R174" s="1" t="s">
        <v>74</v>
      </c>
      <c r="S174" s="1" t="s">
        <v>74</v>
      </c>
      <c r="T174" s="1" t="s">
        <v>74</v>
      </c>
      <c r="U174" s="1" t="s">
        <v>74</v>
      </c>
      <c r="V174" s="1" t="s">
        <v>1691</v>
      </c>
      <c r="W174" s="1" t="s">
        <v>74</v>
      </c>
      <c r="X174" s="1" t="s">
        <v>74</v>
      </c>
      <c r="Y174" s="1" t="s">
        <v>74</v>
      </c>
      <c r="Z174" s="1" t="s">
        <v>74</v>
      </c>
      <c r="AA174" s="1" t="s">
        <v>1692</v>
      </c>
      <c r="AB174" s="1" t="s">
        <v>1693</v>
      </c>
      <c r="AC174" s="1" t="s">
        <v>74</v>
      </c>
      <c r="AD174" s="1" t="s">
        <v>74</v>
      </c>
      <c r="AE174" s="1" t="s">
        <v>74</v>
      </c>
      <c r="AF174" s="1" t="s">
        <v>74</v>
      </c>
      <c r="AG174" s="1" t="s">
        <v>74</v>
      </c>
      <c r="AH174" s="1" t="s">
        <v>74</v>
      </c>
      <c r="AI174" s="1" t="s">
        <v>74</v>
      </c>
      <c r="AJ174" s="1" t="s">
        <v>74</v>
      </c>
      <c r="AK174" s="1" t="s">
        <v>74</v>
      </c>
      <c r="AL174" s="1" t="s">
        <v>74</v>
      </c>
      <c r="AM174" s="1" t="s">
        <v>74</v>
      </c>
      <c r="AN174" s="1" t="s">
        <v>74</v>
      </c>
      <c r="AO174" s="1" t="s">
        <v>1694</v>
      </c>
      <c r="AP174" s="1" t="s">
        <v>1695</v>
      </c>
      <c r="AQ174" s="1" t="s">
        <v>74</v>
      </c>
      <c r="AR174" s="1" t="s">
        <v>74</v>
      </c>
      <c r="AS174" s="1" t="s">
        <v>74</v>
      </c>
      <c r="AT174" s="1" t="s">
        <v>347</v>
      </c>
      <c r="AU174" s="1">
        <v>2011.0</v>
      </c>
      <c r="AV174" s="1">
        <v>42.0</v>
      </c>
      <c r="AW174" s="1">
        <v>4.0</v>
      </c>
      <c r="AX174" s="1" t="s">
        <v>74</v>
      </c>
      <c r="AY174" s="1" t="s">
        <v>74</v>
      </c>
      <c r="AZ174" s="1" t="s">
        <v>74</v>
      </c>
      <c r="BA174" s="1" t="s">
        <v>74</v>
      </c>
      <c r="BB174" s="1">
        <v>870.0</v>
      </c>
      <c r="BC174" s="1">
        <v>878.0</v>
      </c>
      <c r="BD174" s="1" t="s">
        <v>74</v>
      </c>
      <c r="BE174" s="1" t="s">
        <v>1696</v>
      </c>
      <c r="BF174" s="2" t="str">
        <f>HYPERLINK("http://dx.doi.org/10.1002/jrs.2760","http://dx.doi.org/10.1002/jrs.2760")</f>
        <v>http://dx.doi.org/10.1002/jrs.2760</v>
      </c>
      <c r="BG174" s="1" t="s">
        <v>74</v>
      </c>
      <c r="BH174" s="1" t="s">
        <v>74</v>
      </c>
      <c r="BI174" s="1" t="s">
        <v>74</v>
      </c>
      <c r="BJ174" s="1" t="s">
        <v>74</v>
      </c>
      <c r="BK174" s="1" t="s">
        <v>74</v>
      </c>
      <c r="BL174" s="1" t="s">
        <v>74</v>
      </c>
      <c r="BM174" s="1" t="s">
        <v>74</v>
      </c>
      <c r="BN174" s="1" t="s">
        <v>74</v>
      </c>
      <c r="BO174" s="1" t="s">
        <v>74</v>
      </c>
      <c r="BP174" s="1" t="s">
        <v>74</v>
      </c>
      <c r="BQ174" s="1" t="s">
        <v>74</v>
      </c>
      <c r="BR174" s="1" t="s">
        <v>74</v>
      </c>
      <c r="BS174" s="1" t="s">
        <v>1697</v>
      </c>
      <c r="BT174" s="1" t="str">
        <f>HYPERLINK("https%3A%2F%2Fwww.webofscience.com%2Fwos%2Fwoscc%2Ffull-record%2FWOS:000290484700041","View Full Record in Web of Science")</f>
        <v>View Full Record in Web of Science</v>
      </c>
    </row>
    <row r="175" ht="12.75" customHeight="1">
      <c r="A175" s="1" t="s">
        <v>72</v>
      </c>
      <c r="B175" s="1" t="s">
        <v>1698</v>
      </c>
      <c r="C175" s="1" t="s">
        <v>74</v>
      </c>
      <c r="D175" s="1" t="s">
        <v>74</v>
      </c>
      <c r="E175" s="1" t="s">
        <v>74</v>
      </c>
      <c r="F175" s="1" t="s">
        <v>1699</v>
      </c>
      <c r="G175" s="1" t="s">
        <v>74</v>
      </c>
      <c r="H175" s="1" t="s">
        <v>74</v>
      </c>
      <c r="I175" s="1" t="s">
        <v>1700</v>
      </c>
      <c r="J175" s="1" t="s">
        <v>1701</v>
      </c>
      <c r="K175" s="1" t="s">
        <v>74</v>
      </c>
      <c r="L175" s="1" t="s">
        <v>74</v>
      </c>
      <c r="M175" s="1" t="s">
        <v>74</v>
      </c>
      <c r="N175" s="1" t="s">
        <v>74</v>
      </c>
      <c r="O175" s="1" t="s">
        <v>74</v>
      </c>
      <c r="P175" s="1" t="s">
        <v>74</v>
      </c>
      <c r="Q175" s="1" t="s">
        <v>74</v>
      </c>
      <c r="R175" s="1" t="s">
        <v>74</v>
      </c>
      <c r="S175" s="1" t="s">
        <v>74</v>
      </c>
      <c r="T175" s="1" t="s">
        <v>74</v>
      </c>
      <c r="U175" s="1" t="s">
        <v>74</v>
      </c>
      <c r="V175" s="1" t="s">
        <v>1702</v>
      </c>
      <c r="W175" s="1" t="s">
        <v>74</v>
      </c>
      <c r="X175" s="1" t="s">
        <v>74</v>
      </c>
      <c r="Y175" s="1" t="s">
        <v>74</v>
      </c>
      <c r="Z175" s="1" t="s">
        <v>74</v>
      </c>
      <c r="AA175" s="1" t="s">
        <v>74</v>
      </c>
      <c r="AB175" s="1" t="s">
        <v>74</v>
      </c>
      <c r="AC175" s="1" t="s">
        <v>74</v>
      </c>
      <c r="AD175" s="1" t="s">
        <v>74</v>
      </c>
      <c r="AE175" s="1" t="s">
        <v>74</v>
      </c>
      <c r="AF175" s="1" t="s">
        <v>74</v>
      </c>
      <c r="AG175" s="1" t="s">
        <v>74</v>
      </c>
      <c r="AH175" s="1" t="s">
        <v>74</v>
      </c>
      <c r="AI175" s="1" t="s">
        <v>74</v>
      </c>
      <c r="AJ175" s="1" t="s">
        <v>74</v>
      </c>
      <c r="AK175" s="1" t="s">
        <v>74</v>
      </c>
      <c r="AL175" s="1" t="s">
        <v>74</v>
      </c>
      <c r="AM175" s="1" t="s">
        <v>74</v>
      </c>
      <c r="AN175" s="1" t="s">
        <v>74</v>
      </c>
      <c r="AO175" s="1" t="s">
        <v>1703</v>
      </c>
      <c r="AP175" s="1" t="s">
        <v>74</v>
      </c>
      <c r="AQ175" s="1" t="s">
        <v>74</v>
      </c>
      <c r="AR175" s="1" t="s">
        <v>74</v>
      </c>
      <c r="AS175" s="1" t="s">
        <v>74</v>
      </c>
      <c r="AT175" s="1" t="s">
        <v>148</v>
      </c>
      <c r="AU175" s="1">
        <v>2011.0</v>
      </c>
      <c r="AV175" s="1">
        <v>90.0</v>
      </c>
      <c r="AW175" s="1">
        <v>1.0</v>
      </c>
      <c r="AX175" s="1" t="s">
        <v>74</v>
      </c>
      <c r="AY175" s="1" t="s">
        <v>74</v>
      </c>
      <c r="AZ175" s="1" t="s">
        <v>74</v>
      </c>
      <c r="BA175" s="1" t="s">
        <v>74</v>
      </c>
      <c r="BB175" s="1">
        <v>143.0</v>
      </c>
      <c r="BC175" s="1">
        <v>158.0</v>
      </c>
      <c r="BD175" s="1" t="s">
        <v>74</v>
      </c>
      <c r="BE175" s="1" t="s">
        <v>1704</v>
      </c>
      <c r="BF175" s="2" t="str">
        <f>HYPERLINK("http://dx.doi.org/10.1111/j.1435-5957.2010.00311.x","http://dx.doi.org/10.1111/j.1435-5957.2010.00311.x")</f>
        <v>http://dx.doi.org/10.1111/j.1435-5957.2010.00311.x</v>
      </c>
      <c r="BG175" s="1" t="s">
        <v>74</v>
      </c>
      <c r="BH175" s="1" t="s">
        <v>74</v>
      </c>
      <c r="BI175" s="1" t="s">
        <v>74</v>
      </c>
      <c r="BJ175" s="1" t="s">
        <v>74</v>
      </c>
      <c r="BK175" s="1" t="s">
        <v>74</v>
      </c>
      <c r="BL175" s="1" t="s">
        <v>74</v>
      </c>
      <c r="BM175" s="1" t="s">
        <v>74</v>
      </c>
      <c r="BN175" s="1" t="s">
        <v>74</v>
      </c>
      <c r="BO175" s="1" t="s">
        <v>74</v>
      </c>
      <c r="BP175" s="1" t="s">
        <v>74</v>
      </c>
      <c r="BQ175" s="1" t="s">
        <v>74</v>
      </c>
      <c r="BR175" s="1" t="s">
        <v>74</v>
      </c>
      <c r="BS175" s="1" t="s">
        <v>1705</v>
      </c>
      <c r="BT175" s="1" t="str">
        <f>HYPERLINK("https%3A%2F%2Fwww.webofscience.com%2Fwos%2Fwoscc%2Ffull-record%2FWOS:000287932300010","View Full Record in Web of Science")</f>
        <v>View Full Record in Web of Science</v>
      </c>
    </row>
    <row r="176" ht="12.75" customHeight="1">
      <c r="A176" s="1" t="s">
        <v>72</v>
      </c>
      <c r="B176" s="1" t="s">
        <v>1706</v>
      </c>
      <c r="C176" s="1" t="s">
        <v>74</v>
      </c>
      <c r="D176" s="1" t="s">
        <v>74</v>
      </c>
      <c r="E176" s="1" t="s">
        <v>74</v>
      </c>
      <c r="F176" s="1" t="s">
        <v>1707</v>
      </c>
      <c r="G176" s="1" t="s">
        <v>74</v>
      </c>
      <c r="H176" s="1" t="s">
        <v>74</v>
      </c>
      <c r="I176" s="1" t="s">
        <v>1708</v>
      </c>
      <c r="J176" s="1" t="s">
        <v>1709</v>
      </c>
      <c r="K176" s="1" t="s">
        <v>74</v>
      </c>
      <c r="L176" s="1" t="s">
        <v>74</v>
      </c>
      <c r="M176" s="1" t="s">
        <v>74</v>
      </c>
      <c r="N176" s="1" t="s">
        <v>74</v>
      </c>
      <c r="O176" s="1" t="s">
        <v>74</v>
      </c>
      <c r="P176" s="1" t="s">
        <v>74</v>
      </c>
      <c r="Q176" s="1" t="s">
        <v>74</v>
      </c>
      <c r="R176" s="1" t="s">
        <v>74</v>
      </c>
      <c r="S176" s="1" t="s">
        <v>74</v>
      </c>
      <c r="T176" s="1" t="s">
        <v>74</v>
      </c>
      <c r="U176" s="1" t="s">
        <v>74</v>
      </c>
      <c r="V176" s="1" t="s">
        <v>1710</v>
      </c>
      <c r="W176" s="1" t="s">
        <v>74</v>
      </c>
      <c r="X176" s="1" t="s">
        <v>74</v>
      </c>
      <c r="Y176" s="1" t="s">
        <v>74</v>
      </c>
      <c r="Z176" s="1" t="s">
        <v>74</v>
      </c>
      <c r="AA176" s="1" t="s">
        <v>1711</v>
      </c>
      <c r="AB176" s="1" t="s">
        <v>74</v>
      </c>
      <c r="AC176" s="1" t="s">
        <v>74</v>
      </c>
      <c r="AD176" s="1" t="s">
        <v>74</v>
      </c>
      <c r="AE176" s="1" t="s">
        <v>74</v>
      </c>
      <c r="AF176" s="1" t="s">
        <v>74</v>
      </c>
      <c r="AG176" s="1" t="s">
        <v>74</v>
      </c>
      <c r="AH176" s="1" t="s">
        <v>74</v>
      </c>
      <c r="AI176" s="1" t="s">
        <v>74</v>
      </c>
      <c r="AJ176" s="1" t="s">
        <v>74</v>
      </c>
      <c r="AK176" s="1" t="s">
        <v>74</v>
      </c>
      <c r="AL176" s="1" t="s">
        <v>74</v>
      </c>
      <c r="AM176" s="1" t="s">
        <v>74</v>
      </c>
      <c r="AN176" s="1" t="s">
        <v>74</v>
      </c>
      <c r="AO176" s="1" t="s">
        <v>1712</v>
      </c>
      <c r="AP176" s="1" t="s">
        <v>1713</v>
      </c>
      <c r="AQ176" s="1" t="s">
        <v>74</v>
      </c>
      <c r="AR176" s="1" t="s">
        <v>74</v>
      </c>
      <c r="AS176" s="1" t="s">
        <v>74</v>
      </c>
      <c r="AT176" s="1" t="s">
        <v>74</v>
      </c>
      <c r="AU176" s="1">
        <v>2010.0</v>
      </c>
      <c r="AV176" s="1">
        <v>19.0</v>
      </c>
      <c r="AW176" s="1">
        <v>3.0</v>
      </c>
      <c r="AX176" s="1" t="s">
        <v>74</v>
      </c>
      <c r="AY176" s="1" t="s">
        <v>74</v>
      </c>
      <c r="AZ176" s="1" t="s">
        <v>74</v>
      </c>
      <c r="BA176" s="1" t="s">
        <v>74</v>
      </c>
      <c r="BB176" s="1">
        <v>438.0</v>
      </c>
      <c r="BC176" s="1">
        <v>446.0</v>
      </c>
      <c r="BD176" s="1" t="s">
        <v>74</v>
      </c>
      <c r="BE176" s="1" t="s">
        <v>74</v>
      </c>
      <c r="BF176" s="1" t="s">
        <v>74</v>
      </c>
      <c r="BG176" s="1" t="s">
        <v>74</v>
      </c>
      <c r="BH176" s="1" t="s">
        <v>74</v>
      </c>
      <c r="BI176" s="1" t="s">
        <v>74</v>
      </c>
      <c r="BJ176" s="1" t="s">
        <v>74</v>
      </c>
      <c r="BK176" s="1" t="s">
        <v>74</v>
      </c>
      <c r="BL176" s="1" t="s">
        <v>74</v>
      </c>
      <c r="BM176" s="1" t="s">
        <v>74</v>
      </c>
      <c r="BN176" s="1" t="s">
        <v>74</v>
      </c>
      <c r="BO176" s="1" t="s">
        <v>74</v>
      </c>
      <c r="BP176" s="1" t="s">
        <v>74</v>
      </c>
      <c r="BQ176" s="1" t="s">
        <v>74</v>
      </c>
      <c r="BR176" s="1" t="s">
        <v>74</v>
      </c>
      <c r="BS176" s="1" t="s">
        <v>1714</v>
      </c>
      <c r="BT176" s="1" t="str">
        <f>HYPERLINK("https%3A%2F%2Fwww.webofscience.com%2Fwos%2Fwoscc%2Ffull-record%2FWOS:000277345900005","View Full Record in Web of Science")</f>
        <v>View Full Record in Web of Science</v>
      </c>
    </row>
    <row r="177" ht="12.75" customHeight="1">
      <c r="A177" s="1" t="s">
        <v>91</v>
      </c>
      <c r="B177" s="1" t="s">
        <v>1715</v>
      </c>
      <c r="C177" s="1" t="s">
        <v>74</v>
      </c>
      <c r="D177" s="1" t="s">
        <v>74</v>
      </c>
      <c r="E177" s="1" t="s">
        <v>442</v>
      </c>
      <c r="F177" s="1" t="s">
        <v>1716</v>
      </c>
      <c r="G177" s="1" t="s">
        <v>74</v>
      </c>
      <c r="H177" s="1" t="s">
        <v>74</v>
      </c>
      <c r="I177" s="1" t="s">
        <v>1717</v>
      </c>
      <c r="J177" s="1" t="s">
        <v>1718</v>
      </c>
      <c r="K177" s="1" t="s">
        <v>1719</v>
      </c>
      <c r="L177" s="1" t="s">
        <v>74</v>
      </c>
      <c r="M177" s="1" t="s">
        <v>74</v>
      </c>
      <c r="N177" s="1" t="s">
        <v>74</v>
      </c>
      <c r="O177" s="1" t="s">
        <v>1720</v>
      </c>
      <c r="P177" s="1" t="s">
        <v>1721</v>
      </c>
      <c r="Q177" s="1" t="s">
        <v>1722</v>
      </c>
      <c r="R177" s="1" t="s">
        <v>1723</v>
      </c>
      <c r="S177" s="1" t="s">
        <v>74</v>
      </c>
      <c r="T177" s="1" t="s">
        <v>74</v>
      </c>
      <c r="U177" s="1" t="s">
        <v>74</v>
      </c>
      <c r="V177" s="1" t="s">
        <v>74</v>
      </c>
      <c r="W177" s="1" t="s">
        <v>74</v>
      </c>
      <c r="X177" s="1" t="s">
        <v>74</v>
      </c>
      <c r="Y177" s="1" t="s">
        <v>74</v>
      </c>
      <c r="Z177" s="1" t="s">
        <v>74</v>
      </c>
      <c r="AA177" s="1" t="s">
        <v>1724</v>
      </c>
      <c r="AB177" s="1" t="s">
        <v>1725</v>
      </c>
      <c r="AC177" s="1" t="s">
        <v>74</v>
      </c>
      <c r="AD177" s="1" t="s">
        <v>74</v>
      </c>
      <c r="AE177" s="1" t="s">
        <v>74</v>
      </c>
      <c r="AF177" s="1" t="s">
        <v>74</v>
      </c>
      <c r="AG177" s="1" t="s">
        <v>74</v>
      </c>
      <c r="AH177" s="1" t="s">
        <v>74</v>
      </c>
      <c r="AI177" s="1" t="s">
        <v>74</v>
      </c>
      <c r="AJ177" s="1" t="s">
        <v>74</v>
      </c>
      <c r="AK177" s="1" t="s">
        <v>74</v>
      </c>
      <c r="AL177" s="1" t="s">
        <v>74</v>
      </c>
      <c r="AM177" s="1" t="s">
        <v>74</v>
      </c>
      <c r="AN177" s="1" t="s">
        <v>74</v>
      </c>
      <c r="AO177" s="1" t="s">
        <v>1726</v>
      </c>
      <c r="AP177" s="1" t="s">
        <v>74</v>
      </c>
      <c r="AQ177" s="1" t="s">
        <v>1727</v>
      </c>
      <c r="AR177" s="1" t="s">
        <v>74</v>
      </c>
      <c r="AS177" s="1" t="s">
        <v>74</v>
      </c>
      <c r="AT177" s="1" t="s">
        <v>74</v>
      </c>
      <c r="AU177" s="1">
        <v>2010.0</v>
      </c>
      <c r="AV177" s="1" t="s">
        <v>74</v>
      </c>
      <c r="AW177" s="1" t="s">
        <v>74</v>
      </c>
      <c r="AX177" s="1" t="s">
        <v>74</v>
      </c>
      <c r="AY177" s="1" t="s">
        <v>74</v>
      </c>
      <c r="AZ177" s="1" t="s">
        <v>74</v>
      </c>
      <c r="BA177" s="1" t="s">
        <v>74</v>
      </c>
      <c r="BB177" s="1">
        <v>3015.0</v>
      </c>
      <c r="BC177" s="1">
        <v>3017.0</v>
      </c>
      <c r="BD177" s="1" t="s">
        <v>74</v>
      </c>
      <c r="BE177" s="1" t="s">
        <v>74</v>
      </c>
      <c r="BF177" s="1" t="s">
        <v>74</v>
      </c>
      <c r="BG177" s="1" t="s">
        <v>74</v>
      </c>
      <c r="BH177" s="1" t="s">
        <v>74</v>
      </c>
      <c r="BI177" s="1" t="s">
        <v>74</v>
      </c>
      <c r="BJ177" s="1" t="s">
        <v>74</v>
      </c>
      <c r="BK177" s="1" t="s">
        <v>74</v>
      </c>
      <c r="BL177" s="1" t="s">
        <v>74</v>
      </c>
      <c r="BM177" s="1" t="s">
        <v>74</v>
      </c>
      <c r="BN177" s="1" t="s">
        <v>74</v>
      </c>
      <c r="BO177" s="1" t="s">
        <v>74</v>
      </c>
      <c r="BP177" s="1" t="s">
        <v>74</v>
      </c>
      <c r="BQ177" s="1" t="s">
        <v>74</v>
      </c>
      <c r="BR177" s="1" t="s">
        <v>74</v>
      </c>
      <c r="BS177" s="1" t="s">
        <v>1728</v>
      </c>
      <c r="BT177" s="1" t="str">
        <f>HYPERLINK("https%3A%2F%2Fwww.webofscience.com%2Fwos%2Fwoscc%2Ffull-record%2FWOS:000306402903039","View Full Record in Web of Science")</f>
        <v>View Full Record in Web of Science</v>
      </c>
    </row>
    <row r="178" ht="12.75" customHeight="1">
      <c r="A178" s="1" t="s">
        <v>72</v>
      </c>
      <c r="B178" s="1" t="s">
        <v>1729</v>
      </c>
      <c r="C178" s="1" t="s">
        <v>74</v>
      </c>
      <c r="D178" s="1" t="s">
        <v>74</v>
      </c>
      <c r="E178" s="1" t="s">
        <v>74</v>
      </c>
      <c r="F178" s="1" t="s">
        <v>1730</v>
      </c>
      <c r="G178" s="1" t="s">
        <v>74</v>
      </c>
      <c r="H178" s="1" t="s">
        <v>74</v>
      </c>
      <c r="I178" s="1" t="s">
        <v>1731</v>
      </c>
      <c r="J178" s="1" t="s">
        <v>1732</v>
      </c>
      <c r="K178" s="1" t="s">
        <v>74</v>
      </c>
      <c r="L178" s="1" t="s">
        <v>74</v>
      </c>
      <c r="M178" s="1" t="s">
        <v>74</v>
      </c>
      <c r="N178" s="1" t="s">
        <v>74</v>
      </c>
      <c r="O178" s="1" t="s">
        <v>74</v>
      </c>
      <c r="P178" s="1" t="s">
        <v>74</v>
      </c>
      <c r="Q178" s="1" t="s">
        <v>74</v>
      </c>
      <c r="R178" s="1" t="s">
        <v>74</v>
      </c>
      <c r="S178" s="1" t="s">
        <v>74</v>
      </c>
      <c r="T178" s="1" t="s">
        <v>74</v>
      </c>
      <c r="U178" s="1" t="s">
        <v>74</v>
      </c>
      <c r="V178" s="1" t="s">
        <v>1733</v>
      </c>
      <c r="W178" s="1" t="s">
        <v>74</v>
      </c>
      <c r="X178" s="1" t="s">
        <v>74</v>
      </c>
      <c r="Y178" s="1" t="s">
        <v>74</v>
      </c>
      <c r="Z178" s="1" t="s">
        <v>74</v>
      </c>
      <c r="AA178" s="1" t="s">
        <v>74</v>
      </c>
      <c r="AB178" s="1" t="s">
        <v>74</v>
      </c>
      <c r="AC178" s="1" t="s">
        <v>74</v>
      </c>
      <c r="AD178" s="1" t="s">
        <v>74</v>
      </c>
      <c r="AE178" s="1" t="s">
        <v>74</v>
      </c>
      <c r="AF178" s="1" t="s">
        <v>74</v>
      </c>
      <c r="AG178" s="1" t="s">
        <v>74</v>
      </c>
      <c r="AH178" s="1" t="s">
        <v>74</v>
      </c>
      <c r="AI178" s="1" t="s">
        <v>74</v>
      </c>
      <c r="AJ178" s="1" t="s">
        <v>74</v>
      </c>
      <c r="AK178" s="1" t="s">
        <v>74</v>
      </c>
      <c r="AL178" s="1" t="s">
        <v>74</v>
      </c>
      <c r="AM178" s="1" t="s">
        <v>74</v>
      </c>
      <c r="AN178" s="1" t="s">
        <v>74</v>
      </c>
      <c r="AO178" s="1" t="s">
        <v>1734</v>
      </c>
      <c r="AP178" s="1" t="s">
        <v>1735</v>
      </c>
      <c r="AQ178" s="1" t="s">
        <v>74</v>
      </c>
      <c r="AR178" s="1" t="s">
        <v>74</v>
      </c>
      <c r="AS178" s="1" t="s">
        <v>74</v>
      </c>
      <c r="AT178" s="1" t="s">
        <v>1252</v>
      </c>
      <c r="AU178" s="1">
        <v>2008.0</v>
      </c>
      <c r="AV178" s="1">
        <v>42.0</v>
      </c>
      <c r="AW178" s="1">
        <v>3.0</v>
      </c>
      <c r="AX178" s="1" t="s">
        <v>74</v>
      </c>
      <c r="AY178" s="1" t="s">
        <v>74</v>
      </c>
      <c r="AZ178" s="1" t="s">
        <v>74</v>
      </c>
      <c r="BA178" s="1" t="s">
        <v>74</v>
      </c>
      <c r="BB178" s="1">
        <v>235.0</v>
      </c>
      <c r="BC178" s="1">
        <v>240.0</v>
      </c>
      <c r="BD178" s="1" t="s">
        <v>74</v>
      </c>
      <c r="BE178" s="1" t="s">
        <v>1736</v>
      </c>
      <c r="BF178" s="2" t="str">
        <f>HYPERLINK("http://dx.doi.org/10.1016/j.ijbiomac.2007.10.023","http://dx.doi.org/10.1016/j.ijbiomac.2007.10.023")</f>
        <v>http://dx.doi.org/10.1016/j.ijbiomac.2007.10.023</v>
      </c>
      <c r="BG178" s="1" t="s">
        <v>74</v>
      </c>
      <c r="BH178" s="1" t="s">
        <v>74</v>
      </c>
      <c r="BI178" s="1" t="s">
        <v>74</v>
      </c>
      <c r="BJ178" s="1" t="s">
        <v>74</v>
      </c>
      <c r="BK178" s="1" t="s">
        <v>74</v>
      </c>
      <c r="BL178" s="1" t="s">
        <v>74</v>
      </c>
      <c r="BM178" s="1" t="s">
        <v>74</v>
      </c>
      <c r="BN178" s="1">
        <v>1.8054382E7</v>
      </c>
      <c r="BO178" s="1" t="s">
        <v>74</v>
      </c>
      <c r="BP178" s="1" t="s">
        <v>74</v>
      </c>
      <c r="BQ178" s="1" t="s">
        <v>74</v>
      </c>
      <c r="BR178" s="1" t="s">
        <v>74</v>
      </c>
      <c r="BS178" s="1" t="s">
        <v>1737</v>
      </c>
      <c r="BT178" s="1" t="str">
        <f>HYPERLINK("https%3A%2F%2Fwww.webofscience.com%2Fwos%2Fwoscc%2Ffull-record%2FWOS:000254784100003","View Full Record in Web of Science")</f>
        <v>View Full Record in Web of Science</v>
      </c>
    </row>
    <row r="179" ht="12.75" customHeight="1">
      <c r="A179" s="1" t="s">
        <v>72</v>
      </c>
      <c r="B179" s="1" t="s">
        <v>1738</v>
      </c>
      <c r="C179" s="1" t="s">
        <v>74</v>
      </c>
      <c r="D179" s="1" t="s">
        <v>74</v>
      </c>
      <c r="E179" s="1" t="s">
        <v>74</v>
      </c>
      <c r="F179" s="1" t="s">
        <v>1739</v>
      </c>
      <c r="G179" s="1" t="s">
        <v>74</v>
      </c>
      <c r="H179" s="1" t="s">
        <v>74</v>
      </c>
      <c r="I179" s="1" t="s">
        <v>1740</v>
      </c>
      <c r="J179" s="1" t="s">
        <v>1741</v>
      </c>
      <c r="K179" s="1" t="s">
        <v>74</v>
      </c>
      <c r="L179" s="1" t="s">
        <v>74</v>
      </c>
      <c r="M179" s="1" t="s">
        <v>74</v>
      </c>
      <c r="N179" s="1" t="s">
        <v>74</v>
      </c>
      <c r="O179" s="1" t="s">
        <v>74</v>
      </c>
      <c r="P179" s="1" t="s">
        <v>74</v>
      </c>
      <c r="Q179" s="1" t="s">
        <v>74</v>
      </c>
      <c r="R179" s="1" t="s">
        <v>74</v>
      </c>
      <c r="S179" s="1" t="s">
        <v>74</v>
      </c>
      <c r="T179" s="1" t="s">
        <v>74</v>
      </c>
      <c r="U179" s="1" t="s">
        <v>74</v>
      </c>
      <c r="V179" s="1" t="s">
        <v>74</v>
      </c>
      <c r="W179" s="1" t="s">
        <v>74</v>
      </c>
      <c r="X179" s="1" t="s">
        <v>74</v>
      </c>
      <c r="Y179" s="1" t="s">
        <v>74</v>
      </c>
      <c r="Z179" s="1" t="s">
        <v>74</v>
      </c>
      <c r="AA179" s="1" t="s">
        <v>74</v>
      </c>
      <c r="AB179" s="1" t="s">
        <v>74</v>
      </c>
      <c r="AC179" s="1" t="s">
        <v>74</v>
      </c>
      <c r="AD179" s="1" t="s">
        <v>74</v>
      </c>
      <c r="AE179" s="1" t="s">
        <v>74</v>
      </c>
      <c r="AF179" s="1" t="s">
        <v>74</v>
      </c>
      <c r="AG179" s="1" t="s">
        <v>74</v>
      </c>
      <c r="AH179" s="1" t="s">
        <v>74</v>
      </c>
      <c r="AI179" s="1" t="s">
        <v>74</v>
      </c>
      <c r="AJ179" s="1" t="s">
        <v>74</v>
      </c>
      <c r="AK179" s="1" t="s">
        <v>74</v>
      </c>
      <c r="AL179" s="1" t="s">
        <v>74</v>
      </c>
      <c r="AM179" s="1" t="s">
        <v>74</v>
      </c>
      <c r="AN179" s="1" t="s">
        <v>74</v>
      </c>
      <c r="AO179" s="1" t="s">
        <v>1742</v>
      </c>
      <c r="AP179" s="1" t="s">
        <v>74</v>
      </c>
      <c r="AQ179" s="1" t="s">
        <v>74</v>
      </c>
      <c r="AR179" s="1" t="s">
        <v>74</v>
      </c>
      <c r="AS179" s="1" t="s">
        <v>74</v>
      </c>
      <c r="AT179" s="1" t="s">
        <v>74</v>
      </c>
      <c r="AU179" s="1">
        <v>2008.0</v>
      </c>
      <c r="AV179" s="1">
        <v>34.0</v>
      </c>
      <c r="AW179" s="1">
        <v>67.0</v>
      </c>
      <c r="AX179" s="1" t="s">
        <v>74</v>
      </c>
      <c r="AY179" s="1" t="s">
        <v>74</v>
      </c>
      <c r="AZ179" s="1" t="s">
        <v>74</v>
      </c>
      <c r="BA179" s="1" t="s">
        <v>74</v>
      </c>
      <c r="BB179" s="1">
        <v>67.0</v>
      </c>
      <c r="BC179" s="1">
        <v>83.0</v>
      </c>
      <c r="BD179" s="1" t="s">
        <v>74</v>
      </c>
      <c r="BE179" s="1" t="s">
        <v>74</v>
      </c>
      <c r="BF179" s="1" t="s">
        <v>74</v>
      </c>
      <c r="BG179" s="1" t="s">
        <v>74</v>
      </c>
      <c r="BH179" s="1" t="s">
        <v>74</v>
      </c>
      <c r="BI179" s="1" t="s">
        <v>74</v>
      </c>
      <c r="BJ179" s="1" t="s">
        <v>74</v>
      </c>
      <c r="BK179" s="1" t="s">
        <v>74</v>
      </c>
      <c r="BL179" s="1" t="s">
        <v>74</v>
      </c>
      <c r="BM179" s="1" t="s">
        <v>74</v>
      </c>
      <c r="BN179" s="1" t="s">
        <v>74</v>
      </c>
      <c r="BO179" s="1" t="s">
        <v>74</v>
      </c>
      <c r="BP179" s="1" t="s">
        <v>74</v>
      </c>
      <c r="BQ179" s="1" t="s">
        <v>74</v>
      </c>
      <c r="BR179" s="1" t="s">
        <v>74</v>
      </c>
      <c r="BS179" s="1" t="s">
        <v>1743</v>
      </c>
      <c r="BT179" s="1" t="str">
        <f>HYPERLINK("https%3A%2F%2Fwww.webofscience.com%2Fwos%2Fwoscc%2Ffull-record%2FWOS:000265620500005","View Full Record in Web of Science")</f>
        <v>View Full Record in Web of Science</v>
      </c>
    </row>
    <row r="180" ht="12.75" customHeight="1">
      <c r="A180" s="1" t="s">
        <v>72</v>
      </c>
      <c r="B180" s="1" t="s">
        <v>1744</v>
      </c>
      <c r="C180" s="1" t="s">
        <v>74</v>
      </c>
      <c r="D180" s="1" t="s">
        <v>74</v>
      </c>
      <c r="E180" s="1" t="s">
        <v>74</v>
      </c>
      <c r="F180" s="1" t="s">
        <v>1745</v>
      </c>
      <c r="G180" s="1" t="s">
        <v>74</v>
      </c>
      <c r="H180" s="1" t="s">
        <v>74</v>
      </c>
      <c r="I180" s="1" t="s">
        <v>1746</v>
      </c>
      <c r="J180" s="1" t="s">
        <v>1050</v>
      </c>
      <c r="K180" s="1" t="s">
        <v>74</v>
      </c>
      <c r="L180" s="1" t="s">
        <v>74</v>
      </c>
      <c r="M180" s="1" t="s">
        <v>74</v>
      </c>
      <c r="N180" s="1" t="s">
        <v>74</v>
      </c>
      <c r="O180" s="1" t="s">
        <v>74</v>
      </c>
      <c r="P180" s="1" t="s">
        <v>74</v>
      </c>
      <c r="Q180" s="1" t="s">
        <v>74</v>
      </c>
      <c r="R180" s="1" t="s">
        <v>74</v>
      </c>
      <c r="S180" s="1" t="s">
        <v>74</v>
      </c>
      <c r="T180" s="1" t="s">
        <v>74</v>
      </c>
      <c r="U180" s="1" t="s">
        <v>74</v>
      </c>
      <c r="V180" s="1" t="s">
        <v>1747</v>
      </c>
      <c r="W180" s="1" t="s">
        <v>74</v>
      </c>
      <c r="X180" s="1" t="s">
        <v>74</v>
      </c>
      <c r="Y180" s="1" t="s">
        <v>74</v>
      </c>
      <c r="Z180" s="1" t="s">
        <v>74</v>
      </c>
      <c r="AA180" s="1" t="s">
        <v>1748</v>
      </c>
      <c r="AB180" s="1" t="s">
        <v>1749</v>
      </c>
      <c r="AC180" s="1" t="s">
        <v>74</v>
      </c>
      <c r="AD180" s="1" t="s">
        <v>74</v>
      </c>
      <c r="AE180" s="1" t="s">
        <v>74</v>
      </c>
      <c r="AF180" s="1" t="s">
        <v>74</v>
      </c>
      <c r="AG180" s="1" t="s">
        <v>74</v>
      </c>
      <c r="AH180" s="1" t="s">
        <v>74</v>
      </c>
      <c r="AI180" s="1" t="s">
        <v>74</v>
      </c>
      <c r="AJ180" s="1" t="s">
        <v>74</v>
      </c>
      <c r="AK180" s="1" t="s">
        <v>74</v>
      </c>
      <c r="AL180" s="1" t="s">
        <v>74</v>
      </c>
      <c r="AM180" s="1" t="s">
        <v>74</v>
      </c>
      <c r="AN180" s="1" t="s">
        <v>74</v>
      </c>
      <c r="AO180" s="1" t="s">
        <v>1750</v>
      </c>
      <c r="AP180" s="1" t="s">
        <v>74</v>
      </c>
      <c r="AQ180" s="1" t="s">
        <v>74</v>
      </c>
      <c r="AR180" s="1" t="s">
        <v>74</v>
      </c>
      <c r="AS180" s="1" t="s">
        <v>74</v>
      </c>
      <c r="AT180" s="1" t="s">
        <v>276</v>
      </c>
      <c r="AU180" s="1">
        <v>2007.0</v>
      </c>
      <c r="AV180" s="1">
        <v>52.0</v>
      </c>
      <c r="AW180" s="1">
        <v>3.0</v>
      </c>
      <c r="AX180" s="1" t="s">
        <v>74</v>
      </c>
      <c r="AY180" s="1" t="s">
        <v>74</v>
      </c>
      <c r="AZ180" s="1" t="s">
        <v>74</v>
      </c>
      <c r="BA180" s="1" t="s">
        <v>74</v>
      </c>
      <c r="BB180" s="1">
        <v>1244.0</v>
      </c>
      <c r="BC180" s="1">
        <v>1245.0</v>
      </c>
      <c r="BD180" s="1" t="s">
        <v>74</v>
      </c>
      <c r="BE180" s="1" t="s">
        <v>74</v>
      </c>
      <c r="BF180" s="1" t="s">
        <v>74</v>
      </c>
      <c r="BG180" s="1" t="s">
        <v>74</v>
      </c>
      <c r="BH180" s="1" t="s">
        <v>74</v>
      </c>
      <c r="BI180" s="1" t="s">
        <v>74</v>
      </c>
      <c r="BJ180" s="1" t="s">
        <v>74</v>
      </c>
      <c r="BK180" s="1" t="s">
        <v>74</v>
      </c>
      <c r="BL180" s="1" t="s">
        <v>74</v>
      </c>
      <c r="BM180" s="1" t="s">
        <v>74</v>
      </c>
      <c r="BN180" s="1" t="s">
        <v>74</v>
      </c>
      <c r="BO180" s="1" t="s">
        <v>74</v>
      </c>
      <c r="BP180" s="1" t="s">
        <v>74</v>
      </c>
      <c r="BQ180" s="1" t="s">
        <v>74</v>
      </c>
      <c r="BR180" s="1" t="s">
        <v>74</v>
      </c>
      <c r="BS180" s="1" t="s">
        <v>1751</v>
      </c>
      <c r="BT180" s="1" t="str">
        <f>HYPERLINK("https%3A%2F%2Fwww.webofscience.com%2Fwos%2Fwoscc%2Ffull-record%2FWOS:000249169500010","View Full Record in Web of Science")</f>
        <v>View Full Record in Web of Science</v>
      </c>
    </row>
    <row r="181" ht="12.75" customHeight="1">
      <c r="A181" s="1" t="s">
        <v>91</v>
      </c>
      <c r="B181" s="1" t="s">
        <v>1752</v>
      </c>
      <c r="C181" s="1" t="s">
        <v>74</v>
      </c>
      <c r="D181" s="1" t="s">
        <v>74</v>
      </c>
      <c r="E181" s="1" t="s">
        <v>997</v>
      </c>
      <c r="F181" s="1" t="s">
        <v>1753</v>
      </c>
      <c r="G181" s="1" t="s">
        <v>74</v>
      </c>
      <c r="H181" s="1" t="s">
        <v>74</v>
      </c>
      <c r="I181" s="1" t="s">
        <v>1754</v>
      </c>
      <c r="J181" s="1" t="s">
        <v>1755</v>
      </c>
      <c r="K181" s="1" t="s">
        <v>74</v>
      </c>
      <c r="L181" s="1" t="s">
        <v>74</v>
      </c>
      <c r="M181" s="1" t="s">
        <v>74</v>
      </c>
      <c r="N181" s="1" t="s">
        <v>74</v>
      </c>
      <c r="O181" s="1" t="s">
        <v>1756</v>
      </c>
      <c r="P181" s="1" t="s">
        <v>1757</v>
      </c>
      <c r="Q181" s="1" t="s">
        <v>1758</v>
      </c>
      <c r="R181" s="1" t="s">
        <v>1759</v>
      </c>
      <c r="S181" s="1" t="s">
        <v>74</v>
      </c>
      <c r="T181" s="1" t="s">
        <v>74</v>
      </c>
      <c r="U181" s="1" t="s">
        <v>74</v>
      </c>
      <c r="V181" s="1" t="s">
        <v>1760</v>
      </c>
      <c r="W181" s="1" t="s">
        <v>74</v>
      </c>
      <c r="X181" s="1" t="s">
        <v>74</v>
      </c>
      <c r="Y181" s="1" t="s">
        <v>74</v>
      </c>
      <c r="Z181" s="1" t="s">
        <v>74</v>
      </c>
      <c r="AA181" s="1" t="s">
        <v>1761</v>
      </c>
      <c r="AB181" s="1" t="s">
        <v>74</v>
      </c>
      <c r="AC181" s="1" t="s">
        <v>74</v>
      </c>
      <c r="AD181" s="1" t="s">
        <v>74</v>
      </c>
      <c r="AE181" s="1" t="s">
        <v>74</v>
      </c>
      <c r="AF181" s="1" t="s">
        <v>74</v>
      </c>
      <c r="AG181" s="1" t="s">
        <v>74</v>
      </c>
      <c r="AH181" s="1" t="s">
        <v>74</v>
      </c>
      <c r="AI181" s="1" t="s">
        <v>74</v>
      </c>
      <c r="AJ181" s="1" t="s">
        <v>74</v>
      </c>
      <c r="AK181" s="1" t="s">
        <v>74</v>
      </c>
      <c r="AL181" s="1" t="s">
        <v>74</v>
      </c>
      <c r="AM181" s="1" t="s">
        <v>74</v>
      </c>
      <c r="AN181" s="1" t="s">
        <v>74</v>
      </c>
      <c r="AO181" s="1" t="s">
        <v>74</v>
      </c>
      <c r="AP181" s="1" t="s">
        <v>74</v>
      </c>
      <c r="AQ181" s="1" t="s">
        <v>1762</v>
      </c>
      <c r="AR181" s="1" t="s">
        <v>74</v>
      </c>
      <c r="AS181" s="1" t="s">
        <v>74</v>
      </c>
      <c r="AT181" s="1" t="s">
        <v>74</v>
      </c>
      <c r="AU181" s="1">
        <v>2007.0</v>
      </c>
      <c r="AV181" s="1" t="s">
        <v>74</v>
      </c>
      <c r="AW181" s="1" t="s">
        <v>74</v>
      </c>
      <c r="AX181" s="1" t="s">
        <v>74</v>
      </c>
      <c r="AY181" s="1" t="s">
        <v>74</v>
      </c>
      <c r="AZ181" s="1" t="s">
        <v>74</v>
      </c>
      <c r="BA181" s="1" t="s">
        <v>74</v>
      </c>
      <c r="BB181" s="1">
        <v>1265.0</v>
      </c>
      <c r="BC181" s="1">
        <v>1272.0</v>
      </c>
      <c r="BD181" s="1" t="s">
        <v>74</v>
      </c>
      <c r="BE181" s="1" t="s">
        <v>74</v>
      </c>
      <c r="BF181" s="1" t="s">
        <v>74</v>
      </c>
      <c r="BG181" s="1" t="s">
        <v>74</v>
      </c>
      <c r="BH181" s="1" t="s">
        <v>74</v>
      </c>
      <c r="BI181" s="1" t="s">
        <v>74</v>
      </c>
      <c r="BJ181" s="1" t="s">
        <v>74</v>
      </c>
      <c r="BK181" s="1" t="s">
        <v>74</v>
      </c>
      <c r="BL181" s="1" t="s">
        <v>74</v>
      </c>
      <c r="BM181" s="1" t="s">
        <v>74</v>
      </c>
      <c r="BN181" s="1" t="s">
        <v>74</v>
      </c>
      <c r="BO181" s="1" t="s">
        <v>74</v>
      </c>
      <c r="BP181" s="1" t="s">
        <v>74</v>
      </c>
      <c r="BQ181" s="1" t="s">
        <v>74</v>
      </c>
      <c r="BR181" s="1" t="s">
        <v>74</v>
      </c>
      <c r="BS181" s="1" t="s">
        <v>1763</v>
      </c>
      <c r="BT181" s="1" t="str">
        <f>HYPERLINK("https%3A%2F%2Fwww.webofscience.com%2Fwos%2Fwoscc%2Ffull-record%2FWOS:000252340100146","View Full Record in Web of Science")</f>
        <v>View Full Record in Web of Science</v>
      </c>
    </row>
    <row r="182" ht="12.75" customHeight="1">
      <c r="A182" s="1" t="s">
        <v>72</v>
      </c>
      <c r="B182" s="1" t="s">
        <v>1764</v>
      </c>
      <c r="C182" s="1" t="s">
        <v>74</v>
      </c>
      <c r="D182" s="1" t="s">
        <v>74</v>
      </c>
      <c r="E182" s="1" t="s">
        <v>74</v>
      </c>
      <c r="F182" s="1" t="s">
        <v>1764</v>
      </c>
      <c r="G182" s="1" t="s">
        <v>74</v>
      </c>
      <c r="H182" s="1" t="s">
        <v>74</v>
      </c>
      <c r="I182" s="1" t="s">
        <v>1765</v>
      </c>
      <c r="J182" s="1" t="s">
        <v>1766</v>
      </c>
      <c r="K182" s="1" t="s">
        <v>74</v>
      </c>
      <c r="L182" s="1" t="s">
        <v>74</v>
      </c>
      <c r="M182" s="1" t="s">
        <v>74</v>
      </c>
      <c r="N182" s="1" t="s">
        <v>74</v>
      </c>
      <c r="O182" s="1" t="s">
        <v>74</v>
      </c>
      <c r="P182" s="1" t="s">
        <v>74</v>
      </c>
      <c r="Q182" s="1" t="s">
        <v>74</v>
      </c>
      <c r="R182" s="1" t="s">
        <v>74</v>
      </c>
      <c r="S182" s="1" t="s">
        <v>74</v>
      </c>
      <c r="T182" s="1" t="s">
        <v>74</v>
      </c>
      <c r="U182" s="1" t="s">
        <v>74</v>
      </c>
      <c r="V182" s="1" t="s">
        <v>1767</v>
      </c>
      <c r="W182" s="1" t="s">
        <v>74</v>
      </c>
      <c r="X182" s="1" t="s">
        <v>74</v>
      </c>
      <c r="Y182" s="1" t="s">
        <v>74</v>
      </c>
      <c r="Z182" s="1" t="s">
        <v>74</v>
      </c>
      <c r="AA182" s="1" t="s">
        <v>1768</v>
      </c>
      <c r="AB182" s="1" t="s">
        <v>74</v>
      </c>
      <c r="AC182" s="1" t="s">
        <v>74</v>
      </c>
      <c r="AD182" s="1" t="s">
        <v>74</v>
      </c>
      <c r="AE182" s="1" t="s">
        <v>74</v>
      </c>
      <c r="AF182" s="1" t="s">
        <v>74</v>
      </c>
      <c r="AG182" s="1" t="s">
        <v>74</v>
      </c>
      <c r="AH182" s="1" t="s">
        <v>74</v>
      </c>
      <c r="AI182" s="1" t="s">
        <v>74</v>
      </c>
      <c r="AJ182" s="1" t="s">
        <v>74</v>
      </c>
      <c r="AK182" s="1" t="s">
        <v>74</v>
      </c>
      <c r="AL182" s="1" t="s">
        <v>74</v>
      </c>
      <c r="AM182" s="1" t="s">
        <v>74</v>
      </c>
      <c r="AN182" s="1" t="s">
        <v>74</v>
      </c>
      <c r="AO182" s="1" t="s">
        <v>1769</v>
      </c>
      <c r="AP182" s="1" t="s">
        <v>1770</v>
      </c>
      <c r="AQ182" s="1" t="s">
        <v>74</v>
      </c>
      <c r="AR182" s="1" t="s">
        <v>74</v>
      </c>
      <c r="AS182" s="1" t="s">
        <v>74</v>
      </c>
      <c r="AT182" s="1" t="s">
        <v>161</v>
      </c>
      <c r="AU182" s="1">
        <v>2005.0</v>
      </c>
      <c r="AV182" s="1">
        <v>70.0</v>
      </c>
      <c r="AW182" s="1">
        <v>4.0</v>
      </c>
      <c r="AX182" s="1" t="s">
        <v>74</v>
      </c>
      <c r="AY182" s="1" t="s">
        <v>74</v>
      </c>
      <c r="AZ182" s="1" t="s">
        <v>74</v>
      </c>
      <c r="BA182" s="1" t="s">
        <v>74</v>
      </c>
      <c r="BB182" s="1">
        <v>557.0</v>
      </c>
      <c r="BC182" s="1">
        <v>563.0</v>
      </c>
      <c r="BD182" s="1" t="s">
        <v>74</v>
      </c>
      <c r="BE182" s="1" t="s">
        <v>1771</v>
      </c>
      <c r="BF182" s="2" t="str">
        <f>HYPERLINK("http://dx.doi.org/10.1016/j.jfoodeng.2004.10.010","http://dx.doi.org/10.1016/j.jfoodeng.2004.10.010")</f>
        <v>http://dx.doi.org/10.1016/j.jfoodeng.2004.10.010</v>
      </c>
      <c r="BG182" s="1" t="s">
        <v>74</v>
      </c>
      <c r="BH182" s="1" t="s">
        <v>74</v>
      </c>
      <c r="BI182" s="1" t="s">
        <v>74</v>
      </c>
      <c r="BJ182" s="1" t="s">
        <v>74</v>
      </c>
      <c r="BK182" s="1" t="s">
        <v>74</v>
      </c>
      <c r="BL182" s="1" t="s">
        <v>74</v>
      </c>
      <c r="BM182" s="1" t="s">
        <v>74</v>
      </c>
      <c r="BN182" s="1" t="s">
        <v>74</v>
      </c>
      <c r="BO182" s="1" t="s">
        <v>74</v>
      </c>
      <c r="BP182" s="1" t="s">
        <v>74</v>
      </c>
      <c r="BQ182" s="1" t="s">
        <v>74</v>
      </c>
      <c r="BR182" s="1" t="s">
        <v>74</v>
      </c>
      <c r="BS182" s="1" t="s">
        <v>1772</v>
      </c>
      <c r="BT182" s="1" t="str">
        <f>HYPERLINK("https%3A%2F%2Fwww.webofscience.com%2Fwos%2Fwoscc%2Ffull-record%2FWOS:000230102000011","View Full Record in Web of Science")</f>
        <v>View Full Record in Web of Science</v>
      </c>
    </row>
    <row r="183" ht="12.75" customHeight="1">
      <c r="A183" s="1" t="s">
        <v>72</v>
      </c>
      <c r="B183" s="1" t="s">
        <v>1773</v>
      </c>
      <c r="C183" s="1" t="s">
        <v>74</v>
      </c>
      <c r="D183" s="1" t="s">
        <v>74</v>
      </c>
      <c r="E183" s="1" t="s">
        <v>74</v>
      </c>
      <c r="F183" s="1" t="s">
        <v>1773</v>
      </c>
      <c r="G183" s="1" t="s">
        <v>74</v>
      </c>
      <c r="H183" s="1" t="s">
        <v>74</v>
      </c>
      <c r="I183" s="1" t="s">
        <v>1774</v>
      </c>
      <c r="J183" s="1" t="s">
        <v>1775</v>
      </c>
      <c r="K183" s="1" t="s">
        <v>74</v>
      </c>
      <c r="L183" s="1" t="s">
        <v>74</v>
      </c>
      <c r="M183" s="1" t="s">
        <v>74</v>
      </c>
      <c r="N183" s="1" t="s">
        <v>74</v>
      </c>
      <c r="O183" s="1" t="s">
        <v>74</v>
      </c>
      <c r="P183" s="1" t="s">
        <v>74</v>
      </c>
      <c r="Q183" s="1" t="s">
        <v>74</v>
      </c>
      <c r="R183" s="1" t="s">
        <v>74</v>
      </c>
      <c r="S183" s="1" t="s">
        <v>74</v>
      </c>
      <c r="T183" s="1" t="s">
        <v>74</v>
      </c>
      <c r="U183" s="1" t="s">
        <v>74</v>
      </c>
      <c r="V183" s="1" t="s">
        <v>1776</v>
      </c>
      <c r="W183" s="1" t="s">
        <v>74</v>
      </c>
      <c r="X183" s="1" t="s">
        <v>74</v>
      </c>
      <c r="Y183" s="1" t="s">
        <v>74</v>
      </c>
      <c r="Z183" s="1" t="s">
        <v>74</v>
      </c>
      <c r="AA183" s="1" t="s">
        <v>1777</v>
      </c>
      <c r="AB183" s="1" t="s">
        <v>1778</v>
      </c>
      <c r="AC183" s="1" t="s">
        <v>74</v>
      </c>
      <c r="AD183" s="1" t="s">
        <v>74</v>
      </c>
      <c r="AE183" s="1" t="s">
        <v>74</v>
      </c>
      <c r="AF183" s="1" t="s">
        <v>74</v>
      </c>
      <c r="AG183" s="1" t="s">
        <v>74</v>
      </c>
      <c r="AH183" s="1" t="s">
        <v>74</v>
      </c>
      <c r="AI183" s="1" t="s">
        <v>74</v>
      </c>
      <c r="AJ183" s="1" t="s">
        <v>74</v>
      </c>
      <c r="AK183" s="1" t="s">
        <v>74</v>
      </c>
      <c r="AL183" s="1" t="s">
        <v>74</v>
      </c>
      <c r="AM183" s="1" t="s">
        <v>74</v>
      </c>
      <c r="AN183" s="1" t="s">
        <v>74</v>
      </c>
      <c r="AO183" s="1" t="s">
        <v>1779</v>
      </c>
      <c r="AP183" s="1" t="s">
        <v>74</v>
      </c>
      <c r="AQ183" s="1" t="s">
        <v>74</v>
      </c>
      <c r="AR183" s="1" t="s">
        <v>74</v>
      </c>
      <c r="AS183" s="1" t="s">
        <v>74</v>
      </c>
      <c r="AT183" s="1" t="s">
        <v>180</v>
      </c>
      <c r="AU183" s="1">
        <v>2005.0</v>
      </c>
      <c r="AV183" s="1">
        <v>66.0</v>
      </c>
      <c r="AW183" s="1">
        <v>1.0</v>
      </c>
      <c r="AX183" s="1" t="s">
        <v>74</v>
      </c>
      <c r="AY183" s="1" t="s">
        <v>74</v>
      </c>
      <c r="AZ183" s="1" t="s">
        <v>74</v>
      </c>
      <c r="BA183" s="1" t="s">
        <v>74</v>
      </c>
      <c r="BB183" s="1">
        <v>13.0</v>
      </c>
      <c r="BC183" s="1">
        <v>32.0</v>
      </c>
      <c r="BD183" s="1" t="s">
        <v>74</v>
      </c>
      <c r="BE183" s="1" t="s">
        <v>1780</v>
      </c>
      <c r="BF183" s="2" t="str">
        <f>HYPERLINK("http://dx.doi.org/10.1016/j.jri.2005.03.003","http://dx.doi.org/10.1016/j.jri.2005.03.003")</f>
        <v>http://dx.doi.org/10.1016/j.jri.2005.03.003</v>
      </c>
      <c r="BG183" s="1" t="s">
        <v>74</v>
      </c>
      <c r="BH183" s="1" t="s">
        <v>74</v>
      </c>
      <c r="BI183" s="1" t="s">
        <v>74</v>
      </c>
      <c r="BJ183" s="1" t="s">
        <v>74</v>
      </c>
      <c r="BK183" s="1" t="s">
        <v>74</v>
      </c>
      <c r="BL183" s="1" t="s">
        <v>74</v>
      </c>
      <c r="BM183" s="1" t="s">
        <v>74</v>
      </c>
      <c r="BN183" s="1">
        <v>1.5949559E7</v>
      </c>
      <c r="BO183" s="1" t="s">
        <v>74</v>
      </c>
      <c r="BP183" s="1" t="s">
        <v>74</v>
      </c>
      <c r="BQ183" s="1" t="s">
        <v>74</v>
      </c>
      <c r="BR183" s="1" t="s">
        <v>74</v>
      </c>
      <c r="BS183" s="1" t="s">
        <v>1781</v>
      </c>
      <c r="BT183" s="1" t="str">
        <f>HYPERLINK("https%3A%2F%2Fwww.webofscience.com%2Fwos%2Fwoscc%2Ffull-record%2FWOS:000230187200002","View Full Record in Web of Science")</f>
        <v>View Full Record in Web of Science</v>
      </c>
    </row>
    <row r="184" ht="12.75" customHeight="1">
      <c r="A184" s="1" t="s">
        <v>72</v>
      </c>
      <c r="B184" s="1" t="s">
        <v>1782</v>
      </c>
      <c r="C184" s="1" t="s">
        <v>74</v>
      </c>
      <c r="D184" s="1" t="s">
        <v>74</v>
      </c>
      <c r="E184" s="1" t="s">
        <v>74</v>
      </c>
      <c r="F184" s="1" t="s">
        <v>1782</v>
      </c>
      <c r="G184" s="1" t="s">
        <v>74</v>
      </c>
      <c r="H184" s="1" t="s">
        <v>74</v>
      </c>
      <c r="I184" s="1" t="s">
        <v>1783</v>
      </c>
      <c r="J184" s="1" t="s">
        <v>1784</v>
      </c>
      <c r="K184" s="1" t="s">
        <v>74</v>
      </c>
      <c r="L184" s="1" t="s">
        <v>74</v>
      </c>
      <c r="M184" s="1" t="s">
        <v>74</v>
      </c>
      <c r="N184" s="1" t="s">
        <v>74</v>
      </c>
      <c r="O184" s="1" t="s">
        <v>74</v>
      </c>
      <c r="P184" s="1" t="s">
        <v>74</v>
      </c>
      <c r="Q184" s="1" t="s">
        <v>74</v>
      </c>
      <c r="R184" s="1" t="s">
        <v>74</v>
      </c>
      <c r="S184" s="1" t="s">
        <v>74</v>
      </c>
      <c r="T184" s="1" t="s">
        <v>74</v>
      </c>
      <c r="U184" s="1" t="s">
        <v>74</v>
      </c>
      <c r="V184" s="1" t="s">
        <v>1785</v>
      </c>
      <c r="W184" s="1" t="s">
        <v>74</v>
      </c>
      <c r="X184" s="1" t="s">
        <v>74</v>
      </c>
      <c r="Y184" s="1" t="s">
        <v>74</v>
      </c>
      <c r="Z184" s="1" t="s">
        <v>74</v>
      </c>
      <c r="AA184" s="1" t="s">
        <v>1786</v>
      </c>
      <c r="AB184" s="1" t="s">
        <v>74</v>
      </c>
      <c r="AC184" s="1" t="s">
        <v>74</v>
      </c>
      <c r="AD184" s="1" t="s">
        <v>74</v>
      </c>
      <c r="AE184" s="1" t="s">
        <v>74</v>
      </c>
      <c r="AF184" s="1" t="s">
        <v>74</v>
      </c>
      <c r="AG184" s="1" t="s">
        <v>74</v>
      </c>
      <c r="AH184" s="1" t="s">
        <v>74</v>
      </c>
      <c r="AI184" s="1" t="s">
        <v>74</v>
      </c>
      <c r="AJ184" s="1" t="s">
        <v>74</v>
      </c>
      <c r="AK184" s="1" t="s">
        <v>74</v>
      </c>
      <c r="AL184" s="1" t="s">
        <v>74</v>
      </c>
      <c r="AM184" s="1" t="s">
        <v>74</v>
      </c>
      <c r="AN184" s="1" t="s">
        <v>74</v>
      </c>
      <c r="AO184" s="1" t="s">
        <v>1787</v>
      </c>
      <c r="AP184" s="1" t="s">
        <v>1788</v>
      </c>
      <c r="AQ184" s="1" t="s">
        <v>74</v>
      </c>
      <c r="AR184" s="1" t="s">
        <v>74</v>
      </c>
      <c r="AS184" s="1" t="s">
        <v>74</v>
      </c>
      <c r="AT184" s="1" t="s">
        <v>1789</v>
      </c>
      <c r="AU184" s="1">
        <v>2005.0</v>
      </c>
      <c r="AV184" s="1">
        <v>22.0</v>
      </c>
      <c r="AW184" s="1">
        <v>6.0</v>
      </c>
      <c r="AX184" s="1" t="s">
        <v>74</v>
      </c>
      <c r="AY184" s="1" t="s">
        <v>74</v>
      </c>
      <c r="AZ184" s="1" t="s">
        <v>74</v>
      </c>
      <c r="BA184" s="1" t="s">
        <v>74</v>
      </c>
      <c r="BB184" s="1">
        <v>1167.0</v>
      </c>
      <c r="BC184" s="1">
        <v>1190.0</v>
      </c>
      <c r="BD184" s="1" t="s">
        <v>74</v>
      </c>
      <c r="BE184" s="1" t="s">
        <v>1790</v>
      </c>
      <c r="BF184" s="2" t="str">
        <f>HYPERLINK("http://dx.doi.org/10.1088/0264-9381/22/6/016","http://dx.doi.org/10.1088/0264-9381/22/6/016")</f>
        <v>http://dx.doi.org/10.1088/0264-9381/22/6/016</v>
      </c>
      <c r="BG184" s="1" t="s">
        <v>74</v>
      </c>
      <c r="BH184" s="1" t="s">
        <v>74</v>
      </c>
      <c r="BI184" s="1" t="s">
        <v>74</v>
      </c>
      <c r="BJ184" s="1" t="s">
        <v>74</v>
      </c>
      <c r="BK184" s="1" t="s">
        <v>74</v>
      </c>
      <c r="BL184" s="1" t="s">
        <v>74</v>
      </c>
      <c r="BM184" s="1" t="s">
        <v>74</v>
      </c>
      <c r="BN184" s="1" t="s">
        <v>74</v>
      </c>
      <c r="BO184" s="1" t="s">
        <v>74</v>
      </c>
      <c r="BP184" s="1" t="s">
        <v>74</v>
      </c>
      <c r="BQ184" s="1" t="s">
        <v>74</v>
      </c>
      <c r="BR184" s="1" t="s">
        <v>74</v>
      </c>
      <c r="BS184" s="1" t="s">
        <v>1791</v>
      </c>
      <c r="BT184" s="1" t="str">
        <f>HYPERLINK("https%3A%2F%2Fwww.webofscience.com%2Fwos%2Fwoscc%2Ffull-record%2FWOS:000228771100016","View Full Record in Web of Science")</f>
        <v>View Full Record in Web of Science</v>
      </c>
    </row>
    <row r="185" ht="12.75" customHeight="1">
      <c r="A185" s="1" t="s">
        <v>72</v>
      </c>
      <c r="B185" s="1" t="s">
        <v>1792</v>
      </c>
      <c r="C185" s="1" t="s">
        <v>74</v>
      </c>
      <c r="D185" s="1" t="s">
        <v>74</v>
      </c>
      <c r="E185" s="1" t="s">
        <v>74</v>
      </c>
      <c r="F185" s="1" t="s">
        <v>1792</v>
      </c>
      <c r="G185" s="1" t="s">
        <v>74</v>
      </c>
      <c r="H185" s="1" t="s">
        <v>74</v>
      </c>
      <c r="I185" s="1" t="s">
        <v>1793</v>
      </c>
      <c r="J185" s="1" t="s">
        <v>954</v>
      </c>
      <c r="K185" s="1" t="s">
        <v>74</v>
      </c>
      <c r="L185" s="1" t="s">
        <v>74</v>
      </c>
      <c r="M185" s="1" t="s">
        <v>74</v>
      </c>
      <c r="N185" s="1" t="s">
        <v>74</v>
      </c>
      <c r="O185" s="1" t="s">
        <v>74</v>
      </c>
      <c r="P185" s="1" t="s">
        <v>74</v>
      </c>
      <c r="Q185" s="1" t="s">
        <v>74</v>
      </c>
      <c r="R185" s="1" t="s">
        <v>74</v>
      </c>
      <c r="S185" s="1" t="s">
        <v>74</v>
      </c>
      <c r="T185" s="1" t="s">
        <v>74</v>
      </c>
      <c r="U185" s="1" t="s">
        <v>74</v>
      </c>
      <c r="V185" s="1" t="s">
        <v>1794</v>
      </c>
      <c r="W185" s="1" t="s">
        <v>74</v>
      </c>
      <c r="X185" s="1" t="s">
        <v>74</v>
      </c>
      <c r="Y185" s="1" t="s">
        <v>74</v>
      </c>
      <c r="Z185" s="1" t="s">
        <v>74</v>
      </c>
      <c r="AA185" s="1" t="s">
        <v>74</v>
      </c>
      <c r="AB185" s="1" t="s">
        <v>1795</v>
      </c>
      <c r="AC185" s="1" t="s">
        <v>74</v>
      </c>
      <c r="AD185" s="1" t="s">
        <v>74</v>
      </c>
      <c r="AE185" s="1" t="s">
        <v>74</v>
      </c>
      <c r="AF185" s="1" t="s">
        <v>74</v>
      </c>
      <c r="AG185" s="1" t="s">
        <v>74</v>
      </c>
      <c r="AH185" s="1" t="s">
        <v>74</v>
      </c>
      <c r="AI185" s="1" t="s">
        <v>74</v>
      </c>
      <c r="AJ185" s="1" t="s">
        <v>74</v>
      </c>
      <c r="AK185" s="1" t="s">
        <v>74</v>
      </c>
      <c r="AL185" s="1" t="s">
        <v>74</v>
      </c>
      <c r="AM185" s="1" t="s">
        <v>74</v>
      </c>
      <c r="AN185" s="1" t="s">
        <v>74</v>
      </c>
      <c r="AO185" s="1" t="s">
        <v>956</v>
      </c>
      <c r="AP185" s="1" t="s">
        <v>1796</v>
      </c>
      <c r="AQ185" s="1" t="s">
        <v>74</v>
      </c>
      <c r="AR185" s="1" t="s">
        <v>74</v>
      </c>
      <c r="AS185" s="1" t="s">
        <v>74</v>
      </c>
      <c r="AT185" s="1" t="s">
        <v>74</v>
      </c>
      <c r="AU185" s="1">
        <v>2005.0</v>
      </c>
      <c r="AV185" s="1">
        <v>23.0</v>
      </c>
      <c r="AW185" s="1" t="s">
        <v>140</v>
      </c>
      <c r="AX185" s="1" t="s">
        <v>74</v>
      </c>
      <c r="AY185" s="1" t="s">
        <v>74</v>
      </c>
      <c r="AZ185" s="1" t="s">
        <v>74</v>
      </c>
      <c r="BA185" s="1" t="s">
        <v>74</v>
      </c>
      <c r="BB185" s="1">
        <v>187.0</v>
      </c>
      <c r="BC185" s="1">
        <v>203.0</v>
      </c>
      <c r="BD185" s="1" t="s">
        <v>74</v>
      </c>
      <c r="BE185" s="1" t="s">
        <v>1797</v>
      </c>
      <c r="BF185" s="2" t="str">
        <f>HYPERLINK("http://dx.doi.org/10.1081/DRT-200047661","http://dx.doi.org/10.1081/DRT-200047661")</f>
        <v>http://dx.doi.org/10.1081/DRT-200047661</v>
      </c>
      <c r="BG185" s="1" t="s">
        <v>74</v>
      </c>
      <c r="BH185" s="1" t="s">
        <v>74</v>
      </c>
      <c r="BI185" s="1" t="s">
        <v>74</v>
      </c>
      <c r="BJ185" s="1" t="s">
        <v>74</v>
      </c>
      <c r="BK185" s="1" t="s">
        <v>74</v>
      </c>
      <c r="BL185" s="1" t="s">
        <v>74</v>
      </c>
      <c r="BM185" s="1" t="s">
        <v>74</v>
      </c>
      <c r="BN185" s="1" t="s">
        <v>74</v>
      </c>
      <c r="BO185" s="1" t="s">
        <v>74</v>
      </c>
      <c r="BP185" s="1" t="s">
        <v>74</v>
      </c>
      <c r="BQ185" s="1" t="s">
        <v>74</v>
      </c>
      <c r="BR185" s="1" t="s">
        <v>74</v>
      </c>
      <c r="BS185" s="1" t="s">
        <v>1798</v>
      </c>
      <c r="BT185" s="1" t="str">
        <f>HYPERLINK("https%3A%2F%2Fwww.webofscience.com%2Fwos%2Fwoscc%2Ffull-record%2FWOS:000227713700012","View Full Record in Web of Science")</f>
        <v>View Full Record in Web of Science</v>
      </c>
    </row>
    <row r="186" ht="12.75" customHeight="1">
      <c r="A186" s="1" t="s">
        <v>72</v>
      </c>
      <c r="B186" s="1" t="s">
        <v>1799</v>
      </c>
      <c r="C186" s="1" t="s">
        <v>74</v>
      </c>
      <c r="D186" s="1" t="s">
        <v>74</v>
      </c>
      <c r="E186" s="1" t="s">
        <v>74</v>
      </c>
      <c r="F186" s="1" t="s">
        <v>1799</v>
      </c>
      <c r="G186" s="1" t="s">
        <v>74</v>
      </c>
      <c r="H186" s="1" t="s">
        <v>74</v>
      </c>
      <c r="I186" s="1" t="s">
        <v>1800</v>
      </c>
      <c r="J186" s="1" t="s">
        <v>1801</v>
      </c>
      <c r="K186" s="1" t="s">
        <v>74</v>
      </c>
      <c r="L186" s="1" t="s">
        <v>74</v>
      </c>
      <c r="M186" s="1" t="s">
        <v>74</v>
      </c>
      <c r="N186" s="1" t="s">
        <v>74</v>
      </c>
      <c r="O186" s="1" t="s">
        <v>74</v>
      </c>
      <c r="P186" s="1" t="s">
        <v>74</v>
      </c>
      <c r="Q186" s="1" t="s">
        <v>74</v>
      </c>
      <c r="R186" s="1" t="s">
        <v>74</v>
      </c>
      <c r="S186" s="1" t="s">
        <v>74</v>
      </c>
      <c r="T186" s="1" t="s">
        <v>74</v>
      </c>
      <c r="U186" s="1" t="s">
        <v>74</v>
      </c>
      <c r="V186" s="1" t="s">
        <v>1802</v>
      </c>
      <c r="W186" s="1" t="s">
        <v>74</v>
      </c>
      <c r="X186" s="1" t="s">
        <v>74</v>
      </c>
      <c r="Y186" s="1" t="s">
        <v>74</v>
      </c>
      <c r="Z186" s="1" t="s">
        <v>74</v>
      </c>
      <c r="AA186" s="1" t="s">
        <v>1803</v>
      </c>
      <c r="AB186" s="1" t="s">
        <v>1804</v>
      </c>
      <c r="AC186" s="1" t="s">
        <v>74</v>
      </c>
      <c r="AD186" s="1" t="s">
        <v>74</v>
      </c>
      <c r="AE186" s="1" t="s">
        <v>74</v>
      </c>
      <c r="AF186" s="1" t="s">
        <v>74</v>
      </c>
      <c r="AG186" s="1" t="s">
        <v>74</v>
      </c>
      <c r="AH186" s="1" t="s">
        <v>74</v>
      </c>
      <c r="AI186" s="1" t="s">
        <v>74</v>
      </c>
      <c r="AJ186" s="1" t="s">
        <v>74</v>
      </c>
      <c r="AK186" s="1" t="s">
        <v>74</v>
      </c>
      <c r="AL186" s="1" t="s">
        <v>74</v>
      </c>
      <c r="AM186" s="1" t="s">
        <v>74</v>
      </c>
      <c r="AN186" s="1" t="s">
        <v>74</v>
      </c>
      <c r="AO186" s="1" t="s">
        <v>1805</v>
      </c>
      <c r="AP186" s="1" t="s">
        <v>74</v>
      </c>
      <c r="AQ186" s="1" t="s">
        <v>74</v>
      </c>
      <c r="AR186" s="1" t="s">
        <v>74</v>
      </c>
      <c r="AS186" s="1" t="s">
        <v>74</v>
      </c>
      <c r="AT186" s="1" t="s">
        <v>74</v>
      </c>
      <c r="AU186" s="1">
        <v>2005.0</v>
      </c>
      <c r="AV186" s="1">
        <v>22.0</v>
      </c>
      <c r="AW186" s="1" t="s">
        <v>74</v>
      </c>
      <c r="AX186" s="1" t="s">
        <v>74</v>
      </c>
      <c r="AY186" s="1" t="s">
        <v>74</v>
      </c>
      <c r="AZ186" s="1" t="s">
        <v>74</v>
      </c>
      <c r="BA186" s="1" t="s">
        <v>74</v>
      </c>
      <c r="BB186" s="1">
        <v>295.0</v>
      </c>
      <c r="BC186" s="1">
        <v>307.0</v>
      </c>
      <c r="BD186" s="1" t="s">
        <v>74</v>
      </c>
      <c r="BE186" s="1" t="s">
        <v>74</v>
      </c>
      <c r="BF186" s="1" t="s">
        <v>74</v>
      </c>
      <c r="BG186" s="1" t="s">
        <v>74</v>
      </c>
      <c r="BH186" s="1" t="s">
        <v>74</v>
      </c>
      <c r="BI186" s="1" t="s">
        <v>74</v>
      </c>
      <c r="BJ186" s="1" t="s">
        <v>74</v>
      </c>
      <c r="BK186" s="1" t="s">
        <v>74</v>
      </c>
      <c r="BL186" s="1" t="s">
        <v>74</v>
      </c>
      <c r="BM186" s="1" t="s">
        <v>74</v>
      </c>
      <c r="BN186" s="1" t="s">
        <v>74</v>
      </c>
      <c r="BO186" s="1" t="s">
        <v>74</v>
      </c>
      <c r="BP186" s="1" t="s">
        <v>74</v>
      </c>
      <c r="BQ186" s="1" t="s">
        <v>74</v>
      </c>
      <c r="BR186" s="1" t="s">
        <v>74</v>
      </c>
      <c r="BS186" s="1" t="s">
        <v>1806</v>
      </c>
      <c r="BT186" s="1" t="str">
        <f>HYPERLINK("https%3A%2F%2Fwww.webofscience.com%2Fwos%2Fwoscc%2Ffull-record%2FWOS:000235719200007","View Full Record in Web of Science")</f>
        <v>View Full Record in Web of Science</v>
      </c>
    </row>
    <row r="187" ht="12.75" customHeight="1">
      <c r="A187" s="1" t="s">
        <v>72</v>
      </c>
      <c r="B187" s="1" t="s">
        <v>1807</v>
      </c>
      <c r="C187" s="1" t="s">
        <v>74</v>
      </c>
      <c r="D187" s="1" t="s">
        <v>74</v>
      </c>
      <c r="E187" s="1" t="s">
        <v>74</v>
      </c>
      <c r="F187" s="1" t="s">
        <v>1807</v>
      </c>
      <c r="G187" s="1" t="s">
        <v>74</v>
      </c>
      <c r="H187" s="1" t="s">
        <v>74</v>
      </c>
      <c r="I187" s="1" t="s">
        <v>1808</v>
      </c>
      <c r="J187" s="1" t="s">
        <v>1809</v>
      </c>
      <c r="K187" s="1" t="s">
        <v>74</v>
      </c>
      <c r="L187" s="1" t="s">
        <v>74</v>
      </c>
      <c r="M187" s="1" t="s">
        <v>74</v>
      </c>
      <c r="N187" s="1" t="s">
        <v>74</v>
      </c>
      <c r="O187" s="1" t="s">
        <v>74</v>
      </c>
      <c r="P187" s="1" t="s">
        <v>74</v>
      </c>
      <c r="Q187" s="1" t="s">
        <v>74</v>
      </c>
      <c r="R187" s="1" t="s">
        <v>74</v>
      </c>
      <c r="S187" s="1" t="s">
        <v>74</v>
      </c>
      <c r="T187" s="1" t="s">
        <v>74</v>
      </c>
      <c r="U187" s="1" t="s">
        <v>74</v>
      </c>
      <c r="V187" s="1" t="s">
        <v>1810</v>
      </c>
      <c r="W187" s="1" t="s">
        <v>74</v>
      </c>
      <c r="X187" s="1" t="s">
        <v>74</v>
      </c>
      <c r="Y187" s="1" t="s">
        <v>74</v>
      </c>
      <c r="Z187" s="1" t="s">
        <v>74</v>
      </c>
      <c r="AA187" s="1" t="s">
        <v>1811</v>
      </c>
      <c r="AB187" s="1" t="s">
        <v>1812</v>
      </c>
      <c r="AC187" s="1" t="s">
        <v>74</v>
      </c>
      <c r="AD187" s="1" t="s">
        <v>74</v>
      </c>
      <c r="AE187" s="1" t="s">
        <v>74</v>
      </c>
      <c r="AF187" s="1" t="s">
        <v>74</v>
      </c>
      <c r="AG187" s="1" t="s">
        <v>74</v>
      </c>
      <c r="AH187" s="1" t="s">
        <v>74</v>
      </c>
      <c r="AI187" s="1" t="s">
        <v>74</v>
      </c>
      <c r="AJ187" s="1" t="s">
        <v>74</v>
      </c>
      <c r="AK187" s="1" t="s">
        <v>74</v>
      </c>
      <c r="AL187" s="1" t="s">
        <v>74</v>
      </c>
      <c r="AM187" s="1" t="s">
        <v>74</v>
      </c>
      <c r="AN187" s="1" t="s">
        <v>74</v>
      </c>
      <c r="AO187" s="1" t="s">
        <v>1813</v>
      </c>
      <c r="AP187" s="1" t="s">
        <v>1814</v>
      </c>
      <c r="AQ187" s="1" t="s">
        <v>74</v>
      </c>
      <c r="AR187" s="1" t="s">
        <v>74</v>
      </c>
      <c r="AS187" s="1" t="s">
        <v>74</v>
      </c>
      <c r="AT187" s="1" t="s">
        <v>148</v>
      </c>
      <c r="AU187" s="1">
        <v>2004.0</v>
      </c>
      <c r="AV187" s="1">
        <v>16.0</v>
      </c>
      <c r="AW187" s="1">
        <v>2.0</v>
      </c>
      <c r="AX187" s="1" t="s">
        <v>74</v>
      </c>
      <c r="AY187" s="1" t="s">
        <v>74</v>
      </c>
      <c r="AZ187" s="1" t="s">
        <v>74</v>
      </c>
      <c r="BA187" s="1" t="s">
        <v>74</v>
      </c>
      <c r="BB187" s="1">
        <v>127.0</v>
      </c>
      <c r="BC187" s="1">
        <v>133.0</v>
      </c>
      <c r="BD187" s="1" t="s">
        <v>74</v>
      </c>
      <c r="BE187" s="1" t="s">
        <v>1815</v>
      </c>
      <c r="BF187" s="2" t="str">
        <f>HYPERLINK("http://dx.doi.org/10.1023/B:JAPH.0000044778.44193.a8","http://dx.doi.org/10.1023/B:JAPH.0000044778.44193.a8")</f>
        <v>http://dx.doi.org/10.1023/B:JAPH.0000044778.44193.a8</v>
      </c>
      <c r="BG187" s="1" t="s">
        <v>74</v>
      </c>
      <c r="BH187" s="1" t="s">
        <v>74</v>
      </c>
      <c r="BI187" s="1" t="s">
        <v>74</v>
      </c>
      <c r="BJ187" s="1" t="s">
        <v>74</v>
      </c>
      <c r="BK187" s="1" t="s">
        <v>74</v>
      </c>
      <c r="BL187" s="1" t="s">
        <v>74</v>
      </c>
      <c r="BM187" s="1" t="s">
        <v>74</v>
      </c>
      <c r="BN187" s="1" t="s">
        <v>74</v>
      </c>
      <c r="BO187" s="1" t="s">
        <v>74</v>
      </c>
      <c r="BP187" s="1" t="s">
        <v>74</v>
      </c>
      <c r="BQ187" s="1" t="s">
        <v>74</v>
      </c>
      <c r="BR187" s="1" t="s">
        <v>74</v>
      </c>
      <c r="BS187" s="1" t="s">
        <v>1816</v>
      </c>
      <c r="BT187" s="1" t="str">
        <f>HYPERLINK("https%3A%2F%2Fwww.webofscience.com%2Fwos%2Fwoscc%2Ffull-record%2FWOS:000224436600006","View Full Record in Web of Science")</f>
        <v>View Full Record in Web of Science</v>
      </c>
    </row>
    <row r="188" ht="12.75" customHeight="1">
      <c r="A188" s="1" t="s">
        <v>72</v>
      </c>
      <c r="B188" s="1" t="s">
        <v>1817</v>
      </c>
      <c r="C188" s="1" t="s">
        <v>74</v>
      </c>
      <c r="D188" s="1" t="s">
        <v>74</v>
      </c>
      <c r="E188" s="1" t="s">
        <v>74</v>
      </c>
      <c r="F188" s="1" t="s">
        <v>1817</v>
      </c>
      <c r="G188" s="1" t="s">
        <v>74</v>
      </c>
      <c r="H188" s="1" t="s">
        <v>74</v>
      </c>
      <c r="I188" s="1" t="s">
        <v>1818</v>
      </c>
      <c r="J188" s="1" t="s">
        <v>1819</v>
      </c>
      <c r="K188" s="1" t="s">
        <v>74</v>
      </c>
      <c r="L188" s="1" t="s">
        <v>74</v>
      </c>
      <c r="M188" s="1" t="s">
        <v>74</v>
      </c>
      <c r="N188" s="1" t="s">
        <v>74</v>
      </c>
      <c r="O188" s="1" t="s">
        <v>74</v>
      </c>
      <c r="P188" s="1" t="s">
        <v>74</v>
      </c>
      <c r="Q188" s="1" t="s">
        <v>74</v>
      </c>
      <c r="R188" s="1" t="s">
        <v>74</v>
      </c>
      <c r="S188" s="1" t="s">
        <v>74</v>
      </c>
      <c r="T188" s="1" t="s">
        <v>74</v>
      </c>
      <c r="U188" s="1" t="s">
        <v>74</v>
      </c>
      <c r="V188" s="1" t="s">
        <v>1820</v>
      </c>
      <c r="W188" s="1" t="s">
        <v>74</v>
      </c>
      <c r="X188" s="1" t="s">
        <v>74</v>
      </c>
      <c r="Y188" s="1" t="s">
        <v>74</v>
      </c>
      <c r="Z188" s="1" t="s">
        <v>74</v>
      </c>
      <c r="AA188" s="1" t="s">
        <v>1821</v>
      </c>
      <c r="AB188" s="1" t="s">
        <v>1822</v>
      </c>
      <c r="AC188" s="1" t="s">
        <v>74</v>
      </c>
      <c r="AD188" s="1" t="s">
        <v>74</v>
      </c>
      <c r="AE188" s="1" t="s">
        <v>74</v>
      </c>
      <c r="AF188" s="1" t="s">
        <v>74</v>
      </c>
      <c r="AG188" s="1" t="s">
        <v>74</v>
      </c>
      <c r="AH188" s="1" t="s">
        <v>74</v>
      </c>
      <c r="AI188" s="1" t="s">
        <v>74</v>
      </c>
      <c r="AJ188" s="1" t="s">
        <v>74</v>
      </c>
      <c r="AK188" s="1" t="s">
        <v>74</v>
      </c>
      <c r="AL188" s="1" t="s">
        <v>74</v>
      </c>
      <c r="AM188" s="1" t="s">
        <v>74</v>
      </c>
      <c r="AN188" s="1" t="s">
        <v>74</v>
      </c>
      <c r="AO188" s="1" t="s">
        <v>1823</v>
      </c>
      <c r="AP188" s="1" t="s">
        <v>1824</v>
      </c>
      <c r="AQ188" s="1" t="s">
        <v>74</v>
      </c>
      <c r="AR188" s="1" t="s">
        <v>74</v>
      </c>
      <c r="AS188" s="1" t="s">
        <v>74</v>
      </c>
      <c r="AT188" s="1" t="s">
        <v>1176</v>
      </c>
      <c r="AU188" s="1">
        <v>2002.0</v>
      </c>
      <c r="AV188" s="1">
        <v>66.0</v>
      </c>
      <c r="AW188" s="1">
        <v>2.0</v>
      </c>
      <c r="AX188" s="1">
        <v>2.0</v>
      </c>
      <c r="AY188" s="1" t="s">
        <v>74</v>
      </c>
      <c r="AZ188" s="1" t="s">
        <v>74</v>
      </c>
      <c r="BA188" s="1" t="s">
        <v>74</v>
      </c>
      <c r="BB188" s="1" t="s">
        <v>74</v>
      </c>
      <c r="BC188" s="1" t="s">
        <v>74</v>
      </c>
      <c r="BD188" s="1">
        <v>26108.0</v>
      </c>
      <c r="BE188" s="1" t="s">
        <v>1825</v>
      </c>
      <c r="BF188" s="2" t="str">
        <f>HYPERLINK("http://dx.doi.org/10.1103/PhysRevE.66.026108","http://dx.doi.org/10.1103/PhysRevE.66.026108")</f>
        <v>http://dx.doi.org/10.1103/PhysRevE.66.026108</v>
      </c>
      <c r="BG188" s="1" t="s">
        <v>74</v>
      </c>
      <c r="BH188" s="1" t="s">
        <v>74</v>
      </c>
      <c r="BI188" s="1" t="s">
        <v>74</v>
      </c>
      <c r="BJ188" s="1" t="s">
        <v>74</v>
      </c>
      <c r="BK188" s="1" t="s">
        <v>74</v>
      </c>
      <c r="BL188" s="1" t="s">
        <v>74</v>
      </c>
      <c r="BM188" s="1" t="s">
        <v>74</v>
      </c>
      <c r="BN188" s="1">
        <v>1.2241238E7</v>
      </c>
      <c r="BO188" s="1" t="s">
        <v>74</v>
      </c>
      <c r="BP188" s="1" t="s">
        <v>74</v>
      </c>
      <c r="BQ188" s="1" t="s">
        <v>74</v>
      </c>
      <c r="BR188" s="1" t="s">
        <v>74</v>
      </c>
      <c r="BS188" s="1" t="s">
        <v>1826</v>
      </c>
      <c r="BT188" s="1" t="str">
        <f>HYPERLINK("https%3A%2F%2Fwww.webofscience.com%2Fwos%2Fwoscc%2Ffull-record%2FWOS:000177971300017","View Full Record in Web of Science")</f>
        <v>View Full Record in Web of Science</v>
      </c>
    </row>
    <row r="189" ht="12.75" customHeight="1">
      <c r="A189" s="1" t="s">
        <v>72</v>
      </c>
      <c r="B189" s="1" t="s">
        <v>1827</v>
      </c>
      <c r="C189" s="1" t="s">
        <v>74</v>
      </c>
      <c r="D189" s="1" t="s">
        <v>74</v>
      </c>
      <c r="E189" s="1" t="s">
        <v>74</v>
      </c>
      <c r="F189" s="1" t="s">
        <v>1827</v>
      </c>
      <c r="G189" s="1" t="s">
        <v>74</v>
      </c>
      <c r="H189" s="1" t="s">
        <v>74</v>
      </c>
      <c r="I189" s="1" t="s">
        <v>1828</v>
      </c>
      <c r="J189" s="1" t="s">
        <v>195</v>
      </c>
      <c r="K189" s="1" t="s">
        <v>74</v>
      </c>
      <c r="L189" s="1" t="s">
        <v>74</v>
      </c>
      <c r="M189" s="1" t="s">
        <v>74</v>
      </c>
      <c r="N189" s="1" t="s">
        <v>74</v>
      </c>
      <c r="O189" s="1" t="s">
        <v>74</v>
      </c>
      <c r="P189" s="1" t="s">
        <v>74</v>
      </c>
      <c r="Q189" s="1" t="s">
        <v>74</v>
      </c>
      <c r="R189" s="1" t="s">
        <v>74</v>
      </c>
      <c r="S189" s="1" t="s">
        <v>74</v>
      </c>
      <c r="T189" s="1" t="s">
        <v>74</v>
      </c>
      <c r="U189" s="1" t="s">
        <v>74</v>
      </c>
      <c r="V189" s="1" t="s">
        <v>74</v>
      </c>
      <c r="W189" s="1" t="s">
        <v>74</v>
      </c>
      <c r="X189" s="1" t="s">
        <v>74</v>
      </c>
      <c r="Y189" s="1" t="s">
        <v>74</v>
      </c>
      <c r="Z189" s="1" t="s">
        <v>74</v>
      </c>
      <c r="AA189" s="1" t="s">
        <v>74</v>
      </c>
      <c r="AB189" s="1" t="s">
        <v>74</v>
      </c>
      <c r="AC189" s="1" t="s">
        <v>74</v>
      </c>
      <c r="AD189" s="1" t="s">
        <v>74</v>
      </c>
      <c r="AE189" s="1" t="s">
        <v>74</v>
      </c>
      <c r="AF189" s="1" t="s">
        <v>74</v>
      </c>
      <c r="AG189" s="1" t="s">
        <v>74</v>
      </c>
      <c r="AH189" s="1" t="s">
        <v>74</v>
      </c>
      <c r="AI189" s="1" t="s">
        <v>74</v>
      </c>
      <c r="AJ189" s="1" t="s">
        <v>74</v>
      </c>
      <c r="AK189" s="1" t="s">
        <v>74</v>
      </c>
      <c r="AL189" s="1" t="s">
        <v>74</v>
      </c>
      <c r="AM189" s="1" t="s">
        <v>74</v>
      </c>
      <c r="AN189" s="1" t="s">
        <v>74</v>
      </c>
      <c r="AO189" s="1" t="s">
        <v>197</v>
      </c>
      <c r="AP189" s="1" t="s">
        <v>74</v>
      </c>
      <c r="AQ189" s="1" t="s">
        <v>74</v>
      </c>
      <c r="AR189" s="1" t="s">
        <v>74</v>
      </c>
      <c r="AS189" s="1" t="s">
        <v>74</v>
      </c>
      <c r="AT189" s="1" t="s">
        <v>74</v>
      </c>
      <c r="AU189" s="1">
        <v>2002.0</v>
      </c>
      <c r="AV189" s="1">
        <v>33.0</v>
      </c>
      <c r="AW189" s="1" t="s">
        <v>74</v>
      </c>
      <c r="AX189" s="1" t="s">
        <v>74</v>
      </c>
      <c r="AY189" s="1">
        <v>1.0</v>
      </c>
      <c r="AZ189" s="1" t="s">
        <v>74</v>
      </c>
      <c r="BA189" s="1">
        <v>658.0</v>
      </c>
      <c r="BB189" s="1" t="s">
        <v>1829</v>
      </c>
      <c r="BC189" s="1" t="s">
        <v>1829</v>
      </c>
      <c r="BD189" s="1" t="s">
        <v>74</v>
      </c>
      <c r="BE189" s="1" t="s">
        <v>74</v>
      </c>
      <c r="BF189" s="1" t="s">
        <v>74</v>
      </c>
      <c r="BG189" s="1" t="s">
        <v>74</v>
      </c>
      <c r="BH189" s="1" t="s">
        <v>74</v>
      </c>
      <c r="BI189" s="1" t="s">
        <v>74</v>
      </c>
      <c r="BJ189" s="1" t="s">
        <v>74</v>
      </c>
      <c r="BK189" s="1" t="s">
        <v>74</v>
      </c>
      <c r="BL189" s="1" t="s">
        <v>74</v>
      </c>
      <c r="BM189" s="1" t="s">
        <v>74</v>
      </c>
      <c r="BN189" s="1" t="s">
        <v>74</v>
      </c>
      <c r="BO189" s="1" t="s">
        <v>74</v>
      </c>
      <c r="BP189" s="1" t="s">
        <v>74</v>
      </c>
      <c r="BQ189" s="1" t="s">
        <v>74</v>
      </c>
      <c r="BR189" s="1" t="s">
        <v>74</v>
      </c>
      <c r="BS189" s="1" t="s">
        <v>1830</v>
      </c>
      <c r="BT189" s="1" t="str">
        <f>HYPERLINK("https%3A%2F%2Fwww.webofscience.com%2Fwos%2Fwoscc%2Ffull-record%2FWOS:000177096300656","View Full Record in Web of Science")</f>
        <v>View Full Record in Web of Science</v>
      </c>
    </row>
    <row r="190" ht="12.75" customHeight="1">
      <c r="A190" s="1" t="s">
        <v>72</v>
      </c>
      <c r="B190" s="1" t="s">
        <v>1831</v>
      </c>
      <c r="C190" s="1" t="s">
        <v>74</v>
      </c>
      <c r="D190" s="1" t="s">
        <v>74</v>
      </c>
      <c r="E190" s="1" t="s">
        <v>74</v>
      </c>
      <c r="F190" s="1" t="s">
        <v>1831</v>
      </c>
      <c r="G190" s="1" t="s">
        <v>74</v>
      </c>
      <c r="H190" s="1" t="s">
        <v>74</v>
      </c>
      <c r="I190" s="1" t="s">
        <v>1832</v>
      </c>
      <c r="J190" s="1" t="s">
        <v>1087</v>
      </c>
      <c r="K190" s="1" t="s">
        <v>74</v>
      </c>
      <c r="L190" s="1" t="s">
        <v>74</v>
      </c>
      <c r="M190" s="1" t="s">
        <v>74</v>
      </c>
      <c r="N190" s="1" t="s">
        <v>74</v>
      </c>
      <c r="O190" s="1" t="s">
        <v>74</v>
      </c>
      <c r="P190" s="1" t="s">
        <v>74</v>
      </c>
      <c r="Q190" s="1" t="s">
        <v>74</v>
      </c>
      <c r="R190" s="1" t="s">
        <v>74</v>
      </c>
      <c r="S190" s="1" t="s">
        <v>74</v>
      </c>
      <c r="T190" s="1" t="s">
        <v>74</v>
      </c>
      <c r="U190" s="1" t="s">
        <v>74</v>
      </c>
      <c r="V190" s="1" t="s">
        <v>1833</v>
      </c>
      <c r="W190" s="1" t="s">
        <v>74</v>
      </c>
      <c r="X190" s="1" t="s">
        <v>74</v>
      </c>
      <c r="Y190" s="1" t="s">
        <v>74</v>
      </c>
      <c r="Z190" s="1" t="s">
        <v>74</v>
      </c>
      <c r="AA190" s="1" t="s">
        <v>1834</v>
      </c>
      <c r="AB190" s="1" t="s">
        <v>1835</v>
      </c>
      <c r="AC190" s="1" t="s">
        <v>74</v>
      </c>
      <c r="AD190" s="1" t="s">
        <v>74</v>
      </c>
      <c r="AE190" s="1" t="s">
        <v>74</v>
      </c>
      <c r="AF190" s="1" t="s">
        <v>74</v>
      </c>
      <c r="AG190" s="1" t="s">
        <v>74</v>
      </c>
      <c r="AH190" s="1" t="s">
        <v>74</v>
      </c>
      <c r="AI190" s="1" t="s">
        <v>74</v>
      </c>
      <c r="AJ190" s="1" t="s">
        <v>74</v>
      </c>
      <c r="AK190" s="1" t="s">
        <v>74</v>
      </c>
      <c r="AL190" s="1" t="s">
        <v>74</v>
      </c>
      <c r="AM190" s="1" t="s">
        <v>74</v>
      </c>
      <c r="AN190" s="1" t="s">
        <v>74</v>
      </c>
      <c r="AO190" s="1" t="s">
        <v>1091</v>
      </c>
      <c r="AP190" s="1" t="s">
        <v>74</v>
      </c>
      <c r="AQ190" s="1" t="s">
        <v>74</v>
      </c>
      <c r="AR190" s="1" t="s">
        <v>74</v>
      </c>
      <c r="AS190" s="1" t="s">
        <v>74</v>
      </c>
      <c r="AT190" s="1" t="s">
        <v>74</v>
      </c>
      <c r="AU190" s="1">
        <v>2001.0</v>
      </c>
      <c r="AV190" s="1">
        <v>54.0</v>
      </c>
      <c r="AW190" s="1" t="s">
        <v>1159</v>
      </c>
      <c r="AX190" s="1" t="s">
        <v>74</v>
      </c>
      <c r="AY190" s="1" t="s">
        <v>74</v>
      </c>
      <c r="AZ190" s="1" t="s">
        <v>74</v>
      </c>
      <c r="BA190" s="1" t="s">
        <v>74</v>
      </c>
      <c r="BB190" s="1">
        <v>183.0</v>
      </c>
      <c r="BC190" s="1">
        <v>191.0</v>
      </c>
      <c r="BD190" s="1" t="s">
        <v>74</v>
      </c>
      <c r="BE190" s="1" t="s">
        <v>1836</v>
      </c>
      <c r="BF190" s="2" t="str">
        <f>HYPERLINK("http://dx.doi.org/10.1080/00958970108022634","http://dx.doi.org/10.1080/00958970108022634")</f>
        <v>http://dx.doi.org/10.1080/00958970108022634</v>
      </c>
      <c r="BG190" s="1" t="s">
        <v>74</v>
      </c>
      <c r="BH190" s="1" t="s">
        <v>74</v>
      </c>
      <c r="BI190" s="1" t="s">
        <v>74</v>
      </c>
      <c r="BJ190" s="1" t="s">
        <v>74</v>
      </c>
      <c r="BK190" s="1" t="s">
        <v>74</v>
      </c>
      <c r="BL190" s="1" t="s">
        <v>74</v>
      </c>
      <c r="BM190" s="1" t="s">
        <v>74</v>
      </c>
      <c r="BN190" s="1" t="s">
        <v>74</v>
      </c>
      <c r="BO190" s="1" t="s">
        <v>74</v>
      </c>
      <c r="BP190" s="1" t="s">
        <v>74</v>
      </c>
      <c r="BQ190" s="1" t="s">
        <v>74</v>
      </c>
      <c r="BR190" s="1" t="s">
        <v>74</v>
      </c>
      <c r="BS190" s="1" t="s">
        <v>1837</v>
      </c>
      <c r="BT190" s="1" t="str">
        <f>HYPERLINK("https%3A%2F%2Fwww.webofscience.com%2Fwos%2Fwoscc%2Ffull-record%2FWOS:000172387600001","View Full Record in Web of Science")</f>
        <v>View Full Record in Web of Science</v>
      </c>
    </row>
    <row r="191" ht="12.75" customHeight="1">
      <c r="A191" s="1" t="s">
        <v>72</v>
      </c>
      <c r="B191" s="1" t="s">
        <v>1838</v>
      </c>
      <c r="C191" s="1" t="s">
        <v>74</v>
      </c>
      <c r="D191" s="1" t="s">
        <v>74</v>
      </c>
      <c r="E191" s="1" t="s">
        <v>74</v>
      </c>
      <c r="F191" s="1" t="s">
        <v>1838</v>
      </c>
      <c r="G191" s="1" t="s">
        <v>74</v>
      </c>
      <c r="H191" s="1" t="s">
        <v>74</v>
      </c>
      <c r="I191" s="1" t="s">
        <v>1839</v>
      </c>
      <c r="J191" s="1" t="s">
        <v>1840</v>
      </c>
      <c r="K191" s="1" t="s">
        <v>74</v>
      </c>
      <c r="L191" s="1" t="s">
        <v>74</v>
      </c>
      <c r="M191" s="1" t="s">
        <v>74</v>
      </c>
      <c r="N191" s="1" t="s">
        <v>74</v>
      </c>
      <c r="O191" s="1" t="s">
        <v>74</v>
      </c>
      <c r="P191" s="1" t="s">
        <v>74</v>
      </c>
      <c r="Q191" s="1" t="s">
        <v>74</v>
      </c>
      <c r="R191" s="1" t="s">
        <v>74</v>
      </c>
      <c r="S191" s="1" t="s">
        <v>74</v>
      </c>
      <c r="T191" s="1" t="s">
        <v>74</v>
      </c>
      <c r="U191" s="1" t="s">
        <v>74</v>
      </c>
      <c r="V191" s="1" t="s">
        <v>1841</v>
      </c>
      <c r="W191" s="1" t="s">
        <v>74</v>
      </c>
      <c r="X191" s="1" t="s">
        <v>74</v>
      </c>
      <c r="Y191" s="1" t="s">
        <v>74</v>
      </c>
      <c r="Z191" s="1" t="s">
        <v>74</v>
      </c>
      <c r="AA191" s="1" t="s">
        <v>74</v>
      </c>
      <c r="AB191" s="1" t="s">
        <v>1842</v>
      </c>
      <c r="AC191" s="1" t="s">
        <v>74</v>
      </c>
      <c r="AD191" s="1" t="s">
        <v>74</v>
      </c>
      <c r="AE191" s="1" t="s">
        <v>74</v>
      </c>
      <c r="AF191" s="1" t="s">
        <v>74</v>
      </c>
      <c r="AG191" s="1" t="s">
        <v>74</v>
      </c>
      <c r="AH191" s="1" t="s">
        <v>74</v>
      </c>
      <c r="AI191" s="1" t="s">
        <v>74</v>
      </c>
      <c r="AJ191" s="1" t="s">
        <v>74</v>
      </c>
      <c r="AK191" s="1" t="s">
        <v>74</v>
      </c>
      <c r="AL191" s="1" t="s">
        <v>74</v>
      </c>
      <c r="AM191" s="1" t="s">
        <v>74</v>
      </c>
      <c r="AN191" s="1" t="s">
        <v>74</v>
      </c>
      <c r="AO191" s="1" t="s">
        <v>1843</v>
      </c>
      <c r="AP191" s="1" t="s">
        <v>74</v>
      </c>
      <c r="AQ191" s="1" t="s">
        <v>74</v>
      </c>
      <c r="AR191" s="1" t="s">
        <v>74</v>
      </c>
      <c r="AS191" s="1" t="s">
        <v>74</v>
      </c>
      <c r="AT191" s="1" t="s">
        <v>148</v>
      </c>
      <c r="AU191" s="1">
        <v>2000.0</v>
      </c>
      <c r="AV191" s="1">
        <v>40.0</v>
      </c>
      <c r="AW191" s="1">
        <v>2.0</v>
      </c>
      <c r="AX191" s="1" t="s">
        <v>74</v>
      </c>
      <c r="AY191" s="1" t="s">
        <v>74</v>
      </c>
      <c r="AZ191" s="1" t="s">
        <v>74</v>
      </c>
      <c r="BA191" s="1" t="s">
        <v>74</v>
      </c>
      <c r="BB191" s="1">
        <v>154.0</v>
      </c>
      <c r="BC191" s="1">
        <v>159.0</v>
      </c>
      <c r="BD191" s="1" t="s">
        <v>74</v>
      </c>
      <c r="BE191" s="1" t="s">
        <v>1844</v>
      </c>
      <c r="BF191" s="2" t="str">
        <f>HYPERLINK("http://dx.doi.org/10.1053/jinf.1999.0632","http://dx.doi.org/10.1053/jinf.1999.0632")</f>
        <v>http://dx.doi.org/10.1053/jinf.1999.0632</v>
      </c>
      <c r="BG191" s="1" t="s">
        <v>74</v>
      </c>
      <c r="BH191" s="1" t="s">
        <v>74</v>
      </c>
      <c r="BI191" s="1" t="s">
        <v>74</v>
      </c>
      <c r="BJ191" s="1" t="s">
        <v>74</v>
      </c>
      <c r="BK191" s="1" t="s">
        <v>74</v>
      </c>
      <c r="BL191" s="1" t="s">
        <v>74</v>
      </c>
      <c r="BM191" s="1" t="s">
        <v>74</v>
      </c>
      <c r="BN191" s="1">
        <v>1.0841092E7</v>
      </c>
      <c r="BO191" s="1" t="s">
        <v>74</v>
      </c>
      <c r="BP191" s="1" t="s">
        <v>74</v>
      </c>
      <c r="BQ191" s="1" t="s">
        <v>74</v>
      </c>
      <c r="BR191" s="1" t="s">
        <v>74</v>
      </c>
      <c r="BS191" s="1" t="s">
        <v>1845</v>
      </c>
      <c r="BT191" s="1" t="str">
        <f>HYPERLINK("https%3A%2F%2Fwww.webofscience.com%2Fwos%2Fwoscc%2Ffull-record%2FWOS:000087137000010","View Full Record in Web of Science")</f>
        <v>View Full Record in Web of Science</v>
      </c>
    </row>
    <row r="192" ht="12.75" customHeight="1">
      <c r="A192" s="1" t="s">
        <v>72</v>
      </c>
      <c r="B192" s="1" t="s">
        <v>1846</v>
      </c>
      <c r="C192" s="1" t="s">
        <v>74</v>
      </c>
      <c r="D192" s="1" t="s">
        <v>74</v>
      </c>
      <c r="E192" s="1" t="s">
        <v>74</v>
      </c>
      <c r="F192" s="1" t="s">
        <v>1846</v>
      </c>
      <c r="G192" s="1" t="s">
        <v>74</v>
      </c>
      <c r="H192" s="1" t="s">
        <v>74</v>
      </c>
      <c r="I192" s="1" t="s">
        <v>1847</v>
      </c>
      <c r="J192" s="1" t="s">
        <v>1848</v>
      </c>
      <c r="K192" s="1" t="s">
        <v>74</v>
      </c>
      <c r="L192" s="1" t="s">
        <v>74</v>
      </c>
      <c r="M192" s="1" t="s">
        <v>74</v>
      </c>
      <c r="N192" s="1" t="s">
        <v>74</v>
      </c>
      <c r="O192" s="1" t="s">
        <v>74</v>
      </c>
      <c r="P192" s="1" t="s">
        <v>74</v>
      </c>
      <c r="Q192" s="1" t="s">
        <v>74</v>
      </c>
      <c r="R192" s="1" t="s">
        <v>74</v>
      </c>
      <c r="S192" s="1" t="s">
        <v>74</v>
      </c>
      <c r="T192" s="1" t="s">
        <v>74</v>
      </c>
      <c r="U192" s="1" t="s">
        <v>74</v>
      </c>
      <c r="V192" s="1" t="s">
        <v>1849</v>
      </c>
      <c r="W192" s="1" t="s">
        <v>74</v>
      </c>
      <c r="X192" s="1" t="s">
        <v>74</v>
      </c>
      <c r="Y192" s="1" t="s">
        <v>74</v>
      </c>
      <c r="Z192" s="1" t="s">
        <v>74</v>
      </c>
      <c r="AA192" s="1" t="s">
        <v>1850</v>
      </c>
      <c r="AB192" s="1" t="s">
        <v>74</v>
      </c>
      <c r="AC192" s="1" t="s">
        <v>74</v>
      </c>
      <c r="AD192" s="1" t="s">
        <v>74</v>
      </c>
      <c r="AE192" s="1" t="s">
        <v>74</v>
      </c>
      <c r="AF192" s="1" t="s">
        <v>74</v>
      </c>
      <c r="AG192" s="1" t="s">
        <v>74</v>
      </c>
      <c r="AH192" s="1" t="s">
        <v>74</v>
      </c>
      <c r="AI192" s="1" t="s">
        <v>74</v>
      </c>
      <c r="AJ192" s="1" t="s">
        <v>74</v>
      </c>
      <c r="AK192" s="1" t="s">
        <v>74</v>
      </c>
      <c r="AL192" s="1" t="s">
        <v>74</v>
      </c>
      <c r="AM192" s="1" t="s">
        <v>74</v>
      </c>
      <c r="AN192" s="1" t="s">
        <v>74</v>
      </c>
      <c r="AO192" s="1" t="s">
        <v>1851</v>
      </c>
      <c r="AP192" s="1" t="s">
        <v>74</v>
      </c>
      <c r="AQ192" s="1" t="s">
        <v>74</v>
      </c>
      <c r="AR192" s="1" t="s">
        <v>74</v>
      </c>
      <c r="AS192" s="1" t="s">
        <v>74</v>
      </c>
      <c r="AT192" s="1" t="s">
        <v>299</v>
      </c>
      <c r="AU192" s="1">
        <v>2000.0</v>
      </c>
      <c r="AV192" s="1">
        <v>43.0</v>
      </c>
      <c r="AW192" s="1">
        <v>1.0</v>
      </c>
      <c r="AX192" s="1" t="s">
        <v>74</v>
      </c>
      <c r="AY192" s="1" t="s">
        <v>74</v>
      </c>
      <c r="AZ192" s="1" t="s">
        <v>74</v>
      </c>
      <c r="BA192" s="1" t="s">
        <v>74</v>
      </c>
      <c r="BB192" s="1">
        <v>53.0</v>
      </c>
      <c r="BC192" s="1">
        <v>67.0</v>
      </c>
      <c r="BD192" s="1" t="s">
        <v>74</v>
      </c>
      <c r="BE192" s="1" t="s">
        <v>1852</v>
      </c>
      <c r="BF192" s="2" t="str">
        <f>HYPERLINK("http://dx.doi.org/10.1016/S0017-9310(99)00119-2","http://dx.doi.org/10.1016/S0017-9310(99)00119-2")</f>
        <v>http://dx.doi.org/10.1016/S0017-9310(99)00119-2</v>
      </c>
      <c r="BG192" s="1" t="s">
        <v>74</v>
      </c>
      <c r="BH192" s="1" t="s">
        <v>74</v>
      </c>
      <c r="BI192" s="1" t="s">
        <v>74</v>
      </c>
      <c r="BJ192" s="1" t="s">
        <v>74</v>
      </c>
      <c r="BK192" s="1" t="s">
        <v>74</v>
      </c>
      <c r="BL192" s="1" t="s">
        <v>74</v>
      </c>
      <c r="BM192" s="1" t="s">
        <v>74</v>
      </c>
      <c r="BN192" s="1" t="s">
        <v>74</v>
      </c>
      <c r="BO192" s="1" t="s">
        <v>74</v>
      </c>
      <c r="BP192" s="1" t="s">
        <v>74</v>
      </c>
      <c r="BQ192" s="1" t="s">
        <v>74</v>
      </c>
      <c r="BR192" s="1" t="s">
        <v>74</v>
      </c>
      <c r="BS192" s="1" t="s">
        <v>1853</v>
      </c>
      <c r="BT192" s="1" t="str">
        <f>HYPERLINK("https%3A%2F%2Fwww.webofscience.com%2Fwos%2Fwoscc%2Ffull-record%2FWOS:000083263800005","View Full Record in Web of Science")</f>
        <v>View Full Record in Web of Science</v>
      </c>
    </row>
    <row r="193" ht="12.75" customHeight="1">
      <c r="A193" s="1" t="s">
        <v>72</v>
      </c>
      <c r="B193" s="1" t="s">
        <v>1854</v>
      </c>
      <c r="C193" s="1" t="s">
        <v>74</v>
      </c>
      <c r="D193" s="1" t="s">
        <v>74</v>
      </c>
      <c r="E193" s="1" t="s">
        <v>74</v>
      </c>
      <c r="F193" s="1" t="s">
        <v>1854</v>
      </c>
      <c r="G193" s="1" t="s">
        <v>74</v>
      </c>
      <c r="H193" s="1" t="s">
        <v>74</v>
      </c>
      <c r="I193" s="1" t="s">
        <v>1855</v>
      </c>
      <c r="J193" s="1" t="s">
        <v>1856</v>
      </c>
      <c r="K193" s="1" t="s">
        <v>74</v>
      </c>
      <c r="L193" s="1" t="s">
        <v>74</v>
      </c>
      <c r="M193" s="1" t="s">
        <v>74</v>
      </c>
      <c r="N193" s="1" t="s">
        <v>74</v>
      </c>
      <c r="O193" s="1" t="s">
        <v>74</v>
      </c>
      <c r="P193" s="1" t="s">
        <v>74</v>
      </c>
      <c r="Q193" s="1" t="s">
        <v>74</v>
      </c>
      <c r="R193" s="1" t="s">
        <v>74</v>
      </c>
      <c r="S193" s="1" t="s">
        <v>74</v>
      </c>
      <c r="T193" s="1" t="s">
        <v>74</v>
      </c>
      <c r="U193" s="1" t="s">
        <v>74</v>
      </c>
      <c r="V193" s="1" t="s">
        <v>1857</v>
      </c>
      <c r="W193" s="1" t="s">
        <v>74</v>
      </c>
      <c r="X193" s="1" t="s">
        <v>74</v>
      </c>
      <c r="Y193" s="1" t="s">
        <v>74</v>
      </c>
      <c r="Z193" s="1" t="s">
        <v>74</v>
      </c>
      <c r="AA193" s="1" t="s">
        <v>1858</v>
      </c>
      <c r="AB193" s="1" t="s">
        <v>1859</v>
      </c>
      <c r="AC193" s="1" t="s">
        <v>74</v>
      </c>
      <c r="AD193" s="1" t="s">
        <v>74</v>
      </c>
      <c r="AE193" s="1" t="s">
        <v>74</v>
      </c>
      <c r="AF193" s="1" t="s">
        <v>74</v>
      </c>
      <c r="AG193" s="1" t="s">
        <v>74</v>
      </c>
      <c r="AH193" s="1" t="s">
        <v>74</v>
      </c>
      <c r="AI193" s="1" t="s">
        <v>74</v>
      </c>
      <c r="AJ193" s="1" t="s">
        <v>74</v>
      </c>
      <c r="AK193" s="1" t="s">
        <v>74</v>
      </c>
      <c r="AL193" s="1" t="s">
        <v>74</v>
      </c>
      <c r="AM193" s="1" t="s">
        <v>74</v>
      </c>
      <c r="AN193" s="1" t="s">
        <v>74</v>
      </c>
      <c r="AO193" s="1" t="s">
        <v>1860</v>
      </c>
      <c r="AP193" s="1" t="s">
        <v>74</v>
      </c>
      <c r="AQ193" s="1" t="s">
        <v>74</v>
      </c>
      <c r="AR193" s="1" t="s">
        <v>74</v>
      </c>
      <c r="AS193" s="1" t="s">
        <v>74</v>
      </c>
      <c r="AT193" s="1" t="s">
        <v>429</v>
      </c>
      <c r="AU193" s="1">
        <v>1997.0</v>
      </c>
      <c r="AV193" s="1" t="s">
        <v>74</v>
      </c>
      <c r="AW193" s="1">
        <v>5.0</v>
      </c>
      <c r="AX193" s="1" t="s">
        <v>74</v>
      </c>
      <c r="AY193" s="1" t="s">
        <v>74</v>
      </c>
      <c r="AZ193" s="1" t="s">
        <v>74</v>
      </c>
      <c r="BA193" s="1" t="s">
        <v>74</v>
      </c>
      <c r="BB193" s="1">
        <v>1055.0</v>
      </c>
      <c r="BC193" s="1">
        <v>1058.0</v>
      </c>
      <c r="BD193" s="1" t="s">
        <v>74</v>
      </c>
      <c r="BE193" s="1" t="s">
        <v>1861</v>
      </c>
      <c r="BF193" s="2" t="str">
        <f>HYPERLINK("http://dx.doi.org/10.1039/a605966j","http://dx.doi.org/10.1039/a605966j")</f>
        <v>http://dx.doi.org/10.1039/a605966j</v>
      </c>
      <c r="BG193" s="1" t="s">
        <v>74</v>
      </c>
      <c r="BH193" s="1" t="s">
        <v>74</v>
      </c>
      <c r="BI193" s="1" t="s">
        <v>74</v>
      </c>
      <c r="BJ193" s="1" t="s">
        <v>74</v>
      </c>
      <c r="BK193" s="1" t="s">
        <v>74</v>
      </c>
      <c r="BL193" s="1" t="s">
        <v>74</v>
      </c>
      <c r="BM193" s="1" t="s">
        <v>74</v>
      </c>
      <c r="BN193" s="1" t="s">
        <v>74</v>
      </c>
      <c r="BO193" s="1" t="s">
        <v>74</v>
      </c>
      <c r="BP193" s="1" t="s">
        <v>74</v>
      </c>
      <c r="BQ193" s="1" t="s">
        <v>74</v>
      </c>
      <c r="BR193" s="1" t="s">
        <v>74</v>
      </c>
      <c r="BS193" s="1" t="s">
        <v>1862</v>
      </c>
      <c r="BT193" s="1" t="str">
        <f>HYPERLINK("https%3A%2F%2Fwww.webofscience.com%2Fwos%2Fwoscc%2Ffull-record%2FWOS:A1997WZ75400036","View Full Record in Web of Science")</f>
        <v>View Full Record in Web of Science</v>
      </c>
    </row>
    <row r="194" ht="12.75" customHeight="1">
      <c r="A194" s="1" t="s">
        <v>72</v>
      </c>
      <c r="B194" s="1" t="s">
        <v>1863</v>
      </c>
      <c r="C194" s="1" t="s">
        <v>74</v>
      </c>
      <c r="D194" s="1" t="s">
        <v>74</v>
      </c>
      <c r="E194" s="1" t="s">
        <v>74</v>
      </c>
      <c r="F194" s="1" t="s">
        <v>1863</v>
      </c>
      <c r="G194" s="1" t="s">
        <v>74</v>
      </c>
      <c r="H194" s="1" t="s">
        <v>74</v>
      </c>
      <c r="I194" s="1" t="s">
        <v>1864</v>
      </c>
      <c r="J194" s="1" t="s">
        <v>1865</v>
      </c>
      <c r="K194" s="1" t="s">
        <v>74</v>
      </c>
      <c r="L194" s="1" t="s">
        <v>74</v>
      </c>
      <c r="M194" s="1" t="s">
        <v>74</v>
      </c>
      <c r="N194" s="1" t="s">
        <v>74</v>
      </c>
      <c r="O194" s="1" t="s">
        <v>74</v>
      </c>
      <c r="P194" s="1" t="s">
        <v>74</v>
      </c>
      <c r="Q194" s="1" t="s">
        <v>74</v>
      </c>
      <c r="R194" s="1" t="s">
        <v>74</v>
      </c>
      <c r="S194" s="1" t="s">
        <v>74</v>
      </c>
      <c r="T194" s="1" t="s">
        <v>74</v>
      </c>
      <c r="U194" s="1" t="s">
        <v>74</v>
      </c>
      <c r="V194" s="1" t="s">
        <v>1866</v>
      </c>
      <c r="W194" s="1" t="s">
        <v>74</v>
      </c>
      <c r="X194" s="1" t="s">
        <v>74</v>
      </c>
      <c r="Y194" s="1" t="s">
        <v>74</v>
      </c>
      <c r="Z194" s="1" t="s">
        <v>74</v>
      </c>
      <c r="AA194" s="1" t="s">
        <v>74</v>
      </c>
      <c r="AB194" s="1" t="s">
        <v>74</v>
      </c>
      <c r="AC194" s="1" t="s">
        <v>74</v>
      </c>
      <c r="AD194" s="1" t="s">
        <v>74</v>
      </c>
      <c r="AE194" s="1" t="s">
        <v>74</v>
      </c>
      <c r="AF194" s="1" t="s">
        <v>74</v>
      </c>
      <c r="AG194" s="1" t="s">
        <v>74</v>
      </c>
      <c r="AH194" s="1" t="s">
        <v>74</v>
      </c>
      <c r="AI194" s="1" t="s">
        <v>74</v>
      </c>
      <c r="AJ194" s="1" t="s">
        <v>74</v>
      </c>
      <c r="AK194" s="1" t="s">
        <v>74</v>
      </c>
      <c r="AL194" s="1" t="s">
        <v>74</v>
      </c>
      <c r="AM194" s="1" t="s">
        <v>74</v>
      </c>
      <c r="AN194" s="1" t="s">
        <v>74</v>
      </c>
      <c r="AO194" s="1" t="s">
        <v>1867</v>
      </c>
      <c r="AP194" s="1" t="s">
        <v>74</v>
      </c>
      <c r="AQ194" s="1" t="s">
        <v>74</v>
      </c>
      <c r="AR194" s="1" t="s">
        <v>74</v>
      </c>
      <c r="AS194" s="1" t="s">
        <v>74</v>
      </c>
      <c r="AT194" s="1" t="s">
        <v>438</v>
      </c>
      <c r="AU194" s="1">
        <v>1996.0</v>
      </c>
      <c r="AV194" s="1">
        <v>7.0</v>
      </c>
      <c r="AW194" s="1">
        <v>1.0</v>
      </c>
      <c r="AX194" s="1" t="s">
        <v>74</v>
      </c>
      <c r="AY194" s="1" t="s">
        <v>74</v>
      </c>
      <c r="AZ194" s="1" t="s">
        <v>74</v>
      </c>
      <c r="BA194" s="1" t="s">
        <v>74</v>
      </c>
      <c r="BB194" s="1">
        <v>43.0</v>
      </c>
      <c r="BC194" s="1">
        <v>49.0</v>
      </c>
      <c r="BD194" s="1" t="s">
        <v>74</v>
      </c>
      <c r="BE194" s="1" t="s">
        <v>1868</v>
      </c>
      <c r="BF194" s="2" t="str">
        <f>HYPERLINK("http://dx.doi.org/10.5935/0103-5053.19960007","http://dx.doi.org/10.5935/0103-5053.19960007")</f>
        <v>http://dx.doi.org/10.5935/0103-5053.19960007</v>
      </c>
      <c r="BG194" s="1" t="s">
        <v>74</v>
      </c>
      <c r="BH194" s="1" t="s">
        <v>74</v>
      </c>
      <c r="BI194" s="1" t="s">
        <v>74</v>
      </c>
      <c r="BJ194" s="1" t="s">
        <v>74</v>
      </c>
      <c r="BK194" s="1" t="s">
        <v>74</v>
      </c>
      <c r="BL194" s="1" t="s">
        <v>74</v>
      </c>
      <c r="BM194" s="1" t="s">
        <v>74</v>
      </c>
      <c r="BN194" s="1" t="s">
        <v>74</v>
      </c>
      <c r="BO194" s="1" t="s">
        <v>74</v>
      </c>
      <c r="BP194" s="1" t="s">
        <v>74</v>
      </c>
      <c r="BQ194" s="1" t="s">
        <v>74</v>
      </c>
      <c r="BR194" s="1" t="s">
        <v>74</v>
      </c>
      <c r="BS194" s="1" t="s">
        <v>1869</v>
      </c>
      <c r="BT194" s="1" t="str">
        <f>HYPERLINK("https%3A%2F%2Fwww.webofscience.com%2Fwos%2Fwoscc%2Ffull-record%2FWOS:A1996TV23500008","View Full Record in Web of Science")</f>
        <v>View Full Record in Web of Science</v>
      </c>
    </row>
    <row r="195" ht="12.75" customHeight="1">
      <c r="A195" s="1" t="s">
        <v>72</v>
      </c>
      <c r="B195" s="1" t="s">
        <v>1870</v>
      </c>
      <c r="C195" s="1" t="s">
        <v>74</v>
      </c>
      <c r="D195" s="1" t="s">
        <v>74</v>
      </c>
      <c r="E195" s="1" t="s">
        <v>74</v>
      </c>
      <c r="F195" s="1" t="s">
        <v>1870</v>
      </c>
      <c r="G195" s="1" t="s">
        <v>74</v>
      </c>
      <c r="H195" s="1" t="s">
        <v>74</v>
      </c>
      <c r="I195" s="1" t="s">
        <v>1871</v>
      </c>
      <c r="J195" s="1" t="s">
        <v>1872</v>
      </c>
      <c r="K195" s="1" t="s">
        <v>74</v>
      </c>
      <c r="L195" s="1" t="s">
        <v>74</v>
      </c>
      <c r="M195" s="1" t="s">
        <v>74</v>
      </c>
      <c r="N195" s="1" t="s">
        <v>74</v>
      </c>
      <c r="O195" s="1" t="s">
        <v>74</v>
      </c>
      <c r="P195" s="1" t="s">
        <v>74</v>
      </c>
      <c r="Q195" s="1" t="s">
        <v>74</v>
      </c>
      <c r="R195" s="1" t="s">
        <v>74</v>
      </c>
      <c r="S195" s="1" t="s">
        <v>74</v>
      </c>
      <c r="T195" s="1" t="s">
        <v>74</v>
      </c>
      <c r="U195" s="1" t="s">
        <v>74</v>
      </c>
      <c r="V195" s="1" t="s">
        <v>1873</v>
      </c>
      <c r="W195" s="1" t="s">
        <v>74</v>
      </c>
      <c r="X195" s="1" t="s">
        <v>74</v>
      </c>
      <c r="Y195" s="1" t="s">
        <v>74</v>
      </c>
      <c r="Z195" s="1" t="s">
        <v>74</v>
      </c>
      <c r="AA195" s="1" t="s">
        <v>74</v>
      </c>
      <c r="AB195" s="1" t="s">
        <v>74</v>
      </c>
      <c r="AC195" s="1" t="s">
        <v>74</v>
      </c>
      <c r="AD195" s="1" t="s">
        <v>74</v>
      </c>
      <c r="AE195" s="1" t="s">
        <v>74</v>
      </c>
      <c r="AF195" s="1" t="s">
        <v>74</v>
      </c>
      <c r="AG195" s="1" t="s">
        <v>74</v>
      </c>
      <c r="AH195" s="1" t="s">
        <v>74</v>
      </c>
      <c r="AI195" s="1" t="s">
        <v>74</v>
      </c>
      <c r="AJ195" s="1" t="s">
        <v>74</v>
      </c>
      <c r="AK195" s="1" t="s">
        <v>74</v>
      </c>
      <c r="AL195" s="1" t="s">
        <v>74</v>
      </c>
      <c r="AM195" s="1" t="s">
        <v>74</v>
      </c>
      <c r="AN195" s="1" t="s">
        <v>74</v>
      </c>
      <c r="AO195" s="1" t="s">
        <v>1874</v>
      </c>
      <c r="AP195" s="1" t="s">
        <v>74</v>
      </c>
      <c r="AQ195" s="1" t="s">
        <v>74</v>
      </c>
      <c r="AR195" s="1" t="s">
        <v>74</v>
      </c>
      <c r="AS195" s="1" t="s">
        <v>74</v>
      </c>
      <c r="AT195" s="1" t="s">
        <v>161</v>
      </c>
      <c r="AU195" s="1">
        <v>1995.0</v>
      </c>
      <c r="AV195" s="1">
        <v>175.0</v>
      </c>
      <c r="AW195" s="1">
        <v>1.0</v>
      </c>
      <c r="AX195" s="1" t="s">
        <v>74</v>
      </c>
      <c r="AY195" s="1" t="s">
        <v>74</v>
      </c>
      <c r="AZ195" s="1" t="s">
        <v>74</v>
      </c>
      <c r="BA195" s="1" t="s">
        <v>74</v>
      </c>
      <c r="BB195" s="1">
        <v>225.0</v>
      </c>
      <c r="BC195" s="1">
        <v>229.0</v>
      </c>
      <c r="BD195" s="1" t="s">
        <v>74</v>
      </c>
      <c r="BE195" s="1" t="s">
        <v>1875</v>
      </c>
      <c r="BF195" s="2" t="str">
        <f>HYPERLINK("http://dx.doi.org/10.1006/jcis.1995.1450","http://dx.doi.org/10.1006/jcis.1995.1450")</f>
        <v>http://dx.doi.org/10.1006/jcis.1995.1450</v>
      </c>
      <c r="BG195" s="1" t="s">
        <v>74</v>
      </c>
      <c r="BH195" s="1" t="s">
        <v>74</v>
      </c>
      <c r="BI195" s="1" t="s">
        <v>74</v>
      </c>
      <c r="BJ195" s="1" t="s">
        <v>74</v>
      </c>
      <c r="BK195" s="1" t="s">
        <v>74</v>
      </c>
      <c r="BL195" s="1" t="s">
        <v>74</v>
      </c>
      <c r="BM195" s="1" t="s">
        <v>74</v>
      </c>
      <c r="BN195" s="1" t="s">
        <v>74</v>
      </c>
      <c r="BO195" s="1" t="s">
        <v>74</v>
      </c>
      <c r="BP195" s="1" t="s">
        <v>74</v>
      </c>
      <c r="BQ195" s="1" t="s">
        <v>74</v>
      </c>
      <c r="BR195" s="1" t="s">
        <v>74</v>
      </c>
      <c r="BS195" s="1" t="s">
        <v>1876</v>
      </c>
      <c r="BT195" s="1" t="str">
        <f>HYPERLINK("https%3A%2F%2Fwww.webofscience.com%2Fwos%2Fwoscc%2Ffull-record%2FWOS:A1995RW12200029","View Full Record in Web of Science")</f>
        <v>View Full Record in Web of Science</v>
      </c>
    </row>
    <row r="196" ht="12.75" customHeight="1">
      <c r="A196" s="1" t="s">
        <v>91</v>
      </c>
      <c r="B196" s="1" t="s">
        <v>1877</v>
      </c>
      <c r="C196" s="1" t="s">
        <v>74</v>
      </c>
      <c r="D196" s="1" t="s">
        <v>1878</v>
      </c>
      <c r="E196" s="1" t="s">
        <v>74</v>
      </c>
      <c r="F196" s="1" t="s">
        <v>1877</v>
      </c>
      <c r="G196" s="1" t="s">
        <v>74</v>
      </c>
      <c r="H196" s="1" t="s">
        <v>74</v>
      </c>
      <c r="I196" s="1" t="s">
        <v>1879</v>
      </c>
      <c r="J196" s="1" t="s">
        <v>1880</v>
      </c>
      <c r="K196" s="1" t="s">
        <v>74</v>
      </c>
      <c r="L196" s="1" t="s">
        <v>74</v>
      </c>
      <c r="M196" s="1" t="s">
        <v>74</v>
      </c>
      <c r="N196" s="1" t="s">
        <v>74</v>
      </c>
      <c r="O196" s="1" t="s">
        <v>1881</v>
      </c>
      <c r="P196" s="1" t="s">
        <v>1882</v>
      </c>
      <c r="Q196" s="1" t="s">
        <v>1883</v>
      </c>
      <c r="R196" s="1" t="s">
        <v>1884</v>
      </c>
      <c r="S196" s="1" t="s">
        <v>74</v>
      </c>
      <c r="T196" s="1" t="s">
        <v>74</v>
      </c>
      <c r="U196" s="1" t="s">
        <v>74</v>
      </c>
      <c r="V196" s="1" t="s">
        <v>74</v>
      </c>
      <c r="W196" s="1" t="s">
        <v>74</v>
      </c>
      <c r="X196" s="1" t="s">
        <v>74</v>
      </c>
      <c r="Y196" s="1" t="s">
        <v>74</v>
      </c>
      <c r="Z196" s="1" t="s">
        <v>74</v>
      </c>
      <c r="AA196" s="1" t="s">
        <v>74</v>
      </c>
      <c r="AB196" s="1" t="s">
        <v>74</v>
      </c>
      <c r="AC196" s="1" t="s">
        <v>74</v>
      </c>
      <c r="AD196" s="1" t="s">
        <v>74</v>
      </c>
      <c r="AE196" s="1" t="s">
        <v>74</v>
      </c>
      <c r="AF196" s="1" t="s">
        <v>74</v>
      </c>
      <c r="AG196" s="1" t="s">
        <v>74</v>
      </c>
      <c r="AH196" s="1" t="s">
        <v>74</v>
      </c>
      <c r="AI196" s="1" t="s">
        <v>74</v>
      </c>
      <c r="AJ196" s="1" t="s">
        <v>74</v>
      </c>
      <c r="AK196" s="1" t="s">
        <v>74</v>
      </c>
      <c r="AL196" s="1" t="s">
        <v>74</v>
      </c>
      <c r="AM196" s="1" t="s">
        <v>74</v>
      </c>
      <c r="AN196" s="1" t="s">
        <v>74</v>
      </c>
      <c r="AO196" s="1" t="s">
        <v>74</v>
      </c>
      <c r="AP196" s="1" t="s">
        <v>74</v>
      </c>
      <c r="AQ196" s="1" t="s">
        <v>1885</v>
      </c>
      <c r="AR196" s="1" t="s">
        <v>74</v>
      </c>
      <c r="AS196" s="1" t="s">
        <v>74</v>
      </c>
      <c r="AT196" s="1" t="s">
        <v>74</v>
      </c>
      <c r="AU196" s="1">
        <v>1995.0</v>
      </c>
      <c r="AV196" s="1" t="s">
        <v>74</v>
      </c>
      <c r="AW196" s="1" t="s">
        <v>74</v>
      </c>
      <c r="AX196" s="1" t="s">
        <v>74</v>
      </c>
      <c r="AY196" s="1" t="s">
        <v>74</v>
      </c>
      <c r="AZ196" s="1" t="s">
        <v>74</v>
      </c>
      <c r="BA196" s="1" t="s">
        <v>74</v>
      </c>
      <c r="BB196" s="1">
        <v>247.0</v>
      </c>
      <c r="BC196" s="1">
        <v>251.0</v>
      </c>
      <c r="BD196" s="1" t="s">
        <v>74</v>
      </c>
      <c r="BE196" s="1" t="s">
        <v>74</v>
      </c>
      <c r="BF196" s="1" t="s">
        <v>74</v>
      </c>
      <c r="BG196" s="1" t="s">
        <v>74</v>
      </c>
      <c r="BH196" s="1" t="s">
        <v>74</v>
      </c>
      <c r="BI196" s="1" t="s">
        <v>74</v>
      </c>
      <c r="BJ196" s="1" t="s">
        <v>74</v>
      </c>
      <c r="BK196" s="1" t="s">
        <v>74</v>
      </c>
      <c r="BL196" s="1" t="s">
        <v>74</v>
      </c>
      <c r="BM196" s="1" t="s">
        <v>74</v>
      </c>
      <c r="BN196" s="1" t="s">
        <v>74</v>
      </c>
      <c r="BO196" s="1" t="s">
        <v>74</v>
      </c>
      <c r="BP196" s="1" t="s">
        <v>74</v>
      </c>
      <c r="BQ196" s="1" t="s">
        <v>74</v>
      </c>
      <c r="BR196" s="1" t="s">
        <v>74</v>
      </c>
      <c r="BS196" s="1" t="s">
        <v>1886</v>
      </c>
      <c r="BT196" s="1" t="str">
        <f>HYPERLINK("https%3A%2F%2Fwww.webofscience.com%2Fwos%2Fwoscc%2Ffull-record%2FWOS:A1995BF11C00039","View Full Record in Web of Science")</f>
        <v>View Full Record in Web of Science</v>
      </c>
    </row>
    <row r="197" ht="12.75" customHeight="1">
      <c r="A197" s="1" t="s">
        <v>72</v>
      </c>
      <c r="B197" s="1" t="s">
        <v>1213</v>
      </c>
      <c r="C197" s="1" t="s">
        <v>74</v>
      </c>
      <c r="D197" s="1" t="s">
        <v>74</v>
      </c>
      <c r="E197" s="1" t="s">
        <v>74</v>
      </c>
      <c r="F197" s="1" t="s">
        <v>1213</v>
      </c>
      <c r="G197" s="1" t="s">
        <v>74</v>
      </c>
      <c r="H197" s="1" t="s">
        <v>74</v>
      </c>
      <c r="I197" s="1" t="s">
        <v>1887</v>
      </c>
      <c r="J197" s="1" t="s">
        <v>1888</v>
      </c>
      <c r="K197" s="1" t="s">
        <v>74</v>
      </c>
      <c r="L197" s="1" t="s">
        <v>74</v>
      </c>
      <c r="M197" s="1" t="s">
        <v>74</v>
      </c>
      <c r="N197" s="1" t="s">
        <v>74</v>
      </c>
      <c r="O197" s="1" t="s">
        <v>74</v>
      </c>
      <c r="P197" s="1" t="s">
        <v>74</v>
      </c>
      <c r="Q197" s="1" t="s">
        <v>74</v>
      </c>
      <c r="R197" s="1" t="s">
        <v>74</v>
      </c>
      <c r="S197" s="1" t="s">
        <v>74</v>
      </c>
      <c r="T197" s="1" t="s">
        <v>74</v>
      </c>
      <c r="U197" s="1" t="s">
        <v>74</v>
      </c>
      <c r="V197" s="1" t="s">
        <v>74</v>
      </c>
      <c r="W197" s="1" t="s">
        <v>74</v>
      </c>
      <c r="X197" s="1" t="s">
        <v>74</v>
      </c>
      <c r="Y197" s="1" t="s">
        <v>74</v>
      </c>
      <c r="Z197" s="1" t="s">
        <v>74</v>
      </c>
      <c r="AA197" s="1" t="s">
        <v>74</v>
      </c>
      <c r="AB197" s="1" t="s">
        <v>74</v>
      </c>
      <c r="AC197" s="1" t="s">
        <v>74</v>
      </c>
      <c r="AD197" s="1" t="s">
        <v>74</v>
      </c>
      <c r="AE197" s="1" t="s">
        <v>74</v>
      </c>
      <c r="AF197" s="1" t="s">
        <v>74</v>
      </c>
      <c r="AG197" s="1" t="s">
        <v>74</v>
      </c>
      <c r="AH197" s="1" t="s">
        <v>74</v>
      </c>
      <c r="AI197" s="1" t="s">
        <v>74</v>
      </c>
      <c r="AJ197" s="1" t="s">
        <v>74</v>
      </c>
      <c r="AK197" s="1" t="s">
        <v>74</v>
      </c>
      <c r="AL197" s="1" t="s">
        <v>74</v>
      </c>
      <c r="AM197" s="1" t="s">
        <v>74</v>
      </c>
      <c r="AN197" s="1" t="s">
        <v>74</v>
      </c>
      <c r="AO197" s="1" t="s">
        <v>1889</v>
      </c>
      <c r="AP197" s="1" t="s">
        <v>74</v>
      </c>
      <c r="AQ197" s="1" t="s">
        <v>74</v>
      </c>
      <c r="AR197" s="1" t="s">
        <v>74</v>
      </c>
      <c r="AS197" s="1" t="s">
        <v>74</v>
      </c>
      <c r="AT197" s="1" t="s">
        <v>1890</v>
      </c>
      <c r="AU197" s="1">
        <v>1992.0</v>
      </c>
      <c r="AV197" s="1">
        <v>169.0</v>
      </c>
      <c r="AW197" s="1">
        <v>1.0</v>
      </c>
      <c r="AX197" s="1" t="s">
        <v>74</v>
      </c>
      <c r="AY197" s="1" t="s">
        <v>74</v>
      </c>
      <c r="AZ197" s="1" t="s">
        <v>74</v>
      </c>
      <c r="BA197" s="1" t="s">
        <v>74</v>
      </c>
      <c r="BB197" s="1">
        <v>92.0</v>
      </c>
      <c r="BC197" s="1">
        <v>110.0</v>
      </c>
      <c r="BD197" s="1" t="s">
        <v>74</v>
      </c>
      <c r="BE197" s="1" t="s">
        <v>1891</v>
      </c>
      <c r="BF197" s="2" t="str">
        <f>HYPERLINK("http://dx.doi.org/10.1016/0022-247X(92)90105-M","http://dx.doi.org/10.1016/0022-247X(92)90105-M")</f>
        <v>http://dx.doi.org/10.1016/0022-247X(92)90105-M</v>
      </c>
      <c r="BG197" s="1" t="s">
        <v>74</v>
      </c>
      <c r="BH197" s="1" t="s">
        <v>74</v>
      </c>
      <c r="BI197" s="1" t="s">
        <v>74</v>
      </c>
      <c r="BJ197" s="1" t="s">
        <v>74</v>
      </c>
      <c r="BK197" s="1" t="s">
        <v>74</v>
      </c>
      <c r="BL197" s="1" t="s">
        <v>74</v>
      </c>
      <c r="BM197" s="1" t="s">
        <v>74</v>
      </c>
      <c r="BN197" s="1" t="s">
        <v>74</v>
      </c>
      <c r="BO197" s="1" t="s">
        <v>74</v>
      </c>
      <c r="BP197" s="1" t="s">
        <v>74</v>
      </c>
      <c r="BQ197" s="1" t="s">
        <v>74</v>
      </c>
      <c r="BR197" s="1" t="s">
        <v>74</v>
      </c>
      <c r="BS197" s="1" t="s">
        <v>1892</v>
      </c>
      <c r="BT197" s="1" t="str">
        <f>HYPERLINK("https%3A%2F%2Fwww.webofscience.com%2Fwos%2Fwoscc%2Ffull-record%2FWOS:A1992JN52000007","View Full Record in Web of Science")</f>
        <v>View Full Record in Web of Science</v>
      </c>
    </row>
    <row r="198" ht="12.75" customHeight="1">
      <c r="A198" s="1" t="s">
        <v>72</v>
      </c>
      <c r="B198" s="1" t="s">
        <v>1893</v>
      </c>
      <c r="C198" s="1" t="s">
        <v>74</v>
      </c>
      <c r="D198" s="1" t="s">
        <v>74</v>
      </c>
      <c r="E198" s="1" t="s">
        <v>74</v>
      </c>
      <c r="F198" s="1" t="s">
        <v>1893</v>
      </c>
      <c r="G198" s="1" t="s">
        <v>74</v>
      </c>
      <c r="H198" s="1" t="s">
        <v>74</v>
      </c>
      <c r="I198" s="1" t="s">
        <v>1894</v>
      </c>
      <c r="J198" s="1" t="s">
        <v>1895</v>
      </c>
      <c r="K198" s="1" t="s">
        <v>74</v>
      </c>
      <c r="L198" s="1" t="s">
        <v>74</v>
      </c>
      <c r="M198" s="1" t="s">
        <v>74</v>
      </c>
      <c r="N198" s="1" t="s">
        <v>74</v>
      </c>
      <c r="O198" s="1" t="s">
        <v>1896</v>
      </c>
      <c r="P198" s="1" t="s">
        <v>1897</v>
      </c>
      <c r="Q198" s="1" t="s">
        <v>1898</v>
      </c>
      <c r="R198" s="1" t="s">
        <v>1899</v>
      </c>
      <c r="S198" s="1" t="s">
        <v>74</v>
      </c>
      <c r="T198" s="1" t="s">
        <v>74</v>
      </c>
      <c r="U198" s="1" t="s">
        <v>74</v>
      </c>
      <c r="V198" s="1" t="s">
        <v>1900</v>
      </c>
      <c r="W198" s="1" t="s">
        <v>74</v>
      </c>
      <c r="X198" s="1" t="s">
        <v>74</v>
      </c>
      <c r="Y198" s="1" t="s">
        <v>74</v>
      </c>
      <c r="Z198" s="1" t="s">
        <v>74</v>
      </c>
      <c r="AA198" s="1" t="s">
        <v>74</v>
      </c>
      <c r="AB198" s="1" t="s">
        <v>74</v>
      </c>
      <c r="AC198" s="1" t="s">
        <v>74</v>
      </c>
      <c r="AD198" s="1" t="s">
        <v>74</v>
      </c>
      <c r="AE198" s="1" t="s">
        <v>74</v>
      </c>
      <c r="AF198" s="1" t="s">
        <v>74</v>
      </c>
      <c r="AG198" s="1" t="s">
        <v>74</v>
      </c>
      <c r="AH198" s="1" t="s">
        <v>74</v>
      </c>
      <c r="AI198" s="1" t="s">
        <v>74</v>
      </c>
      <c r="AJ198" s="1" t="s">
        <v>74</v>
      </c>
      <c r="AK198" s="1" t="s">
        <v>74</v>
      </c>
      <c r="AL198" s="1" t="s">
        <v>74</v>
      </c>
      <c r="AM198" s="1" t="s">
        <v>74</v>
      </c>
      <c r="AN198" s="1" t="s">
        <v>74</v>
      </c>
      <c r="AO198" s="1" t="s">
        <v>1901</v>
      </c>
      <c r="AP198" s="1" t="s">
        <v>74</v>
      </c>
      <c r="AQ198" s="1" t="s">
        <v>74</v>
      </c>
      <c r="AR198" s="1" t="s">
        <v>74</v>
      </c>
      <c r="AS198" s="1" t="s">
        <v>74</v>
      </c>
      <c r="AT198" s="1" t="s">
        <v>1902</v>
      </c>
      <c r="AU198" s="1">
        <v>1991.0</v>
      </c>
      <c r="AV198" s="1">
        <v>221.0</v>
      </c>
      <c r="AW198" s="1" t="s">
        <v>74</v>
      </c>
      <c r="AX198" s="1" t="s">
        <v>74</v>
      </c>
      <c r="AY198" s="1" t="s">
        <v>74</v>
      </c>
      <c r="AZ198" s="1" t="s">
        <v>74</v>
      </c>
      <c r="BA198" s="1" t="s">
        <v>74</v>
      </c>
      <c r="BB198" s="1">
        <v>149.0</v>
      </c>
      <c r="BC198" s="1">
        <v>156.0</v>
      </c>
      <c r="BD198" s="1" t="s">
        <v>74</v>
      </c>
      <c r="BE198" s="1" t="s">
        <v>1903</v>
      </c>
      <c r="BF198" s="2" t="str">
        <f>HYPERLINK("http://dx.doi.org/10.1007/BF00028371","http://dx.doi.org/10.1007/BF00028371")</f>
        <v>http://dx.doi.org/10.1007/BF00028371</v>
      </c>
      <c r="BG198" s="1" t="s">
        <v>74</v>
      </c>
      <c r="BH198" s="1" t="s">
        <v>74</v>
      </c>
      <c r="BI198" s="1" t="s">
        <v>74</v>
      </c>
      <c r="BJ198" s="1" t="s">
        <v>74</v>
      </c>
      <c r="BK198" s="1" t="s">
        <v>74</v>
      </c>
      <c r="BL198" s="1" t="s">
        <v>74</v>
      </c>
      <c r="BM198" s="1" t="s">
        <v>74</v>
      </c>
      <c r="BN198" s="1" t="s">
        <v>74</v>
      </c>
      <c r="BO198" s="1" t="s">
        <v>74</v>
      </c>
      <c r="BP198" s="1" t="s">
        <v>74</v>
      </c>
      <c r="BQ198" s="1" t="s">
        <v>74</v>
      </c>
      <c r="BR198" s="1" t="s">
        <v>74</v>
      </c>
      <c r="BS198" s="1" t="s">
        <v>1904</v>
      </c>
      <c r="BT198" s="1" t="str">
        <f>HYPERLINK("https%3A%2F%2Fwww.webofscience.com%2Fwos%2Fwoscc%2Ffull-record%2FWOS:A1991GP24600017","View Full Record in Web of Science")</f>
        <v>View Full Record in Web of Science</v>
      </c>
    </row>
    <row r="199" ht="12.75" customHeight="1">
      <c r="A199" s="1" t="s">
        <v>72</v>
      </c>
      <c r="B199" s="1" t="s">
        <v>1905</v>
      </c>
      <c r="C199" s="1" t="s">
        <v>74</v>
      </c>
      <c r="D199" s="1" t="s">
        <v>74</v>
      </c>
      <c r="E199" s="1" t="s">
        <v>74</v>
      </c>
      <c r="F199" s="1" t="s">
        <v>1905</v>
      </c>
      <c r="G199" s="1" t="s">
        <v>74</v>
      </c>
      <c r="H199" s="1" t="s">
        <v>74</v>
      </c>
      <c r="I199" s="1" t="s">
        <v>1906</v>
      </c>
      <c r="J199" s="1" t="s">
        <v>1907</v>
      </c>
      <c r="K199" s="1" t="s">
        <v>74</v>
      </c>
      <c r="L199" s="1" t="s">
        <v>74</v>
      </c>
      <c r="M199" s="1" t="s">
        <v>74</v>
      </c>
      <c r="N199" s="1" t="s">
        <v>74</v>
      </c>
      <c r="O199" s="1" t="s">
        <v>74</v>
      </c>
      <c r="P199" s="1" t="s">
        <v>74</v>
      </c>
      <c r="Q199" s="1" t="s">
        <v>74</v>
      </c>
      <c r="R199" s="1" t="s">
        <v>74</v>
      </c>
      <c r="S199" s="1" t="s">
        <v>74</v>
      </c>
      <c r="T199" s="1" t="s">
        <v>74</v>
      </c>
      <c r="U199" s="1" t="s">
        <v>74</v>
      </c>
      <c r="V199" s="1" t="s">
        <v>74</v>
      </c>
      <c r="W199" s="1" t="s">
        <v>74</v>
      </c>
      <c r="X199" s="1" t="s">
        <v>74</v>
      </c>
      <c r="Y199" s="1" t="s">
        <v>74</v>
      </c>
      <c r="Z199" s="1" t="s">
        <v>74</v>
      </c>
      <c r="AA199" s="1" t="s">
        <v>1111</v>
      </c>
      <c r="AB199" s="1" t="s">
        <v>1112</v>
      </c>
      <c r="AC199" s="1" t="s">
        <v>74</v>
      </c>
      <c r="AD199" s="1" t="s">
        <v>74</v>
      </c>
      <c r="AE199" s="1" t="s">
        <v>74</v>
      </c>
      <c r="AF199" s="1" t="s">
        <v>74</v>
      </c>
      <c r="AG199" s="1" t="s">
        <v>74</v>
      </c>
      <c r="AH199" s="1" t="s">
        <v>74</v>
      </c>
      <c r="AI199" s="1" t="s">
        <v>74</v>
      </c>
      <c r="AJ199" s="1" t="s">
        <v>74</v>
      </c>
      <c r="AK199" s="1" t="s">
        <v>74</v>
      </c>
      <c r="AL199" s="1" t="s">
        <v>74</v>
      </c>
      <c r="AM199" s="1" t="s">
        <v>74</v>
      </c>
      <c r="AN199" s="1" t="s">
        <v>74</v>
      </c>
      <c r="AO199" s="1" t="s">
        <v>1908</v>
      </c>
      <c r="AP199" s="1" t="s">
        <v>74</v>
      </c>
      <c r="AQ199" s="1" t="s">
        <v>74</v>
      </c>
      <c r="AR199" s="1" t="s">
        <v>74</v>
      </c>
      <c r="AS199" s="1" t="s">
        <v>74</v>
      </c>
      <c r="AT199" s="1" t="s">
        <v>1198</v>
      </c>
      <c r="AU199" s="1">
        <v>1989.0</v>
      </c>
      <c r="AV199" s="1">
        <v>136.0</v>
      </c>
      <c r="AW199" s="1" t="s">
        <v>140</v>
      </c>
      <c r="AX199" s="1" t="s">
        <v>74</v>
      </c>
      <c r="AY199" s="1" t="s">
        <v>74</v>
      </c>
      <c r="AZ199" s="1" t="s">
        <v>74</v>
      </c>
      <c r="BA199" s="1" t="s">
        <v>74</v>
      </c>
      <c r="BB199" s="1">
        <v>37.0</v>
      </c>
      <c r="BC199" s="1">
        <v>40.0</v>
      </c>
      <c r="BD199" s="1" t="s">
        <v>74</v>
      </c>
      <c r="BE199" s="1" t="s">
        <v>1909</v>
      </c>
      <c r="BF199" s="2" t="str">
        <f>HYPERLINK("http://dx.doi.org/10.1016/0375-9601(89)90672-5","http://dx.doi.org/10.1016/0375-9601(89)90672-5")</f>
        <v>http://dx.doi.org/10.1016/0375-9601(89)90672-5</v>
      </c>
      <c r="BG199" s="1" t="s">
        <v>74</v>
      </c>
      <c r="BH199" s="1" t="s">
        <v>74</v>
      </c>
      <c r="BI199" s="1" t="s">
        <v>74</v>
      </c>
      <c r="BJ199" s="1" t="s">
        <v>74</v>
      </c>
      <c r="BK199" s="1" t="s">
        <v>74</v>
      </c>
      <c r="BL199" s="1" t="s">
        <v>74</v>
      </c>
      <c r="BM199" s="1" t="s">
        <v>74</v>
      </c>
      <c r="BN199" s="1" t="s">
        <v>74</v>
      </c>
      <c r="BO199" s="1" t="s">
        <v>74</v>
      </c>
      <c r="BP199" s="1" t="s">
        <v>74</v>
      </c>
      <c r="BQ199" s="1" t="s">
        <v>74</v>
      </c>
      <c r="BR199" s="1" t="s">
        <v>74</v>
      </c>
      <c r="BS199" s="1" t="s">
        <v>1910</v>
      </c>
      <c r="BT199" s="1" t="str">
        <f>HYPERLINK("https%3A%2F%2Fwww.webofscience.com%2Fwos%2Fwoscc%2Ffull-record%2FWOS:A1989T853600008","View Full Record in Web of Science")</f>
        <v>View Full Record in Web of Science</v>
      </c>
    </row>
    <row r="200" ht="12.75" customHeight="1">
      <c r="A200" s="1" t="s">
        <v>72</v>
      </c>
      <c r="B200" s="1" t="s">
        <v>1911</v>
      </c>
      <c r="C200" s="1" t="s">
        <v>74</v>
      </c>
      <c r="D200" s="1" t="s">
        <v>74</v>
      </c>
      <c r="E200" s="1" t="s">
        <v>74</v>
      </c>
      <c r="F200" s="1" t="s">
        <v>1911</v>
      </c>
      <c r="G200" s="1" t="s">
        <v>74</v>
      </c>
      <c r="H200" s="1" t="s">
        <v>74</v>
      </c>
      <c r="I200" s="1" t="s">
        <v>1912</v>
      </c>
      <c r="J200" s="1" t="s">
        <v>1913</v>
      </c>
      <c r="K200" s="1" t="s">
        <v>74</v>
      </c>
      <c r="L200" s="1" t="s">
        <v>74</v>
      </c>
      <c r="M200" s="1" t="s">
        <v>74</v>
      </c>
      <c r="N200" s="1" t="s">
        <v>74</v>
      </c>
      <c r="O200" s="1" t="s">
        <v>74</v>
      </c>
      <c r="P200" s="1" t="s">
        <v>74</v>
      </c>
      <c r="Q200" s="1" t="s">
        <v>74</v>
      </c>
      <c r="R200" s="1" t="s">
        <v>74</v>
      </c>
      <c r="S200" s="1" t="s">
        <v>74</v>
      </c>
      <c r="T200" s="1" t="s">
        <v>74</v>
      </c>
      <c r="U200" s="1" t="s">
        <v>74</v>
      </c>
      <c r="V200" s="1" t="s">
        <v>74</v>
      </c>
      <c r="W200" s="1" t="s">
        <v>74</v>
      </c>
      <c r="X200" s="1" t="s">
        <v>74</v>
      </c>
      <c r="Y200" s="1" t="s">
        <v>74</v>
      </c>
      <c r="Z200" s="1" t="s">
        <v>74</v>
      </c>
      <c r="AA200" s="1" t="s">
        <v>74</v>
      </c>
      <c r="AB200" s="1" t="s">
        <v>74</v>
      </c>
      <c r="AC200" s="1" t="s">
        <v>74</v>
      </c>
      <c r="AD200" s="1" t="s">
        <v>74</v>
      </c>
      <c r="AE200" s="1" t="s">
        <v>74</v>
      </c>
      <c r="AF200" s="1" t="s">
        <v>74</v>
      </c>
      <c r="AG200" s="1" t="s">
        <v>74</v>
      </c>
      <c r="AH200" s="1" t="s">
        <v>74</v>
      </c>
      <c r="AI200" s="1" t="s">
        <v>74</v>
      </c>
      <c r="AJ200" s="1" t="s">
        <v>74</v>
      </c>
      <c r="AK200" s="1" t="s">
        <v>74</v>
      </c>
      <c r="AL200" s="1" t="s">
        <v>74</v>
      </c>
      <c r="AM200" s="1" t="s">
        <v>74</v>
      </c>
      <c r="AN200" s="1" t="s">
        <v>74</v>
      </c>
      <c r="AO200" s="1" t="s">
        <v>1914</v>
      </c>
      <c r="AP200" s="1" t="s">
        <v>1915</v>
      </c>
      <c r="AQ200" s="1" t="s">
        <v>74</v>
      </c>
      <c r="AR200" s="1" t="s">
        <v>74</v>
      </c>
      <c r="AS200" s="1" t="s">
        <v>74</v>
      </c>
      <c r="AT200" s="1" t="s">
        <v>74</v>
      </c>
      <c r="AU200" s="1">
        <v>1988.0</v>
      </c>
      <c r="AV200" s="1">
        <v>90.0</v>
      </c>
      <c r="AW200" s="1">
        <v>4.0</v>
      </c>
      <c r="AX200" s="1" t="s">
        <v>74</v>
      </c>
      <c r="AY200" s="1" t="s">
        <v>74</v>
      </c>
      <c r="AZ200" s="1" t="s">
        <v>74</v>
      </c>
      <c r="BA200" s="1" t="s">
        <v>74</v>
      </c>
      <c r="BB200" s="1">
        <v>671.0</v>
      </c>
      <c r="BC200" s="1">
        <v>677.0</v>
      </c>
      <c r="BD200" s="1" t="s">
        <v>74</v>
      </c>
      <c r="BE200" s="1" t="s">
        <v>1916</v>
      </c>
      <c r="BF200" s="2" t="str">
        <f>HYPERLINK("http://dx.doi.org/10.1016/0305-0491(88)90321-5","http://dx.doi.org/10.1016/0305-0491(88)90321-5")</f>
        <v>http://dx.doi.org/10.1016/0305-0491(88)90321-5</v>
      </c>
      <c r="BG200" s="1" t="s">
        <v>74</v>
      </c>
      <c r="BH200" s="1" t="s">
        <v>74</v>
      </c>
      <c r="BI200" s="1" t="s">
        <v>74</v>
      </c>
      <c r="BJ200" s="1" t="s">
        <v>74</v>
      </c>
      <c r="BK200" s="1" t="s">
        <v>74</v>
      </c>
      <c r="BL200" s="1" t="s">
        <v>74</v>
      </c>
      <c r="BM200" s="1" t="s">
        <v>74</v>
      </c>
      <c r="BN200" s="1">
        <v>3073910.0</v>
      </c>
      <c r="BO200" s="1" t="s">
        <v>74</v>
      </c>
      <c r="BP200" s="1" t="s">
        <v>74</v>
      </c>
      <c r="BQ200" s="1" t="s">
        <v>74</v>
      </c>
      <c r="BR200" s="1" t="s">
        <v>74</v>
      </c>
      <c r="BS200" s="1" t="s">
        <v>1917</v>
      </c>
      <c r="BT200" s="1" t="str">
        <f>HYPERLINK("https%3A%2F%2Fwww.webofscience.com%2Fwos%2Fwoscc%2Ffull-record%2FWOS:A1988P830300003","View Full Record in Web of Science")</f>
        <v>View Full Record in Web of Science</v>
      </c>
    </row>
    <row r="201" ht="12.75" customHeight="1">
      <c r="A201" s="1" t="s">
        <v>72</v>
      </c>
      <c r="B201" s="1" t="s">
        <v>1918</v>
      </c>
      <c r="C201" s="1" t="s">
        <v>74</v>
      </c>
      <c r="D201" s="1" t="s">
        <v>74</v>
      </c>
      <c r="E201" s="1" t="s">
        <v>74</v>
      </c>
      <c r="F201" s="1" t="s">
        <v>1918</v>
      </c>
      <c r="G201" s="1" t="s">
        <v>74</v>
      </c>
      <c r="H201" s="1" t="s">
        <v>74</v>
      </c>
      <c r="I201" s="1" t="s">
        <v>1919</v>
      </c>
      <c r="J201" s="1" t="s">
        <v>1856</v>
      </c>
      <c r="K201" s="1" t="s">
        <v>74</v>
      </c>
      <c r="L201" s="1" t="s">
        <v>74</v>
      </c>
      <c r="M201" s="1" t="s">
        <v>74</v>
      </c>
      <c r="N201" s="1" t="s">
        <v>74</v>
      </c>
      <c r="O201" s="1" t="s">
        <v>74</v>
      </c>
      <c r="P201" s="1" t="s">
        <v>74</v>
      </c>
      <c r="Q201" s="1" t="s">
        <v>74</v>
      </c>
      <c r="R201" s="1" t="s">
        <v>74</v>
      </c>
      <c r="S201" s="1" t="s">
        <v>74</v>
      </c>
      <c r="T201" s="1" t="s">
        <v>74</v>
      </c>
      <c r="U201" s="1" t="s">
        <v>74</v>
      </c>
      <c r="V201" s="1" t="s">
        <v>74</v>
      </c>
      <c r="W201" s="1" t="s">
        <v>74</v>
      </c>
      <c r="X201" s="1" t="s">
        <v>74</v>
      </c>
      <c r="Y201" s="1" t="s">
        <v>74</v>
      </c>
      <c r="Z201" s="1" t="s">
        <v>74</v>
      </c>
      <c r="AA201" s="1" t="s">
        <v>1174</v>
      </c>
      <c r="AB201" s="1" t="s">
        <v>74</v>
      </c>
      <c r="AC201" s="1" t="s">
        <v>74</v>
      </c>
      <c r="AD201" s="1" t="s">
        <v>74</v>
      </c>
      <c r="AE201" s="1" t="s">
        <v>74</v>
      </c>
      <c r="AF201" s="1" t="s">
        <v>74</v>
      </c>
      <c r="AG201" s="1" t="s">
        <v>74</v>
      </c>
      <c r="AH201" s="1" t="s">
        <v>74</v>
      </c>
      <c r="AI201" s="1" t="s">
        <v>74</v>
      </c>
      <c r="AJ201" s="1" t="s">
        <v>74</v>
      </c>
      <c r="AK201" s="1" t="s">
        <v>74</v>
      </c>
      <c r="AL201" s="1" t="s">
        <v>74</v>
      </c>
      <c r="AM201" s="1" t="s">
        <v>74</v>
      </c>
      <c r="AN201" s="1" t="s">
        <v>74</v>
      </c>
      <c r="AO201" s="1" t="s">
        <v>1860</v>
      </c>
      <c r="AP201" s="1" t="s">
        <v>74</v>
      </c>
      <c r="AQ201" s="1" t="s">
        <v>74</v>
      </c>
      <c r="AR201" s="1" t="s">
        <v>74</v>
      </c>
      <c r="AS201" s="1" t="s">
        <v>74</v>
      </c>
      <c r="AT201" s="1" t="s">
        <v>1176</v>
      </c>
      <c r="AU201" s="1">
        <v>1987.0</v>
      </c>
      <c r="AV201" s="1" t="s">
        <v>74</v>
      </c>
      <c r="AW201" s="1">
        <v>8.0</v>
      </c>
      <c r="AX201" s="1" t="s">
        <v>74</v>
      </c>
      <c r="AY201" s="1" t="s">
        <v>74</v>
      </c>
      <c r="AZ201" s="1" t="s">
        <v>74</v>
      </c>
      <c r="BA201" s="1" t="s">
        <v>74</v>
      </c>
      <c r="BB201" s="1">
        <v>1125.0</v>
      </c>
      <c r="BC201" s="1">
        <v>1127.0</v>
      </c>
      <c r="BD201" s="1" t="s">
        <v>74</v>
      </c>
      <c r="BE201" s="1" t="s">
        <v>1920</v>
      </c>
      <c r="BF201" s="2" t="str">
        <f>HYPERLINK("http://dx.doi.org/10.1039/p29870001125","http://dx.doi.org/10.1039/p29870001125")</f>
        <v>http://dx.doi.org/10.1039/p29870001125</v>
      </c>
      <c r="BG201" s="1" t="s">
        <v>74</v>
      </c>
      <c r="BH201" s="1" t="s">
        <v>74</v>
      </c>
      <c r="BI201" s="1" t="s">
        <v>74</v>
      </c>
      <c r="BJ201" s="1" t="s">
        <v>74</v>
      </c>
      <c r="BK201" s="1" t="s">
        <v>74</v>
      </c>
      <c r="BL201" s="1" t="s">
        <v>74</v>
      </c>
      <c r="BM201" s="1" t="s">
        <v>74</v>
      </c>
      <c r="BN201" s="1" t="s">
        <v>74</v>
      </c>
      <c r="BO201" s="1" t="s">
        <v>74</v>
      </c>
      <c r="BP201" s="1" t="s">
        <v>74</v>
      </c>
      <c r="BQ201" s="1" t="s">
        <v>74</v>
      </c>
      <c r="BR201" s="1" t="s">
        <v>74</v>
      </c>
      <c r="BS201" s="1" t="s">
        <v>1921</v>
      </c>
      <c r="BT201" s="1" t="str">
        <f>HYPERLINK("https%3A%2F%2Fwww.webofscience.com%2Fwos%2Fwoscc%2Ffull-record%2FWOS:A1987J940700030","View Full Record in Web of Science")</f>
        <v>View Full Record in Web of Science</v>
      </c>
    </row>
    <row r="202" ht="12.75" customHeight="1">
      <c r="A202" s="1" t="s">
        <v>72</v>
      </c>
      <c r="B202" s="1" t="s">
        <v>1922</v>
      </c>
      <c r="C202" s="1" t="s">
        <v>74</v>
      </c>
      <c r="D202" s="1" t="s">
        <v>74</v>
      </c>
      <c r="E202" s="1" t="s">
        <v>74</v>
      </c>
      <c r="F202" s="1" t="s">
        <v>1922</v>
      </c>
      <c r="G202" s="1" t="s">
        <v>74</v>
      </c>
      <c r="H202" s="1" t="s">
        <v>74</v>
      </c>
      <c r="I202" s="1" t="s">
        <v>1923</v>
      </c>
      <c r="J202" s="1" t="s">
        <v>1924</v>
      </c>
      <c r="K202" s="1" t="s">
        <v>74</v>
      </c>
      <c r="L202" s="1" t="s">
        <v>74</v>
      </c>
      <c r="M202" s="1" t="s">
        <v>74</v>
      </c>
      <c r="N202" s="1" t="s">
        <v>74</v>
      </c>
      <c r="O202" s="1" t="s">
        <v>74</v>
      </c>
      <c r="P202" s="1" t="s">
        <v>74</v>
      </c>
      <c r="Q202" s="1" t="s">
        <v>74</v>
      </c>
      <c r="R202" s="1" t="s">
        <v>74</v>
      </c>
      <c r="S202" s="1" t="s">
        <v>74</v>
      </c>
      <c r="T202" s="1" t="s">
        <v>74</v>
      </c>
      <c r="U202" s="1" t="s">
        <v>74</v>
      </c>
      <c r="V202" s="1" t="s">
        <v>74</v>
      </c>
      <c r="W202" s="1" t="s">
        <v>74</v>
      </c>
      <c r="X202" s="1" t="s">
        <v>74</v>
      </c>
      <c r="Y202" s="1" t="s">
        <v>74</v>
      </c>
      <c r="Z202" s="1" t="s">
        <v>74</v>
      </c>
      <c r="AA202" s="1" t="s">
        <v>74</v>
      </c>
      <c r="AB202" s="1" t="s">
        <v>74</v>
      </c>
      <c r="AC202" s="1" t="s">
        <v>74</v>
      </c>
      <c r="AD202" s="1" t="s">
        <v>74</v>
      </c>
      <c r="AE202" s="1" t="s">
        <v>74</v>
      </c>
      <c r="AF202" s="1" t="s">
        <v>74</v>
      </c>
      <c r="AG202" s="1" t="s">
        <v>74</v>
      </c>
      <c r="AH202" s="1" t="s">
        <v>74</v>
      </c>
      <c r="AI202" s="1" t="s">
        <v>74</v>
      </c>
      <c r="AJ202" s="1" t="s">
        <v>74</v>
      </c>
      <c r="AK202" s="1" t="s">
        <v>74</v>
      </c>
      <c r="AL202" s="1" t="s">
        <v>74</v>
      </c>
      <c r="AM202" s="1" t="s">
        <v>74</v>
      </c>
      <c r="AN202" s="1" t="s">
        <v>74</v>
      </c>
      <c r="AO202" s="1" t="s">
        <v>1925</v>
      </c>
      <c r="AP202" s="1" t="s">
        <v>74</v>
      </c>
      <c r="AQ202" s="1" t="s">
        <v>74</v>
      </c>
      <c r="AR202" s="1" t="s">
        <v>74</v>
      </c>
      <c r="AS202" s="1" t="s">
        <v>74</v>
      </c>
      <c r="AT202" s="1" t="s">
        <v>74</v>
      </c>
      <c r="AU202" s="1">
        <v>1984.0</v>
      </c>
      <c r="AV202" s="1">
        <v>29.0</v>
      </c>
      <c r="AW202" s="1">
        <v>6.0</v>
      </c>
      <c r="AX202" s="1" t="s">
        <v>74</v>
      </c>
      <c r="AY202" s="1" t="s">
        <v>74</v>
      </c>
      <c r="AZ202" s="1" t="s">
        <v>74</v>
      </c>
      <c r="BA202" s="1" t="s">
        <v>74</v>
      </c>
      <c r="BB202" s="1">
        <v>560.0</v>
      </c>
      <c r="BC202" s="1">
        <v>562.0</v>
      </c>
      <c r="BD202" s="1" t="s">
        <v>74</v>
      </c>
      <c r="BE202" s="1" t="s">
        <v>1926</v>
      </c>
      <c r="BF202" s="2" t="str">
        <f>HYPERLINK("http://dx.doi.org/10.1109/TAC.1984.1103588","http://dx.doi.org/10.1109/TAC.1984.1103588")</f>
        <v>http://dx.doi.org/10.1109/TAC.1984.1103588</v>
      </c>
      <c r="BG202" s="1" t="s">
        <v>74</v>
      </c>
      <c r="BH202" s="1" t="s">
        <v>74</v>
      </c>
      <c r="BI202" s="1" t="s">
        <v>74</v>
      </c>
      <c r="BJ202" s="1" t="s">
        <v>74</v>
      </c>
      <c r="BK202" s="1" t="s">
        <v>74</v>
      </c>
      <c r="BL202" s="1" t="s">
        <v>74</v>
      </c>
      <c r="BM202" s="1" t="s">
        <v>74</v>
      </c>
      <c r="BN202" s="1" t="s">
        <v>74</v>
      </c>
      <c r="BO202" s="1" t="s">
        <v>74</v>
      </c>
      <c r="BP202" s="1" t="s">
        <v>74</v>
      </c>
      <c r="BQ202" s="1" t="s">
        <v>74</v>
      </c>
      <c r="BR202" s="1" t="s">
        <v>74</v>
      </c>
      <c r="BS202" s="1" t="s">
        <v>1927</v>
      </c>
      <c r="BT202" s="1" t="str">
        <f>HYPERLINK("https%3A%2F%2Fwww.webofscience.com%2Fwos%2Fwoscc%2Ffull-record%2FWOS:A1984SV23300014","View Full Record in Web of Science")</f>
        <v>View Full Record in Web of Science</v>
      </c>
    </row>
    <row r="203" ht="12.75" customHeight="1">
      <c r="A203" s="1" t="s">
        <v>72</v>
      </c>
      <c r="B203" s="1" t="s">
        <v>1928</v>
      </c>
      <c r="C203" s="1" t="s">
        <v>74</v>
      </c>
      <c r="D203" s="1" t="s">
        <v>74</v>
      </c>
      <c r="E203" s="1" t="s">
        <v>74</v>
      </c>
      <c r="F203" s="1" t="s">
        <v>1928</v>
      </c>
      <c r="G203" s="1" t="s">
        <v>74</v>
      </c>
      <c r="H203" s="1" t="s">
        <v>74</v>
      </c>
      <c r="I203" s="1" t="s">
        <v>1929</v>
      </c>
      <c r="J203" s="1" t="s">
        <v>1207</v>
      </c>
      <c r="K203" s="1" t="s">
        <v>74</v>
      </c>
      <c r="L203" s="1" t="s">
        <v>74</v>
      </c>
      <c r="M203" s="1" t="s">
        <v>74</v>
      </c>
      <c r="N203" s="1" t="s">
        <v>74</v>
      </c>
      <c r="O203" s="1" t="s">
        <v>74</v>
      </c>
      <c r="P203" s="1" t="s">
        <v>74</v>
      </c>
      <c r="Q203" s="1" t="s">
        <v>74</v>
      </c>
      <c r="R203" s="1" t="s">
        <v>74</v>
      </c>
      <c r="S203" s="1" t="s">
        <v>74</v>
      </c>
      <c r="T203" s="1" t="s">
        <v>74</v>
      </c>
      <c r="U203" s="1" t="s">
        <v>74</v>
      </c>
      <c r="V203" s="1" t="s">
        <v>74</v>
      </c>
      <c r="W203" s="1" t="s">
        <v>74</v>
      </c>
      <c r="X203" s="1" t="s">
        <v>74</v>
      </c>
      <c r="Y203" s="1" t="s">
        <v>74</v>
      </c>
      <c r="Z203" s="1" t="s">
        <v>74</v>
      </c>
      <c r="AA203" s="1" t="s">
        <v>1930</v>
      </c>
      <c r="AB203" s="1" t="s">
        <v>1931</v>
      </c>
      <c r="AC203" s="1" t="s">
        <v>74</v>
      </c>
      <c r="AD203" s="1" t="s">
        <v>74</v>
      </c>
      <c r="AE203" s="1" t="s">
        <v>74</v>
      </c>
      <c r="AF203" s="1" t="s">
        <v>74</v>
      </c>
      <c r="AG203" s="1" t="s">
        <v>74</v>
      </c>
      <c r="AH203" s="1" t="s">
        <v>74</v>
      </c>
      <c r="AI203" s="1" t="s">
        <v>74</v>
      </c>
      <c r="AJ203" s="1" t="s">
        <v>74</v>
      </c>
      <c r="AK203" s="1" t="s">
        <v>74</v>
      </c>
      <c r="AL203" s="1" t="s">
        <v>74</v>
      </c>
      <c r="AM203" s="1" t="s">
        <v>74</v>
      </c>
      <c r="AN203" s="1" t="s">
        <v>74</v>
      </c>
      <c r="AO203" s="1" t="s">
        <v>1209</v>
      </c>
      <c r="AP203" s="1" t="s">
        <v>74</v>
      </c>
      <c r="AQ203" s="1" t="s">
        <v>74</v>
      </c>
      <c r="AR203" s="1" t="s">
        <v>74</v>
      </c>
      <c r="AS203" s="1" t="s">
        <v>74</v>
      </c>
      <c r="AT203" s="1" t="s">
        <v>74</v>
      </c>
      <c r="AU203" s="1">
        <v>1984.0</v>
      </c>
      <c r="AV203" s="1">
        <v>181.0</v>
      </c>
      <c r="AW203" s="1" t="s">
        <v>140</v>
      </c>
      <c r="AX203" s="1" t="s">
        <v>74</v>
      </c>
      <c r="AY203" s="1" t="s">
        <v>74</v>
      </c>
      <c r="AZ203" s="1" t="s">
        <v>74</v>
      </c>
      <c r="BA203" s="1" t="s">
        <v>74</v>
      </c>
      <c r="BB203" s="1">
        <v>295.0</v>
      </c>
      <c r="BC203" s="1">
        <v>300.0</v>
      </c>
      <c r="BD203" s="1" t="s">
        <v>74</v>
      </c>
      <c r="BE203" s="1" t="s">
        <v>1932</v>
      </c>
      <c r="BF203" s="2" t="str">
        <f>HYPERLINK("http://dx.doi.org/10.1016/0368-1874(84)83637-0","http://dx.doi.org/10.1016/0368-1874(84)83637-0")</f>
        <v>http://dx.doi.org/10.1016/0368-1874(84)83637-0</v>
      </c>
      <c r="BG203" s="1" t="s">
        <v>74</v>
      </c>
      <c r="BH203" s="1" t="s">
        <v>74</v>
      </c>
      <c r="BI203" s="1" t="s">
        <v>74</v>
      </c>
      <c r="BJ203" s="1" t="s">
        <v>74</v>
      </c>
      <c r="BK203" s="1" t="s">
        <v>74</v>
      </c>
      <c r="BL203" s="1" t="s">
        <v>74</v>
      </c>
      <c r="BM203" s="1" t="s">
        <v>74</v>
      </c>
      <c r="BN203" s="1" t="s">
        <v>74</v>
      </c>
      <c r="BO203" s="1" t="s">
        <v>74</v>
      </c>
      <c r="BP203" s="1" t="s">
        <v>74</v>
      </c>
      <c r="BQ203" s="1" t="s">
        <v>74</v>
      </c>
      <c r="BR203" s="1" t="s">
        <v>74</v>
      </c>
      <c r="BS203" s="1" t="s">
        <v>1933</v>
      </c>
      <c r="BT203" s="1" t="str">
        <f>HYPERLINK("https%3A%2F%2Fwww.webofscience.com%2Fwos%2Fwoscc%2Ffull-record%2FWOS:A1984AAM6200022","View Full Record in Web of Science")</f>
        <v>View Full Record in Web of Science</v>
      </c>
    </row>
    <row r="204" ht="12.75" customHeight="1">
      <c r="A204" s="1" t="s">
        <v>72</v>
      </c>
      <c r="B204" s="1" t="s">
        <v>1934</v>
      </c>
      <c r="C204" s="1" t="s">
        <v>74</v>
      </c>
      <c r="D204" s="1" t="s">
        <v>74</v>
      </c>
      <c r="E204" s="1" t="s">
        <v>74</v>
      </c>
      <c r="F204" s="1" t="s">
        <v>1934</v>
      </c>
      <c r="G204" s="1" t="s">
        <v>74</v>
      </c>
      <c r="H204" s="1" t="s">
        <v>74</v>
      </c>
      <c r="I204" s="1" t="s">
        <v>1935</v>
      </c>
      <c r="J204" s="1" t="s">
        <v>1173</v>
      </c>
      <c r="K204" s="1" t="s">
        <v>74</v>
      </c>
      <c r="L204" s="1" t="s">
        <v>74</v>
      </c>
      <c r="M204" s="1" t="s">
        <v>74</v>
      </c>
      <c r="N204" s="1" t="s">
        <v>74</v>
      </c>
      <c r="O204" s="1" t="s">
        <v>74</v>
      </c>
      <c r="P204" s="1" t="s">
        <v>74</v>
      </c>
      <c r="Q204" s="1" t="s">
        <v>74</v>
      </c>
      <c r="R204" s="1" t="s">
        <v>74</v>
      </c>
      <c r="S204" s="1" t="s">
        <v>74</v>
      </c>
      <c r="T204" s="1" t="s">
        <v>74</v>
      </c>
      <c r="U204" s="1" t="s">
        <v>74</v>
      </c>
      <c r="V204" s="1" t="s">
        <v>74</v>
      </c>
      <c r="W204" s="1" t="s">
        <v>74</v>
      </c>
      <c r="X204" s="1" t="s">
        <v>74</v>
      </c>
      <c r="Y204" s="1" t="s">
        <v>74</v>
      </c>
      <c r="Z204" s="1" t="s">
        <v>74</v>
      </c>
      <c r="AA204" s="1" t="s">
        <v>74</v>
      </c>
      <c r="AB204" s="1" t="s">
        <v>74</v>
      </c>
      <c r="AC204" s="1" t="s">
        <v>74</v>
      </c>
      <c r="AD204" s="1" t="s">
        <v>74</v>
      </c>
      <c r="AE204" s="1" t="s">
        <v>74</v>
      </c>
      <c r="AF204" s="1" t="s">
        <v>74</v>
      </c>
      <c r="AG204" s="1" t="s">
        <v>74</v>
      </c>
      <c r="AH204" s="1" t="s">
        <v>74</v>
      </c>
      <c r="AI204" s="1" t="s">
        <v>74</v>
      </c>
      <c r="AJ204" s="1" t="s">
        <v>74</v>
      </c>
      <c r="AK204" s="1" t="s">
        <v>74</v>
      </c>
      <c r="AL204" s="1" t="s">
        <v>74</v>
      </c>
      <c r="AM204" s="1" t="s">
        <v>74</v>
      </c>
      <c r="AN204" s="1" t="s">
        <v>74</v>
      </c>
      <c r="AO204" s="1" t="s">
        <v>1175</v>
      </c>
      <c r="AP204" s="1" t="s">
        <v>74</v>
      </c>
      <c r="AQ204" s="1" t="s">
        <v>74</v>
      </c>
      <c r="AR204" s="1" t="s">
        <v>74</v>
      </c>
      <c r="AS204" s="1" t="s">
        <v>74</v>
      </c>
      <c r="AT204" s="1" t="s">
        <v>74</v>
      </c>
      <c r="AU204" s="1">
        <v>1979.0</v>
      </c>
      <c r="AV204" s="1">
        <v>17.0</v>
      </c>
      <c r="AW204" s="1">
        <v>9.0</v>
      </c>
      <c r="AX204" s="1" t="s">
        <v>74</v>
      </c>
      <c r="AY204" s="1" t="s">
        <v>74</v>
      </c>
      <c r="AZ204" s="1" t="s">
        <v>74</v>
      </c>
      <c r="BA204" s="1" t="s">
        <v>74</v>
      </c>
      <c r="BB204" s="1">
        <v>2791.0</v>
      </c>
      <c r="BC204" s="1">
        <v>2803.0</v>
      </c>
      <c r="BD204" s="1" t="s">
        <v>74</v>
      </c>
      <c r="BE204" s="1" t="s">
        <v>1936</v>
      </c>
      <c r="BF204" s="2" t="str">
        <f>HYPERLINK("http://dx.doi.org/10.1002/pol.1979.170170916","http://dx.doi.org/10.1002/pol.1979.170170916")</f>
        <v>http://dx.doi.org/10.1002/pol.1979.170170916</v>
      </c>
      <c r="BG204" s="1" t="s">
        <v>74</v>
      </c>
      <c r="BH204" s="1" t="s">
        <v>74</v>
      </c>
      <c r="BI204" s="1" t="s">
        <v>74</v>
      </c>
      <c r="BJ204" s="1" t="s">
        <v>74</v>
      </c>
      <c r="BK204" s="1" t="s">
        <v>74</v>
      </c>
      <c r="BL204" s="1" t="s">
        <v>74</v>
      </c>
      <c r="BM204" s="1" t="s">
        <v>74</v>
      </c>
      <c r="BN204" s="1" t="s">
        <v>74</v>
      </c>
      <c r="BO204" s="1" t="s">
        <v>74</v>
      </c>
      <c r="BP204" s="1" t="s">
        <v>74</v>
      </c>
      <c r="BQ204" s="1" t="s">
        <v>74</v>
      </c>
      <c r="BR204" s="1" t="s">
        <v>74</v>
      </c>
      <c r="BS204" s="1" t="s">
        <v>1937</v>
      </c>
      <c r="BT204" s="1" t="str">
        <f>HYPERLINK("https%3A%2F%2Fwww.webofscience.com%2Fwos%2Fwoscc%2Ffull-record%2FWOS:A1979HL98700016","View Full Record in Web of Science")</f>
        <v>View Full Record in Web of Science</v>
      </c>
    </row>
    <row r="205" ht="12.75" customHeight="1">
      <c r="A205" s="1" t="s">
        <v>72</v>
      </c>
      <c r="B205" s="1" t="s">
        <v>1938</v>
      </c>
      <c r="C205" s="1" t="s">
        <v>74</v>
      </c>
      <c r="D205" s="1" t="s">
        <v>74</v>
      </c>
      <c r="E205" s="1" t="s">
        <v>74</v>
      </c>
      <c r="F205" s="1" t="s">
        <v>1939</v>
      </c>
      <c r="G205" s="1" t="s">
        <v>74</v>
      </c>
      <c r="H205" s="1" t="s">
        <v>74</v>
      </c>
      <c r="I205" s="1" t="s">
        <v>1940</v>
      </c>
      <c r="J205" s="1" t="s">
        <v>1249</v>
      </c>
      <c r="K205" s="1" t="s">
        <v>74</v>
      </c>
      <c r="L205" s="1" t="s">
        <v>74</v>
      </c>
      <c r="M205" s="1" t="s">
        <v>74</v>
      </c>
      <c r="N205" s="1" t="s">
        <v>74</v>
      </c>
      <c r="O205" s="1" t="s">
        <v>74</v>
      </c>
      <c r="P205" s="1" t="s">
        <v>74</v>
      </c>
      <c r="Q205" s="1" t="s">
        <v>74</v>
      </c>
      <c r="R205" s="1" t="s">
        <v>74</v>
      </c>
      <c r="S205" s="1" t="s">
        <v>74</v>
      </c>
      <c r="T205" s="1" t="s">
        <v>74</v>
      </c>
      <c r="U205" s="1" t="s">
        <v>74</v>
      </c>
      <c r="V205" s="1" t="s">
        <v>1941</v>
      </c>
      <c r="W205" s="1" t="s">
        <v>74</v>
      </c>
      <c r="X205" s="1" t="s">
        <v>74</v>
      </c>
      <c r="Y205" s="1" t="s">
        <v>74</v>
      </c>
      <c r="Z205" s="1" t="s">
        <v>74</v>
      </c>
      <c r="AA205" s="1" t="s">
        <v>296</v>
      </c>
      <c r="AB205" s="1" t="s">
        <v>1942</v>
      </c>
      <c r="AC205" s="1" t="s">
        <v>74</v>
      </c>
      <c r="AD205" s="1" t="s">
        <v>74</v>
      </c>
      <c r="AE205" s="1" t="s">
        <v>74</v>
      </c>
      <c r="AF205" s="1" t="s">
        <v>74</v>
      </c>
      <c r="AG205" s="1" t="s">
        <v>74</v>
      </c>
      <c r="AH205" s="1" t="s">
        <v>74</v>
      </c>
      <c r="AI205" s="1" t="s">
        <v>74</v>
      </c>
      <c r="AJ205" s="1" t="s">
        <v>74</v>
      </c>
      <c r="AK205" s="1" t="s">
        <v>74</v>
      </c>
      <c r="AL205" s="1" t="s">
        <v>74</v>
      </c>
      <c r="AM205" s="1" t="s">
        <v>74</v>
      </c>
      <c r="AN205" s="1" t="s">
        <v>74</v>
      </c>
      <c r="AO205" s="1" t="s">
        <v>74</v>
      </c>
      <c r="AP205" s="1" t="s">
        <v>1251</v>
      </c>
      <c r="AQ205" s="1" t="s">
        <v>74</v>
      </c>
      <c r="AR205" s="1" t="s">
        <v>74</v>
      </c>
      <c r="AS205" s="1" t="s">
        <v>74</v>
      </c>
      <c r="AT205" s="1" t="s">
        <v>161</v>
      </c>
      <c r="AU205" s="1">
        <v>2024.0</v>
      </c>
      <c r="AV205" s="1">
        <v>12.0</v>
      </c>
      <c r="AW205" s="1">
        <v>10.0</v>
      </c>
      <c r="AX205" s="1" t="s">
        <v>74</v>
      </c>
      <c r="AY205" s="1" t="s">
        <v>74</v>
      </c>
      <c r="AZ205" s="1" t="s">
        <v>74</v>
      </c>
      <c r="BA205" s="1" t="s">
        <v>74</v>
      </c>
      <c r="BB205" s="1" t="s">
        <v>74</v>
      </c>
      <c r="BC205" s="1" t="s">
        <v>74</v>
      </c>
      <c r="BD205" s="1">
        <v>201.0</v>
      </c>
      <c r="BE205" s="1" t="s">
        <v>1943</v>
      </c>
      <c r="BF205" s="2" t="str">
        <f>HYPERLINK("http://dx.doi.org/10.3390/technologies12100201","http://dx.doi.org/10.3390/technologies12100201")</f>
        <v>http://dx.doi.org/10.3390/technologies12100201</v>
      </c>
      <c r="BG205" s="1" t="s">
        <v>74</v>
      </c>
      <c r="BH205" s="1" t="s">
        <v>74</v>
      </c>
      <c r="BI205" s="1" t="s">
        <v>74</v>
      </c>
      <c r="BJ205" s="1" t="s">
        <v>74</v>
      </c>
      <c r="BK205" s="1" t="s">
        <v>74</v>
      </c>
      <c r="BL205" s="1" t="s">
        <v>74</v>
      </c>
      <c r="BM205" s="1" t="s">
        <v>74</v>
      </c>
      <c r="BN205" s="1" t="s">
        <v>74</v>
      </c>
      <c r="BO205" s="1" t="s">
        <v>74</v>
      </c>
      <c r="BP205" s="1" t="s">
        <v>74</v>
      </c>
      <c r="BQ205" s="1" t="s">
        <v>74</v>
      </c>
      <c r="BR205" s="1" t="s">
        <v>74</v>
      </c>
      <c r="BS205" s="1" t="s">
        <v>1944</v>
      </c>
      <c r="BT205" s="1" t="str">
        <f>HYPERLINK("https%3A%2F%2Fwww.webofscience.com%2Fwos%2Fwoscc%2Ffull-record%2FWOS:001341892800001","View Full Record in Web of Science")</f>
        <v>View Full Record in Web of Science</v>
      </c>
    </row>
    <row r="206" ht="12.75" customHeight="1">
      <c r="A206" s="1" t="s">
        <v>72</v>
      </c>
      <c r="B206" s="1" t="s">
        <v>1945</v>
      </c>
      <c r="C206" s="1" t="s">
        <v>74</v>
      </c>
      <c r="D206" s="1" t="s">
        <v>74</v>
      </c>
      <c r="E206" s="1" t="s">
        <v>74</v>
      </c>
      <c r="F206" s="1" t="s">
        <v>1946</v>
      </c>
      <c r="G206" s="1" t="s">
        <v>74</v>
      </c>
      <c r="H206" s="1" t="s">
        <v>74</v>
      </c>
      <c r="I206" s="1" t="s">
        <v>1947</v>
      </c>
      <c r="J206" s="1" t="s">
        <v>1948</v>
      </c>
      <c r="K206" s="1" t="s">
        <v>74</v>
      </c>
      <c r="L206" s="1" t="s">
        <v>74</v>
      </c>
      <c r="M206" s="1" t="s">
        <v>74</v>
      </c>
      <c r="N206" s="1" t="s">
        <v>74</v>
      </c>
      <c r="O206" s="1" t="s">
        <v>74</v>
      </c>
      <c r="P206" s="1" t="s">
        <v>74</v>
      </c>
      <c r="Q206" s="1" t="s">
        <v>74</v>
      </c>
      <c r="R206" s="1" t="s">
        <v>74</v>
      </c>
      <c r="S206" s="1" t="s">
        <v>74</v>
      </c>
      <c r="T206" s="1" t="s">
        <v>74</v>
      </c>
      <c r="U206" s="1" t="s">
        <v>74</v>
      </c>
      <c r="V206" s="1" t="s">
        <v>1949</v>
      </c>
      <c r="W206" s="1" t="s">
        <v>74</v>
      </c>
      <c r="X206" s="1" t="s">
        <v>74</v>
      </c>
      <c r="Y206" s="1" t="s">
        <v>74</v>
      </c>
      <c r="Z206" s="1" t="s">
        <v>74</v>
      </c>
      <c r="AA206" s="1" t="s">
        <v>74</v>
      </c>
      <c r="AB206" s="1" t="s">
        <v>74</v>
      </c>
      <c r="AC206" s="1" t="s">
        <v>74</v>
      </c>
      <c r="AD206" s="1" t="s">
        <v>74</v>
      </c>
      <c r="AE206" s="1" t="s">
        <v>74</v>
      </c>
      <c r="AF206" s="1" t="s">
        <v>74</v>
      </c>
      <c r="AG206" s="1" t="s">
        <v>74</v>
      </c>
      <c r="AH206" s="1" t="s">
        <v>74</v>
      </c>
      <c r="AI206" s="1" t="s">
        <v>74</v>
      </c>
      <c r="AJ206" s="1" t="s">
        <v>74</v>
      </c>
      <c r="AK206" s="1" t="s">
        <v>74</v>
      </c>
      <c r="AL206" s="1" t="s">
        <v>74</v>
      </c>
      <c r="AM206" s="1" t="s">
        <v>74</v>
      </c>
      <c r="AN206" s="1" t="s">
        <v>74</v>
      </c>
      <c r="AO206" s="1" t="s">
        <v>74</v>
      </c>
      <c r="AP206" s="1" t="s">
        <v>1950</v>
      </c>
      <c r="AQ206" s="1" t="s">
        <v>74</v>
      </c>
      <c r="AR206" s="1" t="s">
        <v>74</v>
      </c>
      <c r="AS206" s="1" t="s">
        <v>74</v>
      </c>
      <c r="AT206" s="1" t="s">
        <v>74</v>
      </c>
      <c r="AU206" s="1">
        <v>2024.0</v>
      </c>
      <c r="AV206" s="1">
        <v>14.0</v>
      </c>
      <c r="AW206" s="1">
        <v>2.0</v>
      </c>
      <c r="AX206" s="1" t="s">
        <v>74</v>
      </c>
      <c r="AY206" s="1" t="s">
        <v>74</v>
      </c>
      <c r="AZ206" s="1" t="s">
        <v>74</v>
      </c>
      <c r="BA206" s="1" t="s">
        <v>74</v>
      </c>
      <c r="BB206" s="1">
        <v>89.0</v>
      </c>
      <c r="BC206" s="1">
        <v>123.0</v>
      </c>
      <c r="BD206" s="1" t="s">
        <v>74</v>
      </c>
      <c r="BE206" s="1" t="s">
        <v>1951</v>
      </c>
      <c r="BF206" s="2" t="str">
        <f>HYPERLINK("http://dx.doi.org/10.5281/zenodo.10951755","http://dx.doi.org/10.5281/zenodo.10951755")</f>
        <v>http://dx.doi.org/10.5281/zenodo.10951755</v>
      </c>
      <c r="BG206" s="1" t="s">
        <v>74</v>
      </c>
      <c r="BH206" s="1" t="s">
        <v>74</v>
      </c>
      <c r="BI206" s="1" t="s">
        <v>74</v>
      </c>
      <c r="BJ206" s="1" t="s">
        <v>74</v>
      </c>
      <c r="BK206" s="1" t="s">
        <v>74</v>
      </c>
      <c r="BL206" s="1" t="s">
        <v>74</v>
      </c>
      <c r="BM206" s="1" t="s">
        <v>74</v>
      </c>
      <c r="BN206" s="1" t="s">
        <v>74</v>
      </c>
      <c r="BO206" s="1" t="s">
        <v>74</v>
      </c>
      <c r="BP206" s="1" t="s">
        <v>74</v>
      </c>
      <c r="BQ206" s="1" t="s">
        <v>74</v>
      </c>
      <c r="BR206" s="1" t="s">
        <v>74</v>
      </c>
      <c r="BS206" s="1" t="s">
        <v>1952</v>
      </c>
      <c r="BT206" s="1" t="str">
        <f>HYPERLINK("https%3A%2F%2Fwww.webofscience.com%2Fwos%2Fwoscc%2Ffull-record%2FWOS:001206994300004","View Full Record in Web of Science")</f>
        <v>View Full Record in Web of Science</v>
      </c>
    </row>
    <row r="207" ht="12.75" customHeight="1">
      <c r="A207" s="1" t="s">
        <v>91</v>
      </c>
      <c r="B207" s="1" t="s">
        <v>1953</v>
      </c>
      <c r="C207" s="1" t="s">
        <v>74</v>
      </c>
      <c r="D207" s="1" t="s">
        <v>74</v>
      </c>
      <c r="E207" s="1" t="s">
        <v>442</v>
      </c>
      <c r="F207" s="1" t="s">
        <v>1954</v>
      </c>
      <c r="G207" s="1" t="s">
        <v>74</v>
      </c>
      <c r="H207" s="1" t="s">
        <v>74</v>
      </c>
      <c r="I207" s="1" t="s">
        <v>1955</v>
      </c>
      <c r="J207" s="1" t="s">
        <v>1956</v>
      </c>
      <c r="K207" s="1" t="s">
        <v>1957</v>
      </c>
      <c r="L207" s="1" t="s">
        <v>74</v>
      </c>
      <c r="M207" s="1" t="s">
        <v>74</v>
      </c>
      <c r="N207" s="1" t="s">
        <v>74</v>
      </c>
      <c r="O207" s="1" t="s">
        <v>1958</v>
      </c>
      <c r="P207" s="1" t="s">
        <v>1959</v>
      </c>
      <c r="Q207" s="1" t="s">
        <v>1960</v>
      </c>
      <c r="R207" s="1" t="s">
        <v>74</v>
      </c>
      <c r="S207" s="1" t="s">
        <v>74</v>
      </c>
      <c r="T207" s="1" t="s">
        <v>74</v>
      </c>
      <c r="U207" s="1" t="s">
        <v>74</v>
      </c>
      <c r="V207" s="1" t="s">
        <v>1961</v>
      </c>
      <c r="W207" s="1" t="s">
        <v>74</v>
      </c>
      <c r="X207" s="1" t="s">
        <v>74</v>
      </c>
      <c r="Y207" s="1" t="s">
        <v>74</v>
      </c>
      <c r="Z207" s="1" t="s">
        <v>74</v>
      </c>
      <c r="AA207" s="1" t="s">
        <v>1962</v>
      </c>
      <c r="AB207" s="1" t="s">
        <v>1963</v>
      </c>
      <c r="AC207" s="1" t="s">
        <v>74</v>
      </c>
      <c r="AD207" s="1" t="s">
        <v>74</v>
      </c>
      <c r="AE207" s="1" t="s">
        <v>74</v>
      </c>
      <c r="AF207" s="1" t="s">
        <v>74</v>
      </c>
      <c r="AG207" s="1" t="s">
        <v>74</v>
      </c>
      <c r="AH207" s="1" t="s">
        <v>74</v>
      </c>
      <c r="AI207" s="1" t="s">
        <v>74</v>
      </c>
      <c r="AJ207" s="1" t="s">
        <v>74</v>
      </c>
      <c r="AK207" s="1" t="s">
        <v>74</v>
      </c>
      <c r="AL207" s="1" t="s">
        <v>74</v>
      </c>
      <c r="AM207" s="1" t="s">
        <v>74</v>
      </c>
      <c r="AN207" s="1" t="s">
        <v>74</v>
      </c>
      <c r="AO207" s="1" t="s">
        <v>1964</v>
      </c>
      <c r="AP207" s="1" t="s">
        <v>74</v>
      </c>
      <c r="AQ207" s="1" t="s">
        <v>1965</v>
      </c>
      <c r="AR207" s="1" t="s">
        <v>74</v>
      </c>
      <c r="AS207" s="1" t="s">
        <v>74</v>
      </c>
      <c r="AT207" s="1" t="s">
        <v>74</v>
      </c>
      <c r="AU207" s="1">
        <v>2024.0</v>
      </c>
      <c r="AV207" s="1" t="s">
        <v>74</v>
      </c>
      <c r="AW207" s="1" t="s">
        <v>74</v>
      </c>
      <c r="AX207" s="1" t="s">
        <v>74</v>
      </c>
      <c r="AY207" s="1" t="s">
        <v>74</v>
      </c>
      <c r="AZ207" s="1" t="s">
        <v>74</v>
      </c>
      <c r="BA207" s="1" t="s">
        <v>74</v>
      </c>
      <c r="BB207" s="1">
        <v>443.0</v>
      </c>
      <c r="BC207" s="1">
        <v>448.0</v>
      </c>
      <c r="BD207" s="1" t="s">
        <v>74</v>
      </c>
      <c r="BE207" s="1" t="s">
        <v>1966</v>
      </c>
      <c r="BF207" s="2" t="str">
        <f>HYPERLINK("http://dx.doi.org/10.1109/CSNDSP60683.2024.10636680","http://dx.doi.org/10.1109/CSNDSP60683.2024.10636680")</f>
        <v>http://dx.doi.org/10.1109/CSNDSP60683.2024.10636680</v>
      </c>
      <c r="BG207" s="1" t="s">
        <v>74</v>
      </c>
      <c r="BH207" s="1" t="s">
        <v>74</v>
      </c>
      <c r="BI207" s="1" t="s">
        <v>74</v>
      </c>
      <c r="BJ207" s="1" t="s">
        <v>74</v>
      </c>
      <c r="BK207" s="1" t="s">
        <v>74</v>
      </c>
      <c r="BL207" s="1" t="s">
        <v>74</v>
      </c>
      <c r="BM207" s="1" t="s">
        <v>74</v>
      </c>
      <c r="BN207" s="1" t="s">
        <v>74</v>
      </c>
      <c r="BO207" s="1" t="s">
        <v>74</v>
      </c>
      <c r="BP207" s="1" t="s">
        <v>74</v>
      </c>
      <c r="BQ207" s="1" t="s">
        <v>74</v>
      </c>
      <c r="BR207" s="1" t="s">
        <v>74</v>
      </c>
      <c r="BS207" s="1" t="s">
        <v>1967</v>
      </c>
      <c r="BT207" s="1" t="str">
        <f>HYPERLINK("https%3A%2F%2Fwww.webofscience.com%2Fwos%2Fwoscc%2Ffull-record%2FWOS:001324588800085","View Full Record in Web of Science")</f>
        <v>View Full Record in Web of Science</v>
      </c>
    </row>
    <row r="208" ht="12.75" customHeight="1">
      <c r="A208" s="1" t="s">
        <v>72</v>
      </c>
      <c r="B208" s="1" t="s">
        <v>1968</v>
      </c>
      <c r="C208" s="1" t="s">
        <v>74</v>
      </c>
      <c r="D208" s="1" t="s">
        <v>74</v>
      </c>
      <c r="E208" s="1" t="s">
        <v>74</v>
      </c>
      <c r="F208" s="1" t="s">
        <v>1969</v>
      </c>
      <c r="G208" s="1" t="s">
        <v>74</v>
      </c>
      <c r="H208" s="1" t="s">
        <v>74</v>
      </c>
      <c r="I208" s="1" t="s">
        <v>1970</v>
      </c>
      <c r="J208" s="1" t="s">
        <v>1971</v>
      </c>
      <c r="K208" s="1" t="s">
        <v>74</v>
      </c>
      <c r="L208" s="1" t="s">
        <v>74</v>
      </c>
      <c r="M208" s="1" t="s">
        <v>74</v>
      </c>
      <c r="N208" s="1" t="s">
        <v>74</v>
      </c>
      <c r="O208" s="1" t="s">
        <v>74</v>
      </c>
      <c r="P208" s="1" t="s">
        <v>74</v>
      </c>
      <c r="Q208" s="1" t="s">
        <v>74</v>
      </c>
      <c r="R208" s="1" t="s">
        <v>74</v>
      </c>
      <c r="S208" s="1" t="s">
        <v>74</v>
      </c>
      <c r="T208" s="1" t="s">
        <v>74</v>
      </c>
      <c r="U208" s="1" t="s">
        <v>74</v>
      </c>
      <c r="V208" s="1" t="s">
        <v>1972</v>
      </c>
      <c r="W208" s="1" t="s">
        <v>74</v>
      </c>
      <c r="X208" s="1" t="s">
        <v>74</v>
      </c>
      <c r="Y208" s="1" t="s">
        <v>74</v>
      </c>
      <c r="Z208" s="1" t="s">
        <v>74</v>
      </c>
      <c r="AA208" s="1" t="s">
        <v>74</v>
      </c>
      <c r="AB208" s="1" t="s">
        <v>74</v>
      </c>
      <c r="AC208" s="1" t="s">
        <v>74</v>
      </c>
      <c r="AD208" s="1" t="s">
        <v>74</v>
      </c>
      <c r="AE208" s="1" t="s">
        <v>74</v>
      </c>
      <c r="AF208" s="1" t="s">
        <v>74</v>
      </c>
      <c r="AG208" s="1" t="s">
        <v>74</v>
      </c>
      <c r="AH208" s="1" t="s">
        <v>74</v>
      </c>
      <c r="AI208" s="1" t="s">
        <v>74</v>
      </c>
      <c r="AJ208" s="1" t="s">
        <v>74</v>
      </c>
      <c r="AK208" s="1" t="s">
        <v>74</v>
      </c>
      <c r="AL208" s="1" t="s">
        <v>74</v>
      </c>
      <c r="AM208" s="1" t="s">
        <v>74</v>
      </c>
      <c r="AN208" s="1" t="s">
        <v>74</v>
      </c>
      <c r="AO208" s="1" t="s">
        <v>1973</v>
      </c>
      <c r="AP208" s="1" t="s">
        <v>1974</v>
      </c>
      <c r="AQ208" s="1" t="s">
        <v>74</v>
      </c>
      <c r="AR208" s="1" t="s">
        <v>74</v>
      </c>
      <c r="AS208" s="1" t="s">
        <v>74</v>
      </c>
      <c r="AT208" s="1" t="s">
        <v>1493</v>
      </c>
      <c r="AU208" s="1">
        <v>2024.0</v>
      </c>
      <c r="AV208" s="1">
        <v>24.0</v>
      </c>
      <c r="AW208" s="1">
        <v>48.0</v>
      </c>
      <c r="AX208" s="1" t="s">
        <v>74</v>
      </c>
      <c r="AY208" s="1" t="s">
        <v>74</v>
      </c>
      <c r="AZ208" s="1" t="s">
        <v>74</v>
      </c>
      <c r="BA208" s="1" t="s">
        <v>74</v>
      </c>
      <c r="BB208" s="1" t="s">
        <v>74</v>
      </c>
      <c r="BC208" s="1" t="s">
        <v>74</v>
      </c>
      <c r="BD208" s="1" t="s">
        <v>74</v>
      </c>
      <c r="BE208" s="1" t="s">
        <v>1975</v>
      </c>
      <c r="BF208" s="2" t="str">
        <f>HYPERLINK("http://dx.doi.org/10.18270/rcfc.4303","http://dx.doi.org/10.18270/rcfc.4303")</f>
        <v>http://dx.doi.org/10.18270/rcfc.4303</v>
      </c>
      <c r="BG208" s="1" t="s">
        <v>74</v>
      </c>
      <c r="BH208" s="1" t="s">
        <v>74</v>
      </c>
      <c r="BI208" s="1" t="s">
        <v>74</v>
      </c>
      <c r="BJ208" s="1" t="s">
        <v>74</v>
      </c>
      <c r="BK208" s="1" t="s">
        <v>74</v>
      </c>
      <c r="BL208" s="1" t="s">
        <v>74</v>
      </c>
      <c r="BM208" s="1" t="s">
        <v>74</v>
      </c>
      <c r="BN208" s="1" t="s">
        <v>74</v>
      </c>
      <c r="BO208" s="1" t="s">
        <v>74</v>
      </c>
      <c r="BP208" s="1" t="s">
        <v>74</v>
      </c>
      <c r="BQ208" s="1" t="s">
        <v>74</v>
      </c>
      <c r="BR208" s="1" t="s">
        <v>74</v>
      </c>
      <c r="BS208" s="1" t="s">
        <v>1976</v>
      </c>
      <c r="BT208" s="1" t="str">
        <f>HYPERLINK("https%3A%2F%2Fwww.webofscience.com%2Fwos%2Fwoscc%2Ffull-record%2FWOS:001267919900005","View Full Record in Web of Science")</f>
        <v>View Full Record in Web of Science</v>
      </c>
    </row>
    <row r="209" ht="12.75" customHeight="1">
      <c r="A209" s="1" t="s">
        <v>72</v>
      </c>
      <c r="B209" s="1" t="s">
        <v>1277</v>
      </c>
      <c r="C209" s="1" t="s">
        <v>74</v>
      </c>
      <c r="D209" s="1" t="s">
        <v>74</v>
      </c>
      <c r="E209" s="1" t="s">
        <v>74</v>
      </c>
      <c r="F209" s="1" t="s">
        <v>1278</v>
      </c>
      <c r="G209" s="1" t="s">
        <v>74</v>
      </c>
      <c r="H209" s="1" t="s">
        <v>74</v>
      </c>
      <c r="I209" s="1" t="s">
        <v>1977</v>
      </c>
      <c r="J209" s="1" t="s">
        <v>1978</v>
      </c>
      <c r="K209" s="1" t="s">
        <v>74</v>
      </c>
      <c r="L209" s="1" t="s">
        <v>74</v>
      </c>
      <c r="M209" s="1" t="s">
        <v>74</v>
      </c>
      <c r="N209" s="1" t="s">
        <v>74</v>
      </c>
      <c r="O209" s="1" t="s">
        <v>74</v>
      </c>
      <c r="P209" s="1" t="s">
        <v>74</v>
      </c>
      <c r="Q209" s="1" t="s">
        <v>74</v>
      </c>
      <c r="R209" s="1" t="s">
        <v>74</v>
      </c>
      <c r="S209" s="1" t="s">
        <v>74</v>
      </c>
      <c r="T209" s="1" t="s">
        <v>74</v>
      </c>
      <c r="U209" s="1" t="s">
        <v>74</v>
      </c>
      <c r="V209" s="1" t="s">
        <v>74</v>
      </c>
      <c r="W209" s="1" t="s">
        <v>74</v>
      </c>
      <c r="X209" s="1" t="s">
        <v>74</v>
      </c>
      <c r="Y209" s="1" t="s">
        <v>74</v>
      </c>
      <c r="Z209" s="1" t="s">
        <v>74</v>
      </c>
      <c r="AA209" s="1" t="s">
        <v>74</v>
      </c>
      <c r="AB209" s="1" t="s">
        <v>74</v>
      </c>
      <c r="AC209" s="1" t="s">
        <v>74</v>
      </c>
      <c r="AD209" s="1" t="s">
        <v>74</v>
      </c>
      <c r="AE209" s="1" t="s">
        <v>74</v>
      </c>
      <c r="AF209" s="1" t="s">
        <v>74</v>
      </c>
      <c r="AG209" s="1" t="s">
        <v>74</v>
      </c>
      <c r="AH209" s="1" t="s">
        <v>74</v>
      </c>
      <c r="AI209" s="1" t="s">
        <v>74</v>
      </c>
      <c r="AJ209" s="1" t="s">
        <v>74</v>
      </c>
      <c r="AK209" s="1" t="s">
        <v>74</v>
      </c>
      <c r="AL209" s="1" t="s">
        <v>74</v>
      </c>
      <c r="AM209" s="1" t="s">
        <v>74</v>
      </c>
      <c r="AN209" s="1" t="s">
        <v>74</v>
      </c>
      <c r="AO209" s="1" t="s">
        <v>1979</v>
      </c>
      <c r="AP209" s="1" t="s">
        <v>1980</v>
      </c>
      <c r="AQ209" s="1" t="s">
        <v>74</v>
      </c>
      <c r="AR209" s="1" t="s">
        <v>74</v>
      </c>
      <c r="AS209" s="1" t="s">
        <v>74</v>
      </c>
      <c r="AT209" s="1" t="s">
        <v>88</v>
      </c>
      <c r="AU209" s="1">
        <v>2023.0</v>
      </c>
      <c r="AV209" s="1">
        <v>24.0</v>
      </c>
      <c r="AW209" s="1">
        <v>40.0</v>
      </c>
      <c r="AX209" s="1" t="s">
        <v>74</v>
      </c>
      <c r="AY209" s="1" t="s">
        <v>74</v>
      </c>
      <c r="AZ209" s="1" t="s">
        <v>74</v>
      </c>
      <c r="BA209" s="1" t="s">
        <v>74</v>
      </c>
      <c r="BB209" s="1">
        <v>419.0</v>
      </c>
      <c r="BC209" s="1">
        <v>424.0</v>
      </c>
      <c r="BD209" s="1" t="s">
        <v>74</v>
      </c>
      <c r="BE209" s="1" t="s">
        <v>74</v>
      </c>
      <c r="BF209" s="1" t="s">
        <v>74</v>
      </c>
      <c r="BG209" s="1" t="s">
        <v>74</v>
      </c>
      <c r="BH209" s="1" t="s">
        <v>74</v>
      </c>
      <c r="BI209" s="1" t="s">
        <v>74</v>
      </c>
      <c r="BJ209" s="1" t="s">
        <v>74</v>
      </c>
      <c r="BK209" s="1" t="s">
        <v>74</v>
      </c>
      <c r="BL209" s="1" t="s">
        <v>74</v>
      </c>
      <c r="BM209" s="1" t="s">
        <v>74</v>
      </c>
      <c r="BN209" s="1" t="s">
        <v>74</v>
      </c>
      <c r="BO209" s="1" t="s">
        <v>74</v>
      </c>
      <c r="BP209" s="1" t="s">
        <v>74</v>
      </c>
      <c r="BQ209" s="1" t="s">
        <v>74</v>
      </c>
      <c r="BR209" s="1" t="s">
        <v>74</v>
      </c>
      <c r="BS209" s="1" t="s">
        <v>1981</v>
      </c>
      <c r="BT209" s="1" t="str">
        <f>HYPERLINK("https%3A%2F%2Fwww.webofscience.com%2Fwos%2Fwoscc%2Ffull-record%2FWOS:001178769900033","View Full Record in Web of Science")</f>
        <v>View Full Record in Web of Science</v>
      </c>
    </row>
    <row r="210" ht="12.75" customHeight="1">
      <c r="A210" s="1" t="s">
        <v>72</v>
      </c>
      <c r="B210" s="1" t="s">
        <v>1982</v>
      </c>
      <c r="C210" s="1" t="s">
        <v>74</v>
      </c>
      <c r="D210" s="1" t="s">
        <v>74</v>
      </c>
      <c r="E210" s="1" t="s">
        <v>74</v>
      </c>
      <c r="F210" s="1" t="s">
        <v>1983</v>
      </c>
      <c r="G210" s="1" t="s">
        <v>74</v>
      </c>
      <c r="H210" s="1" t="s">
        <v>74</v>
      </c>
      <c r="I210" s="1" t="s">
        <v>1984</v>
      </c>
      <c r="J210" s="1" t="s">
        <v>1985</v>
      </c>
      <c r="K210" s="1" t="s">
        <v>74</v>
      </c>
      <c r="L210" s="1" t="s">
        <v>74</v>
      </c>
      <c r="M210" s="1" t="s">
        <v>74</v>
      </c>
      <c r="N210" s="1" t="s">
        <v>74</v>
      </c>
      <c r="O210" s="1" t="s">
        <v>74</v>
      </c>
      <c r="P210" s="1" t="s">
        <v>74</v>
      </c>
      <c r="Q210" s="1" t="s">
        <v>74</v>
      </c>
      <c r="R210" s="1" t="s">
        <v>74</v>
      </c>
      <c r="S210" s="1" t="s">
        <v>74</v>
      </c>
      <c r="T210" s="1" t="s">
        <v>74</v>
      </c>
      <c r="U210" s="1" t="s">
        <v>74</v>
      </c>
      <c r="V210" s="1" t="s">
        <v>74</v>
      </c>
      <c r="W210" s="1" t="s">
        <v>74</v>
      </c>
      <c r="X210" s="1" t="s">
        <v>74</v>
      </c>
      <c r="Y210" s="1" t="s">
        <v>74</v>
      </c>
      <c r="Z210" s="1" t="s">
        <v>74</v>
      </c>
      <c r="AA210" s="1" t="s">
        <v>74</v>
      </c>
      <c r="AB210" s="1" t="s">
        <v>74</v>
      </c>
      <c r="AC210" s="1" t="s">
        <v>74</v>
      </c>
      <c r="AD210" s="1" t="s">
        <v>74</v>
      </c>
      <c r="AE210" s="1" t="s">
        <v>74</v>
      </c>
      <c r="AF210" s="1" t="s">
        <v>74</v>
      </c>
      <c r="AG210" s="1" t="s">
        <v>74</v>
      </c>
      <c r="AH210" s="1" t="s">
        <v>74</v>
      </c>
      <c r="AI210" s="1" t="s">
        <v>74</v>
      </c>
      <c r="AJ210" s="1" t="s">
        <v>74</v>
      </c>
      <c r="AK210" s="1" t="s">
        <v>74</v>
      </c>
      <c r="AL210" s="1" t="s">
        <v>74</v>
      </c>
      <c r="AM210" s="1" t="s">
        <v>74</v>
      </c>
      <c r="AN210" s="1" t="s">
        <v>74</v>
      </c>
      <c r="AO210" s="1" t="s">
        <v>1986</v>
      </c>
      <c r="AP210" s="1" t="s">
        <v>1987</v>
      </c>
      <c r="AQ210" s="1" t="s">
        <v>74</v>
      </c>
      <c r="AR210" s="1" t="s">
        <v>74</v>
      </c>
      <c r="AS210" s="1" t="s">
        <v>74</v>
      </c>
      <c r="AT210" s="1" t="s">
        <v>180</v>
      </c>
      <c r="AU210" s="1">
        <v>2023.0</v>
      </c>
      <c r="AV210" s="1">
        <v>38.0</v>
      </c>
      <c r="AW210" s="1">
        <v>1.0</v>
      </c>
      <c r="AX210" s="1" t="s">
        <v>74</v>
      </c>
      <c r="AY210" s="1" t="s">
        <v>74</v>
      </c>
      <c r="AZ210" s="1" t="s">
        <v>74</v>
      </c>
      <c r="BA210" s="1" t="s">
        <v>74</v>
      </c>
      <c r="BB210" s="1">
        <v>323.0</v>
      </c>
      <c r="BC210" s="1">
        <v>326.0</v>
      </c>
      <c r="BD210" s="1" t="s">
        <v>74</v>
      </c>
      <c r="BE210" s="1" t="s">
        <v>1988</v>
      </c>
      <c r="BF210" s="2" t="str">
        <f>HYPERLINK("http://dx.doi.org/10.4067/S0718-23762023000100323","http://dx.doi.org/10.4067/S0718-23762023000100323")</f>
        <v>http://dx.doi.org/10.4067/S0718-23762023000100323</v>
      </c>
      <c r="BG210" s="1" t="s">
        <v>74</v>
      </c>
      <c r="BH210" s="1" t="s">
        <v>74</v>
      </c>
      <c r="BI210" s="1" t="s">
        <v>74</v>
      </c>
      <c r="BJ210" s="1" t="s">
        <v>74</v>
      </c>
      <c r="BK210" s="1" t="s">
        <v>74</v>
      </c>
      <c r="BL210" s="1" t="s">
        <v>74</v>
      </c>
      <c r="BM210" s="1" t="s">
        <v>74</v>
      </c>
      <c r="BN210" s="1" t="s">
        <v>74</v>
      </c>
      <c r="BO210" s="1" t="s">
        <v>74</v>
      </c>
      <c r="BP210" s="1" t="s">
        <v>74</v>
      </c>
      <c r="BQ210" s="1" t="s">
        <v>74</v>
      </c>
      <c r="BR210" s="1" t="s">
        <v>74</v>
      </c>
      <c r="BS210" s="1" t="s">
        <v>1989</v>
      </c>
      <c r="BT210" s="1" t="str">
        <f>HYPERLINK("https%3A%2F%2Fwww.webofscience.com%2Fwos%2Fwoscc%2Ffull-record%2FWOS:001023895400019","View Full Record in Web of Science")</f>
        <v>View Full Record in Web of Science</v>
      </c>
    </row>
    <row r="211" ht="12.75" customHeight="1">
      <c r="A211" s="1" t="s">
        <v>72</v>
      </c>
      <c r="B211" s="1" t="s">
        <v>1990</v>
      </c>
      <c r="C211" s="1" t="s">
        <v>74</v>
      </c>
      <c r="D211" s="1" t="s">
        <v>74</v>
      </c>
      <c r="E211" s="1" t="s">
        <v>74</v>
      </c>
      <c r="F211" s="1" t="s">
        <v>1991</v>
      </c>
      <c r="G211" s="1" t="s">
        <v>74</v>
      </c>
      <c r="H211" s="1" t="s">
        <v>74</v>
      </c>
      <c r="I211" s="1" t="s">
        <v>1992</v>
      </c>
      <c r="J211" s="1" t="s">
        <v>1993</v>
      </c>
      <c r="K211" s="1" t="s">
        <v>74</v>
      </c>
      <c r="L211" s="1" t="s">
        <v>74</v>
      </c>
      <c r="M211" s="1" t="s">
        <v>74</v>
      </c>
      <c r="N211" s="1" t="s">
        <v>74</v>
      </c>
      <c r="O211" s="1" t="s">
        <v>74</v>
      </c>
      <c r="P211" s="1" t="s">
        <v>74</v>
      </c>
      <c r="Q211" s="1" t="s">
        <v>74</v>
      </c>
      <c r="R211" s="1" t="s">
        <v>74</v>
      </c>
      <c r="S211" s="1" t="s">
        <v>74</v>
      </c>
      <c r="T211" s="1" t="s">
        <v>74</v>
      </c>
      <c r="U211" s="1" t="s">
        <v>74</v>
      </c>
      <c r="V211" s="1" t="s">
        <v>1994</v>
      </c>
      <c r="W211" s="1" t="s">
        <v>74</v>
      </c>
      <c r="X211" s="1" t="s">
        <v>74</v>
      </c>
      <c r="Y211" s="1" t="s">
        <v>74</v>
      </c>
      <c r="Z211" s="1" t="s">
        <v>74</v>
      </c>
      <c r="AA211" s="1" t="s">
        <v>74</v>
      </c>
      <c r="AB211" s="1" t="s">
        <v>74</v>
      </c>
      <c r="AC211" s="1" t="s">
        <v>74</v>
      </c>
      <c r="AD211" s="1" t="s">
        <v>74</v>
      </c>
      <c r="AE211" s="1" t="s">
        <v>74</v>
      </c>
      <c r="AF211" s="1" t="s">
        <v>74</v>
      </c>
      <c r="AG211" s="1" t="s">
        <v>74</v>
      </c>
      <c r="AH211" s="1" t="s">
        <v>74</v>
      </c>
      <c r="AI211" s="1" t="s">
        <v>74</v>
      </c>
      <c r="AJ211" s="1" t="s">
        <v>74</v>
      </c>
      <c r="AK211" s="1" t="s">
        <v>74</v>
      </c>
      <c r="AL211" s="1" t="s">
        <v>74</v>
      </c>
      <c r="AM211" s="1" t="s">
        <v>74</v>
      </c>
      <c r="AN211" s="1" t="s">
        <v>74</v>
      </c>
      <c r="AO211" s="1" t="s">
        <v>1995</v>
      </c>
      <c r="AP211" s="1" t="s">
        <v>1996</v>
      </c>
      <c r="AQ211" s="1" t="s">
        <v>74</v>
      </c>
      <c r="AR211" s="1" t="s">
        <v>74</v>
      </c>
      <c r="AS211" s="1" t="s">
        <v>74</v>
      </c>
      <c r="AT211" s="1" t="s">
        <v>1997</v>
      </c>
      <c r="AU211" s="1">
        <v>2022.0</v>
      </c>
      <c r="AV211" s="1">
        <v>20.0</v>
      </c>
      <c r="AW211" s="1">
        <v>40.0</v>
      </c>
      <c r="AX211" s="1" t="s">
        <v>74</v>
      </c>
      <c r="AY211" s="1" t="s">
        <v>74</v>
      </c>
      <c r="AZ211" s="1" t="s">
        <v>74</v>
      </c>
      <c r="BA211" s="1" t="s">
        <v>74</v>
      </c>
      <c r="BB211" s="1" t="s">
        <v>74</v>
      </c>
      <c r="BC211" s="1" t="s">
        <v>74</v>
      </c>
      <c r="BD211" s="1" t="s">
        <v>74</v>
      </c>
      <c r="BE211" s="1" t="s">
        <v>1998</v>
      </c>
      <c r="BF211" s="2" t="str">
        <f>HYPERLINK("http://dx.doi.org/10.21830/19006586.973","http://dx.doi.org/10.21830/19006586.973")</f>
        <v>http://dx.doi.org/10.21830/19006586.973</v>
      </c>
      <c r="BG211" s="1" t="s">
        <v>74</v>
      </c>
      <c r="BH211" s="1" t="s">
        <v>74</v>
      </c>
      <c r="BI211" s="1" t="s">
        <v>74</v>
      </c>
      <c r="BJ211" s="1" t="s">
        <v>74</v>
      </c>
      <c r="BK211" s="1" t="s">
        <v>74</v>
      </c>
      <c r="BL211" s="1" t="s">
        <v>74</v>
      </c>
      <c r="BM211" s="1" t="s">
        <v>74</v>
      </c>
      <c r="BN211" s="1" t="s">
        <v>74</v>
      </c>
      <c r="BO211" s="1" t="s">
        <v>74</v>
      </c>
      <c r="BP211" s="1" t="s">
        <v>74</v>
      </c>
      <c r="BQ211" s="1" t="s">
        <v>74</v>
      </c>
      <c r="BR211" s="1" t="s">
        <v>74</v>
      </c>
      <c r="BS211" s="1" t="s">
        <v>1999</v>
      </c>
      <c r="BT211" s="1" t="str">
        <f>HYPERLINK("https%3A%2F%2Fwww.webofscience.com%2Fwos%2Fwoscc%2Ffull-record%2FWOS:001296528400014","View Full Record in Web of Science")</f>
        <v>View Full Record in Web of Science</v>
      </c>
    </row>
    <row r="212" ht="12.75" customHeight="1">
      <c r="A212" s="1" t="s">
        <v>72</v>
      </c>
      <c r="B212" s="1" t="s">
        <v>2000</v>
      </c>
      <c r="C212" s="1" t="s">
        <v>74</v>
      </c>
      <c r="D212" s="1" t="s">
        <v>74</v>
      </c>
      <c r="E212" s="1" t="s">
        <v>74</v>
      </c>
      <c r="F212" s="1" t="s">
        <v>2001</v>
      </c>
      <c r="G212" s="1" t="s">
        <v>74</v>
      </c>
      <c r="H212" s="1" t="s">
        <v>74</v>
      </c>
      <c r="I212" s="1" t="s">
        <v>2002</v>
      </c>
      <c r="J212" s="1" t="s">
        <v>1333</v>
      </c>
      <c r="K212" s="1" t="s">
        <v>74</v>
      </c>
      <c r="L212" s="1" t="s">
        <v>74</v>
      </c>
      <c r="M212" s="1" t="s">
        <v>74</v>
      </c>
      <c r="N212" s="1" t="s">
        <v>74</v>
      </c>
      <c r="O212" s="1" t="s">
        <v>74</v>
      </c>
      <c r="P212" s="1" t="s">
        <v>74</v>
      </c>
      <c r="Q212" s="1" t="s">
        <v>74</v>
      </c>
      <c r="R212" s="1" t="s">
        <v>74</v>
      </c>
      <c r="S212" s="1" t="s">
        <v>74</v>
      </c>
      <c r="T212" s="1" t="s">
        <v>74</v>
      </c>
      <c r="U212" s="1" t="s">
        <v>74</v>
      </c>
      <c r="V212" s="1" t="s">
        <v>2003</v>
      </c>
      <c r="W212" s="1" t="s">
        <v>74</v>
      </c>
      <c r="X212" s="1" t="s">
        <v>74</v>
      </c>
      <c r="Y212" s="1" t="s">
        <v>74</v>
      </c>
      <c r="Z212" s="1" t="s">
        <v>74</v>
      </c>
      <c r="AA212" s="1" t="s">
        <v>74</v>
      </c>
      <c r="AB212" s="1" t="s">
        <v>74</v>
      </c>
      <c r="AC212" s="1" t="s">
        <v>74</v>
      </c>
      <c r="AD212" s="1" t="s">
        <v>74</v>
      </c>
      <c r="AE212" s="1" t="s">
        <v>74</v>
      </c>
      <c r="AF212" s="1" t="s">
        <v>74</v>
      </c>
      <c r="AG212" s="1" t="s">
        <v>74</v>
      </c>
      <c r="AH212" s="1" t="s">
        <v>74</v>
      </c>
      <c r="AI212" s="1" t="s">
        <v>74</v>
      </c>
      <c r="AJ212" s="1" t="s">
        <v>74</v>
      </c>
      <c r="AK212" s="1" t="s">
        <v>74</v>
      </c>
      <c r="AL212" s="1" t="s">
        <v>74</v>
      </c>
      <c r="AM212" s="1" t="s">
        <v>74</v>
      </c>
      <c r="AN212" s="1" t="s">
        <v>74</v>
      </c>
      <c r="AO212" s="1" t="s">
        <v>1335</v>
      </c>
      <c r="AP212" s="1" t="s">
        <v>1336</v>
      </c>
      <c r="AQ212" s="1" t="s">
        <v>74</v>
      </c>
      <c r="AR212" s="1" t="s">
        <v>74</v>
      </c>
      <c r="AS212" s="1" t="s">
        <v>74</v>
      </c>
      <c r="AT212" s="1" t="s">
        <v>1176</v>
      </c>
      <c r="AU212" s="1">
        <v>2022.0</v>
      </c>
      <c r="AV212" s="1" t="s">
        <v>74</v>
      </c>
      <c r="AW212" s="1">
        <v>36.0</v>
      </c>
      <c r="AX212" s="1" t="s">
        <v>74</v>
      </c>
      <c r="AY212" s="1" t="s">
        <v>74</v>
      </c>
      <c r="AZ212" s="1" t="s">
        <v>74</v>
      </c>
      <c r="BA212" s="1" t="s">
        <v>74</v>
      </c>
      <c r="BB212" s="1">
        <v>97.0</v>
      </c>
      <c r="BC212" s="1">
        <v>116.0</v>
      </c>
      <c r="BD212" s="1" t="s">
        <v>74</v>
      </c>
      <c r="BE212" s="1" t="s">
        <v>2004</v>
      </c>
      <c r="BF212" s="2" t="str">
        <f>HYPERLINK("http://dx.doi.org/10.35588/estudav.v0i36.5650","http://dx.doi.org/10.35588/estudav.v0i36.5650")</f>
        <v>http://dx.doi.org/10.35588/estudav.v0i36.5650</v>
      </c>
      <c r="BG212" s="1" t="s">
        <v>74</v>
      </c>
      <c r="BH212" s="1" t="s">
        <v>74</v>
      </c>
      <c r="BI212" s="1" t="s">
        <v>74</v>
      </c>
      <c r="BJ212" s="1" t="s">
        <v>74</v>
      </c>
      <c r="BK212" s="1" t="s">
        <v>74</v>
      </c>
      <c r="BL212" s="1" t="s">
        <v>74</v>
      </c>
      <c r="BM212" s="1" t="s">
        <v>74</v>
      </c>
      <c r="BN212" s="1" t="s">
        <v>74</v>
      </c>
      <c r="BO212" s="1" t="s">
        <v>74</v>
      </c>
      <c r="BP212" s="1" t="s">
        <v>74</v>
      </c>
      <c r="BQ212" s="1" t="s">
        <v>74</v>
      </c>
      <c r="BR212" s="1" t="s">
        <v>74</v>
      </c>
      <c r="BS212" s="1" t="s">
        <v>2005</v>
      </c>
      <c r="BT212" s="1" t="str">
        <f>HYPERLINK("https%3A%2F%2Fwww.webofscience.com%2Fwos%2Fwoscc%2Ffull-record%2FWOS:000835672800006","View Full Record in Web of Science")</f>
        <v>View Full Record in Web of Science</v>
      </c>
    </row>
    <row r="213" ht="12.75" customHeight="1">
      <c r="A213" s="1" t="s">
        <v>72</v>
      </c>
      <c r="B213" s="1" t="s">
        <v>2006</v>
      </c>
      <c r="C213" s="1" t="s">
        <v>74</v>
      </c>
      <c r="D213" s="1" t="s">
        <v>74</v>
      </c>
      <c r="E213" s="1" t="s">
        <v>74</v>
      </c>
      <c r="F213" s="1" t="s">
        <v>2007</v>
      </c>
      <c r="G213" s="1" t="s">
        <v>74</v>
      </c>
      <c r="H213" s="1" t="s">
        <v>74</v>
      </c>
      <c r="I213" s="1" t="s">
        <v>2008</v>
      </c>
      <c r="J213" s="1" t="s">
        <v>2009</v>
      </c>
      <c r="K213" s="1" t="s">
        <v>74</v>
      </c>
      <c r="L213" s="1" t="s">
        <v>74</v>
      </c>
      <c r="M213" s="1" t="s">
        <v>74</v>
      </c>
      <c r="N213" s="1" t="s">
        <v>74</v>
      </c>
      <c r="O213" s="1" t="s">
        <v>74</v>
      </c>
      <c r="P213" s="1" t="s">
        <v>74</v>
      </c>
      <c r="Q213" s="1" t="s">
        <v>74</v>
      </c>
      <c r="R213" s="1" t="s">
        <v>74</v>
      </c>
      <c r="S213" s="1" t="s">
        <v>74</v>
      </c>
      <c r="T213" s="1" t="s">
        <v>74</v>
      </c>
      <c r="U213" s="1" t="s">
        <v>74</v>
      </c>
      <c r="V213" s="1" t="s">
        <v>2010</v>
      </c>
      <c r="W213" s="1" t="s">
        <v>74</v>
      </c>
      <c r="X213" s="1" t="s">
        <v>74</v>
      </c>
      <c r="Y213" s="1" t="s">
        <v>74</v>
      </c>
      <c r="Z213" s="1" t="s">
        <v>74</v>
      </c>
      <c r="AA213" s="1" t="s">
        <v>2011</v>
      </c>
      <c r="AB213" s="1" t="s">
        <v>2012</v>
      </c>
      <c r="AC213" s="1" t="s">
        <v>74</v>
      </c>
      <c r="AD213" s="1" t="s">
        <v>74</v>
      </c>
      <c r="AE213" s="1" t="s">
        <v>74</v>
      </c>
      <c r="AF213" s="1" t="s">
        <v>74</v>
      </c>
      <c r="AG213" s="1" t="s">
        <v>74</v>
      </c>
      <c r="AH213" s="1" t="s">
        <v>74</v>
      </c>
      <c r="AI213" s="1" t="s">
        <v>74</v>
      </c>
      <c r="AJ213" s="1" t="s">
        <v>74</v>
      </c>
      <c r="AK213" s="1" t="s">
        <v>74</v>
      </c>
      <c r="AL213" s="1" t="s">
        <v>74</v>
      </c>
      <c r="AM213" s="1" t="s">
        <v>74</v>
      </c>
      <c r="AN213" s="1" t="s">
        <v>74</v>
      </c>
      <c r="AO213" s="1" t="s">
        <v>2013</v>
      </c>
      <c r="AP213" s="1" t="s">
        <v>74</v>
      </c>
      <c r="AQ213" s="1" t="s">
        <v>74</v>
      </c>
      <c r="AR213" s="1" t="s">
        <v>74</v>
      </c>
      <c r="AS213" s="1" t="s">
        <v>74</v>
      </c>
      <c r="AT213" s="1" t="s">
        <v>2014</v>
      </c>
      <c r="AU213" s="1">
        <v>2022.0</v>
      </c>
      <c r="AV213" s="1">
        <v>17.0</v>
      </c>
      <c r="AW213" s="1">
        <v>5.0</v>
      </c>
      <c r="AX213" s="1" t="s">
        <v>74</v>
      </c>
      <c r="AY213" s="1" t="s">
        <v>74</v>
      </c>
      <c r="AZ213" s="1" t="s">
        <v>74</v>
      </c>
      <c r="BA213" s="1" t="s">
        <v>74</v>
      </c>
      <c r="BB213" s="1" t="s">
        <v>74</v>
      </c>
      <c r="BC213" s="1" t="s">
        <v>74</v>
      </c>
      <c r="BD213" s="1" t="s">
        <v>2015</v>
      </c>
      <c r="BE213" s="1" t="s">
        <v>2016</v>
      </c>
      <c r="BF213" s="2" t="str">
        <f>HYPERLINK("http://dx.doi.org/10.1371/journal.pone.0267413","http://dx.doi.org/10.1371/journal.pone.0267413")</f>
        <v>http://dx.doi.org/10.1371/journal.pone.0267413</v>
      </c>
      <c r="BG213" s="1" t="s">
        <v>74</v>
      </c>
      <c r="BH213" s="1" t="s">
        <v>74</v>
      </c>
      <c r="BI213" s="1" t="s">
        <v>74</v>
      </c>
      <c r="BJ213" s="1" t="s">
        <v>74</v>
      </c>
      <c r="BK213" s="1" t="s">
        <v>74</v>
      </c>
      <c r="BL213" s="1" t="s">
        <v>74</v>
      </c>
      <c r="BM213" s="1" t="s">
        <v>74</v>
      </c>
      <c r="BN213" s="1">
        <v>3.5551277E7</v>
      </c>
      <c r="BO213" s="1" t="s">
        <v>74</v>
      </c>
      <c r="BP213" s="1" t="s">
        <v>74</v>
      </c>
      <c r="BQ213" s="1" t="s">
        <v>74</v>
      </c>
      <c r="BR213" s="1" t="s">
        <v>74</v>
      </c>
      <c r="BS213" s="1" t="s">
        <v>2017</v>
      </c>
      <c r="BT213" s="1" t="str">
        <f>HYPERLINK("https%3A%2F%2Fwww.webofscience.com%2Fwos%2Fwoscc%2Ffull-record%2FWOS:000868164600024","View Full Record in Web of Science")</f>
        <v>View Full Record in Web of Science</v>
      </c>
    </row>
    <row r="214" ht="12.75" customHeight="1">
      <c r="A214" s="1" t="s">
        <v>72</v>
      </c>
      <c r="B214" s="1" t="s">
        <v>2018</v>
      </c>
      <c r="C214" s="1" t="s">
        <v>74</v>
      </c>
      <c r="D214" s="1" t="s">
        <v>74</v>
      </c>
      <c r="E214" s="1" t="s">
        <v>74</v>
      </c>
      <c r="F214" s="1" t="s">
        <v>2019</v>
      </c>
      <c r="G214" s="1" t="s">
        <v>74</v>
      </c>
      <c r="H214" s="1" t="s">
        <v>74</v>
      </c>
      <c r="I214" s="1" t="s">
        <v>2020</v>
      </c>
      <c r="J214" s="1" t="s">
        <v>294</v>
      </c>
      <c r="K214" s="1" t="s">
        <v>74</v>
      </c>
      <c r="L214" s="1" t="s">
        <v>74</v>
      </c>
      <c r="M214" s="1" t="s">
        <v>74</v>
      </c>
      <c r="N214" s="1" t="s">
        <v>74</v>
      </c>
      <c r="O214" s="1" t="s">
        <v>74</v>
      </c>
      <c r="P214" s="1" t="s">
        <v>74</v>
      </c>
      <c r="Q214" s="1" t="s">
        <v>74</v>
      </c>
      <c r="R214" s="1" t="s">
        <v>74</v>
      </c>
      <c r="S214" s="1" t="s">
        <v>74</v>
      </c>
      <c r="T214" s="1" t="s">
        <v>74</v>
      </c>
      <c r="U214" s="1" t="s">
        <v>74</v>
      </c>
      <c r="V214" s="1" t="s">
        <v>2021</v>
      </c>
      <c r="W214" s="1" t="s">
        <v>74</v>
      </c>
      <c r="X214" s="1" t="s">
        <v>74</v>
      </c>
      <c r="Y214" s="1" t="s">
        <v>74</v>
      </c>
      <c r="Z214" s="1" t="s">
        <v>74</v>
      </c>
      <c r="AA214" s="1" t="s">
        <v>2022</v>
      </c>
      <c r="AB214" s="1" t="s">
        <v>2023</v>
      </c>
      <c r="AC214" s="1" t="s">
        <v>74</v>
      </c>
      <c r="AD214" s="1" t="s">
        <v>74</v>
      </c>
      <c r="AE214" s="1" t="s">
        <v>74</v>
      </c>
      <c r="AF214" s="1" t="s">
        <v>74</v>
      </c>
      <c r="AG214" s="1" t="s">
        <v>74</v>
      </c>
      <c r="AH214" s="1" t="s">
        <v>74</v>
      </c>
      <c r="AI214" s="1" t="s">
        <v>74</v>
      </c>
      <c r="AJ214" s="1" t="s">
        <v>74</v>
      </c>
      <c r="AK214" s="1" t="s">
        <v>74</v>
      </c>
      <c r="AL214" s="1" t="s">
        <v>74</v>
      </c>
      <c r="AM214" s="1" t="s">
        <v>74</v>
      </c>
      <c r="AN214" s="1" t="s">
        <v>74</v>
      </c>
      <c r="AO214" s="1" t="s">
        <v>74</v>
      </c>
      <c r="AP214" s="1" t="s">
        <v>298</v>
      </c>
      <c r="AQ214" s="1" t="s">
        <v>74</v>
      </c>
      <c r="AR214" s="1" t="s">
        <v>74</v>
      </c>
      <c r="AS214" s="1" t="s">
        <v>74</v>
      </c>
      <c r="AT214" s="1" t="s">
        <v>148</v>
      </c>
      <c r="AU214" s="1">
        <v>2022.0</v>
      </c>
      <c r="AV214" s="1">
        <v>22.0</v>
      </c>
      <c r="AW214" s="1">
        <v>6.0</v>
      </c>
      <c r="AX214" s="1" t="s">
        <v>74</v>
      </c>
      <c r="AY214" s="1" t="s">
        <v>74</v>
      </c>
      <c r="AZ214" s="1" t="s">
        <v>74</v>
      </c>
      <c r="BA214" s="1" t="s">
        <v>74</v>
      </c>
      <c r="BB214" s="1" t="s">
        <v>74</v>
      </c>
      <c r="BC214" s="1" t="s">
        <v>74</v>
      </c>
      <c r="BD214" s="1">
        <v>2105.0</v>
      </c>
      <c r="BE214" s="1" t="s">
        <v>2024</v>
      </c>
      <c r="BF214" s="2" t="str">
        <f>HYPERLINK("http://dx.doi.org/10.3390/s22062105","http://dx.doi.org/10.3390/s22062105")</f>
        <v>http://dx.doi.org/10.3390/s22062105</v>
      </c>
      <c r="BG214" s="1" t="s">
        <v>74</v>
      </c>
      <c r="BH214" s="1" t="s">
        <v>74</v>
      </c>
      <c r="BI214" s="1" t="s">
        <v>74</v>
      </c>
      <c r="BJ214" s="1" t="s">
        <v>74</v>
      </c>
      <c r="BK214" s="1" t="s">
        <v>74</v>
      </c>
      <c r="BL214" s="1" t="s">
        <v>74</v>
      </c>
      <c r="BM214" s="1" t="s">
        <v>74</v>
      </c>
      <c r="BN214" s="1">
        <v>3.5336274E7</v>
      </c>
      <c r="BO214" s="1" t="s">
        <v>74</v>
      </c>
      <c r="BP214" s="1" t="s">
        <v>74</v>
      </c>
      <c r="BQ214" s="1" t="s">
        <v>74</v>
      </c>
      <c r="BR214" s="1" t="s">
        <v>74</v>
      </c>
      <c r="BS214" s="1" t="s">
        <v>2025</v>
      </c>
      <c r="BT214" s="1" t="str">
        <f>HYPERLINK("https%3A%2F%2Fwww.webofscience.com%2Fwos%2Fwoscc%2Ffull-record%2FWOS:000774346700001","View Full Record in Web of Science")</f>
        <v>View Full Record in Web of Science</v>
      </c>
    </row>
    <row r="215" ht="12.75" customHeight="1">
      <c r="A215" s="1" t="s">
        <v>72</v>
      </c>
      <c r="B215" s="1" t="s">
        <v>2026</v>
      </c>
      <c r="C215" s="1" t="s">
        <v>74</v>
      </c>
      <c r="D215" s="1" t="s">
        <v>74</v>
      </c>
      <c r="E215" s="1" t="s">
        <v>74</v>
      </c>
      <c r="F215" s="1" t="s">
        <v>2027</v>
      </c>
      <c r="G215" s="1" t="s">
        <v>74</v>
      </c>
      <c r="H215" s="1" t="s">
        <v>74</v>
      </c>
      <c r="I215" s="1" t="s">
        <v>2028</v>
      </c>
      <c r="J215" s="1" t="s">
        <v>2029</v>
      </c>
      <c r="K215" s="1" t="s">
        <v>74</v>
      </c>
      <c r="L215" s="1" t="s">
        <v>74</v>
      </c>
      <c r="M215" s="1" t="s">
        <v>74</v>
      </c>
      <c r="N215" s="1" t="s">
        <v>74</v>
      </c>
      <c r="O215" s="1" t="s">
        <v>74</v>
      </c>
      <c r="P215" s="1" t="s">
        <v>74</v>
      </c>
      <c r="Q215" s="1" t="s">
        <v>74</v>
      </c>
      <c r="R215" s="1" t="s">
        <v>74</v>
      </c>
      <c r="S215" s="1" t="s">
        <v>74</v>
      </c>
      <c r="T215" s="1" t="s">
        <v>74</v>
      </c>
      <c r="U215" s="1" t="s">
        <v>74</v>
      </c>
      <c r="V215" s="1" t="s">
        <v>2030</v>
      </c>
      <c r="W215" s="1" t="s">
        <v>74</v>
      </c>
      <c r="X215" s="1" t="s">
        <v>74</v>
      </c>
      <c r="Y215" s="1" t="s">
        <v>74</v>
      </c>
      <c r="Z215" s="1" t="s">
        <v>74</v>
      </c>
      <c r="AA215" s="1" t="s">
        <v>2031</v>
      </c>
      <c r="AB215" s="1" t="s">
        <v>2032</v>
      </c>
      <c r="AC215" s="1" t="s">
        <v>74</v>
      </c>
      <c r="AD215" s="1" t="s">
        <v>74</v>
      </c>
      <c r="AE215" s="1" t="s">
        <v>74</v>
      </c>
      <c r="AF215" s="1" t="s">
        <v>74</v>
      </c>
      <c r="AG215" s="1" t="s">
        <v>74</v>
      </c>
      <c r="AH215" s="1" t="s">
        <v>74</v>
      </c>
      <c r="AI215" s="1" t="s">
        <v>74</v>
      </c>
      <c r="AJ215" s="1" t="s">
        <v>74</v>
      </c>
      <c r="AK215" s="1" t="s">
        <v>74</v>
      </c>
      <c r="AL215" s="1" t="s">
        <v>74</v>
      </c>
      <c r="AM215" s="1" t="s">
        <v>74</v>
      </c>
      <c r="AN215" s="1" t="s">
        <v>74</v>
      </c>
      <c r="AO215" s="1" t="s">
        <v>2033</v>
      </c>
      <c r="AP215" s="1" t="s">
        <v>74</v>
      </c>
      <c r="AQ215" s="1" t="s">
        <v>74</v>
      </c>
      <c r="AR215" s="1" t="s">
        <v>74</v>
      </c>
      <c r="AS215" s="1" t="s">
        <v>74</v>
      </c>
      <c r="AT215" s="1" t="s">
        <v>74</v>
      </c>
      <c r="AU215" s="1">
        <v>2022.0</v>
      </c>
      <c r="AV215" s="1">
        <v>10.0</v>
      </c>
      <c r="AW215" s="1" t="s">
        <v>74</v>
      </c>
      <c r="AX215" s="1" t="s">
        <v>74</v>
      </c>
      <c r="AY215" s="1" t="s">
        <v>74</v>
      </c>
      <c r="AZ215" s="1" t="s">
        <v>74</v>
      </c>
      <c r="BA215" s="1" t="s">
        <v>74</v>
      </c>
      <c r="BB215" s="1">
        <v>18268.0</v>
      </c>
      <c r="BC215" s="1">
        <v>18278.0</v>
      </c>
      <c r="BD215" s="1" t="s">
        <v>74</v>
      </c>
      <c r="BE215" s="1" t="s">
        <v>2034</v>
      </c>
      <c r="BF215" s="2" t="str">
        <f>HYPERLINK("http://dx.doi.org/10.1109/ACCESS.2022.3149273","http://dx.doi.org/10.1109/ACCESS.2022.3149273")</f>
        <v>http://dx.doi.org/10.1109/ACCESS.2022.3149273</v>
      </c>
      <c r="BG215" s="1" t="s">
        <v>74</v>
      </c>
      <c r="BH215" s="1" t="s">
        <v>74</v>
      </c>
      <c r="BI215" s="1" t="s">
        <v>74</v>
      </c>
      <c r="BJ215" s="1" t="s">
        <v>74</v>
      </c>
      <c r="BK215" s="1" t="s">
        <v>74</v>
      </c>
      <c r="BL215" s="1" t="s">
        <v>74</v>
      </c>
      <c r="BM215" s="1" t="s">
        <v>74</v>
      </c>
      <c r="BN215" s="1" t="s">
        <v>74</v>
      </c>
      <c r="BO215" s="1" t="s">
        <v>74</v>
      </c>
      <c r="BP215" s="1" t="s">
        <v>74</v>
      </c>
      <c r="BQ215" s="1" t="s">
        <v>74</v>
      </c>
      <c r="BR215" s="1" t="s">
        <v>74</v>
      </c>
      <c r="BS215" s="1" t="s">
        <v>2035</v>
      </c>
      <c r="BT215" s="1" t="str">
        <f>HYPERLINK("https%3A%2F%2Fwww.webofscience.com%2Fwos%2Fwoscc%2Ffull-record%2FWOS:000760736200001","View Full Record in Web of Science")</f>
        <v>View Full Record in Web of Science</v>
      </c>
    </row>
    <row r="216" ht="12.75" customHeight="1">
      <c r="A216" s="1" t="s">
        <v>72</v>
      </c>
      <c r="B216" s="1" t="s">
        <v>2036</v>
      </c>
      <c r="C216" s="1" t="s">
        <v>74</v>
      </c>
      <c r="D216" s="1" t="s">
        <v>74</v>
      </c>
      <c r="E216" s="1" t="s">
        <v>74</v>
      </c>
      <c r="F216" s="1" t="s">
        <v>2037</v>
      </c>
      <c r="G216" s="1" t="s">
        <v>74</v>
      </c>
      <c r="H216" s="1" t="s">
        <v>74</v>
      </c>
      <c r="I216" s="1" t="s">
        <v>2038</v>
      </c>
      <c r="J216" s="1" t="s">
        <v>2039</v>
      </c>
      <c r="K216" s="1" t="s">
        <v>74</v>
      </c>
      <c r="L216" s="1" t="s">
        <v>74</v>
      </c>
      <c r="M216" s="1" t="s">
        <v>74</v>
      </c>
      <c r="N216" s="1" t="s">
        <v>74</v>
      </c>
      <c r="O216" s="1" t="s">
        <v>74</v>
      </c>
      <c r="P216" s="1" t="s">
        <v>74</v>
      </c>
      <c r="Q216" s="1" t="s">
        <v>74</v>
      </c>
      <c r="R216" s="1" t="s">
        <v>74</v>
      </c>
      <c r="S216" s="1" t="s">
        <v>74</v>
      </c>
      <c r="T216" s="1" t="s">
        <v>74</v>
      </c>
      <c r="U216" s="1" t="s">
        <v>74</v>
      </c>
      <c r="V216" s="1" t="s">
        <v>2040</v>
      </c>
      <c r="W216" s="1" t="s">
        <v>74</v>
      </c>
      <c r="X216" s="1" t="s">
        <v>74</v>
      </c>
      <c r="Y216" s="1" t="s">
        <v>74</v>
      </c>
      <c r="Z216" s="1" t="s">
        <v>74</v>
      </c>
      <c r="AA216" s="1" t="s">
        <v>2041</v>
      </c>
      <c r="AB216" s="1" t="s">
        <v>2042</v>
      </c>
      <c r="AC216" s="1" t="s">
        <v>74</v>
      </c>
      <c r="AD216" s="1" t="s">
        <v>74</v>
      </c>
      <c r="AE216" s="1" t="s">
        <v>74</v>
      </c>
      <c r="AF216" s="1" t="s">
        <v>74</v>
      </c>
      <c r="AG216" s="1" t="s">
        <v>74</v>
      </c>
      <c r="AH216" s="1" t="s">
        <v>74</v>
      </c>
      <c r="AI216" s="1" t="s">
        <v>74</v>
      </c>
      <c r="AJ216" s="1" t="s">
        <v>74</v>
      </c>
      <c r="AK216" s="1" t="s">
        <v>74</v>
      </c>
      <c r="AL216" s="1" t="s">
        <v>74</v>
      </c>
      <c r="AM216" s="1" t="s">
        <v>74</v>
      </c>
      <c r="AN216" s="1" t="s">
        <v>74</v>
      </c>
      <c r="AO216" s="1" t="s">
        <v>74</v>
      </c>
      <c r="AP216" s="1" t="s">
        <v>2043</v>
      </c>
      <c r="AQ216" s="1" t="s">
        <v>74</v>
      </c>
      <c r="AR216" s="1" t="s">
        <v>74</v>
      </c>
      <c r="AS216" s="1" t="s">
        <v>74</v>
      </c>
      <c r="AT216" s="1" t="s">
        <v>205</v>
      </c>
      <c r="AU216" s="1">
        <v>2021.0</v>
      </c>
      <c r="AV216" s="1">
        <v>18.0</v>
      </c>
      <c r="AW216" s="1">
        <v>21.0</v>
      </c>
      <c r="AX216" s="1" t="s">
        <v>74</v>
      </c>
      <c r="AY216" s="1" t="s">
        <v>74</v>
      </c>
      <c r="AZ216" s="1" t="s">
        <v>74</v>
      </c>
      <c r="BA216" s="1" t="s">
        <v>74</v>
      </c>
      <c r="BB216" s="1" t="s">
        <v>74</v>
      </c>
      <c r="BC216" s="1" t="s">
        <v>74</v>
      </c>
      <c r="BD216" s="1">
        <v>11058.0</v>
      </c>
      <c r="BE216" s="1" t="s">
        <v>2044</v>
      </c>
      <c r="BF216" s="2" t="str">
        <f>HYPERLINK("http://dx.doi.org/10.3390/ijerph182111058","http://dx.doi.org/10.3390/ijerph182111058")</f>
        <v>http://dx.doi.org/10.3390/ijerph182111058</v>
      </c>
      <c r="BG216" s="1" t="s">
        <v>74</v>
      </c>
      <c r="BH216" s="1" t="s">
        <v>74</v>
      </c>
      <c r="BI216" s="1" t="s">
        <v>74</v>
      </c>
      <c r="BJ216" s="1" t="s">
        <v>74</v>
      </c>
      <c r="BK216" s="1" t="s">
        <v>74</v>
      </c>
      <c r="BL216" s="1" t="s">
        <v>74</v>
      </c>
      <c r="BM216" s="1" t="s">
        <v>74</v>
      </c>
      <c r="BN216" s="1">
        <v>3.4769577E7</v>
      </c>
      <c r="BO216" s="1" t="s">
        <v>74</v>
      </c>
      <c r="BP216" s="1" t="s">
        <v>74</v>
      </c>
      <c r="BQ216" s="1" t="s">
        <v>74</v>
      </c>
      <c r="BR216" s="1" t="s">
        <v>74</v>
      </c>
      <c r="BS216" s="1" t="s">
        <v>2045</v>
      </c>
      <c r="BT216" s="1" t="str">
        <f>HYPERLINK("https%3A%2F%2Fwww.webofscience.com%2Fwos%2Fwoscc%2Ffull-record%2FWOS:000718493400001","View Full Record in Web of Science")</f>
        <v>View Full Record in Web of Science</v>
      </c>
    </row>
    <row r="217" ht="12.75" customHeight="1">
      <c r="A217" s="1" t="s">
        <v>72</v>
      </c>
      <c r="B217" s="1" t="s">
        <v>2046</v>
      </c>
      <c r="C217" s="1" t="s">
        <v>74</v>
      </c>
      <c r="D217" s="1" t="s">
        <v>74</v>
      </c>
      <c r="E217" s="1" t="s">
        <v>74</v>
      </c>
      <c r="F217" s="1" t="s">
        <v>2047</v>
      </c>
      <c r="G217" s="1" t="s">
        <v>74</v>
      </c>
      <c r="H217" s="1" t="s">
        <v>74</v>
      </c>
      <c r="I217" s="1" t="s">
        <v>2048</v>
      </c>
      <c r="J217" s="1" t="s">
        <v>2049</v>
      </c>
      <c r="K217" s="1" t="s">
        <v>74</v>
      </c>
      <c r="L217" s="1" t="s">
        <v>74</v>
      </c>
      <c r="M217" s="1" t="s">
        <v>74</v>
      </c>
      <c r="N217" s="1" t="s">
        <v>74</v>
      </c>
      <c r="O217" s="1" t="s">
        <v>74</v>
      </c>
      <c r="P217" s="1" t="s">
        <v>74</v>
      </c>
      <c r="Q217" s="1" t="s">
        <v>74</v>
      </c>
      <c r="R217" s="1" t="s">
        <v>74</v>
      </c>
      <c r="S217" s="1" t="s">
        <v>74</v>
      </c>
      <c r="T217" s="1" t="s">
        <v>74</v>
      </c>
      <c r="U217" s="1" t="s">
        <v>74</v>
      </c>
      <c r="V217" s="1" t="s">
        <v>2050</v>
      </c>
      <c r="W217" s="1" t="s">
        <v>74</v>
      </c>
      <c r="X217" s="1" t="s">
        <v>74</v>
      </c>
      <c r="Y217" s="1" t="s">
        <v>74</v>
      </c>
      <c r="Z217" s="1" t="s">
        <v>74</v>
      </c>
      <c r="AA217" s="1" t="s">
        <v>2051</v>
      </c>
      <c r="AB217" s="1" t="s">
        <v>2052</v>
      </c>
      <c r="AC217" s="1" t="s">
        <v>74</v>
      </c>
      <c r="AD217" s="1" t="s">
        <v>74</v>
      </c>
      <c r="AE217" s="1" t="s">
        <v>74</v>
      </c>
      <c r="AF217" s="1" t="s">
        <v>74</v>
      </c>
      <c r="AG217" s="1" t="s">
        <v>74</v>
      </c>
      <c r="AH217" s="1" t="s">
        <v>74</v>
      </c>
      <c r="AI217" s="1" t="s">
        <v>74</v>
      </c>
      <c r="AJ217" s="1" t="s">
        <v>74</v>
      </c>
      <c r="AK217" s="1" t="s">
        <v>74</v>
      </c>
      <c r="AL217" s="1" t="s">
        <v>74</v>
      </c>
      <c r="AM217" s="1" t="s">
        <v>74</v>
      </c>
      <c r="AN217" s="1" t="s">
        <v>74</v>
      </c>
      <c r="AO217" s="1" t="s">
        <v>2053</v>
      </c>
      <c r="AP217" s="1" t="s">
        <v>2054</v>
      </c>
      <c r="AQ217" s="1" t="s">
        <v>74</v>
      </c>
      <c r="AR217" s="1" t="s">
        <v>74</v>
      </c>
      <c r="AS217" s="1" t="s">
        <v>74</v>
      </c>
      <c r="AT217" s="1" t="s">
        <v>2055</v>
      </c>
      <c r="AU217" s="1">
        <v>2023.0</v>
      </c>
      <c r="AV217" s="1">
        <v>30.0</v>
      </c>
      <c r="AW217" s="1">
        <v>3.0</v>
      </c>
      <c r="AX217" s="1" t="s">
        <v>74</v>
      </c>
      <c r="AY217" s="1" t="s">
        <v>74</v>
      </c>
      <c r="AZ217" s="1" t="s">
        <v>74</v>
      </c>
      <c r="BA217" s="1" t="s">
        <v>74</v>
      </c>
      <c r="BB217" s="1">
        <v>264.0</v>
      </c>
      <c r="BC217" s="1">
        <v>268.0</v>
      </c>
      <c r="BD217" s="1" t="s">
        <v>74</v>
      </c>
      <c r="BE217" s="1" t="s">
        <v>2056</v>
      </c>
      <c r="BF217" s="2" t="str">
        <f>HYPERLINK("http://dx.doi.org/10.1080/13504851.2021.1983133","http://dx.doi.org/10.1080/13504851.2021.1983133")</f>
        <v>http://dx.doi.org/10.1080/13504851.2021.1983133</v>
      </c>
      <c r="BG217" s="1" t="s">
        <v>74</v>
      </c>
      <c r="BH217" s="1" t="s">
        <v>2057</v>
      </c>
      <c r="BI217" s="1" t="s">
        <v>74</v>
      </c>
      <c r="BJ217" s="1" t="s">
        <v>74</v>
      </c>
      <c r="BK217" s="1" t="s">
        <v>74</v>
      </c>
      <c r="BL217" s="1" t="s">
        <v>74</v>
      </c>
      <c r="BM217" s="1" t="s">
        <v>74</v>
      </c>
      <c r="BN217" s="1" t="s">
        <v>74</v>
      </c>
      <c r="BO217" s="1" t="s">
        <v>74</v>
      </c>
      <c r="BP217" s="1" t="s">
        <v>74</v>
      </c>
      <c r="BQ217" s="1" t="s">
        <v>74</v>
      </c>
      <c r="BR217" s="1" t="s">
        <v>74</v>
      </c>
      <c r="BS217" s="1" t="s">
        <v>2058</v>
      </c>
      <c r="BT217" s="1" t="str">
        <f>HYPERLINK("https%3A%2F%2Fwww.webofscience.com%2Fwos%2Fwoscc%2Ffull-record%2FWOS:000711341000001","View Full Record in Web of Science")</f>
        <v>View Full Record in Web of Science</v>
      </c>
    </row>
    <row r="218" ht="12.75" customHeight="1">
      <c r="A218" s="1" t="s">
        <v>72</v>
      </c>
      <c r="B218" s="1" t="s">
        <v>2059</v>
      </c>
      <c r="C218" s="1" t="s">
        <v>74</v>
      </c>
      <c r="D218" s="1" t="s">
        <v>74</v>
      </c>
      <c r="E218" s="1" t="s">
        <v>74</v>
      </c>
      <c r="F218" s="1" t="s">
        <v>2060</v>
      </c>
      <c r="G218" s="1" t="s">
        <v>74</v>
      </c>
      <c r="H218" s="1" t="s">
        <v>74</v>
      </c>
      <c r="I218" s="1" t="s">
        <v>2061</v>
      </c>
      <c r="J218" s="1" t="s">
        <v>2062</v>
      </c>
      <c r="K218" s="1" t="s">
        <v>74</v>
      </c>
      <c r="L218" s="1" t="s">
        <v>74</v>
      </c>
      <c r="M218" s="1" t="s">
        <v>74</v>
      </c>
      <c r="N218" s="1" t="s">
        <v>74</v>
      </c>
      <c r="O218" s="1" t="s">
        <v>74</v>
      </c>
      <c r="P218" s="1" t="s">
        <v>74</v>
      </c>
      <c r="Q218" s="1" t="s">
        <v>74</v>
      </c>
      <c r="R218" s="1" t="s">
        <v>74</v>
      </c>
      <c r="S218" s="1" t="s">
        <v>74</v>
      </c>
      <c r="T218" s="1" t="s">
        <v>74</v>
      </c>
      <c r="U218" s="1" t="s">
        <v>74</v>
      </c>
      <c r="V218" s="1" t="s">
        <v>2063</v>
      </c>
      <c r="W218" s="1" t="s">
        <v>74</v>
      </c>
      <c r="X218" s="1" t="s">
        <v>74</v>
      </c>
      <c r="Y218" s="1" t="s">
        <v>74</v>
      </c>
      <c r="Z218" s="1" t="s">
        <v>74</v>
      </c>
      <c r="AA218" s="1" t="s">
        <v>74</v>
      </c>
      <c r="AB218" s="1" t="s">
        <v>74</v>
      </c>
      <c r="AC218" s="1" t="s">
        <v>74</v>
      </c>
      <c r="AD218" s="1" t="s">
        <v>74</v>
      </c>
      <c r="AE218" s="1" t="s">
        <v>74</v>
      </c>
      <c r="AF218" s="1" t="s">
        <v>74</v>
      </c>
      <c r="AG218" s="1" t="s">
        <v>74</v>
      </c>
      <c r="AH218" s="1" t="s">
        <v>74</v>
      </c>
      <c r="AI218" s="1" t="s">
        <v>74</v>
      </c>
      <c r="AJ218" s="1" t="s">
        <v>74</v>
      </c>
      <c r="AK218" s="1" t="s">
        <v>74</v>
      </c>
      <c r="AL218" s="1" t="s">
        <v>74</v>
      </c>
      <c r="AM218" s="1" t="s">
        <v>74</v>
      </c>
      <c r="AN218" s="1" t="s">
        <v>74</v>
      </c>
      <c r="AO218" s="1" t="s">
        <v>2064</v>
      </c>
      <c r="AP218" s="1" t="s">
        <v>2065</v>
      </c>
      <c r="AQ218" s="1" t="s">
        <v>74</v>
      </c>
      <c r="AR218" s="1" t="s">
        <v>74</v>
      </c>
      <c r="AS218" s="1" t="s">
        <v>74</v>
      </c>
      <c r="AT218" s="1" t="s">
        <v>299</v>
      </c>
      <c r="AU218" s="1">
        <v>2022.0</v>
      </c>
      <c r="AV218" s="1">
        <v>42.0</v>
      </c>
      <c r="AW218" s="1">
        <v>1.0</v>
      </c>
      <c r="AX218" s="1" t="s">
        <v>74</v>
      </c>
      <c r="AY218" s="1" t="s">
        <v>74</v>
      </c>
      <c r="AZ218" s="1" t="s">
        <v>74</v>
      </c>
      <c r="BA218" s="1" t="s">
        <v>74</v>
      </c>
      <c r="BB218" s="1">
        <v>137.0</v>
      </c>
      <c r="BC218" s="1">
        <v>162.0</v>
      </c>
      <c r="BD218" s="1" t="s">
        <v>74</v>
      </c>
      <c r="BE218" s="1" t="s">
        <v>2066</v>
      </c>
      <c r="BF218" s="2" t="str">
        <f>HYPERLINK("http://dx.doi.org/10.3934/dcds.2021110","http://dx.doi.org/10.3934/dcds.2021110")</f>
        <v>http://dx.doi.org/10.3934/dcds.2021110</v>
      </c>
      <c r="BG218" s="1" t="s">
        <v>74</v>
      </c>
      <c r="BH218" s="1" t="s">
        <v>2067</v>
      </c>
      <c r="BI218" s="1" t="s">
        <v>74</v>
      </c>
      <c r="BJ218" s="1" t="s">
        <v>74</v>
      </c>
      <c r="BK218" s="1" t="s">
        <v>74</v>
      </c>
      <c r="BL218" s="1" t="s">
        <v>74</v>
      </c>
      <c r="BM218" s="1" t="s">
        <v>74</v>
      </c>
      <c r="BN218" s="1" t="s">
        <v>74</v>
      </c>
      <c r="BO218" s="1" t="s">
        <v>74</v>
      </c>
      <c r="BP218" s="1" t="s">
        <v>74</v>
      </c>
      <c r="BQ218" s="1" t="s">
        <v>74</v>
      </c>
      <c r="BR218" s="1" t="s">
        <v>74</v>
      </c>
      <c r="BS218" s="1" t="s">
        <v>2068</v>
      </c>
      <c r="BT218" s="1" t="str">
        <f>HYPERLINK("https%3A%2F%2Fwww.webofscience.com%2Fwos%2Fwoscc%2Ffull-record%2FWOS:000706703200001","View Full Record in Web of Science")</f>
        <v>View Full Record in Web of Science</v>
      </c>
    </row>
    <row r="219" ht="12.75" customHeight="1">
      <c r="A219" s="1" t="s">
        <v>72</v>
      </c>
      <c r="B219" s="1" t="s">
        <v>2069</v>
      </c>
      <c r="C219" s="1" t="s">
        <v>74</v>
      </c>
      <c r="D219" s="1" t="s">
        <v>74</v>
      </c>
      <c r="E219" s="1" t="s">
        <v>74</v>
      </c>
      <c r="F219" s="1" t="s">
        <v>2070</v>
      </c>
      <c r="G219" s="1" t="s">
        <v>74</v>
      </c>
      <c r="H219" s="1" t="s">
        <v>74</v>
      </c>
      <c r="I219" s="1" t="s">
        <v>2071</v>
      </c>
      <c r="J219" s="1" t="s">
        <v>2072</v>
      </c>
      <c r="K219" s="1" t="s">
        <v>74</v>
      </c>
      <c r="L219" s="1" t="s">
        <v>74</v>
      </c>
      <c r="M219" s="1" t="s">
        <v>74</v>
      </c>
      <c r="N219" s="1" t="s">
        <v>74</v>
      </c>
      <c r="O219" s="1" t="s">
        <v>74</v>
      </c>
      <c r="P219" s="1" t="s">
        <v>74</v>
      </c>
      <c r="Q219" s="1" t="s">
        <v>74</v>
      </c>
      <c r="R219" s="1" t="s">
        <v>74</v>
      </c>
      <c r="S219" s="1" t="s">
        <v>74</v>
      </c>
      <c r="T219" s="1" t="s">
        <v>74</v>
      </c>
      <c r="U219" s="1" t="s">
        <v>74</v>
      </c>
      <c r="V219" s="1" t="s">
        <v>2073</v>
      </c>
      <c r="W219" s="1" t="s">
        <v>74</v>
      </c>
      <c r="X219" s="1" t="s">
        <v>74</v>
      </c>
      <c r="Y219" s="1" t="s">
        <v>74</v>
      </c>
      <c r="Z219" s="1" t="s">
        <v>74</v>
      </c>
      <c r="AA219" s="1" t="s">
        <v>2074</v>
      </c>
      <c r="AB219" s="1" t="s">
        <v>2075</v>
      </c>
      <c r="AC219" s="1" t="s">
        <v>74</v>
      </c>
      <c r="AD219" s="1" t="s">
        <v>74</v>
      </c>
      <c r="AE219" s="1" t="s">
        <v>74</v>
      </c>
      <c r="AF219" s="1" t="s">
        <v>74</v>
      </c>
      <c r="AG219" s="1" t="s">
        <v>74</v>
      </c>
      <c r="AH219" s="1" t="s">
        <v>74</v>
      </c>
      <c r="AI219" s="1" t="s">
        <v>74</v>
      </c>
      <c r="AJ219" s="1" t="s">
        <v>74</v>
      </c>
      <c r="AK219" s="1" t="s">
        <v>74</v>
      </c>
      <c r="AL219" s="1" t="s">
        <v>74</v>
      </c>
      <c r="AM219" s="1" t="s">
        <v>74</v>
      </c>
      <c r="AN219" s="1" t="s">
        <v>74</v>
      </c>
      <c r="AO219" s="1" t="s">
        <v>2076</v>
      </c>
      <c r="AP219" s="1" t="s">
        <v>2077</v>
      </c>
      <c r="AQ219" s="1" t="s">
        <v>74</v>
      </c>
      <c r="AR219" s="1" t="s">
        <v>74</v>
      </c>
      <c r="AS219" s="1" t="s">
        <v>74</v>
      </c>
      <c r="AT219" s="1" t="s">
        <v>2078</v>
      </c>
      <c r="AU219" s="1">
        <v>2021.0</v>
      </c>
      <c r="AV219" s="1">
        <v>115.0</v>
      </c>
      <c r="AW219" s="1">
        <v>2.0</v>
      </c>
      <c r="AX219" s="1" t="s">
        <v>74</v>
      </c>
      <c r="AY219" s="1" t="s">
        <v>74</v>
      </c>
      <c r="AZ219" s="1" t="s">
        <v>74</v>
      </c>
      <c r="BA219" s="1" t="s">
        <v>74</v>
      </c>
      <c r="BB219" s="1" t="s">
        <v>74</v>
      </c>
      <c r="BC219" s="1" t="s">
        <v>74</v>
      </c>
      <c r="BD219" s="1">
        <v>86.0</v>
      </c>
      <c r="BE219" s="1" t="s">
        <v>2079</v>
      </c>
      <c r="BF219" s="2" t="str">
        <f>HYPERLINK("http://dx.doi.org/10.1007/s13398-021-01015-5","http://dx.doi.org/10.1007/s13398-021-01015-5")</f>
        <v>http://dx.doi.org/10.1007/s13398-021-01015-5</v>
      </c>
      <c r="BG219" s="1" t="s">
        <v>74</v>
      </c>
      <c r="BH219" s="1" t="s">
        <v>74</v>
      </c>
      <c r="BI219" s="1" t="s">
        <v>74</v>
      </c>
      <c r="BJ219" s="1" t="s">
        <v>74</v>
      </c>
      <c r="BK219" s="1" t="s">
        <v>74</v>
      </c>
      <c r="BL219" s="1" t="s">
        <v>74</v>
      </c>
      <c r="BM219" s="1" t="s">
        <v>74</v>
      </c>
      <c r="BN219" s="1" t="s">
        <v>74</v>
      </c>
      <c r="BO219" s="1" t="s">
        <v>74</v>
      </c>
      <c r="BP219" s="1" t="s">
        <v>74</v>
      </c>
      <c r="BQ219" s="1" t="s">
        <v>74</v>
      </c>
      <c r="BR219" s="1" t="s">
        <v>74</v>
      </c>
      <c r="BS219" s="1" t="s">
        <v>2080</v>
      </c>
      <c r="BT219" s="1" t="str">
        <f>HYPERLINK("https%3A%2F%2Fwww.webofscience.com%2Fwos%2Fwoscc%2Ffull-record%2FWOS:000632702300002","View Full Record in Web of Science")</f>
        <v>View Full Record in Web of Science</v>
      </c>
    </row>
    <row r="220" ht="12.75" customHeight="1">
      <c r="A220" s="1" t="s">
        <v>72</v>
      </c>
      <c r="B220" s="1" t="s">
        <v>2081</v>
      </c>
      <c r="C220" s="1" t="s">
        <v>74</v>
      </c>
      <c r="D220" s="1" t="s">
        <v>74</v>
      </c>
      <c r="E220" s="1" t="s">
        <v>74</v>
      </c>
      <c r="F220" s="1" t="s">
        <v>2082</v>
      </c>
      <c r="G220" s="1" t="s">
        <v>74</v>
      </c>
      <c r="H220" s="1" t="s">
        <v>74</v>
      </c>
      <c r="I220" s="1" t="s">
        <v>2083</v>
      </c>
      <c r="J220" s="1" t="s">
        <v>2084</v>
      </c>
      <c r="K220" s="1" t="s">
        <v>74</v>
      </c>
      <c r="L220" s="1" t="s">
        <v>74</v>
      </c>
      <c r="M220" s="1" t="s">
        <v>74</v>
      </c>
      <c r="N220" s="1" t="s">
        <v>74</v>
      </c>
      <c r="O220" s="1" t="s">
        <v>74</v>
      </c>
      <c r="P220" s="1" t="s">
        <v>74</v>
      </c>
      <c r="Q220" s="1" t="s">
        <v>74</v>
      </c>
      <c r="R220" s="1" t="s">
        <v>74</v>
      </c>
      <c r="S220" s="1" t="s">
        <v>74</v>
      </c>
      <c r="T220" s="1" t="s">
        <v>74</v>
      </c>
      <c r="U220" s="1" t="s">
        <v>74</v>
      </c>
      <c r="V220" s="1" t="s">
        <v>2085</v>
      </c>
      <c r="W220" s="1" t="s">
        <v>74</v>
      </c>
      <c r="X220" s="1" t="s">
        <v>74</v>
      </c>
      <c r="Y220" s="1" t="s">
        <v>74</v>
      </c>
      <c r="Z220" s="1" t="s">
        <v>74</v>
      </c>
      <c r="AA220" s="1" t="s">
        <v>2086</v>
      </c>
      <c r="AB220" s="1" t="s">
        <v>2087</v>
      </c>
      <c r="AC220" s="1" t="s">
        <v>74</v>
      </c>
      <c r="AD220" s="1" t="s">
        <v>74</v>
      </c>
      <c r="AE220" s="1" t="s">
        <v>74</v>
      </c>
      <c r="AF220" s="1" t="s">
        <v>74</v>
      </c>
      <c r="AG220" s="1" t="s">
        <v>74</v>
      </c>
      <c r="AH220" s="1" t="s">
        <v>74</v>
      </c>
      <c r="AI220" s="1" t="s">
        <v>74</v>
      </c>
      <c r="AJ220" s="1" t="s">
        <v>74</v>
      </c>
      <c r="AK220" s="1" t="s">
        <v>74</v>
      </c>
      <c r="AL220" s="1" t="s">
        <v>74</v>
      </c>
      <c r="AM220" s="1" t="s">
        <v>74</v>
      </c>
      <c r="AN220" s="1" t="s">
        <v>74</v>
      </c>
      <c r="AO220" s="1" t="s">
        <v>2088</v>
      </c>
      <c r="AP220" s="1" t="s">
        <v>2089</v>
      </c>
      <c r="AQ220" s="1" t="s">
        <v>74</v>
      </c>
      <c r="AR220" s="1" t="s">
        <v>74</v>
      </c>
      <c r="AS220" s="1" t="s">
        <v>74</v>
      </c>
      <c r="AT220" s="1" t="s">
        <v>1176</v>
      </c>
      <c r="AU220" s="1">
        <v>2021.0</v>
      </c>
      <c r="AV220" s="1">
        <v>57.0</v>
      </c>
      <c r="AW220" s="1">
        <v>8.0</v>
      </c>
      <c r="AX220" s="1" t="s">
        <v>74</v>
      </c>
      <c r="AY220" s="1" t="s">
        <v>74</v>
      </c>
      <c r="AZ220" s="1" t="s">
        <v>74</v>
      </c>
      <c r="BA220" s="1" t="s">
        <v>74</v>
      </c>
      <c r="BB220" s="1">
        <v>1265.0</v>
      </c>
      <c r="BC220" s="1">
        <v>1274.0</v>
      </c>
      <c r="BD220" s="1" t="s">
        <v>74</v>
      </c>
      <c r="BE220" s="1" t="s">
        <v>2090</v>
      </c>
      <c r="BF220" s="2" t="str">
        <f>HYPERLINK("http://dx.doi.org/10.1007/s00231-021-03019-8","http://dx.doi.org/10.1007/s00231-021-03019-8")</f>
        <v>http://dx.doi.org/10.1007/s00231-021-03019-8</v>
      </c>
      <c r="BG220" s="1" t="s">
        <v>74</v>
      </c>
      <c r="BH220" s="1" t="s">
        <v>2091</v>
      </c>
      <c r="BI220" s="1" t="s">
        <v>74</v>
      </c>
      <c r="BJ220" s="1" t="s">
        <v>74</v>
      </c>
      <c r="BK220" s="1" t="s">
        <v>74</v>
      </c>
      <c r="BL220" s="1" t="s">
        <v>74</v>
      </c>
      <c r="BM220" s="1" t="s">
        <v>74</v>
      </c>
      <c r="BN220" s="1" t="s">
        <v>74</v>
      </c>
      <c r="BO220" s="1" t="s">
        <v>74</v>
      </c>
      <c r="BP220" s="1" t="s">
        <v>74</v>
      </c>
      <c r="BQ220" s="1" t="s">
        <v>74</v>
      </c>
      <c r="BR220" s="1" t="s">
        <v>74</v>
      </c>
      <c r="BS220" s="1" t="s">
        <v>2092</v>
      </c>
      <c r="BT220" s="1" t="str">
        <f>HYPERLINK("https%3A%2F%2Fwww.webofscience.com%2Fwos%2Fwoscc%2Ffull-record%2FWOS:000614349700001","View Full Record in Web of Science")</f>
        <v>View Full Record in Web of Science</v>
      </c>
    </row>
    <row r="221" ht="12.75" customHeight="1">
      <c r="A221" s="1" t="s">
        <v>91</v>
      </c>
      <c r="B221" s="1" t="s">
        <v>2093</v>
      </c>
      <c r="C221" s="1" t="s">
        <v>74</v>
      </c>
      <c r="D221" s="1" t="s">
        <v>74</v>
      </c>
      <c r="E221" s="1" t="s">
        <v>442</v>
      </c>
      <c r="F221" s="1" t="s">
        <v>2094</v>
      </c>
      <c r="G221" s="1" t="s">
        <v>74</v>
      </c>
      <c r="H221" s="1" t="s">
        <v>74</v>
      </c>
      <c r="I221" s="1" t="s">
        <v>2095</v>
      </c>
      <c r="J221" s="1" t="s">
        <v>2096</v>
      </c>
      <c r="K221" s="1" t="s">
        <v>74</v>
      </c>
      <c r="L221" s="1" t="s">
        <v>74</v>
      </c>
      <c r="M221" s="1" t="s">
        <v>74</v>
      </c>
      <c r="N221" s="1" t="s">
        <v>74</v>
      </c>
      <c r="O221" s="1" t="s">
        <v>2097</v>
      </c>
      <c r="P221" s="1" t="s">
        <v>2098</v>
      </c>
      <c r="Q221" s="1" t="s">
        <v>2099</v>
      </c>
      <c r="R221" s="1" t="s">
        <v>2100</v>
      </c>
      <c r="S221" s="1" t="s">
        <v>2101</v>
      </c>
      <c r="T221" s="1" t="s">
        <v>74</v>
      </c>
      <c r="U221" s="1" t="s">
        <v>74</v>
      </c>
      <c r="V221" s="1" t="s">
        <v>2102</v>
      </c>
      <c r="W221" s="1" t="s">
        <v>74</v>
      </c>
      <c r="X221" s="1" t="s">
        <v>74</v>
      </c>
      <c r="Y221" s="1" t="s">
        <v>74</v>
      </c>
      <c r="Z221" s="1" t="s">
        <v>74</v>
      </c>
      <c r="AA221" s="1" t="s">
        <v>2103</v>
      </c>
      <c r="AB221" s="1" t="s">
        <v>2104</v>
      </c>
      <c r="AC221" s="1" t="s">
        <v>74</v>
      </c>
      <c r="AD221" s="1" t="s">
        <v>74</v>
      </c>
      <c r="AE221" s="1" t="s">
        <v>74</v>
      </c>
      <c r="AF221" s="1" t="s">
        <v>74</v>
      </c>
      <c r="AG221" s="1" t="s">
        <v>74</v>
      </c>
      <c r="AH221" s="1" t="s">
        <v>74</v>
      </c>
      <c r="AI221" s="1" t="s">
        <v>74</v>
      </c>
      <c r="AJ221" s="1" t="s">
        <v>74</v>
      </c>
      <c r="AK221" s="1" t="s">
        <v>74</v>
      </c>
      <c r="AL221" s="1" t="s">
        <v>74</v>
      </c>
      <c r="AM221" s="1" t="s">
        <v>74</v>
      </c>
      <c r="AN221" s="1" t="s">
        <v>74</v>
      </c>
      <c r="AO221" s="1" t="s">
        <v>74</v>
      </c>
      <c r="AP221" s="1" t="s">
        <v>74</v>
      </c>
      <c r="AQ221" s="1" t="s">
        <v>2105</v>
      </c>
      <c r="AR221" s="1" t="s">
        <v>74</v>
      </c>
      <c r="AS221" s="1" t="s">
        <v>74</v>
      </c>
      <c r="AT221" s="1" t="s">
        <v>74</v>
      </c>
      <c r="AU221" s="1">
        <v>2021.0</v>
      </c>
      <c r="AV221" s="1" t="s">
        <v>74</v>
      </c>
      <c r="AW221" s="1" t="s">
        <v>74</v>
      </c>
      <c r="AX221" s="1" t="s">
        <v>74</v>
      </c>
      <c r="AY221" s="1" t="s">
        <v>74</v>
      </c>
      <c r="AZ221" s="1" t="s">
        <v>74</v>
      </c>
      <c r="BA221" s="1" t="s">
        <v>74</v>
      </c>
      <c r="BB221" s="1" t="s">
        <v>74</v>
      </c>
      <c r="BC221" s="1" t="s">
        <v>74</v>
      </c>
      <c r="BD221" s="1" t="s">
        <v>74</v>
      </c>
      <c r="BE221" s="1" t="s">
        <v>2106</v>
      </c>
      <c r="BF221" s="2" t="str">
        <f>HYPERLINK("http://dx.doi.org/10.1109/SCCC54552.2021.9650401","http://dx.doi.org/10.1109/SCCC54552.2021.9650401")</f>
        <v>http://dx.doi.org/10.1109/SCCC54552.2021.9650401</v>
      </c>
      <c r="BG221" s="1" t="s">
        <v>74</v>
      </c>
      <c r="BH221" s="1" t="s">
        <v>74</v>
      </c>
      <c r="BI221" s="1" t="s">
        <v>74</v>
      </c>
      <c r="BJ221" s="1" t="s">
        <v>74</v>
      </c>
      <c r="BK221" s="1" t="s">
        <v>74</v>
      </c>
      <c r="BL221" s="1" t="s">
        <v>74</v>
      </c>
      <c r="BM221" s="1" t="s">
        <v>74</v>
      </c>
      <c r="BN221" s="1" t="s">
        <v>74</v>
      </c>
      <c r="BO221" s="1" t="s">
        <v>74</v>
      </c>
      <c r="BP221" s="1" t="s">
        <v>74</v>
      </c>
      <c r="BQ221" s="1" t="s">
        <v>74</v>
      </c>
      <c r="BR221" s="1" t="s">
        <v>74</v>
      </c>
      <c r="BS221" s="1" t="s">
        <v>2107</v>
      </c>
      <c r="BT221" s="1" t="str">
        <f>HYPERLINK("https%3A%2F%2Fwww.webofscience.com%2Fwos%2Fwoscc%2Ffull-record%2FWOS:000765927700021","View Full Record in Web of Science")</f>
        <v>View Full Record in Web of Science</v>
      </c>
    </row>
    <row r="222" ht="12.75" customHeight="1">
      <c r="A222" s="1" t="s">
        <v>454</v>
      </c>
      <c r="B222" s="1" t="s">
        <v>2108</v>
      </c>
      <c r="C222" s="1" t="s">
        <v>2108</v>
      </c>
      <c r="D222" s="1" t="s">
        <v>74</v>
      </c>
      <c r="E222" s="1" t="s">
        <v>74</v>
      </c>
      <c r="F222" s="1" t="s">
        <v>2109</v>
      </c>
      <c r="G222" s="1" t="s">
        <v>2108</v>
      </c>
      <c r="H222" s="1" t="s">
        <v>74</v>
      </c>
      <c r="I222" s="1" t="s">
        <v>2110</v>
      </c>
      <c r="J222" s="1" t="s">
        <v>2111</v>
      </c>
      <c r="K222" s="1" t="s">
        <v>2112</v>
      </c>
      <c r="L222" s="1" t="s">
        <v>74</v>
      </c>
      <c r="M222" s="1" t="s">
        <v>74</v>
      </c>
      <c r="N222" s="1" t="s">
        <v>74</v>
      </c>
      <c r="O222" s="1" t="s">
        <v>74</v>
      </c>
      <c r="P222" s="1" t="s">
        <v>74</v>
      </c>
      <c r="Q222" s="1" t="s">
        <v>74</v>
      </c>
      <c r="R222" s="1" t="s">
        <v>74</v>
      </c>
      <c r="S222" s="1" t="s">
        <v>74</v>
      </c>
      <c r="T222" s="1" t="s">
        <v>74</v>
      </c>
      <c r="U222" s="1" t="s">
        <v>74</v>
      </c>
      <c r="V222" s="1" t="s">
        <v>74</v>
      </c>
      <c r="W222" s="1" t="s">
        <v>74</v>
      </c>
      <c r="X222" s="1" t="s">
        <v>74</v>
      </c>
      <c r="Y222" s="1" t="s">
        <v>74</v>
      </c>
      <c r="Z222" s="1" t="s">
        <v>74</v>
      </c>
      <c r="AA222" s="1" t="s">
        <v>74</v>
      </c>
      <c r="AB222" s="1" t="s">
        <v>74</v>
      </c>
      <c r="AC222" s="1" t="s">
        <v>74</v>
      </c>
      <c r="AD222" s="1" t="s">
        <v>74</v>
      </c>
      <c r="AE222" s="1" t="s">
        <v>74</v>
      </c>
      <c r="AF222" s="1" t="s">
        <v>74</v>
      </c>
      <c r="AG222" s="1" t="s">
        <v>74</v>
      </c>
      <c r="AH222" s="1" t="s">
        <v>74</v>
      </c>
      <c r="AI222" s="1" t="s">
        <v>74</v>
      </c>
      <c r="AJ222" s="1" t="s">
        <v>74</v>
      </c>
      <c r="AK222" s="1" t="s">
        <v>74</v>
      </c>
      <c r="AL222" s="1" t="s">
        <v>74</v>
      </c>
      <c r="AM222" s="1" t="s">
        <v>74</v>
      </c>
      <c r="AN222" s="1" t="s">
        <v>74</v>
      </c>
      <c r="AO222" s="1" t="s">
        <v>74</v>
      </c>
      <c r="AP222" s="1" t="s">
        <v>74</v>
      </c>
      <c r="AQ222" s="1" t="s">
        <v>2113</v>
      </c>
      <c r="AR222" s="1" t="s">
        <v>74</v>
      </c>
      <c r="AS222" s="1" t="s">
        <v>74</v>
      </c>
      <c r="AT222" s="1" t="s">
        <v>74</v>
      </c>
      <c r="AU222" s="1">
        <v>2021.0</v>
      </c>
      <c r="AV222" s="1" t="s">
        <v>74</v>
      </c>
      <c r="AW222" s="1" t="s">
        <v>74</v>
      </c>
      <c r="AX222" s="1" t="s">
        <v>74</v>
      </c>
      <c r="AY222" s="1" t="s">
        <v>74</v>
      </c>
      <c r="AZ222" s="1" t="s">
        <v>74</v>
      </c>
      <c r="BA222" s="1" t="s">
        <v>74</v>
      </c>
      <c r="BB222" s="1">
        <v>86.0</v>
      </c>
      <c r="BC222" s="1">
        <v>127.0</v>
      </c>
      <c r="BD222" s="1" t="s">
        <v>74</v>
      </c>
      <c r="BE222" s="1" t="s">
        <v>74</v>
      </c>
      <c r="BF222" s="1" t="s">
        <v>74</v>
      </c>
      <c r="BG222" s="1" t="s">
        <v>2114</v>
      </c>
      <c r="BH222" s="1" t="s">
        <v>74</v>
      </c>
      <c r="BI222" s="1" t="s">
        <v>74</v>
      </c>
      <c r="BJ222" s="1" t="s">
        <v>74</v>
      </c>
      <c r="BK222" s="1" t="s">
        <v>74</v>
      </c>
      <c r="BL222" s="1" t="s">
        <v>74</v>
      </c>
      <c r="BM222" s="1" t="s">
        <v>74</v>
      </c>
      <c r="BN222" s="1" t="s">
        <v>74</v>
      </c>
      <c r="BO222" s="1" t="s">
        <v>74</v>
      </c>
      <c r="BP222" s="1" t="s">
        <v>74</v>
      </c>
      <c r="BQ222" s="1" t="s">
        <v>74</v>
      </c>
      <c r="BR222" s="1" t="s">
        <v>74</v>
      </c>
      <c r="BS222" s="1" t="s">
        <v>2115</v>
      </c>
      <c r="BT222" s="1" t="str">
        <f>HYPERLINK("https%3A%2F%2Fwww.webofscience.com%2Fwos%2Fwoscc%2Ffull-record%2FWOS:000807304300004","View Full Record in Web of Science")</f>
        <v>View Full Record in Web of Science</v>
      </c>
    </row>
    <row r="223" ht="12.75" customHeight="1">
      <c r="A223" s="1" t="s">
        <v>72</v>
      </c>
      <c r="B223" s="1" t="s">
        <v>2116</v>
      </c>
      <c r="C223" s="1" t="s">
        <v>74</v>
      </c>
      <c r="D223" s="1" t="s">
        <v>74</v>
      </c>
      <c r="E223" s="1" t="s">
        <v>74</v>
      </c>
      <c r="F223" s="1" t="s">
        <v>2117</v>
      </c>
      <c r="G223" s="1" t="s">
        <v>74</v>
      </c>
      <c r="H223" s="1" t="s">
        <v>74</v>
      </c>
      <c r="I223" s="1" t="s">
        <v>2118</v>
      </c>
      <c r="J223" s="1" t="s">
        <v>2119</v>
      </c>
      <c r="K223" s="1" t="s">
        <v>74</v>
      </c>
      <c r="L223" s="1" t="s">
        <v>74</v>
      </c>
      <c r="M223" s="1" t="s">
        <v>74</v>
      </c>
      <c r="N223" s="1" t="s">
        <v>74</v>
      </c>
      <c r="O223" s="1" t="s">
        <v>74</v>
      </c>
      <c r="P223" s="1" t="s">
        <v>74</v>
      </c>
      <c r="Q223" s="1" t="s">
        <v>74</v>
      </c>
      <c r="R223" s="1" t="s">
        <v>74</v>
      </c>
      <c r="S223" s="1" t="s">
        <v>74</v>
      </c>
      <c r="T223" s="1" t="s">
        <v>74</v>
      </c>
      <c r="U223" s="1" t="s">
        <v>74</v>
      </c>
      <c r="V223" s="1" t="s">
        <v>2120</v>
      </c>
      <c r="W223" s="1" t="s">
        <v>74</v>
      </c>
      <c r="X223" s="1" t="s">
        <v>74</v>
      </c>
      <c r="Y223" s="1" t="s">
        <v>74</v>
      </c>
      <c r="Z223" s="1" t="s">
        <v>74</v>
      </c>
      <c r="AA223" s="1" t="s">
        <v>2121</v>
      </c>
      <c r="AB223" s="1" t="s">
        <v>74</v>
      </c>
      <c r="AC223" s="1" t="s">
        <v>74</v>
      </c>
      <c r="AD223" s="1" t="s">
        <v>74</v>
      </c>
      <c r="AE223" s="1" t="s">
        <v>74</v>
      </c>
      <c r="AF223" s="1" t="s">
        <v>74</v>
      </c>
      <c r="AG223" s="1" t="s">
        <v>74</v>
      </c>
      <c r="AH223" s="1" t="s">
        <v>74</v>
      </c>
      <c r="AI223" s="1" t="s">
        <v>74</v>
      </c>
      <c r="AJ223" s="1" t="s">
        <v>74</v>
      </c>
      <c r="AK223" s="1" t="s">
        <v>74</v>
      </c>
      <c r="AL223" s="1" t="s">
        <v>74</v>
      </c>
      <c r="AM223" s="1" t="s">
        <v>74</v>
      </c>
      <c r="AN223" s="1" t="s">
        <v>74</v>
      </c>
      <c r="AO223" s="1" t="s">
        <v>2122</v>
      </c>
      <c r="AP223" s="1" t="s">
        <v>2123</v>
      </c>
      <c r="AQ223" s="1" t="s">
        <v>74</v>
      </c>
      <c r="AR223" s="1" t="s">
        <v>74</v>
      </c>
      <c r="AS223" s="1" t="s">
        <v>74</v>
      </c>
      <c r="AT223" s="1" t="s">
        <v>74</v>
      </c>
      <c r="AU223" s="1">
        <v>2021.0</v>
      </c>
      <c r="AV223" s="1">
        <v>21.0</v>
      </c>
      <c r="AW223" s="1">
        <v>1.0</v>
      </c>
      <c r="AX223" s="1" t="s">
        <v>74</v>
      </c>
      <c r="AY223" s="1" t="s">
        <v>74</v>
      </c>
      <c r="AZ223" s="1" t="s">
        <v>74</v>
      </c>
      <c r="BA223" s="1" t="s">
        <v>74</v>
      </c>
      <c r="BB223" s="1">
        <v>152.0</v>
      </c>
      <c r="BC223" s="1">
        <v>179.0</v>
      </c>
      <c r="BD223" s="1" t="s">
        <v>74</v>
      </c>
      <c r="BE223" s="1" t="s">
        <v>2124</v>
      </c>
      <c r="BF223" s="2" t="str">
        <f>HYPERLINK("http://dx.doi.org/10.4067/S0719-09482021000100152","http://dx.doi.org/10.4067/S0719-09482021000100152")</f>
        <v>http://dx.doi.org/10.4067/S0719-09482021000100152</v>
      </c>
      <c r="BG223" s="1" t="s">
        <v>74</v>
      </c>
      <c r="BH223" s="1" t="s">
        <v>74</v>
      </c>
      <c r="BI223" s="1" t="s">
        <v>74</v>
      </c>
      <c r="BJ223" s="1" t="s">
        <v>74</v>
      </c>
      <c r="BK223" s="1" t="s">
        <v>74</v>
      </c>
      <c r="BL223" s="1" t="s">
        <v>74</v>
      </c>
      <c r="BM223" s="1" t="s">
        <v>74</v>
      </c>
      <c r="BN223" s="1" t="s">
        <v>74</v>
      </c>
      <c r="BO223" s="1" t="s">
        <v>74</v>
      </c>
      <c r="BP223" s="1" t="s">
        <v>74</v>
      </c>
      <c r="BQ223" s="1" t="s">
        <v>74</v>
      </c>
      <c r="BR223" s="1" t="s">
        <v>74</v>
      </c>
      <c r="BS223" s="1" t="s">
        <v>2125</v>
      </c>
      <c r="BT223" s="1" t="str">
        <f>HYPERLINK("https%3A%2F%2Fwww.webofscience.com%2Fwos%2Fwoscc%2Ffull-record%2FWOS:000680822300007","View Full Record in Web of Science")</f>
        <v>View Full Record in Web of Science</v>
      </c>
    </row>
    <row r="224" ht="12.75" customHeight="1">
      <c r="A224" s="1" t="s">
        <v>91</v>
      </c>
      <c r="B224" s="1" t="s">
        <v>2126</v>
      </c>
      <c r="C224" s="1" t="s">
        <v>74</v>
      </c>
      <c r="D224" s="1" t="s">
        <v>74</v>
      </c>
      <c r="E224" s="1" t="s">
        <v>442</v>
      </c>
      <c r="F224" s="1" t="s">
        <v>2127</v>
      </c>
      <c r="G224" s="1" t="s">
        <v>74</v>
      </c>
      <c r="H224" s="1" t="s">
        <v>74</v>
      </c>
      <c r="I224" s="1" t="s">
        <v>2128</v>
      </c>
      <c r="J224" s="1" t="s">
        <v>445</v>
      </c>
      <c r="K224" s="1" t="s">
        <v>74</v>
      </c>
      <c r="L224" s="1" t="s">
        <v>74</v>
      </c>
      <c r="M224" s="1" t="s">
        <v>74</v>
      </c>
      <c r="N224" s="1" t="s">
        <v>74</v>
      </c>
      <c r="O224" s="1" t="s">
        <v>446</v>
      </c>
      <c r="P224" s="1" t="s">
        <v>447</v>
      </c>
      <c r="Q224" s="1" t="s">
        <v>448</v>
      </c>
      <c r="R224" s="1" t="s">
        <v>449</v>
      </c>
      <c r="S224" s="1" t="s">
        <v>74</v>
      </c>
      <c r="T224" s="1" t="s">
        <v>74</v>
      </c>
      <c r="U224" s="1" t="s">
        <v>74</v>
      </c>
      <c r="V224" s="1" t="s">
        <v>2129</v>
      </c>
      <c r="W224" s="1" t="s">
        <v>74</v>
      </c>
      <c r="X224" s="1" t="s">
        <v>74</v>
      </c>
      <c r="Y224" s="1" t="s">
        <v>74</v>
      </c>
      <c r="Z224" s="1" t="s">
        <v>74</v>
      </c>
      <c r="AA224" s="1" t="s">
        <v>74</v>
      </c>
      <c r="AB224" s="1" t="s">
        <v>74</v>
      </c>
      <c r="AC224" s="1" t="s">
        <v>74</v>
      </c>
      <c r="AD224" s="1" t="s">
        <v>74</v>
      </c>
      <c r="AE224" s="1" t="s">
        <v>74</v>
      </c>
      <c r="AF224" s="1" t="s">
        <v>74</v>
      </c>
      <c r="AG224" s="1" t="s">
        <v>74</v>
      </c>
      <c r="AH224" s="1" t="s">
        <v>74</v>
      </c>
      <c r="AI224" s="1" t="s">
        <v>74</v>
      </c>
      <c r="AJ224" s="1" t="s">
        <v>74</v>
      </c>
      <c r="AK224" s="1" t="s">
        <v>74</v>
      </c>
      <c r="AL224" s="1" t="s">
        <v>74</v>
      </c>
      <c r="AM224" s="1" t="s">
        <v>74</v>
      </c>
      <c r="AN224" s="1" t="s">
        <v>74</v>
      </c>
      <c r="AO224" s="1" t="s">
        <v>74</v>
      </c>
      <c r="AP224" s="1" t="s">
        <v>74</v>
      </c>
      <c r="AQ224" s="1" t="s">
        <v>451</v>
      </c>
      <c r="AR224" s="1" t="s">
        <v>74</v>
      </c>
      <c r="AS224" s="1" t="s">
        <v>74</v>
      </c>
      <c r="AT224" s="1" t="s">
        <v>74</v>
      </c>
      <c r="AU224" s="1">
        <v>2021.0</v>
      </c>
      <c r="AV224" s="1" t="s">
        <v>74</v>
      </c>
      <c r="AW224" s="1" t="s">
        <v>74</v>
      </c>
      <c r="AX224" s="1" t="s">
        <v>74</v>
      </c>
      <c r="AY224" s="1" t="s">
        <v>74</v>
      </c>
      <c r="AZ224" s="1" t="s">
        <v>74</v>
      </c>
      <c r="BA224" s="1" t="s">
        <v>74</v>
      </c>
      <c r="BB224" s="1" t="s">
        <v>74</v>
      </c>
      <c r="BC224" s="1" t="s">
        <v>74</v>
      </c>
      <c r="BD224" s="1" t="s">
        <v>74</v>
      </c>
      <c r="BE224" s="1" t="s">
        <v>2130</v>
      </c>
      <c r="BF224" s="2" t="str">
        <f>HYPERLINK("http://dx.doi.org/10.1109/ICAACCA51523.2021.9465174","http://dx.doi.org/10.1109/ICAACCA51523.2021.9465174")</f>
        <v>http://dx.doi.org/10.1109/ICAACCA51523.2021.9465174</v>
      </c>
      <c r="BG224" s="1" t="s">
        <v>74</v>
      </c>
      <c r="BH224" s="1" t="s">
        <v>74</v>
      </c>
      <c r="BI224" s="1" t="s">
        <v>74</v>
      </c>
      <c r="BJ224" s="1" t="s">
        <v>74</v>
      </c>
      <c r="BK224" s="1" t="s">
        <v>74</v>
      </c>
      <c r="BL224" s="1" t="s">
        <v>74</v>
      </c>
      <c r="BM224" s="1" t="s">
        <v>74</v>
      </c>
      <c r="BN224" s="1" t="s">
        <v>74</v>
      </c>
      <c r="BO224" s="1" t="s">
        <v>74</v>
      </c>
      <c r="BP224" s="1" t="s">
        <v>74</v>
      </c>
      <c r="BQ224" s="1" t="s">
        <v>74</v>
      </c>
      <c r="BR224" s="1" t="s">
        <v>74</v>
      </c>
      <c r="BS224" s="1" t="s">
        <v>2131</v>
      </c>
      <c r="BT224" s="1" t="str">
        <f>HYPERLINK("https%3A%2F%2Fwww.webofscience.com%2Fwos%2Fwoscc%2Ffull-record%2FWOS:000855764500066","View Full Record in Web of Science")</f>
        <v>View Full Record in Web of Science</v>
      </c>
    </row>
    <row r="225" ht="12.75" customHeight="1">
      <c r="A225" s="1" t="s">
        <v>72</v>
      </c>
      <c r="B225" s="1" t="s">
        <v>2132</v>
      </c>
      <c r="C225" s="1" t="s">
        <v>74</v>
      </c>
      <c r="D225" s="1" t="s">
        <v>74</v>
      </c>
      <c r="E225" s="1" t="s">
        <v>74</v>
      </c>
      <c r="F225" s="1" t="s">
        <v>2133</v>
      </c>
      <c r="G225" s="1" t="s">
        <v>74</v>
      </c>
      <c r="H225" s="1" t="s">
        <v>74</v>
      </c>
      <c r="I225" s="1" t="s">
        <v>2134</v>
      </c>
      <c r="J225" s="1" t="s">
        <v>2135</v>
      </c>
      <c r="K225" s="1" t="s">
        <v>74</v>
      </c>
      <c r="L225" s="1" t="s">
        <v>74</v>
      </c>
      <c r="M225" s="1" t="s">
        <v>74</v>
      </c>
      <c r="N225" s="1" t="s">
        <v>74</v>
      </c>
      <c r="O225" s="1" t="s">
        <v>74</v>
      </c>
      <c r="P225" s="1" t="s">
        <v>74</v>
      </c>
      <c r="Q225" s="1" t="s">
        <v>74</v>
      </c>
      <c r="R225" s="1" t="s">
        <v>74</v>
      </c>
      <c r="S225" s="1" t="s">
        <v>74</v>
      </c>
      <c r="T225" s="1" t="s">
        <v>74</v>
      </c>
      <c r="U225" s="1" t="s">
        <v>74</v>
      </c>
      <c r="V225" s="1" t="s">
        <v>2136</v>
      </c>
      <c r="W225" s="1" t="s">
        <v>74</v>
      </c>
      <c r="X225" s="1" t="s">
        <v>74</v>
      </c>
      <c r="Y225" s="1" t="s">
        <v>74</v>
      </c>
      <c r="Z225" s="1" t="s">
        <v>74</v>
      </c>
      <c r="AA225" s="1" t="s">
        <v>74</v>
      </c>
      <c r="AB225" s="1" t="s">
        <v>74</v>
      </c>
      <c r="AC225" s="1" t="s">
        <v>74</v>
      </c>
      <c r="AD225" s="1" t="s">
        <v>74</v>
      </c>
      <c r="AE225" s="1" t="s">
        <v>74</v>
      </c>
      <c r="AF225" s="1" t="s">
        <v>74</v>
      </c>
      <c r="AG225" s="1" t="s">
        <v>74</v>
      </c>
      <c r="AH225" s="1" t="s">
        <v>74</v>
      </c>
      <c r="AI225" s="1" t="s">
        <v>74</v>
      </c>
      <c r="AJ225" s="1" t="s">
        <v>74</v>
      </c>
      <c r="AK225" s="1" t="s">
        <v>74</v>
      </c>
      <c r="AL225" s="1" t="s">
        <v>74</v>
      </c>
      <c r="AM225" s="1" t="s">
        <v>74</v>
      </c>
      <c r="AN225" s="1" t="s">
        <v>74</v>
      </c>
      <c r="AO225" s="1" t="s">
        <v>2137</v>
      </c>
      <c r="AP225" s="1" t="s">
        <v>74</v>
      </c>
      <c r="AQ225" s="1" t="s">
        <v>74</v>
      </c>
      <c r="AR225" s="1" t="s">
        <v>74</v>
      </c>
      <c r="AS225" s="1" t="s">
        <v>74</v>
      </c>
      <c r="AT225" s="1" t="s">
        <v>88</v>
      </c>
      <c r="AU225" s="1">
        <v>2020.0</v>
      </c>
      <c r="AV225" s="1" t="s">
        <v>74</v>
      </c>
      <c r="AW225" s="1">
        <v>22.0</v>
      </c>
      <c r="AX225" s="1" t="s">
        <v>74</v>
      </c>
      <c r="AY225" s="1" t="s">
        <v>74</v>
      </c>
      <c r="AZ225" s="1" t="s">
        <v>74</v>
      </c>
      <c r="BA225" s="1" t="s">
        <v>74</v>
      </c>
      <c r="BB225" s="1">
        <v>291.0</v>
      </c>
      <c r="BC225" s="1">
        <v>315.0</v>
      </c>
      <c r="BD225" s="1" t="s">
        <v>74</v>
      </c>
      <c r="BE225" s="1" t="s">
        <v>74</v>
      </c>
      <c r="BF225" s="1" t="s">
        <v>74</v>
      </c>
      <c r="BG225" s="1" t="s">
        <v>74</v>
      </c>
      <c r="BH225" s="1" t="s">
        <v>74</v>
      </c>
      <c r="BI225" s="1" t="s">
        <v>74</v>
      </c>
      <c r="BJ225" s="1" t="s">
        <v>74</v>
      </c>
      <c r="BK225" s="1" t="s">
        <v>74</v>
      </c>
      <c r="BL225" s="1" t="s">
        <v>74</v>
      </c>
      <c r="BM225" s="1" t="s">
        <v>74</v>
      </c>
      <c r="BN225" s="1" t="s">
        <v>74</v>
      </c>
      <c r="BO225" s="1" t="s">
        <v>74</v>
      </c>
      <c r="BP225" s="1" t="s">
        <v>74</v>
      </c>
      <c r="BQ225" s="1" t="s">
        <v>74</v>
      </c>
      <c r="BR225" s="1" t="s">
        <v>74</v>
      </c>
      <c r="BS225" s="1" t="s">
        <v>2138</v>
      </c>
      <c r="BT225" s="1" t="str">
        <f>HYPERLINK("https%3A%2F%2Fwww.webofscience.com%2Fwos%2Fwoscc%2Ffull-record%2FWOS:000596881500014","View Full Record in Web of Science")</f>
        <v>View Full Record in Web of Science</v>
      </c>
    </row>
    <row r="226" ht="12.75" customHeight="1">
      <c r="A226" s="1" t="s">
        <v>72</v>
      </c>
      <c r="B226" s="1" t="s">
        <v>2139</v>
      </c>
      <c r="C226" s="1" t="s">
        <v>74</v>
      </c>
      <c r="D226" s="1" t="s">
        <v>74</v>
      </c>
      <c r="E226" s="1" t="s">
        <v>74</v>
      </c>
      <c r="F226" s="1" t="s">
        <v>2140</v>
      </c>
      <c r="G226" s="1" t="s">
        <v>74</v>
      </c>
      <c r="H226" s="1" t="s">
        <v>74</v>
      </c>
      <c r="I226" s="1" t="s">
        <v>2141</v>
      </c>
      <c r="J226" s="1" t="s">
        <v>2142</v>
      </c>
      <c r="K226" s="1" t="s">
        <v>74</v>
      </c>
      <c r="L226" s="1" t="s">
        <v>74</v>
      </c>
      <c r="M226" s="1" t="s">
        <v>74</v>
      </c>
      <c r="N226" s="1" t="s">
        <v>74</v>
      </c>
      <c r="O226" s="1" t="s">
        <v>74</v>
      </c>
      <c r="P226" s="1" t="s">
        <v>74</v>
      </c>
      <c r="Q226" s="1" t="s">
        <v>74</v>
      </c>
      <c r="R226" s="1" t="s">
        <v>74</v>
      </c>
      <c r="S226" s="1" t="s">
        <v>74</v>
      </c>
      <c r="T226" s="1" t="s">
        <v>74</v>
      </c>
      <c r="U226" s="1" t="s">
        <v>74</v>
      </c>
      <c r="V226" s="1" t="s">
        <v>2143</v>
      </c>
      <c r="W226" s="1" t="s">
        <v>74</v>
      </c>
      <c r="X226" s="1" t="s">
        <v>74</v>
      </c>
      <c r="Y226" s="1" t="s">
        <v>74</v>
      </c>
      <c r="Z226" s="1" t="s">
        <v>74</v>
      </c>
      <c r="AA226" s="1" t="s">
        <v>2144</v>
      </c>
      <c r="AB226" s="1" t="s">
        <v>2145</v>
      </c>
      <c r="AC226" s="1" t="s">
        <v>74</v>
      </c>
      <c r="AD226" s="1" t="s">
        <v>74</v>
      </c>
      <c r="AE226" s="1" t="s">
        <v>74</v>
      </c>
      <c r="AF226" s="1" t="s">
        <v>74</v>
      </c>
      <c r="AG226" s="1" t="s">
        <v>74</v>
      </c>
      <c r="AH226" s="1" t="s">
        <v>74</v>
      </c>
      <c r="AI226" s="1" t="s">
        <v>74</v>
      </c>
      <c r="AJ226" s="1" t="s">
        <v>74</v>
      </c>
      <c r="AK226" s="1" t="s">
        <v>74</v>
      </c>
      <c r="AL226" s="1" t="s">
        <v>74</v>
      </c>
      <c r="AM226" s="1" t="s">
        <v>74</v>
      </c>
      <c r="AN226" s="1" t="s">
        <v>74</v>
      </c>
      <c r="AO226" s="1" t="s">
        <v>2146</v>
      </c>
      <c r="AP226" s="1" t="s">
        <v>74</v>
      </c>
      <c r="AQ226" s="1" t="s">
        <v>74</v>
      </c>
      <c r="AR226" s="1" t="s">
        <v>74</v>
      </c>
      <c r="AS226" s="1" t="s">
        <v>74</v>
      </c>
      <c r="AT226" s="1" t="s">
        <v>2147</v>
      </c>
      <c r="AU226" s="1">
        <v>2020.0</v>
      </c>
      <c r="AV226" s="1">
        <v>11.0</v>
      </c>
      <c r="AW226" s="1" t="s">
        <v>74</v>
      </c>
      <c r="AX226" s="1" t="s">
        <v>74</v>
      </c>
      <c r="AY226" s="1" t="s">
        <v>74</v>
      </c>
      <c r="AZ226" s="1" t="s">
        <v>74</v>
      </c>
      <c r="BA226" s="1" t="s">
        <v>74</v>
      </c>
      <c r="BB226" s="1" t="s">
        <v>74</v>
      </c>
      <c r="BC226" s="1" t="s">
        <v>74</v>
      </c>
      <c r="BD226" s="1">
        <v>990.0</v>
      </c>
      <c r="BE226" s="1" t="s">
        <v>2148</v>
      </c>
      <c r="BF226" s="2" t="str">
        <f>HYPERLINK("http://dx.doi.org/10.3389/fpls.2020.00990","http://dx.doi.org/10.3389/fpls.2020.00990")</f>
        <v>http://dx.doi.org/10.3389/fpls.2020.00990</v>
      </c>
      <c r="BG226" s="1" t="s">
        <v>74</v>
      </c>
      <c r="BH226" s="1" t="s">
        <v>74</v>
      </c>
      <c r="BI226" s="1" t="s">
        <v>74</v>
      </c>
      <c r="BJ226" s="1" t="s">
        <v>74</v>
      </c>
      <c r="BK226" s="1" t="s">
        <v>74</v>
      </c>
      <c r="BL226" s="1" t="s">
        <v>74</v>
      </c>
      <c r="BM226" s="1" t="s">
        <v>74</v>
      </c>
      <c r="BN226" s="1">
        <v>3.2733511E7</v>
      </c>
      <c r="BO226" s="1" t="s">
        <v>74</v>
      </c>
      <c r="BP226" s="1" t="s">
        <v>74</v>
      </c>
      <c r="BQ226" s="1" t="s">
        <v>74</v>
      </c>
      <c r="BR226" s="1" t="s">
        <v>74</v>
      </c>
      <c r="BS226" s="1" t="s">
        <v>2149</v>
      </c>
      <c r="BT226" s="1" t="str">
        <f>HYPERLINK("https%3A%2F%2Fwww.webofscience.com%2Fwos%2Fwoscc%2Ffull-record%2FWOS:000555807800001","View Full Record in Web of Science")</f>
        <v>View Full Record in Web of Science</v>
      </c>
    </row>
    <row r="227" ht="12.75" customHeight="1">
      <c r="A227" s="1" t="s">
        <v>72</v>
      </c>
      <c r="B227" s="1" t="s">
        <v>2150</v>
      </c>
      <c r="C227" s="1" t="s">
        <v>74</v>
      </c>
      <c r="D227" s="1" t="s">
        <v>74</v>
      </c>
      <c r="E227" s="1" t="s">
        <v>74</v>
      </c>
      <c r="F227" s="1" t="s">
        <v>2151</v>
      </c>
      <c r="G227" s="1" t="s">
        <v>74</v>
      </c>
      <c r="H227" s="1" t="s">
        <v>74</v>
      </c>
      <c r="I227" s="1" t="s">
        <v>2152</v>
      </c>
      <c r="J227" s="1" t="s">
        <v>2153</v>
      </c>
      <c r="K227" s="1" t="s">
        <v>74</v>
      </c>
      <c r="L227" s="1" t="s">
        <v>74</v>
      </c>
      <c r="M227" s="1" t="s">
        <v>74</v>
      </c>
      <c r="N227" s="1" t="s">
        <v>74</v>
      </c>
      <c r="O227" s="1" t="s">
        <v>74</v>
      </c>
      <c r="P227" s="1" t="s">
        <v>74</v>
      </c>
      <c r="Q227" s="1" t="s">
        <v>74</v>
      </c>
      <c r="R227" s="1" t="s">
        <v>74</v>
      </c>
      <c r="S227" s="1" t="s">
        <v>74</v>
      </c>
      <c r="T227" s="1" t="s">
        <v>74</v>
      </c>
      <c r="U227" s="1" t="s">
        <v>74</v>
      </c>
      <c r="V227" s="1" t="s">
        <v>2154</v>
      </c>
      <c r="W227" s="1" t="s">
        <v>74</v>
      </c>
      <c r="X227" s="1" t="s">
        <v>74</v>
      </c>
      <c r="Y227" s="1" t="s">
        <v>74</v>
      </c>
      <c r="Z227" s="1" t="s">
        <v>74</v>
      </c>
      <c r="AA227" s="1" t="s">
        <v>74</v>
      </c>
      <c r="AB227" s="1" t="s">
        <v>74</v>
      </c>
      <c r="AC227" s="1" t="s">
        <v>74</v>
      </c>
      <c r="AD227" s="1" t="s">
        <v>74</v>
      </c>
      <c r="AE227" s="1" t="s">
        <v>74</v>
      </c>
      <c r="AF227" s="1" t="s">
        <v>74</v>
      </c>
      <c r="AG227" s="1" t="s">
        <v>74</v>
      </c>
      <c r="AH227" s="1" t="s">
        <v>74</v>
      </c>
      <c r="AI227" s="1" t="s">
        <v>74</v>
      </c>
      <c r="AJ227" s="1" t="s">
        <v>74</v>
      </c>
      <c r="AK227" s="1" t="s">
        <v>74</v>
      </c>
      <c r="AL227" s="1" t="s">
        <v>74</v>
      </c>
      <c r="AM227" s="1" t="s">
        <v>74</v>
      </c>
      <c r="AN227" s="1" t="s">
        <v>74</v>
      </c>
      <c r="AO227" s="1" t="s">
        <v>2155</v>
      </c>
      <c r="AP227" s="1" t="s">
        <v>2156</v>
      </c>
      <c r="AQ227" s="1" t="s">
        <v>74</v>
      </c>
      <c r="AR227" s="1" t="s">
        <v>74</v>
      </c>
      <c r="AS227" s="1" t="s">
        <v>74</v>
      </c>
      <c r="AT227" s="1" t="s">
        <v>915</v>
      </c>
      <c r="AU227" s="1">
        <v>2020.0</v>
      </c>
      <c r="AV227" s="1" t="s">
        <v>74</v>
      </c>
      <c r="AW227" s="1">
        <v>72.0</v>
      </c>
      <c r="AX227" s="1" t="s">
        <v>74</v>
      </c>
      <c r="AY227" s="1" t="s">
        <v>74</v>
      </c>
      <c r="AZ227" s="1" t="s">
        <v>74</v>
      </c>
      <c r="BA227" s="1" t="s">
        <v>74</v>
      </c>
      <c r="BB227" s="1">
        <v>99.0</v>
      </c>
      <c r="BC227" s="1">
        <v>129.0</v>
      </c>
      <c r="BD227" s="1" t="s">
        <v>74</v>
      </c>
      <c r="BE227" s="1" t="s">
        <v>74</v>
      </c>
      <c r="BF227" s="1" t="s">
        <v>74</v>
      </c>
      <c r="BG227" s="1" t="s">
        <v>74</v>
      </c>
      <c r="BH227" s="1" t="s">
        <v>74</v>
      </c>
      <c r="BI227" s="1" t="s">
        <v>74</v>
      </c>
      <c r="BJ227" s="1" t="s">
        <v>74</v>
      </c>
      <c r="BK227" s="1" t="s">
        <v>74</v>
      </c>
      <c r="BL227" s="1" t="s">
        <v>74</v>
      </c>
      <c r="BM227" s="1" t="s">
        <v>74</v>
      </c>
      <c r="BN227" s="1" t="s">
        <v>74</v>
      </c>
      <c r="BO227" s="1" t="s">
        <v>74</v>
      </c>
      <c r="BP227" s="1" t="s">
        <v>74</v>
      </c>
      <c r="BQ227" s="1" t="s">
        <v>74</v>
      </c>
      <c r="BR227" s="1" t="s">
        <v>74</v>
      </c>
      <c r="BS227" s="1" t="s">
        <v>2157</v>
      </c>
      <c r="BT227" s="1" t="str">
        <f>HYPERLINK("https%3A%2F%2Fwww.webofscience.com%2Fwos%2Fwoscc%2Ffull-record%2FWOS:000569028000005","View Full Record in Web of Science")</f>
        <v>View Full Record in Web of Science</v>
      </c>
    </row>
    <row r="228" ht="12.75" customHeight="1">
      <c r="A228" s="1" t="s">
        <v>72</v>
      </c>
      <c r="B228" s="1" t="s">
        <v>2158</v>
      </c>
      <c r="C228" s="1" t="s">
        <v>74</v>
      </c>
      <c r="D228" s="1" t="s">
        <v>74</v>
      </c>
      <c r="E228" s="1" t="s">
        <v>74</v>
      </c>
      <c r="F228" s="1" t="s">
        <v>2159</v>
      </c>
      <c r="G228" s="1" t="s">
        <v>74</v>
      </c>
      <c r="H228" s="1" t="s">
        <v>74</v>
      </c>
      <c r="I228" s="1" t="s">
        <v>2160</v>
      </c>
      <c r="J228" s="1" t="s">
        <v>234</v>
      </c>
      <c r="K228" s="1" t="s">
        <v>74</v>
      </c>
      <c r="L228" s="1" t="s">
        <v>74</v>
      </c>
      <c r="M228" s="1" t="s">
        <v>74</v>
      </c>
      <c r="N228" s="1" t="s">
        <v>74</v>
      </c>
      <c r="O228" s="1" t="s">
        <v>74</v>
      </c>
      <c r="P228" s="1" t="s">
        <v>74</v>
      </c>
      <c r="Q228" s="1" t="s">
        <v>74</v>
      </c>
      <c r="R228" s="1" t="s">
        <v>74</v>
      </c>
      <c r="S228" s="1" t="s">
        <v>74</v>
      </c>
      <c r="T228" s="1" t="s">
        <v>74</v>
      </c>
      <c r="U228" s="1" t="s">
        <v>74</v>
      </c>
      <c r="V228" s="1" t="s">
        <v>2161</v>
      </c>
      <c r="W228" s="1" t="s">
        <v>74</v>
      </c>
      <c r="X228" s="1" t="s">
        <v>74</v>
      </c>
      <c r="Y228" s="1" t="s">
        <v>74</v>
      </c>
      <c r="Z228" s="1" t="s">
        <v>74</v>
      </c>
      <c r="AA228" s="1" t="s">
        <v>2162</v>
      </c>
      <c r="AB228" s="1" t="s">
        <v>2163</v>
      </c>
      <c r="AC228" s="1" t="s">
        <v>74</v>
      </c>
      <c r="AD228" s="1" t="s">
        <v>74</v>
      </c>
      <c r="AE228" s="1" t="s">
        <v>74</v>
      </c>
      <c r="AF228" s="1" t="s">
        <v>74</v>
      </c>
      <c r="AG228" s="1" t="s">
        <v>74</v>
      </c>
      <c r="AH228" s="1" t="s">
        <v>74</v>
      </c>
      <c r="AI228" s="1" t="s">
        <v>74</v>
      </c>
      <c r="AJ228" s="1" t="s">
        <v>74</v>
      </c>
      <c r="AK228" s="1" t="s">
        <v>74</v>
      </c>
      <c r="AL228" s="1" t="s">
        <v>74</v>
      </c>
      <c r="AM228" s="1" t="s">
        <v>74</v>
      </c>
      <c r="AN228" s="1" t="s">
        <v>74</v>
      </c>
      <c r="AO228" s="1" t="s">
        <v>238</v>
      </c>
      <c r="AP228" s="1" t="s">
        <v>74</v>
      </c>
      <c r="AQ228" s="1" t="s">
        <v>74</v>
      </c>
      <c r="AR228" s="1" t="s">
        <v>74</v>
      </c>
      <c r="AS228" s="1" t="s">
        <v>74</v>
      </c>
      <c r="AT228" s="1" t="s">
        <v>347</v>
      </c>
      <c r="AU228" s="1">
        <v>2020.0</v>
      </c>
      <c r="AV228" s="1">
        <v>20.0</v>
      </c>
      <c r="AW228" s="1">
        <v>3.0</v>
      </c>
      <c r="AX228" s="1" t="s">
        <v>74</v>
      </c>
      <c r="AY228" s="1" t="s">
        <v>74</v>
      </c>
      <c r="AZ228" s="1" t="s">
        <v>74</v>
      </c>
      <c r="BA228" s="1" t="s">
        <v>74</v>
      </c>
      <c r="BB228" s="1" t="s">
        <v>74</v>
      </c>
      <c r="BC228" s="1" t="s">
        <v>74</v>
      </c>
      <c r="BD228" s="1" t="s">
        <v>2164</v>
      </c>
      <c r="BE228" s="1" t="s">
        <v>2165</v>
      </c>
      <c r="BF228" s="2" t="str">
        <f>HYPERLINK("http://dx.doi.org/10.5867/medwave.2020.03.7891","http://dx.doi.org/10.5867/medwave.2020.03.7891")</f>
        <v>http://dx.doi.org/10.5867/medwave.2020.03.7891</v>
      </c>
      <c r="BG228" s="1" t="s">
        <v>74</v>
      </c>
      <c r="BH228" s="1" t="s">
        <v>74</v>
      </c>
      <c r="BI228" s="1" t="s">
        <v>74</v>
      </c>
      <c r="BJ228" s="1" t="s">
        <v>74</v>
      </c>
      <c r="BK228" s="1" t="s">
        <v>74</v>
      </c>
      <c r="BL228" s="1" t="s">
        <v>74</v>
      </c>
      <c r="BM228" s="1" t="s">
        <v>74</v>
      </c>
      <c r="BN228" s="1">
        <v>3.2353857E7</v>
      </c>
      <c r="BO228" s="1" t="s">
        <v>74</v>
      </c>
      <c r="BP228" s="1" t="s">
        <v>74</v>
      </c>
      <c r="BQ228" s="1" t="s">
        <v>74</v>
      </c>
      <c r="BR228" s="1" t="s">
        <v>74</v>
      </c>
      <c r="BS228" s="1" t="s">
        <v>2166</v>
      </c>
      <c r="BT228" s="1" t="str">
        <f>HYPERLINK("https%3A%2F%2Fwww.webofscience.com%2Fwos%2Fwoscc%2Ffull-record%2FWOS:000544225100012","View Full Record in Web of Science")</f>
        <v>View Full Record in Web of Science</v>
      </c>
    </row>
    <row r="229" ht="12.75" customHeight="1">
      <c r="A229" s="1" t="s">
        <v>72</v>
      </c>
      <c r="B229" s="1" t="s">
        <v>2167</v>
      </c>
      <c r="C229" s="1" t="s">
        <v>74</v>
      </c>
      <c r="D229" s="1" t="s">
        <v>74</v>
      </c>
      <c r="E229" s="1" t="s">
        <v>74</v>
      </c>
      <c r="F229" s="1" t="s">
        <v>2168</v>
      </c>
      <c r="G229" s="1" t="s">
        <v>74</v>
      </c>
      <c r="H229" s="1" t="s">
        <v>74</v>
      </c>
      <c r="I229" s="1" t="s">
        <v>2169</v>
      </c>
      <c r="J229" s="1" t="s">
        <v>2170</v>
      </c>
      <c r="K229" s="1" t="s">
        <v>74</v>
      </c>
      <c r="L229" s="1" t="s">
        <v>74</v>
      </c>
      <c r="M229" s="1" t="s">
        <v>74</v>
      </c>
      <c r="N229" s="1" t="s">
        <v>74</v>
      </c>
      <c r="O229" s="1" t="s">
        <v>74</v>
      </c>
      <c r="P229" s="1" t="s">
        <v>74</v>
      </c>
      <c r="Q229" s="1" t="s">
        <v>74</v>
      </c>
      <c r="R229" s="1" t="s">
        <v>74</v>
      </c>
      <c r="S229" s="1" t="s">
        <v>74</v>
      </c>
      <c r="T229" s="1" t="s">
        <v>74</v>
      </c>
      <c r="U229" s="1" t="s">
        <v>74</v>
      </c>
      <c r="V229" s="1" t="s">
        <v>2171</v>
      </c>
      <c r="W229" s="1" t="s">
        <v>74</v>
      </c>
      <c r="X229" s="1" t="s">
        <v>74</v>
      </c>
      <c r="Y229" s="1" t="s">
        <v>74</v>
      </c>
      <c r="Z229" s="1" t="s">
        <v>74</v>
      </c>
      <c r="AA229" s="1" t="s">
        <v>2172</v>
      </c>
      <c r="AB229" s="1" t="s">
        <v>2173</v>
      </c>
      <c r="AC229" s="1" t="s">
        <v>74</v>
      </c>
      <c r="AD229" s="1" t="s">
        <v>74</v>
      </c>
      <c r="AE229" s="1" t="s">
        <v>74</v>
      </c>
      <c r="AF229" s="1" t="s">
        <v>74</v>
      </c>
      <c r="AG229" s="1" t="s">
        <v>74</v>
      </c>
      <c r="AH229" s="1" t="s">
        <v>74</v>
      </c>
      <c r="AI229" s="1" t="s">
        <v>74</v>
      </c>
      <c r="AJ229" s="1" t="s">
        <v>74</v>
      </c>
      <c r="AK229" s="1" t="s">
        <v>74</v>
      </c>
      <c r="AL229" s="1" t="s">
        <v>74</v>
      </c>
      <c r="AM229" s="1" t="s">
        <v>74</v>
      </c>
      <c r="AN229" s="1" t="s">
        <v>74</v>
      </c>
      <c r="AO229" s="1" t="s">
        <v>2174</v>
      </c>
      <c r="AP229" s="1" t="s">
        <v>74</v>
      </c>
      <c r="AQ229" s="1" t="s">
        <v>74</v>
      </c>
      <c r="AR229" s="1" t="s">
        <v>74</v>
      </c>
      <c r="AS229" s="1" t="s">
        <v>74</v>
      </c>
      <c r="AT229" s="1" t="s">
        <v>148</v>
      </c>
      <c r="AU229" s="1">
        <v>2020.0</v>
      </c>
      <c r="AV229" s="1">
        <v>55.0</v>
      </c>
      <c r="AW229" s="1">
        <v>1.0</v>
      </c>
      <c r="AX229" s="1" t="s">
        <v>74</v>
      </c>
      <c r="AY229" s="1" t="s">
        <v>74</v>
      </c>
      <c r="AZ229" s="1" t="s">
        <v>74</v>
      </c>
      <c r="BA229" s="1" t="s">
        <v>74</v>
      </c>
      <c r="BB229" s="1">
        <v>85.0</v>
      </c>
      <c r="BC229" s="1">
        <v>103.0</v>
      </c>
      <c r="BD229" s="1" t="s">
        <v>74</v>
      </c>
      <c r="BE229" s="1" t="s">
        <v>2175</v>
      </c>
      <c r="BF229" s="2" t="str">
        <f>HYPERLINK("http://dx.doi.org/10.12775/TMNA.2019.061","http://dx.doi.org/10.12775/TMNA.2019.061")</f>
        <v>http://dx.doi.org/10.12775/TMNA.2019.061</v>
      </c>
      <c r="BG229" s="1" t="s">
        <v>74</v>
      </c>
      <c r="BH229" s="1" t="s">
        <v>74</v>
      </c>
      <c r="BI229" s="1" t="s">
        <v>74</v>
      </c>
      <c r="BJ229" s="1" t="s">
        <v>74</v>
      </c>
      <c r="BK229" s="1" t="s">
        <v>74</v>
      </c>
      <c r="BL229" s="1" t="s">
        <v>74</v>
      </c>
      <c r="BM229" s="1" t="s">
        <v>74</v>
      </c>
      <c r="BN229" s="1" t="s">
        <v>74</v>
      </c>
      <c r="BO229" s="1" t="s">
        <v>74</v>
      </c>
      <c r="BP229" s="1" t="s">
        <v>74</v>
      </c>
      <c r="BQ229" s="1" t="s">
        <v>74</v>
      </c>
      <c r="BR229" s="1" t="s">
        <v>74</v>
      </c>
      <c r="BS229" s="1" t="s">
        <v>2176</v>
      </c>
      <c r="BT229" s="1" t="str">
        <f>HYPERLINK("https%3A%2F%2Fwww.webofscience.com%2Fwos%2Fwoscc%2Ffull-record%2FWOS:000522653200006","View Full Record in Web of Science")</f>
        <v>View Full Record in Web of Science</v>
      </c>
    </row>
    <row r="230" ht="12.75" customHeight="1">
      <c r="A230" s="1" t="s">
        <v>72</v>
      </c>
      <c r="B230" s="1" t="s">
        <v>2177</v>
      </c>
      <c r="C230" s="1" t="s">
        <v>74</v>
      </c>
      <c r="D230" s="1" t="s">
        <v>74</v>
      </c>
      <c r="E230" s="1" t="s">
        <v>74</v>
      </c>
      <c r="F230" s="1" t="s">
        <v>2178</v>
      </c>
      <c r="G230" s="1" t="s">
        <v>74</v>
      </c>
      <c r="H230" s="1" t="s">
        <v>74</v>
      </c>
      <c r="I230" s="1" t="s">
        <v>2179</v>
      </c>
      <c r="J230" s="1" t="s">
        <v>2180</v>
      </c>
      <c r="K230" s="1" t="s">
        <v>74</v>
      </c>
      <c r="L230" s="1" t="s">
        <v>74</v>
      </c>
      <c r="M230" s="1" t="s">
        <v>74</v>
      </c>
      <c r="N230" s="1" t="s">
        <v>74</v>
      </c>
      <c r="O230" s="1" t="s">
        <v>74</v>
      </c>
      <c r="P230" s="1" t="s">
        <v>74</v>
      </c>
      <c r="Q230" s="1" t="s">
        <v>74</v>
      </c>
      <c r="R230" s="1" t="s">
        <v>74</v>
      </c>
      <c r="S230" s="1" t="s">
        <v>74</v>
      </c>
      <c r="T230" s="1" t="s">
        <v>74</v>
      </c>
      <c r="U230" s="1" t="s">
        <v>74</v>
      </c>
      <c r="V230" s="1" t="s">
        <v>74</v>
      </c>
      <c r="W230" s="1" t="s">
        <v>74</v>
      </c>
      <c r="X230" s="1" t="s">
        <v>74</v>
      </c>
      <c r="Y230" s="1" t="s">
        <v>74</v>
      </c>
      <c r="Z230" s="1" t="s">
        <v>74</v>
      </c>
      <c r="AA230" s="1" t="s">
        <v>74</v>
      </c>
      <c r="AB230" s="1" t="s">
        <v>74</v>
      </c>
      <c r="AC230" s="1" t="s">
        <v>74</v>
      </c>
      <c r="AD230" s="1" t="s">
        <v>74</v>
      </c>
      <c r="AE230" s="1" t="s">
        <v>74</v>
      </c>
      <c r="AF230" s="1" t="s">
        <v>74</v>
      </c>
      <c r="AG230" s="1" t="s">
        <v>74</v>
      </c>
      <c r="AH230" s="1" t="s">
        <v>74</v>
      </c>
      <c r="AI230" s="1" t="s">
        <v>74</v>
      </c>
      <c r="AJ230" s="1" t="s">
        <v>74</v>
      </c>
      <c r="AK230" s="1" t="s">
        <v>74</v>
      </c>
      <c r="AL230" s="1" t="s">
        <v>74</v>
      </c>
      <c r="AM230" s="1" t="s">
        <v>74</v>
      </c>
      <c r="AN230" s="1" t="s">
        <v>74</v>
      </c>
      <c r="AO230" s="1" t="s">
        <v>2181</v>
      </c>
      <c r="AP230" s="1" t="s">
        <v>2182</v>
      </c>
      <c r="AQ230" s="1" t="s">
        <v>74</v>
      </c>
      <c r="AR230" s="1" t="s">
        <v>74</v>
      </c>
      <c r="AS230" s="1" t="s">
        <v>74</v>
      </c>
      <c r="AT230" s="1" t="s">
        <v>2183</v>
      </c>
      <c r="AU230" s="1">
        <v>2020.0</v>
      </c>
      <c r="AV230" s="1">
        <v>53.0</v>
      </c>
      <c r="AW230" s="1">
        <v>2.0</v>
      </c>
      <c r="AX230" s="1" t="s">
        <v>74</v>
      </c>
      <c r="AY230" s="1" t="s">
        <v>74</v>
      </c>
      <c r="AZ230" s="1" t="s">
        <v>74</v>
      </c>
      <c r="BA230" s="1" t="s">
        <v>74</v>
      </c>
      <c r="BB230" s="1">
        <v>33.0</v>
      </c>
      <c r="BC230" s="1">
        <v>56.0</v>
      </c>
      <c r="BD230" s="1" t="s">
        <v>74</v>
      </c>
      <c r="BE230" s="1" t="s">
        <v>2184</v>
      </c>
      <c r="BF230" s="2" t="str">
        <f>HYPERLINK("http://dx.doi.org/10.1353/ltr.2020.0013","http://dx.doi.org/10.1353/ltr.2020.0013")</f>
        <v>http://dx.doi.org/10.1353/ltr.2020.0013</v>
      </c>
      <c r="BG230" s="1" t="s">
        <v>74</v>
      </c>
      <c r="BH230" s="1" t="s">
        <v>74</v>
      </c>
      <c r="BI230" s="1" t="s">
        <v>74</v>
      </c>
      <c r="BJ230" s="1" t="s">
        <v>74</v>
      </c>
      <c r="BK230" s="1" t="s">
        <v>74</v>
      </c>
      <c r="BL230" s="1" t="s">
        <v>74</v>
      </c>
      <c r="BM230" s="1" t="s">
        <v>74</v>
      </c>
      <c r="BN230" s="1" t="s">
        <v>74</v>
      </c>
      <c r="BO230" s="1" t="s">
        <v>74</v>
      </c>
      <c r="BP230" s="1" t="s">
        <v>74</v>
      </c>
      <c r="BQ230" s="1" t="s">
        <v>74</v>
      </c>
      <c r="BR230" s="1" t="s">
        <v>74</v>
      </c>
      <c r="BS230" s="1" t="s">
        <v>2185</v>
      </c>
      <c r="BT230" s="1" t="str">
        <f>HYPERLINK("https%3A%2F%2Fwww.webofscience.com%2Fwos%2Fwoscc%2Ffull-record%2FWOS:000541862000002","View Full Record in Web of Science")</f>
        <v>View Full Record in Web of Science</v>
      </c>
    </row>
    <row r="231" ht="12.75" customHeight="1">
      <c r="A231" s="1" t="s">
        <v>454</v>
      </c>
      <c r="B231" s="1" t="s">
        <v>500</v>
      </c>
      <c r="C231" s="1" t="s">
        <v>74</v>
      </c>
      <c r="D231" s="1" t="s">
        <v>501</v>
      </c>
      <c r="E231" s="1" t="s">
        <v>74</v>
      </c>
      <c r="F231" s="1" t="s">
        <v>502</v>
      </c>
      <c r="G231" s="1" t="s">
        <v>74</v>
      </c>
      <c r="H231" s="1" t="s">
        <v>74</v>
      </c>
      <c r="I231" s="1" t="s">
        <v>2186</v>
      </c>
      <c r="J231" s="1" t="s">
        <v>504</v>
      </c>
      <c r="K231" s="1" t="s">
        <v>505</v>
      </c>
      <c r="L231" s="1" t="s">
        <v>74</v>
      </c>
      <c r="M231" s="1" t="s">
        <v>74</v>
      </c>
      <c r="N231" s="1" t="s">
        <v>74</v>
      </c>
      <c r="O231" s="1" t="s">
        <v>74</v>
      </c>
      <c r="P231" s="1" t="s">
        <v>74</v>
      </c>
      <c r="Q231" s="1" t="s">
        <v>74</v>
      </c>
      <c r="R231" s="1" t="s">
        <v>74</v>
      </c>
      <c r="S231" s="1" t="s">
        <v>74</v>
      </c>
      <c r="T231" s="1" t="s">
        <v>74</v>
      </c>
      <c r="U231" s="1" t="s">
        <v>74</v>
      </c>
      <c r="V231" s="1" t="s">
        <v>74</v>
      </c>
      <c r="W231" s="1" t="s">
        <v>74</v>
      </c>
      <c r="X231" s="1" t="s">
        <v>74</v>
      </c>
      <c r="Y231" s="1" t="s">
        <v>74</v>
      </c>
      <c r="Z231" s="1" t="s">
        <v>74</v>
      </c>
      <c r="AA231" s="1" t="s">
        <v>74</v>
      </c>
      <c r="AB231" s="1" t="s">
        <v>74</v>
      </c>
      <c r="AC231" s="1" t="s">
        <v>74</v>
      </c>
      <c r="AD231" s="1" t="s">
        <v>74</v>
      </c>
      <c r="AE231" s="1" t="s">
        <v>74</v>
      </c>
      <c r="AF231" s="1" t="s">
        <v>74</v>
      </c>
      <c r="AG231" s="1" t="s">
        <v>74</v>
      </c>
      <c r="AH231" s="1" t="s">
        <v>74</v>
      </c>
      <c r="AI231" s="1" t="s">
        <v>74</v>
      </c>
      <c r="AJ231" s="1" t="s">
        <v>74</v>
      </c>
      <c r="AK231" s="1" t="s">
        <v>74</v>
      </c>
      <c r="AL231" s="1" t="s">
        <v>74</v>
      </c>
      <c r="AM231" s="1" t="s">
        <v>74</v>
      </c>
      <c r="AN231" s="1" t="s">
        <v>74</v>
      </c>
      <c r="AO231" s="1" t="s">
        <v>74</v>
      </c>
      <c r="AP231" s="1" t="s">
        <v>74</v>
      </c>
      <c r="AQ231" s="1" t="s">
        <v>506</v>
      </c>
      <c r="AR231" s="1" t="s">
        <v>74</v>
      </c>
      <c r="AS231" s="1" t="s">
        <v>74</v>
      </c>
      <c r="AT231" s="1" t="s">
        <v>74</v>
      </c>
      <c r="AU231" s="1">
        <v>2020.0</v>
      </c>
      <c r="AV231" s="1">
        <v>8.0</v>
      </c>
      <c r="AW231" s="1" t="s">
        <v>74</v>
      </c>
      <c r="AX231" s="1" t="s">
        <v>74</v>
      </c>
      <c r="AY231" s="1" t="s">
        <v>74</v>
      </c>
      <c r="AZ231" s="1" t="s">
        <v>74</v>
      </c>
      <c r="BA231" s="1" t="s">
        <v>74</v>
      </c>
      <c r="BB231" s="1">
        <v>64.0</v>
      </c>
      <c r="BC231" s="1">
        <v>67.0</v>
      </c>
      <c r="BD231" s="1" t="s">
        <v>74</v>
      </c>
      <c r="BE231" s="1" t="s">
        <v>74</v>
      </c>
      <c r="BF231" s="1" t="s">
        <v>74</v>
      </c>
      <c r="BG231" s="1" t="s">
        <v>74</v>
      </c>
      <c r="BH231" s="1" t="s">
        <v>74</v>
      </c>
      <c r="BI231" s="1" t="s">
        <v>74</v>
      </c>
      <c r="BJ231" s="1" t="s">
        <v>74</v>
      </c>
      <c r="BK231" s="1" t="s">
        <v>74</v>
      </c>
      <c r="BL231" s="1" t="s">
        <v>74</v>
      </c>
      <c r="BM231" s="1" t="s">
        <v>74</v>
      </c>
      <c r="BN231" s="1" t="s">
        <v>74</v>
      </c>
      <c r="BO231" s="1" t="s">
        <v>74</v>
      </c>
      <c r="BP231" s="1" t="s">
        <v>74</v>
      </c>
      <c r="BQ231" s="1" t="s">
        <v>74</v>
      </c>
      <c r="BR231" s="1" t="s">
        <v>74</v>
      </c>
      <c r="BS231" s="1" t="s">
        <v>2187</v>
      </c>
      <c r="BT231" s="1" t="str">
        <f>HYPERLINK("https%3A%2F%2Fwww.webofscience.com%2Fwos%2Fwoscc%2Ffull-record%2FWOS:000608865900013","View Full Record in Web of Science")</f>
        <v>View Full Record in Web of Science</v>
      </c>
    </row>
    <row r="232" ht="12.75" customHeight="1">
      <c r="A232" s="1" t="s">
        <v>72</v>
      </c>
      <c r="B232" s="1" t="s">
        <v>2188</v>
      </c>
      <c r="C232" s="1" t="s">
        <v>74</v>
      </c>
      <c r="D232" s="1" t="s">
        <v>74</v>
      </c>
      <c r="E232" s="1" t="s">
        <v>74</v>
      </c>
      <c r="F232" s="1" t="s">
        <v>2189</v>
      </c>
      <c r="G232" s="1" t="s">
        <v>74</v>
      </c>
      <c r="H232" s="1" t="s">
        <v>74</v>
      </c>
      <c r="I232" s="1" t="s">
        <v>2190</v>
      </c>
      <c r="J232" s="1" t="s">
        <v>1948</v>
      </c>
      <c r="K232" s="1" t="s">
        <v>74</v>
      </c>
      <c r="L232" s="1" t="s">
        <v>74</v>
      </c>
      <c r="M232" s="1" t="s">
        <v>74</v>
      </c>
      <c r="N232" s="1" t="s">
        <v>74</v>
      </c>
      <c r="O232" s="1" t="s">
        <v>74</v>
      </c>
      <c r="P232" s="1" t="s">
        <v>74</v>
      </c>
      <c r="Q232" s="1" t="s">
        <v>74</v>
      </c>
      <c r="R232" s="1" t="s">
        <v>74</v>
      </c>
      <c r="S232" s="1" t="s">
        <v>74</v>
      </c>
      <c r="T232" s="1" t="s">
        <v>74</v>
      </c>
      <c r="U232" s="1" t="s">
        <v>74</v>
      </c>
      <c r="V232" s="1" t="s">
        <v>2191</v>
      </c>
      <c r="W232" s="1" t="s">
        <v>74</v>
      </c>
      <c r="X232" s="1" t="s">
        <v>74</v>
      </c>
      <c r="Y232" s="1" t="s">
        <v>74</v>
      </c>
      <c r="Z232" s="1" t="s">
        <v>74</v>
      </c>
      <c r="AA232" s="1" t="s">
        <v>74</v>
      </c>
      <c r="AB232" s="1" t="s">
        <v>74</v>
      </c>
      <c r="AC232" s="1" t="s">
        <v>74</v>
      </c>
      <c r="AD232" s="1" t="s">
        <v>74</v>
      </c>
      <c r="AE232" s="1" t="s">
        <v>74</v>
      </c>
      <c r="AF232" s="1" t="s">
        <v>74</v>
      </c>
      <c r="AG232" s="1" t="s">
        <v>74</v>
      </c>
      <c r="AH232" s="1" t="s">
        <v>74</v>
      </c>
      <c r="AI232" s="1" t="s">
        <v>74</v>
      </c>
      <c r="AJ232" s="1" t="s">
        <v>74</v>
      </c>
      <c r="AK232" s="1" t="s">
        <v>74</v>
      </c>
      <c r="AL232" s="1" t="s">
        <v>74</v>
      </c>
      <c r="AM232" s="1" t="s">
        <v>74</v>
      </c>
      <c r="AN232" s="1" t="s">
        <v>74</v>
      </c>
      <c r="AO232" s="1" t="s">
        <v>74</v>
      </c>
      <c r="AP232" s="1" t="s">
        <v>1950</v>
      </c>
      <c r="AQ232" s="1" t="s">
        <v>74</v>
      </c>
      <c r="AR232" s="1" t="s">
        <v>74</v>
      </c>
      <c r="AS232" s="1" t="s">
        <v>74</v>
      </c>
      <c r="AT232" s="1" t="s">
        <v>74</v>
      </c>
      <c r="AU232" s="1">
        <v>2020.0</v>
      </c>
      <c r="AV232" s="1">
        <v>11.0</v>
      </c>
      <c r="AW232" s="1">
        <v>2.0</v>
      </c>
      <c r="AX232" s="1" t="s">
        <v>74</v>
      </c>
      <c r="AY232" s="1" t="s">
        <v>74</v>
      </c>
      <c r="AZ232" s="1" t="s">
        <v>74</v>
      </c>
      <c r="BA232" s="1" t="s">
        <v>74</v>
      </c>
      <c r="BB232" s="1">
        <v>13.0</v>
      </c>
      <c r="BC232" s="1">
        <v>44.0</v>
      </c>
      <c r="BD232" s="1" t="s">
        <v>74</v>
      </c>
      <c r="BE232" s="1" t="s">
        <v>2192</v>
      </c>
      <c r="BF232" s="2" t="str">
        <f>HYPERLINK("http://dx.doi.org/10.5281/zenodo.4320769","http://dx.doi.org/10.5281/zenodo.4320769")</f>
        <v>http://dx.doi.org/10.5281/zenodo.4320769</v>
      </c>
      <c r="BG232" s="1" t="s">
        <v>74</v>
      </c>
      <c r="BH232" s="1" t="s">
        <v>74</v>
      </c>
      <c r="BI232" s="1" t="s">
        <v>74</v>
      </c>
      <c r="BJ232" s="1" t="s">
        <v>74</v>
      </c>
      <c r="BK232" s="1" t="s">
        <v>74</v>
      </c>
      <c r="BL232" s="1" t="s">
        <v>74</v>
      </c>
      <c r="BM232" s="1" t="s">
        <v>74</v>
      </c>
      <c r="BN232" s="1" t="s">
        <v>74</v>
      </c>
      <c r="BO232" s="1" t="s">
        <v>74</v>
      </c>
      <c r="BP232" s="1" t="s">
        <v>74</v>
      </c>
      <c r="BQ232" s="1" t="s">
        <v>74</v>
      </c>
      <c r="BR232" s="1" t="s">
        <v>74</v>
      </c>
      <c r="BS232" s="1" t="s">
        <v>2193</v>
      </c>
      <c r="BT232" s="1" t="str">
        <f>HYPERLINK("https%3A%2F%2Fwww.webofscience.com%2Fwos%2Fwoscc%2Ffull-record%2FWOS:000599999700002","View Full Record in Web of Science")</f>
        <v>View Full Record in Web of Science</v>
      </c>
    </row>
    <row r="233" ht="12.75" customHeight="1">
      <c r="A233" s="1" t="s">
        <v>72</v>
      </c>
      <c r="B233" s="1" t="s">
        <v>2194</v>
      </c>
      <c r="C233" s="1" t="s">
        <v>74</v>
      </c>
      <c r="D233" s="1" t="s">
        <v>74</v>
      </c>
      <c r="E233" s="1" t="s">
        <v>74</v>
      </c>
      <c r="F233" s="1" t="s">
        <v>2195</v>
      </c>
      <c r="G233" s="1" t="s">
        <v>74</v>
      </c>
      <c r="H233" s="1" t="s">
        <v>74</v>
      </c>
      <c r="I233" s="1" t="s">
        <v>2196</v>
      </c>
      <c r="J233" s="1" t="s">
        <v>2197</v>
      </c>
      <c r="K233" s="1" t="s">
        <v>74</v>
      </c>
      <c r="L233" s="1" t="s">
        <v>74</v>
      </c>
      <c r="M233" s="1" t="s">
        <v>74</v>
      </c>
      <c r="N233" s="1" t="s">
        <v>74</v>
      </c>
      <c r="O233" s="1" t="s">
        <v>74</v>
      </c>
      <c r="P233" s="1" t="s">
        <v>74</v>
      </c>
      <c r="Q233" s="1" t="s">
        <v>74</v>
      </c>
      <c r="R233" s="1" t="s">
        <v>74</v>
      </c>
      <c r="S233" s="1" t="s">
        <v>74</v>
      </c>
      <c r="T233" s="1" t="s">
        <v>74</v>
      </c>
      <c r="U233" s="1" t="s">
        <v>74</v>
      </c>
      <c r="V233" s="1" t="s">
        <v>2198</v>
      </c>
      <c r="W233" s="1" t="s">
        <v>74</v>
      </c>
      <c r="X233" s="1" t="s">
        <v>74</v>
      </c>
      <c r="Y233" s="1" t="s">
        <v>74</v>
      </c>
      <c r="Z233" s="1" t="s">
        <v>74</v>
      </c>
      <c r="AA233" s="1" t="s">
        <v>74</v>
      </c>
      <c r="AB233" s="1" t="s">
        <v>74</v>
      </c>
      <c r="AC233" s="1" t="s">
        <v>74</v>
      </c>
      <c r="AD233" s="1" t="s">
        <v>74</v>
      </c>
      <c r="AE233" s="1" t="s">
        <v>74</v>
      </c>
      <c r="AF233" s="1" t="s">
        <v>74</v>
      </c>
      <c r="AG233" s="1" t="s">
        <v>74</v>
      </c>
      <c r="AH233" s="1" t="s">
        <v>74</v>
      </c>
      <c r="AI233" s="1" t="s">
        <v>74</v>
      </c>
      <c r="AJ233" s="1" t="s">
        <v>74</v>
      </c>
      <c r="AK233" s="1" t="s">
        <v>74</v>
      </c>
      <c r="AL233" s="1" t="s">
        <v>74</v>
      </c>
      <c r="AM233" s="1" t="s">
        <v>74</v>
      </c>
      <c r="AN233" s="1" t="s">
        <v>74</v>
      </c>
      <c r="AO233" s="1" t="s">
        <v>2199</v>
      </c>
      <c r="AP233" s="1" t="s">
        <v>74</v>
      </c>
      <c r="AQ233" s="1" t="s">
        <v>74</v>
      </c>
      <c r="AR233" s="1" t="s">
        <v>74</v>
      </c>
      <c r="AS233" s="1" t="s">
        <v>74</v>
      </c>
      <c r="AT233" s="1" t="s">
        <v>299</v>
      </c>
      <c r="AU233" s="1">
        <v>2020.0</v>
      </c>
      <c r="AV233" s="1">
        <v>49.0</v>
      </c>
      <c r="AW233" s="1" t="s">
        <v>74</v>
      </c>
      <c r="AX233" s="1" t="s">
        <v>74</v>
      </c>
      <c r="AY233" s="1" t="s">
        <v>74</v>
      </c>
      <c r="AZ233" s="1" t="s">
        <v>74</v>
      </c>
      <c r="BA233" s="1" t="s">
        <v>74</v>
      </c>
      <c r="BB233" s="1">
        <v>104.0</v>
      </c>
      <c r="BC233" s="1">
        <v>122.0</v>
      </c>
      <c r="BD233" s="1" t="s">
        <v>74</v>
      </c>
      <c r="BE233" s="1" t="s">
        <v>74</v>
      </c>
      <c r="BF233" s="1" t="s">
        <v>74</v>
      </c>
      <c r="BG233" s="1" t="s">
        <v>74</v>
      </c>
      <c r="BH233" s="1" t="s">
        <v>74</v>
      </c>
      <c r="BI233" s="1" t="s">
        <v>74</v>
      </c>
      <c r="BJ233" s="1" t="s">
        <v>74</v>
      </c>
      <c r="BK233" s="1" t="s">
        <v>74</v>
      </c>
      <c r="BL233" s="1" t="s">
        <v>74</v>
      </c>
      <c r="BM233" s="1" t="s">
        <v>74</v>
      </c>
      <c r="BN233" s="1" t="s">
        <v>74</v>
      </c>
      <c r="BO233" s="1" t="s">
        <v>74</v>
      </c>
      <c r="BP233" s="1" t="s">
        <v>74</v>
      </c>
      <c r="BQ233" s="1" t="s">
        <v>74</v>
      </c>
      <c r="BR233" s="1" t="s">
        <v>74</v>
      </c>
      <c r="BS233" s="1" t="s">
        <v>2200</v>
      </c>
      <c r="BT233" s="1" t="str">
        <f>HYPERLINK("https%3A%2F%2Fwww.webofscience.com%2Fwos%2Fwoscc%2Ffull-record%2FWOS:000451966900007","View Full Record in Web of Science")</f>
        <v>View Full Record in Web of Science</v>
      </c>
    </row>
    <row r="234" ht="12.75" customHeight="1">
      <c r="A234" s="1" t="s">
        <v>72</v>
      </c>
      <c r="B234" s="1" t="s">
        <v>474</v>
      </c>
      <c r="C234" s="1" t="s">
        <v>74</v>
      </c>
      <c r="D234" s="1" t="s">
        <v>74</v>
      </c>
      <c r="E234" s="1" t="s">
        <v>74</v>
      </c>
      <c r="F234" s="1" t="s">
        <v>475</v>
      </c>
      <c r="G234" s="1" t="s">
        <v>74</v>
      </c>
      <c r="H234" s="1" t="s">
        <v>74</v>
      </c>
      <c r="I234" s="1" t="s">
        <v>2201</v>
      </c>
      <c r="J234" s="1" t="s">
        <v>1280</v>
      </c>
      <c r="K234" s="1" t="s">
        <v>74</v>
      </c>
      <c r="L234" s="1" t="s">
        <v>74</v>
      </c>
      <c r="M234" s="1" t="s">
        <v>74</v>
      </c>
      <c r="N234" s="1" t="s">
        <v>74</v>
      </c>
      <c r="O234" s="1" t="s">
        <v>74</v>
      </c>
      <c r="P234" s="1" t="s">
        <v>74</v>
      </c>
      <c r="Q234" s="1" t="s">
        <v>74</v>
      </c>
      <c r="R234" s="1" t="s">
        <v>74</v>
      </c>
      <c r="S234" s="1" t="s">
        <v>74</v>
      </c>
      <c r="T234" s="1" t="s">
        <v>74</v>
      </c>
      <c r="U234" s="1" t="s">
        <v>74</v>
      </c>
      <c r="V234" s="1" t="s">
        <v>74</v>
      </c>
      <c r="W234" s="1" t="s">
        <v>74</v>
      </c>
      <c r="X234" s="1" t="s">
        <v>74</v>
      </c>
      <c r="Y234" s="1" t="s">
        <v>74</v>
      </c>
      <c r="Z234" s="1" t="s">
        <v>74</v>
      </c>
      <c r="AA234" s="1" t="s">
        <v>74</v>
      </c>
      <c r="AB234" s="1" t="s">
        <v>74</v>
      </c>
      <c r="AC234" s="1" t="s">
        <v>74</v>
      </c>
      <c r="AD234" s="1" t="s">
        <v>74</v>
      </c>
      <c r="AE234" s="1" t="s">
        <v>74</v>
      </c>
      <c r="AF234" s="1" t="s">
        <v>74</v>
      </c>
      <c r="AG234" s="1" t="s">
        <v>74</v>
      </c>
      <c r="AH234" s="1" t="s">
        <v>74</v>
      </c>
      <c r="AI234" s="1" t="s">
        <v>74</v>
      </c>
      <c r="AJ234" s="1" t="s">
        <v>74</v>
      </c>
      <c r="AK234" s="1" t="s">
        <v>74</v>
      </c>
      <c r="AL234" s="1" t="s">
        <v>74</v>
      </c>
      <c r="AM234" s="1" t="s">
        <v>74</v>
      </c>
      <c r="AN234" s="1" t="s">
        <v>74</v>
      </c>
      <c r="AO234" s="1" t="s">
        <v>1282</v>
      </c>
      <c r="AP234" s="1" t="s">
        <v>74</v>
      </c>
      <c r="AQ234" s="1" t="s">
        <v>74</v>
      </c>
      <c r="AR234" s="1" t="s">
        <v>74</v>
      </c>
      <c r="AS234" s="1" t="s">
        <v>74</v>
      </c>
      <c r="AT234" s="1" t="s">
        <v>88</v>
      </c>
      <c r="AU234" s="1">
        <v>2019.0</v>
      </c>
      <c r="AV234" s="1" t="s">
        <v>74</v>
      </c>
      <c r="AW234" s="1">
        <v>59.0</v>
      </c>
      <c r="AX234" s="1" t="s">
        <v>74</v>
      </c>
      <c r="AY234" s="1" t="s">
        <v>74</v>
      </c>
      <c r="AZ234" s="1" t="s">
        <v>74</v>
      </c>
      <c r="BA234" s="1" t="s">
        <v>74</v>
      </c>
      <c r="BB234" s="1">
        <v>141.0</v>
      </c>
      <c r="BC234" s="1">
        <v>144.0</v>
      </c>
      <c r="BD234" s="1" t="s">
        <v>74</v>
      </c>
      <c r="BE234" s="1" t="s">
        <v>74</v>
      </c>
      <c r="BF234" s="1" t="s">
        <v>74</v>
      </c>
      <c r="BG234" s="1" t="s">
        <v>74</v>
      </c>
      <c r="BH234" s="1" t="s">
        <v>74</v>
      </c>
      <c r="BI234" s="1" t="s">
        <v>74</v>
      </c>
      <c r="BJ234" s="1" t="s">
        <v>74</v>
      </c>
      <c r="BK234" s="1" t="s">
        <v>74</v>
      </c>
      <c r="BL234" s="1" t="s">
        <v>74</v>
      </c>
      <c r="BM234" s="1" t="s">
        <v>74</v>
      </c>
      <c r="BN234" s="1" t="s">
        <v>74</v>
      </c>
      <c r="BO234" s="1" t="s">
        <v>74</v>
      </c>
      <c r="BP234" s="1" t="s">
        <v>74</v>
      </c>
      <c r="BQ234" s="1" t="s">
        <v>74</v>
      </c>
      <c r="BR234" s="1" t="s">
        <v>74</v>
      </c>
      <c r="BS234" s="1" t="s">
        <v>2202</v>
      </c>
      <c r="BT234" s="1" t="str">
        <f>HYPERLINK("https%3A%2F%2Fwww.webofscience.com%2Fwos%2Fwoscc%2Ffull-record%2FWOS:000527373400010","View Full Record in Web of Science")</f>
        <v>View Full Record in Web of Science</v>
      </c>
    </row>
    <row r="235" ht="12.75" customHeight="1">
      <c r="A235" s="1" t="s">
        <v>72</v>
      </c>
      <c r="B235" s="1" t="s">
        <v>2203</v>
      </c>
      <c r="C235" s="1" t="s">
        <v>74</v>
      </c>
      <c r="D235" s="1" t="s">
        <v>74</v>
      </c>
      <c r="E235" s="1" t="s">
        <v>74</v>
      </c>
      <c r="F235" s="1" t="s">
        <v>2204</v>
      </c>
      <c r="G235" s="1" t="s">
        <v>74</v>
      </c>
      <c r="H235" s="1" t="s">
        <v>74</v>
      </c>
      <c r="I235" s="1" t="s">
        <v>2205</v>
      </c>
      <c r="J235" s="1" t="s">
        <v>2206</v>
      </c>
      <c r="K235" s="1" t="s">
        <v>74</v>
      </c>
      <c r="L235" s="1" t="s">
        <v>74</v>
      </c>
      <c r="M235" s="1" t="s">
        <v>74</v>
      </c>
      <c r="N235" s="1" t="s">
        <v>74</v>
      </c>
      <c r="O235" s="1" t="s">
        <v>74</v>
      </c>
      <c r="P235" s="1" t="s">
        <v>74</v>
      </c>
      <c r="Q235" s="1" t="s">
        <v>74</v>
      </c>
      <c r="R235" s="1" t="s">
        <v>74</v>
      </c>
      <c r="S235" s="1" t="s">
        <v>74</v>
      </c>
      <c r="T235" s="1" t="s">
        <v>74</v>
      </c>
      <c r="U235" s="1" t="s">
        <v>74</v>
      </c>
      <c r="V235" s="1" t="s">
        <v>2207</v>
      </c>
      <c r="W235" s="1" t="s">
        <v>74</v>
      </c>
      <c r="X235" s="1" t="s">
        <v>74</v>
      </c>
      <c r="Y235" s="1" t="s">
        <v>74</v>
      </c>
      <c r="Z235" s="1" t="s">
        <v>74</v>
      </c>
      <c r="AA235" s="1" t="s">
        <v>2208</v>
      </c>
      <c r="AB235" s="1" t="s">
        <v>2209</v>
      </c>
      <c r="AC235" s="1" t="s">
        <v>74</v>
      </c>
      <c r="AD235" s="1" t="s">
        <v>74</v>
      </c>
      <c r="AE235" s="1" t="s">
        <v>74</v>
      </c>
      <c r="AF235" s="1" t="s">
        <v>74</v>
      </c>
      <c r="AG235" s="1" t="s">
        <v>74</v>
      </c>
      <c r="AH235" s="1" t="s">
        <v>74</v>
      </c>
      <c r="AI235" s="1" t="s">
        <v>74</v>
      </c>
      <c r="AJ235" s="1" t="s">
        <v>74</v>
      </c>
      <c r="AK235" s="1" t="s">
        <v>74</v>
      </c>
      <c r="AL235" s="1" t="s">
        <v>74</v>
      </c>
      <c r="AM235" s="1" t="s">
        <v>74</v>
      </c>
      <c r="AN235" s="1" t="s">
        <v>74</v>
      </c>
      <c r="AO235" s="1" t="s">
        <v>2210</v>
      </c>
      <c r="AP235" s="1" t="s">
        <v>2211</v>
      </c>
      <c r="AQ235" s="1" t="s">
        <v>74</v>
      </c>
      <c r="AR235" s="1" t="s">
        <v>74</v>
      </c>
      <c r="AS235" s="1" t="s">
        <v>74</v>
      </c>
      <c r="AT235" s="1" t="s">
        <v>2212</v>
      </c>
      <c r="AU235" s="1">
        <v>2019.0</v>
      </c>
      <c r="AV235" s="1">
        <v>180.0</v>
      </c>
      <c r="AW235" s="1" t="s">
        <v>74</v>
      </c>
      <c r="AX235" s="1" t="s">
        <v>74</v>
      </c>
      <c r="AY235" s="1" t="s">
        <v>74</v>
      </c>
      <c r="AZ235" s="1" t="s">
        <v>74</v>
      </c>
      <c r="BA235" s="1" t="s">
        <v>74</v>
      </c>
      <c r="BB235" s="1" t="s">
        <v>74</v>
      </c>
      <c r="BC235" s="1" t="s">
        <v>74</v>
      </c>
      <c r="BD235" s="1">
        <v>105185.0</v>
      </c>
      <c r="BE235" s="1" t="s">
        <v>2213</v>
      </c>
      <c r="BF235" s="2" t="str">
        <f>HYPERLINK("http://dx.doi.org/10.1016/j.clay.2019.105185","http://dx.doi.org/10.1016/j.clay.2019.105185")</f>
        <v>http://dx.doi.org/10.1016/j.clay.2019.105185</v>
      </c>
      <c r="BG235" s="1" t="s">
        <v>74</v>
      </c>
      <c r="BH235" s="1" t="s">
        <v>74</v>
      </c>
      <c r="BI235" s="1" t="s">
        <v>74</v>
      </c>
      <c r="BJ235" s="1" t="s">
        <v>74</v>
      </c>
      <c r="BK235" s="1" t="s">
        <v>74</v>
      </c>
      <c r="BL235" s="1" t="s">
        <v>74</v>
      </c>
      <c r="BM235" s="1" t="s">
        <v>74</v>
      </c>
      <c r="BN235" s="1" t="s">
        <v>74</v>
      </c>
      <c r="BO235" s="1" t="s">
        <v>74</v>
      </c>
      <c r="BP235" s="1" t="s">
        <v>74</v>
      </c>
      <c r="BQ235" s="1" t="s">
        <v>74</v>
      </c>
      <c r="BR235" s="1" t="s">
        <v>74</v>
      </c>
      <c r="BS235" s="1" t="s">
        <v>2214</v>
      </c>
      <c r="BT235" s="1" t="str">
        <f>HYPERLINK("https%3A%2F%2Fwww.webofscience.com%2Fwos%2Fwoscc%2Ffull-record%2FWOS:000506424800017","View Full Record in Web of Science")</f>
        <v>View Full Record in Web of Science</v>
      </c>
    </row>
    <row r="236" ht="12.75" customHeight="1">
      <c r="A236" s="1" t="s">
        <v>72</v>
      </c>
      <c r="B236" s="1" t="s">
        <v>2215</v>
      </c>
      <c r="C236" s="1" t="s">
        <v>74</v>
      </c>
      <c r="D236" s="1" t="s">
        <v>74</v>
      </c>
      <c r="E236" s="1" t="s">
        <v>74</v>
      </c>
      <c r="F236" s="1" t="s">
        <v>2216</v>
      </c>
      <c r="G236" s="1" t="s">
        <v>74</v>
      </c>
      <c r="H236" s="1" t="s">
        <v>74</v>
      </c>
      <c r="I236" s="1" t="s">
        <v>2217</v>
      </c>
      <c r="J236" s="1" t="s">
        <v>2218</v>
      </c>
      <c r="K236" s="1" t="s">
        <v>74</v>
      </c>
      <c r="L236" s="1" t="s">
        <v>74</v>
      </c>
      <c r="M236" s="1" t="s">
        <v>74</v>
      </c>
      <c r="N236" s="1" t="s">
        <v>74</v>
      </c>
      <c r="O236" s="1" t="s">
        <v>74</v>
      </c>
      <c r="P236" s="1" t="s">
        <v>74</v>
      </c>
      <c r="Q236" s="1" t="s">
        <v>74</v>
      </c>
      <c r="R236" s="1" t="s">
        <v>74</v>
      </c>
      <c r="S236" s="1" t="s">
        <v>74</v>
      </c>
      <c r="T236" s="1" t="s">
        <v>74</v>
      </c>
      <c r="U236" s="1" t="s">
        <v>74</v>
      </c>
      <c r="V236" s="1" t="s">
        <v>2219</v>
      </c>
      <c r="W236" s="1" t="s">
        <v>74</v>
      </c>
      <c r="X236" s="1" t="s">
        <v>74</v>
      </c>
      <c r="Y236" s="1" t="s">
        <v>74</v>
      </c>
      <c r="Z236" s="1" t="s">
        <v>74</v>
      </c>
      <c r="AA236" s="1" t="s">
        <v>74</v>
      </c>
      <c r="AB236" s="1" t="s">
        <v>74</v>
      </c>
      <c r="AC236" s="1" t="s">
        <v>74</v>
      </c>
      <c r="AD236" s="1" t="s">
        <v>74</v>
      </c>
      <c r="AE236" s="1" t="s">
        <v>74</v>
      </c>
      <c r="AF236" s="1" t="s">
        <v>74</v>
      </c>
      <c r="AG236" s="1" t="s">
        <v>74</v>
      </c>
      <c r="AH236" s="1" t="s">
        <v>74</v>
      </c>
      <c r="AI236" s="1" t="s">
        <v>74</v>
      </c>
      <c r="AJ236" s="1" t="s">
        <v>74</v>
      </c>
      <c r="AK236" s="1" t="s">
        <v>74</v>
      </c>
      <c r="AL236" s="1" t="s">
        <v>74</v>
      </c>
      <c r="AM236" s="1" t="s">
        <v>74</v>
      </c>
      <c r="AN236" s="1" t="s">
        <v>74</v>
      </c>
      <c r="AO236" s="1" t="s">
        <v>2220</v>
      </c>
      <c r="AP236" s="1" t="s">
        <v>2221</v>
      </c>
      <c r="AQ236" s="1" t="s">
        <v>74</v>
      </c>
      <c r="AR236" s="1" t="s">
        <v>74</v>
      </c>
      <c r="AS236" s="1" t="s">
        <v>74</v>
      </c>
      <c r="AT236" s="1" t="s">
        <v>347</v>
      </c>
      <c r="AU236" s="1">
        <v>2019.0</v>
      </c>
      <c r="AV236" s="1">
        <v>36.0</v>
      </c>
      <c r="AW236" s="1">
        <v>2.0</v>
      </c>
      <c r="AX236" s="1" t="s">
        <v>74</v>
      </c>
      <c r="AY236" s="1" t="s">
        <v>74</v>
      </c>
      <c r="AZ236" s="1" t="s">
        <v>74</v>
      </c>
      <c r="BA236" s="1" t="s">
        <v>74</v>
      </c>
      <c r="BB236" s="1">
        <v>431.0</v>
      </c>
      <c r="BC236" s="1">
        <v>440.0</v>
      </c>
      <c r="BD236" s="1" t="s">
        <v>74</v>
      </c>
      <c r="BE236" s="1" t="s">
        <v>2222</v>
      </c>
      <c r="BF236" s="2" t="str">
        <f>HYPERLINK("http://dx.doi.org/10.1007/s42461-018-0007-9","http://dx.doi.org/10.1007/s42461-018-0007-9")</f>
        <v>http://dx.doi.org/10.1007/s42461-018-0007-9</v>
      </c>
      <c r="BG236" s="1" t="s">
        <v>74</v>
      </c>
      <c r="BH236" s="1" t="s">
        <v>74</v>
      </c>
      <c r="BI236" s="1" t="s">
        <v>74</v>
      </c>
      <c r="BJ236" s="1" t="s">
        <v>74</v>
      </c>
      <c r="BK236" s="1" t="s">
        <v>74</v>
      </c>
      <c r="BL236" s="1" t="s">
        <v>74</v>
      </c>
      <c r="BM236" s="1" t="s">
        <v>74</v>
      </c>
      <c r="BN236" s="1" t="s">
        <v>74</v>
      </c>
      <c r="BO236" s="1" t="s">
        <v>74</v>
      </c>
      <c r="BP236" s="1" t="s">
        <v>74</v>
      </c>
      <c r="BQ236" s="1" t="s">
        <v>74</v>
      </c>
      <c r="BR236" s="1" t="s">
        <v>74</v>
      </c>
      <c r="BS236" s="1" t="s">
        <v>2223</v>
      </c>
      <c r="BT236" s="1" t="str">
        <f>HYPERLINK("https%3A%2F%2Fwww.webofscience.com%2Fwos%2Fwoscc%2Ffull-record%2FWOS:000474227100018","View Full Record in Web of Science")</f>
        <v>View Full Record in Web of Science</v>
      </c>
    </row>
    <row r="237" ht="12.75" customHeight="1">
      <c r="A237" s="1" t="s">
        <v>72</v>
      </c>
      <c r="B237" s="1" t="s">
        <v>2224</v>
      </c>
      <c r="C237" s="1" t="s">
        <v>74</v>
      </c>
      <c r="D237" s="1" t="s">
        <v>74</v>
      </c>
      <c r="E237" s="1" t="s">
        <v>74</v>
      </c>
      <c r="F237" s="1" t="s">
        <v>2225</v>
      </c>
      <c r="G237" s="1" t="s">
        <v>74</v>
      </c>
      <c r="H237" s="1" t="s">
        <v>74</v>
      </c>
      <c r="I237" s="1" t="s">
        <v>2226</v>
      </c>
      <c r="J237" s="1" t="s">
        <v>2227</v>
      </c>
      <c r="K237" s="1" t="s">
        <v>74</v>
      </c>
      <c r="L237" s="1" t="s">
        <v>74</v>
      </c>
      <c r="M237" s="1" t="s">
        <v>74</v>
      </c>
      <c r="N237" s="1" t="s">
        <v>74</v>
      </c>
      <c r="O237" s="1" t="s">
        <v>74</v>
      </c>
      <c r="P237" s="1" t="s">
        <v>74</v>
      </c>
      <c r="Q237" s="1" t="s">
        <v>74</v>
      </c>
      <c r="R237" s="1" t="s">
        <v>74</v>
      </c>
      <c r="S237" s="1" t="s">
        <v>74</v>
      </c>
      <c r="T237" s="1" t="s">
        <v>74</v>
      </c>
      <c r="U237" s="1" t="s">
        <v>74</v>
      </c>
      <c r="V237" s="1" t="s">
        <v>2228</v>
      </c>
      <c r="W237" s="1" t="s">
        <v>74</v>
      </c>
      <c r="X237" s="1" t="s">
        <v>74</v>
      </c>
      <c r="Y237" s="1" t="s">
        <v>74</v>
      </c>
      <c r="Z237" s="1" t="s">
        <v>74</v>
      </c>
      <c r="AA237" s="1" t="s">
        <v>2229</v>
      </c>
      <c r="AB237" s="1" t="s">
        <v>2230</v>
      </c>
      <c r="AC237" s="1" t="s">
        <v>74</v>
      </c>
      <c r="AD237" s="1" t="s">
        <v>74</v>
      </c>
      <c r="AE237" s="1" t="s">
        <v>74</v>
      </c>
      <c r="AF237" s="1" t="s">
        <v>74</v>
      </c>
      <c r="AG237" s="1" t="s">
        <v>74</v>
      </c>
      <c r="AH237" s="1" t="s">
        <v>74</v>
      </c>
      <c r="AI237" s="1" t="s">
        <v>74</v>
      </c>
      <c r="AJ237" s="1" t="s">
        <v>74</v>
      </c>
      <c r="AK237" s="1" t="s">
        <v>74</v>
      </c>
      <c r="AL237" s="1" t="s">
        <v>74</v>
      </c>
      <c r="AM237" s="1" t="s">
        <v>74</v>
      </c>
      <c r="AN237" s="1" t="s">
        <v>74</v>
      </c>
      <c r="AO237" s="1" t="s">
        <v>2231</v>
      </c>
      <c r="AP237" s="1" t="s">
        <v>2232</v>
      </c>
      <c r="AQ237" s="1" t="s">
        <v>74</v>
      </c>
      <c r="AR237" s="1" t="s">
        <v>74</v>
      </c>
      <c r="AS237" s="1" t="s">
        <v>74</v>
      </c>
      <c r="AT237" s="1" t="s">
        <v>299</v>
      </c>
      <c r="AU237" s="1">
        <v>2019.0</v>
      </c>
      <c r="AV237" s="1">
        <v>61.0</v>
      </c>
      <c r="AW237" s="1" t="s">
        <v>74</v>
      </c>
      <c r="AX237" s="1" t="s">
        <v>74</v>
      </c>
      <c r="AY237" s="1" t="s">
        <v>74</v>
      </c>
      <c r="AZ237" s="1" t="s">
        <v>74</v>
      </c>
      <c r="BA237" s="1" t="s">
        <v>74</v>
      </c>
      <c r="BB237" s="1">
        <v>20.0</v>
      </c>
      <c r="BC237" s="1">
        <v>35.0</v>
      </c>
      <c r="BD237" s="1" t="s">
        <v>74</v>
      </c>
      <c r="BE237" s="1" t="s">
        <v>2233</v>
      </c>
      <c r="BF237" s="2" t="str">
        <f>HYPERLINK("http://dx.doi.org/10.1016/j.csi.2018.04.002","http://dx.doi.org/10.1016/j.csi.2018.04.002")</f>
        <v>http://dx.doi.org/10.1016/j.csi.2018.04.002</v>
      </c>
      <c r="BG237" s="1" t="s">
        <v>74</v>
      </c>
      <c r="BH237" s="1" t="s">
        <v>74</v>
      </c>
      <c r="BI237" s="1" t="s">
        <v>74</v>
      </c>
      <c r="BJ237" s="1" t="s">
        <v>74</v>
      </c>
      <c r="BK237" s="1" t="s">
        <v>74</v>
      </c>
      <c r="BL237" s="1" t="s">
        <v>74</v>
      </c>
      <c r="BM237" s="1" t="s">
        <v>74</v>
      </c>
      <c r="BN237" s="1" t="s">
        <v>74</v>
      </c>
      <c r="BO237" s="1" t="s">
        <v>74</v>
      </c>
      <c r="BP237" s="1" t="s">
        <v>74</v>
      </c>
      <c r="BQ237" s="1" t="s">
        <v>74</v>
      </c>
      <c r="BR237" s="1" t="s">
        <v>74</v>
      </c>
      <c r="BS237" s="1" t="s">
        <v>2234</v>
      </c>
      <c r="BT237" s="1" t="str">
        <f>HYPERLINK("https%3A%2F%2Fwww.webofscience.com%2Fwos%2Fwoscc%2Ffull-record%2FWOS:000446148000002","View Full Record in Web of Science")</f>
        <v>View Full Record in Web of Science</v>
      </c>
    </row>
    <row r="238" ht="12.75" customHeight="1">
      <c r="A238" s="1" t="s">
        <v>72</v>
      </c>
      <c r="B238" s="1" t="s">
        <v>2235</v>
      </c>
      <c r="C238" s="1" t="s">
        <v>74</v>
      </c>
      <c r="D238" s="1" t="s">
        <v>74</v>
      </c>
      <c r="E238" s="1" t="s">
        <v>74</v>
      </c>
      <c r="F238" s="1" t="s">
        <v>2236</v>
      </c>
      <c r="G238" s="1" t="s">
        <v>74</v>
      </c>
      <c r="H238" s="1" t="s">
        <v>74</v>
      </c>
      <c r="I238" s="1" t="s">
        <v>2237</v>
      </c>
      <c r="J238" s="1" t="s">
        <v>2238</v>
      </c>
      <c r="K238" s="1" t="s">
        <v>74</v>
      </c>
      <c r="L238" s="1" t="s">
        <v>74</v>
      </c>
      <c r="M238" s="1" t="s">
        <v>74</v>
      </c>
      <c r="N238" s="1" t="s">
        <v>74</v>
      </c>
      <c r="O238" s="1" t="s">
        <v>74</v>
      </c>
      <c r="P238" s="1" t="s">
        <v>74</v>
      </c>
      <c r="Q238" s="1" t="s">
        <v>74</v>
      </c>
      <c r="R238" s="1" t="s">
        <v>74</v>
      </c>
      <c r="S238" s="1" t="s">
        <v>74</v>
      </c>
      <c r="T238" s="1" t="s">
        <v>74</v>
      </c>
      <c r="U238" s="1" t="s">
        <v>74</v>
      </c>
      <c r="V238" s="1" t="s">
        <v>2239</v>
      </c>
      <c r="W238" s="1" t="s">
        <v>74</v>
      </c>
      <c r="X238" s="1" t="s">
        <v>74</v>
      </c>
      <c r="Y238" s="1" t="s">
        <v>74</v>
      </c>
      <c r="Z238" s="1" t="s">
        <v>74</v>
      </c>
      <c r="AA238" s="1" t="s">
        <v>74</v>
      </c>
      <c r="AB238" s="1" t="s">
        <v>2240</v>
      </c>
      <c r="AC238" s="1" t="s">
        <v>74</v>
      </c>
      <c r="AD238" s="1" t="s">
        <v>74</v>
      </c>
      <c r="AE238" s="1" t="s">
        <v>74</v>
      </c>
      <c r="AF238" s="1" t="s">
        <v>74</v>
      </c>
      <c r="AG238" s="1" t="s">
        <v>74</v>
      </c>
      <c r="AH238" s="1" t="s">
        <v>74</v>
      </c>
      <c r="AI238" s="1" t="s">
        <v>74</v>
      </c>
      <c r="AJ238" s="1" t="s">
        <v>74</v>
      </c>
      <c r="AK238" s="1" t="s">
        <v>74</v>
      </c>
      <c r="AL238" s="1" t="s">
        <v>74</v>
      </c>
      <c r="AM238" s="1" t="s">
        <v>74</v>
      </c>
      <c r="AN238" s="1" t="s">
        <v>74</v>
      </c>
      <c r="AO238" s="1" t="s">
        <v>2241</v>
      </c>
      <c r="AP238" s="1" t="s">
        <v>2242</v>
      </c>
      <c r="AQ238" s="1" t="s">
        <v>74</v>
      </c>
      <c r="AR238" s="1" t="s">
        <v>74</v>
      </c>
      <c r="AS238" s="1" t="s">
        <v>74</v>
      </c>
      <c r="AT238" s="1" t="s">
        <v>2243</v>
      </c>
      <c r="AU238" s="1">
        <v>2019.0</v>
      </c>
      <c r="AV238" s="1">
        <v>22.0</v>
      </c>
      <c r="AW238" s="1">
        <v>1.0</v>
      </c>
      <c r="AX238" s="1" t="s">
        <v>74</v>
      </c>
      <c r="AY238" s="1" t="s">
        <v>74</v>
      </c>
      <c r="AZ238" s="1" t="s">
        <v>74</v>
      </c>
      <c r="BA238" s="1" t="s">
        <v>74</v>
      </c>
      <c r="BB238" s="1">
        <v>1952.0</v>
      </c>
      <c r="BC238" s="1">
        <v>1965.0</v>
      </c>
      <c r="BD238" s="1" t="s">
        <v>74</v>
      </c>
      <c r="BE238" s="1" t="s">
        <v>2244</v>
      </c>
      <c r="BF238" s="2" t="str">
        <f>HYPERLINK("http://dx.doi.org/10.1080/10942912.2019.1698605","http://dx.doi.org/10.1080/10942912.2019.1698605")</f>
        <v>http://dx.doi.org/10.1080/10942912.2019.1698605</v>
      </c>
      <c r="BG238" s="1" t="s">
        <v>74</v>
      </c>
      <c r="BH238" s="1" t="s">
        <v>74</v>
      </c>
      <c r="BI238" s="1" t="s">
        <v>74</v>
      </c>
      <c r="BJ238" s="1" t="s">
        <v>74</v>
      </c>
      <c r="BK238" s="1" t="s">
        <v>74</v>
      </c>
      <c r="BL238" s="1" t="s">
        <v>74</v>
      </c>
      <c r="BM238" s="1" t="s">
        <v>74</v>
      </c>
      <c r="BN238" s="1" t="s">
        <v>74</v>
      </c>
      <c r="BO238" s="1" t="s">
        <v>74</v>
      </c>
      <c r="BP238" s="1" t="s">
        <v>74</v>
      </c>
      <c r="BQ238" s="1" t="s">
        <v>74</v>
      </c>
      <c r="BR238" s="1" t="s">
        <v>74</v>
      </c>
      <c r="BS238" s="1" t="s">
        <v>2245</v>
      </c>
      <c r="BT238" s="1" t="str">
        <f>HYPERLINK("https%3A%2F%2Fwww.webofscience.com%2Fwos%2Fwoscc%2Ffull-record%2FWOS:000505160100008","View Full Record in Web of Science")</f>
        <v>View Full Record in Web of Science</v>
      </c>
    </row>
    <row r="239" ht="12.75" customHeight="1">
      <c r="A239" s="1" t="s">
        <v>454</v>
      </c>
      <c r="B239" s="1" t="s">
        <v>2246</v>
      </c>
      <c r="C239" s="1" t="s">
        <v>74</v>
      </c>
      <c r="D239" s="1" t="s">
        <v>74</v>
      </c>
      <c r="E239" s="1" t="s">
        <v>1429</v>
      </c>
      <c r="F239" s="1" t="s">
        <v>2247</v>
      </c>
      <c r="G239" s="1" t="s">
        <v>74</v>
      </c>
      <c r="H239" s="1" t="s">
        <v>74</v>
      </c>
      <c r="I239" s="1" t="s">
        <v>2248</v>
      </c>
      <c r="J239" s="1" t="s">
        <v>1432</v>
      </c>
      <c r="K239" s="1" t="s">
        <v>74</v>
      </c>
      <c r="L239" s="1" t="s">
        <v>74</v>
      </c>
      <c r="M239" s="1" t="s">
        <v>74</v>
      </c>
      <c r="N239" s="1" t="s">
        <v>74</v>
      </c>
      <c r="O239" s="1" t="s">
        <v>74</v>
      </c>
      <c r="P239" s="1" t="s">
        <v>74</v>
      </c>
      <c r="Q239" s="1" t="s">
        <v>74</v>
      </c>
      <c r="R239" s="1" t="s">
        <v>74</v>
      </c>
      <c r="S239" s="1" t="s">
        <v>74</v>
      </c>
      <c r="T239" s="1" t="s">
        <v>74</v>
      </c>
      <c r="U239" s="1" t="s">
        <v>74</v>
      </c>
      <c r="V239" s="1" t="s">
        <v>74</v>
      </c>
      <c r="W239" s="1" t="s">
        <v>74</v>
      </c>
      <c r="X239" s="1" t="s">
        <v>74</v>
      </c>
      <c r="Y239" s="1" t="s">
        <v>74</v>
      </c>
      <c r="Z239" s="1" t="s">
        <v>74</v>
      </c>
      <c r="AA239" s="1" t="s">
        <v>74</v>
      </c>
      <c r="AB239" s="1" t="s">
        <v>74</v>
      </c>
      <c r="AC239" s="1" t="s">
        <v>74</v>
      </c>
      <c r="AD239" s="1" t="s">
        <v>74</v>
      </c>
      <c r="AE239" s="1" t="s">
        <v>74</v>
      </c>
      <c r="AF239" s="1" t="s">
        <v>74</v>
      </c>
      <c r="AG239" s="1" t="s">
        <v>74</v>
      </c>
      <c r="AH239" s="1" t="s">
        <v>74</v>
      </c>
      <c r="AI239" s="1" t="s">
        <v>74</v>
      </c>
      <c r="AJ239" s="1" t="s">
        <v>74</v>
      </c>
      <c r="AK239" s="1" t="s">
        <v>74</v>
      </c>
      <c r="AL239" s="1" t="s">
        <v>74</v>
      </c>
      <c r="AM239" s="1" t="s">
        <v>74</v>
      </c>
      <c r="AN239" s="1" t="s">
        <v>74</v>
      </c>
      <c r="AO239" s="1" t="s">
        <v>74</v>
      </c>
      <c r="AP239" s="1" t="s">
        <v>74</v>
      </c>
      <c r="AQ239" s="1" t="s">
        <v>1435</v>
      </c>
      <c r="AR239" s="1" t="s">
        <v>74</v>
      </c>
      <c r="AS239" s="1" t="s">
        <v>74</v>
      </c>
      <c r="AT239" s="1" t="s">
        <v>74</v>
      </c>
      <c r="AU239" s="1">
        <v>2019.0</v>
      </c>
      <c r="AV239" s="1" t="s">
        <v>74</v>
      </c>
      <c r="AW239" s="1" t="s">
        <v>74</v>
      </c>
      <c r="AX239" s="1" t="s">
        <v>74</v>
      </c>
      <c r="AY239" s="1" t="s">
        <v>74</v>
      </c>
      <c r="AZ239" s="1" t="s">
        <v>74</v>
      </c>
      <c r="BA239" s="1" t="s">
        <v>74</v>
      </c>
      <c r="BB239" s="1">
        <v>145.0</v>
      </c>
      <c r="BC239" s="1">
        <v>149.0</v>
      </c>
      <c r="BD239" s="1" t="s">
        <v>74</v>
      </c>
      <c r="BE239" s="1" t="s">
        <v>74</v>
      </c>
      <c r="BF239" s="1" t="s">
        <v>74</v>
      </c>
      <c r="BG239" s="1" t="s">
        <v>74</v>
      </c>
      <c r="BH239" s="1" t="s">
        <v>74</v>
      </c>
      <c r="BI239" s="1" t="s">
        <v>74</v>
      </c>
      <c r="BJ239" s="1" t="s">
        <v>74</v>
      </c>
      <c r="BK239" s="1" t="s">
        <v>74</v>
      </c>
      <c r="BL239" s="1" t="s">
        <v>74</v>
      </c>
      <c r="BM239" s="1" t="s">
        <v>74</v>
      </c>
      <c r="BN239" s="1" t="s">
        <v>74</v>
      </c>
      <c r="BO239" s="1" t="s">
        <v>74</v>
      </c>
      <c r="BP239" s="1" t="s">
        <v>74</v>
      </c>
      <c r="BQ239" s="1" t="s">
        <v>74</v>
      </c>
      <c r="BR239" s="1" t="s">
        <v>74</v>
      </c>
      <c r="BS239" s="1" t="s">
        <v>2249</v>
      </c>
      <c r="BT239" s="1" t="str">
        <f>HYPERLINK("https%3A%2F%2Fwww.webofscience.com%2Fwos%2Fwoscc%2Ffull-record%2FWOS:000886992800012","View Full Record in Web of Science")</f>
        <v>View Full Record in Web of Science</v>
      </c>
    </row>
    <row r="240" ht="12.75" customHeight="1">
      <c r="A240" s="1" t="s">
        <v>72</v>
      </c>
      <c r="B240" s="1" t="s">
        <v>2250</v>
      </c>
      <c r="C240" s="1" t="s">
        <v>74</v>
      </c>
      <c r="D240" s="1" t="s">
        <v>74</v>
      </c>
      <c r="E240" s="1" t="s">
        <v>74</v>
      </c>
      <c r="F240" s="1" t="s">
        <v>2251</v>
      </c>
      <c r="G240" s="1" t="s">
        <v>74</v>
      </c>
      <c r="H240" s="1" t="s">
        <v>74</v>
      </c>
      <c r="I240" s="1" t="s">
        <v>2252</v>
      </c>
      <c r="J240" s="1" t="s">
        <v>2253</v>
      </c>
      <c r="K240" s="1" t="s">
        <v>74</v>
      </c>
      <c r="L240" s="1" t="s">
        <v>74</v>
      </c>
      <c r="M240" s="1" t="s">
        <v>74</v>
      </c>
      <c r="N240" s="1" t="s">
        <v>74</v>
      </c>
      <c r="O240" s="1" t="s">
        <v>74</v>
      </c>
      <c r="P240" s="1" t="s">
        <v>74</v>
      </c>
      <c r="Q240" s="1" t="s">
        <v>74</v>
      </c>
      <c r="R240" s="1" t="s">
        <v>74</v>
      </c>
      <c r="S240" s="1" t="s">
        <v>74</v>
      </c>
      <c r="T240" s="1" t="s">
        <v>74</v>
      </c>
      <c r="U240" s="1" t="s">
        <v>74</v>
      </c>
      <c r="V240" s="1" t="s">
        <v>2254</v>
      </c>
      <c r="W240" s="1" t="s">
        <v>74</v>
      </c>
      <c r="X240" s="1" t="s">
        <v>74</v>
      </c>
      <c r="Y240" s="1" t="s">
        <v>74</v>
      </c>
      <c r="Z240" s="1" t="s">
        <v>74</v>
      </c>
      <c r="AA240" s="1" t="s">
        <v>1352</v>
      </c>
      <c r="AB240" s="1" t="s">
        <v>74</v>
      </c>
      <c r="AC240" s="1" t="s">
        <v>74</v>
      </c>
      <c r="AD240" s="1" t="s">
        <v>74</v>
      </c>
      <c r="AE240" s="1" t="s">
        <v>74</v>
      </c>
      <c r="AF240" s="1" t="s">
        <v>74</v>
      </c>
      <c r="AG240" s="1" t="s">
        <v>74</v>
      </c>
      <c r="AH240" s="1" t="s">
        <v>74</v>
      </c>
      <c r="AI240" s="1" t="s">
        <v>74</v>
      </c>
      <c r="AJ240" s="1" t="s">
        <v>74</v>
      </c>
      <c r="AK240" s="1" t="s">
        <v>74</v>
      </c>
      <c r="AL240" s="1" t="s">
        <v>74</v>
      </c>
      <c r="AM240" s="1" t="s">
        <v>74</v>
      </c>
      <c r="AN240" s="1" t="s">
        <v>74</v>
      </c>
      <c r="AO240" s="1" t="s">
        <v>2255</v>
      </c>
      <c r="AP240" s="1" t="s">
        <v>2256</v>
      </c>
      <c r="AQ240" s="1" t="s">
        <v>74</v>
      </c>
      <c r="AR240" s="1" t="s">
        <v>74</v>
      </c>
      <c r="AS240" s="1" t="s">
        <v>74</v>
      </c>
      <c r="AT240" s="1" t="s">
        <v>74</v>
      </c>
      <c r="AU240" s="1">
        <v>2019.0</v>
      </c>
      <c r="AV240" s="1">
        <v>24.0</v>
      </c>
      <c r="AW240" s="1">
        <v>1.0</v>
      </c>
      <c r="AX240" s="1" t="s">
        <v>74</v>
      </c>
      <c r="AY240" s="1" t="s">
        <v>74</v>
      </c>
      <c r="AZ240" s="1" t="s">
        <v>74</v>
      </c>
      <c r="BA240" s="1" t="s">
        <v>74</v>
      </c>
      <c r="BB240" s="1">
        <v>163.0</v>
      </c>
      <c r="BC240" s="1">
        <v>184.0</v>
      </c>
      <c r="BD240" s="1" t="s">
        <v>74</v>
      </c>
      <c r="BE240" s="1" t="s">
        <v>2257</v>
      </c>
      <c r="BF240" s="2" t="str">
        <f>HYPERLINK("http://dx.doi.org/10.5209/HICS.64489","http://dx.doi.org/10.5209/HICS.64489")</f>
        <v>http://dx.doi.org/10.5209/HICS.64489</v>
      </c>
      <c r="BG240" s="1" t="s">
        <v>74</v>
      </c>
      <c r="BH240" s="1" t="s">
        <v>74</v>
      </c>
      <c r="BI240" s="1" t="s">
        <v>74</v>
      </c>
      <c r="BJ240" s="1" t="s">
        <v>74</v>
      </c>
      <c r="BK240" s="1" t="s">
        <v>74</v>
      </c>
      <c r="BL240" s="1" t="s">
        <v>74</v>
      </c>
      <c r="BM240" s="1" t="s">
        <v>74</v>
      </c>
      <c r="BN240" s="1" t="s">
        <v>74</v>
      </c>
      <c r="BO240" s="1" t="s">
        <v>74</v>
      </c>
      <c r="BP240" s="1" t="s">
        <v>74</v>
      </c>
      <c r="BQ240" s="1" t="s">
        <v>74</v>
      </c>
      <c r="BR240" s="1" t="s">
        <v>74</v>
      </c>
      <c r="BS240" s="1" t="s">
        <v>2258</v>
      </c>
      <c r="BT240" s="1" t="str">
        <f>HYPERLINK("https%3A%2F%2Fwww.webofscience.com%2Fwos%2Fwoscc%2Ffull-record%2FWOS:000493991100011","View Full Record in Web of Science")</f>
        <v>View Full Record in Web of Science</v>
      </c>
    </row>
    <row r="241" ht="12.75" customHeight="1">
      <c r="A241" s="1" t="s">
        <v>72</v>
      </c>
      <c r="B241" s="1" t="s">
        <v>2259</v>
      </c>
      <c r="C241" s="1" t="s">
        <v>74</v>
      </c>
      <c r="D241" s="1" t="s">
        <v>74</v>
      </c>
      <c r="E241" s="1" t="s">
        <v>74</v>
      </c>
      <c r="F241" s="1" t="s">
        <v>2260</v>
      </c>
      <c r="G241" s="1" t="s">
        <v>74</v>
      </c>
      <c r="H241" s="1" t="s">
        <v>74</v>
      </c>
      <c r="I241" s="1" t="s">
        <v>2261</v>
      </c>
      <c r="J241" s="1" t="s">
        <v>832</v>
      </c>
      <c r="K241" s="1" t="s">
        <v>74</v>
      </c>
      <c r="L241" s="1" t="s">
        <v>74</v>
      </c>
      <c r="M241" s="1" t="s">
        <v>74</v>
      </c>
      <c r="N241" s="1" t="s">
        <v>74</v>
      </c>
      <c r="O241" s="1" t="s">
        <v>74</v>
      </c>
      <c r="P241" s="1" t="s">
        <v>74</v>
      </c>
      <c r="Q241" s="1" t="s">
        <v>74</v>
      </c>
      <c r="R241" s="1" t="s">
        <v>74</v>
      </c>
      <c r="S241" s="1" t="s">
        <v>74</v>
      </c>
      <c r="T241" s="1" t="s">
        <v>74</v>
      </c>
      <c r="U241" s="1" t="s">
        <v>74</v>
      </c>
      <c r="V241" s="1" t="s">
        <v>2262</v>
      </c>
      <c r="W241" s="1" t="s">
        <v>74</v>
      </c>
      <c r="X241" s="1" t="s">
        <v>74</v>
      </c>
      <c r="Y241" s="1" t="s">
        <v>74</v>
      </c>
      <c r="Z241" s="1" t="s">
        <v>74</v>
      </c>
      <c r="AA241" s="1" t="s">
        <v>2263</v>
      </c>
      <c r="AB241" s="1" t="s">
        <v>2264</v>
      </c>
      <c r="AC241" s="1" t="s">
        <v>74</v>
      </c>
      <c r="AD241" s="1" t="s">
        <v>74</v>
      </c>
      <c r="AE241" s="1" t="s">
        <v>74</v>
      </c>
      <c r="AF241" s="1" t="s">
        <v>74</v>
      </c>
      <c r="AG241" s="1" t="s">
        <v>74</v>
      </c>
      <c r="AH241" s="1" t="s">
        <v>74</v>
      </c>
      <c r="AI241" s="1" t="s">
        <v>74</v>
      </c>
      <c r="AJ241" s="1" t="s">
        <v>74</v>
      </c>
      <c r="AK241" s="1" t="s">
        <v>74</v>
      </c>
      <c r="AL241" s="1" t="s">
        <v>74</v>
      </c>
      <c r="AM241" s="1" t="s">
        <v>74</v>
      </c>
      <c r="AN241" s="1" t="s">
        <v>74</v>
      </c>
      <c r="AO241" s="1" t="s">
        <v>835</v>
      </c>
      <c r="AP241" s="1" t="s">
        <v>836</v>
      </c>
      <c r="AQ241" s="1" t="s">
        <v>74</v>
      </c>
      <c r="AR241" s="1" t="s">
        <v>74</v>
      </c>
      <c r="AS241" s="1" t="s">
        <v>74</v>
      </c>
      <c r="AT241" s="1" t="s">
        <v>74</v>
      </c>
      <c r="AU241" s="1">
        <v>2019.0</v>
      </c>
      <c r="AV241" s="1">
        <v>147.0</v>
      </c>
      <c r="AW241" s="1">
        <v>1.0</v>
      </c>
      <c r="AX241" s="1" t="s">
        <v>74</v>
      </c>
      <c r="AY241" s="1" t="s">
        <v>74</v>
      </c>
      <c r="AZ241" s="1" t="s">
        <v>74</v>
      </c>
      <c r="BA241" s="1" t="s">
        <v>74</v>
      </c>
      <c r="BB241" s="1">
        <v>83.0</v>
      </c>
      <c r="BC241" s="1">
        <v>90.0</v>
      </c>
      <c r="BD241" s="1" t="s">
        <v>74</v>
      </c>
      <c r="BE241" s="1" t="s">
        <v>2265</v>
      </c>
      <c r="BF241" s="2" t="str">
        <f>HYPERLINK("http://dx.doi.org/10.4067/S0034-98872019000100083","http://dx.doi.org/10.4067/S0034-98872019000100083")</f>
        <v>http://dx.doi.org/10.4067/S0034-98872019000100083</v>
      </c>
      <c r="BG241" s="1" t="s">
        <v>74</v>
      </c>
      <c r="BH241" s="1" t="s">
        <v>74</v>
      </c>
      <c r="BI241" s="1" t="s">
        <v>74</v>
      </c>
      <c r="BJ241" s="1" t="s">
        <v>74</v>
      </c>
      <c r="BK241" s="1" t="s">
        <v>74</v>
      </c>
      <c r="BL241" s="1" t="s">
        <v>74</v>
      </c>
      <c r="BM241" s="1" t="s">
        <v>74</v>
      </c>
      <c r="BN241" s="1">
        <v>3.0848769E7</v>
      </c>
      <c r="BO241" s="1" t="s">
        <v>74</v>
      </c>
      <c r="BP241" s="1" t="s">
        <v>74</v>
      </c>
      <c r="BQ241" s="1" t="s">
        <v>74</v>
      </c>
      <c r="BR241" s="1" t="s">
        <v>74</v>
      </c>
      <c r="BS241" s="1" t="s">
        <v>2266</v>
      </c>
      <c r="BT241" s="1" t="str">
        <f>HYPERLINK("https%3A%2F%2Fwww.webofscience.com%2Fwos%2Fwoscc%2Ffull-record%2FWOS:000460163000012","View Full Record in Web of Science")</f>
        <v>View Full Record in Web of Science</v>
      </c>
    </row>
    <row r="242" ht="12.75" customHeight="1">
      <c r="A242" s="1" t="s">
        <v>91</v>
      </c>
      <c r="B242" s="1" t="s">
        <v>2267</v>
      </c>
      <c r="C242" s="1" t="s">
        <v>74</v>
      </c>
      <c r="D242" s="1" t="s">
        <v>1589</v>
      </c>
      <c r="E242" s="1" t="s">
        <v>74</v>
      </c>
      <c r="F242" s="1" t="s">
        <v>2268</v>
      </c>
      <c r="G242" s="1" t="s">
        <v>74</v>
      </c>
      <c r="H242" s="1" t="s">
        <v>74</v>
      </c>
      <c r="I242" s="1" t="s">
        <v>2269</v>
      </c>
      <c r="J242" s="1" t="s">
        <v>2270</v>
      </c>
      <c r="K242" s="1" t="s">
        <v>1593</v>
      </c>
      <c r="L242" s="1" t="s">
        <v>74</v>
      </c>
      <c r="M242" s="1" t="s">
        <v>74</v>
      </c>
      <c r="N242" s="1" t="s">
        <v>74</v>
      </c>
      <c r="O242" s="1" t="s">
        <v>2271</v>
      </c>
      <c r="P242" s="1" t="s">
        <v>2272</v>
      </c>
      <c r="Q242" s="1" t="s">
        <v>1596</v>
      </c>
      <c r="R242" s="1" t="s">
        <v>74</v>
      </c>
      <c r="S242" s="1" t="s">
        <v>74</v>
      </c>
      <c r="T242" s="1" t="s">
        <v>74</v>
      </c>
      <c r="U242" s="1" t="s">
        <v>74</v>
      </c>
      <c r="V242" s="1" t="s">
        <v>2273</v>
      </c>
      <c r="W242" s="1" t="s">
        <v>74</v>
      </c>
      <c r="X242" s="1" t="s">
        <v>74</v>
      </c>
      <c r="Y242" s="1" t="s">
        <v>74</v>
      </c>
      <c r="Z242" s="1" t="s">
        <v>74</v>
      </c>
      <c r="AA242" s="1" t="s">
        <v>74</v>
      </c>
      <c r="AB242" s="1" t="s">
        <v>74</v>
      </c>
      <c r="AC242" s="1" t="s">
        <v>74</v>
      </c>
      <c r="AD242" s="1" t="s">
        <v>74</v>
      </c>
      <c r="AE242" s="1" t="s">
        <v>74</v>
      </c>
      <c r="AF242" s="1" t="s">
        <v>74</v>
      </c>
      <c r="AG242" s="1" t="s">
        <v>74</v>
      </c>
      <c r="AH242" s="1" t="s">
        <v>74</v>
      </c>
      <c r="AI242" s="1" t="s">
        <v>74</v>
      </c>
      <c r="AJ242" s="1" t="s">
        <v>74</v>
      </c>
      <c r="AK242" s="1" t="s">
        <v>74</v>
      </c>
      <c r="AL242" s="1" t="s">
        <v>74</v>
      </c>
      <c r="AM242" s="1" t="s">
        <v>74</v>
      </c>
      <c r="AN242" s="1" t="s">
        <v>74</v>
      </c>
      <c r="AO242" s="1" t="s">
        <v>1598</v>
      </c>
      <c r="AP242" s="1" t="s">
        <v>74</v>
      </c>
      <c r="AQ242" s="1" t="s">
        <v>2274</v>
      </c>
      <c r="AR242" s="1" t="s">
        <v>74</v>
      </c>
      <c r="AS242" s="1" t="s">
        <v>74</v>
      </c>
      <c r="AT242" s="1" t="s">
        <v>74</v>
      </c>
      <c r="AU242" s="1">
        <v>2018.0</v>
      </c>
      <c r="AV242" s="1" t="s">
        <v>74</v>
      </c>
      <c r="AW242" s="1" t="s">
        <v>74</v>
      </c>
      <c r="AX242" s="1" t="s">
        <v>74</v>
      </c>
      <c r="AY242" s="1" t="s">
        <v>74</v>
      </c>
      <c r="AZ242" s="1" t="s">
        <v>74</v>
      </c>
      <c r="BA242" s="1" t="s">
        <v>74</v>
      </c>
      <c r="BB242" s="1">
        <v>5697.0</v>
      </c>
      <c r="BC242" s="1">
        <v>5703.0</v>
      </c>
      <c r="BD242" s="1" t="s">
        <v>74</v>
      </c>
      <c r="BE242" s="1" t="s">
        <v>74</v>
      </c>
      <c r="BF242" s="1" t="s">
        <v>74</v>
      </c>
      <c r="BG242" s="1" t="s">
        <v>74</v>
      </c>
      <c r="BH242" s="1" t="s">
        <v>74</v>
      </c>
      <c r="BI242" s="1" t="s">
        <v>74</v>
      </c>
      <c r="BJ242" s="1" t="s">
        <v>74</v>
      </c>
      <c r="BK242" s="1" t="s">
        <v>74</v>
      </c>
      <c r="BL242" s="1" t="s">
        <v>74</v>
      </c>
      <c r="BM242" s="1" t="s">
        <v>74</v>
      </c>
      <c r="BN242" s="1" t="s">
        <v>74</v>
      </c>
      <c r="BO242" s="1" t="s">
        <v>74</v>
      </c>
      <c r="BP242" s="1" t="s">
        <v>74</v>
      </c>
      <c r="BQ242" s="1" t="s">
        <v>74</v>
      </c>
      <c r="BR242" s="1" t="s">
        <v>74</v>
      </c>
      <c r="BS242" s="1" t="s">
        <v>2275</v>
      </c>
      <c r="BT242" s="1" t="str">
        <f>HYPERLINK("https%3A%2F%2Fwww.webofscience.com%2Fwos%2Fwoscc%2Ffull-record%2FWOS:000568991700135","View Full Record in Web of Science")</f>
        <v>View Full Record in Web of Science</v>
      </c>
    </row>
    <row r="243" ht="12.75" customHeight="1">
      <c r="A243" s="1" t="s">
        <v>454</v>
      </c>
      <c r="B243" s="1" t="s">
        <v>2276</v>
      </c>
      <c r="C243" s="1" t="s">
        <v>1480</v>
      </c>
      <c r="D243" s="1" t="s">
        <v>74</v>
      </c>
      <c r="E243" s="1" t="s">
        <v>74</v>
      </c>
      <c r="F243" s="1" t="s">
        <v>2277</v>
      </c>
      <c r="G243" s="1" t="s">
        <v>1480</v>
      </c>
      <c r="H243" s="1" t="s">
        <v>74</v>
      </c>
      <c r="I243" s="1" t="s">
        <v>2278</v>
      </c>
      <c r="J243" s="1" t="s">
        <v>1483</v>
      </c>
      <c r="K243" s="1" t="s">
        <v>74</v>
      </c>
      <c r="L243" s="1" t="s">
        <v>74</v>
      </c>
      <c r="M243" s="1" t="s">
        <v>74</v>
      </c>
      <c r="N243" s="1" t="s">
        <v>74</v>
      </c>
      <c r="O243" s="1" t="s">
        <v>74</v>
      </c>
      <c r="P243" s="1" t="s">
        <v>74</v>
      </c>
      <c r="Q243" s="1" t="s">
        <v>74</v>
      </c>
      <c r="R243" s="1" t="s">
        <v>74</v>
      </c>
      <c r="S243" s="1" t="s">
        <v>74</v>
      </c>
      <c r="T243" s="1" t="s">
        <v>74</v>
      </c>
      <c r="U243" s="1" t="s">
        <v>74</v>
      </c>
      <c r="V243" s="1" t="s">
        <v>2279</v>
      </c>
      <c r="W243" s="1" t="s">
        <v>74</v>
      </c>
      <c r="X243" s="1" t="s">
        <v>74</v>
      </c>
      <c r="Y243" s="1" t="s">
        <v>74</v>
      </c>
      <c r="Z243" s="1" t="s">
        <v>74</v>
      </c>
      <c r="AA243" s="1" t="s">
        <v>74</v>
      </c>
      <c r="AB243" s="1" t="s">
        <v>74</v>
      </c>
      <c r="AC243" s="1" t="s">
        <v>74</v>
      </c>
      <c r="AD243" s="1" t="s">
        <v>74</v>
      </c>
      <c r="AE243" s="1" t="s">
        <v>74</v>
      </c>
      <c r="AF243" s="1" t="s">
        <v>74</v>
      </c>
      <c r="AG243" s="1" t="s">
        <v>74</v>
      </c>
      <c r="AH243" s="1" t="s">
        <v>74</v>
      </c>
      <c r="AI243" s="1" t="s">
        <v>74</v>
      </c>
      <c r="AJ243" s="1" t="s">
        <v>74</v>
      </c>
      <c r="AK243" s="1" t="s">
        <v>74</v>
      </c>
      <c r="AL243" s="1" t="s">
        <v>74</v>
      </c>
      <c r="AM243" s="1" t="s">
        <v>74</v>
      </c>
      <c r="AN243" s="1" t="s">
        <v>74</v>
      </c>
      <c r="AO243" s="1" t="s">
        <v>74</v>
      </c>
      <c r="AP243" s="1" t="s">
        <v>74</v>
      </c>
      <c r="AQ243" s="1" t="s">
        <v>1485</v>
      </c>
      <c r="AR243" s="1" t="s">
        <v>74</v>
      </c>
      <c r="AS243" s="1" t="s">
        <v>74</v>
      </c>
      <c r="AT243" s="1" t="s">
        <v>74</v>
      </c>
      <c r="AU243" s="1">
        <v>2018.0</v>
      </c>
      <c r="AV243" s="1" t="s">
        <v>74</v>
      </c>
      <c r="AW243" s="1" t="s">
        <v>74</v>
      </c>
      <c r="AX243" s="1" t="s">
        <v>74</v>
      </c>
      <c r="AY243" s="1" t="s">
        <v>74</v>
      </c>
      <c r="AZ243" s="1" t="s">
        <v>74</v>
      </c>
      <c r="BA243" s="1" t="s">
        <v>74</v>
      </c>
      <c r="BB243" s="1">
        <v>111.0</v>
      </c>
      <c r="BC243" s="1">
        <v>128.0</v>
      </c>
      <c r="BD243" s="1" t="s">
        <v>74</v>
      </c>
      <c r="BE243" s="1" t="s">
        <v>74</v>
      </c>
      <c r="BF243" s="1" t="s">
        <v>74</v>
      </c>
      <c r="BG243" s="1" t="s">
        <v>74</v>
      </c>
      <c r="BH243" s="1" t="s">
        <v>74</v>
      </c>
      <c r="BI243" s="1" t="s">
        <v>74</v>
      </c>
      <c r="BJ243" s="1" t="s">
        <v>74</v>
      </c>
      <c r="BK243" s="1" t="s">
        <v>74</v>
      </c>
      <c r="BL243" s="1" t="s">
        <v>74</v>
      </c>
      <c r="BM243" s="1" t="s">
        <v>74</v>
      </c>
      <c r="BN243" s="1" t="s">
        <v>74</v>
      </c>
      <c r="BO243" s="1" t="s">
        <v>74</v>
      </c>
      <c r="BP243" s="1" t="s">
        <v>74</v>
      </c>
      <c r="BQ243" s="1" t="s">
        <v>74</v>
      </c>
      <c r="BR243" s="1" t="s">
        <v>74</v>
      </c>
      <c r="BS243" s="1" t="s">
        <v>2280</v>
      </c>
      <c r="BT243" s="1" t="str">
        <f>HYPERLINK("https%3A%2F%2Fwww.webofscience.com%2Fwos%2Fwoscc%2Ffull-record%2FWOS:000483366800009","View Full Record in Web of Science")</f>
        <v>View Full Record in Web of Science</v>
      </c>
    </row>
    <row r="244" ht="12.75" customHeight="1">
      <c r="A244" s="1" t="s">
        <v>72</v>
      </c>
      <c r="B244" s="1" t="s">
        <v>2281</v>
      </c>
      <c r="C244" s="1" t="s">
        <v>74</v>
      </c>
      <c r="D244" s="1" t="s">
        <v>74</v>
      </c>
      <c r="E244" s="1" t="s">
        <v>74</v>
      </c>
      <c r="F244" s="1" t="s">
        <v>2282</v>
      </c>
      <c r="G244" s="1" t="s">
        <v>74</v>
      </c>
      <c r="H244" s="1" t="s">
        <v>74</v>
      </c>
      <c r="I244" s="1" t="s">
        <v>2283</v>
      </c>
      <c r="J244" s="1" t="s">
        <v>776</v>
      </c>
      <c r="K244" s="1" t="s">
        <v>74</v>
      </c>
      <c r="L244" s="1" t="s">
        <v>74</v>
      </c>
      <c r="M244" s="1" t="s">
        <v>74</v>
      </c>
      <c r="N244" s="1" t="s">
        <v>74</v>
      </c>
      <c r="O244" s="1" t="s">
        <v>74</v>
      </c>
      <c r="P244" s="1" t="s">
        <v>74</v>
      </c>
      <c r="Q244" s="1" t="s">
        <v>74</v>
      </c>
      <c r="R244" s="1" t="s">
        <v>74</v>
      </c>
      <c r="S244" s="1" t="s">
        <v>74</v>
      </c>
      <c r="T244" s="1" t="s">
        <v>74</v>
      </c>
      <c r="U244" s="1" t="s">
        <v>74</v>
      </c>
      <c r="V244" s="1" t="s">
        <v>2284</v>
      </c>
      <c r="W244" s="1" t="s">
        <v>74</v>
      </c>
      <c r="X244" s="1" t="s">
        <v>74</v>
      </c>
      <c r="Y244" s="1" t="s">
        <v>74</v>
      </c>
      <c r="Z244" s="1" t="s">
        <v>74</v>
      </c>
      <c r="AA244" s="1" t="s">
        <v>2285</v>
      </c>
      <c r="AB244" s="1" t="s">
        <v>74</v>
      </c>
      <c r="AC244" s="1" t="s">
        <v>74</v>
      </c>
      <c r="AD244" s="1" t="s">
        <v>74</v>
      </c>
      <c r="AE244" s="1" t="s">
        <v>74</v>
      </c>
      <c r="AF244" s="1" t="s">
        <v>74</v>
      </c>
      <c r="AG244" s="1" t="s">
        <v>74</v>
      </c>
      <c r="AH244" s="1" t="s">
        <v>74</v>
      </c>
      <c r="AI244" s="1" t="s">
        <v>74</v>
      </c>
      <c r="AJ244" s="1" t="s">
        <v>74</v>
      </c>
      <c r="AK244" s="1" t="s">
        <v>74</v>
      </c>
      <c r="AL244" s="1" t="s">
        <v>74</v>
      </c>
      <c r="AM244" s="1" t="s">
        <v>74</v>
      </c>
      <c r="AN244" s="1" t="s">
        <v>74</v>
      </c>
      <c r="AO244" s="1" t="s">
        <v>779</v>
      </c>
      <c r="AP244" s="1" t="s">
        <v>74</v>
      </c>
      <c r="AQ244" s="1" t="s">
        <v>74</v>
      </c>
      <c r="AR244" s="1" t="s">
        <v>74</v>
      </c>
      <c r="AS244" s="1" t="s">
        <v>74</v>
      </c>
      <c r="AT244" s="1" t="s">
        <v>74</v>
      </c>
      <c r="AU244" s="1">
        <v>2018.0</v>
      </c>
      <c r="AV244" s="1">
        <v>46.0</v>
      </c>
      <c r="AW244" s="1">
        <v>2.0</v>
      </c>
      <c r="AX244" s="1" t="s">
        <v>74</v>
      </c>
      <c r="AY244" s="1" t="s">
        <v>74</v>
      </c>
      <c r="AZ244" s="1" t="s">
        <v>74</v>
      </c>
      <c r="BA244" s="1" t="s">
        <v>74</v>
      </c>
      <c r="BB244" s="1">
        <v>85.0</v>
      </c>
      <c r="BC244" s="1">
        <v>105.0</v>
      </c>
      <c r="BD244" s="1" t="s">
        <v>74</v>
      </c>
      <c r="BE244" s="1" t="s">
        <v>2286</v>
      </c>
      <c r="BF244" s="2" t="str">
        <f>HYPERLINK("http://dx.doi.org/10.4067/S0718-22442018000200085","http://dx.doi.org/10.4067/S0718-22442018000200085")</f>
        <v>http://dx.doi.org/10.4067/S0718-22442018000200085</v>
      </c>
      <c r="BG244" s="1" t="s">
        <v>74</v>
      </c>
      <c r="BH244" s="1" t="s">
        <v>74</v>
      </c>
      <c r="BI244" s="1" t="s">
        <v>74</v>
      </c>
      <c r="BJ244" s="1" t="s">
        <v>74</v>
      </c>
      <c r="BK244" s="1" t="s">
        <v>74</v>
      </c>
      <c r="BL244" s="1" t="s">
        <v>74</v>
      </c>
      <c r="BM244" s="1" t="s">
        <v>74</v>
      </c>
      <c r="BN244" s="1" t="s">
        <v>74</v>
      </c>
      <c r="BO244" s="1" t="s">
        <v>74</v>
      </c>
      <c r="BP244" s="1" t="s">
        <v>74</v>
      </c>
      <c r="BQ244" s="1" t="s">
        <v>74</v>
      </c>
      <c r="BR244" s="1" t="s">
        <v>74</v>
      </c>
      <c r="BS244" s="1" t="s">
        <v>2287</v>
      </c>
      <c r="BT244" s="1" t="str">
        <f>HYPERLINK("https%3A%2F%2Fwww.webofscience.com%2Fwos%2Fwoscc%2Ffull-record%2FWOS:000456941900005","View Full Record in Web of Science")</f>
        <v>View Full Record in Web of Science</v>
      </c>
    </row>
    <row r="245" ht="12.75" customHeight="1">
      <c r="A245" s="1" t="s">
        <v>72</v>
      </c>
      <c r="B245" s="1" t="s">
        <v>2288</v>
      </c>
      <c r="C245" s="1" t="s">
        <v>74</v>
      </c>
      <c r="D245" s="1" t="s">
        <v>74</v>
      </c>
      <c r="E245" s="1" t="s">
        <v>74</v>
      </c>
      <c r="F245" s="1" t="s">
        <v>2289</v>
      </c>
      <c r="G245" s="1" t="s">
        <v>74</v>
      </c>
      <c r="H245" s="1" t="s">
        <v>74</v>
      </c>
      <c r="I245" s="1" t="s">
        <v>2290</v>
      </c>
      <c r="J245" s="1" t="s">
        <v>2291</v>
      </c>
      <c r="K245" s="1" t="s">
        <v>74</v>
      </c>
      <c r="L245" s="1" t="s">
        <v>74</v>
      </c>
      <c r="M245" s="1" t="s">
        <v>74</v>
      </c>
      <c r="N245" s="1" t="s">
        <v>74</v>
      </c>
      <c r="O245" s="1" t="s">
        <v>74</v>
      </c>
      <c r="P245" s="1" t="s">
        <v>74</v>
      </c>
      <c r="Q245" s="1" t="s">
        <v>74</v>
      </c>
      <c r="R245" s="1" t="s">
        <v>74</v>
      </c>
      <c r="S245" s="1" t="s">
        <v>74</v>
      </c>
      <c r="T245" s="1" t="s">
        <v>74</v>
      </c>
      <c r="U245" s="1" t="s">
        <v>74</v>
      </c>
      <c r="V245" s="1" t="s">
        <v>74</v>
      </c>
      <c r="W245" s="1" t="s">
        <v>74</v>
      </c>
      <c r="X245" s="1" t="s">
        <v>74</v>
      </c>
      <c r="Y245" s="1" t="s">
        <v>74</v>
      </c>
      <c r="Z245" s="1" t="s">
        <v>74</v>
      </c>
      <c r="AA245" s="1" t="s">
        <v>74</v>
      </c>
      <c r="AB245" s="1" t="s">
        <v>74</v>
      </c>
      <c r="AC245" s="1" t="s">
        <v>74</v>
      </c>
      <c r="AD245" s="1" t="s">
        <v>74</v>
      </c>
      <c r="AE245" s="1" t="s">
        <v>74</v>
      </c>
      <c r="AF245" s="1" t="s">
        <v>74</v>
      </c>
      <c r="AG245" s="1" t="s">
        <v>74</v>
      </c>
      <c r="AH245" s="1" t="s">
        <v>74</v>
      </c>
      <c r="AI245" s="1" t="s">
        <v>74</v>
      </c>
      <c r="AJ245" s="1" t="s">
        <v>74</v>
      </c>
      <c r="AK245" s="1" t="s">
        <v>74</v>
      </c>
      <c r="AL245" s="1" t="s">
        <v>74</v>
      </c>
      <c r="AM245" s="1" t="s">
        <v>74</v>
      </c>
      <c r="AN245" s="1" t="s">
        <v>74</v>
      </c>
      <c r="AO245" s="1" t="s">
        <v>2292</v>
      </c>
      <c r="AP245" s="1" t="s">
        <v>74</v>
      </c>
      <c r="AQ245" s="1" t="s">
        <v>74</v>
      </c>
      <c r="AR245" s="1" t="s">
        <v>74</v>
      </c>
      <c r="AS245" s="1" t="s">
        <v>74</v>
      </c>
      <c r="AT245" s="1" t="s">
        <v>74</v>
      </c>
      <c r="AU245" s="1">
        <v>2018.0</v>
      </c>
      <c r="AV245" s="1">
        <v>255.0</v>
      </c>
      <c r="AW245" s="1">
        <v>2.0</v>
      </c>
      <c r="AX245" s="1" t="s">
        <v>74</v>
      </c>
      <c r="AY245" s="1" t="s">
        <v>74</v>
      </c>
      <c r="AZ245" s="1" t="s">
        <v>74</v>
      </c>
      <c r="BA245" s="1" t="s">
        <v>74</v>
      </c>
      <c r="BB245" s="1">
        <v>335.0</v>
      </c>
      <c r="BC245" s="1">
        <v>346.0</v>
      </c>
      <c r="BD245" s="1" t="s">
        <v>74</v>
      </c>
      <c r="BE245" s="1" t="s">
        <v>74</v>
      </c>
      <c r="BF245" s="1" t="s">
        <v>74</v>
      </c>
      <c r="BG245" s="1" t="s">
        <v>74</v>
      </c>
      <c r="BH245" s="1" t="s">
        <v>74</v>
      </c>
      <c r="BI245" s="1" t="s">
        <v>74</v>
      </c>
      <c r="BJ245" s="1" t="s">
        <v>74</v>
      </c>
      <c r="BK245" s="1" t="s">
        <v>74</v>
      </c>
      <c r="BL245" s="1" t="s">
        <v>74</v>
      </c>
      <c r="BM245" s="1" t="s">
        <v>74</v>
      </c>
      <c r="BN245" s="1" t="s">
        <v>74</v>
      </c>
      <c r="BO245" s="1" t="s">
        <v>74</v>
      </c>
      <c r="BP245" s="1" t="s">
        <v>74</v>
      </c>
      <c r="BQ245" s="1" t="s">
        <v>74</v>
      </c>
      <c r="BR245" s="1" t="s">
        <v>74</v>
      </c>
      <c r="BS245" s="1" t="s">
        <v>2293</v>
      </c>
      <c r="BT245" s="1" t="str">
        <f>HYPERLINK("https%3A%2F%2Fwww.webofscience.com%2Fwos%2Fwoscc%2Ffull-record%2FWOS:000459232600007","View Full Record in Web of Science")</f>
        <v>View Full Record in Web of Science</v>
      </c>
    </row>
    <row r="246" ht="12.75" customHeight="1">
      <c r="A246" s="1" t="s">
        <v>72</v>
      </c>
      <c r="B246" s="1" t="s">
        <v>1487</v>
      </c>
      <c r="C246" s="1" t="s">
        <v>74</v>
      </c>
      <c r="D246" s="1" t="s">
        <v>74</v>
      </c>
      <c r="E246" s="1" t="s">
        <v>74</v>
      </c>
      <c r="F246" s="1" t="s">
        <v>1488</v>
      </c>
      <c r="G246" s="1" t="s">
        <v>74</v>
      </c>
      <c r="H246" s="1" t="s">
        <v>74</v>
      </c>
      <c r="I246" s="1" t="s">
        <v>2294</v>
      </c>
      <c r="J246" s="1" t="s">
        <v>1490</v>
      </c>
      <c r="K246" s="1" t="s">
        <v>74</v>
      </c>
      <c r="L246" s="1" t="s">
        <v>74</v>
      </c>
      <c r="M246" s="1" t="s">
        <v>74</v>
      </c>
      <c r="N246" s="1" t="s">
        <v>74</v>
      </c>
      <c r="O246" s="1" t="s">
        <v>74</v>
      </c>
      <c r="P246" s="1" t="s">
        <v>74</v>
      </c>
      <c r="Q246" s="1" t="s">
        <v>74</v>
      </c>
      <c r="R246" s="1" t="s">
        <v>74</v>
      </c>
      <c r="S246" s="1" t="s">
        <v>74</v>
      </c>
      <c r="T246" s="1" t="s">
        <v>74</v>
      </c>
      <c r="U246" s="1" t="s">
        <v>74</v>
      </c>
      <c r="V246" s="1" t="s">
        <v>2295</v>
      </c>
      <c r="W246" s="1" t="s">
        <v>74</v>
      </c>
      <c r="X246" s="1" t="s">
        <v>74</v>
      </c>
      <c r="Y246" s="1" t="s">
        <v>74</v>
      </c>
      <c r="Z246" s="1" t="s">
        <v>74</v>
      </c>
      <c r="AA246" s="1" t="s">
        <v>74</v>
      </c>
      <c r="AB246" s="1" t="s">
        <v>74</v>
      </c>
      <c r="AC246" s="1" t="s">
        <v>74</v>
      </c>
      <c r="AD246" s="1" t="s">
        <v>74</v>
      </c>
      <c r="AE246" s="1" t="s">
        <v>74</v>
      </c>
      <c r="AF246" s="1" t="s">
        <v>74</v>
      </c>
      <c r="AG246" s="1" t="s">
        <v>74</v>
      </c>
      <c r="AH246" s="1" t="s">
        <v>74</v>
      </c>
      <c r="AI246" s="1" t="s">
        <v>74</v>
      </c>
      <c r="AJ246" s="1" t="s">
        <v>74</v>
      </c>
      <c r="AK246" s="1" t="s">
        <v>74</v>
      </c>
      <c r="AL246" s="1" t="s">
        <v>74</v>
      </c>
      <c r="AM246" s="1" t="s">
        <v>74</v>
      </c>
      <c r="AN246" s="1" t="s">
        <v>74</v>
      </c>
      <c r="AO246" s="1" t="s">
        <v>1491</v>
      </c>
      <c r="AP246" s="1" t="s">
        <v>1492</v>
      </c>
      <c r="AQ246" s="1" t="s">
        <v>74</v>
      </c>
      <c r="AR246" s="1" t="s">
        <v>74</v>
      </c>
      <c r="AS246" s="1" t="s">
        <v>74</v>
      </c>
      <c r="AT246" s="1" t="s">
        <v>915</v>
      </c>
      <c r="AU246" s="1">
        <v>2017.0</v>
      </c>
      <c r="AV246" s="1">
        <v>71.0</v>
      </c>
      <c r="AW246" s="1">
        <v>228.0</v>
      </c>
      <c r="AX246" s="1" t="s">
        <v>74</v>
      </c>
      <c r="AY246" s="1" t="s">
        <v>74</v>
      </c>
      <c r="AZ246" s="1" t="s">
        <v>74</v>
      </c>
      <c r="BA246" s="1" t="s">
        <v>74</v>
      </c>
      <c r="BB246" s="1">
        <v>11.0</v>
      </c>
      <c r="BC246" s="1">
        <v>28.0</v>
      </c>
      <c r="BD246" s="1" t="s">
        <v>74</v>
      </c>
      <c r="BE246" s="1" t="s">
        <v>74</v>
      </c>
      <c r="BF246" s="1" t="s">
        <v>74</v>
      </c>
      <c r="BG246" s="1" t="s">
        <v>74</v>
      </c>
      <c r="BH246" s="1" t="s">
        <v>74</v>
      </c>
      <c r="BI246" s="1" t="s">
        <v>74</v>
      </c>
      <c r="BJ246" s="1" t="s">
        <v>74</v>
      </c>
      <c r="BK246" s="1" t="s">
        <v>74</v>
      </c>
      <c r="BL246" s="1" t="s">
        <v>74</v>
      </c>
      <c r="BM246" s="1" t="s">
        <v>74</v>
      </c>
      <c r="BN246" s="1" t="s">
        <v>74</v>
      </c>
      <c r="BO246" s="1" t="s">
        <v>74</v>
      </c>
      <c r="BP246" s="1" t="s">
        <v>74</v>
      </c>
      <c r="BQ246" s="1" t="s">
        <v>74</v>
      </c>
      <c r="BR246" s="1" t="s">
        <v>74</v>
      </c>
      <c r="BS246" s="1" t="s">
        <v>2296</v>
      </c>
      <c r="BT246" s="1" t="str">
        <f>HYPERLINK("https%3A%2F%2Fwww.webofscience.com%2Fwos%2Fwoscc%2Ffull-record%2FWOS:000417910500002","View Full Record in Web of Science")</f>
        <v>View Full Record in Web of Science</v>
      </c>
    </row>
    <row r="247" ht="12.75" customHeight="1">
      <c r="A247" s="1" t="s">
        <v>72</v>
      </c>
      <c r="B247" s="1" t="s">
        <v>1698</v>
      </c>
      <c r="C247" s="1" t="s">
        <v>74</v>
      </c>
      <c r="D247" s="1" t="s">
        <v>74</v>
      </c>
      <c r="E247" s="1" t="s">
        <v>74</v>
      </c>
      <c r="F247" s="1" t="s">
        <v>1699</v>
      </c>
      <c r="G247" s="1" t="s">
        <v>74</v>
      </c>
      <c r="H247" s="1" t="s">
        <v>74</v>
      </c>
      <c r="I247" s="1" t="s">
        <v>2297</v>
      </c>
      <c r="J247" s="1" t="s">
        <v>2298</v>
      </c>
      <c r="K247" s="1" t="s">
        <v>74</v>
      </c>
      <c r="L247" s="1" t="s">
        <v>74</v>
      </c>
      <c r="M247" s="1" t="s">
        <v>74</v>
      </c>
      <c r="N247" s="1" t="s">
        <v>74</v>
      </c>
      <c r="O247" s="1" t="s">
        <v>74</v>
      </c>
      <c r="P247" s="1" t="s">
        <v>74</v>
      </c>
      <c r="Q247" s="1" t="s">
        <v>74</v>
      </c>
      <c r="R247" s="1" t="s">
        <v>74</v>
      </c>
      <c r="S247" s="1" t="s">
        <v>74</v>
      </c>
      <c r="T247" s="1" t="s">
        <v>74</v>
      </c>
      <c r="U247" s="1" t="s">
        <v>74</v>
      </c>
      <c r="V247" s="1" t="s">
        <v>2299</v>
      </c>
      <c r="W247" s="1" t="s">
        <v>74</v>
      </c>
      <c r="X247" s="1" t="s">
        <v>74</v>
      </c>
      <c r="Y247" s="1" t="s">
        <v>74</v>
      </c>
      <c r="Z247" s="1" t="s">
        <v>74</v>
      </c>
      <c r="AA247" s="1" t="s">
        <v>74</v>
      </c>
      <c r="AB247" s="1" t="s">
        <v>74</v>
      </c>
      <c r="AC247" s="1" t="s">
        <v>74</v>
      </c>
      <c r="AD247" s="1" t="s">
        <v>74</v>
      </c>
      <c r="AE247" s="1" t="s">
        <v>74</v>
      </c>
      <c r="AF247" s="1" t="s">
        <v>74</v>
      </c>
      <c r="AG247" s="1" t="s">
        <v>74</v>
      </c>
      <c r="AH247" s="1" t="s">
        <v>74</v>
      </c>
      <c r="AI247" s="1" t="s">
        <v>74</v>
      </c>
      <c r="AJ247" s="1" t="s">
        <v>74</v>
      </c>
      <c r="AK247" s="1" t="s">
        <v>74</v>
      </c>
      <c r="AL247" s="1" t="s">
        <v>74</v>
      </c>
      <c r="AM247" s="1" t="s">
        <v>74</v>
      </c>
      <c r="AN247" s="1" t="s">
        <v>74</v>
      </c>
      <c r="AO247" s="1" t="s">
        <v>2300</v>
      </c>
      <c r="AP247" s="1" t="s">
        <v>2301</v>
      </c>
      <c r="AQ247" s="1" t="s">
        <v>74</v>
      </c>
      <c r="AR247" s="1" t="s">
        <v>74</v>
      </c>
      <c r="AS247" s="1" t="s">
        <v>74</v>
      </c>
      <c r="AT247" s="1" t="s">
        <v>429</v>
      </c>
      <c r="AU247" s="1">
        <v>2017.0</v>
      </c>
      <c r="AV247" s="1">
        <v>64.0</v>
      </c>
      <c r="AW247" s="1" t="s">
        <v>74</v>
      </c>
      <c r="AX247" s="1" t="s">
        <v>74</v>
      </c>
      <c r="AY247" s="1" t="s">
        <v>74</v>
      </c>
      <c r="AZ247" s="1" t="s">
        <v>74</v>
      </c>
      <c r="BA247" s="1" t="s">
        <v>74</v>
      </c>
      <c r="BB247" s="1">
        <v>298.0</v>
      </c>
      <c r="BC247" s="1">
        <v>305.0</v>
      </c>
      <c r="BD247" s="1" t="s">
        <v>74</v>
      </c>
      <c r="BE247" s="1" t="s">
        <v>2302</v>
      </c>
      <c r="BF247" s="2" t="str">
        <f>HYPERLINK("http://dx.doi.org/10.1016/j.eneco.2017.03.024","http://dx.doi.org/10.1016/j.eneco.2017.03.024")</f>
        <v>http://dx.doi.org/10.1016/j.eneco.2017.03.024</v>
      </c>
      <c r="BG247" s="1" t="s">
        <v>74</v>
      </c>
      <c r="BH247" s="1" t="s">
        <v>74</v>
      </c>
      <c r="BI247" s="1" t="s">
        <v>74</v>
      </c>
      <c r="BJ247" s="1" t="s">
        <v>74</v>
      </c>
      <c r="BK247" s="1" t="s">
        <v>74</v>
      </c>
      <c r="BL247" s="1" t="s">
        <v>74</v>
      </c>
      <c r="BM247" s="1" t="s">
        <v>74</v>
      </c>
      <c r="BN247" s="1" t="s">
        <v>74</v>
      </c>
      <c r="BO247" s="1" t="s">
        <v>74</v>
      </c>
      <c r="BP247" s="1" t="s">
        <v>74</v>
      </c>
      <c r="BQ247" s="1" t="s">
        <v>74</v>
      </c>
      <c r="BR247" s="1" t="s">
        <v>74</v>
      </c>
      <c r="BS247" s="1" t="s">
        <v>2303</v>
      </c>
      <c r="BT247" s="1" t="str">
        <f>HYPERLINK("https%3A%2F%2Fwww.webofscience.com%2Fwos%2Fwoscc%2Ffull-record%2FWOS:000404704900027","View Full Record in Web of Science")</f>
        <v>View Full Record in Web of Science</v>
      </c>
    </row>
    <row r="248" ht="12.75" customHeight="1">
      <c r="A248" s="1" t="s">
        <v>72</v>
      </c>
      <c r="B248" s="1" t="s">
        <v>2304</v>
      </c>
      <c r="C248" s="1" t="s">
        <v>74</v>
      </c>
      <c r="D248" s="1" t="s">
        <v>74</v>
      </c>
      <c r="E248" s="1" t="s">
        <v>74</v>
      </c>
      <c r="F248" s="1" t="s">
        <v>2305</v>
      </c>
      <c r="G248" s="1" t="s">
        <v>74</v>
      </c>
      <c r="H248" s="1" t="s">
        <v>74</v>
      </c>
      <c r="I248" s="1" t="s">
        <v>2306</v>
      </c>
      <c r="J248" s="1" t="s">
        <v>2307</v>
      </c>
      <c r="K248" s="1" t="s">
        <v>74</v>
      </c>
      <c r="L248" s="1" t="s">
        <v>74</v>
      </c>
      <c r="M248" s="1" t="s">
        <v>74</v>
      </c>
      <c r="N248" s="1" t="s">
        <v>74</v>
      </c>
      <c r="O248" s="1" t="s">
        <v>74</v>
      </c>
      <c r="P248" s="1" t="s">
        <v>74</v>
      </c>
      <c r="Q248" s="1" t="s">
        <v>74</v>
      </c>
      <c r="R248" s="1" t="s">
        <v>74</v>
      </c>
      <c r="S248" s="1" t="s">
        <v>74</v>
      </c>
      <c r="T248" s="1" t="s">
        <v>74</v>
      </c>
      <c r="U248" s="1" t="s">
        <v>74</v>
      </c>
      <c r="V248" s="1" t="s">
        <v>2308</v>
      </c>
      <c r="W248" s="1" t="s">
        <v>74</v>
      </c>
      <c r="X248" s="1" t="s">
        <v>74</v>
      </c>
      <c r="Y248" s="1" t="s">
        <v>74</v>
      </c>
      <c r="Z248" s="1" t="s">
        <v>74</v>
      </c>
      <c r="AA248" s="1" t="s">
        <v>74</v>
      </c>
      <c r="AB248" s="1" t="s">
        <v>2309</v>
      </c>
      <c r="AC248" s="1" t="s">
        <v>74</v>
      </c>
      <c r="AD248" s="1" t="s">
        <v>74</v>
      </c>
      <c r="AE248" s="1" t="s">
        <v>74</v>
      </c>
      <c r="AF248" s="1" t="s">
        <v>74</v>
      </c>
      <c r="AG248" s="1" t="s">
        <v>74</v>
      </c>
      <c r="AH248" s="1" t="s">
        <v>74</v>
      </c>
      <c r="AI248" s="1" t="s">
        <v>74</v>
      </c>
      <c r="AJ248" s="1" t="s">
        <v>74</v>
      </c>
      <c r="AK248" s="1" t="s">
        <v>74</v>
      </c>
      <c r="AL248" s="1" t="s">
        <v>74</v>
      </c>
      <c r="AM248" s="1" t="s">
        <v>74</v>
      </c>
      <c r="AN248" s="1" t="s">
        <v>74</v>
      </c>
      <c r="AO248" s="1" t="s">
        <v>2310</v>
      </c>
      <c r="AP248" s="1" t="s">
        <v>2311</v>
      </c>
      <c r="AQ248" s="1" t="s">
        <v>74</v>
      </c>
      <c r="AR248" s="1" t="s">
        <v>74</v>
      </c>
      <c r="AS248" s="1" t="s">
        <v>74</v>
      </c>
      <c r="AT248" s="1" t="s">
        <v>148</v>
      </c>
      <c r="AU248" s="1">
        <v>2017.0</v>
      </c>
      <c r="AV248" s="1">
        <v>35.0</v>
      </c>
      <c r="AW248" s="1" t="s">
        <v>74</v>
      </c>
      <c r="AX248" s="1" t="s">
        <v>2312</v>
      </c>
      <c r="AY248" s="1" t="s">
        <v>74</v>
      </c>
      <c r="AZ248" s="1" t="s">
        <v>74</v>
      </c>
      <c r="BA248" s="1" t="s">
        <v>74</v>
      </c>
      <c r="BB248" s="1">
        <v>134.0</v>
      </c>
      <c r="BC248" s="1">
        <v>141.0</v>
      </c>
      <c r="BD248" s="1" t="s">
        <v>74</v>
      </c>
      <c r="BE248" s="1" t="s">
        <v>2313</v>
      </c>
      <c r="BF248" s="2" t="str">
        <f>HYPERLINK("http://dx.doi.org/10.1016/j.ultsonch.2016.09.011","http://dx.doi.org/10.1016/j.ultsonch.2016.09.011")</f>
        <v>http://dx.doi.org/10.1016/j.ultsonch.2016.09.011</v>
      </c>
      <c r="BG248" s="1" t="s">
        <v>74</v>
      </c>
      <c r="BH248" s="1" t="s">
        <v>74</v>
      </c>
      <c r="BI248" s="1" t="s">
        <v>74</v>
      </c>
      <c r="BJ248" s="1" t="s">
        <v>74</v>
      </c>
      <c r="BK248" s="1" t="s">
        <v>74</v>
      </c>
      <c r="BL248" s="1" t="s">
        <v>74</v>
      </c>
      <c r="BM248" s="1" t="s">
        <v>74</v>
      </c>
      <c r="BN248" s="1">
        <v>2.765081E7</v>
      </c>
      <c r="BO248" s="1" t="s">
        <v>74</v>
      </c>
      <c r="BP248" s="1" t="s">
        <v>74</v>
      </c>
      <c r="BQ248" s="1" t="s">
        <v>74</v>
      </c>
      <c r="BR248" s="1" t="s">
        <v>74</v>
      </c>
      <c r="BS248" s="1" t="s">
        <v>2314</v>
      </c>
      <c r="BT248" s="1" t="str">
        <f>HYPERLINK("https%3A%2F%2Fwww.webofscience.com%2Fwos%2Fwoscc%2Ffull-record%2FWOS:000390494300013","View Full Record in Web of Science")</f>
        <v>View Full Record in Web of Science</v>
      </c>
    </row>
    <row r="249" ht="12.75" customHeight="1">
      <c r="A249" s="1" t="s">
        <v>454</v>
      </c>
      <c r="B249" s="1" t="s">
        <v>2315</v>
      </c>
      <c r="C249" s="1" t="s">
        <v>74</v>
      </c>
      <c r="D249" s="1" t="s">
        <v>2316</v>
      </c>
      <c r="E249" s="1" t="s">
        <v>74</v>
      </c>
      <c r="F249" s="1" t="s">
        <v>2317</v>
      </c>
      <c r="G249" s="1" t="s">
        <v>74</v>
      </c>
      <c r="H249" s="1" t="s">
        <v>74</v>
      </c>
      <c r="I249" s="1" t="s">
        <v>2318</v>
      </c>
      <c r="J249" s="1" t="s">
        <v>2319</v>
      </c>
      <c r="K249" s="1" t="s">
        <v>74</v>
      </c>
      <c r="L249" s="1" t="s">
        <v>74</v>
      </c>
      <c r="M249" s="1" t="s">
        <v>74</v>
      </c>
      <c r="N249" s="1" t="s">
        <v>74</v>
      </c>
      <c r="O249" s="1" t="s">
        <v>74</v>
      </c>
      <c r="P249" s="1" t="s">
        <v>74</v>
      </c>
      <c r="Q249" s="1" t="s">
        <v>74</v>
      </c>
      <c r="R249" s="1" t="s">
        <v>74</v>
      </c>
      <c r="S249" s="1" t="s">
        <v>74</v>
      </c>
      <c r="T249" s="1" t="s">
        <v>74</v>
      </c>
      <c r="U249" s="1" t="s">
        <v>74</v>
      </c>
      <c r="V249" s="1" t="s">
        <v>2320</v>
      </c>
      <c r="W249" s="1" t="s">
        <v>74</v>
      </c>
      <c r="X249" s="1" t="s">
        <v>74</v>
      </c>
      <c r="Y249" s="1" t="s">
        <v>74</v>
      </c>
      <c r="Z249" s="1" t="s">
        <v>74</v>
      </c>
      <c r="AA249" s="1" t="s">
        <v>2321</v>
      </c>
      <c r="AB249" s="1" t="s">
        <v>2322</v>
      </c>
      <c r="AC249" s="1" t="s">
        <v>74</v>
      </c>
      <c r="AD249" s="1" t="s">
        <v>74</v>
      </c>
      <c r="AE249" s="1" t="s">
        <v>74</v>
      </c>
      <c r="AF249" s="1" t="s">
        <v>74</v>
      </c>
      <c r="AG249" s="1" t="s">
        <v>74</v>
      </c>
      <c r="AH249" s="1" t="s">
        <v>74</v>
      </c>
      <c r="AI249" s="1" t="s">
        <v>74</v>
      </c>
      <c r="AJ249" s="1" t="s">
        <v>74</v>
      </c>
      <c r="AK249" s="1" t="s">
        <v>74</v>
      </c>
      <c r="AL249" s="1" t="s">
        <v>74</v>
      </c>
      <c r="AM249" s="1" t="s">
        <v>74</v>
      </c>
      <c r="AN249" s="1" t="s">
        <v>74</v>
      </c>
      <c r="AO249" s="1" t="s">
        <v>74</v>
      </c>
      <c r="AP249" s="1" t="s">
        <v>74</v>
      </c>
      <c r="AQ249" s="1" t="s">
        <v>2323</v>
      </c>
      <c r="AR249" s="1" t="s">
        <v>74</v>
      </c>
      <c r="AS249" s="1" t="s">
        <v>74</v>
      </c>
      <c r="AT249" s="1" t="s">
        <v>74</v>
      </c>
      <c r="AU249" s="1">
        <v>2017.0</v>
      </c>
      <c r="AV249" s="1" t="s">
        <v>74</v>
      </c>
      <c r="AW249" s="1" t="s">
        <v>74</v>
      </c>
      <c r="AX249" s="1" t="s">
        <v>74</v>
      </c>
      <c r="AY249" s="1" t="s">
        <v>74</v>
      </c>
      <c r="AZ249" s="1" t="s">
        <v>74</v>
      </c>
      <c r="BA249" s="1" t="s">
        <v>74</v>
      </c>
      <c r="BB249" s="1">
        <v>361.0</v>
      </c>
      <c r="BC249" s="1">
        <v>380.0</v>
      </c>
      <c r="BD249" s="1" t="s">
        <v>74</v>
      </c>
      <c r="BE249" s="1" t="s">
        <v>2324</v>
      </c>
      <c r="BF249" s="2" t="str">
        <f>HYPERLINK("http://dx.doi.org/10.5772/65682","http://dx.doi.org/10.5772/65682")</f>
        <v>http://dx.doi.org/10.5772/65682</v>
      </c>
      <c r="BG249" s="1" t="s">
        <v>2325</v>
      </c>
      <c r="BH249" s="1" t="s">
        <v>74</v>
      </c>
      <c r="BI249" s="1" t="s">
        <v>74</v>
      </c>
      <c r="BJ249" s="1" t="s">
        <v>74</v>
      </c>
      <c r="BK249" s="1" t="s">
        <v>74</v>
      </c>
      <c r="BL249" s="1" t="s">
        <v>74</v>
      </c>
      <c r="BM249" s="1" t="s">
        <v>74</v>
      </c>
      <c r="BN249" s="1" t="s">
        <v>74</v>
      </c>
      <c r="BO249" s="1" t="s">
        <v>74</v>
      </c>
      <c r="BP249" s="1" t="s">
        <v>74</v>
      </c>
      <c r="BQ249" s="1" t="s">
        <v>74</v>
      </c>
      <c r="BR249" s="1" t="s">
        <v>74</v>
      </c>
      <c r="BS249" s="1" t="s">
        <v>2326</v>
      </c>
      <c r="BT249" s="1" t="str">
        <f>HYPERLINK("https%3A%2F%2Fwww.webofscience.com%2Fwos%2Fwoscc%2Ffull-record%2FWOS:000412225100017","View Full Record in Web of Science")</f>
        <v>View Full Record in Web of Science</v>
      </c>
    </row>
    <row r="250" ht="12.75" customHeight="1">
      <c r="A250" s="1" t="s">
        <v>91</v>
      </c>
      <c r="B250" s="1" t="s">
        <v>2327</v>
      </c>
      <c r="C250" s="1" t="s">
        <v>74</v>
      </c>
      <c r="D250" s="1" t="s">
        <v>1589</v>
      </c>
      <c r="E250" s="1" t="s">
        <v>74</v>
      </c>
      <c r="F250" s="1" t="s">
        <v>2328</v>
      </c>
      <c r="G250" s="1" t="s">
        <v>74</v>
      </c>
      <c r="H250" s="1" t="s">
        <v>74</v>
      </c>
      <c r="I250" s="1" t="s">
        <v>2329</v>
      </c>
      <c r="J250" s="1" t="s">
        <v>2330</v>
      </c>
      <c r="K250" s="1" t="s">
        <v>1593</v>
      </c>
      <c r="L250" s="1" t="s">
        <v>74</v>
      </c>
      <c r="M250" s="1" t="s">
        <v>74</v>
      </c>
      <c r="N250" s="1" t="s">
        <v>74</v>
      </c>
      <c r="O250" s="1" t="s">
        <v>2331</v>
      </c>
      <c r="P250" s="1" t="s">
        <v>2332</v>
      </c>
      <c r="Q250" s="1" t="s">
        <v>1596</v>
      </c>
      <c r="R250" s="1" t="s">
        <v>74</v>
      </c>
      <c r="S250" s="1" t="s">
        <v>74</v>
      </c>
      <c r="T250" s="1" t="s">
        <v>74</v>
      </c>
      <c r="U250" s="1" t="s">
        <v>74</v>
      </c>
      <c r="V250" s="1" t="s">
        <v>2333</v>
      </c>
      <c r="W250" s="1" t="s">
        <v>74</v>
      </c>
      <c r="X250" s="1" t="s">
        <v>74</v>
      </c>
      <c r="Y250" s="1" t="s">
        <v>74</v>
      </c>
      <c r="Z250" s="1" t="s">
        <v>74</v>
      </c>
      <c r="AA250" s="1" t="s">
        <v>1472</v>
      </c>
      <c r="AB250" s="1" t="s">
        <v>2334</v>
      </c>
      <c r="AC250" s="1" t="s">
        <v>74</v>
      </c>
      <c r="AD250" s="1" t="s">
        <v>74</v>
      </c>
      <c r="AE250" s="1" t="s">
        <v>74</v>
      </c>
      <c r="AF250" s="1" t="s">
        <v>74</v>
      </c>
      <c r="AG250" s="1" t="s">
        <v>74</v>
      </c>
      <c r="AH250" s="1" t="s">
        <v>74</v>
      </c>
      <c r="AI250" s="1" t="s">
        <v>74</v>
      </c>
      <c r="AJ250" s="1" t="s">
        <v>74</v>
      </c>
      <c r="AK250" s="1" t="s">
        <v>74</v>
      </c>
      <c r="AL250" s="1" t="s">
        <v>74</v>
      </c>
      <c r="AM250" s="1" t="s">
        <v>74</v>
      </c>
      <c r="AN250" s="1" t="s">
        <v>74</v>
      </c>
      <c r="AO250" s="1" t="s">
        <v>1598</v>
      </c>
      <c r="AP250" s="1" t="s">
        <v>74</v>
      </c>
      <c r="AQ250" s="1" t="s">
        <v>2335</v>
      </c>
      <c r="AR250" s="1" t="s">
        <v>74</v>
      </c>
      <c r="AS250" s="1" t="s">
        <v>74</v>
      </c>
      <c r="AT250" s="1" t="s">
        <v>74</v>
      </c>
      <c r="AU250" s="1">
        <v>2017.0</v>
      </c>
      <c r="AV250" s="1" t="s">
        <v>74</v>
      </c>
      <c r="AW250" s="1" t="s">
        <v>74</v>
      </c>
      <c r="AX250" s="1" t="s">
        <v>74</v>
      </c>
      <c r="AY250" s="1" t="s">
        <v>74</v>
      </c>
      <c r="AZ250" s="1" t="s">
        <v>74</v>
      </c>
      <c r="BA250" s="1" t="s">
        <v>74</v>
      </c>
      <c r="BB250" s="1">
        <v>6788.0</v>
      </c>
      <c r="BC250" s="1">
        <v>6795.0</v>
      </c>
      <c r="BD250" s="1" t="s">
        <v>74</v>
      </c>
      <c r="BE250" s="1" t="s">
        <v>74</v>
      </c>
      <c r="BF250" s="1" t="s">
        <v>74</v>
      </c>
      <c r="BG250" s="1" t="s">
        <v>74</v>
      </c>
      <c r="BH250" s="1" t="s">
        <v>74</v>
      </c>
      <c r="BI250" s="1" t="s">
        <v>74</v>
      </c>
      <c r="BJ250" s="1" t="s">
        <v>74</v>
      </c>
      <c r="BK250" s="1" t="s">
        <v>74</v>
      </c>
      <c r="BL250" s="1" t="s">
        <v>74</v>
      </c>
      <c r="BM250" s="1" t="s">
        <v>74</v>
      </c>
      <c r="BN250" s="1" t="s">
        <v>74</v>
      </c>
      <c r="BO250" s="1" t="s">
        <v>74</v>
      </c>
      <c r="BP250" s="1" t="s">
        <v>74</v>
      </c>
      <c r="BQ250" s="1" t="s">
        <v>74</v>
      </c>
      <c r="BR250" s="1" t="s">
        <v>74</v>
      </c>
      <c r="BS250" s="1" t="s">
        <v>2336</v>
      </c>
      <c r="BT250" s="1" t="str">
        <f>HYPERLINK("https%3A%2F%2Fwww.webofscience.com%2Fwos%2Fwoscc%2Ffull-record%2FWOS:000429975306137","View Full Record in Web of Science")</f>
        <v>View Full Record in Web of Science</v>
      </c>
    </row>
    <row r="251" ht="12.75" customHeight="1">
      <c r="A251" s="1" t="s">
        <v>72</v>
      </c>
      <c r="B251" s="1" t="s">
        <v>2337</v>
      </c>
      <c r="C251" s="1" t="s">
        <v>74</v>
      </c>
      <c r="D251" s="1" t="s">
        <v>74</v>
      </c>
      <c r="E251" s="1" t="s">
        <v>74</v>
      </c>
      <c r="F251" s="1" t="s">
        <v>2338</v>
      </c>
      <c r="G251" s="1" t="s">
        <v>74</v>
      </c>
      <c r="H251" s="1" t="s">
        <v>74</v>
      </c>
      <c r="I251" s="1" t="s">
        <v>2339</v>
      </c>
      <c r="J251" s="1" t="s">
        <v>2340</v>
      </c>
      <c r="K251" s="1" t="s">
        <v>74</v>
      </c>
      <c r="L251" s="1" t="s">
        <v>74</v>
      </c>
      <c r="M251" s="1" t="s">
        <v>74</v>
      </c>
      <c r="N251" s="1" t="s">
        <v>74</v>
      </c>
      <c r="O251" s="1" t="s">
        <v>74</v>
      </c>
      <c r="P251" s="1" t="s">
        <v>74</v>
      </c>
      <c r="Q251" s="1" t="s">
        <v>74</v>
      </c>
      <c r="R251" s="1" t="s">
        <v>74</v>
      </c>
      <c r="S251" s="1" t="s">
        <v>74</v>
      </c>
      <c r="T251" s="1" t="s">
        <v>74</v>
      </c>
      <c r="U251" s="1" t="s">
        <v>74</v>
      </c>
      <c r="V251" s="1" t="s">
        <v>2341</v>
      </c>
      <c r="W251" s="1" t="s">
        <v>74</v>
      </c>
      <c r="X251" s="1" t="s">
        <v>74</v>
      </c>
      <c r="Y251" s="1" t="s">
        <v>74</v>
      </c>
      <c r="Z251" s="1" t="s">
        <v>74</v>
      </c>
      <c r="AA251" s="1" t="s">
        <v>74</v>
      </c>
      <c r="AB251" s="1" t="s">
        <v>2342</v>
      </c>
      <c r="AC251" s="1" t="s">
        <v>74</v>
      </c>
      <c r="AD251" s="1" t="s">
        <v>74</v>
      </c>
      <c r="AE251" s="1" t="s">
        <v>74</v>
      </c>
      <c r="AF251" s="1" t="s">
        <v>74</v>
      </c>
      <c r="AG251" s="1" t="s">
        <v>74</v>
      </c>
      <c r="AH251" s="1" t="s">
        <v>74</v>
      </c>
      <c r="AI251" s="1" t="s">
        <v>74</v>
      </c>
      <c r="AJ251" s="1" t="s">
        <v>74</v>
      </c>
      <c r="AK251" s="1" t="s">
        <v>74</v>
      </c>
      <c r="AL251" s="1" t="s">
        <v>74</v>
      </c>
      <c r="AM251" s="1" t="s">
        <v>74</v>
      </c>
      <c r="AN251" s="1" t="s">
        <v>74</v>
      </c>
      <c r="AO251" s="1" t="s">
        <v>2343</v>
      </c>
      <c r="AP251" s="1" t="s">
        <v>2344</v>
      </c>
      <c r="AQ251" s="1" t="s">
        <v>74</v>
      </c>
      <c r="AR251" s="1" t="s">
        <v>74</v>
      </c>
      <c r="AS251" s="1" t="s">
        <v>74</v>
      </c>
      <c r="AT251" s="1" t="s">
        <v>370</v>
      </c>
      <c r="AU251" s="1">
        <v>2016.0</v>
      </c>
      <c r="AV251" s="1">
        <v>29.0</v>
      </c>
      <c r="AW251" s="1">
        <v>3.0</v>
      </c>
      <c r="AX251" s="1" t="s">
        <v>74</v>
      </c>
      <c r="AY251" s="1" t="s">
        <v>74</v>
      </c>
      <c r="AZ251" s="1" t="s">
        <v>74</v>
      </c>
      <c r="BA251" s="1" t="s">
        <v>74</v>
      </c>
      <c r="BB251" s="1">
        <v>44.0</v>
      </c>
      <c r="BC251" s="1">
        <v>62.0</v>
      </c>
      <c r="BD251" s="1" t="s">
        <v>74</v>
      </c>
      <c r="BE251" s="1" t="s">
        <v>2345</v>
      </c>
      <c r="BF251" s="2" t="str">
        <f>HYPERLINK("http://dx.doi.org/10.1177/0952695116653866","http://dx.doi.org/10.1177/0952695116653866")</f>
        <v>http://dx.doi.org/10.1177/0952695116653866</v>
      </c>
      <c r="BG251" s="1" t="s">
        <v>74</v>
      </c>
      <c r="BH251" s="1" t="s">
        <v>74</v>
      </c>
      <c r="BI251" s="1" t="s">
        <v>74</v>
      </c>
      <c r="BJ251" s="1" t="s">
        <v>74</v>
      </c>
      <c r="BK251" s="1" t="s">
        <v>74</v>
      </c>
      <c r="BL251" s="1" t="s">
        <v>74</v>
      </c>
      <c r="BM251" s="1" t="s">
        <v>74</v>
      </c>
      <c r="BN251" s="1" t="s">
        <v>74</v>
      </c>
      <c r="BO251" s="1" t="s">
        <v>74</v>
      </c>
      <c r="BP251" s="1" t="s">
        <v>74</v>
      </c>
      <c r="BQ251" s="1" t="s">
        <v>74</v>
      </c>
      <c r="BR251" s="1" t="s">
        <v>74</v>
      </c>
      <c r="BS251" s="1" t="s">
        <v>2346</v>
      </c>
      <c r="BT251" s="1" t="str">
        <f>HYPERLINK("https%3A%2F%2Fwww.webofscience.com%2Fwos%2Fwoscc%2Ffull-record%2FWOS:000380958200004","View Full Record in Web of Science")</f>
        <v>View Full Record in Web of Science</v>
      </c>
    </row>
    <row r="252" ht="12.75" customHeight="1">
      <c r="A252" s="1" t="s">
        <v>72</v>
      </c>
      <c r="B252" s="1" t="s">
        <v>2347</v>
      </c>
      <c r="C252" s="1" t="s">
        <v>74</v>
      </c>
      <c r="D252" s="1" t="s">
        <v>74</v>
      </c>
      <c r="E252" s="1" t="s">
        <v>74</v>
      </c>
      <c r="F252" s="1" t="s">
        <v>2348</v>
      </c>
      <c r="G252" s="1" t="s">
        <v>74</v>
      </c>
      <c r="H252" s="1" t="s">
        <v>74</v>
      </c>
      <c r="I252" s="1" t="s">
        <v>2349</v>
      </c>
      <c r="J252" s="1" t="s">
        <v>145</v>
      </c>
      <c r="K252" s="1" t="s">
        <v>74</v>
      </c>
      <c r="L252" s="1" t="s">
        <v>74</v>
      </c>
      <c r="M252" s="1" t="s">
        <v>74</v>
      </c>
      <c r="N252" s="1" t="s">
        <v>74</v>
      </c>
      <c r="O252" s="1" t="s">
        <v>74</v>
      </c>
      <c r="P252" s="1" t="s">
        <v>74</v>
      </c>
      <c r="Q252" s="1" t="s">
        <v>74</v>
      </c>
      <c r="R252" s="1" t="s">
        <v>74</v>
      </c>
      <c r="S252" s="1" t="s">
        <v>74</v>
      </c>
      <c r="T252" s="1" t="s">
        <v>74</v>
      </c>
      <c r="U252" s="1" t="s">
        <v>74</v>
      </c>
      <c r="V252" s="1" t="s">
        <v>2350</v>
      </c>
      <c r="W252" s="1" t="s">
        <v>74</v>
      </c>
      <c r="X252" s="1" t="s">
        <v>74</v>
      </c>
      <c r="Y252" s="1" t="s">
        <v>74</v>
      </c>
      <c r="Z252" s="1" t="s">
        <v>74</v>
      </c>
      <c r="AA252" s="1" t="s">
        <v>2351</v>
      </c>
      <c r="AB252" s="1" t="s">
        <v>2352</v>
      </c>
      <c r="AC252" s="1" t="s">
        <v>74</v>
      </c>
      <c r="AD252" s="1" t="s">
        <v>74</v>
      </c>
      <c r="AE252" s="1" t="s">
        <v>74</v>
      </c>
      <c r="AF252" s="1" t="s">
        <v>74</v>
      </c>
      <c r="AG252" s="1" t="s">
        <v>74</v>
      </c>
      <c r="AH252" s="1" t="s">
        <v>74</v>
      </c>
      <c r="AI252" s="1" t="s">
        <v>74</v>
      </c>
      <c r="AJ252" s="1" t="s">
        <v>74</v>
      </c>
      <c r="AK252" s="1" t="s">
        <v>74</v>
      </c>
      <c r="AL252" s="1" t="s">
        <v>74</v>
      </c>
      <c r="AM252" s="1" t="s">
        <v>74</v>
      </c>
      <c r="AN252" s="1" t="s">
        <v>74</v>
      </c>
      <c r="AO252" s="1" t="s">
        <v>147</v>
      </c>
      <c r="AP252" s="1" t="s">
        <v>2353</v>
      </c>
      <c r="AQ252" s="1" t="s">
        <v>74</v>
      </c>
      <c r="AR252" s="1" t="s">
        <v>74</v>
      </c>
      <c r="AS252" s="1" t="s">
        <v>74</v>
      </c>
      <c r="AT252" s="1" t="s">
        <v>299</v>
      </c>
      <c r="AU252" s="1">
        <v>2016.0</v>
      </c>
      <c r="AV252" s="1">
        <v>124.0</v>
      </c>
      <c r="AW252" s="1" t="s">
        <v>74</v>
      </c>
      <c r="AX252" s="1" t="s">
        <v>2312</v>
      </c>
      <c r="AY252" s="1" t="s">
        <v>74</v>
      </c>
      <c r="AZ252" s="1" t="s">
        <v>74</v>
      </c>
      <c r="BA252" s="1" t="s">
        <v>74</v>
      </c>
      <c r="BB252" s="1">
        <v>22.0</v>
      </c>
      <c r="BC252" s="1">
        <v>27.0</v>
      </c>
      <c r="BD252" s="1" t="s">
        <v>74</v>
      </c>
      <c r="BE252" s="1" t="s">
        <v>2354</v>
      </c>
      <c r="BF252" s="2" t="str">
        <f>HYPERLINK("http://dx.doi.org/10.1016/j.atmosenv.2015.11.016","http://dx.doi.org/10.1016/j.atmosenv.2015.11.016")</f>
        <v>http://dx.doi.org/10.1016/j.atmosenv.2015.11.016</v>
      </c>
      <c r="BG252" s="1" t="s">
        <v>74</v>
      </c>
      <c r="BH252" s="1" t="s">
        <v>74</v>
      </c>
      <c r="BI252" s="1" t="s">
        <v>74</v>
      </c>
      <c r="BJ252" s="1" t="s">
        <v>74</v>
      </c>
      <c r="BK252" s="1" t="s">
        <v>74</v>
      </c>
      <c r="BL252" s="1" t="s">
        <v>74</v>
      </c>
      <c r="BM252" s="1" t="s">
        <v>74</v>
      </c>
      <c r="BN252" s="1" t="s">
        <v>74</v>
      </c>
      <c r="BO252" s="1" t="s">
        <v>74</v>
      </c>
      <c r="BP252" s="1" t="s">
        <v>74</v>
      </c>
      <c r="BQ252" s="1" t="s">
        <v>74</v>
      </c>
      <c r="BR252" s="1" t="s">
        <v>74</v>
      </c>
      <c r="BS252" s="1" t="s">
        <v>2355</v>
      </c>
      <c r="BT252" s="1" t="str">
        <f>HYPERLINK("https%3A%2F%2Fwww.webofscience.com%2Fwos%2Fwoscc%2Ffull-record%2FWOS:000367860000003","View Full Record in Web of Science")</f>
        <v>View Full Record in Web of Science</v>
      </c>
    </row>
    <row r="253" ht="12.75" customHeight="1">
      <c r="A253" s="1" t="s">
        <v>72</v>
      </c>
      <c r="B253" s="1" t="s">
        <v>2356</v>
      </c>
      <c r="C253" s="1" t="s">
        <v>74</v>
      </c>
      <c r="D253" s="1" t="s">
        <v>74</v>
      </c>
      <c r="E253" s="1" t="s">
        <v>74</v>
      </c>
      <c r="F253" s="1" t="s">
        <v>2357</v>
      </c>
      <c r="G253" s="1" t="s">
        <v>74</v>
      </c>
      <c r="H253" s="1" t="s">
        <v>74</v>
      </c>
      <c r="I253" s="1" t="s">
        <v>2358</v>
      </c>
      <c r="J253" s="1" t="s">
        <v>2359</v>
      </c>
      <c r="K253" s="1" t="s">
        <v>74</v>
      </c>
      <c r="L253" s="1" t="s">
        <v>74</v>
      </c>
      <c r="M253" s="1" t="s">
        <v>74</v>
      </c>
      <c r="N253" s="1" t="s">
        <v>74</v>
      </c>
      <c r="O253" s="1" t="s">
        <v>74</v>
      </c>
      <c r="P253" s="1" t="s">
        <v>74</v>
      </c>
      <c r="Q253" s="1" t="s">
        <v>74</v>
      </c>
      <c r="R253" s="1" t="s">
        <v>74</v>
      </c>
      <c r="S253" s="1" t="s">
        <v>74</v>
      </c>
      <c r="T253" s="1" t="s">
        <v>74</v>
      </c>
      <c r="U253" s="1" t="s">
        <v>74</v>
      </c>
      <c r="V253" s="1" t="s">
        <v>2360</v>
      </c>
      <c r="W253" s="1" t="s">
        <v>74</v>
      </c>
      <c r="X253" s="1" t="s">
        <v>74</v>
      </c>
      <c r="Y253" s="1" t="s">
        <v>74</v>
      </c>
      <c r="Z253" s="1" t="s">
        <v>74</v>
      </c>
      <c r="AA253" s="1" t="s">
        <v>2361</v>
      </c>
      <c r="AB253" s="1" t="s">
        <v>2362</v>
      </c>
      <c r="AC253" s="1" t="s">
        <v>74</v>
      </c>
      <c r="AD253" s="1" t="s">
        <v>74</v>
      </c>
      <c r="AE253" s="1" t="s">
        <v>74</v>
      </c>
      <c r="AF253" s="1" t="s">
        <v>74</v>
      </c>
      <c r="AG253" s="1" t="s">
        <v>74</v>
      </c>
      <c r="AH253" s="1" t="s">
        <v>74</v>
      </c>
      <c r="AI253" s="1" t="s">
        <v>74</v>
      </c>
      <c r="AJ253" s="1" t="s">
        <v>74</v>
      </c>
      <c r="AK253" s="1" t="s">
        <v>74</v>
      </c>
      <c r="AL253" s="1" t="s">
        <v>74</v>
      </c>
      <c r="AM253" s="1" t="s">
        <v>74</v>
      </c>
      <c r="AN253" s="1" t="s">
        <v>74</v>
      </c>
      <c r="AO253" s="1" t="s">
        <v>2363</v>
      </c>
      <c r="AP253" s="1" t="s">
        <v>74</v>
      </c>
      <c r="AQ253" s="1" t="s">
        <v>74</v>
      </c>
      <c r="AR253" s="1" t="s">
        <v>74</v>
      </c>
      <c r="AS253" s="1" t="s">
        <v>74</v>
      </c>
      <c r="AT253" s="1" t="s">
        <v>1134</v>
      </c>
      <c r="AU253" s="1">
        <v>2015.0</v>
      </c>
      <c r="AV253" s="1">
        <v>82.0</v>
      </c>
      <c r="AW253" s="1" t="s">
        <v>74</v>
      </c>
      <c r="AX253" s="1" t="s">
        <v>74</v>
      </c>
      <c r="AY253" s="1" t="s">
        <v>74</v>
      </c>
      <c r="AZ253" s="1" t="s">
        <v>564</v>
      </c>
      <c r="BA253" s="1" t="s">
        <v>74</v>
      </c>
      <c r="BB253" s="1">
        <v>118.0</v>
      </c>
      <c r="BC253" s="1">
        <v>128.0</v>
      </c>
      <c r="BD253" s="1" t="s">
        <v>74</v>
      </c>
      <c r="BE253" s="1" t="s">
        <v>2364</v>
      </c>
      <c r="BF253" s="2" t="str">
        <f>HYPERLINK("http://dx.doi.org/10.1016/j.watres.2015.04.046","http://dx.doi.org/10.1016/j.watres.2015.04.046")</f>
        <v>http://dx.doi.org/10.1016/j.watres.2015.04.046</v>
      </c>
      <c r="BG253" s="1" t="s">
        <v>74</v>
      </c>
      <c r="BH253" s="1" t="s">
        <v>74</v>
      </c>
      <c r="BI253" s="1" t="s">
        <v>74</v>
      </c>
      <c r="BJ253" s="1" t="s">
        <v>74</v>
      </c>
      <c r="BK253" s="1" t="s">
        <v>74</v>
      </c>
      <c r="BL253" s="1" t="s">
        <v>74</v>
      </c>
      <c r="BM253" s="1" t="s">
        <v>74</v>
      </c>
      <c r="BN253" s="1">
        <v>2.6054696E7</v>
      </c>
      <c r="BO253" s="1" t="s">
        <v>74</v>
      </c>
      <c r="BP253" s="1" t="s">
        <v>74</v>
      </c>
      <c r="BQ253" s="1" t="s">
        <v>74</v>
      </c>
      <c r="BR253" s="1" t="s">
        <v>74</v>
      </c>
      <c r="BS253" s="1" t="s">
        <v>2365</v>
      </c>
      <c r="BT253" s="1" t="str">
        <f>HYPERLINK("https%3A%2F%2Fwww.webofscience.com%2Fwos%2Fwoscc%2Ffull-record%2FWOS:000360950600013","View Full Record in Web of Science")</f>
        <v>View Full Record in Web of Science</v>
      </c>
    </row>
    <row r="254" ht="12.75" customHeight="1">
      <c r="A254" s="1" t="s">
        <v>72</v>
      </c>
      <c r="B254" s="1" t="s">
        <v>2366</v>
      </c>
      <c r="C254" s="1" t="s">
        <v>74</v>
      </c>
      <c r="D254" s="1" t="s">
        <v>74</v>
      </c>
      <c r="E254" s="1" t="s">
        <v>74</v>
      </c>
      <c r="F254" s="1" t="s">
        <v>2367</v>
      </c>
      <c r="G254" s="1" t="s">
        <v>74</v>
      </c>
      <c r="H254" s="1" t="s">
        <v>74</v>
      </c>
      <c r="I254" s="1" t="s">
        <v>2368</v>
      </c>
      <c r="J254" s="1" t="s">
        <v>2369</v>
      </c>
      <c r="K254" s="1" t="s">
        <v>74</v>
      </c>
      <c r="L254" s="1" t="s">
        <v>74</v>
      </c>
      <c r="M254" s="1" t="s">
        <v>74</v>
      </c>
      <c r="N254" s="1" t="s">
        <v>74</v>
      </c>
      <c r="O254" s="1" t="s">
        <v>74</v>
      </c>
      <c r="P254" s="1" t="s">
        <v>74</v>
      </c>
      <c r="Q254" s="1" t="s">
        <v>74</v>
      </c>
      <c r="R254" s="1" t="s">
        <v>74</v>
      </c>
      <c r="S254" s="1" t="s">
        <v>74</v>
      </c>
      <c r="T254" s="1" t="s">
        <v>74</v>
      </c>
      <c r="U254" s="1" t="s">
        <v>74</v>
      </c>
      <c r="V254" s="1" t="s">
        <v>2370</v>
      </c>
      <c r="W254" s="1" t="s">
        <v>74</v>
      </c>
      <c r="X254" s="1" t="s">
        <v>74</v>
      </c>
      <c r="Y254" s="1" t="s">
        <v>74</v>
      </c>
      <c r="Z254" s="1" t="s">
        <v>74</v>
      </c>
      <c r="AA254" s="1" t="s">
        <v>74</v>
      </c>
      <c r="AB254" s="1" t="s">
        <v>74</v>
      </c>
      <c r="AC254" s="1" t="s">
        <v>74</v>
      </c>
      <c r="AD254" s="1" t="s">
        <v>74</v>
      </c>
      <c r="AE254" s="1" t="s">
        <v>74</v>
      </c>
      <c r="AF254" s="1" t="s">
        <v>74</v>
      </c>
      <c r="AG254" s="1" t="s">
        <v>74</v>
      </c>
      <c r="AH254" s="1" t="s">
        <v>74</v>
      </c>
      <c r="AI254" s="1" t="s">
        <v>74</v>
      </c>
      <c r="AJ254" s="1" t="s">
        <v>74</v>
      </c>
      <c r="AK254" s="1" t="s">
        <v>74</v>
      </c>
      <c r="AL254" s="1" t="s">
        <v>74</v>
      </c>
      <c r="AM254" s="1" t="s">
        <v>74</v>
      </c>
      <c r="AN254" s="1" t="s">
        <v>74</v>
      </c>
      <c r="AO254" s="1" t="s">
        <v>2371</v>
      </c>
      <c r="AP254" s="1" t="s">
        <v>2372</v>
      </c>
      <c r="AQ254" s="1" t="s">
        <v>74</v>
      </c>
      <c r="AR254" s="1" t="s">
        <v>74</v>
      </c>
      <c r="AS254" s="1" t="s">
        <v>74</v>
      </c>
      <c r="AT254" s="1" t="s">
        <v>1176</v>
      </c>
      <c r="AU254" s="1">
        <v>2015.0</v>
      </c>
      <c r="AV254" s="1">
        <v>62.0</v>
      </c>
      <c r="AW254" s="1">
        <v>2.0</v>
      </c>
      <c r="AX254" s="1" t="s">
        <v>74</v>
      </c>
      <c r="AY254" s="1" t="s">
        <v>74</v>
      </c>
      <c r="AZ254" s="1" t="s">
        <v>74</v>
      </c>
      <c r="BA254" s="1" t="s">
        <v>74</v>
      </c>
      <c r="BB254" s="1">
        <v>107.0</v>
      </c>
      <c r="BC254" s="1">
        <v>114.0</v>
      </c>
      <c r="BD254" s="1" t="s">
        <v>74</v>
      </c>
      <c r="BE254" s="1" t="s">
        <v>2373</v>
      </c>
      <c r="BF254" s="2" t="str">
        <f>HYPERLINK("http://dx.doi.org/10.1179/2051285615Z.00000000052","http://dx.doi.org/10.1179/2051285615Z.00000000052")</f>
        <v>http://dx.doi.org/10.1179/2051285615Z.00000000052</v>
      </c>
      <c r="BG254" s="1" t="s">
        <v>74</v>
      </c>
      <c r="BH254" s="1" t="s">
        <v>74</v>
      </c>
      <c r="BI254" s="1" t="s">
        <v>74</v>
      </c>
      <c r="BJ254" s="1" t="s">
        <v>74</v>
      </c>
      <c r="BK254" s="1" t="s">
        <v>74</v>
      </c>
      <c r="BL254" s="1" t="s">
        <v>74</v>
      </c>
      <c r="BM254" s="1" t="s">
        <v>74</v>
      </c>
      <c r="BN254" s="1" t="s">
        <v>74</v>
      </c>
      <c r="BO254" s="1" t="s">
        <v>74</v>
      </c>
      <c r="BP254" s="1" t="s">
        <v>74</v>
      </c>
      <c r="BQ254" s="1" t="s">
        <v>74</v>
      </c>
      <c r="BR254" s="1" t="s">
        <v>74</v>
      </c>
      <c r="BS254" s="1" t="s">
        <v>2374</v>
      </c>
      <c r="BT254" s="1" t="str">
        <f>HYPERLINK("https%3A%2F%2Fwww.webofscience.com%2Fwos%2Fwoscc%2Ffull-record%2FWOS:000359189800005","View Full Record in Web of Science")</f>
        <v>View Full Record in Web of Science</v>
      </c>
    </row>
    <row r="255" ht="12.75" customHeight="1">
      <c r="A255" s="1" t="s">
        <v>162</v>
      </c>
      <c r="B255" s="1" t="s">
        <v>2375</v>
      </c>
      <c r="C255" s="1" t="s">
        <v>74</v>
      </c>
      <c r="D255" s="1" t="s">
        <v>2376</v>
      </c>
      <c r="E255" s="1" t="s">
        <v>74</v>
      </c>
      <c r="F255" s="1" t="s">
        <v>2377</v>
      </c>
      <c r="G255" s="1" t="s">
        <v>74</v>
      </c>
      <c r="H255" s="1" t="s">
        <v>74</v>
      </c>
      <c r="I255" s="1" t="s">
        <v>2378</v>
      </c>
      <c r="J255" s="1" t="s">
        <v>2379</v>
      </c>
      <c r="K255" s="1" t="s">
        <v>2380</v>
      </c>
      <c r="L255" s="1" t="s">
        <v>74</v>
      </c>
      <c r="M255" s="1" t="s">
        <v>74</v>
      </c>
      <c r="N255" s="1" t="s">
        <v>74</v>
      </c>
      <c r="O255" s="1" t="s">
        <v>74</v>
      </c>
      <c r="P255" s="1" t="s">
        <v>74</v>
      </c>
      <c r="Q255" s="1" t="s">
        <v>74</v>
      </c>
      <c r="R255" s="1" t="s">
        <v>74</v>
      </c>
      <c r="S255" s="1" t="s">
        <v>74</v>
      </c>
      <c r="T255" s="1" t="s">
        <v>74</v>
      </c>
      <c r="U255" s="1" t="s">
        <v>74</v>
      </c>
      <c r="V255" s="1" t="s">
        <v>2381</v>
      </c>
      <c r="W255" s="1" t="s">
        <v>74</v>
      </c>
      <c r="X255" s="1" t="s">
        <v>74</v>
      </c>
      <c r="Y255" s="1" t="s">
        <v>74</v>
      </c>
      <c r="Z255" s="1" t="s">
        <v>74</v>
      </c>
      <c r="AA255" s="1" t="s">
        <v>74</v>
      </c>
      <c r="AB255" s="1" t="s">
        <v>2382</v>
      </c>
      <c r="AC255" s="1" t="s">
        <v>74</v>
      </c>
      <c r="AD255" s="1" t="s">
        <v>74</v>
      </c>
      <c r="AE255" s="1" t="s">
        <v>74</v>
      </c>
      <c r="AF255" s="1" t="s">
        <v>74</v>
      </c>
      <c r="AG255" s="1" t="s">
        <v>74</v>
      </c>
      <c r="AH255" s="1" t="s">
        <v>74</v>
      </c>
      <c r="AI255" s="1" t="s">
        <v>74</v>
      </c>
      <c r="AJ255" s="1" t="s">
        <v>74</v>
      </c>
      <c r="AK255" s="1" t="s">
        <v>74</v>
      </c>
      <c r="AL255" s="1" t="s">
        <v>74</v>
      </c>
      <c r="AM255" s="1" t="s">
        <v>74</v>
      </c>
      <c r="AN255" s="1" t="s">
        <v>74</v>
      </c>
      <c r="AO255" s="1" t="s">
        <v>2383</v>
      </c>
      <c r="AP255" s="1" t="s">
        <v>74</v>
      </c>
      <c r="AQ255" s="1" t="s">
        <v>2384</v>
      </c>
      <c r="AR255" s="1" t="s">
        <v>74</v>
      </c>
      <c r="AS255" s="1" t="s">
        <v>74</v>
      </c>
      <c r="AT255" s="1" t="s">
        <v>74</v>
      </c>
      <c r="AU255" s="1">
        <v>2015.0</v>
      </c>
      <c r="AV255" s="1" t="s">
        <v>74</v>
      </c>
      <c r="AW255" s="1" t="s">
        <v>74</v>
      </c>
      <c r="AX255" s="1" t="s">
        <v>74</v>
      </c>
      <c r="AY255" s="1" t="s">
        <v>74</v>
      </c>
      <c r="AZ255" s="1" t="s">
        <v>74</v>
      </c>
      <c r="BA255" s="1" t="s">
        <v>74</v>
      </c>
      <c r="BB255" s="1">
        <v>193.0</v>
      </c>
      <c r="BC255" s="1">
        <v>208.0</v>
      </c>
      <c r="BD255" s="1" t="s">
        <v>74</v>
      </c>
      <c r="BE255" s="1" t="s">
        <v>2385</v>
      </c>
      <c r="BF255" s="2" t="str">
        <f>HYPERLINK("http://dx.doi.org/10.1007/978-3-319-18988-8_10","http://dx.doi.org/10.1007/978-3-319-18988-8_10")</f>
        <v>http://dx.doi.org/10.1007/978-3-319-18988-8_10</v>
      </c>
      <c r="BG255" s="1" t="s">
        <v>2386</v>
      </c>
      <c r="BH255" s="1" t="s">
        <v>74</v>
      </c>
      <c r="BI255" s="1" t="s">
        <v>74</v>
      </c>
      <c r="BJ255" s="1" t="s">
        <v>74</v>
      </c>
      <c r="BK255" s="1" t="s">
        <v>74</v>
      </c>
      <c r="BL255" s="1" t="s">
        <v>74</v>
      </c>
      <c r="BM255" s="1" t="s">
        <v>74</v>
      </c>
      <c r="BN255" s="1" t="s">
        <v>74</v>
      </c>
      <c r="BO255" s="1" t="s">
        <v>74</v>
      </c>
      <c r="BP255" s="1" t="s">
        <v>74</v>
      </c>
      <c r="BQ255" s="1" t="s">
        <v>74</v>
      </c>
      <c r="BR255" s="1" t="s">
        <v>74</v>
      </c>
      <c r="BS255" s="1" t="s">
        <v>2387</v>
      </c>
      <c r="BT255" s="1" t="str">
        <f>HYPERLINK("https%3A%2F%2Fwww.webofscience.com%2Fwos%2Fwoscc%2Ffull-record%2FWOS:000368107600011","View Full Record in Web of Science")</f>
        <v>View Full Record in Web of Science</v>
      </c>
    </row>
    <row r="256" ht="12.75" customHeight="1">
      <c r="A256" s="1" t="s">
        <v>72</v>
      </c>
      <c r="B256" s="1" t="s">
        <v>2388</v>
      </c>
      <c r="C256" s="1" t="s">
        <v>74</v>
      </c>
      <c r="D256" s="1" t="s">
        <v>74</v>
      </c>
      <c r="E256" s="1" t="s">
        <v>74</v>
      </c>
      <c r="F256" s="1" t="s">
        <v>2389</v>
      </c>
      <c r="G256" s="1" t="s">
        <v>74</v>
      </c>
      <c r="H256" s="1" t="s">
        <v>74</v>
      </c>
      <c r="I256" s="1" t="s">
        <v>2390</v>
      </c>
      <c r="J256" s="1" t="s">
        <v>642</v>
      </c>
      <c r="K256" s="1" t="s">
        <v>74</v>
      </c>
      <c r="L256" s="1" t="s">
        <v>74</v>
      </c>
      <c r="M256" s="1" t="s">
        <v>74</v>
      </c>
      <c r="N256" s="1" t="s">
        <v>74</v>
      </c>
      <c r="O256" s="1" t="s">
        <v>74</v>
      </c>
      <c r="P256" s="1" t="s">
        <v>74</v>
      </c>
      <c r="Q256" s="1" t="s">
        <v>74</v>
      </c>
      <c r="R256" s="1" t="s">
        <v>74</v>
      </c>
      <c r="S256" s="1" t="s">
        <v>74</v>
      </c>
      <c r="T256" s="1" t="s">
        <v>74</v>
      </c>
      <c r="U256" s="1" t="s">
        <v>74</v>
      </c>
      <c r="V256" s="1" t="s">
        <v>2391</v>
      </c>
      <c r="W256" s="1" t="s">
        <v>74</v>
      </c>
      <c r="X256" s="1" t="s">
        <v>74</v>
      </c>
      <c r="Y256" s="1" t="s">
        <v>74</v>
      </c>
      <c r="Z256" s="1" t="s">
        <v>74</v>
      </c>
      <c r="AA256" s="1" t="s">
        <v>74</v>
      </c>
      <c r="AB256" s="1" t="s">
        <v>74</v>
      </c>
      <c r="AC256" s="1" t="s">
        <v>74</v>
      </c>
      <c r="AD256" s="1" t="s">
        <v>74</v>
      </c>
      <c r="AE256" s="1" t="s">
        <v>74</v>
      </c>
      <c r="AF256" s="1" t="s">
        <v>74</v>
      </c>
      <c r="AG256" s="1" t="s">
        <v>74</v>
      </c>
      <c r="AH256" s="1" t="s">
        <v>74</v>
      </c>
      <c r="AI256" s="1" t="s">
        <v>74</v>
      </c>
      <c r="AJ256" s="1" t="s">
        <v>74</v>
      </c>
      <c r="AK256" s="1" t="s">
        <v>74</v>
      </c>
      <c r="AL256" s="1" t="s">
        <v>74</v>
      </c>
      <c r="AM256" s="1" t="s">
        <v>74</v>
      </c>
      <c r="AN256" s="1" t="s">
        <v>74</v>
      </c>
      <c r="AO256" s="1" t="s">
        <v>645</v>
      </c>
      <c r="AP256" s="1" t="s">
        <v>74</v>
      </c>
      <c r="AQ256" s="1" t="s">
        <v>74</v>
      </c>
      <c r="AR256" s="1" t="s">
        <v>74</v>
      </c>
      <c r="AS256" s="1" t="s">
        <v>74</v>
      </c>
      <c r="AT256" s="1" t="s">
        <v>438</v>
      </c>
      <c r="AU256" s="1">
        <v>2015.0</v>
      </c>
      <c r="AV256" s="1">
        <v>14.0</v>
      </c>
      <c r="AW256" s="1">
        <v>1.0</v>
      </c>
      <c r="AX256" s="1" t="s">
        <v>74</v>
      </c>
      <c r="AY256" s="1" t="s">
        <v>74</v>
      </c>
      <c r="AZ256" s="1" t="s">
        <v>74</v>
      </c>
      <c r="BA256" s="1" t="s">
        <v>74</v>
      </c>
      <c r="BB256" s="1">
        <v>271.0</v>
      </c>
      <c r="BC256" s="1">
        <v>285.0</v>
      </c>
      <c r="BD256" s="1" t="s">
        <v>74</v>
      </c>
      <c r="BE256" s="1" t="s">
        <v>74</v>
      </c>
      <c r="BF256" s="1" t="s">
        <v>74</v>
      </c>
      <c r="BG256" s="1" t="s">
        <v>74</v>
      </c>
      <c r="BH256" s="1" t="s">
        <v>74</v>
      </c>
      <c r="BI256" s="1" t="s">
        <v>74</v>
      </c>
      <c r="BJ256" s="1" t="s">
        <v>74</v>
      </c>
      <c r="BK256" s="1" t="s">
        <v>74</v>
      </c>
      <c r="BL256" s="1" t="s">
        <v>74</v>
      </c>
      <c r="BM256" s="1" t="s">
        <v>74</v>
      </c>
      <c r="BN256" s="1" t="s">
        <v>74</v>
      </c>
      <c r="BO256" s="1" t="s">
        <v>74</v>
      </c>
      <c r="BP256" s="1" t="s">
        <v>74</v>
      </c>
      <c r="BQ256" s="1" t="s">
        <v>74</v>
      </c>
      <c r="BR256" s="1" t="s">
        <v>74</v>
      </c>
      <c r="BS256" s="1" t="s">
        <v>2392</v>
      </c>
      <c r="BT256" s="1" t="str">
        <f>HYPERLINK("https%3A%2F%2Fwww.webofscience.com%2Fwos%2Fwoscc%2Ffull-record%2FWOS:000367989500023","View Full Record in Web of Science")</f>
        <v>View Full Record in Web of Science</v>
      </c>
    </row>
    <row r="257" ht="12.75" customHeight="1">
      <c r="A257" s="1" t="s">
        <v>72</v>
      </c>
      <c r="B257" s="1" t="s">
        <v>2393</v>
      </c>
      <c r="C257" s="1" t="s">
        <v>74</v>
      </c>
      <c r="D257" s="1" t="s">
        <v>74</v>
      </c>
      <c r="E257" s="1" t="s">
        <v>74</v>
      </c>
      <c r="F257" s="1" t="s">
        <v>2394</v>
      </c>
      <c r="G257" s="1" t="s">
        <v>74</v>
      </c>
      <c r="H257" s="1" t="s">
        <v>74</v>
      </c>
      <c r="I257" s="1" t="s">
        <v>2395</v>
      </c>
      <c r="J257" s="1" t="s">
        <v>1050</v>
      </c>
      <c r="K257" s="1" t="s">
        <v>74</v>
      </c>
      <c r="L257" s="1" t="s">
        <v>74</v>
      </c>
      <c r="M257" s="1" t="s">
        <v>74</v>
      </c>
      <c r="N257" s="1" t="s">
        <v>74</v>
      </c>
      <c r="O257" s="1" t="s">
        <v>74</v>
      </c>
      <c r="P257" s="1" t="s">
        <v>74</v>
      </c>
      <c r="Q257" s="1" t="s">
        <v>74</v>
      </c>
      <c r="R257" s="1" t="s">
        <v>74</v>
      </c>
      <c r="S257" s="1" t="s">
        <v>74</v>
      </c>
      <c r="T257" s="1" t="s">
        <v>74</v>
      </c>
      <c r="U257" s="1" t="s">
        <v>74</v>
      </c>
      <c r="V257" s="1" t="s">
        <v>2396</v>
      </c>
      <c r="W257" s="1" t="s">
        <v>74</v>
      </c>
      <c r="X257" s="1" t="s">
        <v>74</v>
      </c>
      <c r="Y257" s="1" t="s">
        <v>74</v>
      </c>
      <c r="Z257" s="1" t="s">
        <v>74</v>
      </c>
      <c r="AA257" s="1" t="s">
        <v>74</v>
      </c>
      <c r="AB257" s="1" t="s">
        <v>2397</v>
      </c>
      <c r="AC257" s="1" t="s">
        <v>74</v>
      </c>
      <c r="AD257" s="1" t="s">
        <v>74</v>
      </c>
      <c r="AE257" s="1" t="s">
        <v>74</v>
      </c>
      <c r="AF257" s="1" t="s">
        <v>74</v>
      </c>
      <c r="AG257" s="1" t="s">
        <v>74</v>
      </c>
      <c r="AH257" s="1" t="s">
        <v>74</v>
      </c>
      <c r="AI257" s="1" t="s">
        <v>74</v>
      </c>
      <c r="AJ257" s="1" t="s">
        <v>74</v>
      </c>
      <c r="AK257" s="1" t="s">
        <v>74</v>
      </c>
      <c r="AL257" s="1" t="s">
        <v>74</v>
      </c>
      <c r="AM257" s="1" t="s">
        <v>74</v>
      </c>
      <c r="AN257" s="1" t="s">
        <v>74</v>
      </c>
      <c r="AO257" s="1" t="s">
        <v>1054</v>
      </c>
      <c r="AP257" s="1" t="s">
        <v>74</v>
      </c>
      <c r="AQ257" s="1" t="s">
        <v>74</v>
      </c>
      <c r="AR257" s="1" t="s">
        <v>74</v>
      </c>
      <c r="AS257" s="1" t="s">
        <v>74</v>
      </c>
      <c r="AT257" s="1" t="s">
        <v>370</v>
      </c>
      <c r="AU257" s="1">
        <v>2014.0</v>
      </c>
      <c r="AV257" s="1">
        <v>59.0</v>
      </c>
      <c r="AW257" s="1">
        <v>2.0</v>
      </c>
      <c r="AX257" s="1" t="s">
        <v>74</v>
      </c>
      <c r="AY257" s="1" t="s">
        <v>74</v>
      </c>
      <c r="AZ257" s="1" t="s">
        <v>74</v>
      </c>
      <c r="BA257" s="1" t="s">
        <v>74</v>
      </c>
      <c r="BB257" s="1">
        <v>2502.0</v>
      </c>
      <c r="BC257" s="1">
        <v>2506.0</v>
      </c>
      <c r="BD257" s="1" t="s">
        <v>74</v>
      </c>
      <c r="BE257" s="1" t="s">
        <v>2398</v>
      </c>
      <c r="BF257" s="2" t="str">
        <f>HYPERLINK("http://dx.doi.org/10.4067/S0717-97072014000200023","http://dx.doi.org/10.4067/S0717-97072014000200023")</f>
        <v>http://dx.doi.org/10.4067/S0717-97072014000200023</v>
      </c>
      <c r="BG257" s="1" t="s">
        <v>74</v>
      </c>
      <c r="BH257" s="1" t="s">
        <v>74</v>
      </c>
      <c r="BI257" s="1" t="s">
        <v>74</v>
      </c>
      <c r="BJ257" s="1" t="s">
        <v>74</v>
      </c>
      <c r="BK257" s="1" t="s">
        <v>74</v>
      </c>
      <c r="BL257" s="1" t="s">
        <v>74</v>
      </c>
      <c r="BM257" s="1" t="s">
        <v>74</v>
      </c>
      <c r="BN257" s="1" t="s">
        <v>74</v>
      </c>
      <c r="BO257" s="1" t="s">
        <v>74</v>
      </c>
      <c r="BP257" s="1" t="s">
        <v>74</v>
      </c>
      <c r="BQ257" s="1" t="s">
        <v>74</v>
      </c>
      <c r="BR257" s="1" t="s">
        <v>74</v>
      </c>
      <c r="BS257" s="1" t="s">
        <v>2399</v>
      </c>
      <c r="BT257" s="1" t="str">
        <f>HYPERLINK("https%3A%2F%2Fwww.webofscience.com%2Fwos%2Fwoscc%2Ffull-record%2FWOS:000342613100023","View Full Record in Web of Science")</f>
        <v>View Full Record in Web of Science</v>
      </c>
    </row>
    <row r="258" ht="12.75" customHeight="1">
      <c r="A258" s="1" t="s">
        <v>72</v>
      </c>
      <c r="B258" s="1" t="s">
        <v>2400</v>
      </c>
      <c r="C258" s="1" t="s">
        <v>74</v>
      </c>
      <c r="D258" s="1" t="s">
        <v>74</v>
      </c>
      <c r="E258" s="1" t="s">
        <v>74</v>
      </c>
      <c r="F258" s="1" t="s">
        <v>2401</v>
      </c>
      <c r="G258" s="1" t="s">
        <v>74</v>
      </c>
      <c r="H258" s="1" t="s">
        <v>74</v>
      </c>
      <c r="I258" s="1" t="s">
        <v>2402</v>
      </c>
      <c r="J258" s="1" t="s">
        <v>2403</v>
      </c>
      <c r="K258" s="1" t="s">
        <v>74</v>
      </c>
      <c r="L258" s="1" t="s">
        <v>74</v>
      </c>
      <c r="M258" s="1" t="s">
        <v>74</v>
      </c>
      <c r="N258" s="1" t="s">
        <v>74</v>
      </c>
      <c r="O258" s="1" t="s">
        <v>74</v>
      </c>
      <c r="P258" s="1" t="s">
        <v>74</v>
      </c>
      <c r="Q258" s="1" t="s">
        <v>74</v>
      </c>
      <c r="R258" s="1" t="s">
        <v>74</v>
      </c>
      <c r="S258" s="1" t="s">
        <v>74</v>
      </c>
      <c r="T258" s="1" t="s">
        <v>74</v>
      </c>
      <c r="U258" s="1" t="s">
        <v>74</v>
      </c>
      <c r="V258" s="1" t="s">
        <v>2404</v>
      </c>
      <c r="W258" s="1" t="s">
        <v>74</v>
      </c>
      <c r="X258" s="1" t="s">
        <v>74</v>
      </c>
      <c r="Y258" s="1" t="s">
        <v>74</v>
      </c>
      <c r="Z258" s="1" t="s">
        <v>74</v>
      </c>
      <c r="AA258" s="1" t="s">
        <v>74</v>
      </c>
      <c r="AB258" s="1" t="s">
        <v>74</v>
      </c>
      <c r="AC258" s="1" t="s">
        <v>74</v>
      </c>
      <c r="AD258" s="1" t="s">
        <v>74</v>
      </c>
      <c r="AE258" s="1" t="s">
        <v>74</v>
      </c>
      <c r="AF258" s="1" t="s">
        <v>74</v>
      </c>
      <c r="AG258" s="1" t="s">
        <v>74</v>
      </c>
      <c r="AH258" s="1" t="s">
        <v>74</v>
      </c>
      <c r="AI258" s="1" t="s">
        <v>74</v>
      </c>
      <c r="AJ258" s="1" t="s">
        <v>74</v>
      </c>
      <c r="AK258" s="1" t="s">
        <v>74</v>
      </c>
      <c r="AL258" s="1" t="s">
        <v>74</v>
      </c>
      <c r="AM258" s="1" t="s">
        <v>74</v>
      </c>
      <c r="AN258" s="1" t="s">
        <v>74</v>
      </c>
      <c r="AO258" s="1" t="s">
        <v>2405</v>
      </c>
      <c r="AP258" s="1" t="s">
        <v>74</v>
      </c>
      <c r="AQ258" s="1" t="s">
        <v>74</v>
      </c>
      <c r="AR258" s="1" t="s">
        <v>74</v>
      </c>
      <c r="AS258" s="1" t="s">
        <v>74</v>
      </c>
      <c r="AT258" s="1" t="s">
        <v>180</v>
      </c>
      <c r="AU258" s="1">
        <v>2014.0</v>
      </c>
      <c r="AV258" s="1">
        <v>61.0</v>
      </c>
      <c r="AW258" s="1" t="s">
        <v>74</v>
      </c>
      <c r="AX258" s="1" t="s">
        <v>74</v>
      </c>
      <c r="AY258" s="1" t="s">
        <v>74</v>
      </c>
      <c r="AZ258" s="1" t="s">
        <v>74</v>
      </c>
      <c r="BA258" s="1" t="s">
        <v>74</v>
      </c>
      <c r="BB258" s="1">
        <v>73.0</v>
      </c>
      <c r="BC258" s="1">
        <v>81.0</v>
      </c>
      <c r="BD258" s="1" t="s">
        <v>74</v>
      </c>
      <c r="BE258" s="1" t="s">
        <v>2406</v>
      </c>
      <c r="BF258" s="2" t="str">
        <f>HYPERLINK("http://dx.doi.org/10.1016/j.mineng.2014.03.010","http://dx.doi.org/10.1016/j.mineng.2014.03.010")</f>
        <v>http://dx.doi.org/10.1016/j.mineng.2014.03.010</v>
      </c>
      <c r="BG258" s="1" t="s">
        <v>74</v>
      </c>
      <c r="BH258" s="1" t="s">
        <v>74</v>
      </c>
      <c r="BI258" s="1" t="s">
        <v>74</v>
      </c>
      <c r="BJ258" s="1" t="s">
        <v>74</v>
      </c>
      <c r="BK258" s="1" t="s">
        <v>74</v>
      </c>
      <c r="BL258" s="1" t="s">
        <v>74</v>
      </c>
      <c r="BM258" s="1" t="s">
        <v>74</v>
      </c>
      <c r="BN258" s="1" t="s">
        <v>74</v>
      </c>
      <c r="BO258" s="1" t="s">
        <v>74</v>
      </c>
      <c r="BP258" s="1" t="s">
        <v>74</v>
      </c>
      <c r="BQ258" s="1" t="s">
        <v>74</v>
      </c>
      <c r="BR258" s="1" t="s">
        <v>74</v>
      </c>
      <c r="BS258" s="1" t="s">
        <v>2407</v>
      </c>
      <c r="BT258" s="1" t="str">
        <f>HYPERLINK("https%3A%2F%2Fwww.webofscience.com%2Fwos%2Fwoscc%2Ffull-record%2FWOS:000336695800010","View Full Record in Web of Science")</f>
        <v>View Full Record in Web of Science</v>
      </c>
    </row>
    <row r="259" ht="12.75" customHeight="1">
      <c r="A259" s="1" t="s">
        <v>91</v>
      </c>
      <c r="B259" s="1" t="s">
        <v>2408</v>
      </c>
      <c r="C259" s="1" t="s">
        <v>74</v>
      </c>
      <c r="D259" s="1" t="s">
        <v>74</v>
      </c>
      <c r="E259" s="1" t="s">
        <v>442</v>
      </c>
      <c r="F259" s="1" t="s">
        <v>2409</v>
      </c>
      <c r="G259" s="1" t="s">
        <v>74</v>
      </c>
      <c r="H259" s="1" t="s">
        <v>74</v>
      </c>
      <c r="I259" s="1" t="s">
        <v>2410</v>
      </c>
      <c r="J259" s="1" t="s">
        <v>2411</v>
      </c>
      <c r="K259" s="1" t="s">
        <v>74</v>
      </c>
      <c r="L259" s="1" t="s">
        <v>74</v>
      </c>
      <c r="M259" s="1" t="s">
        <v>74</v>
      </c>
      <c r="N259" s="1" t="s">
        <v>74</v>
      </c>
      <c r="O259" s="1" t="s">
        <v>2412</v>
      </c>
      <c r="P259" s="1" t="s">
        <v>2413</v>
      </c>
      <c r="Q259" s="1" t="s">
        <v>2414</v>
      </c>
      <c r="R259" s="1" t="s">
        <v>74</v>
      </c>
      <c r="S259" s="1" t="s">
        <v>74</v>
      </c>
      <c r="T259" s="1" t="s">
        <v>74</v>
      </c>
      <c r="U259" s="1" t="s">
        <v>74</v>
      </c>
      <c r="V259" s="1" t="s">
        <v>2415</v>
      </c>
      <c r="W259" s="1" t="s">
        <v>74</v>
      </c>
      <c r="X259" s="1" t="s">
        <v>74</v>
      </c>
      <c r="Y259" s="1" t="s">
        <v>74</v>
      </c>
      <c r="Z259" s="1" t="s">
        <v>74</v>
      </c>
      <c r="AA259" s="1" t="s">
        <v>74</v>
      </c>
      <c r="AB259" s="1" t="s">
        <v>2416</v>
      </c>
      <c r="AC259" s="1" t="s">
        <v>74</v>
      </c>
      <c r="AD259" s="1" t="s">
        <v>74</v>
      </c>
      <c r="AE259" s="1" t="s">
        <v>74</v>
      </c>
      <c r="AF259" s="1" t="s">
        <v>74</v>
      </c>
      <c r="AG259" s="1" t="s">
        <v>74</v>
      </c>
      <c r="AH259" s="1" t="s">
        <v>74</v>
      </c>
      <c r="AI259" s="1" t="s">
        <v>74</v>
      </c>
      <c r="AJ259" s="1" t="s">
        <v>74</v>
      </c>
      <c r="AK259" s="1" t="s">
        <v>74</v>
      </c>
      <c r="AL259" s="1" t="s">
        <v>74</v>
      </c>
      <c r="AM259" s="1" t="s">
        <v>74</v>
      </c>
      <c r="AN259" s="1" t="s">
        <v>74</v>
      </c>
      <c r="AO259" s="1" t="s">
        <v>74</v>
      </c>
      <c r="AP259" s="1" t="s">
        <v>74</v>
      </c>
      <c r="AQ259" s="1" t="s">
        <v>2417</v>
      </c>
      <c r="AR259" s="1" t="s">
        <v>74</v>
      </c>
      <c r="AS259" s="1" t="s">
        <v>74</v>
      </c>
      <c r="AT259" s="1" t="s">
        <v>74</v>
      </c>
      <c r="AU259" s="1">
        <v>2014.0</v>
      </c>
      <c r="AV259" s="1" t="s">
        <v>74</v>
      </c>
      <c r="AW259" s="1" t="s">
        <v>74</v>
      </c>
      <c r="AX259" s="1" t="s">
        <v>74</v>
      </c>
      <c r="AY259" s="1" t="s">
        <v>74</v>
      </c>
      <c r="AZ259" s="1" t="s">
        <v>74</v>
      </c>
      <c r="BA259" s="1" t="s">
        <v>74</v>
      </c>
      <c r="BB259" s="1" t="s">
        <v>74</v>
      </c>
      <c r="BC259" s="1" t="s">
        <v>74</v>
      </c>
      <c r="BD259" s="1" t="s">
        <v>74</v>
      </c>
      <c r="BE259" s="1" t="s">
        <v>74</v>
      </c>
      <c r="BF259" s="1" t="s">
        <v>74</v>
      </c>
      <c r="BG259" s="1" t="s">
        <v>74</v>
      </c>
      <c r="BH259" s="1" t="s">
        <v>74</v>
      </c>
      <c r="BI259" s="1" t="s">
        <v>74</v>
      </c>
      <c r="BJ259" s="1" t="s">
        <v>74</v>
      </c>
      <c r="BK259" s="1" t="s">
        <v>74</v>
      </c>
      <c r="BL259" s="1" t="s">
        <v>74</v>
      </c>
      <c r="BM259" s="1" t="s">
        <v>74</v>
      </c>
      <c r="BN259" s="1" t="s">
        <v>74</v>
      </c>
      <c r="BO259" s="1" t="s">
        <v>74</v>
      </c>
      <c r="BP259" s="1" t="s">
        <v>74</v>
      </c>
      <c r="BQ259" s="1" t="s">
        <v>74</v>
      </c>
      <c r="BR259" s="1" t="s">
        <v>74</v>
      </c>
      <c r="BS259" s="1" t="s">
        <v>2418</v>
      </c>
      <c r="BT259" s="1" t="str">
        <f>HYPERLINK("https%3A%2F%2Fwww.webofscience.com%2Fwos%2Fwoscc%2Ffull-record%2FWOS:000347870800039","View Full Record in Web of Science")</f>
        <v>View Full Record in Web of Science</v>
      </c>
    </row>
    <row r="260" ht="12.75" customHeight="1">
      <c r="A260" s="1" t="s">
        <v>72</v>
      </c>
      <c r="B260" s="1" t="s">
        <v>2419</v>
      </c>
      <c r="C260" s="1" t="s">
        <v>74</v>
      </c>
      <c r="D260" s="1" t="s">
        <v>74</v>
      </c>
      <c r="E260" s="1" t="s">
        <v>74</v>
      </c>
      <c r="F260" s="1" t="s">
        <v>2420</v>
      </c>
      <c r="G260" s="1" t="s">
        <v>74</v>
      </c>
      <c r="H260" s="1" t="s">
        <v>74</v>
      </c>
      <c r="I260" s="1" t="s">
        <v>2421</v>
      </c>
      <c r="J260" s="1" t="s">
        <v>2422</v>
      </c>
      <c r="K260" s="1" t="s">
        <v>74</v>
      </c>
      <c r="L260" s="1" t="s">
        <v>74</v>
      </c>
      <c r="M260" s="1" t="s">
        <v>74</v>
      </c>
      <c r="N260" s="1" t="s">
        <v>74</v>
      </c>
      <c r="O260" s="1" t="s">
        <v>74</v>
      </c>
      <c r="P260" s="1" t="s">
        <v>74</v>
      </c>
      <c r="Q260" s="1" t="s">
        <v>74</v>
      </c>
      <c r="R260" s="1" t="s">
        <v>74</v>
      </c>
      <c r="S260" s="1" t="s">
        <v>74</v>
      </c>
      <c r="T260" s="1" t="s">
        <v>74</v>
      </c>
      <c r="U260" s="1" t="s">
        <v>74</v>
      </c>
      <c r="V260" s="1" t="s">
        <v>2423</v>
      </c>
      <c r="W260" s="1" t="s">
        <v>74</v>
      </c>
      <c r="X260" s="1" t="s">
        <v>74</v>
      </c>
      <c r="Y260" s="1" t="s">
        <v>74</v>
      </c>
      <c r="Z260" s="1" t="s">
        <v>74</v>
      </c>
      <c r="AA260" s="1" t="s">
        <v>2424</v>
      </c>
      <c r="AB260" s="1" t="s">
        <v>74</v>
      </c>
      <c r="AC260" s="1" t="s">
        <v>74</v>
      </c>
      <c r="AD260" s="1" t="s">
        <v>74</v>
      </c>
      <c r="AE260" s="1" t="s">
        <v>74</v>
      </c>
      <c r="AF260" s="1" t="s">
        <v>74</v>
      </c>
      <c r="AG260" s="1" t="s">
        <v>74</v>
      </c>
      <c r="AH260" s="1" t="s">
        <v>74</v>
      </c>
      <c r="AI260" s="1" t="s">
        <v>74</v>
      </c>
      <c r="AJ260" s="1" t="s">
        <v>74</v>
      </c>
      <c r="AK260" s="1" t="s">
        <v>74</v>
      </c>
      <c r="AL260" s="1" t="s">
        <v>74</v>
      </c>
      <c r="AM260" s="1" t="s">
        <v>74</v>
      </c>
      <c r="AN260" s="1" t="s">
        <v>74</v>
      </c>
      <c r="AO260" s="1" t="s">
        <v>2425</v>
      </c>
      <c r="AP260" s="1" t="s">
        <v>2426</v>
      </c>
      <c r="AQ260" s="1" t="s">
        <v>74</v>
      </c>
      <c r="AR260" s="1" t="s">
        <v>74</v>
      </c>
      <c r="AS260" s="1" t="s">
        <v>74</v>
      </c>
      <c r="AT260" s="1" t="s">
        <v>205</v>
      </c>
      <c r="AU260" s="1">
        <v>2013.0</v>
      </c>
      <c r="AV260" s="1">
        <v>89.0</v>
      </c>
      <c r="AW260" s="1">
        <v>6.0</v>
      </c>
      <c r="AX260" s="1" t="s">
        <v>74</v>
      </c>
      <c r="AY260" s="1" t="s">
        <v>74</v>
      </c>
      <c r="AZ260" s="1" t="s">
        <v>74</v>
      </c>
      <c r="BA260" s="1" t="s">
        <v>74</v>
      </c>
      <c r="BB260" s="1">
        <v>1413.0</v>
      </c>
      <c r="BC260" s="1">
        <v>1416.0</v>
      </c>
      <c r="BD260" s="1" t="s">
        <v>74</v>
      </c>
      <c r="BE260" s="1" t="s">
        <v>2427</v>
      </c>
      <c r="BF260" s="2" t="str">
        <f>HYPERLINK("http://dx.doi.org/10.1111/php.12112","http://dx.doi.org/10.1111/php.12112")</f>
        <v>http://dx.doi.org/10.1111/php.12112</v>
      </c>
      <c r="BG260" s="1" t="s">
        <v>74</v>
      </c>
      <c r="BH260" s="1" t="s">
        <v>74</v>
      </c>
      <c r="BI260" s="1" t="s">
        <v>74</v>
      </c>
      <c r="BJ260" s="1" t="s">
        <v>74</v>
      </c>
      <c r="BK260" s="1" t="s">
        <v>74</v>
      </c>
      <c r="BL260" s="1" t="s">
        <v>74</v>
      </c>
      <c r="BM260" s="1" t="s">
        <v>74</v>
      </c>
      <c r="BN260" s="1">
        <v>2.3789593E7</v>
      </c>
      <c r="BO260" s="1" t="s">
        <v>74</v>
      </c>
      <c r="BP260" s="1" t="s">
        <v>74</v>
      </c>
      <c r="BQ260" s="1" t="s">
        <v>74</v>
      </c>
      <c r="BR260" s="1" t="s">
        <v>74</v>
      </c>
      <c r="BS260" s="1" t="s">
        <v>2428</v>
      </c>
      <c r="BT260" s="1" t="str">
        <f>HYPERLINK("https%3A%2F%2Fwww.webofscience.com%2Fwos%2Fwoscc%2Ffull-record%2FWOS:000326507100020","View Full Record in Web of Science")</f>
        <v>View Full Record in Web of Science</v>
      </c>
    </row>
    <row r="261" ht="12.75" customHeight="1">
      <c r="A261" s="1" t="s">
        <v>72</v>
      </c>
      <c r="B261" s="1" t="s">
        <v>2429</v>
      </c>
      <c r="C261" s="1" t="s">
        <v>74</v>
      </c>
      <c r="D261" s="1" t="s">
        <v>74</v>
      </c>
      <c r="E261" s="1" t="s">
        <v>74</v>
      </c>
      <c r="F261" s="1" t="s">
        <v>2430</v>
      </c>
      <c r="G261" s="1" t="s">
        <v>74</v>
      </c>
      <c r="H261" s="1" t="s">
        <v>74</v>
      </c>
      <c r="I261" s="1" t="s">
        <v>2431</v>
      </c>
      <c r="J261" s="1" t="s">
        <v>1801</v>
      </c>
      <c r="K261" s="1" t="s">
        <v>74</v>
      </c>
      <c r="L261" s="1" t="s">
        <v>74</v>
      </c>
      <c r="M261" s="1" t="s">
        <v>74</v>
      </c>
      <c r="N261" s="1" t="s">
        <v>74</v>
      </c>
      <c r="O261" s="1" t="s">
        <v>74</v>
      </c>
      <c r="P261" s="1" t="s">
        <v>74</v>
      </c>
      <c r="Q261" s="1" t="s">
        <v>74</v>
      </c>
      <c r="R261" s="1" t="s">
        <v>74</v>
      </c>
      <c r="S261" s="1" t="s">
        <v>74</v>
      </c>
      <c r="T261" s="1" t="s">
        <v>74</v>
      </c>
      <c r="U261" s="1" t="s">
        <v>74</v>
      </c>
      <c r="V261" s="1" t="s">
        <v>2432</v>
      </c>
      <c r="W261" s="1" t="s">
        <v>74</v>
      </c>
      <c r="X261" s="1" t="s">
        <v>74</v>
      </c>
      <c r="Y261" s="1" t="s">
        <v>74</v>
      </c>
      <c r="Z261" s="1" t="s">
        <v>74</v>
      </c>
      <c r="AA261" s="1" t="s">
        <v>2433</v>
      </c>
      <c r="AB261" s="1" t="s">
        <v>1804</v>
      </c>
      <c r="AC261" s="1" t="s">
        <v>74</v>
      </c>
      <c r="AD261" s="1" t="s">
        <v>74</v>
      </c>
      <c r="AE261" s="1" t="s">
        <v>74</v>
      </c>
      <c r="AF261" s="1" t="s">
        <v>74</v>
      </c>
      <c r="AG261" s="1" t="s">
        <v>74</v>
      </c>
      <c r="AH261" s="1" t="s">
        <v>74</v>
      </c>
      <c r="AI261" s="1" t="s">
        <v>74</v>
      </c>
      <c r="AJ261" s="1" t="s">
        <v>74</v>
      </c>
      <c r="AK261" s="1" t="s">
        <v>74</v>
      </c>
      <c r="AL261" s="1" t="s">
        <v>74</v>
      </c>
      <c r="AM261" s="1" t="s">
        <v>74</v>
      </c>
      <c r="AN261" s="1" t="s">
        <v>74</v>
      </c>
      <c r="AO261" s="1" t="s">
        <v>1805</v>
      </c>
      <c r="AP261" s="1" t="s">
        <v>74</v>
      </c>
      <c r="AQ261" s="1" t="s">
        <v>74</v>
      </c>
      <c r="AR261" s="1" t="s">
        <v>74</v>
      </c>
      <c r="AS261" s="1" t="s">
        <v>74</v>
      </c>
      <c r="AT261" s="1" t="s">
        <v>915</v>
      </c>
      <c r="AU261" s="1">
        <v>2013.0</v>
      </c>
      <c r="AV261" s="1">
        <v>30.0</v>
      </c>
      <c r="AW261" s="1">
        <v>2.0</v>
      </c>
      <c r="AX261" s="1" t="s">
        <v>74</v>
      </c>
      <c r="AY261" s="1" t="s">
        <v>74</v>
      </c>
      <c r="AZ261" s="1" t="s">
        <v>74</v>
      </c>
      <c r="BA261" s="1" t="s">
        <v>74</v>
      </c>
      <c r="BB261" s="1">
        <v>115.0</v>
      </c>
      <c r="BC261" s="1">
        <v>122.0</v>
      </c>
      <c r="BD261" s="1" t="s">
        <v>74</v>
      </c>
      <c r="BE261" s="1" t="s">
        <v>74</v>
      </c>
      <c r="BF261" s="1" t="s">
        <v>74</v>
      </c>
      <c r="BG261" s="1" t="s">
        <v>74</v>
      </c>
      <c r="BH261" s="1" t="s">
        <v>74</v>
      </c>
      <c r="BI261" s="1" t="s">
        <v>74</v>
      </c>
      <c r="BJ261" s="1" t="s">
        <v>74</v>
      </c>
      <c r="BK261" s="1" t="s">
        <v>74</v>
      </c>
      <c r="BL261" s="1" t="s">
        <v>74</v>
      </c>
      <c r="BM261" s="1" t="s">
        <v>74</v>
      </c>
      <c r="BN261" s="1" t="s">
        <v>74</v>
      </c>
      <c r="BO261" s="1" t="s">
        <v>74</v>
      </c>
      <c r="BP261" s="1" t="s">
        <v>74</v>
      </c>
      <c r="BQ261" s="1" t="s">
        <v>74</v>
      </c>
      <c r="BR261" s="1" t="s">
        <v>74</v>
      </c>
      <c r="BS261" s="1" t="s">
        <v>2434</v>
      </c>
      <c r="BT261" s="1" t="str">
        <f>HYPERLINK("https%3A%2F%2Fwww.webofscience.com%2Fwos%2Fwoscc%2Ffull-record%2FWOS:000321681400004","View Full Record in Web of Science")</f>
        <v>View Full Record in Web of Science</v>
      </c>
    </row>
    <row r="262" ht="12.75" customHeight="1">
      <c r="A262" s="1" t="s">
        <v>72</v>
      </c>
      <c r="B262" s="1" t="s">
        <v>2435</v>
      </c>
      <c r="C262" s="1" t="s">
        <v>74</v>
      </c>
      <c r="D262" s="1" t="s">
        <v>74</v>
      </c>
      <c r="E262" s="1" t="s">
        <v>74</v>
      </c>
      <c r="F262" s="1" t="s">
        <v>2436</v>
      </c>
      <c r="G262" s="1" t="s">
        <v>74</v>
      </c>
      <c r="H262" s="1" t="s">
        <v>74</v>
      </c>
      <c r="I262" s="1" t="s">
        <v>2437</v>
      </c>
      <c r="J262" s="1" t="s">
        <v>2438</v>
      </c>
      <c r="K262" s="1" t="s">
        <v>74</v>
      </c>
      <c r="L262" s="1" t="s">
        <v>74</v>
      </c>
      <c r="M262" s="1" t="s">
        <v>74</v>
      </c>
      <c r="N262" s="1" t="s">
        <v>74</v>
      </c>
      <c r="O262" s="1" t="s">
        <v>74</v>
      </c>
      <c r="P262" s="1" t="s">
        <v>74</v>
      </c>
      <c r="Q262" s="1" t="s">
        <v>74</v>
      </c>
      <c r="R262" s="1" t="s">
        <v>74</v>
      </c>
      <c r="S262" s="1" t="s">
        <v>74</v>
      </c>
      <c r="T262" s="1" t="s">
        <v>74</v>
      </c>
      <c r="U262" s="1" t="s">
        <v>74</v>
      </c>
      <c r="V262" s="1" t="s">
        <v>2439</v>
      </c>
      <c r="W262" s="1" t="s">
        <v>74</v>
      </c>
      <c r="X262" s="1" t="s">
        <v>74</v>
      </c>
      <c r="Y262" s="1" t="s">
        <v>74</v>
      </c>
      <c r="Z262" s="1" t="s">
        <v>74</v>
      </c>
      <c r="AA262" s="1" t="s">
        <v>2440</v>
      </c>
      <c r="AB262" s="1" t="s">
        <v>2441</v>
      </c>
      <c r="AC262" s="1" t="s">
        <v>74</v>
      </c>
      <c r="AD262" s="1" t="s">
        <v>74</v>
      </c>
      <c r="AE262" s="1" t="s">
        <v>74</v>
      </c>
      <c r="AF262" s="1" t="s">
        <v>74</v>
      </c>
      <c r="AG262" s="1" t="s">
        <v>74</v>
      </c>
      <c r="AH262" s="1" t="s">
        <v>74</v>
      </c>
      <c r="AI262" s="1" t="s">
        <v>74</v>
      </c>
      <c r="AJ262" s="1" t="s">
        <v>74</v>
      </c>
      <c r="AK262" s="1" t="s">
        <v>74</v>
      </c>
      <c r="AL262" s="1" t="s">
        <v>74</v>
      </c>
      <c r="AM262" s="1" t="s">
        <v>74</v>
      </c>
      <c r="AN262" s="1" t="s">
        <v>74</v>
      </c>
      <c r="AO262" s="1" t="s">
        <v>2442</v>
      </c>
      <c r="AP262" s="1" t="s">
        <v>74</v>
      </c>
      <c r="AQ262" s="1" t="s">
        <v>74</v>
      </c>
      <c r="AR262" s="1" t="s">
        <v>74</v>
      </c>
      <c r="AS262" s="1" t="s">
        <v>74</v>
      </c>
      <c r="AT262" s="1" t="s">
        <v>180</v>
      </c>
      <c r="AU262" s="1">
        <v>2013.0</v>
      </c>
      <c r="AV262" s="1">
        <v>60.0</v>
      </c>
      <c r="AW262" s="1" t="s">
        <v>74</v>
      </c>
      <c r="AX262" s="1" t="s">
        <v>74</v>
      </c>
      <c r="AY262" s="1" t="s">
        <v>74</v>
      </c>
      <c r="AZ262" s="1" t="s">
        <v>74</v>
      </c>
      <c r="BA262" s="1" t="s">
        <v>74</v>
      </c>
      <c r="BB262" s="1">
        <v>381.0</v>
      </c>
      <c r="BC262" s="1">
        <v>388.0</v>
      </c>
      <c r="BD262" s="1" t="s">
        <v>74</v>
      </c>
      <c r="BE262" s="1" t="s">
        <v>2443</v>
      </c>
      <c r="BF262" s="2" t="str">
        <f>HYPERLINK("http://dx.doi.org/10.1016/j.ijrmms.2013.01.013","http://dx.doi.org/10.1016/j.ijrmms.2013.01.013")</f>
        <v>http://dx.doi.org/10.1016/j.ijrmms.2013.01.013</v>
      </c>
      <c r="BG262" s="1" t="s">
        <v>74</v>
      </c>
      <c r="BH262" s="1" t="s">
        <v>74</v>
      </c>
      <c r="BI262" s="1" t="s">
        <v>74</v>
      </c>
      <c r="BJ262" s="1" t="s">
        <v>74</v>
      </c>
      <c r="BK262" s="1" t="s">
        <v>74</v>
      </c>
      <c r="BL262" s="1" t="s">
        <v>74</v>
      </c>
      <c r="BM262" s="1" t="s">
        <v>74</v>
      </c>
      <c r="BN262" s="1" t="s">
        <v>74</v>
      </c>
      <c r="BO262" s="1" t="s">
        <v>74</v>
      </c>
      <c r="BP262" s="1" t="s">
        <v>74</v>
      </c>
      <c r="BQ262" s="1" t="s">
        <v>74</v>
      </c>
      <c r="BR262" s="1" t="s">
        <v>74</v>
      </c>
      <c r="BS262" s="1" t="s">
        <v>2444</v>
      </c>
      <c r="BT262" s="1" t="str">
        <f>HYPERLINK("https%3A%2F%2Fwww.webofscience.com%2Fwos%2Fwoscc%2Ffull-record%2FWOS:000317802000039","View Full Record in Web of Science")</f>
        <v>View Full Record in Web of Science</v>
      </c>
    </row>
    <row r="263" ht="12.75" customHeight="1">
      <c r="A263" s="1" t="s">
        <v>72</v>
      </c>
      <c r="B263" s="1" t="s">
        <v>2445</v>
      </c>
      <c r="C263" s="1" t="s">
        <v>74</v>
      </c>
      <c r="D263" s="1" t="s">
        <v>74</v>
      </c>
      <c r="E263" s="1" t="s">
        <v>74</v>
      </c>
      <c r="F263" s="1" t="s">
        <v>2446</v>
      </c>
      <c r="G263" s="1" t="s">
        <v>74</v>
      </c>
      <c r="H263" s="1" t="s">
        <v>74</v>
      </c>
      <c r="I263" s="1" t="s">
        <v>2447</v>
      </c>
      <c r="J263" s="1" t="s">
        <v>2448</v>
      </c>
      <c r="K263" s="1" t="s">
        <v>74</v>
      </c>
      <c r="L263" s="1" t="s">
        <v>74</v>
      </c>
      <c r="M263" s="1" t="s">
        <v>74</v>
      </c>
      <c r="N263" s="1" t="s">
        <v>74</v>
      </c>
      <c r="O263" s="1" t="s">
        <v>74</v>
      </c>
      <c r="P263" s="1" t="s">
        <v>74</v>
      </c>
      <c r="Q263" s="1" t="s">
        <v>74</v>
      </c>
      <c r="R263" s="1" t="s">
        <v>74</v>
      </c>
      <c r="S263" s="1" t="s">
        <v>74</v>
      </c>
      <c r="T263" s="1" t="s">
        <v>74</v>
      </c>
      <c r="U263" s="1" t="s">
        <v>74</v>
      </c>
      <c r="V263" s="1" t="s">
        <v>2449</v>
      </c>
      <c r="W263" s="1" t="s">
        <v>74</v>
      </c>
      <c r="X263" s="1" t="s">
        <v>74</v>
      </c>
      <c r="Y263" s="1" t="s">
        <v>74</v>
      </c>
      <c r="Z263" s="1" t="s">
        <v>74</v>
      </c>
      <c r="AA263" s="1" t="s">
        <v>2450</v>
      </c>
      <c r="AB263" s="1" t="s">
        <v>2451</v>
      </c>
      <c r="AC263" s="1" t="s">
        <v>74</v>
      </c>
      <c r="AD263" s="1" t="s">
        <v>74</v>
      </c>
      <c r="AE263" s="1" t="s">
        <v>74</v>
      </c>
      <c r="AF263" s="1" t="s">
        <v>74</v>
      </c>
      <c r="AG263" s="1" t="s">
        <v>74</v>
      </c>
      <c r="AH263" s="1" t="s">
        <v>74</v>
      </c>
      <c r="AI263" s="1" t="s">
        <v>74</v>
      </c>
      <c r="AJ263" s="1" t="s">
        <v>74</v>
      </c>
      <c r="AK263" s="1" t="s">
        <v>74</v>
      </c>
      <c r="AL263" s="1" t="s">
        <v>74</v>
      </c>
      <c r="AM263" s="1" t="s">
        <v>74</v>
      </c>
      <c r="AN263" s="1" t="s">
        <v>74</v>
      </c>
      <c r="AO263" s="1" t="s">
        <v>2452</v>
      </c>
      <c r="AP263" s="1" t="s">
        <v>2453</v>
      </c>
      <c r="AQ263" s="1" t="s">
        <v>74</v>
      </c>
      <c r="AR263" s="1" t="s">
        <v>74</v>
      </c>
      <c r="AS263" s="1" t="s">
        <v>74</v>
      </c>
      <c r="AT263" s="1" t="s">
        <v>288</v>
      </c>
      <c r="AU263" s="1">
        <v>2013.0</v>
      </c>
      <c r="AV263" s="1">
        <v>19.0</v>
      </c>
      <c r="AW263" s="1">
        <v>2.0</v>
      </c>
      <c r="AX263" s="1" t="s">
        <v>74</v>
      </c>
      <c r="AY263" s="1" t="s">
        <v>74</v>
      </c>
      <c r="AZ263" s="1" t="s">
        <v>74</v>
      </c>
      <c r="BA263" s="1" t="s">
        <v>74</v>
      </c>
      <c r="BB263" s="1">
        <v>919.0</v>
      </c>
      <c r="BC263" s="1">
        <v>930.0</v>
      </c>
      <c r="BD263" s="1" t="s">
        <v>74</v>
      </c>
      <c r="BE263" s="1" t="s">
        <v>2454</v>
      </c>
      <c r="BF263" s="2" t="str">
        <f>HYPERLINK("http://dx.doi.org/10.1007/s00894-012-1642-6","http://dx.doi.org/10.1007/s00894-012-1642-6")</f>
        <v>http://dx.doi.org/10.1007/s00894-012-1642-6</v>
      </c>
      <c r="BG263" s="1" t="s">
        <v>74</v>
      </c>
      <c r="BH263" s="1" t="s">
        <v>74</v>
      </c>
      <c r="BI263" s="1" t="s">
        <v>74</v>
      </c>
      <c r="BJ263" s="1" t="s">
        <v>74</v>
      </c>
      <c r="BK263" s="1" t="s">
        <v>74</v>
      </c>
      <c r="BL263" s="1" t="s">
        <v>74</v>
      </c>
      <c r="BM263" s="1" t="s">
        <v>74</v>
      </c>
      <c r="BN263" s="1">
        <v>2.3086464E7</v>
      </c>
      <c r="BO263" s="1" t="s">
        <v>74</v>
      </c>
      <c r="BP263" s="1" t="s">
        <v>74</v>
      </c>
      <c r="BQ263" s="1" t="s">
        <v>74</v>
      </c>
      <c r="BR263" s="1" t="s">
        <v>74</v>
      </c>
      <c r="BS263" s="1" t="s">
        <v>2455</v>
      </c>
      <c r="BT263" s="1" t="str">
        <f>HYPERLINK("https%3A%2F%2Fwww.webofscience.com%2Fwos%2Fwoscc%2Ffull-record%2FWOS:000314051200042","View Full Record in Web of Science")</f>
        <v>View Full Record in Web of Science</v>
      </c>
    </row>
    <row r="264" ht="12.75" customHeight="1">
      <c r="A264" s="1" t="s">
        <v>72</v>
      </c>
      <c r="B264" s="1" t="s">
        <v>2059</v>
      </c>
      <c r="C264" s="1" t="s">
        <v>74</v>
      </c>
      <c r="D264" s="1" t="s">
        <v>74</v>
      </c>
      <c r="E264" s="1" t="s">
        <v>74</v>
      </c>
      <c r="F264" s="1" t="s">
        <v>2060</v>
      </c>
      <c r="G264" s="1" t="s">
        <v>74</v>
      </c>
      <c r="H264" s="1" t="s">
        <v>74</v>
      </c>
      <c r="I264" s="1" t="s">
        <v>2456</v>
      </c>
      <c r="J264" s="1" t="s">
        <v>2457</v>
      </c>
      <c r="K264" s="1" t="s">
        <v>74</v>
      </c>
      <c r="L264" s="1" t="s">
        <v>74</v>
      </c>
      <c r="M264" s="1" t="s">
        <v>74</v>
      </c>
      <c r="N264" s="1" t="s">
        <v>74</v>
      </c>
      <c r="O264" s="1" t="s">
        <v>74</v>
      </c>
      <c r="P264" s="1" t="s">
        <v>74</v>
      </c>
      <c r="Q264" s="1" t="s">
        <v>74</v>
      </c>
      <c r="R264" s="1" t="s">
        <v>74</v>
      </c>
      <c r="S264" s="1" t="s">
        <v>74</v>
      </c>
      <c r="T264" s="1" t="s">
        <v>74</v>
      </c>
      <c r="U264" s="1" t="s">
        <v>74</v>
      </c>
      <c r="V264" s="1" t="s">
        <v>2458</v>
      </c>
      <c r="W264" s="1" t="s">
        <v>74</v>
      </c>
      <c r="X264" s="1" t="s">
        <v>74</v>
      </c>
      <c r="Y264" s="1" t="s">
        <v>74</v>
      </c>
      <c r="Z264" s="1" t="s">
        <v>74</v>
      </c>
      <c r="AA264" s="1" t="s">
        <v>74</v>
      </c>
      <c r="AB264" s="1" t="s">
        <v>74</v>
      </c>
      <c r="AC264" s="1" t="s">
        <v>74</v>
      </c>
      <c r="AD264" s="1" t="s">
        <v>74</v>
      </c>
      <c r="AE264" s="1" t="s">
        <v>74</v>
      </c>
      <c r="AF264" s="1" t="s">
        <v>74</v>
      </c>
      <c r="AG264" s="1" t="s">
        <v>74</v>
      </c>
      <c r="AH264" s="1" t="s">
        <v>74</v>
      </c>
      <c r="AI264" s="1" t="s">
        <v>74</v>
      </c>
      <c r="AJ264" s="1" t="s">
        <v>74</v>
      </c>
      <c r="AK264" s="1" t="s">
        <v>74</v>
      </c>
      <c r="AL264" s="1" t="s">
        <v>74</v>
      </c>
      <c r="AM264" s="1" t="s">
        <v>74</v>
      </c>
      <c r="AN264" s="1" t="s">
        <v>74</v>
      </c>
      <c r="AO264" s="1" t="s">
        <v>2459</v>
      </c>
      <c r="AP264" s="1" t="s">
        <v>2460</v>
      </c>
      <c r="AQ264" s="1" t="s">
        <v>74</v>
      </c>
      <c r="AR264" s="1" t="s">
        <v>74</v>
      </c>
      <c r="AS264" s="1" t="s">
        <v>74</v>
      </c>
      <c r="AT264" s="1" t="s">
        <v>906</v>
      </c>
      <c r="AU264" s="1">
        <v>2012.0</v>
      </c>
      <c r="AV264" s="1">
        <v>253.0</v>
      </c>
      <c r="AW264" s="1">
        <v>11.0</v>
      </c>
      <c r="AX264" s="1" t="s">
        <v>74</v>
      </c>
      <c r="AY264" s="1" t="s">
        <v>74</v>
      </c>
      <c r="AZ264" s="1" t="s">
        <v>74</v>
      </c>
      <c r="BA264" s="1" t="s">
        <v>74</v>
      </c>
      <c r="BB264" s="1">
        <v>3147.0</v>
      </c>
      <c r="BC264" s="1">
        <v>3157.0</v>
      </c>
      <c r="BD264" s="1" t="s">
        <v>74</v>
      </c>
      <c r="BE264" s="1" t="s">
        <v>2461</v>
      </c>
      <c r="BF264" s="2" t="str">
        <f>HYPERLINK("http://dx.doi.org/10.1016/j.jde.2012.08.037","http://dx.doi.org/10.1016/j.jde.2012.08.037")</f>
        <v>http://dx.doi.org/10.1016/j.jde.2012.08.037</v>
      </c>
      <c r="BG264" s="1" t="s">
        <v>74</v>
      </c>
      <c r="BH264" s="1" t="s">
        <v>74</v>
      </c>
      <c r="BI264" s="1" t="s">
        <v>74</v>
      </c>
      <c r="BJ264" s="1" t="s">
        <v>74</v>
      </c>
      <c r="BK264" s="1" t="s">
        <v>74</v>
      </c>
      <c r="BL264" s="1" t="s">
        <v>74</v>
      </c>
      <c r="BM264" s="1" t="s">
        <v>74</v>
      </c>
      <c r="BN264" s="1" t="s">
        <v>74</v>
      </c>
      <c r="BO264" s="1" t="s">
        <v>74</v>
      </c>
      <c r="BP264" s="1" t="s">
        <v>74</v>
      </c>
      <c r="BQ264" s="1" t="s">
        <v>74</v>
      </c>
      <c r="BR264" s="1" t="s">
        <v>74</v>
      </c>
      <c r="BS264" s="1" t="s">
        <v>2462</v>
      </c>
      <c r="BT264" s="1" t="str">
        <f>HYPERLINK("https%3A%2F%2Fwww.webofscience.com%2Fwos%2Fwoscc%2Ffull-record%2FWOS:000309894800011","View Full Record in Web of Science")</f>
        <v>View Full Record in Web of Science</v>
      </c>
    </row>
    <row r="265" ht="12.75" customHeight="1">
      <c r="A265" s="1" t="s">
        <v>72</v>
      </c>
      <c r="B265" s="1" t="s">
        <v>2463</v>
      </c>
      <c r="C265" s="1" t="s">
        <v>74</v>
      </c>
      <c r="D265" s="1" t="s">
        <v>74</v>
      </c>
      <c r="E265" s="1" t="s">
        <v>74</v>
      </c>
      <c r="F265" s="1" t="s">
        <v>2464</v>
      </c>
      <c r="G265" s="1" t="s">
        <v>74</v>
      </c>
      <c r="H265" s="1" t="s">
        <v>74</v>
      </c>
      <c r="I265" s="1" t="s">
        <v>2465</v>
      </c>
      <c r="J265" s="1" t="s">
        <v>2466</v>
      </c>
      <c r="K265" s="1" t="s">
        <v>74</v>
      </c>
      <c r="L265" s="1" t="s">
        <v>74</v>
      </c>
      <c r="M265" s="1" t="s">
        <v>74</v>
      </c>
      <c r="N265" s="1" t="s">
        <v>74</v>
      </c>
      <c r="O265" s="1" t="s">
        <v>74</v>
      </c>
      <c r="P265" s="1" t="s">
        <v>74</v>
      </c>
      <c r="Q265" s="1" t="s">
        <v>74</v>
      </c>
      <c r="R265" s="1" t="s">
        <v>74</v>
      </c>
      <c r="S265" s="1" t="s">
        <v>74</v>
      </c>
      <c r="T265" s="1" t="s">
        <v>74</v>
      </c>
      <c r="U265" s="1" t="s">
        <v>74</v>
      </c>
      <c r="V265" s="1" t="s">
        <v>2467</v>
      </c>
      <c r="W265" s="1" t="s">
        <v>74</v>
      </c>
      <c r="X265" s="1" t="s">
        <v>74</v>
      </c>
      <c r="Y265" s="1" t="s">
        <v>74</v>
      </c>
      <c r="Z265" s="1" t="s">
        <v>74</v>
      </c>
      <c r="AA265" s="1" t="s">
        <v>2468</v>
      </c>
      <c r="AB265" s="1" t="s">
        <v>2469</v>
      </c>
      <c r="AC265" s="1" t="s">
        <v>74</v>
      </c>
      <c r="AD265" s="1" t="s">
        <v>74</v>
      </c>
      <c r="AE265" s="1" t="s">
        <v>74</v>
      </c>
      <c r="AF265" s="1" t="s">
        <v>74</v>
      </c>
      <c r="AG265" s="1" t="s">
        <v>74</v>
      </c>
      <c r="AH265" s="1" t="s">
        <v>74</v>
      </c>
      <c r="AI265" s="1" t="s">
        <v>74</v>
      </c>
      <c r="AJ265" s="1" t="s">
        <v>74</v>
      </c>
      <c r="AK265" s="1" t="s">
        <v>74</v>
      </c>
      <c r="AL265" s="1" t="s">
        <v>74</v>
      </c>
      <c r="AM265" s="1" t="s">
        <v>74</v>
      </c>
      <c r="AN265" s="1" t="s">
        <v>74</v>
      </c>
      <c r="AO265" s="1" t="s">
        <v>2470</v>
      </c>
      <c r="AP265" s="1" t="s">
        <v>2471</v>
      </c>
      <c r="AQ265" s="1" t="s">
        <v>74</v>
      </c>
      <c r="AR265" s="1" t="s">
        <v>74</v>
      </c>
      <c r="AS265" s="1" t="s">
        <v>74</v>
      </c>
      <c r="AT265" s="1" t="s">
        <v>2472</v>
      </c>
      <c r="AU265" s="1">
        <v>2012.0</v>
      </c>
      <c r="AV265" s="1">
        <v>85.0</v>
      </c>
      <c r="AW265" s="1">
        <v>4.0</v>
      </c>
      <c r="AX265" s="1" t="s">
        <v>74</v>
      </c>
      <c r="AY265" s="1" t="s">
        <v>74</v>
      </c>
      <c r="AZ265" s="1" t="s">
        <v>74</v>
      </c>
      <c r="BA265" s="1" t="s">
        <v>74</v>
      </c>
      <c r="BB265" s="1" t="s">
        <v>74</v>
      </c>
      <c r="BC265" s="1" t="s">
        <v>74</v>
      </c>
      <c r="BD265" s="1">
        <v>45018.0</v>
      </c>
      <c r="BE265" s="1" t="s">
        <v>2473</v>
      </c>
      <c r="BF265" s="2" t="str">
        <f>HYPERLINK("http://dx.doi.org/10.1103/PhysRevD.85.045018","http://dx.doi.org/10.1103/PhysRevD.85.045018")</f>
        <v>http://dx.doi.org/10.1103/PhysRevD.85.045018</v>
      </c>
      <c r="BG265" s="1" t="s">
        <v>74</v>
      </c>
      <c r="BH265" s="1" t="s">
        <v>74</v>
      </c>
      <c r="BI265" s="1" t="s">
        <v>74</v>
      </c>
      <c r="BJ265" s="1" t="s">
        <v>74</v>
      </c>
      <c r="BK265" s="1" t="s">
        <v>74</v>
      </c>
      <c r="BL265" s="1" t="s">
        <v>74</v>
      </c>
      <c r="BM265" s="1" t="s">
        <v>74</v>
      </c>
      <c r="BN265" s="1" t="s">
        <v>74</v>
      </c>
      <c r="BO265" s="1" t="s">
        <v>74</v>
      </c>
      <c r="BP265" s="1" t="s">
        <v>74</v>
      </c>
      <c r="BQ265" s="1" t="s">
        <v>74</v>
      </c>
      <c r="BR265" s="1" t="s">
        <v>74</v>
      </c>
      <c r="BS265" s="1" t="s">
        <v>2474</v>
      </c>
      <c r="BT265" s="1" t="str">
        <f>HYPERLINK("https%3A%2F%2Fwww.webofscience.com%2Fwos%2Fwoscc%2Ffull-record%2FWOS:000300241200005","View Full Record in Web of Science")</f>
        <v>View Full Record in Web of Science</v>
      </c>
    </row>
    <row r="266" ht="12.75" customHeight="1">
      <c r="A266" s="1" t="s">
        <v>91</v>
      </c>
      <c r="B266" s="1" t="s">
        <v>2475</v>
      </c>
      <c r="C266" s="1" t="s">
        <v>74</v>
      </c>
      <c r="D266" s="1" t="s">
        <v>2476</v>
      </c>
      <c r="E266" s="1" t="s">
        <v>74</v>
      </c>
      <c r="F266" s="1" t="s">
        <v>2477</v>
      </c>
      <c r="G266" s="1" t="s">
        <v>74</v>
      </c>
      <c r="H266" s="1" t="s">
        <v>74</v>
      </c>
      <c r="I266" s="1" t="s">
        <v>2478</v>
      </c>
      <c r="J266" s="1" t="s">
        <v>2479</v>
      </c>
      <c r="K266" s="1" t="s">
        <v>74</v>
      </c>
      <c r="L266" s="1" t="s">
        <v>74</v>
      </c>
      <c r="M266" s="1" t="s">
        <v>74</v>
      </c>
      <c r="N266" s="1" t="s">
        <v>74</v>
      </c>
      <c r="O266" s="1" t="s">
        <v>2480</v>
      </c>
      <c r="P266" s="1" t="s">
        <v>2481</v>
      </c>
      <c r="Q266" s="1" t="s">
        <v>2482</v>
      </c>
      <c r="R266" s="1" t="s">
        <v>74</v>
      </c>
      <c r="S266" s="1" t="s">
        <v>74</v>
      </c>
      <c r="T266" s="1" t="s">
        <v>74</v>
      </c>
      <c r="U266" s="1" t="s">
        <v>74</v>
      </c>
      <c r="V266" s="1" t="s">
        <v>74</v>
      </c>
      <c r="W266" s="1" t="s">
        <v>74</v>
      </c>
      <c r="X266" s="1" t="s">
        <v>74</v>
      </c>
      <c r="Y266" s="1" t="s">
        <v>74</v>
      </c>
      <c r="Z266" s="1" t="s">
        <v>74</v>
      </c>
      <c r="AA266" s="1" t="s">
        <v>74</v>
      </c>
      <c r="AB266" s="1" t="s">
        <v>74</v>
      </c>
      <c r="AC266" s="1" t="s">
        <v>74</v>
      </c>
      <c r="AD266" s="1" t="s">
        <v>74</v>
      </c>
      <c r="AE266" s="1" t="s">
        <v>74</v>
      </c>
      <c r="AF266" s="1" t="s">
        <v>74</v>
      </c>
      <c r="AG266" s="1" t="s">
        <v>74</v>
      </c>
      <c r="AH266" s="1" t="s">
        <v>74</v>
      </c>
      <c r="AI266" s="1" t="s">
        <v>74</v>
      </c>
      <c r="AJ266" s="1" t="s">
        <v>74</v>
      </c>
      <c r="AK266" s="1" t="s">
        <v>74</v>
      </c>
      <c r="AL266" s="1" t="s">
        <v>74</v>
      </c>
      <c r="AM266" s="1" t="s">
        <v>74</v>
      </c>
      <c r="AN266" s="1" t="s">
        <v>74</v>
      </c>
      <c r="AO266" s="1" t="s">
        <v>74</v>
      </c>
      <c r="AP266" s="1" t="s">
        <v>74</v>
      </c>
      <c r="AQ266" s="1" t="s">
        <v>2483</v>
      </c>
      <c r="AR266" s="1" t="s">
        <v>74</v>
      </c>
      <c r="AS266" s="1" t="s">
        <v>74</v>
      </c>
      <c r="AT266" s="1" t="s">
        <v>74</v>
      </c>
      <c r="AU266" s="1">
        <v>2012.0</v>
      </c>
      <c r="AV266" s="1" t="s">
        <v>74</v>
      </c>
      <c r="AW266" s="1" t="s">
        <v>74</v>
      </c>
      <c r="AX266" s="1" t="s">
        <v>74</v>
      </c>
      <c r="AY266" s="1" t="s">
        <v>74</v>
      </c>
      <c r="AZ266" s="1" t="s">
        <v>74</v>
      </c>
      <c r="BA266" s="1" t="s">
        <v>74</v>
      </c>
      <c r="BB266" s="1">
        <v>125.0</v>
      </c>
      <c r="BC266" s="1">
        <v>151.0</v>
      </c>
      <c r="BD266" s="1" t="s">
        <v>74</v>
      </c>
      <c r="BE266" s="1" t="s">
        <v>74</v>
      </c>
      <c r="BF266" s="1" t="s">
        <v>74</v>
      </c>
      <c r="BG266" s="1" t="s">
        <v>74</v>
      </c>
      <c r="BH266" s="1" t="s">
        <v>74</v>
      </c>
      <c r="BI266" s="1" t="s">
        <v>74</v>
      </c>
      <c r="BJ266" s="1" t="s">
        <v>74</v>
      </c>
      <c r="BK266" s="1" t="s">
        <v>74</v>
      </c>
      <c r="BL266" s="1" t="s">
        <v>74</v>
      </c>
      <c r="BM266" s="1" t="s">
        <v>74</v>
      </c>
      <c r="BN266" s="1" t="s">
        <v>74</v>
      </c>
      <c r="BO266" s="1" t="s">
        <v>74</v>
      </c>
      <c r="BP266" s="1" t="s">
        <v>74</v>
      </c>
      <c r="BQ266" s="1" t="s">
        <v>74</v>
      </c>
      <c r="BR266" s="1" t="s">
        <v>74</v>
      </c>
      <c r="BS266" s="1" t="s">
        <v>2484</v>
      </c>
      <c r="BT266" s="1" t="str">
        <f>HYPERLINK("https%3A%2F%2Fwww.webofscience.com%2Fwos%2Fwoscc%2Ffull-record%2FWOS:000410301000005","View Full Record in Web of Science")</f>
        <v>View Full Record in Web of Science</v>
      </c>
    </row>
    <row r="267" ht="12.75" customHeight="1">
      <c r="A267" s="1" t="s">
        <v>91</v>
      </c>
      <c r="B267" s="1" t="s">
        <v>2485</v>
      </c>
      <c r="C267" s="1" t="s">
        <v>2486</v>
      </c>
      <c r="D267" s="1" t="s">
        <v>74</v>
      </c>
      <c r="E267" s="1" t="s">
        <v>74</v>
      </c>
      <c r="F267" s="1" t="s">
        <v>2487</v>
      </c>
      <c r="G267" s="1" t="s">
        <v>2486</v>
      </c>
      <c r="H267" s="1" t="s">
        <v>74</v>
      </c>
      <c r="I267" s="1" t="s">
        <v>2488</v>
      </c>
      <c r="J267" s="1" t="s">
        <v>2489</v>
      </c>
      <c r="K267" s="1" t="s">
        <v>74</v>
      </c>
      <c r="L267" s="1" t="s">
        <v>74</v>
      </c>
      <c r="M267" s="1" t="s">
        <v>74</v>
      </c>
      <c r="N267" s="1" t="s">
        <v>74</v>
      </c>
      <c r="O267" s="1" t="s">
        <v>2490</v>
      </c>
      <c r="P267" s="1" t="s">
        <v>2491</v>
      </c>
      <c r="Q267" s="1" t="s">
        <v>2492</v>
      </c>
      <c r="R267" s="1" t="s">
        <v>2493</v>
      </c>
      <c r="S267" s="1" t="s">
        <v>2494</v>
      </c>
      <c r="T267" s="1" t="s">
        <v>74</v>
      </c>
      <c r="U267" s="1" t="s">
        <v>74</v>
      </c>
      <c r="V267" s="1" t="s">
        <v>2495</v>
      </c>
      <c r="W267" s="1" t="s">
        <v>74</v>
      </c>
      <c r="X267" s="1" t="s">
        <v>74</v>
      </c>
      <c r="Y267" s="1" t="s">
        <v>74</v>
      </c>
      <c r="Z267" s="1" t="s">
        <v>74</v>
      </c>
      <c r="AA267" s="1" t="s">
        <v>2496</v>
      </c>
      <c r="AB267" s="1" t="s">
        <v>74</v>
      </c>
      <c r="AC267" s="1" t="s">
        <v>74</v>
      </c>
      <c r="AD267" s="1" t="s">
        <v>74</v>
      </c>
      <c r="AE267" s="1" t="s">
        <v>74</v>
      </c>
      <c r="AF267" s="1" t="s">
        <v>74</v>
      </c>
      <c r="AG267" s="1" t="s">
        <v>74</v>
      </c>
      <c r="AH267" s="1" t="s">
        <v>74</v>
      </c>
      <c r="AI267" s="1" t="s">
        <v>74</v>
      </c>
      <c r="AJ267" s="1" t="s">
        <v>74</v>
      </c>
      <c r="AK267" s="1" t="s">
        <v>74</v>
      </c>
      <c r="AL267" s="1" t="s">
        <v>74</v>
      </c>
      <c r="AM267" s="1" t="s">
        <v>74</v>
      </c>
      <c r="AN267" s="1" t="s">
        <v>74</v>
      </c>
      <c r="AO267" s="1" t="s">
        <v>74</v>
      </c>
      <c r="AP267" s="1" t="s">
        <v>74</v>
      </c>
      <c r="AQ267" s="1" t="s">
        <v>2497</v>
      </c>
      <c r="AR267" s="1" t="s">
        <v>74</v>
      </c>
      <c r="AS267" s="1" t="s">
        <v>74</v>
      </c>
      <c r="AT267" s="1" t="s">
        <v>74</v>
      </c>
      <c r="AU267" s="1">
        <v>2012.0</v>
      </c>
      <c r="AV267" s="1" t="s">
        <v>74</v>
      </c>
      <c r="AW267" s="1" t="s">
        <v>74</v>
      </c>
      <c r="AX267" s="1" t="s">
        <v>74</v>
      </c>
      <c r="AY267" s="1" t="s">
        <v>74</v>
      </c>
      <c r="AZ267" s="1" t="s">
        <v>74</v>
      </c>
      <c r="BA267" s="1" t="s">
        <v>74</v>
      </c>
      <c r="BB267" s="1">
        <v>202.0</v>
      </c>
      <c r="BC267" s="1">
        <v>202.0</v>
      </c>
      <c r="BD267" s="1" t="s">
        <v>74</v>
      </c>
      <c r="BE267" s="1" t="s">
        <v>74</v>
      </c>
      <c r="BF267" s="1" t="s">
        <v>74</v>
      </c>
      <c r="BG267" s="1" t="s">
        <v>74</v>
      </c>
      <c r="BH267" s="1" t="s">
        <v>74</v>
      </c>
      <c r="BI267" s="1" t="s">
        <v>74</v>
      </c>
      <c r="BJ267" s="1" t="s">
        <v>74</v>
      </c>
      <c r="BK267" s="1" t="s">
        <v>74</v>
      </c>
      <c r="BL267" s="1" t="s">
        <v>74</v>
      </c>
      <c r="BM267" s="1" t="s">
        <v>74</v>
      </c>
      <c r="BN267" s="1" t="s">
        <v>74</v>
      </c>
      <c r="BO267" s="1" t="s">
        <v>74</v>
      </c>
      <c r="BP267" s="1" t="s">
        <v>74</v>
      </c>
      <c r="BQ267" s="1" t="s">
        <v>74</v>
      </c>
      <c r="BR267" s="1" t="s">
        <v>74</v>
      </c>
      <c r="BS267" s="1" t="s">
        <v>2498</v>
      </c>
      <c r="BT267" s="1" t="str">
        <f>HYPERLINK("https%3A%2F%2Fwww.webofscience.com%2Fwos%2Fwoscc%2Ffull-record%2FWOS:000351916500035","View Full Record in Web of Science")</f>
        <v>View Full Record in Web of Science</v>
      </c>
    </row>
    <row r="268" ht="12.75" customHeight="1">
      <c r="A268" s="1" t="s">
        <v>72</v>
      </c>
      <c r="B268" s="1" t="s">
        <v>2499</v>
      </c>
      <c r="C268" s="1" t="s">
        <v>74</v>
      </c>
      <c r="D268" s="1" t="s">
        <v>74</v>
      </c>
      <c r="E268" s="1" t="s">
        <v>74</v>
      </c>
      <c r="F268" s="1" t="s">
        <v>2500</v>
      </c>
      <c r="G268" s="1" t="s">
        <v>74</v>
      </c>
      <c r="H268" s="1" t="s">
        <v>74</v>
      </c>
      <c r="I268" s="1" t="s">
        <v>2501</v>
      </c>
      <c r="J268" s="1" t="s">
        <v>2502</v>
      </c>
      <c r="K268" s="1" t="s">
        <v>74</v>
      </c>
      <c r="L268" s="1" t="s">
        <v>74</v>
      </c>
      <c r="M268" s="1" t="s">
        <v>74</v>
      </c>
      <c r="N268" s="1" t="s">
        <v>74</v>
      </c>
      <c r="O268" s="1" t="s">
        <v>74</v>
      </c>
      <c r="P268" s="1" t="s">
        <v>74</v>
      </c>
      <c r="Q268" s="1" t="s">
        <v>74</v>
      </c>
      <c r="R268" s="1" t="s">
        <v>74</v>
      </c>
      <c r="S268" s="1" t="s">
        <v>74</v>
      </c>
      <c r="T268" s="1" t="s">
        <v>74</v>
      </c>
      <c r="U268" s="1" t="s">
        <v>74</v>
      </c>
      <c r="V268" s="1" t="s">
        <v>74</v>
      </c>
      <c r="W268" s="1" t="s">
        <v>74</v>
      </c>
      <c r="X268" s="1" t="s">
        <v>74</v>
      </c>
      <c r="Y268" s="1" t="s">
        <v>74</v>
      </c>
      <c r="Z268" s="1" t="s">
        <v>74</v>
      </c>
      <c r="AA268" s="1" t="s">
        <v>2503</v>
      </c>
      <c r="AB268" s="1" t="s">
        <v>2504</v>
      </c>
      <c r="AC268" s="1" t="s">
        <v>74</v>
      </c>
      <c r="AD268" s="1" t="s">
        <v>74</v>
      </c>
      <c r="AE268" s="1" t="s">
        <v>74</v>
      </c>
      <c r="AF268" s="1" t="s">
        <v>74</v>
      </c>
      <c r="AG268" s="1" t="s">
        <v>74</v>
      </c>
      <c r="AH268" s="1" t="s">
        <v>74</v>
      </c>
      <c r="AI268" s="1" t="s">
        <v>74</v>
      </c>
      <c r="AJ268" s="1" t="s">
        <v>74</v>
      </c>
      <c r="AK268" s="1" t="s">
        <v>74</v>
      </c>
      <c r="AL268" s="1" t="s">
        <v>74</v>
      </c>
      <c r="AM268" s="1" t="s">
        <v>74</v>
      </c>
      <c r="AN268" s="1" t="s">
        <v>74</v>
      </c>
      <c r="AO268" s="1" t="s">
        <v>2505</v>
      </c>
      <c r="AP268" s="1" t="s">
        <v>74</v>
      </c>
      <c r="AQ268" s="1" t="s">
        <v>74</v>
      </c>
      <c r="AR268" s="1" t="s">
        <v>74</v>
      </c>
      <c r="AS268" s="1" t="s">
        <v>74</v>
      </c>
      <c r="AT268" s="1" t="s">
        <v>276</v>
      </c>
      <c r="AU268" s="1">
        <v>2011.0</v>
      </c>
      <c r="AV268" s="1">
        <v>10.0</v>
      </c>
      <c r="AW268" s="1">
        <v>5.0</v>
      </c>
      <c r="AX268" s="1" t="s">
        <v>74</v>
      </c>
      <c r="AY268" s="1" t="s">
        <v>74</v>
      </c>
      <c r="AZ268" s="1" t="s">
        <v>74</v>
      </c>
      <c r="BA268" s="1" t="s">
        <v>74</v>
      </c>
      <c r="BB268" s="1">
        <v>395.0</v>
      </c>
      <c r="BC268" s="1">
        <v>397.0</v>
      </c>
      <c r="BD268" s="1" t="s">
        <v>74</v>
      </c>
      <c r="BE268" s="1" t="s">
        <v>74</v>
      </c>
      <c r="BF268" s="1" t="s">
        <v>74</v>
      </c>
      <c r="BG268" s="1" t="s">
        <v>74</v>
      </c>
      <c r="BH268" s="1" t="s">
        <v>74</v>
      </c>
      <c r="BI268" s="1" t="s">
        <v>74</v>
      </c>
      <c r="BJ268" s="1" t="s">
        <v>74</v>
      </c>
      <c r="BK268" s="1" t="s">
        <v>74</v>
      </c>
      <c r="BL268" s="1" t="s">
        <v>74</v>
      </c>
      <c r="BM268" s="1" t="s">
        <v>74</v>
      </c>
      <c r="BN268" s="1" t="s">
        <v>74</v>
      </c>
      <c r="BO268" s="1" t="s">
        <v>74</v>
      </c>
      <c r="BP268" s="1" t="s">
        <v>74</v>
      </c>
      <c r="BQ268" s="1" t="s">
        <v>74</v>
      </c>
      <c r="BR268" s="1" t="s">
        <v>74</v>
      </c>
      <c r="BS268" s="1" t="s">
        <v>2506</v>
      </c>
      <c r="BT268" s="1" t="str">
        <f>HYPERLINK("https%3A%2F%2Fwww.webofscience.com%2Fwos%2Fwoscc%2Ffull-record%2FWOS:000297723700001","View Full Record in Web of Science")</f>
        <v>View Full Record in Web of Science</v>
      </c>
    </row>
    <row r="269" ht="12.75" customHeight="1">
      <c r="A269" s="1" t="s">
        <v>72</v>
      </c>
      <c r="B269" s="1" t="s">
        <v>397</v>
      </c>
      <c r="C269" s="1" t="s">
        <v>74</v>
      </c>
      <c r="D269" s="1" t="s">
        <v>74</v>
      </c>
      <c r="E269" s="1" t="s">
        <v>74</v>
      </c>
      <c r="F269" s="1" t="s">
        <v>398</v>
      </c>
      <c r="G269" s="1" t="s">
        <v>74</v>
      </c>
      <c r="H269" s="1" t="s">
        <v>74</v>
      </c>
      <c r="I269" s="1" t="s">
        <v>2507</v>
      </c>
      <c r="J269" s="1" t="s">
        <v>2508</v>
      </c>
      <c r="K269" s="1" t="s">
        <v>74</v>
      </c>
      <c r="L269" s="1" t="s">
        <v>74</v>
      </c>
      <c r="M269" s="1" t="s">
        <v>74</v>
      </c>
      <c r="N269" s="1" t="s">
        <v>74</v>
      </c>
      <c r="O269" s="1" t="s">
        <v>74</v>
      </c>
      <c r="P269" s="1" t="s">
        <v>74</v>
      </c>
      <c r="Q269" s="1" t="s">
        <v>74</v>
      </c>
      <c r="R269" s="1" t="s">
        <v>74</v>
      </c>
      <c r="S269" s="1" t="s">
        <v>74</v>
      </c>
      <c r="T269" s="1" t="s">
        <v>74</v>
      </c>
      <c r="U269" s="1" t="s">
        <v>74</v>
      </c>
      <c r="V269" s="1" t="s">
        <v>2509</v>
      </c>
      <c r="W269" s="1" t="s">
        <v>74</v>
      </c>
      <c r="X269" s="1" t="s">
        <v>74</v>
      </c>
      <c r="Y269" s="1" t="s">
        <v>74</v>
      </c>
      <c r="Z269" s="1" t="s">
        <v>74</v>
      </c>
      <c r="AA269" s="1" t="s">
        <v>74</v>
      </c>
      <c r="AB269" s="1" t="s">
        <v>74</v>
      </c>
      <c r="AC269" s="1" t="s">
        <v>74</v>
      </c>
      <c r="AD269" s="1" t="s">
        <v>74</v>
      </c>
      <c r="AE269" s="1" t="s">
        <v>74</v>
      </c>
      <c r="AF269" s="1" t="s">
        <v>74</v>
      </c>
      <c r="AG269" s="1" t="s">
        <v>74</v>
      </c>
      <c r="AH269" s="1" t="s">
        <v>74</v>
      </c>
      <c r="AI269" s="1" t="s">
        <v>74</v>
      </c>
      <c r="AJ269" s="1" t="s">
        <v>74</v>
      </c>
      <c r="AK269" s="1" t="s">
        <v>74</v>
      </c>
      <c r="AL269" s="1" t="s">
        <v>74</v>
      </c>
      <c r="AM269" s="1" t="s">
        <v>74</v>
      </c>
      <c r="AN269" s="1" t="s">
        <v>74</v>
      </c>
      <c r="AO269" s="1" t="s">
        <v>2510</v>
      </c>
      <c r="AP269" s="1" t="s">
        <v>2511</v>
      </c>
      <c r="AQ269" s="1" t="s">
        <v>74</v>
      </c>
      <c r="AR269" s="1" t="s">
        <v>74</v>
      </c>
      <c r="AS269" s="1" t="s">
        <v>74</v>
      </c>
      <c r="AT269" s="1" t="s">
        <v>405</v>
      </c>
      <c r="AU269" s="1">
        <v>2011.0</v>
      </c>
      <c r="AV269" s="1">
        <v>26.0</v>
      </c>
      <c r="AW269" s="1">
        <v>18.0</v>
      </c>
      <c r="AX269" s="1" t="s">
        <v>74</v>
      </c>
      <c r="AY269" s="1" t="s">
        <v>74</v>
      </c>
      <c r="AZ269" s="1" t="s">
        <v>74</v>
      </c>
      <c r="BA269" s="1" t="s">
        <v>74</v>
      </c>
      <c r="BB269" s="1">
        <v>3051.0</v>
      </c>
      <c r="BC269" s="1">
        <v>3063.0</v>
      </c>
      <c r="BD269" s="1" t="s">
        <v>74</v>
      </c>
      <c r="BE269" s="1" t="s">
        <v>2512</v>
      </c>
      <c r="BF269" s="2" t="str">
        <f>HYPERLINK("http://dx.doi.org/10.1142/S0217751X11053766","http://dx.doi.org/10.1142/S0217751X11053766")</f>
        <v>http://dx.doi.org/10.1142/S0217751X11053766</v>
      </c>
      <c r="BG269" s="1" t="s">
        <v>74</v>
      </c>
      <c r="BH269" s="1" t="s">
        <v>74</v>
      </c>
      <c r="BI269" s="1" t="s">
        <v>74</v>
      </c>
      <c r="BJ269" s="1" t="s">
        <v>74</v>
      </c>
      <c r="BK269" s="1" t="s">
        <v>74</v>
      </c>
      <c r="BL269" s="1" t="s">
        <v>74</v>
      </c>
      <c r="BM269" s="1" t="s">
        <v>74</v>
      </c>
      <c r="BN269" s="1" t="s">
        <v>74</v>
      </c>
      <c r="BO269" s="1" t="s">
        <v>74</v>
      </c>
      <c r="BP269" s="1" t="s">
        <v>74</v>
      </c>
      <c r="BQ269" s="1" t="s">
        <v>74</v>
      </c>
      <c r="BR269" s="1" t="s">
        <v>74</v>
      </c>
      <c r="BS269" s="1" t="s">
        <v>2513</v>
      </c>
      <c r="BT269" s="1" t="str">
        <f>HYPERLINK("https%3A%2F%2Fwww.webofscience.com%2Fwos%2Fwoscc%2Ffull-record%2FWOS:000292741400005","View Full Record in Web of Science")</f>
        <v>View Full Record in Web of Science</v>
      </c>
    </row>
    <row r="270" ht="12.75" customHeight="1">
      <c r="A270" s="1" t="s">
        <v>72</v>
      </c>
      <c r="B270" s="1" t="s">
        <v>2514</v>
      </c>
      <c r="C270" s="1" t="s">
        <v>74</v>
      </c>
      <c r="D270" s="1" t="s">
        <v>74</v>
      </c>
      <c r="E270" s="1" t="s">
        <v>74</v>
      </c>
      <c r="F270" s="1" t="s">
        <v>2515</v>
      </c>
      <c r="G270" s="1" t="s">
        <v>74</v>
      </c>
      <c r="H270" s="1" t="s">
        <v>74</v>
      </c>
      <c r="I270" s="1" t="s">
        <v>2516</v>
      </c>
      <c r="J270" s="1" t="s">
        <v>2517</v>
      </c>
      <c r="K270" s="1" t="s">
        <v>74</v>
      </c>
      <c r="L270" s="1" t="s">
        <v>74</v>
      </c>
      <c r="M270" s="1" t="s">
        <v>74</v>
      </c>
      <c r="N270" s="1" t="s">
        <v>74</v>
      </c>
      <c r="O270" s="1" t="s">
        <v>74</v>
      </c>
      <c r="P270" s="1" t="s">
        <v>74</v>
      </c>
      <c r="Q270" s="1" t="s">
        <v>74</v>
      </c>
      <c r="R270" s="1" t="s">
        <v>74</v>
      </c>
      <c r="S270" s="1" t="s">
        <v>74</v>
      </c>
      <c r="T270" s="1" t="s">
        <v>74</v>
      </c>
      <c r="U270" s="1" t="s">
        <v>74</v>
      </c>
      <c r="V270" s="1" t="s">
        <v>2518</v>
      </c>
      <c r="W270" s="1" t="s">
        <v>74</v>
      </c>
      <c r="X270" s="1" t="s">
        <v>74</v>
      </c>
      <c r="Y270" s="1" t="s">
        <v>74</v>
      </c>
      <c r="Z270" s="1" t="s">
        <v>74</v>
      </c>
      <c r="AA270" s="1" t="s">
        <v>74</v>
      </c>
      <c r="AB270" s="1" t="s">
        <v>74</v>
      </c>
      <c r="AC270" s="1" t="s">
        <v>74</v>
      </c>
      <c r="AD270" s="1" t="s">
        <v>74</v>
      </c>
      <c r="AE270" s="1" t="s">
        <v>74</v>
      </c>
      <c r="AF270" s="1" t="s">
        <v>74</v>
      </c>
      <c r="AG270" s="1" t="s">
        <v>74</v>
      </c>
      <c r="AH270" s="1" t="s">
        <v>74</v>
      </c>
      <c r="AI270" s="1" t="s">
        <v>74</v>
      </c>
      <c r="AJ270" s="1" t="s">
        <v>74</v>
      </c>
      <c r="AK270" s="1" t="s">
        <v>74</v>
      </c>
      <c r="AL270" s="1" t="s">
        <v>74</v>
      </c>
      <c r="AM270" s="1" t="s">
        <v>74</v>
      </c>
      <c r="AN270" s="1" t="s">
        <v>74</v>
      </c>
      <c r="AO270" s="1" t="s">
        <v>2519</v>
      </c>
      <c r="AP270" s="1" t="s">
        <v>74</v>
      </c>
      <c r="AQ270" s="1" t="s">
        <v>74</v>
      </c>
      <c r="AR270" s="1" t="s">
        <v>74</v>
      </c>
      <c r="AS270" s="1" t="s">
        <v>74</v>
      </c>
      <c r="AT270" s="1" t="s">
        <v>205</v>
      </c>
      <c r="AU270" s="1">
        <v>2010.0</v>
      </c>
      <c r="AV270" s="1" t="s">
        <v>74</v>
      </c>
      <c r="AW270" s="1">
        <v>46.0</v>
      </c>
      <c r="AX270" s="1" t="s">
        <v>74</v>
      </c>
      <c r="AY270" s="1" t="s">
        <v>74</v>
      </c>
      <c r="AZ270" s="1" t="s">
        <v>74</v>
      </c>
      <c r="BA270" s="1" t="s">
        <v>74</v>
      </c>
      <c r="BB270" s="1">
        <v>119.0</v>
      </c>
      <c r="BC270" s="1">
        <v>136.0</v>
      </c>
      <c r="BD270" s="1" t="s">
        <v>74</v>
      </c>
      <c r="BE270" s="1" t="s">
        <v>2520</v>
      </c>
      <c r="BF270" s="2" t="str">
        <f>HYPERLINK("http://dx.doi.org/10.4067/S0071-17132010000200007","http://dx.doi.org/10.4067/S0071-17132010000200007")</f>
        <v>http://dx.doi.org/10.4067/S0071-17132010000200007</v>
      </c>
      <c r="BG270" s="1" t="s">
        <v>74</v>
      </c>
      <c r="BH270" s="1" t="s">
        <v>74</v>
      </c>
      <c r="BI270" s="1" t="s">
        <v>74</v>
      </c>
      <c r="BJ270" s="1" t="s">
        <v>74</v>
      </c>
      <c r="BK270" s="1" t="s">
        <v>74</v>
      </c>
      <c r="BL270" s="1" t="s">
        <v>74</v>
      </c>
      <c r="BM270" s="1" t="s">
        <v>74</v>
      </c>
      <c r="BN270" s="1" t="s">
        <v>74</v>
      </c>
      <c r="BO270" s="1" t="s">
        <v>74</v>
      </c>
      <c r="BP270" s="1" t="s">
        <v>74</v>
      </c>
      <c r="BQ270" s="1" t="s">
        <v>74</v>
      </c>
      <c r="BR270" s="1" t="s">
        <v>74</v>
      </c>
      <c r="BS270" s="1" t="s">
        <v>2521</v>
      </c>
      <c r="BT270" s="1" t="str">
        <f>HYPERLINK("https%3A%2F%2Fwww.webofscience.com%2Fwos%2Fwoscc%2Ffull-record%2FWOS:000286403600007","View Full Record in Web of Science")</f>
        <v>View Full Record in Web of Science</v>
      </c>
    </row>
    <row r="271" ht="12.75" customHeight="1">
      <c r="A271" s="1" t="s">
        <v>72</v>
      </c>
      <c r="B271" s="1" t="s">
        <v>2522</v>
      </c>
      <c r="C271" s="1" t="s">
        <v>74</v>
      </c>
      <c r="D271" s="1" t="s">
        <v>74</v>
      </c>
      <c r="E271" s="1" t="s">
        <v>74</v>
      </c>
      <c r="F271" s="1" t="s">
        <v>2523</v>
      </c>
      <c r="G271" s="1" t="s">
        <v>74</v>
      </c>
      <c r="H271" s="1" t="s">
        <v>74</v>
      </c>
      <c r="I271" s="1" t="s">
        <v>2524</v>
      </c>
      <c r="J271" s="1" t="s">
        <v>2517</v>
      </c>
      <c r="K271" s="1" t="s">
        <v>74</v>
      </c>
      <c r="L271" s="1" t="s">
        <v>74</v>
      </c>
      <c r="M271" s="1" t="s">
        <v>74</v>
      </c>
      <c r="N271" s="1" t="s">
        <v>74</v>
      </c>
      <c r="O271" s="1" t="s">
        <v>74</v>
      </c>
      <c r="P271" s="1" t="s">
        <v>74</v>
      </c>
      <c r="Q271" s="1" t="s">
        <v>74</v>
      </c>
      <c r="R271" s="1" t="s">
        <v>74</v>
      </c>
      <c r="S271" s="1" t="s">
        <v>74</v>
      </c>
      <c r="T271" s="1" t="s">
        <v>74</v>
      </c>
      <c r="U271" s="1" t="s">
        <v>74</v>
      </c>
      <c r="V271" s="1" t="s">
        <v>2525</v>
      </c>
      <c r="W271" s="1" t="s">
        <v>74</v>
      </c>
      <c r="X271" s="1" t="s">
        <v>74</v>
      </c>
      <c r="Y271" s="1" t="s">
        <v>74</v>
      </c>
      <c r="Z271" s="1" t="s">
        <v>74</v>
      </c>
      <c r="AA271" s="1" t="s">
        <v>74</v>
      </c>
      <c r="AB271" s="1" t="s">
        <v>74</v>
      </c>
      <c r="AC271" s="1" t="s">
        <v>74</v>
      </c>
      <c r="AD271" s="1" t="s">
        <v>74</v>
      </c>
      <c r="AE271" s="1" t="s">
        <v>74</v>
      </c>
      <c r="AF271" s="1" t="s">
        <v>74</v>
      </c>
      <c r="AG271" s="1" t="s">
        <v>74</v>
      </c>
      <c r="AH271" s="1" t="s">
        <v>74</v>
      </c>
      <c r="AI271" s="1" t="s">
        <v>74</v>
      </c>
      <c r="AJ271" s="1" t="s">
        <v>74</v>
      </c>
      <c r="AK271" s="1" t="s">
        <v>74</v>
      </c>
      <c r="AL271" s="1" t="s">
        <v>74</v>
      </c>
      <c r="AM271" s="1" t="s">
        <v>74</v>
      </c>
      <c r="AN271" s="1" t="s">
        <v>74</v>
      </c>
      <c r="AO271" s="1" t="s">
        <v>2519</v>
      </c>
      <c r="AP271" s="1" t="s">
        <v>74</v>
      </c>
      <c r="AQ271" s="1" t="s">
        <v>74</v>
      </c>
      <c r="AR271" s="1" t="s">
        <v>74</v>
      </c>
      <c r="AS271" s="1" t="s">
        <v>74</v>
      </c>
      <c r="AT271" s="1" t="s">
        <v>276</v>
      </c>
      <c r="AU271" s="1">
        <v>2009.0</v>
      </c>
      <c r="AV271" s="1" t="s">
        <v>74</v>
      </c>
      <c r="AW271" s="1">
        <v>44.0</v>
      </c>
      <c r="AX271" s="1" t="s">
        <v>74</v>
      </c>
      <c r="AY271" s="1" t="s">
        <v>74</v>
      </c>
      <c r="AZ271" s="1" t="s">
        <v>74</v>
      </c>
      <c r="BA271" s="1" t="s">
        <v>74</v>
      </c>
      <c r="BB271" s="1">
        <v>149.0</v>
      </c>
      <c r="BC271" s="1">
        <v>166.0</v>
      </c>
      <c r="BD271" s="1" t="s">
        <v>74</v>
      </c>
      <c r="BE271" s="1" t="s">
        <v>74</v>
      </c>
      <c r="BF271" s="1" t="s">
        <v>74</v>
      </c>
      <c r="BG271" s="1" t="s">
        <v>74</v>
      </c>
      <c r="BH271" s="1" t="s">
        <v>74</v>
      </c>
      <c r="BI271" s="1" t="s">
        <v>74</v>
      </c>
      <c r="BJ271" s="1" t="s">
        <v>74</v>
      </c>
      <c r="BK271" s="1" t="s">
        <v>74</v>
      </c>
      <c r="BL271" s="1" t="s">
        <v>74</v>
      </c>
      <c r="BM271" s="1" t="s">
        <v>74</v>
      </c>
      <c r="BN271" s="1" t="s">
        <v>74</v>
      </c>
      <c r="BO271" s="1" t="s">
        <v>74</v>
      </c>
      <c r="BP271" s="1" t="s">
        <v>74</v>
      </c>
      <c r="BQ271" s="1" t="s">
        <v>74</v>
      </c>
      <c r="BR271" s="1" t="s">
        <v>74</v>
      </c>
      <c r="BS271" s="1" t="s">
        <v>2526</v>
      </c>
      <c r="BT271" s="1" t="str">
        <f>HYPERLINK("https%3A%2F%2Fwww.webofscience.com%2Fwos%2Fwoscc%2Ffull-record%2FWOS:000269722700009","View Full Record in Web of Science")</f>
        <v>View Full Record in Web of Science</v>
      </c>
    </row>
    <row r="272" ht="12.75" customHeight="1">
      <c r="A272" s="1" t="s">
        <v>72</v>
      </c>
      <c r="B272" s="1" t="s">
        <v>2527</v>
      </c>
      <c r="C272" s="1" t="s">
        <v>74</v>
      </c>
      <c r="D272" s="1" t="s">
        <v>74</v>
      </c>
      <c r="E272" s="1" t="s">
        <v>74</v>
      </c>
      <c r="F272" s="1" t="s">
        <v>2528</v>
      </c>
      <c r="G272" s="1" t="s">
        <v>74</v>
      </c>
      <c r="H272" s="1" t="s">
        <v>74</v>
      </c>
      <c r="I272" s="1" t="s">
        <v>2529</v>
      </c>
      <c r="J272" s="1" t="s">
        <v>1741</v>
      </c>
      <c r="K272" s="1" t="s">
        <v>74</v>
      </c>
      <c r="L272" s="1" t="s">
        <v>74</v>
      </c>
      <c r="M272" s="1" t="s">
        <v>74</v>
      </c>
      <c r="N272" s="1" t="s">
        <v>74</v>
      </c>
      <c r="O272" s="1" t="s">
        <v>74</v>
      </c>
      <c r="P272" s="1" t="s">
        <v>74</v>
      </c>
      <c r="Q272" s="1" t="s">
        <v>74</v>
      </c>
      <c r="R272" s="1" t="s">
        <v>74</v>
      </c>
      <c r="S272" s="1" t="s">
        <v>74</v>
      </c>
      <c r="T272" s="1" t="s">
        <v>74</v>
      </c>
      <c r="U272" s="1" t="s">
        <v>74</v>
      </c>
      <c r="V272" s="1" t="s">
        <v>74</v>
      </c>
      <c r="W272" s="1" t="s">
        <v>74</v>
      </c>
      <c r="X272" s="1" t="s">
        <v>74</v>
      </c>
      <c r="Y272" s="1" t="s">
        <v>74</v>
      </c>
      <c r="Z272" s="1" t="s">
        <v>74</v>
      </c>
      <c r="AA272" s="1" t="s">
        <v>74</v>
      </c>
      <c r="AB272" s="1" t="s">
        <v>74</v>
      </c>
      <c r="AC272" s="1" t="s">
        <v>74</v>
      </c>
      <c r="AD272" s="1" t="s">
        <v>74</v>
      </c>
      <c r="AE272" s="1" t="s">
        <v>74</v>
      </c>
      <c r="AF272" s="1" t="s">
        <v>74</v>
      </c>
      <c r="AG272" s="1" t="s">
        <v>74</v>
      </c>
      <c r="AH272" s="1" t="s">
        <v>74</v>
      </c>
      <c r="AI272" s="1" t="s">
        <v>74</v>
      </c>
      <c r="AJ272" s="1" t="s">
        <v>74</v>
      </c>
      <c r="AK272" s="1" t="s">
        <v>74</v>
      </c>
      <c r="AL272" s="1" t="s">
        <v>74</v>
      </c>
      <c r="AM272" s="1" t="s">
        <v>74</v>
      </c>
      <c r="AN272" s="1" t="s">
        <v>74</v>
      </c>
      <c r="AO272" s="1" t="s">
        <v>1742</v>
      </c>
      <c r="AP272" s="1" t="s">
        <v>74</v>
      </c>
      <c r="AQ272" s="1" t="s">
        <v>74</v>
      </c>
      <c r="AR272" s="1" t="s">
        <v>74</v>
      </c>
      <c r="AS272" s="1" t="s">
        <v>74</v>
      </c>
      <c r="AT272" s="1" t="s">
        <v>74</v>
      </c>
      <c r="AU272" s="1">
        <v>2009.0</v>
      </c>
      <c r="AV272" s="1">
        <v>35.0</v>
      </c>
      <c r="AW272" s="1">
        <v>70.0</v>
      </c>
      <c r="AX272" s="1" t="s">
        <v>74</v>
      </c>
      <c r="AY272" s="1" t="s">
        <v>74</v>
      </c>
      <c r="AZ272" s="1" t="s">
        <v>74</v>
      </c>
      <c r="BA272" s="1" t="s">
        <v>74</v>
      </c>
      <c r="BB272" s="1">
        <v>151.0</v>
      </c>
      <c r="BC272" s="1">
        <v>164.0</v>
      </c>
      <c r="BD272" s="1" t="s">
        <v>74</v>
      </c>
      <c r="BE272" s="1" t="s">
        <v>74</v>
      </c>
      <c r="BF272" s="1" t="s">
        <v>74</v>
      </c>
      <c r="BG272" s="1" t="s">
        <v>74</v>
      </c>
      <c r="BH272" s="1" t="s">
        <v>74</v>
      </c>
      <c r="BI272" s="1" t="s">
        <v>74</v>
      </c>
      <c r="BJ272" s="1" t="s">
        <v>74</v>
      </c>
      <c r="BK272" s="1" t="s">
        <v>74</v>
      </c>
      <c r="BL272" s="1" t="s">
        <v>74</v>
      </c>
      <c r="BM272" s="1" t="s">
        <v>74</v>
      </c>
      <c r="BN272" s="1" t="s">
        <v>74</v>
      </c>
      <c r="BO272" s="1" t="s">
        <v>74</v>
      </c>
      <c r="BP272" s="1" t="s">
        <v>74</v>
      </c>
      <c r="BQ272" s="1" t="s">
        <v>74</v>
      </c>
      <c r="BR272" s="1" t="s">
        <v>74</v>
      </c>
      <c r="BS272" s="1" t="s">
        <v>2530</v>
      </c>
      <c r="BT272" s="1" t="str">
        <f>HYPERLINK("https%3A%2F%2Fwww.webofscience.com%2Fwos%2Fwoscc%2Ffull-record%2FWOS:000286786100009","View Full Record in Web of Science")</f>
        <v>View Full Record in Web of Science</v>
      </c>
    </row>
    <row r="273" ht="12.75" customHeight="1">
      <c r="A273" s="1" t="s">
        <v>72</v>
      </c>
      <c r="B273" s="1" t="s">
        <v>2531</v>
      </c>
      <c r="C273" s="1" t="s">
        <v>74</v>
      </c>
      <c r="D273" s="1" t="s">
        <v>74</v>
      </c>
      <c r="E273" s="1" t="s">
        <v>74</v>
      </c>
      <c r="F273" s="1" t="s">
        <v>2532</v>
      </c>
      <c r="G273" s="1" t="s">
        <v>74</v>
      </c>
      <c r="H273" s="1" t="s">
        <v>74</v>
      </c>
      <c r="I273" s="1" t="s">
        <v>2533</v>
      </c>
      <c r="J273" s="1" t="s">
        <v>2534</v>
      </c>
      <c r="K273" s="1" t="s">
        <v>74</v>
      </c>
      <c r="L273" s="1" t="s">
        <v>74</v>
      </c>
      <c r="M273" s="1" t="s">
        <v>74</v>
      </c>
      <c r="N273" s="1" t="s">
        <v>74</v>
      </c>
      <c r="O273" s="1" t="s">
        <v>74</v>
      </c>
      <c r="P273" s="1" t="s">
        <v>74</v>
      </c>
      <c r="Q273" s="1" t="s">
        <v>74</v>
      </c>
      <c r="R273" s="1" t="s">
        <v>74</v>
      </c>
      <c r="S273" s="1" t="s">
        <v>74</v>
      </c>
      <c r="T273" s="1" t="s">
        <v>74</v>
      </c>
      <c r="U273" s="1" t="s">
        <v>74</v>
      </c>
      <c r="V273" s="1" t="s">
        <v>74</v>
      </c>
      <c r="W273" s="1" t="s">
        <v>74</v>
      </c>
      <c r="X273" s="1" t="s">
        <v>74</v>
      </c>
      <c r="Y273" s="1" t="s">
        <v>74</v>
      </c>
      <c r="Z273" s="1" t="s">
        <v>74</v>
      </c>
      <c r="AA273" s="1" t="s">
        <v>74</v>
      </c>
      <c r="AB273" s="1" t="s">
        <v>74</v>
      </c>
      <c r="AC273" s="1" t="s">
        <v>74</v>
      </c>
      <c r="AD273" s="1" t="s">
        <v>74</v>
      </c>
      <c r="AE273" s="1" t="s">
        <v>74</v>
      </c>
      <c r="AF273" s="1" t="s">
        <v>74</v>
      </c>
      <c r="AG273" s="1" t="s">
        <v>74</v>
      </c>
      <c r="AH273" s="1" t="s">
        <v>74</v>
      </c>
      <c r="AI273" s="1" t="s">
        <v>74</v>
      </c>
      <c r="AJ273" s="1" t="s">
        <v>74</v>
      </c>
      <c r="AK273" s="1" t="s">
        <v>74</v>
      </c>
      <c r="AL273" s="1" t="s">
        <v>74</v>
      </c>
      <c r="AM273" s="1" t="s">
        <v>74</v>
      </c>
      <c r="AN273" s="1" t="s">
        <v>74</v>
      </c>
      <c r="AO273" s="1" t="s">
        <v>2535</v>
      </c>
      <c r="AP273" s="1" t="s">
        <v>74</v>
      </c>
      <c r="AQ273" s="1" t="s">
        <v>74</v>
      </c>
      <c r="AR273" s="1" t="s">
        <v>74</v>
      </c>
      <c r="AS273" s="1" t="s">
        <v>74</v>
      </c>
      <c r="AT273" s="1" t="s">
        <v>429</v>
      </c>
      <c r="AU273" s="1">
        <v>2008.0</v>
      </c>
      <c r="AV273" s="1">
        <v>42.0</v>
      </c>
      <c r="AW273" s="1">
        <v>2.0</v>
      </c>
      <c r="AX273" s="1" t="s">
        <v>74</v>
      </c>
      <c r="AY273" s="1" t="s">
        <v>74</v>
      </c>
      <c r="AZ273" s="1" t="s">
        <v>74</v>
      </c>
      <c r="BA273" s="1" t="s">
        <v>74</v>
      </c>
      <c r="BB273" s="1">
        <v>301.0</v>
      </c>
      <c r="BC273" s="1">
        <v>327.0</v>
      </c>
      <c r="BD273" s="1" t="s">
        <v>74</v>
      </c>
      <c r="BE273" s="1" t="s">
        <v>74</v>
      </c>
      <c r="BF273" s="1" t="s">
        <v>74</v>
      </c>
      <c r="BG273" s="1" t="s">
        <v>74</v>
      </c>
      <c r="BH273" s="1" t="s">
        <v>74</v>
      </c>
      <c r="BI273" s="1" t="s">
        <v>74</v>
      </c>
      <c r="BJ273" s="1" t="s">
        <v>74</v>
      </c>
      <c r="BK273" s="1" t="s">
        <v>74</v>
      </c>
      <c r="BL273" s="1" t="s">
        <v>74</v>
      </c>
      <c r="BM273" s="1" t="s">
        <v>74</v>
      </c>
      <c r="BN273" s="1" t="s">
        <v>74</v>
      </c>
      <c r="BO273" s="1" t="s">
        <v>74</v>
      </c>
      <c r="BP273" s="1" t="s">
        <v>74</v>
      </c>
      <c r="BQ273" s="1" t="s">
        <v>74</v>
      </c>
      <c r="BR273" s="1" t="s">
        <v>74</v>
      </c>
      <c r="BS273" s="1" t="s">
        <v>2536</v>
      </c>
      <c r="BT273" s="1" t="str">
        <f>HYPERLINK("https%3A%2F%2Fwww.webofscience.com%2Fwos%2Fwoscc%2Ffull-record%2FWOS:000256198500005","View Full Record in Web of Science")</f>
        <v>View Full Record in Web of Science</v>
      </c>
    </row>
    <row r="274" ht="12.75" customHeight="1">
      <c r="A274" s="1" t="s">
        <v>72</v>
      </c>
      <c r="B274" s="1" t="s">
        <v>2537</v>
      </c>
      <c r="C274" s="1" t="s">
        <v>74</v>
      </c>
      <c r="D274" s="1" t="s">
        <v>74</v>
      </c>
      <c r="E274" s="1" t="s">
        <v>74</v>
      </c>
      <c r="F274" s="1" t="s">
        <v>2538</v>
      </c>
      <c r="G274" s="1" t="s">
        <v>74</v>
      </c>
      <c r="H274" s="1" t="s">
        <v>74</v>
      </c>
      <c r="I274" s="1" t="s">
        <v>2539</v>
      </c>
      <c r="J274" s="1" t="s">
        <v>1312</v>
      </c>
      <c r="K274" s="1" t="s">
        <v>74</v>
      </c>
      <c r="L274" s="1" t="s">
        <v>74</v>
      </c>
      <c r="M274" s="1" t="s">
        <v>74</v>
      </c>
      <c r="N274" s="1" t="s">
        <v>74</v>
      </c>
      <c r="O274" s="1" t="s">
        <v>74</v>
      </c>
      <c r="P274" s="1" t="s">
        <v>74</v>
      </c>
      <c r="Q274" s="1" t="s">
        <v>74</v>
      </c>
      <c r="R274" s="1" t="s">
        <v>74</v>
      </c>
      <c r="S274" s="1" t="s">
        <v>74</v>
      </c>
      <c r="T274" s="1" t="s">
        <v>74</v>
      </c>
      <c r="U274" s="1" t="s">
        <v>74</v>
      </c>
      <c r="V274" s="1" t="s">
        <v>2540</v>
      </c>
      <c r="W274" s="1" t="s">
        <v>74</v>
      </c>
      <c r="X274" s="1" t="s">
        <v>74</v>
      </c>
      <c r="Y274" s="1" t="s">
        <v>74</v>
      </c>
      <c r="Z274" s="1" t="s">
        <v>74</v>
      </c>
      <c r="AA274" s="1" t="s">
        <v>2541</v>
      </c>
      <c r="AB274" s="1" t="s">
        <v>2542</v>
      </c>
      <c r="AC274" s="1" t="s">
        <v>74</v>
      </c>
      <c r="AD274" s="1" t="s">
        <v>74</v>
      </c>
      <c r="AE274" s="1" t="s">
        <v>74</v>
      </c>
      <c r="AF274" s="1" t="s">
        <v>74</v>
      </c>
      <c r="AG274" s="1" t="s">
        <v>74</v>
      </c>
      <c r="AH274" s="1" t="s">
        <v>74</v>
      </c>
      <c r="AI274" s="1" t="s">
        <v>74</v>
      </c>
      <c r="AJ274" s="1" t="s">
        <v>74</v>
      </c>
      <c r="AK274" s="1" t="s">
        <v>74</v>
      </c>
      <c r="AL274" s="1" t="s">
        <v>74</v>
      </c>
      <c r="AM274" s="1" t="s">
        <v>74</v>
      </c>
      <c r="AN274" s="1" t="s">
        <v>74</v>
      </c>
      <c r="AO274" s="1" t="s">
        <v>1316</v>
      </c>
      <c r="AP274" s="1" t="s">
        <v>1317</v>
      </c>
      <c r="AQ274" s="1" t="s">
        <v>74</v>
      </c>
      <c r="AR274" s="1" t="s">
        <v>74</v>
      </c>
      <c r="AS274" s="1" t="s">
        <v>74</v>
      </c>
      <c r="AT274" s="1" t="s">
        <v>161</v>
      </c>
      <c r="AU274" s="1">
        <v>2007.0</v>
      </c>
      <c r="AV274" s="1">
        <v>322.0</v>
      </c>
      <c r="AW274" s="1">
        <v>10.0</v>
      </c>
      <c r="AX274" s="1" t="s">
        <v>74</v>
      </c>
      <c r="AY274" s="1" t="s">
        <v>74</v>
      </c>
      <c r="AZ274" s="1" t="s">
        <v>74</v>
      </c>
      <c r="BA274" s="1" t="s">
        <v>74</v>
      </c>
      <c r="BB274" s="1">
        <v>2493.0</v>
      </c>
      <c r="BC274" s="1">
        <v>2500.0</v>
      </c>
      <c r="BD274" s="1" t="s">
        <v>74</v>
      </c>
      <c r="BE274" s="1" t="s">
        <v>2543</v>
      </c>
      <c r="BF274" s="2" t="str">
        <f>HYPERLINK("http://dx.doi.org/10.1016/j.aop.2006.12.002","http://dx.doi.org/10.1016/j.aop.2006.12.002")</f>
        <v>http://dx.doi.org/10.1016/j.aop.2006.12.002</v>
      </c>
      <c r="BG274" s="1" t="s">
        <v>74</v>
      </c>
      <c r="BH274" s="1" t="s">
        <v>74</v>
      </c>
      <c r="BI274" s="1" t="s">
        <v>74</v>
      </c>
      <c r="BJ274" s="1" t="s">
        <v>74</v>
      </c>
      <c r="BK274" s="1" t="s">
        <v>74</v>
      </c>
      <c r="BL274" s="1" t="s">
        <v>74</v>
      </c>
      <c r="BM274" s="1" t="s">
        <v>74</v>
      </c>
      <c r="BN274" s="1" t="s">
        <v>74</v>
      </c>
      <c r="BO274" s="1" t="s">
        <v>74</v>
      </c>
      <c r="BP274" s="1" t="s">
        <v>74</v>
      </c>
      <c r="BQ274" s="1" t="s">
        <v>74</v>
      </c>
      <c r="BR274" s="1" t="s">
        <v>74</v>
      </c>
      <c r="BS274" s="1" t="s">
        <v>2544</v>
      </c>
      <c r="BT274" s="1" t="str">
        <f>HYPERLINK("https%3A%2F%2Fwww.webofscience.com%2Fwos%2Fwoscc%2Ffull-record%2FWOS:000249994100011","View Full Record in Web of Science")</f>
        <v>View Full Record in Web of Science</v>
      </c>
    </row>
    <row r="275" ht="12.75" customHeight="1">
      <c r="A275" s="1" t="s">
        <v>72</v>
      </c>
      <c r="B275" s="1" t="s">
        <v>397</v>
      </c>
      <c r="C275" s="1" t="s">
        <v>74</v>
      </c>
      <c r="D275" s="1" t="s">
        <v>74</v>
      </c>
      <c r="E275" s="1" t="s">
        <v>74</v>
      </c>
      <c r="F275" s="1" t="s">
        <v>398</v>
      </c>
      <c r="G275" s="1" t="s">
        <v>74</v>
      </c>
      <c r="H275" s="1" t="s">
        <v>74</v>
      </c>
      <c r="I275" s="1" t="s">
        <v>2545</v>
      </c>
      <c r="J275" s="1" t="s">
        <v>2508</v>
      </c>
      <c r="K275" s="1" t="s">
        <v>74</v>
      </c>
      <c r="L275" s="1" t="s">
        <v>74</v>
      </c>
      <c r="M275" s="1" t="s">
        <v>74</v>
      </c>
      <c r="N275" s="1" t="s">
        <v>74</v>
      </c>
      <c r="O275" s="1" t="s">
        <v>74</v>
      </c>
      <c r="P275" s="1" t="s">
        <v>74</v>
      </c>
      <c r="Q275" s="1" t="s">
        <v>74</v>
      </c>
      <c r="R275" s="1" t="s">
        <v>74</v>
      </c>
      <c r="S275" s="1" t="s">
        <v>74</v>
      </c>
      <c r="T275" s="1" t="s">
        <v>74</v>
      </c>
      <c r="U275" s="1" t="s">
        <v>74</v>
      </c>
      <c r="V275" s="1" t="s">
        <v>2546</v>
      </c>
      <c r="W275" s="1" t="s">
        <v>74</v>
      </c>
      <c r="X275" s="1" t="s">
        <v>74</v>
      </c>
      <c r="Y275" s="1" t="s">
        <v>74</v>
      </c>
      <c r="Z275" s="1" t="s">
        <v>74</v>
      </c>
      <c r="AA275" s="1" t="s">
        <v>74</v>
      </c>
      <c r="AB275" s="1" t="s">
        <v>74</v>
      </c>
      <c r="AC275" s="1" t="s">
        <v>74</v>
      </c>
      <c r="AD275" s="1" t="s">
        <v>74</v>
      </c>
      <c r="AE275" s="1" t="s">
        <v>74</v>
      </c>
      <c r="AF275" s="1" t="s">
        <v>74</v>
      </c>
      <c r="AG275" s="1" t="s">
        <v>74</v>
      </c>
      <c r="AH275" s="1" t="s">
        <v>74</v>
      </c>
      <c r="AI275" s="1" t="s">
        <v>74</v>
      </c>
      <c r="AJ275" s="1" t="s">
        <v>74</v>
      </c>
      <c r="AK275" s="1" t="s">
        <v>74</v>
      </c>
      <c r="AL275" s="1" t="s">
        <v>74</v>
      </c>
      <c r="AM275" s="1" t="s">
        <v>74</v>
      </c>
      <c r="AN275" s="1" t="s">
        <v>74</v>
      </c>
      <c r="AO275" s="1" t="s">
        <v>2510</v>
      </c>
      <c r="AP275" s="1" t="s">
        <v>2511</v>
      </c>
      <c r="AQ275" s="1" t="s">
        <v>74</v>
      </c>
      <c r="AR275" s="1" t="s">
        <v>74</v>
      </c>
      <c r="AS275" s="1" t="s">
        <v>74</v>
      </c>
      <c r="AT275" s="1" t="s">
        <v>2547</v>
      </c>
      <c r="AU275" s="1">
        <v>2007.0</v>
      </c>
      <c r="AV275" s="1">
        <v>22.0</v>
      </c>
      <c r="AW275" s="1">
        <v>21.0</v>
      </c>
      <c r="AX275" s="1" t="s">
        <v>74</v>
      </c>
      <c r="AY275" s="1" t="s">
        <v>74</v>
      </c>
      <c r="AZ275" s="1" t="s">
        <v>74</v>
      </c>
      <c r="BA275" s="1" t="s">
        <v>74</v>
      </c>
      <c r="BB275" s="1">
        <v>3669.0</v>
      </c>
      <c r="BC275" s="1">
        <v>3691.0</v>
      </c>
      <c r="BD275" s="1" t="s">
        <v>74</v>
      </c>
      <c r="BE275" s="1" t="s">
        <v>2548</v>
      </c>
      <c r="BF275" s="2" t="str">
        <f>HYPERLINK("http://dx.doi.org/10.1142/S0217751X0703683X","http://dx.doi.org/10.1142/S0217751X0703683X")</f>
        <v>http://dx.doi.org/10.1142/S0217751X0703683X</v>
      </c>
      <c r="BG275" s="1" t="s">
        <v>74</v>
      </c>
      <c r="BH275" s="1" t="s">
        <v>74</v>
      </c>
      <c r="BI275" s="1" t="s">
        <v>74</v>
      </c>
      <c r="BJ275" s="1" t="s">
        <v>74</v>
      </c>
      <c r="BK275" s="1" t="s">
        <v>74</v>
      </c>
      <c r="BL275" s="1" t="s">
        <v>74</v>
      </c>
      <c r="BM275" s="1" t="s">
        <v>74</v>
      </c>
      <c r="BN275" s="1" t="s">
        <v>74</v>
      </c>
      <c r="BO275" s="1" t="s">
        <v>74</v>
      </c>
      <c r="BP275" s="1" t="s">
        <v>74</v>
      </c>
      <c r="BQ275" s="1" t="s">
        <v>74</v>
      </c>
      <c r="BR275" s="1" t="s">
        <v>74</v>
      </c>
      <c r="BS275" s="1" t="s">
        <v>2549</v>
      </c>
      <c r="BT275" s="1" t="str">
        <f>HYPERLINK("https%3A%2F%2Fwww.webofscience.com%2Fwos%2Fwoscc%2Ffull-record%2FWOS:000251713200008","View Full Record in Web of Science")</f>
        <v>View Full Record in Web of Science</v>
      </c>
    </row>
    <row r="276" ht="12.75" customHeight="1">
      <c r="A276" s="1" t="s">
        <v>72</v>
      </c>
      <c r="B276" s="1" t="s">
        <v>2550</v>
      </c>
      <c r="C276" s="1" t="s">
        <v>74</v>
      </c>
      <c r="D276" s="1" t="s">
        <v>74</v>
      </c>
      <c r="E276" s="1" t="s">
        <v>74</v>
      </c>
      <c r="F276" s="1" t="s">
        <v>2550</v>
      </c>
      <c r="G276" s="1" t="s">
        <v>74</v>
      </c>
      <c r="H276" s="1" t="s">
        <v>74</v>
      </c>
      <c r="I276" s="1" t="s">
        <v>2551</v>
      </c>
      <c r="J276" s="1" t="s">
        <v>2552</v>
      </c>
      <c r="K276" s="1" t="s">
        <v>74</v>
      </c>
      <c r="L276" s="1" t="s">
        <v>74</v>
      </c>
      <c r="M276" s="1" t="s">
        <v>74</v>
      </c>
      <c r="N276" s="1" t="s">
        <v>74</v>
      </c>
      <c r="O276" s="1" t="s">
        <v>74</v>
      </c>
      <c r="P276" s="1" t="s">
        <v>74</v>
      </c>
      <c r="Q276" s="1" t="s">
        <v>74</v>
      </c>
      <c r="R276" s="1" t="s">
        <v>74</v>
      </c>
      <c r="S276" s="1" t="s">
        <v>74</v>
      </c>
      <c r="T276" s="1" t="s">
        <v>74</v>
      </c>
      <c r="U276" s="1" t="s">
        <v>74</v>
      </c>
      <c r="V276" s="1" t="s">
        <v>2553</v>
      </c>
      <c r="W276" s="1" t="s">
        <v>74</v>
      </c>
      <c r="X276" s="1" t="s">
        <v>74</v>
      </c>
      <c r="Y276" s="1" t="s">
        <v>74</v>
      </c>
      <c r="Z276" s="1" t="s">
        <v>74</v>
      </c>
      <c r="AA276" s="1" t="s">
        <v>74</v>
      </c>
      <c r="AB276" s="1" t="s">
        <v>2554</v>
      </c>
      <c r="AC276" s="1" t="s">
        <v>74</v>
      </c>
      <c r="AD276" s="1" t="s">
        <v>74</v>
      </c>
      <c r="AE276" s="1" t="s">
        <v>74</v>
      </c>
      <c r="AF276" s="1" t="s">
        <v>74</v>
      </c>
      <c r="AG276" s="1" t="s">
        <v>74</v>
      </c>
      <c r="AH276" s="1" t="s">
        <v>74</v>
      </c>
      <c r="AI276" s="1" t="s">
        <v>74</v>
      </c>
      <c r="AJ276" s="1" t="s">
        <v>74</v>
      </c>
      <c r="AK276" s="1" t="s">
        <v>74</v>
      </c>
      <c r="AL276" s="1" t="s">
        <v>74</v>
      </c>
      <c r="AM276" s="1" t="s">
        <v>74</v>
      </c>
      <c r="AN276" s="1" t="s">
        <v>74</v>
      </c>
      <c r="AO276" s="1" t="s">
        <v>2555</v>
      </c>
      <c r="AP276" s="1" t="s">
        <v>2556</v>
      </c>
      <c r="AQ276" s="1" t="s">
        <v>74</v>
      </c>
      <c r="AR276" s="1" t="s">
        <v>74</v>
      </c>
      <c r="AS276" s="1" t="s">
        <v>74</v>
      </c>
      <c r="AT276" s="1" t="s">
        <v>347</v>
      </c>
      <c r="AU276" s="1">
        <v>2005.0</v>
      </c>
      <c r="AV276" s="1">
        <v>70.0</v>
      </c>
      <c r="AW276" s="1">
        <v>3.0</v>
      </c>
      <c r="AX276" s="1" t="s">
        <v>74</v>
      </c>
      <c r="AY276" s="1" t="s">
        <v>74</v>
      </c>
      <c r="AZ276" s="1" t="s">
        <v>74</v>
      </c>
      <c r="BA276" s="1" t="s">
        <v>74</v>
      </c>
      <c r="BB276" s="1" t="s">
        <v>2557</v>
      </c>
      <c r="BC276" s="1" t="s">
        <v>2558</v>
      </c>
      <c r="BD276" s="1" t="s">
        <v>74</v>
      </c>
      <c r="BE276" s="1" t="s">
        <v>74</v>
      </c>
      <c r="BF276" s="1" t="s">
        <v>74</v>
      </c>
      <c r="BG276" s="1" t="s">
        <v>74</v>
      </c>
      <c r="BH276" s="1" t="s">
        <v>74</v>
      </c>
      <c r="BI276" s="1" t="s">
        <v>74</v>
      </c>
      <c r="BJ276" s="1" t="s">
        <v>74</v>
      </c>
      <c r="BK276" s="1" t="s">
        <v>74</v>
      </c>
      <c r="BL276" s="1" t="s">
        <v>74</v>
      </c>
      <c r="BM276" s="1" t="s">
        <v>74</v>
      </c>
      <c r="BN276" s="1" t="s">
        <v>74</v>
      </c>
      <c r="BO276" s="1" t="s">
        <v>74</v>
      </c>
      <c r="BP276" s="1" t="s">
        <v>74</v>
      </c>
      <c r="BQ276" s="1" t="s">
        <v>74</v>
      </c>
      <c r="BR276" s="1" t="s">
        <v>74</v>
      </c>
      <c r="BS276" s="1" t="s">
        <v>2559</v>
      </c>
      <c r="BT276" s="1" t="str">
        <f>HYPERLINK("https%3A%2F%2Fwww.webofscience.com%2Fwos%2Fwoscc%2Ffull-record%2FWOS:000228529200020","View Full Record in Web of Science")</f>
        <v>View Full Record in Web of Science</v>
      </c>
    </row>
    <row r="277" ht="12.75" customHeight="1">
      <c r="A277" s="1" t="s">
        <v>72</v>
      </c>
      <c r="B277" s="1" t="s">
        <v>2560</v>
      </c>
      <c r="C277" s="1" t="s">
        <v>74</v>
      </c>
      <c r="D277" s="1" t="s">
        <v>74</v>
      </c>
      <c r="E277" s="1" t="s">
        <v>74</v>
      </c>
      <c r="F277" s="1" t="s">
        <v>2561</v>
      </c>
      <c r="G277" s="1" t="s">
        <v>74</v>
      </c>
      <c r="H277" s="1" t="s">
        <v>74</v>
      </c>
      <c r="I277" s="1" t="s">
        <v>2562</v>
      </c>
      <c r="J277" s="1" t="s">
        <v>2563</v>
      </c>
      <c r="K277" s="1" t="s">
        <v>74</v>
      </c>
      <c r="L277" s="1" t="s">
        <v>74</v>
      </c>
      <c r="M277" s="1" t="s">
        <v>74</v>
      </c>
      <c r="N277" s="1" t="s">
        <v>74</v>
      </c>
      <c r="O277" s="1" t="s">
        <v>74</v>
      </c>
      <c r="P277" s="1" t="s">
        <v>74</v>
      </c>
      <c r="Q277" s="1" t="s">
        <v>74</v>
      </c>
      <c r="R277" s="1" t="s">
        <v>74</v>
      </c>
      <c r="S277" s="1" t="s">
        <v>74</v>
      </c>
      <c r="T277" s="1" t="s">
        <v>74</v>
      </c>
      <c r="U277" s="1" t="s">
        <v>74</v>
      </c>
      <c r="V277" s="1" t="s">
        <v>74</v>
      </c>
      <c r="W277" s="1" t="s">
        <v>74</v>
      </c>
      <c r="X277" s="1" t="s">
        <v>74</v>
      </c>
      <c r="Y277" s="1" t="s">
        <v>74</v>
      </c>
      <c r="Z277" s="1" t="s">
        <v>74</v>
      </c>
      <c r="AA277" s="1" t="s">
        <v>74</v>
      </c>
      <c r="AB277" s="1" t="s">
        <v>74</v>
      </c>
      <c r="AC277" s="1" t="s">
        <v>74</v>
      </c>
      <c r="AD277" s="1" t="s">
        <v>74</v>
      </c>
      <c r="AE277" s="1" t="s">
        <v>74</v>
      </c>
      <c r="AF277" s="1" t="s">
        <v>74</v>
      </c>
      <c r="AG277" s="1" t="s">
        <v>74</v>
      </c>
      <c r="AH277" s="1" t="s">
        <v>74</v>
      </c>
      <c r="AI277" s="1" t="s">
        <v>74</v>
      </c>
      <c r="AJ277" s="1" t="s">
        <v>74</v>
      </c>
      <c r="AK277" s="1" t="s">
        <v>74</v>
      </c>
      <c r="AL277" s="1" t="s">
        <v>74</v>
      </c>
      <c r="AM277" s="1" t="s">
        <v>74</v>
      </c>
      <c r="AN277" s="1" t="s">
        <v>74</v>
      </c>
      <c r="AO277" s="1" t="s">
        <v>2564</v>
      </c>
      <c r="AP277" s="1" t="s">
        <v>74</v>
      </c>
      <c r="AQ277" s="1" t="s">
        <v>74</v>
      </c>
      <c r="AR277" s="1" t="s">
        <v>74</v>
      </c>
      <c r="AS277" s="1" t="s">
        <v>74</v>
      </c>
      <c r="AT277" s="1" t="s">
        <v>74</v>
      </c>
      <c r="AU277" s="1">
        <v>2005.0</v>
      </c>
      <c r="AV277" s="1">
        <v>61.0</v>
      </c>
      <c r="AW277" s="1" t="s">
        <v>74</v>
      </c>
      <c r="AX277" s="1" t="s">
        <v>74</v>
      </c>
      <c r="AY277" s="1" t="s">
        <v>162</v>
      </c>
      <c r="AZ277" s="1" t="s">
        <v>74</v>
      </c>
      <c r="BA277" s="1" t="s">
        <v>2565</v>
      </c>
      <c r="BB277" s="1" t="s">
        <v>2566</v>
      </c>
      <c r="BC277" s="1" t="s">
        <v>2566</v>
      </c>
      <c r="BD277" s="1" t="s">
        <v>74</v>
      </c>
      <c r="BE277" s="1" t="s">
        <v>2567</v>
      </c>
      <c r="BF277" s="2" t="str">
        <f>HYPERLINK("http://dx.doi.org/10.1107/S0108767305081171","http://dx.doi.org/10.1107/S0108767305081171")</f>
        <v>http://dx.doi.org/10.1107/S0108767305081171</v>
      </c>
      <c r="BG277" s="1" t="s">
        <v>74</v>
      </c>
      <c r="BH277" s="1" t="s">
        <v>74</v>
      </c>
      <c r="BI277" s="1" t="s">
        <v>74</v>
      </c>
      <c r="BJ277" s="1" t="s">
        <v>74</v>
      </c>
      <c r="BK277" s="1" t="s">
        <v>74</v>
      </c>
      <c r="BL277" s="1" t="s">
        <v>74</v>
      </c>
      <c r="BM277" s="1" t="s">
        <v>74</v>
      </c>
      <c r="BN277" s="1" t="s">
        <v>74</v>
      </c>
      <c r="BO277" s="1" t="s">
        <v>74</v>
      </c>
      <c r="BP277" s="1" t="s">
        <v>74</v>
      </c>
      <c r="BQ277" s="1" t="s">
        <v>74</v>
      </c>
      <c r="BR277" s="1" t="s">
        <v>74</v>
      </c>
      <c r="BS277" s="1" t="s">
        <v>2568</v>
      </c>
      <c r="BT277" s="1" t="str">
        <f>HYPERLINK("https%3A%2F%2Fwww.webofscience.com%2Fwos%2Fwoscc%2Ffull-record%2FWOS:000478085802342","View Full Record in Web of Science")</f>
        <v>View Full Record in Web of Science</v>
      </c>
    </row>
    <row r="278" ht="12.75" customHeight="1">
      <c r="A278" s="1" t="s">
        <v>72</v>
      </c>
      <c r="B278" s="1" t="s">
        <v>2569</v>
      </c>
      <c r="C278" s="1" t="s">
        <v>74</v>
      </c>
      <c r="D278" s="1" t="s">
        <v>74</v>
      </c>
      <c r="E278" s="1" t="s">
        <v>74</v>
      </c>
      <c r="F278" s="1" t="s">
        <v>2569</v>
      </c>
      <c r="G278" s="1" t="s">
        <v>74</v>
      </c>
      <c r="H278" s="1" t="s">
        <v>74</v>
      </c>
      <c r="I278" s="1" t="s">
        <v>2570</v>
      </c>
      <c r="J278" s="1" t="s">
        <v>2571</v>
      </c>
      <c r="K278" s="1" t="s">
        <v>74</v>
      </c>
      <c r="L278" s="1" t="s">
        <v>74</v>
      </c>
      <c r="M278" s="1" t="s">
        <v>74</v>
      </c>
      <c r="N278" s="1" t="s">
        <v>74</v>
      </c>
      <c r="O278" s="1" t="s">
        <v>74</v>
      </c>
      <c r="P278" s="1" t="s">
        <v>74</v>
      </c>
      <c r="Q278" s="1" t="s">
        <v>74</v>
      </c>
      <c r="R278" s="1" t="s">
        <v>74</v>
      </c>
      <c r="S278" s="1" t="s">
        <v>74</v>
      </c>
      <c r="T278" s="1" t="s">
        <v>74</v>
      </c>
      <c r="U278" s="1" t="s">
        <v>74</v>
      </c>
      <c r="V278" s="1" t="s">
        <v>2572</v>
      </c>
      <c r="W278" s="1" t="s">
        <v>74</v>
      </c>
      <c r="X278" s="1" t="s">
        <v>74</v>
      </c>
      <c r="Y278" s="1" t="s">
        <v>74</v>
      </c>
      <c r="Z278" s="1" t="s">
        <v>74</v>
      </c>
      <c r="AA278" s="1" t="s">
        <v>118</v>
      </c>
      <c r="AB278" s="1" t="s">
        <v>119</v>
      </c>
      <c r="AC278" s="1" t="s">
        <v>74</v>
      </c>
      <c r="AD278" s="1" t="s">
        <v>74</v>
      </c>
      <c r="AE278" s="1" t="s">
        <v>74</v>
      </c>
      <c r="AF278" s="1" t="s">
        <v>74</v>
      </c>
      <c r="AG278" s="1" t="s">
        <v>74</v>
      </c>
      <c r="AH278" s="1" t="s">
        <v>74</v>
      </c>
      <c r="AI278" s="1" t="s">
        <v>74</v>
      </c>
      <c r="AJ278" s="1" t="s">
        <v>74</v>
      </c>
      <c r="AK278" s="1" t="s">
        <v>74</v>
      </c>
      <c r="AL278" s="1" t="s">
        <v>74</v>
      </c>
      <c r="AM278" s="1" t="s">
        <v>74</v>
      </c>
      <c r="AN278" s="1" t="s">
        <v>74</v>
      </c>
      <c r="AO278" s="1" t="s">
        <v>2573</v>
      </c>
      <c r="AP278" s="1" t="s">
        <v>2574</v>
      </c>
      <c r="AQ278" s="1" t="s">
        <v>74</v>
      </c>
      <c r="AR278" s="1" t="s">
        <v>74</v>
      </c>
      <c r="AS278" s="1" t="s">
        <v>74</v>
      </c>
      <c r="AT278" s="1" t="s">
        <v>161</v>
      </c>
      <c r="AU278" s="1">
        <v>2003.0</v>
      </c>
      <c r="AV278" s="1">
        <v>45.0</v>
      </c>
      <c r="AW278" s="1">
        <v>10.0</v>
      </c>
      <c r="AX278" s="1" t="s">
        <v>74</v>
      </c>
      <c r="AY278" s="1" t="s">
        <v>74</v>
      </c>
      <c r="AZ278" s="1" t="s">
        <v>74</v>
      </c>
      <c r="BA278" s="1" t="s">
        <v>74</v>
      </c>
      <c r="BB278" s="1">
        <v>676.0</v>
      </c>
      <c r="BC278" s="1">
        <v>681.0</v>
      </c>
      <c r="BD278" s="1" t="s">
        <v>74</v>
      </c>
      <c r="BE278" s="1" t="s">
        <v>2575</v>
      </c>
      <c r="BF278" s="2" t="str">
        <f>HYPERLINK("http://dx.doi.org/10.1784/insi.45.10.676.52952","http://dx.doi.org/10.1784/insi.45.10.676.52952")</f>
        <v>http://dx.doi.org/10.1784/insi.45.10.676.52952</v>
      </c>
      <c r="BG278" s="1" t="s">
        <v>74</v>
      </c>
      <c r="BH278" s="1" t="s">
        <v>74</v>
      </c>
      <c r="BI278" s="1" t="s">
        <v>74</v>
      </c>
      <c r="BJ278" s="1" t="s">
        <v>74</v>
      </c>
      <c r="BK278" s="1" t="s">
        <v>74</v>
      </c>
      <c r="BL278" s="1" t="s">
        <v>74</v>
      </c>
      <c r="BM278" s="1" t="s">
        <v>74</v>
      </c>
      <c r="BN278" s="1" t="s">
        <v>74</v>
      </c>
      <c r="BO278" s="1" t="s">
        <v>74</v>
      </c>
      <c r="BP278" s="1" t="s">
        <v>74</v>
      </c>
      <c r="BQ278" s="1" t="s">
        <v>74</v>
      </c>
      <c r="BR278" s="1" t="s">
        <v>74</v>
      </c>
      <c r="BS278" s="1" t="s">
        <v>2576</v>
      </c>
      <c r="BT278" s="1" t="str">
        <f>HYPERLINK("https%3A%2F%2Fwww.webofscience.com%2Fwos%2Fwoscc%2Ffull-record%2FWOS:000185891500012","View Full Record in Web of Science")</f>
        <v>View Full Record in Web of Science</v>
      </c>
    </row>
    <row r="279" ht="12.75" customHeight="1">
      <c r="A279" s="1" t="s">
        <v>72</v>
      </c>
      <c r="B279" s="1" t="s">
        <v>2577</v>
      </c>
      <c r="C279" s="1" t="s">
        <v>74</v>
      </c>
      <c r="D279" s="1" t="s">
        <v>74</v>
      </c>
      <c r="E279" s="1" t="s">
        <v>74</v>
      </c>
      <c r="F279" s="1" t="s">
        <v>2577</v>
      </c>
      <c r="G279" s="1" t="s">
        <v>74</v>
      </c>
      <c r="H279" s="1" t="s">
        <v>74</v>
      </c>
      <c r="I279" s="1" t="s">
        <v>2578</v>
      </c>
      <c r="J279" s="1" t="s">
        <v>2579</v>
      </c>
      <c r="K279" s="1" t="s">
        <v>74</v>
      </c>
      <c r="L279" s="1" t="s">
        <v>74</v>
      </c>
      <c r="M279" s="1" t="s">
        <v>74</v>
      </c>
      <c r="N279" s="1" t="s">
        <v>74</v>
      </c>
      <c r="O279" s="1" t="s">
        <v>74</v>
      </c>
      <c r="P279" s="1" t="s">
        <v>74</v>
      </c>
      <c r="Q279" s="1" t="s">
        <v>74</v>
      </c>
      <c r="R279" s="1" t="s">
        <v>74</v>
      </c>
      <c r="S279" s="1" t="s">
        <v>74</v>
      </c>
      <c r="T279" s="1" t="s">
        <v>74</v>
      </c>
      <c r="U279" s="1" t="s">
        <v>74</v>
      </c>
      <c r="V279" s="1" t="s">
        <v>2580</v>
      </c>
      <c r="W279" s="1" t="s">
        <v>74</v>
      </c>
      <c r="X279" s="1" t="s">
        <v>74</v>
      </c>
      <c r="Y279" s="1" t="s">
        <v>74</v>
      </c>
      <c r="Z279" s="1" t="s">
        <v>74</v>
      </c>
      <c r="AA279" s="1" t="s">
        <v>74</v>
      </c>
      <c r="AB279" s="1" t="s">
        <v>74</v>
      </c>
      <c r="AC279" s="1" t="s">
        <v>74</v>
      </c>
      <c r="AD279" s="1" t="s">
        <v>74</v>
      </c>
      <c r="AE279" s="1" t="s">
        <v>74</v>
      </c>
      <c r="AF279" s="1" t="s">
        <v>74</v>
      </c>
      <c r="AG279" s="1" t="s">
        <v>74</v>
      </c>
      <c r="AH279" s="1" t="s">
        <v>74</v>
      </c>
      <c r="AI279" s="1" t="s">
        <v>74</v>
      </c>
      <c r="AJ279" s="1" t="s">
        <v>74</v>
      </c>
      <c r="AK279" s="1" t="s">
        <v>74</v>
      </c>
      <c r="AL279" s="1" t="s">
        <v>74</v>
      </c>
      <c r="AM279" s="1" t="s">
        <v>74</v>
      </c>
      <c r="AN279" s="1" t="s">
        <v>74</v>
      </c>
      <c r="AO279" s="1" t="s">
        <v>2581</v>
      </c>
      <c r="AP279" s="1" t="s">
        <v>74</v>
      </c>
      <c r="AQ279" s="1" t="s">
        <v>74</v>
      </c>
      <c r="AR279" s="1" t="s">
        <v>74</v>
      </c>
      <c r="AS279" s="1" t="s">
        <v>74</v>
      </c>
      <c r="AT279" s="1" t="s">
        <v>276</v>
      </c>
      <c r="AU279" s="1">
        <v>2003.0</v>
      </c>
      <c r="AV279" s="1">
        <v>41.0</v>
      </c>
      <c r="AW279" s="1">
        <v>7.0</v>
      </c>
      <c r="AX279" s="1" t="s">
        <v>74</v>
      </c>
      <c r="AY279" s="1" t="s">
        <v>74</v>
      </c>
      <c r="AZ279" s="1" t="s">
        <v>74</v>
      </c>
      <c r="BA279" s="1" t="s">
        <v>74</v>
      </c>
      <c r="BB279" s="1">
        <v>569.0</v>
      </c>
      <c r="BC279" s="1">
        <v>579.0</v>
      </c>
      <c r="BD279" s="1" t="s">
        <v>74</v>
      </c>
      <c r="BE279" s="1" t="s">
        <v>2582</v>
      </c>
      <c r="BF279" s="2" t="str">
        <f>HYPERLINK("http://dx.doi.org/10.1016/S0041-624X(03)00157-4","http://dx.doi.org/10.1016/S0041-624X(03)00157-4")</f>
        <v>http://dx.doi.org/10.1016/S0041-624X(03)00157-4</v>
      </c>
      <c r="BG279" s="1" t="s">
        <v>74</v>
      </c>
      <c r="BH279" s="1" t="s">
        <v>74</v>
      </c>
      <c r="BI279" s="1" t="s">
        <v>74</v>
      </c>
      <c r="BJ279" s="1" t="s">
        <v>74</v>
      </c>
      <c r="BK279" s="1" t="s">
        <v>74</v>
      </c>
      <c r="BL279" s="1" t="s">
        <v>74</v>
      </c>
      <c r="BM279" s="1" t="s">
        <v>74</v>
      </c>
      <c r="BN279" s="1">
        <v>1.2919693E7</v>
      </c>
      <c r="BO279" s="1" t="s">
        <v>74</v>
      </c>
      <c r="BP279" s="1" t="s">
        <v>74</v>
      </c>
      <c r="BQ279" s="1" t="s">
        <v>74</v>
      </c>
      <c r="BR279" s="1" t="s">
        <v>74</v>
      </c>
      <c r="BS279" s="1" t="s">
        <v>2583</v>
      </c>
      <c r="BT279" s="1" t="str">
        <f>HYPERLINK("https%3A%2F%2Fwww.webofscience.com%2Fwos%2Fwoscc%2Ffull-record%2FWOS:000185105300009","View Full Record in Web of Science")</f>
        <v>View Full Record in Web of Science</v>
      </c>
    </row>
    <row r="280" ht="12.75" customHeight="1">
      <c r="A280" s="1" t="s">
        <v>91</v>
      </c>
      <c r="B280" s="1" t="s">
        <v>2584</v>
      </c>
      <c r="C280" s="1" t="s">
        <v>74</v>
      </c>
      <c r="D280" s="1" t="s">
        <v>2585</v>
      </c>
      <c r="E280" s="1" t="s">
        <v>74</v>
      </c>
      <c r="F280" s="1" t="s">
        <v>2584</v>
      </c>
      <c r="G280" s="1" t="s">
        <v>74</v>
      </c>
      <c r="H280" s="1" t="s">
        <v>74</v>
      </c>
      <c r="I280" s="1" t="s">
        <v>2586</v>
      </c>
      <c r="J280" s="1" t="s">
        <v>2587</v>
      </c>
      <c r="K280" s="1" t="s">
        <v>2588</v>
      </c>
      <c r="L280" s="1" t="s">
        <v>74</v>
      </c>
      <c r="M280" s="1" t="s">
        <v>74</v>
      </c>
      <c r="N280" s="1" t="s">
        <v>74</v>
      </c>
      <c r="O280" s="1" t="s">
        <v>2589</v>
      </c>
      <c r="P280" s="1" t="s">
        <v>2590</v>
      </c>
      <c r="Q280" s="1" t="s">
        <v>2591</v>
      </c>
      <c r="R280" s="1" t="s">
        <v>2592</v>
      </c>
      <c r="S280" s="1" t="s">
        <v>74</v>
      </c>
      <c r="T280" s="1" t="s">
        <v>74</v>
      </c>
      <c r="U280" s="1" t="s">
        <v>74</v>
      </c>
      <c r="V280" s="1" t="s">
        <v>2593</v>
      </c>
      <c r="W280" s="1" t="s">
        <v>74</v>
      </c>
      <c r="X280" s="1" t="s">
        <v>74</v>
      </c>
      <c r="Y280" s="1" t="s">
        <v>74</v>
      </c>
      <c r="Z280" s="1" t="s">
        <v>74</v>
      </c>
      <c r="AA280" s="1" t="s">
        <v>2594</v>
      </c>
      <c r="AB280" s="1" t="s">
        <v>74</v>
      </c>
      <c r="AC280" s="1" t="s">
        <v>74</v>
      </c>
      <c r="AD280" s="1" t="s">
        <v>74</v>
      </c>
      <c r="AE280" s="1" t="s">
        <v>74</v>
      </c>
      <c r="AF280" s="1" t="s">
        <v>74</v>
      </c>
      <c r="AG280" s="1" t="s">
        <v>74</v>
      </c>
      <c r="AH280" s="1" t="s">
        <v>74</v>
      </c>
      <c r="AI280" s="1" t="s">
        <v>74</v>
      </c>
      <c r="AJ280" s="1" t="s">
        <v>74</v>
      </c>
      <c r="AK280" s="1" t="s">
        <v>74</v>
      </c>
      <c r="AL280" s="1" t="s">
        <v>74</v>
      </c>
      <c r="AM280" s="1" t="s">
        <v>74</v>
      </c>
      <c r="AN280" s="1" t="s">
        <v>74</v>
      </c>
      <c r="AO280" s="1" t="s">
        <v>2595</v>
      </c>
      <c r="AP280" s="1" t="s">
        <v>74</v>
      </c>
      <c r="AQ280" s="1" t="s">
        <v>2596</v>
      </c>
      <c r="AR280" s="1" t="s">
        <v>74</v>
      </c>
      <c r="AS280" s="1" t="s">
        <v>74</v>
      </c>
      <c r="AT280" s="1" t="s">
        <v>74</v>
      </c>
      <c r="AU280" s="1">
        <v>2003.0</v>
      </c>
      <c r="AV280" s="1">
        <v>658.0</v>
      </c>
      <c r="AW280" s="1" t="s">
        <v>74</v>
      </c>
      <c r="AX280" s="1" t="s">
        <v>74</v>
      </c>
      <c r="AY280" s="1" t="s">
        <v>74</v>
      </c>
      <c r="AZ280" s="1" t="s">
        <v>74</v>
      </c>
      <c r="BA280" s="1" t="s">
        <v>74</v>
      </c>
      <c r="BB280" s="1">
        <v>331.0</v>
      </c>
      <c r="BC280" s="1">
        <v>354.0</v>
      </c>
      <c r="BD280" s="1" t="s">
        <v>74</v>
      </c>
      <c r="BE280" s="1" t="s">
        <v>74</v>
      </c>
      <c r="BF280" s="1" t="s">
        <v>74</v>
      </c>
      <c r="BG280" s="1" t="s">
        <v>74</v>
      </c>
      <c r="BH280" s="1" t="s">
        <v>74</v>
      </c>
      <c r="BI280" s="1" t="s">
        <v>74</v>
      </c>
      <c r="BJ280" s="1" t="s">
        <v>74</v>
      </c>
      <c r="BK280" s="1" t="s">
        <v>74</v>
      </c>
      <c r="BL280" s="1" t="s">
        <v>74</v>
      </c>
      <c r="BM280" s="1" t="s">
        <v>74</v>
      </c>
      <c r="BN280" s="1" t="s">
        <v>74</v>
      </c>
      <c r="BO280" s="1" t="s">
        <v>74</v>
      </c>
      <c r="BP280" s="1" t="s">
        <v>74</v>
      </c>
      <c r="BQ280" s="1" t="s">
        <v>74</v>
      </c>
      <c r="BR280" s="1" t="s">
        <v>74</v>
      </c>
      <c r="BS280" s="1" t="s">
        <v>2597</v>
      </c>
      <c r="BT280" s="1" t="str">
        <f>HYPERLINK("https%3A%2F%2Fwww.webofscience.com%2Fwos%2Fwoscc%2Ffull-record%2FWOS:000182216000013","View Full Record in Web of Science")</f>
        <v>View Full Record in Web of Science</v>
      </c>
    </row>
    <row r="281" ht="12.75" customHeight="1">
      <c r="A281" s="1" t="s">
        <v>72</v>
      </c>
      <c r="B281" s="1" t="s">
        <v>2598</v>
      </c>
      <c r="C281" s="1" t="s">
        <v>74</v>
      </c>
      <c r="D281" s="1" t="s">
        <v>74</v>
      </c>
      <c r="E281" s="1" t="s">
        <v>74</v>
      </c>
      <c r="F281" s="1" t="s">
        <v>2598</v>
      </c>
      <c r="G281" s="1" t="s">
        <v>74</v>
      </c>
      <c r="H281" s="1" t="s">
        <v>74</v>
      </c>
      <c r="I281" s="1" t="s">
        <v>2599</v>
      </c>
      <c r="J281" s="1" t="s">
        <v>86</v>
      </c>
      <c r="K281" s="1" t="s">
        <v>74</v>
      </c>
      <c r="L281" s="1" t="s">
        <v>74</v>
      </c>
      <c r="M281" s="1" t="s">
        <v>74</v>
      </c>
      <c r="N281" s="1" t="s">
        <v>74</v>
      </c>
      <c r="O281" s="1" t="s">
        <v>2600</v>
      </c>
      <c r="P281" s="1" t="s">
        <v>2601</v>
      </c>
      <c r="Q281" s="1" t="s">
        <v>2602</v>
      </c>
      <c r="R281" s="1" t="s">
        <v>74</v>
      </c>
      <c r="S281" s="1" t="s">
        <v>74</v>
      </c>
      <c r="T281" s="1" t="s">
        <v>74</v>
      </c>
      <c r="U281" s="1" t="s">
        <v>74</v>
      </c>
      <c r="V281" s="1" t="s">
        <v>2603</v>
      </c>
      <c r="W281" s="1" t="s">
        <v>74</v>
      </c>
      <c r="X281" s="1" t="s">
        <v>74</v>
      </c>
      <c r="Y281" s="1" t="s">
        <v>74</v>
      </c>
      <c r="Z281" s="1" t="s">
        <v>74</v>
      </c>
      <c r="AA281" s="1" t="s">
        <v>1111</v>
      </c>
      <c r="AB281" s="1" t="s">
        <v>1112</v>
      </c>
      <c r="AC281" s="1" t="s">
        <v>74</v>
      </c>
      <c r="AD281" s="1" t="s">
        <v>74</v>
      </c>
      <c r="AE281" s="1" t="s">
        <v>74</v>
      </c>
      <c r="AF281" s="1" t="s">
        <v>74</v>
      </c>
      <c r="AG281" s="1" t="s">
        <v>74</v>
      </c>
      <c r="AH281" s="1" t="s">
        <v>74</v>
      </c>
      <c r="AI281" s="1" t="s">
        <v>74</v>
      </c>
      <c r="AJ281" s="1" t="s">
        <v>74</v>
      </c>
      <c r="AK281" s="1" t="s">
        <v>74</v>
      </c>
      <c r="AL281" s="1" t="s">
        <v>74</v>
      </c>
      <c r="AM281" s="1" t="s">
        <v>74</v>
      </c>
      <c r="AN281" s="1" t="s">
        <v>74</v>
      </c>
      <c r="AO281" s="1" t="s">
        <v>87</v>
      </c>
      <c r="AP281" s="1" t="s">
        <v>74</v>
      </c>
      <c r="AQ281" s="1" t="s">
        <v>74</v>
      </c>
      <c r="AR281" s="1" t="s">
        <v>74</v>
      </c>
      <c r="AS281" s="1" t="s">
        <v>74</v>
      </c>
      <c r="AT281" s="1" t="s">
        <v>88</v>
      </c>
      <c r="AU281" s="1">
        <v>2002.0</v>
      </c>
      <c r="AV281" s="1">
        <v>48.0</v>
      </c>
      <c r="AW281" s="1" t="s">
        <v>74</v>
      </c>
      <c r="AX281" s="1" t="s">
        <v>74</v>
      </c>
      <c r="AY281" s="1">
        <v>3.0</v>
      </c>
      <c r="AZ281" s="1" t="s">
        <v>74</v>
      </c>
      <c r="BA281" s="1" t="s">
        <v>74</v>
      </c>
      <c r="BB281" s="1">
        <v>111.0</v>
      </c>
      <c r="BC281" s="1">
        <v>112.0</v>
      </c>
      <c r="BD281" s="1" t="s">
        <v>74</v>
      </c>
      <c r="BE281" s="1" t="s">
        <v>74</v>
      </c>
      <c r="BF281" s="1" t="s">
        <v>74</v>
      </c>
      <c r="BG281" s="1" t="s">
        <v>74</v>
      </c>
      <c r="BH281" s="1" t="s">
        <v>74</v>
      </c>
      <c r="BI281" s="1" t="s">
        <v>74</v>
      </c>
      <c r="BJ281" s="1" t="s">
        <v>74</v>
      </c>
      <c r="BK281" s="1" t="s">
        <v>74</v>
      </c>
      <c r="BL281" s="1" t="s">
        <v>74</v>
      </c>
      <c r="BM281" s="1" t="s">
        <v>74</v>
      </c>
      <c r="BN281" s="1" t="s">
        <v>74</v>
      </c>
      <c r="BO281" s="1" t="s">
        <v>74</v>
      </c>
      <c r="BP281" s="1" t="s">
        <v>74</v>
      </c>
      <c r="BQ281" s="1" t="s">
        <v>74</v>
      </c>
      <c r="BR281" s="1" t="s">
        <v>74</v>
      </c>
      <c r="BS281" s="1" t="s">
        <v>2604</v>
      </c>
      <c r="BT281" s="1" t="str">
        <f>HYPERLINK("https%3A%2F%2Fwww.webofscience.com%2Fwos%2Fwoscc%2Ffull-record%2FWOS:000180065500040","View Full Record in Web of Science")</f>
        <v>View Full Record in Web of Science</v>
      </c>
    </row>
    <row r="282" ht="12.75" customHeight="1">
      <c r="A282" s="1" t="s">
        <v>72</v>
      </c>
      <c r="B282" s="1" t="s">
        <v>2605</v>
      </c>
      <c r="C282" s="1" t="s">
        <v>74</v>
      </c>
      <c r="D282" s="1" t="s">
        <v>74</v>
      </c>
      <c r="E282" s="1" t="s">
        <v>74</v>
      </c>
      <c r="F282" s="1" t="s">
        <v>2605</v>
      </c>
      <c r="G282" s="1" t="s">
        <v>74</v>
      </c>
      <c r="H282" s="1" t="s">
        <v>74</v>
      </c>
      <c r="I282" s="1" t="s">
        <v>2606</v>
      </c>
      <c r="J282" s="1" t="s">
        <v>2607</v>
      </c>
      <c r="K282" s="1" t="s">
        <v>74</v>
      </c>
      <c r="L282" s="1" t="s">
        <v>74</v>
      </c>
      <c r="M282" s="1" t="s">
        <v>74</v>
      </c>
      <c r="N282" s="1" t="s">
        <v>74</v>
      </c>
      <c r="O282" s="1" t="s">
        <v>74</v>
      </c>
      <c r="P282" s="1" t="s">
        <v>74</v>
      </c>
      <c r="Q282" s="1" t="s">
        <v>74</v>
      </c>
      <c r="R282" s="1" t="s">
        <v>74</v>
      </c>
      <c r="S282" s="1" t="s">
        <v>74</v>
      </c>
      <c r="T282" s="1" t="s">
        <v>74</v>
      </c>
      <c r="U282" s="1" t="s">
        <v>74</v>
      </c>
      <c r="V282" s="1" t="s">
        <v>2608</v>
      </c>
      <c r="W282" s="1" t="s">
        <v>74</v>
      </c>
      <c r="X282" s="1" t="s">
        <v>74</v>
      </c>
      <c r="Y282" s="1" t="s">
        <v>74</v>
      </c>
      <c r="Z282" s="1" t="s">
        <v>74</v>
      </c>
      <c r="AA282" s="1" t="s">
        <v>296</v>
      </c>
      <c r="AB282" s="1" t="s">
        <v>486</v>
      </c>
      <c r="AC282" s="1" t="s">
        <v>74</v>
      </c>
      <c r="AD282" s="1" t="s">
        <v>74</v>
      </c>
      <c r="AE282" s="1" t="s">
        <v>74</v>
      </c>
      <c r="AF282" s="1" t="s">
        <v>74</v>
      </c>
      <c r="AG282" s="1" t="s">
        <v>74</v>
      </c>
      <c r="AH282" s="1" t="s">
        <v>74</v>
      </c>
      <c r="AI282" s="1" t="s">
        <v>74</v>
      </c>
      <c r="AJ282" s="1" t="s">
        <v>74</v>
      </c>
      <c r="AK282" s="1" t="s">
        <v>74</v>
      </c>
      <c r="AL282" s="1" t="s">
        <v>74</v>
      </c>
      <c r="AM282" s="1" t="s">
        <v>74</v>
      </c>
      <c r="AN282" s="1" t="s">
        <v>74</v>
      </c>
      <c r="AO282" s="1" t="s">
        <v>2609</v>
      </c>
      <c r="AP282" s="1" t="s">
        <v>74</v>
      </c>
      <c r="AQ282" s="1" t="s">
        <v>74</v>
      </c>
      <c r="AR282" s="1" t="s">
        <v>74</v>
      </c>
      <c r="AS282" s="1" t="s">
        <v>74</v>
      </c>
      <c r="AT282" s="1" t="s">
        <v>330</v>
      </c>
      <c r="AU282" s="1">
        <v>2001.0</v>
      </c>
      <c r="AV282" s="1">
        <v>59.0</v>
      </c>
      <c r="AW282" s="1">
        <v>2.0</v>
      </c>
      <c r="AX282" s="1" t="s">
        <v>74</v>
      </c>
      <c r="AY282" s="1" t="s">
        <v>74</v>
      </c>
      <c r="AZ282" s="1" t="s">
        <v>74</v>
      </c>
      <c r="BA282" s="1" t="s">
        <v>74</v>
      </c>
      <c r="BB282" s="1">
        <v>75.0</v>
      </c>
      <c r="BC282" s="1">
        <v>81.0</v>
      </c>
      <c r="BD282" s="1" t="s">
        <v>74</v>
      </c>
      <c r="BE282" s="1" t="s">
        <v>2610</v>
      </c>
      <c r="BF282" s="2" t="str">
        <f>HYPERLINK("http://dx.doi.org/10.1016/S0378-7796(01)00136-5","http://dx.doi.org/10.1016/S0378-7796(01)00136-5")</f>
        <v>http://dx.doi.org/10.1016/S0378-7796(01)00136-5</v>
      </c>
      <c r="BG282" s="1" t="s">
        <v>74</v>
      </c>
      <c r="BH282" s="1" t="s">
        <v>74</v>
      </c>
      <c r="BI282" s="1" t="s">
        <v>74</v>
      </c>
      <c r="BJ282" s="1" t="s">
        <v>74</v>
      </c>
      <c r="BK282" s="1" t="s">
        <v>74</v>
      </c>
      <c r="BL282" s="1" t="s">
        <v>74</v>
      </c>
      <c r="BM282" s="1" t="s">
        <v>74</v>
      </c>
      <c r="BN282" s="1" t="s">
        <v>74</v>
      </c>
      <c r="BO282" s="1" t="s">
        <v>74</v>
      </c>
      <c r="BP282" s="1" t="s">
        <v>74</v>
      </c>
      <c r="BQ282" s="1" t="s">
        <v>74</v>
      </c>
      <c r="BR282" s="1" t="s">
        <v>74</v>
      </c>
      <c r="BS282" s="1" t="s">
        <v>2611</v>
      </c>
      <c r="BT282" s="1" t="str">
        <f>HYPERLINK("https%3A%2F%2Fwww.webofscience.com%2Fwos%2Fwoscc%2Ffull-record%2FWOS:000171548700001","View Full Record in Web of Science")</f>
        <v>View Full Record in Web of Science</v>
      </c>
    </row>
    <row r="283" ht="12.75" customHeight="1">
      <c r="A283" s="1" t="s">
        <v>72</v>
      </c>
      <c r="B283" s="1" t="s">
        <v>2612</v>
      </c>
      <c r="C283" s="1" t="s">
        <v>74</v>
      </c>
      <c r="D283" s="1" t="s">
        <v>74</v>
      </c>
      <c r="E283" s="1" t="s">
        <v>74</v>
      </c>
      <c r="F283" s="1" t="s">
        <v>2612</v>
      </c>
      <c r="G283" s="1" t="s">
        <v>74</v>
      </c>
      <c r="H283" s="1" t="s">
        <v>74</v>
      </c>
      <c r="I283" s="1" t="s">
        <v>2613</v>
      </c>
      <c r="J283" s="1" t="s">
        <v>177</v>
      </c>
      <c r="K283" s="1" t="s">
        <v>74</v>
      </c>
      <c r="L283" s="1" t="s">
        <v>74</v>
      </c>
      <c r="M283" s="1" t="s">
        <v>74</v>
      </c>
      <c r="N283" s="1" t="s">
        <v>74</v>
      </c>
      <c r="O283" s="1" t="s">
        <v>2614</v>
      </c>
      <c r="P283" s="1" t="s">
        <v>2615</v>
      </c>
      <c r="Q283" s="1" t="s">
        <v>2616</v>
      </c>
      <c r="R283" s="1" t="s">
        <v>2617</v>
      </c>
      <c r="S283" s="1" t="s">
        <v>74</v>
      </c>
      <c r="T283" s="1" t="s">
        <v>74</v>
      </c>
      <c r="U283" s="1" t="s">
        <v>74</v>
      </c>
      <c r="V283" s="1" t="s">
        <v>2618</v>
      </c>
      <c r="W283" s="1" t="s">
        <v>74</v>
      </c>
      <c r="X283" s="1" t="s">
        <v>74</v>
      </c>
      <c r="Y283" s="1" t="s">
        <v>74</v>
      </c>
      <c r="Z283" s="1" t="s">
        <v>74</v>
      </c>
      <c r="AA283" s="1" t="s">
        <v>1174</v>
      </c>
      <c r="AB283" s="1" t="s">
        <v>74</v>
      </c>
      <c r="AC283" s="1" t="s">
        <v>74</v>
      </c>
      <c r="AD283" s="1" t="s">
        <v>74</v>
      </c>
      <c r="AE283" s="1" t="s">
        <v>74</v>
      </c>
      <c r="AF283" s="1" t="s">
        <v>74</v>
      </c>
      <c r="AG283" s="1" t="s">
        <v>74</v>
      </c>
      <c r="AH283" s="1" t="s">
        <v>74</v>
      </c>
      <c r="AI283" s="1" t="s">
        <v>74</v>
      </c>
      <c r="AJ283" s="1" t="s">
        <v>74</v>
      </c>
      <c r="AK283" s="1" t="s">
        <v>74</v>
      </c>
      <c r="AL283" s="1" t="s">
        <v>74</v>
      </c>
      <c r="AM283" s="1" t="s">
        <v>74</v>
      </c>
      <c r="AN283" s="1" t="s">
        <v>74</v>
      </c>
      <c r="AO283" s="1" t="s">
        <v>179</v>
      </c>
      <c r="AP283" s="1" t="s">
        <v>74</v>
      </c>
      <c r="AQ283" s="1" t="s">
        <v>74</v>
      </c>
      <c r="AR283" s="1" t="s">
        <v>74</v>
      </c>
      <c r="AS283" s="1" t="s">
        <v>74</v>
      </c>
      <c r="AT283" s="1" t="s">
        <v>276</v>
      </c>
      <c r="AU283" s="1">
        <v>2000.0</v>
      </c>
      <c r="AV283" s="1">
        <v>45.0</v>
      </c>
      <c r="AW283" s="1">
        <v>3.0</v>
      </c>
      <c r="AX283" s="1" t="s">
        <v>74</v>
      </c>
      <c r="AY283" s="1" t="s">
        <v>74</v>
      </c>
      <c r="AZ283" s="1" t="s">
        <v>74</v>
      </c>
      <c r="BA283" s="1" t="s">
        <v>74</v>
      </c>
      <c r="BB283" s="1">
        <v>409.0</v>
      </c>
      <c r="BC283" s="1">
        <v>414.0</v>
      </c>
      <c r="BD283" s="1" t="s">
        <v>74</v>
      </c>
      <c r="BE283" s="1" t="s">
        <v>74</v>
      </c>
      <c r="BF283" s="1" t="s">
        <v>74</v>
      </c>
      <c r="BG283" s="1" t="s">
        <v>74</v>
      </c>
      <c r="BH283" s="1" t="s">
        <v>74</v>
      </c>
      <c r="BI283" s="1" t="s">
        <v>74</v>
      </c>
      <c r="BJ283" s="1" t="s">
        <v>74</v>
      </c>
      <c r="BK283" s="1" t="s">
        <v>74</v>
      </c>
      <c r="BL283" s="1" t="s">
        <v>74</v>
      </c>
      <c r="BM283" s="1" t="s">
        <v>74</v>
      </c>
      <c r="BN283" s="1" t="s">
        <v>74</v>
      </c>
      <c r="BO283" s="1" t="s">
        <v>74</v>
      </c>
      <c r="BP283" s="1" t="s">
        <v>74</v>
      </c>
      <c r="BQ283" s="1" t="s">
        <v>74</v>
      </c>
      <c r="BR283" s="1" t="s">
        <v>74</v>
      </c>
      <c r="BS283" s="1" t="s">
        <v>2619</v>
      </c>
      <c r="BT283" s="1" t="str">
        <f>HYPERLINK("https%3A%2F%2Fwww.webofscience.com%2Fwos%2Fwoscc%2Ffull-record%2FWOS:000089763300011","View Full Record in Web of Science")</f>
        <v>View Full Record in Web of Science</v>
      </c>
    </row>
    <row r="284" ht="12.75" customHeight="1">
      <c r="A284" s="1" t="s">
        <v>72</v>
      </c>
      <c r="B284" s="1" t="s">
        <v>2620</v>
      </c>
      <c r="C284" s="1" t="s">
        <v>74</v>
      </c>
      <c r="D284" s="1" t="s">
        <v>74</v>
      </c>
      <c r="E284" s="1" t="s">
        <v>74</v>
      </c>
      <c r="F284" s="1" t="s">
        <v>2620</v>
      </c>
      <c r="G284" s="1" t="s">
        <v>74</v>
      </c>
      <c r="H284" s="1" t="s">
        <v>74</v>
      </c>
      <c r="I284" s="1" t="s">
        <v>2621</v>
      </c>
      <c r="J284" s="1" t="s">
        <v>2622</v>
      </c>
      <c r="K284" s="1" t="s">
        <v>74</v>
      </c>
      <c r="L284" s="1" t="s">
        <v>74</v>
      </c>
      <c r="M284" s="1" t="s">
        <v>74</v>
      </c>
      <c r="N284" s="1" t="s">
        <v>74</v>
      </c>
      <c r="O284" s="1" t="s">
        <v>2623</v>
      </c>
      <c r="P284" s="1" t="s">
        <v>2624</v>
      </c>
      <c r="Q284" s="1" t="s">
        <v>2625</v>
      </c>
      <c r="R284" s="1" t="s">
        <v>2626</v>
      </c>
      <c r="S284" s="1" t="s">
        <v>74</v>
      </c>
      <c r="T284" s="1" t="s">
        <v>74</v>
      </c>
      <c r="U284" s="1" t="s">
        <v>74</v>
      </c>
      <c r="V284" s="1" t="s">
        <v>2627</v>
      </c>
      <c r="W284" s="1" t="s">
        <v>74</v>
      </c>
      <c r="X284" s="1" t="s">
        <v>74</v>
      </c>
      <c r="Y284" s="1" t="s">
        <v>74</v>
      </c>
      <c r="Z284" s="1" t="s">
        <v>74</v>
      </c>
      <c r="AA284" s="1" t="s">
        <v>74</v>
      </c>
      <c r="AB284" s="1" t="s">
        <v>74</v>
      </c>
      <c r="AC284" s="1" t="s">
        <v>74</v>
      </c>
      <c r="AD284" s="1" t="s">
        <v>74</v>
      </c>
      <c r="AE284" s="1" t="s">
        <v>74</v>
      </c>
      <c r="AF284" s="1" t="s">
        <v>74</v>
      </c>
      <c r="AG284" s="1" t="s">
        <v>74</v>
      </c>
      <c r="AH284" s="1" t="s">
        <v>74</v>
      </c>
      <c r="AI284" s="1" t="s">
        <v>74</v>
      </c>
      <c r="AJ284" s="1" t="s">
        <v>74</v>
      </c>
      <c r="AK284" s="1" t="s">
        <v>74</v>
      </c>
      <c r="AL284" s="1" t="s">
        <v>74</v>
      </c>
      <c r="AM284" s="1" t="s">
        <v>74</v>
      </c>
      <c r="AN284" s="1" t="s">
        <v>74</v>
      </c>
      <c r="AO284" s="1" t="s">
        <v>2628</v>
      </c>
      <c r="AP284" s="1" t="s">
        <v>74</v>
      </c>
      <c r="AQ284" s="1" t="s">
        <v>74</v>
      </c>
      <c r="AR284" s="1" t="s">
        <v>74</v>
      </c>
      <c r="AS284" s="1" t="s">
        <v>74</v>
      </c>
      <c r="AT284" s="1" t="s">
        <v>2629</v>
      </c>
      <c r="AU284" s="1">
        <v>1999.0</v>
      </c>
      <c r="AV284" s="1">
        <v>147.0</v>
      </c>
      <c r="AW284" s="1" t="s">
        <v>140</v>
      </c>
      <c r="AX284" s="1" t="s">
        <v>74</v>
      </c>
      <c r="AY284" s="1" t="s">
        <v>74</v>
      </c>
      <c r="AZ284" s="1" t="s">
        <v>74</v>
      </c>
      <c r="BA284" s="1" t="s">
        <v>74</v>
      </c>
      <c r="BB284" s="1">
        <v>55.0</v>
      </c>
      <c r="BC284" s="1">
        <v>65.0</v>
      </c>
      <c r="BD284" s="1" t="s">
        <v>74</v>
      </c>
      <c r="BE284" s="1" t="s">
        <v>2630</v>
      </c>
      <c r="BF284" s="2" t="str">
        <f>HYPERLINK("http://dx.doi.org/10.1016/S0927-7757(98)00753-5","http://dx.doi.org/10.1016/S0927-7757(98)00753-5")</f>
        <v>http://dx.doi.org/10.1016/S0927-7757(98)00753-5</v>
      </c>
      <c r="BG284" s="1" t="s">
        <v>74</v>
      </c>
      <c r="BH284" s="1" t="s">
        <v>74</v>
      </c>
      <c r="BI284" s="1" t="s">
        <v>74</v>
      </c>
      <c r="BJ284" s="1" t="s">
        <v>74</v>
      </c>
      <c r="BK284" s="1" t="s">
        <v>74</v>
      </c>
      <c r="BL284" s="1" t="s">
        <v>74</v>
      </c>
      <c r="BM284" s="1" t="s">
        <v>74</v>
      </c>
      <c r="BN284" s="1" t="s">
        <v>74</v>
      </c>
      <c r="BO284" s="1" t="s">
        <v>74</v>
      </c>
      <c r="BP284" s="1" t="s">
        <v>74</v>
      </c>
      <c r="BQ284" s="1" t="s">
        <v>74</v>
      </c>
      <c r="BR284" s="1" t="s">
        <v>74</v>
      </c>
      <c r="BS284" s="1" t="s">
        <v>2631</v>
      </c>
      <c r="BT284" s="1" t="str">
        <f>HYPERLINK("https%3A%2F%2Fwww.webofscience.com%2Fwos%2Fwoscc%2Ffull-record%2FWOS:000078762400006","View Full Record in Web of Science")</f>
        <v>View Full Record in Web of Science</v>
      </c>
    </row>
    <row r="285" ht="12.75" customHeight="1">
      <c r="A285" s="1" t="s">
        <v>72</v>
      </c>
      <c r="B285" s="1" t="s">
        <v>2632</v>
      </c>
      <c r="C285" s="1" t="s">
        <v>74</v>
      </c>
      <c r="D285" s="1" t="s">
        <v>74</v>
      </c>
      <c r="E285" s="1" t="s">
        <v>74</v>
      </c>
      <c r="F285" s="1" t="s">
        <v>2632</v>
      </c>
      <c r="G285" s="1" t="s">
        <v>74</v>
      </c>
      <c r="H285" s="1" t="s">
        <v>74</v>
      </c>
      <c r="I285" s="1" t="s">
        <v>2633</v>
      </c>
      <c r="J285" s="1" t="s">
        <v>1888</v>
      </c>
      <c r="K285" s="1" t="s">
        <v>74</v>
      </c>
      <c r="L285" s="1" t="s">
        <v>74</v>
      </c>
      <c r="M285" s="1" t="s">
        <v>74</v>
      </c>
      <c r="N285" s="1" t="s">
        <v>74</v>
      </c>
      <c r="O285" s="1" t="s">
        <v>74</v>
      </c>
      <c r="P285" s="1" t="s">
        <v>74</v>
      </c>
      <c r="Q285" s="1" t="s">
        <v>74</v>
      </c>
      <c r="R285" s="1" t="s">
        <v>74</v>
      </c>
      <c r="S285" s="1" t="s">
        <v>74</v>
      </c>
      <c r="T285" s="1" t="s">
        <v>74</v>
      </c>
      <c r="U285" s="1" t="s">
        <v>74</v>
      </c>
      <c r="V285" s="1" t="s">
        <v>2634</v>
      </c>
      <c r="W285" s="1" t="s">
        <v>74</v>
      </c>
      <c r="X285" s="1" t="s">
        <v>74</v>
      </c>
      <c r="Y285" s="1" t="s">
        <v>74</v>
      </c>
      <c r="Z285" s="1" t="s">
        <v>74</v>
      </c>
      <c r="AA285" s="1" t="s">
        <v>2635</v>
      </c>
      <c r="AB285" s="1" t="s">
        <v>2636</v>
      </c>
      <c r="AC285" s="1" t="s">
        <v>74</v>
      </c>
      <c r="AD285" s="1" t="s">
        <v>74</v>
      </c>
      <c r="AE285" s="1" t="s">
        <v>74</v>
      </c>
      <c r="AF285" s="1" t="s">
        <v>74</v>
      </c>
      <c r="AG285" s="1" t="s">
        <v>74</v>
      </c>
      <c r="AH285" s="1" t="s">
        <v>74</v>
      </c>
      <c r="AI285" s="1" t="s">
        <v>74</v>
      </c>
      <c r="AJ285" s="1" t="s">
        <v>74</v>
      </c>
      <c r="AK285" s="1" t="s">
        <v>74</v>
      </c>
      <c r="AL285" s="1" t="s">
        <v>74</v>
      </c>
      <c r="AM285" s="1" t="s">
        <v>74</v>
      </c>
      <c r="AN285" s="1" t="s">
        <v>74</v>
      </c>
      <c r="AO285" s="1" t="s">
        <v>1889</v>
      </c>
      <c r="AP285" s="1" t="s">
        <v>74</v>
      </c>
      <c r="AQ285" s="1" t="s">
        <v>74</v>
      </c>
      <c r="AR285" s="1" t="s">
        <v>74</v>
      </c>
      <c r="AS285" s="1" t="s">
        <v>74</v>
      </c>
      <c r="AT285" s="1" t="s">
        <v>2637</v>
      </c>
      <c r="AU285" s="1">
        <v>1998.0</v>
      </c>
      <c r="AV285" s="1">
        <v>221.0</v>
      </c>
      <c r="AW285" s="1">
        <v>2.0</v>
      </c>
      <c r="AX285" s="1" t="s">
        <v>74</v>
      </c>
      <c r="AY285" s="1" t="s">
        <v>74</v>
      </c>
      <c r="AZ285" s="1" t="s">
        <v>74</v>
      </c>
      <c r="BA285" s="1" t="s">
        <v>74</v>
      </c>
      <c r="BB285" s="1">
        <v>452.0</v>
      </c>
      <c r="BC285" s="1">
        <v>475.0</v>
      </c>
      <c r="BD285" s="1" t="s">
        <v>74</v>
      </c>
      <c r="BE285" s="1" t="s">
        <v>2638</v>
      </c>
      <c r="BF285" s="2" t="str">
        <f>HYPERLINK("http://dx.doi.org/10.1006/jmaa.1997.5875","http://dx.doi.org/10.1006/jmaa.1997.5875")</f>
        <v>http://dx.doi.org/10.1006/jmaa.1997.5875</v>
      </c>
      <c r="BG285" s="1" t="s">
        <v>74</v>
      </c>
      <c r="BH285" s="1" t="s">
        <v>74</v>
      </c>
      <c r="BI285" s="1" t="s">
        <v>74</v>
      </c>
      <c r="BJ285" s="1" t="s">
        <v>74</v>
      </c>
      <c r="BK285" s="1" t="s">
        <v>74</v>
      </c>
      <c r="BL285" s="1" t="s">
        <v>74</v>
      </c>
      <c r="BM285" s="1" t="s">
        <v>74</v>
      </c>
      <c r="BN285" s="1" t="s">
        <v>74</v>
      </c>
      <c r="BO285" s="1" t="s">
        <v>74</v>
      </c>
      <c r="BP285" s="1" t="s">
        <v>74</v>
      </c>
      <c r="BQ285" s="1" t="s">
        <v>74</v>
      </c>
      <c r="BR285" s="1" t="s">
        <v>74</v>
      </c>
      <c r="BS285" s="1" t="s">
        <v>2639</v>
      </c>
      <c r="BT285" s="1" t="str">
        <f>HYPERLINK("https%3A%2F%2Fwww.webofscience.com%2Fwos%2Fwoscc%2Ffull-record%2FWOS:000073589100004","View Full Record in Web of Science")</f>
        <v>View Full Record in Web of Science</v>
      </c>
    </row>
    <row r="286" ht="12.75" customHeight="1">
      <c r="A286" s="1" t="s">
        <v>72</v>
      </c>
      <c r="B286" s="1" t="s">
        <v>2640</v>
      </c>
      <c r="C286" s="1" t="s">
        <v>74</v>
      </c>
      <c r="D286" s="1" t="s">
        <v>74</v>
      </c>
      <c r="E286" s="1" t="s">
        <v>74</v>
      </c>
      <c r="F286" s="1" t="s">
        <v>2640</v>
      </c>
      <c r="G286" s="1" t="s">
        <v>74</v>
      </c>
      <c r="H286" s="1" t="s">
        <v>74</v>
      </c>
      <c r="I286" s="1" t="s">
        <v>2641</v>
      </c>
      <c r="J286" s="1" t="s">
        <v>177</v>
      </c>
      <c r="K286" s="1" t="s">
        <v>74</v>
      </c>
      <c r="L286" s="1" t="s">
        <v>74</v>
      </c>
      <c r="M286" s="1" t="s">
        <v>74</v>
      </c>
      <c r="N286" s="1" t="s">
        <v>74</v>
      </c>
      <c r="O286" s="1" t="s">
        <v>74</v>
      </c>
      <c r="P286" s="1" t="s">
        <v>74</v>
      </c>
      <c r="Q286" s="1" t="s">
        <v>74</v>
      </c>
      <c r="R286" s="1" t="s">
        <v>74</v>
      </c>
      <c r="S286" s="1" t="s">
        <v>74</v>
      </c>
      <c r="T286" s="1" t="s">
        <v>74</v>
      </c>
      <c r="U286" s="1" t="s">
        <v>74</v>
      </c>
      <c r="V286" s="1" t="s">
        <v>2642</v>
      </c>
      <c r="W286" s="1" t="s">
        <v>74</v>
      </c>
      <c r="X286" s="1" t="s">
        <v>74</v>
      </c>
      <c r="Y286" s="1" t="s">
        <v>74</v>
      </c>
      <c r="Z286" s="1" t="s">
        <v>74</v>
      </c>
      <c r="AA286" s="1" t="s">
        <v>74</v>
      </c>
      <c r="AB286" s="1" t="s">
        <v>74</v>
      </c>
      <c r="AC286" s="1" t="s">
        <v>74</v>
      </c>
      <c r="AD286" s="1" t="s">
        <v>74</v>
      </c>
      <c r="AE286" s="1" t="s">
        <v>74</v>
      </c>
      <c r="AF286" s="1" t="s">
        <v>74</v>
      </c>
      <c r="AG286" s="1" t="s">
        <v>74</v>
      </c>
      <c r="AH286" s="1" t="s">
        <v>74</v>
      </c>
      <c r="AI286" s="1" t="s">
        <v>74</v>
      </c>
      <c r="AJ286" s="1" t="s">
        <v>74</v>
      </c>
      <c r="AK286" s="1" t="s">
        <v>74</v>
      </c>
      <c r="AL286" s="1" t="s">
        <v>74</v>
      </c>
      <c r="AM286" s="1" t="s">
        <v>74</v>
      </c>
      <c r="AN286" s="1" t="s">
        <v>74</v>
      </c>
      <c r="AO286" s="1" t="s">
        <v>179</v>
      </c>
      <c r="AP286" s="1" t="s">
        <v>74</v>
      </c>
      <c r="AQ286" s="1" t="s">
        <v>74</v>
      </c>
      <c r="AR286" s="1" t="s">
        <v>74</v>
      </c>
      <c r="AS286" s="1" t="s">
        <v>74</v>
      </c>
      <c r="AT286" s="1" t="s">
        <v>180</v>
      </c>
      <c r="AU286" s="1">
        <v>1996.0</v>
      </c>
      <c r="AV286" s="1">
        <v>41.0</v>
      </c>
      <c r="AW286" s="1">
        <v>2.0</v>
      </c>
      <c r="AX286" s="1" t="s">
        <v>74</v>
      </c>
      <c r="AY286" s="1" t="s">
        <v>74</v>
      </c>
      <c r="AZ286" s="1" t="s">
        <v>74</v>
      </c>
      <c r="BA286" s="1" t="s">
        <v>74</v>
      </c>
      <c r="BB286" s="1">
        <v>145.0</v>
      </c>
      <c r="BC286" s="1">
        <v>152.0</v>
      </c>
      <c r="BD286" s="1" t="s">
        <v>74</v>
      </c>
      <c r="BE286" s="1" t="s">
        <v>74</v>
      </c>
      <c r="BF286" s="1" t="s">
        <v>74</v>
      </c>
      <c r="BG286" s="1" t="s">
        <v>74</v>
      </c>
      <c r="BH286" s="1" t="s">
        <v>74</v>
      </c>
      <c r="BI286" s="1" t="s">
        <v>74</v>
      </c>
      <c r="BJ286" s="1" t="s">
        <v>74</v>
      </c>
      <c r="BK286" s="1" t="s">
        <v>74</v>
      </c>
      <c r="BL286" s="1" t="s">
        <v>74</v>
      </c>
      <c r="BM286" s="1" t="s">
        <v>74</v>
      </c>
      <c r="BN286" s="1" t="s">
        <v>74</v>
      </c>
      <c r="BO286" s="1" t="s">
        <v>74</v>
      </c>
      <c r="BP286" s="1" t="s">
        <v>74</v>
      </c>
      <c r="BQ286" s="1" t="s">
        <v>74</v>
      </c>
      <c r="BR286" s="1" t="s">
        <v>74</v>
      </c>
      <c r="BS286" s="1" t="s">
        <v>2643</v>
      </c>
      <c r="BT286" s="1" t="str">
        <f>HYPERLINK("https%3A%2F%2Fwww.webofscience.com%2Fwos%2Fwoscc%2Ffull-record%2FWOS:A1996UX54900006","View Full Record in Web of Science")</f>
        <v>View Full Record in Web of Science</v>
      </c>
    </row>
    <row r="287" ht="12.75" customHeight="1">
      <c r="A287" s="1" t="s">
        <v>72</v>
      </c>
      <c r="B287" s="1" t="s">
        <v>2644</v>
      </c>
      <c r="C287" s="1" t="s">
        <v>74</v>
      </c>
      <c r="D287" s="1" t="s">
        <v>74</v>
      </c>
      <c r="E287" s="1" t="s">
        <v>74</v>
      </c>
      <c r="F287" s="1" t="s">
        <v>2644</v>
      </c>
      <c r="G287" s="1" t="s">
        <v>74</v>
      </c>
      <c r="H287" s="1" t="s">
        <v>74</v>
      </c>
      <c r="I287" s="1" t="s">
        <v>2645</v>
      </c>
      <c r="J287" s="1" t="s">
        <v>1181</v>
      </c>
      <c r="K287" s="1" t="s">
        <v>74</v>
      </c>
      <c r="L287" s="1" t="s">
        <v>74</v>
      </c>
      <c r="M287" s="1" t="s">
        <v>74</v>
      </c>
      <c r="N287" s="1" t="s">
        <v>74</v>
      </c>
      <c r="O287" s="1" t="s">
        <v>74</v>
      </c>
      <c r="P287" s="1" t="s">
        <v>74</v>
      </c>
      <c r="Q287" s="1" t="s">
        <v>74</v>
      </c>
      <c r="R287" s="1" t="s">
        <v>74</v>
      </c>
      <c r="S287" s="1" t="s">
        <v>74</v>
      </c>
      <c r="T287" s="1" t="s">
        <v>74</v>
      </c>
      <c r="U287" s="1" t="s">
        <v>74</v>
      </c>
      <c r="V287" s="1" t="s">
        <v>2646</v>
      </c>
      <c r="W287" s="1" t="s">
        <v>74</v>
      </c>
      <c r="X287" s="1" t="s">
        <v>74</v>
      </c>
      <c r="Y287" s="1" t="s">
        <v>74</v>
      </c>
      <c r="Z287" s="1" t="s">
        <v>74</v>
      </c>
      <c r="AA287" s="1" t="s">
        <v>2647</v>
      </c>
      <c r="AB287" s="1" t="s">
        <v>74</v>
      </c>
      <c r="AC287" s="1" t="s">
        <v>74</v>
      </c>
      <c r="AD287" s="1" t="s">
        <v>74</v>
      </c>
      <c r="AE287" s="1" t="s">
        <v>74</v>
      </c>
      <c r="AF287" s="1" t="s">
        <v>74</v>
      </c>
      <c r="AG287" s="1" t="s">
        <v>74</v>
      </c>
      <c r="AH287" s="1" t="s">
        <v>74</v>
      </c>
      <c r="AI287" s="1" t="s">
        <v>74</v>
      </c>
      <c r="AJ287" s="1" t="s">
        <v>74</v>
      </c>
      <c r="AK287" s="1" t="s">
        <v>74</v>
      </c>
      <c r="AL287" s="1" t="s">
        <v>74</v>
      </c>
      <c r="AM287" s="1" t="s">
        <v>74</v>
      </c>
      <c r="AN287" s="1" t="s">
        <v>74</v>
      </c>
      <c r="AO287" s="1" t="s">
        <v>1182</v>
      </c>
      <c r="AP287" s="1" t="s">
        <v>74</v>
      </c>
      <c r="AQ287" s="1" t="s">
        <v>74</v>
      </c>
      <c r="AR287" s="1" t="s">
        <v>74</v>
      </c>
      <c r="AS287" s="1" t="s">
        <v>74</v>
      </c>
      <c r="AT287" s="1" t="s">
        <v>347</v>
      </c>
      <c r="AU287" s="1">
        <v>1994.0</v>
      </c>
      <c r="AV287" s="1">
        <v>10.0</v>
      </c>
      <c r="AW287" s="1">
        <v>4.0</v>
      </c>
      <c r="AX287" s="1" t="s">
        <v>74</v>
      </c>
      <c r="AY287" s="1" t="s">
        <v>74</v>
      </c>
      <c r="AZ287" s="1" t="s">
        <v>74</v>
      </c>
      <c r="BA287" s="1" t="s">
        <v>74</v>
      </c>
      <c r="BB287" s="1">
        <v>1071.0</v>
      </c>
      <c r="BC287" s="1">
        <v>1074.0</v>
      </c>
      <c r="BD287" s="1" t="s">
        <v>74</v>
      </c>
      <c r="BE287" s="1" t="s">
        <v>2648</v>
      </c>
      <c r="BF287" s="2" t="str">
        <f>HYPERLINK("http://dx.doi.org/10.1021/la00016a019","http://dx.doi.org/10.1021/la00016a019")</f>
        <v>http://dx.doi.org/10.1021/la00016a019</v>
      </c>
      <c r="BG287" s="1" t="s">
        <v>74</v>
      </c>
      <c r="BH287" s="1" t="s">
        <v>74</v>
      </c>
      <c r="BI287" s="1" t="s">
        <v>74</v>
      </c>
      <c r="BJ287" s="1" t="s">
        <v>74</v>
      </c>
      <c r="BK287" s="1" t="s">
        <v>74</v>
      </c>
      <c r="BL287" s="1" t="s">
        <v>74</v>
      </c>
      <c r="BM287" s="1" t="s">
        <v>74</v>
      </c>
      <c r="BN287" s="1" t="s">
        <v>74</v>
      </c>
      <c r="BO287" s="1" t="s">
        <v>74</v>
      </c>
      <c r="BP287" s="1" t="s">
        <v>74</v>
      </c>
      <c r="BQ287" s="1" t="s">
        <v>74</v>
      </c>
      <c r="BR287" s="1" t="s">
        <v>74</v>
      </c>
      <c r="BS287" s="1" t="s">
        <v>2649</v>
      </c>
      <c r="BT287" s="1" t="str">
        <f>HYPERLINK("https%3A%2F%2Fwww.webofscience.com%2Fwos%2Fwoscc%2Ffull-record%2FWOS:A1994NH59700020","View Full Record in Web of Science")</f>
        <v>View Full Record in Web of Science</v>
      </c>
    </row>
    <row r="288" ht="12.75" customHeight="1">
      <c r="A288" s="1" t="s">
        <v>72</v>
      </c>
      <c r="B288" s="1" t="s">
        <v>2650</v>
      </c>
      <c r="C288" s="1" t="s">
        <v>74</v>
      </c>
      <c r="D288" s="1" t="s">
        <v>74</v>
      </c>
      <c r="E288" s="1" t="s">
        <v>74</v>
      </c>
      <c r="F288" s="1" t="s">
        <v>2650</v>
      </c>
      <c r="G288" s="1" t="s">
        <v>74</v>
      </c>
      <c r="H288" s="1" t="s">
        <v>74</v>
      </c>
      <c r="I288" s="1" t="s">
        <v>2651</v>
      </c>
      <c r="J288" s="1" t="s">
        <v>2652</v>
      </c>
      <c r="K288" s="1" t="s">
        <v>74</v>
      </c>
      <c r="L288" s="1" t="s">
        <v>74</v>
      </c>
      <c r="M288" s="1" t="s">
        <v>74</v>
      </c>
      <c r="N288" s="1" t="s">
        <v>74</v>
      </c>
      <c r="O288" s="1" t="s">
        <v>74</v>
      </c>
      <c r="P288" s="1" t="s">
        <v>74</v>
      </c>
      <c r="Q288" s="1" t="s">
        <v>74</v>
      </c>
      <c r="R288" s="1" t="s">
        <v>74</v>
      </c>
      <c r="S288" s="1" t="s">
        <v>74</v>
      </c>
      <c r="T288" s="1" t="s">
        <v>74</v>
      </c>
      <c r="U288" s="1" t="s">
        <v>74</v>
      </c>
      <c r="V288" s="1" t="s">
        <v>74</v>
      </c>
      <c r="W288" s="1" t="s">
        <v>74</v>
      </c>
      <c r="X288" s="1" t="s">
        <v>74</v>
      </c>
      <c r="Y288" s="1" t="s">
        <v>74</v>
      </c>
      <c r="Z288" s="1" t="s">
        <v>74</v>
      </c>
      <c r="AA288" s="1" t="s">
        <v>74</v>
      </c>
      <c r="AB288" s="1" t="s">
        <v>74</v>
      </c>
      <c r="AC288" s="1" t="s">
        <v>74</v>
      </c>
      <c r="AD288" s="1" t="s">
        <v>74</v>
      </c>
      <c r="AE288" s="1" t="s">
        <v>74</v>
      </c>
      <c r="AF288" s="1" t="s">
        <v>74</v>
      </c>
      <c r="AG288" s="1" t="s">
        <v>74</v>
      </c>
      <c r="AH288" s="1" t="s">
        <v>74</v>
      </c>
      <c r="AI288" s="1" t="s">
        <v>74</v>
      </c>
      <c r="AJ288" s="1" t="s">
        <v>74</v>
      </c>
      <c r="AK288" s="1" t="s">
        <v>74</v>
      </c>
      <c r="AL288" s="1" t="s">
        <v>74</v>
      </c>
      <c r="AM288" s="1" t="s">
        <v>74</v>
      </c>
      <c r="AN288" s="1" t="s">
        <v>74</v>
      </c>
      <c r="AO288" s="1" t="s">
        <v>2653</v>
      </c>
      <c r="AP288" s="1" t="s">
        <v>74</v>
      </c>
      <c r="AQ288" s="1" t="s">
        <v>74</v>
      </c>
      <c r="AR288" s="1" t="s">
        <v>74</v>
      </c>
      <c r="AS288" s="1" t="s">
        <v>74</v>
      </c>
      <c r="AT288" s="1" t="s">
        <v>111</v>
      </c>
      <c r="AU288" s="1">
        <v>1991.0</v>
      </c>
      <c r="AV288" s="1">
        <v>16.0</v>
      </c>
      <c r="AW288" s="1">
        <v>4.0</v>
      </c>
      <c r="AX288" s="1" t="s">
        <v>74</v>
      </c>
      <c r="AY288" s="1" t="s">
        <v>74</v>
      </c>
      <c r="AZ288" s="1" t="s">
        <v>74</v>
      </c>
      <c r="BA288" s="1" t="s">
        <v>74</v>
      </c>
      <c r="BB288" s="1">
        <v>209.0</v>
      </c>
      <c r="BC288" s="1">
        <v>212.0</v>
      </c>
      <c r="BD288" s="1" t="s">
        <v>74</v>
      </c>
      <c r="BE288" s="1" t="s">
        <v>74</v>
      </c>
      <c r="BF288" s="1" t="s">
        <v>74</v>
      </c>
      <c r="BG288" s="1" t="s">
        <v>74</v>
      </c>
      <c r="BH288" s="1" t="s">
        <v>74</v>
      </c>
      <c r="BI288" s="1" t="s">
        <v>74</v>
      </c>
      <c r="BJ288" s="1" t="s">
        <v>74</v>
      </c>
      <c r="BK288" s="1" t="s">
        <v>74</v>
      </c>
      <c r="BL288" s="1" t="s">
        <v>74</v>
      </c>
      <c r="BM288" s="1" t="s">
        <v>74</v>
      </c>
      <c r="BN288" s="1" t="s">
        <v>74</v>
      </c>
      <c r="BO288" s="1" t="s">
        <v>74</v>
      </c>
      <c r="BP288" s="1" t="s">
        <v>74</v>
      </c>
      <c r="BQ288" s="1" t="s">
        <v>74</v>
      </c>
      <c r="BR288" s="1" t="s">
        <v>74</v>
      </c>
      <c r="BS288" s="1" t="s">
        <v>2654</v>
      </c>
      <c r="BT288" s="1" t="str">
        <f>HYPERLINK("https%3A%2F%2Fwww.webofscience.com%2Fwos%2Fwoscc%2Ffull-record%2FWOS:A1991FX13900008","View Full Record in Web of Science")</f>
        <v>View Full Record in Web of Science</v>
      </c>
    </row>
    <row r="289" ht="12.75" customHeight="1">
      <c r="A289" s="1" t="s">
        <v>72</v>
      </c>
      <c r="B289" s="1" t="s">
        <v>2655</v>
      </c>
      <c r="C289" s="1" t="s">
        <v>74</v>
      </c>
      <c r="D289" s="1" t="s">
        <v>74</v>
      </c>
      <c r="E289" s="1" t="s">
        <v>74</v>
      </c>
      <c r="F289" s="1" t="s">
        <v>2655</v>
      </c>
      <c r="G289" s="1" t="s">
        <v>74</v>
      </c>
      <c r="H289" s="1" t="s">
        <v>74</v>
      </c>
      <c r="I289" s="1" t="s">
        <v>2656</v>
      </c>
      <c r="J289" s="1" t="s">
        <v>2657</v>
      </c>
      <c r="K289" s="1" t="s">
        <v>74</v>
      </c>
      <c r="L289" s="1" t="s">
        <v>74</v>
      </c>
      <c r="M289" s="1" t="s">
        <v>74</v>
      </c>
      <c r="N289" s="1" t="s">
        <v>74</v>
      </c>
      <c r="O289" s="1" t="s">
        <v>74</v>
      </c>
      <c r="P289" s="1" t="s">
        <v>74</v>
      </c>
      <c r="Q289" s="1" t="s">
        <v>74</v>
      </c>
      <c r="R289" s="1" t="s">
        <v>74</v>
      </c>
      <c r="S289" s="1" t="s">
        <v>74</v>
      </c>
      <c r="T289" s="1" t="s">
        <v>74</v>
      </c>
      <c r="U289" s="1" t="s">
        <v>74</v>
      </c>
      <c r="V289" s="1" t="s">
        <v>2658</v>
      </c>
      <c r="W289" s="1" t="s">
        <v>74</v>
      </c>
      <c r="X289" s="1" t="s">
        <v>74</v>
      </c>
      <c r="Y289" s="1" t="s">
        <v>74</v>
      </c>
      <c r="Z289" s="1" t="s">
        <v>74</v>
      </c>
      <c r="AA289" s="1" t="s">
        <v>1174</v>
      </c>
      <c r="AB289" s="1" t="s">
        <v>74</v>
      </c>
      <c r="AC289" s="1" t="s">
        <v>74</v>
      </c>
      <c r="AD289" s="1" t="s">
        <v>74</v>
      </c>
      <c r="AE289" s="1" t="s">
        <v>74</v>
      </c>
      <c r="AF289" s="1" t="s">
        <v>74</v>
      </c>
      <c r="AG289" s="1" t="s">
        <v>74</v>
      </c>
      <c r="AH289" s="1" t="s">
        <v>74</v>
      </c>
      <c r="AI289" s="1" t="s">
        <v>74</v>
      </c>
      <c r="AJ289" s="1" t="s">
        <v>74</v>
      </c>
      <c r="AK289" s="1" t="s">
        <v>74</v>
      </c>
      <c r="AL289" s="1" t="s">
        <v>74</v>
      </c>
      <c r="AM289" s="1" t="s">
        <v>74</v>
      </c>
      <c r="AN289" s="1" t="s">
        <v>74</v>
      </c>
      <c r="AO289" s="1" t="s">
        <v>2659</v>
      </c>
      <c r="AP289" s="1" t="s">
        <v>74</v>
      </c>
      <c r="AQ289" s="1" t="s">
        <v>74</v>
      </c>
      <c r="AR289" s="1" t="s">
        <v>74</v>
      </c>
      <c r="AS289" s="1" t="s">
        <v>74</v>
      </c>
      <c r="AT289" s="1" t="s">
        <v>2660</v>
      </c>
      <c r="AU289" s="1">
        <v>1990.0</v>
      </c>
      <c r="AV289" s="1">
        <v>1040.0</v>
      </c>
      <c r="AW289" s="1">
        <v>1.0</v>
      </c>
      <c r="AX289" s="1" t="s">
        <v>74</v>
      </c>
      <c r="AY289" s="1" t="s">
        <v>74</v>
      </c>
      <c r="AZ289" s="1" t="s">
        <v>74</v>
      </c>
      <c r="BA289" s="1" t="s">
        <v>74</v>
      </c>
      <c r="BB289" s="1">
        <v>71.0</v>
      </c>
      <c r="BC289" s="1">
        <v>76.0</v>
      </c>
      <c r="BD289" s="1" t="s">
        <v>74</v>
      </c>
      <c r="BE289" s="1" t="s">
        <v>2661</v>
      </c>
      <c r="BF289" s="2" t="str">
        <f>HYPERLINK("http://dx.doi.org/10.1016/0167-4838(90)90147-8","http://dx.doi.org/10.1016/0167-4838(90)90147-8")</f>
        <v>http://dx.doi.org/10.1016/0167-4838(90)90147-8</v>
      </c>
      <c r="BG289" s="1" t="s">
        <v>74</v>
      </c>
      <c r="BH289" s="1" t="s">
        <v>74</v>
      </c>
      <c r="BI289" s="1" t="s">
        <v>74</v>
      </c>
      <c r="BJ289" s="1" t="s">
        <v>74</v>
      </c>
      <c r="BK289" s="1" t="s">
        <v>74</v>
      </c>
      <c r="BL289" s="1" t="s">
        <v>74</v>
      </c>
      <c r="BM289" s="1" t="s">
        <v>74</v>
      </c>
      <c r="BN289" s="1">
        <v>2198945.0</v>
      </c>
      <c r="BO289" s="1" t="s">
        <v>74</v>
      </c>
      <c r="BP289" s="1" t="s">
        <v>74</v>
      </c>
      <c r="BQ289" s="1" t="s">
        <v>74</v>
      </c>
      <c r="BR289" s="1" t="s">
        <v>74</v>
      </c>
      <c r="BS289" s="1" t="s">
        <v>2662</v>
      </c>
      <c r="BT289" s="1" t="str">
        <f>HYPERLINK("https%3A%2F%2Fwww.webofscience.com%2Fwos%2Fwoscc%2Ffull-record%2FWOS:A1990DU89500009","View Full Record in Web of Science")</f>
        <v>View Full Record in Web of Science</v>
      </c>
    </row>
    <row r="290" ht="12.75" customHeight="1">
      <c r="A290" s="1" t="s">
        <v>72</v>
      </c>
      <c r="B290" s="1" t="s">
        <v>2663</v>
      </c>
      <c r="C290" s="1" t="s">
        <v>74</v>
      </c>
      <c r="D290" s="1" t="s">
        <v>74</v>
      </c>
      <c r="E290" s="1" t="s">
        <v>74</v>
      </c>
      <c r="F290" s="1" t="s">
        <v>2663</v>
      </c>
      <c r="G290" s="1" t="s">
        <v>74</v>
      </c>
      <c r="H290" s="1" t="s">
        <v>74</v>
      </c>
      <c r="I290" s="1" t="s">
        <v>2664</v>
      </c>
      <c r="J290" s="1" t="s">
        <v>2665</v>
      </c>
      <c r="K290" s="1" t="s">
        <v>74</v>
      </c>
      <c r="L290" s="1" t="s">
        <v>74</v>
      </c>
      <c r="M290" s="1" t="s">
        <v>74</v>
      </c>
      <c r="N290" s="1" t="s">
        <v>74</v>
      </c>
      <c r="O290" s="1" t="s">
        <v>74</v>
      </c>
      <c r="P290" s="1" t="s">
        <v>74</v>
      </c>
      <c r="Q290" s="1" t="s">
        <v>74</v>
      </c>
      <c r="R290" s="1" t="s">
        <v>74</v>
      </c>
      <c r="S290" s="1" t="s">
        <v>74</v>
      </c>
      <c r="T290" s="1" t="s">
        <v>74</v>
      </c>
      <c r="U290" s="1" t="s">
        <v>74</v>
      </c>
      <c r="V290" s="1" t="s">
        <v>74</v>
      </c>
      <c r="W290" s="1" t="s">
        <v>74</v>
      </c>
      <c r="X290" s="1" t="s">
        <v>74</v>
      </c>
      <c r="Y290" s="1" t="s">
        <v>74</v>
      </c>
      <c r="Z290" s="1" t="s">
        <v>74</v>
      </c>
      <c r="AA290" s="1" t="s">
        <v>2666</v>
      </c>
      <c r="AB290" s="1" t="s">
        <v>1931</v>
      </c>
      <c r="AC290" s="1" t="s">
        <v>74</v>
      </c>
      <c r="AD290" s="1" t="s">
        <v>74</v>
      </c>
      <c r="AE290" s="1" t="s">
        <v>74</v>
      </c>
      <c r="AF290" s="1" t="s">
        <v>74</v>
      </c>
      <c r="AG290" s="1" t="s">
        <v>74</v>
      </c>
      <c r="AH290" s="1" t="s">
        <v>74</v>
      </c>
      <c r="AI290" s="1" t="s">
        <v>74</v>
      </c>
      <c r="AJ290" s="1" t="s">
        <v>74</v>
      </c>
      <c r="AK290" s="1" t="s">
        <v>74</v>
      </c>
      <c r="AL290" s="1" t="s">
        <v>74</v>
      </c>
      <c r="AM290" s="1" t="s">
        <v>74</v>
      </c>
      <c r="AN290" s="1" t="s">
        <v>74</v>
      </c>
      <c r="AO290" s="1" t="s">
        <v>2667</v>
      </c>
      <c r="AP290" s="1" t="s">
        <v>74</v>
      </c>
      <c r="AQ290" s="1" t="s">
        <v>74</v>
      </c>
      <c r="AR290" s="1" t="s">
        <v>74</v>
      </c>
      <c r="AS290" s="1" t="s">
        <v>74</v>
      </c>
      <c r="AT290" s="1" t="s">
        <v>2668</v>
      </c>
      <c r="AU290" s="1">
        <v>1989.0</v>
      </c>
      <c r="AV290" s="1">
        <v>173.0</v>
      </c>
      <c r="AW290" s="1">
        <v>2.0</v>
      </c>
      <c r="AX290" s="1" t="s">
        <v>74</v>
      </c>
      <c r="AY290" s="1" t="s">
        <v>74</v>
      </c>
      <c r="AZ290" s="1" t="s">
        <v>74</v>
      </c>
      <c r="BA290" s="1" t="s">
        <v>74</v>
      </c>
      <c r="BB290" s="1">
        <v>299.0</v>
      </c>
      <c r="BC290" s="1">
        <v>308.0</v>
      </c>
      <c r="BD290" s="1" t="s">
        <v>74</v>
      </c>
      <c r="BE290" s="1" t="s">
        <v>2669</v>
      </c>
      <c r="BF290" s="2" t="str">
        <f>HYPERLINK("http://dx.doi.org/10.1016/0040-6090(89)90146-6","http://dx.doi.org/10.1016/0040-6090(89)90146-6")</f>
        <v>http://dx.doi.org/10.1016/0040-6090(89)90146-6</v>
      </c>
      <c r="BG290" s="1" t="s">
        <v>74</v>
      </c>
      <c r="BH290" s="1" t="s">
        <v>74</v>
      </c>
      <c r="BI290" s="1" t="s">
        <v>74</v>
      </c>
      <c r="BJ290" s="1" t="s">
        <v>74</v>
      </c>
      <c r="BK290" s="1" t="s">
        <v>74</v>
      </c>
      <c r="BL290" s="1" t="s">
        <v>74</v>
      </c>
      <c r="BM290" s="1" t="s">
        <v>74</v>
      </c>
      <c r="BN290" s="1" t="s">
        <v>74</v>
      </c>
      <c r="BO290" s="1" t="s">
        <v>74</v>
      </c>
      <c r="BP290" s="1" t="s">
        <v>74</v>
      </c>
      <c r="BQ290" s="1" t="s">
        <v>74</v>
      </c>
      <c r="BR290" s="1" t="s">
        <v>74</v>
      </c>
      <c r="BS290" s="1" t="s">
        <v>2670</v>
      </c>
      <c r="BT290" s="1" t="str">
        <f>HYPERLINK("https%3A%2F%2Fwww.webofscience.com%2Fwos%2Fwoscc%2Ffull-record%2FWOS:A1989AK67200017","View Full Record in Web of Science")</f>
        <v>View Full Record in Web of Science</v>
      </c>
    </row>
    <row r="291" ht="12.75" customHeight="1">
      <c r="A291" s="1" t="s">
        <v>72</v>
      </c>
      <c r="B291" s="1" t="s">
        <v>1213</v>
      </c>
      <c r="C291" s="1" t="s">
        <v>74</v>
      </c>
      <c r="D291" s="1" t="s">
        <v>74</v>
      </c>
      <c r="E291" s="1" t="s">
        <v>74</v>
      </c>
      <c r="F291" s="1" t="s">
        <v>1213</v>
      </c>
      <c r="G291" s="1" t="s">
        <v>74</v>
      </c>
      <c r="H291" s="1" t="s">
        <v>74</v>
      </c>
      <c r="I291" s="1" t="s">
        <v>2671</v>
      </c>
      <c r="J291" s="1" t="s">
        <v>2672</v>
      </c>
      <c r="K291" s="1" t="s">
        <v>74</v>
      </c>
      <c r="L291" s="1" t="s">
        <v>74</v>
      </c>
      <c r="M291" s="1" t="s">
        <v>74</v>
      </c>
      <c r="N291" s="1" t="s">
        <v>74</v>
      </c>
      <c r="O291" s="1" t="s">
        <v>74</v>
      </c>
      <c r="P291" s="1" t="s">
        <v>74</v>
      </c>
      <c r="Q291" s="1" t="s">
        <v>74</v>
      </c>
      <c r="R291" s="1" t="s">
        <v>74</v>
      </c>
      <c r="S291" s="1" t="s">
        <v>74</v>
      </c>
      <c r="T291" s="1" t="s">
        <v>74</v>
      </c>
      <c r="U291" s="1" t="s">
        <v>74</v>
      </c>
      <c r="V291" s="1" t="s">
        <v>74</v>
      </c>
      <c r="W291" s="1" t="s">
        <v>74</v>
      </c>
      <c r="X291" s="1" t="s">
        <v>74</v>
      </c>
      <c r="Y291" s="1" t="s">
        <v>74</v>
      </c>
      <c r="Z291" s="1" t="s">
        <v>74</v>
      </c>
      <c r="AA291" s="1" t="s">
        <v>74</v>
      </c>
      <c r="AB291" s="1" t="s">
        <v>74</v>
      </c>
      <c r="AC291" s="1" t="s">
        <v>74</v>
      </c>
      <c r="AD291" s="1" t="s">
        <v>74</v>
      </c>
      <c r="AE291" s="1" t="s">
        <v>74</v>
      </c>
      <c r="AF291" s="1" t="s">
        <v>74</v>
      </c>
      <c r="AG291" s="1" t="s">
        <v>74</v>
      </c>
      <c r="AH291" s="1" t="s">
        <v>74</v>
      </c>
      <c r="AI291" s="1" t="s">
        <v>74</v>
      </c>
      <c r="AJ291" s="1" t="s">
        <v>74</v>
      </c>
      <c r="AK291" s="1" t="s">
        <v>74</v>
      </c>
      <c r="AL291" s="1" t="s">
        <v>74</v>
      </c>
      <c r="AM291" s="1" t="s">
        <v>74</v>
      </c>
      <c r="AN291" s="1" t="s">
        <v>74</v>
      </c>
      <c r="AO291" s="1" t="s">
        <v>2673</v>
      </c>
      <c r="AP291" s="1" t="s">
        <v>74</v>
      </c>
      <c r="AQ291" s="1" t="s">
        <v>74</v>
      </c>
      <c r="AR291" s="1" t="s">
        <v>74</v>
      </c>
      <c r="AS291" s="1" t="s">
        <v>74</v>
      </c>
      <c r="AT291" s="1" t="s">
        <v>74</v>
      </c>
      <c r="AU291" s="1">
        <v>1986.0</v>
      </c>
      <c r="AV291" s="1">
        <v>87.0</v>
      </c>
      <c r="AW291" s="1" t="s">
        <v>74</v>
      </c>
      <c r="AX291" s="1" t="s">
        <v>74</v>
      </c>
      <c r="AY291" s="1" t="s">
        <v>74</v>
      </c>
      <c r="AZ291" s="1" t="s">
        <v>74</v>
      </c>
      <c r="BA291" s="1" t="s">
        <v>74</v>
      </c>
      <c r="BB291" s="1">
        <v>142.0</v>
      </c>
      <c r="BC291" s="1">
        <v>147.0</v>
      </c>
      <c r="BD291" s="1" t="s">
        <v>74</v>
      </c>
      <c r="BE291" s="1" t="s">
        <v>74</v>
      </c>
      <c r="BF291" s="1" t="s">
        <v>74</v>
      </c>
      <c r="BG291" s="1" t="s">
        <v>74</v>
      </c>
      <c r="BH291" s="1" t="s">
        <v>74</v>
      </c>
      <c r="BI291" s="1" t="s">
        <v>74</v>
      </c>
      <c r="BJ291" s="1" t="s">
        <v>74</v>
      </c>
      <c r="BK291" s="1" t="s">
        <v>74</v>
      </c>
      <c r="BL291" s="1" t="s">
        <v>74</v>
      </c>
      <c r="BM291" s="1" t="s">
        <v>74</v>
      </c>
      <c r="BN291" s="1" t="s">
        <v>74</v>
      </c>
      <c r="BO291" s="1" t="s">
        <v>74</v>
      </c>
      <c r="BP291" s="1" t="s">
        <v>74</v>
      </c>
      <c r="BQ291" s="1" t="s">
        <v>74</v>
      </c>
      <c r="BR291" s="1" t="s">
        <v>74</v>
      </c>
      <c r="BS291" s="1" t="s">
        <v>2674</v>
      </c>
      <c r="BT291" s="1" t="str">
        <f>HYPERLINK("https%3A%2F%2Fwww.webofscience.com%2Fwos%2Fwoscc%2Ffull-record%2FWOS:A1986F701000012","View Full Record in Web of Science")</f>
        <v>View Full Record in Web of Science</v>
      </c>
    </row>
    <row r="292" ht="12.75" customHeight="1">
      <c r="A292" s="1" t="s">
        <v>72</v>
      </c>
      <c r="B292" s="1" t="s">
        <v>2675</v>
      </c>
      <c r="C292" s="1" t="s">
        <v>74</v>
      </c>
      <c r="D292" s="1" t="s">
        <v>74</v>
      </c>
      <c r="E292" s="1" t="s">
        <v>74</v>
      </c>
      <c r="F292" s="1" t="s">
        <v>2675</v>
      </c>
      <c r="G292" s="1" t="s">
        <v>74</v>
      </c>
      <c r="H292" s="1" t="s">
        <v>74</v>
      </c>
      <c r="I292" s="1" t="s">
        <v>2676</v>
      </c>
      <c r="J292" s="1" t="s">
        <v>1872</v>
      </c>
      <c r="K292" s="1" t="s">
        <v>74</v>
      </c>
      <c r="L292" s="1" t="s">
        <v>74</v>
      </c>
      <c r="M292" s="1" t="s">
        <v>74</v>
      </c>
      <c r="N292" s="1" t="s">
        <v>74</v>
      </c>
      <c r="O292" s="1" t="s">
        <v>74</v>
      </c>
      <c r="P292" s="1" t="s">
        <v>74</v>
      </c>
      <c r="Q292" s="1" t="s">
        <v>74</v>
      </c>
      <c r="R292" s="1" t="s">
        <v>74</v>
      </c>
      <c r="S292" s="1" t="s">
        <v>74</v>
      </c>
      <c r="T292" s="1" t="s">
        <v>74</v>
      </c>
      <c r="U292" s="1" t="s">
        <v>74</v>
      </c>
      <c r="V292" s="1" t="s">
        <v>74</v>
      </c>
      <c r="W292" s="1" t="s">
        <v>74</v>
      </c>
      <c r="X292" s="1" t="s">
        <v>74</v>
      </c>
      <c r="Y292" s="1" t="s">
        <v>74</v>
      </c>
      <c r="Z292" s="1" t="s">
        <v>74</v>
      </c>
      <c r="AA292" s="1" t="s">
        <v>74</v>
      </c>
      <c r="AB292" s="1" t="s">
        <v>74</v>
      </c>
      <c r="AC292" s="1" t="s">
        <v>74</v>
      </c>
      <c r="AD292" s="1" t="s">
        <v>74</v>
      </c>
      <c r="AE292" s="1" t="s">
        <v>74</v>
      </c>
      <c r="AF292" s="1" t="s">
        <v>74</v>
      </c>
      <c r="AG292" s="1" t="s">
        <v>74</v>
      </c>
      <c r="AH292" s="1" t="s">
        <v>74</v>
      </c>
      <c r="AI292" s="1" t="s">
        <v>74</v>
      </c>
      <c r="AJ292" s="1" t="s">
        <v>74</v>
      </c>
      <c r="AK292" s="1" t="s">
        <v>74</v>
      </c>
      <c r="AL292" s="1" t="s">
        <v>74</v>
      </c>
      <c r="AM292" s="1" t="s">
        <v>74</v>
      </c>
      <c r="AN292" s="1" t="s">
        <v>74</v>
      </c>
      <c r="AO292" s="1" t="s">
        <v>1874</v>
      </c>
      <c r="AP292" s="1" t="s">
        <v>74</v>
      </c>
      <c r="AQ292" s="1" t="s">
        <v>74</v>
      </c>
      <c r="AR292" s="1" t="s">
        <v>74</v>
      </c>
      <c r="AS292" s="1" t="s">
        <v>74</v>
      </c>
      <c r="AT292" s="1" t="s">
        <v>74</v>
      </c>
      <c r="AU292" s="1">
        <v>1984.0</v>
      </c>
      <c r="AV292" s="1">
        <v>102.0</v>
      </c>
      <c r="AW292" s="1">
        <v>1.0</v>
      </c>
      <c r="AX292" s="1" t="s">
        <v>74</v>
      </c>
      <c r="AY292" s="1" t="s">
        <v>74</v>
      </c>
      <c r="AZ292" s="1" t="s">
        <v>74</v>
      </c>
      <c r="BA292" s="1" t="s">
        <v>74</v>
      </c>
      <c r="BB292" s="1">
        <v>46.0</v>
      </c>
      <c r="BC292" s="1">
        <v>50.0</v>
      </c>
      <c r="BD292" s="1" t="s">
        <v>74</v>
      </c>
      <c r="BE292" s="1" t="s">
        <v>2677</v>
      </c>
      <c r="BF292" s="2" t="str">
        <f>HYPERLINK("http://dx.doi.org/10.1016/0021-9797(84)90199-1","http://dx.doi.org/10.1016/0021-9797(84)90199-1")</f>
        <v>http://dx.doi.org/10.1016/0021-9797(84)90199-1</v>
      </c>
      <c r="BG292" s="1" t="s">
        <v>74</v>
      </c>
      <c r="BH292" s="1" t="s">
        <v>74</v>
      </c>
      <c r="BI292" s="1" t="s">
        <v>74</v>
      </c>
      <c r="BJ292" s="1" t="s">
        <v>74</v>
      </c>
      <c r="BK292" s="1" t="s">
        <v>74</v>
      </c>
      <c r="BL292" s="1" t="s">
        <v>74</v>
      </c>
      <c r="BM292" s="1" t="s">
        <v>74</v>
      </c>
      <c r="BN292" s="1" t="s">
        <v>74</v>
      </c>
      <c r="BO292" s="1" t="s">
        <v>74</v>
      </c>
      <c r="BP292" s="1" t="s">
        <v>74</v>
      </c>
      <c r="BQ292" s="1" t="s">
        <v>74</v>
      </c>
      <c r="BR292" s="1" t="s">
        <v>74</v>
      </c>
      <c r="BS292" s="1" t="s">
        <v>2678</v>
      </c>
      <c r="BT292" s="1" t="str">
        <f>HYPERLINK("https%3A%2F%2Fwww.webofscience.com%2Fwos%2Fwoscc%2Ffull-record%2FWOS:A1984TR36100005","View Full Record in Web of Science")</f>
        <v>View Full Record in Web of Science</v>
      </c>
    </row>
    <row r="293" ht="12.75" customHeight="1">
      <c r="A293" s="1" t="s">
        <v>72</v>
      </c>
      <c r="B293" s="1" t="s">
        <v>2679</v>
      </c>
      <c r="C293" s="1" t="s">
        <v>74</v>
      </c>
      <c r="D293" s="1" t="s">
        <v>74</v>
      </c>
      <c r="E293" s="1" t="s">
        <v>74</v>
      </c>
      <c r="F293" s="1" t="s">
        <v>2679</v>
      </c>
      <c r="G293" s="1" t="s">
        <v>74</v>
      </c>
      <c r="H293" s="1" t="s">
        <v>74</v>
      </c>
      <c r="I293" s="1" t="s">
        <v>2680</v>
      </c>
      <c r="J293" s="1" t="s">
        <v>2422</v>
      </c>
      <c r="K293" s="1" t="s">
        <v>74</v>
      </c>
      <c r="L293" s="1" t="s">
        <v>74</v>
      </c>
      <c r="M293" s="1" t="s">
        <v>74</v>
      </c>
      <c r="N293" s="1" t="s">
        <v>74</v>
      </c>
      <c r="O293" s="1" t="s">
        <v>74</v>
      </c>
      <c r="P293" s="1" t="s">
        <v>74</v>
      </c>
      <c r="Q293" s="1" t="s">
        <v>74</v>
      </c>
      <c r="R293" s="1" t="s">
        <v>74</v>
      </c>
      <c r="S293" s="1" t="s">
        <v>74</v>
      </c>
      <c r="T293" s="1" t="s">
        <v>74</v>
      </c>
      <c r="U293" s="1" t="s">
        <v>74</v>
      </c>
      <c r="V293" s="1" t="s">
        <v>74</v>
      </c>
      <c r="W293" s="1" t="s">
        <v>74</v>
      </c>
      <c r="X293" s="1" t="s">
        <v>74</v>
      </c>
      <c r="Y293" s="1" t="s">
        <v>74</v>
      </c>
      <c r="Z293" s="1" t="s">
        <v>74</v>
      </c>
      <c r="AA293" s="1" t="s">
        <v>1174</v>
      </c>
      <c r="AB293" s="1" t="s">
        <v>74</v>
      </c>
      <c r="AC293" s="1" t="s">
        <v>74</v>
      </c>
      <c r="AD293" s="1" t="s">
        <v>74</v>
      </c>
      <c r="AE293" s="1" t="s">
        <v>74</v>
      </c>
      <c r="AF293" s="1" t="s">
        <v>74</v>
      </c>
      <c r="AG293" s="1" t="s">
        <v>74</v>
      </c>
      <c r="AH293" s="1" t="s">
        <v>74</v>
      </c>
      <c r="AI293" s="1" t="s">
        <v>74</v>
      </c>
      <c r="AJ293" s="1" t="s">
        <v>74</v>
      </c>
      <c r="AK293" s="1" t="s">
        <v>74</v>
      </c>
      <c r="AL293" s="1" t="s">
        <v>74</v>
      </c>
      <c r="AM293" s="1" t="s">
        <v>74</v>
      </c>
      <c r="AN293" s="1" t="s">
        <v>74</v>
      </c>
      <c r="AO293" s="1" t="s">
        <v>2425</v>
      </c>
      <c r="AP293" s="1" t="s">
        <v>74</v>
      </c>
      <c r="AQ293" s="1" t="s">
        <v>74</v>
      </c>
      <c r="AR293" s="1" t="s">
        <v>74</v>
      </c>
      <c r="AS293" s="1" t="s">
        <v>74</v>
      </c>
      <c r="AT293" s="1" t="s">
        <v>74</v>
      </c>
      <c r="AU293" s="1">
        <v>1983.0</v>
      </c>
      <c r="AV293" s="1">
        <v>37.0</v>
      </c>
      <c r="AW293" s="1">
        <v>2.0</v>
      </c>
      <c r="AX293" s="1" t="s">
        <v>74</v>
      </c>
      <c r="AY293" s="1" t="s">
        <v>74</v>
      </c>
      <c r="AZ293" s="1" t="s">
        <v>74</v>
      </c>
      <c r="BA293" s="1" t="s">
        <v>74</v>
      </c>
      <c r="BB293" s="1">
        <v>125.0</v>
      </c>
      <c r="BC293" s="1">
        <v>130.0</v>
      </c>
      <c r="BD293" s="1" t="s">
        <v>74</v>
      </c>
      <c r="BE293" s="1" t="s">
        <v>2681</v>
      </c>
      <c r="BF293" s="2" t="str">
        <f>HYPERLINK("http://dx.doi.org/10.1111/j.1751-1097.1983.tb04447.x","http://dx.doi.org/10.1111/j.1751-1097.1983.tb04447.x")</f>
        <v>http://dx.doi.org/10.1111/j.1751-1097.1983.tb04447.x</v>
      </c>
      <c r="BG293" s="1" t="s">
        <v>74</v>
      </c>
      <c r="BH293" s="1" t="s">
        <v>74</v>
      </c>
      <c r="BI293" s="1" t="s">
        <v>74</v>
      </c>
      <c r="BJ293" s="1" t="s">
        <v>74</v>
      </c>
      <c r="BK293" s="1" t="s">
        <v>74</v>
      </c>
      <c r="BL293" s="1" t="s">
        <v>74</v>
      </c>
      <c r="BM293" s="1" t="s">
        <v>74</v>
      </c>
      <c r="BN293" s="1" t="s">
        <v>74</v>
      </c>
      <c r="BO293" s="1" t="s">
        <v>74</v>
      </c>
      <c r="BP293" s="1" t="s">
        <v>74</v>
      </c>
      <c r="BQ293" s="1" t="s">
        <v>74</v>
      </c>
      <c r="BR293" s="1" t="s">
        <v>74</v>
      </c>
      <c r="BS293" s="1" t="s">
        <v>2682</v>
      </c>
      <c r="BT293" s="1" t="str">
        <f>HYPERLINK("https%3A%2F%2Fwww.webofscience.com%2Fwos%2Fwoscc%2Ffull-record%2FWOS:A1983QE17000001","View Full Record in Web of Science")</f>
        <v>View Full Record in Web of Science</v>
      </c>
    </row>
    <row r="294" ht="12.75" customHeight="1">
      <c r="A294" s="1" t="s">
        <v>72</v>
      </c>
      <c r="B294" s="1" t="s">
        <v>2683</v>
      </c>
      <c r="C294" s="1" t="s">
        <v>74</v>
      </c>
      <c r="D294" s="1" t="s">
        <v>74</v>
      </c>
      <c r="E294" s="1" t="s">
        <v>74</v>
      </c>
      <c r="F294" s="1" t="s">
        <v>2683</v>
      </c>
      <c r="G294" s="1" t="s">
        <v>74</v>
      </c>
      <c r="H294" s="1" t="s">
        <v>74</v>
      </c>
      <c r="I294" s="1" t="s">
        <v>2684</v>
      </c>
      <c r="J294" s="1" t="s">
        <v>2685</v>
      </c>
      <c r="K294" s="1" t="s">
        <v>74</v>
      </c>
      <c r="L294" s="1" t="s">
        <v>74</v>
      </c>
      <c r="M294" s="1" t="s">
        <v>74</v>
      </c>
      <c r="N294" s="1" t="s">
        <v>74</v>
      </c>
      <c r="O294" s="1" t="s">
        <v>74</v>
      </c>
      <c r="P294" s="1" t="s">
        <v>74</v>
      </c>
      <c r="Q294" s="1" t="s">
        <v>74</v>
      </c>
      <c r="R294" s="1" t="s">
        <v>74</v>
      </c>
      <c r="S294" s="1" t="s">
        <v>74</v>
      </c>
      <c r="T294" s="1" t="s">
        <v>74</v>
      </c>
      <c r="U294" s="1" t="s">
        <v>74</v>
      </c>
      <c r="V294" s="1" t="s">
        <v>74</v>
      </c>
      <c r="W294" s="1" t="s">
        <v>74</v>
      </c>
      <c r="X294" s="1" t="s">
        <v>74</v>
      </c>
      <c r="Y294" s="1" t="s">
        <v>74</v>
      </c>
      <c r="Z294" s="1" t="s">
        <v>74</v>
      </c>
      <c r="AA294" s="1" t="s">
        <v>74</v>
      </c>
      <c r="AB294" s="1" t="s">
        <v>74</v>
      </c>
      <c r="AC294" s="1" t="s">
        <v>74</v>
      </c>
      <c r="AD294" s="1" t="s">
        <v>74</v>
      </c>
      <c r="AE294" s="1" t="s">
        <v>74</v>
      </c>
      <c r="AF294" s="1" t="s">
        <v>74</v>
      </c>
      <c r="AG294" s="1" t="s">
        <v>74</v>
      </c>
      <c r="AH294" s="1" t="s">
        <v>74</v>
      </c>
      <c r="AI294" s="1" t="s">
        <v>74</v>
      </c>
      <c r="AJ294" s="1" t="s">
        <v>74</v>
      </c>
      <c r="AK294" s="1" t="s">
        <v>74</v>
      </c>
      <c r="AL294" s="1" t="s">
        <v>74</v>
      </c>
      <c r="AM294" s="1" t="s">
        <v>74</v>
      </c>
      <c r="AN294" s="1" t="s">
        <v>74</v>
      </c>
      <c r="AO294" s="1" t="s">
        <v>2686</v>
      </c>
      <c r="AP294" s="1" t="s">
        <v>74</v>
      </c>
      <c r="AQ294" s="1" t="s">
        <v>74</v>
      </c>
      <c r="AR294" s="1" t="s">
        <v>74</v>
      </c>
      <c r="AS294" s="1" t="s">
        <v>74</v>
      </c>
      <c r="AT294" s="1" t="s">
        <v>74</v>
      </c>
      <c r="AU294" s="1">
        <v>1983.0</v>
      </c>
      <c r="AV294" s="1">
        <v>118.0</v>
      </c>
      <c r="AW294" s="1" t="s">
        <v>370</v>
      </c>
      <c r="AX294" s="1" t="s">
        <v>74</v>
      </c>
      <c r="AY294" s="1" t="s">
        <v>74</v>
      </c>
      <c r="AZ294" s="1" t="s">
        <v>74</v>
      </c>
      <c r="BA294" s="1" t="s">
        <v>74</v>
      </c>
      <c r="BB294" s="1">
        <v>276.0</v>
      </c>
      <c r="BC294" s="1">
        <v>279.0</v>
      </c>
      <c r="BD294" s="1" t="s">
        <v>74</v>
      </c>
      <c r="BE294" s="1" t="s">
        <v>2687</v>
      </c>
      <c r="BF294" s="2" t="str">
        <f>HYPERLINK("http://dx.doi.org/10.1016/0008-6215(83)88056-2","http://dx.doi.org/10.1016/0008-6215(83)88056-2")</f>
        <v>http://dx.doi.org/10.1016/0008-6215(83)88056-2</v>
      </c>
      <c r="BG294" s="1" t="s">
        <v>74</v>
      </c>
      <c r="BH294" s="1" t="s">
        <v>74</v>
      </c>
      <c r="BI294" s="1" t="s">
        <v>74</v>
      </c>
      <c r="BJ294" s="1" t="s">
        <v>74</v>
      </c>
      <c r="BK294" s="1" t="s">
        <v>74</v>
      </c>
      <c r="BL294" s="1" t="s">
        <v>74</v>
      </c>
      <c r="BM294" s="1" t="s">
        <v>74</v>
      </c>
      <c r="BN294" s="1" t="s">
        <v>74</v>
      </c>
      <c r="BO294" s="1" t="s">
        <v>74</v>
      </c>
      <c r="BP294" s="1" t="s">
        <v>74</v>
      </c>
      <c r="BQ294" s="1" t="s">
        <v>74</v>
      </c>
      <c r="BR294" s="1" t="s">
        <v>74</v>
      </c>
      <c r="BS294" s="1" t="s">
        <v>2688</v>
      </c>
      <c r="BT294" s="1" t="str">
        <f>HYPERLINK("https%3A%2F%2Fwww.webofscience.com%2Fwos%2Fwoscc%2Ffull-record%2FWOS:A1983RD25600028","View Full Record in Web of Science")</f>
        <v>View Full Record in Web of Science</v>
      </c>
    </row>
    <row r="295" ht="12.75" customHeight="1">
      <c r="A295" s="1" t="s">
        <v>72</v>
      </c>
      <c r="B295" s="1" t="s">
        <v>2689</v>
      </c>
      <c r="C295" s="1" t="s">
        <v>74</v>
      </c>
      <c r="D295" s="1" t="s">
        <v>74</v>
      </c>
      <c r="E295" s="1" t="s">
        <v>74</v>
      </c>
      <c r="F295" s="1" t="s">
        <v>2690</v>
      </c>
      <c r="G295" s="1" t="s">
        <v>74</v>
      </c>
      <c r="H295" s="1" t="s">
        <v>74</v>
      </c>
      <c r="I295" s="1" t="s">
        <v>2691</v>
      </c>
      <c r="J295" s="1" t="s">
        <v>2692</v>
      </c>
      <c r="K295" s="1" t="s">
        <v>74</v>
      </c>
      <c r="L295" s="1" t="s">
        <v>74</v>
      </c>
      <c r="M295" s="1" t="s">
        <v>74</v>
      </c>
      <c r="N295" s="1" t="s">
        <v>74</v>
      </c>
      <c r="O295" s="1" t="s">
        <v>74</v>
      </c>
      <c r="P295" s="1" t="s">
        <v>74</v>
      </c>
      <c r="Q295" s="1" t="s">
        <v>74</v>
      </c>
      <c r="R295" s="1" t="s">
        <v>74</v>
      </c>
      <c r="S295" s="1" t="s">
        <v>74</v>
      </c>
      <c r="T295" s="1" t="s">
        <v>74</v>
      </c>
      <c r="U295" s="1" t="s">
        <v>74</v>
      </c>
      <c r="V295" s="1" t="s">
        <v>2693</v>
      </c>
      <c r="W295" s="1" t="s">
        <v>74</v>
      </c>
      <c r="X295" s="1" t="s">
        <v>74</v>
      </c>
      <c r="Y295" s="1" t="s">
        <v>74</v>
      </c>
      <c r="Z295" s="1" t="s">
        <v>74</v>
      </c>
      <c r="AA295" s="1" t="s">
        <v>74</v>
      </c>
      <c r="AB295" s="1" t="s">
        <v>74</v>
      </c>
      <c r="AC295" s="1" t="s">
        <v>74</v>
      </c>
      <c r="AD295" s="1" t="s">
        <v>74</v>
      </c>
      <c r="AE295" s="1" t="s">
        <v>74</v>
      </c>
      <c r="AF295" s="1" t="s">
        <v>74</v>
      </c>
      <c r="AG295" s="1" t="s">
        <v>74</v>
      </c>
      <c r="AH295" s="1" t="s">
        <v>74</v>
      </c>
      <c r="AI295" s="1" t="s">
        <v>74</v>
      </c>
      <c r="AJ295" s="1" t="s">
        <v>74</v>
      </c>
      <c r="AK295" s="1" t="s">
        <v>74</v>
      </c>
      <c r="AL295" s="1" t="s">
        <v>74</v>
      </c>
      <c r="AM295" s="1" t="s">
        <v>74</v>
      </c>
      <c r="AN295" s="1" t="s">
        <v>74</v>
      </c>
      <c r="AO295" s="1" t="s">
        <v>2694</v>
      </c>
      <c r="AP295" s="1" t="s">
        <v>2695</v>
      </c>
      <c r="AQ295" s="1" t="s">
        <v>74</v>
      </c>
      <c r="AR295" s="1" t="s">
        <v>74</v>
      </c>
      <c r="AS295" s="1" t="s">
        <v>74</v>
      </c>
      <c r="AT295" s="1" t="s">
        <v>88</v>
      </c>
      <c r="AU295" s="1">
        <v>2024.0</v>
      </c>
      <c r="AV295" s="1" t="s">
        <v>74</v>
      </c>
      <c r="AW295" s="1">
        <v>144.0</v>
      </c>
      <c r="AX295" s="1" t="s">
        <v>74</v>
      </c>
      <c r="AY295" s="1" t="s">
        <v>74</v>
      </c>
      <c r="AZ295" s="1" t="s">
        <v>74</v>
      </c>
      <c r="BA295" s="1" t="s">
        <v>74</v>
      </c>
      <c r="BB295" s="1">
        <v>39.0</v>
      </c>
      <c r="BC295" s="1">
        <v>56.0</v>
      </c>
      <c r="BD295" s="1" t="s">
        <v>74</v>
      </c>
      <c r="BE295" s="1" t="s">
        <v>74</v>
      </c>
      <c r="BF295" s="1" t="s">
        <v>74</v>
      </c>
      <c r="BG295" s="1" t="s">
        <v>74</v>
      </c>
      <c r="BH295" s="1" t="s">
        <v>74</v>
      </c>
      <c r="BI295" s="1" t="s">
        <v>74</v>
      </c>
      <c r="BJ295" s="1" t="s">
        <v>74</v>
      </c>
      <c r="BK295" s="1" t="s">
        <v>74</v>
      </c>
      <c r="BL295" s="1" t="s">
        <v>74</v>
      </c>
      <c r="BM295" s="1" t="s">
        <v>74</v>
      </c>
      <c r="BN295" s="1" t="s">
        <v>74</v>
      </c>
      <c r="BO295" s="1" t="s">
        <v>74</v>
      </c>
      <c r="BP295" s="1" t="s">
        <v>74</v>
      </c>
      <c r="BQ295" s="1" t="s">
        <v>74</v>
      </c>
      <c r="BR295" s="1" t="s">
        <v>74</v>
      </c>
      <c r="BS295" s="1" t="s">
        <v>2696</v>
      </c>
      <c r="BT295" s="1" t="str">
        <f>HYPERLINK("https%3A%2F%2Fwww.webofscience.com%2Fwos%2Fwoscc%2Ffull-record%2FWOS:001417169600004","View Full Record in Web of Science")</f>
        <v>View Full Record in Web of Science</v>
      </c>
    </row>
    <row r="296" ht="12.75" customHeight="1">
      <c r="A296" s="1" t="s">
        <v>72</v>
      </c>
      <c r="B296" s="1" t="s">
        <v>2697</v>
      </c>
      <c r="C296" s="1" t="s">
        <v>74</v>
      </c>
      <c r="D296" s="1" t="s">
        <v>74</v>
      </c>
      <c r="E296" s="1" t="s">
        <v>74</v>
      </c>
      <c r="F296" s="1" t="s">
        <v>2698</v>
      </c>
      <c r="G296" s="1" t="s">
        <v>74</v>
      </c>
      <c r="H296" s="1" t="s">
        <v>74</v>
      </c>
      <c r="I296" s="1" t="s">
        <v>2699</v>
      </c>
      <c r="J296" s="1" t="s">
        <v>1249</v>
      </c>
      <c r="K296" s="1" t="s">
        <v>74</v>
      </c>
      <c r="L296" s="1" t="s">
        <v>74</v>
      </c>
      <c r="M296" s="1" t="s">
        <v>74</v>
      </c>
      <c r="N296" s="1" t="s">
        <v>74</v>
      </c>
      <c r="O296" s="1" t="s">
        <v>74</v>
      </c>
      <c r="P296" s="1" t="s">
        <v>74</v>
      </c>
      <c r="Q296" s="1" t="s">
        <v>74</v>
      </c>
      <c r="R296" s="1" t="s">
        <v>74</v>
      </c>
      <c r="S296" s="1" t="s">
        <v>74</v>
      </c>
      <c r="T296" s="1" t="s">
        <v>74</v>
      </c>
      <c r="U296" s="1" t="s">
        <v>74</v>
      </c>
      <c r="V296" s="1" t="s">
        <v>2700</v>
      </c>
      <c r="W296" s="1" t="s">
        <v>74</v>
      </c>
      <c r="X296" s="1" t="s">
        <v>74</v>
      </c>
      <c r="Y296" s="1" t="s">
        <v>74</v>
      </c>
      <c r="Z296" s="1" t="s">
        <v>74</v>
      </c>
      <c r="AA296" s="1" t="s">
        <v>2701</v>
      </c>
      <c r="AB296" s="1" t="s">
        <v>2702</v>
      </c>
      <c r="AC296" s="1" t="s">
        <v>74</v>
      </c>
      <c r="AD296" s="1" t="s">
        <v>74</v>
      </c>
      <c r="AE296" s="1" t="s">
        <v>74</v>
      </c>
      <c r="AF296" s="1" t="s">
        <v>74</v>
      </c>
      <c r="AG296" s="1" t="s">
        <v>74</v>
      </c>
      <c r="AH296" s="1" t="s">
        <v>74</v>
      </c>
      <c r="AI296" s="1" t="s">
        <v>74</v>
      </c>
      <c r="AJ296" s="1" t="s">
        <v>74</v>
      </c>
      <c r="AK296" s="1" t="s">
        <v>74</v>
      </c>
      <c r="AL296" s="1" t="s">
        <v>74</v>
      </c>
      <c r="AM296" s="1" t="s">
        <v>74</v>
      </c>
      <c r="AN296" s="1" t="s">
        <v>74</v>
      </c>
      <c r="AO296" s="1" t="s">
        <v>74</v>
      </c>
      <c r="AP296" s="1" t="s">
        <v>1251</v>
      </c>
      <c r="AQ296" s="1" t="s">
        <v>74</v>
      </c>
      <c r="AR296" s="1" t="s">
        <v>74</v>
      </c>
      <c r="AS296" s="1" t="s">
        <v>74</v>
      </c>
      <c r="AT296" s="1" t="s">
        <v>205</v>
      </c>
      <c r="AU296" s="1">
        <v>2024.0</v>
      </c>
      <c r="AV296" s="1">
        <v>12.0</v>
      </c>
      <c r="AW296" s="1">
        <v>11.0</v>
      </c>
      <c r="AX296" s="1" t="s">
        <v>74</v>
      </c>
      <c r="AY296" s="1" t="s">
        <v>74</v>
      </c>
      <c r="AZ296" s="1" t="s">
        <v>74</v>
      </c>
      <c r="BA296" s="1" t="s">
        <v>74</v>
      </c>
      <c r="BB296" s="1" t="s">
        <v>74</v>
      </c>
      <c r="BC296" s="1" t="s">
        <v>74</v>
      </c>
      <c r="BD296" s="1">
        <v>225.0</v>
      </c>
      <c r="BE296" s="1" t="s">
        <v>2703</v>
      </c>
      <c r="BF296" s="2" t="str">
        <f>HYPERLINK("http://dx.doi.org/10.3390/technologies12110225","http://dx.doi.org/10.3390/technologies12110225")</f>
        <v>http://dx.doi.org/10.3390/technologies12110225</v>
      </c>
      <c r="BG296" s="1" t="s">
        <v>74</v>
      </c>
      <c r="BH296" s="1" t="s">
        <v>74</v>
      </c>
      <c r="BI296" s="1" t="s">
        <v>74</v>
      </c>
      <c r="BJ296" s="1" t="s">
        <v>74</v>
      </c>
      <c r="BK296" s="1" t="s">
        <v>74</v>
      </c>
      <c r="BL296" s="1" t="s">
        <v>74</v>
      </c>
      <c r="BM296" s="1" t="s">
        <v>74</v>
      </c>
      <c r="BN296" s="1" t="s">
        <v>74</v>
      </c>
      <c r="BO296" s="1" t="s">
        <v>74</v>
      </c>
      <c r="BP296" s="1" t="s">
        <v>74</v>
      </c>
      <c r="BQ296" s="1" t="s">
        <v>74</v>
      </c>
      <c r="BR296" s="1" t="s">
        <v>74</v>
      </c>
      <c r="BS296" s="1" t="s">
        <v>2704</v>
      </c>
      <c r="BT296" s="1" t="str">
        <f>HYPERLINK("https%3A%2F%2Fwww.webofscience.com%2Fwos%2Fwoscc%2Ffull-record%2FWOS:001366415900001","View Full Record in Web of Science")</f>
        <v>View Full Record in Web of Science</v>
      </c>
    </row>
    <row r="297" ht="12.75" customHeight="1">
      <c r="A297" s="1" t="s">
        <v>72</v>
      </c>
      <c r="B297" s="1" t="s">
        <v>2705</v>
      </c>
      <c r="C297" s="1" t="s">
        <v>74</v>
      </c>
      <c r="D297" s="1" t="s">
        <v>74</v>
      </c>
      <c r="E297" s="1" t="s">
        <v>74</v>
      </c>
      <c r="F297" s="1" t="s">
        <v>2706</v>
      </c>
      <c r="G297" s="1" t="s">
        <v>74</v>
      </c>
      <c r="H297" s="1" t="s">
        <v>74</v>
      </c>
      <c r="I297" s="1" t="s">
        <v>2707</v>
      </c>
      <c r="J297" s="1" t="s">
        <v>2708</v>
      </c>
      <c r="K297" s="1" t="s">
        <v>74</v>
      </c>
      <c r="L297" s="1" t="s">
        <v>74</v>
      </c>
      <c r="M297" s="1" t="s">
        <v>74</v>
      </c>
      <c r="N297" s="1" t="s">
        <v>74</v>
      </c>
      <c r="O297" s="1" t="s">
        <v>74</v>
      </c>
      <c r="P297" s="1" t="s">
        <v>74</v>
      </c>
      <c r="Q297" s="1" t="s">
        <v>74</v>
      </c>
      <c r="R297" s="1" t="s">
        <v>74</v>
      </c>
      <c r="S297" s="1" t="s">
        <v>74</v>
      </c>
      <c r="T297" s="1" t="s">
        <v>74</v>
      </c>
      <c r="U297" s="1" t="s">
        <v>74</v>
      </c>
      <c r="V297" s="1" t="s">
        <v>74</v>
      </c>
      <c r="W297" s="1" t="s">
        <v>74</v>
      </c>
      <c r="X297" s="1" t="s">
        <v>74</v>
      </c>
      <c r="Y297" s="1" t="s">
        <v>74</v>
      </c>
      <c r="Z297" s="1" t="s">
        <v>74</v>
      </c>
      <c r="AA297" s="1" t="s">
        <v>2709</v>
      </c>
      <c r="AB297" s="1" t="s">
        <v>74</v>
      </c>
      <c r="AC297" s="1" t="s">
        <v>74</v>
      </c>
      <c r="AD297" s="1" t="s">
        <v>74</v>
      </c>
      <c r="AE297" s="1" t="s">
        <v>74</v>
      </c>
      <c r="AF297" s="1" t="s">
        <v>74</v>
      </c>
      <c r="AG297" s="1" t="s">
        <v>74</v>
      </c>
      <c r="AH297" s="1" t="s">
        <v>74</v>
      </c>
      <c r="AI297" s="1" t="s">
        <v>74</v>
      </c>
      <c r="AJ297" s="1" t="s">
        <v>74</v>
      </c>
      <c r="AK297" s="1" t="s">
        <v>74</v>
      </c>
      <c r="AL297" s="1" t="s">
        <v>74</v>
      </c>
      <c r="AM297" s="1" t="s">
        <v>74</v>
      </c>
      <c r="AN297" s="1" t="s">
        <v>74</v>
      </c>
      <c r="AO297" s="1" t="s">
        <v>74</v>
      </c>
      <c r="AP297" s="1" t="s">
        <v>2710</v>
      </c>
      <c r="AQ297" s="1" t="s">
        <v>74</v>
      </c>
      <c r="AR297" s="1" t="s">
        <v>74</v>
      </c>
      <c r="AS297" s="1" t="s">
        <v>74</v>
      </c>
      <c r="AT297" s="1" t="s">
        <v>180</v>
      </c>
      <c r="AU297" s="1">
        <v>2024.0</v>
      </c>
      <c r="AV297" s="1">
        <v>39.0</v>
      </c>
      <c r="AW297" s="1" t="s">
        <v>74</v>
      </c>
      <c r="AX297" s="1" t="s">
        <v>74</v>
      </c>
      <c r="AY297" s="1" t="s">
        <v>74</v>
      </c>
      <c r="AZ297" s="1" t="s">
        <v>74</v>
      </c>
      <c r="BA297" s="1" t="s">
        <v>74</v>
      </c>
      <c r="BB297" s="1" t="s">
        <v>74</v>
      </c>
      <c r="BC297" s="1" t="s">
        <v>74</v>
      </c>
      <c r="BD297" s="1">
        <v>109425.0</v>
      </c>
      <c r="BE297" s="1" t="s">
        <v>2711</v>
      </c>
      <c r="BF297" s="2" t="str">
        <f>HYPERLINK("http://dx.doi.org/10.1016/j.mtcomm.2024.109425","http://dx.doi.org/10.1016/j.mtcomm.2024.109425")</f>
        <v>http://dx.doi.org/10.1016/j.mtcomm.2024.109425</v>
      </c>
      <c r="BG297" s="1" t="s">
        <v>74</v>
      </c>
      <c r="BH297" s="1" t="s">
        <v>74</v>
      </c>
      <c r="BI297" s="1" t="s">
        <v>74</v>
      </c>
      <c r="BJ297" s="1" t="s">
        <v>74</v>
      </c>
      <c r="BK297" s="1" t="s">
        <v>74</v>
      </c>
      <c r="BL297" s="1" t="s">
        <v>74</v>
      </c>
      <c r="BM297" s="1" t="s">
        <v>74</v>
      </c>
      <c r="BN297" s="1" t="s">
        <v>74</v>
      </c>
      <c r="BO297" s="1" t="s">
        <v>74</v>
      </c>
      <c r="BP297" s="1" t="s">
        <v>74</v>
      </c>
      <c r="BQ297" s="1" t="s">
        <v>74</v>
      </c>
      <c r="BR297" s="1" t="s">
        <v>74</v>
      </c>
      <c r="BS297" s="1" t="s">
        <v>2712</v>
      </c>
      <c r="BT297" s="1" t="str">
        <f>HYPERLINK("https%3A%2F%2Fwww.webofscience.com%2Fwos%2Fwoscc%2Ffull-record%2FWOS:001260462900001","View Full Record in Web of Science")</f>
        <v>View Full Record in Web of Science</v>
      </c>
    </row>
    <row r="298" ht="12.75" customHeight="1">
      <c r="A298" s="1" t="s">
        <v>72</v>
      </c>
      <c r="B298" s="1" t="s">
        <v>2713</v>
      </c>
      <c r="C298" s="1" t="s">
        <v>74</v>
      </c>
      <c r="D298" s="1" t="s">
        <v>74</v>
      </c>
      <c r="E298" s="1" t="s">
        <v>74</v>
      </c>
      <c r="F298" s="1" t="s">
        <v>2714</v>
      </c>
      <c r="G298" s="1" t="s">
        <v>74</v>
      </c>
      <c r="H298" s="1" t="s">
        <v>74</v>
      </c>
      <c r="I298" s="1" t="s">
        <v>2715</v>
      </c>
      <c r="J298" s="1" t="s">
        <v>2716</v>
      </c>
      <c r="K298" s="1" t="s">
        <v>74</v>
      </c>
      <c r="L298" s="1" t="s">
        <v>74</v>
      </c>
      <c r="M298" s="1" t="s">
        <v>74</v>
      </c>
      <c r="N298" s="1" t="s">
        <v>74</v>
      </c>
      <c r="O298" s="1" t="s">
        <v>74</v>
      </c>
      <c r="P298" s="1" t="s">
        <v>74</v>
      </c>
      <c r="Q298" s="1" t="s">
        <v>74</v>
      </c>
      <c r="R298" s="1" t="s">
        <v>74</v>
      </c>
      <c r="S298" s="1" t="s">
        <v>74</v>
      </c>
      <c r="T298" s="1" t="s">
        <v>74</v>
      </c>
      <c r="U298" s="1" t="s">
        <v>74</v>
      </c>
      <c r="V298" s="1" t="s">
        <v>2717</v>
      </c>
      <c r="W298" s="1" t="s">
        <v>74</v>
      </c>
      <c r="X298" s="1" t="s">
        <v>74</v>
      </c>
      <c r="Y298" s="1" t="s">
        <v>74</v>
      </c>
      <c r="Z298" s="1" t="s">
        <v>74</v>
      </c>
      <c r="AA298" s="1" t="s">
        <v>74</v>
      </c>
      <c r="AB298" s="1" t="s">
        <v>2718</v>
      </c>
      <c r="AC298" s="1" t="s">
        <v>74</v>
      </c>
      <c r="AD298" s="1" t="s">
        <v>74</v>
      </c>
      <c r="AE298" s="1" t="s">
        <v>74</v>
      </c>
      <c r="AF298" s="1" t="s">
        <v>74</v>
      </c>
      <c r="AG298" s="1" t="s">
        <v>74</v>
      </c>
      <c r="AH298" s="1" t="s">
        <v>74</v>
      </c>
      <c r="AI298" s="1" t="s">
        <v>74</v>
      </c>
      <c r="AJ298" s="1" t="s">
        <v>74</v>
      </c>
      <c r="AK298" s="1" t="s">
        <v>74</v>
      </c>
      <c r="AL298" s="1" t="s">
        <v>74</v>
      </c>
      <c r="AM298" s="1" t="s">
        <v>74</v>
      </c>
      <c r="AN298" s="1" t="s">
        <v>74</v>
      </c>
      <c r="AO298" s="1" t="s">
        <v>2719</v>
      </c>
      <c r="AP298" s="1" t="s">
        <v>2720</v>
      </c>
      <c r="AQ298" s="1" t="s">
        <v>74</v>
      </c>
      <c r="AR298" s="1" t="s">
        <v>74</v>
      </c>
      <c r="AS298" s="1" t="s">
        <v>74</v>
      </c>
      <c r="AT298" s="1" t="s">
        <v>347</v>
      </c>
      <c r="AU298" s="1">
        <v>2024.0</v>
      </c>
      <c r="AV298" s="1">
        <v>61.0</v>
      </c>
      <c r="AW298" s="1">
        <v>4.0</v>
      </c>
      <c r="AX298" s="1" t="s">
        <v>74</v>
      </c>
      <c r="AY298" s="1" t="s">
        <v>74</v>
      </c>
      <c r="AZ298" s="1" t="s">
        <v>74</v>
      </c>
      <c r="BA298" s="1" t="s">
        <v>74</v>
      </c>
      <c r="BB298" s="1">
        <v>1710.0</v>
      </c>
      <c r="BC298" s="1">
        <v>1723.0</v>
      </c>
      <c r="BD298" s="1" t="s">
        <v>74</v>
      </c>
      <c r="BE298" s="1" t="s">
        <v>2721</v>
      </c>
      <c r="BF298" s="2" t="str">
        <f>HYPERLINK("http://dx.doi.org/10.1002/pits.23136","http://dx.doi.org/10.1002/pits.23136")</f>
        <v>http://dx.doi.org/10.1002/pits.23136</v>
      </c>
      <c r="BG298" s="1" t="s">
        <v>74</v>
      </c>
      <c r="BH298" s="1" t="s">
        <v>2722</v>
      </c>
      <c r="BI298" s="1" t="s">
        <v>74</v>
      </c>
      <c r="BJ298" s="1" t="s">
        <v>74</v>
      </c>
      <c r="BK298" s="1" t="s">
        <v>74</v>
      </c>
      <c r="BL298" s="1" t="s">
        <v>74</v>
      </c>
      <c r="BM298" s="1" t="s">
        <v>74</v>
      </c>
      <c r="BN298" s="1" t="s">
        <v>74</v>
      </c>
      <c r="BO298" s="1" t="s">
        <v>74</v>
      </c>
      <c r="BP298" s="1" t="s">
        <v>74</v>
      </c>
      <c r="BQ298" s="1" t="s">
        <v>74</v>
      </c>
      <c r="BR298" s="1" t="s">
        <v>74</v>
      </c>
      <c r="BS298" s="1" t="s">
        <v>2723</v>
      </c>
      <c r="BT298" s="1" t="str">
        <f>HYPERLINK("https%3A%2F%2Fwww.webofscience.com%2Fwos%2Fwoscc%2Ffull-record%2FWOS:001140121800001","View Full Record in Web of Science")</f>
        <v>View Full Record in Web of Science</v>
      </c>
    </row>
    <row r="299" ht="12.75" customHeight="1">
      <c r="A299" s="1" t="s">
        <v>72</v>
      </c>
      <c r="B299" s="1" t="s">
        <v>2724</v>
      </c>
      <c r="C299" s="1" t="s">
        <v>74</v>
      </c>
      <c r="D299" s="1" t="s">
        <v>74</v>
      </c>
      <c r="E299" s="1" t="s">
        <v>74</v>
      </c>
      <c r="F299" s="1" t="s">
        <v>2725</v>
      </c>
      <c r="G299" s="1" t="s">
        <v>74</v>
      </c>
      <c r="H299" s="1" t="s">
        <v>74</v>
      </c>
      <c r="I299" s="1" t="s">
        <v>2726</v>
      </c>
      <c r="J299" s="1" t="s">
        <v>2727</v>
      </c>
      <c r="K299" s="1" t="s">
        <v>74</v>
      </c>
      <c r="L299" s="1" t="s">
        <v>74</v>
      </c>
      <c r="M299" s="1" t="s">
        <v>74</v>
      </c>
      <c r="N299" s="1" t="s">
        <v>74</v>
      </c>
      <c r="O299" s="1" t="s">
        <v>74</v>
      </c>
      <c r="P299" s="1" t="s">
        <v>74</v>
      </c>
      <c r="Q299" s="1" t="s">
        <v>74</v>
      </c>
      <c r="R299" s="1" t="s">
        <v>74</v>
      </c>
      <c r="S299" s="1" t="s">
        <v>74</v>
      </c>
      <c r="T299" s="1" t="s">
        <v>74</v>
      </c>
      <c r="U299" s="1" t="s">
        <v>74</v>
      </c>
      <c r="V299" s="1" t="s">
        <v>2728</v>
      </c>
      <c r="W299" s="1" t="s">
        <v>74</v>
      </c>
      <c r="X299" s="1" t="s">
        <v>74</v>
      </c>
      <c r="Y299" s="1" t="s">
        <v>74</v>
      </c>
      <c r="Z299" s="1" t="s">
        <v>74</v>
      </c>
      <c r="AA299" s="1" t="s">
        <v>1314</v>
      </c>
      <c r="AB299" s="1" t="s">
        <v>1315</v>
      </c>
      <c r="AC299" s="1" t="s">
        <v>74</v>
      </c>
      <c r="AD299" s="1" t="s">
        <v>74</v>
      </c>
      <c r="AE299" s="1" t="s">
        <v>74</v>
      </c>
      <c r="AF299" s="1" t="s">
        <v>74</v>
      </c>
      <c r="AG299" s="1" t="s">
        <v>74</v>
      </c>
      <c r="AH299" s="1" t="s">
        <v>74</v>
      </c>
      <c r="AI299" s="1" t="s">
        <v>74</v>
      </c>
      <c r="AJ299" s="1" t="s">
        <v>74</v>
      </c>
      <c r="AK299" s="1" t="s">
        <v>74</v>
      </c>
      <c r="AL299" s="1" t="s">
        <v>74</v>
      </c>
      <c r="AM299" s="1" t="s">
        <v>74</v>
      </c>
      <c r="AN299" s="1" t="s">
        <v>74</v>
      </c>
      <c r="AO299" s="1" t="s">
        <v>2729</v>
      </c>
      <c r="AP299" s="1" t="s">
        <v>2730</v>
      </c>
      <c r="AQ299" s="1" t="s">
        <v>74</v>
      </c>
      <c r="AR299" s="1" t="s">
        <v>74</v>
      </c>
      <c r="AS299" s="1" t="s">
        <v>74</v>
      </c>
      <c r="AT299" s="1" t="s">
        <v>1082</v>
      </c>
      <c r="AU299" s="1">
        <v>2023.0</v>
      </c>
      <c r="AV299" s="1">
        <v>83.0</v>
      </c>
      <c r="AW299" s="1">
        <v>12.0</v>
      </c>
      <c r="AX299" s="1" t="s">
        <v>74</v>
      </c>
      <c r="AY299" s="1" t="s">
        <v>74</v>
      </c>
      <c r="AZ299" s="1" t="s">
        <v>74</v>
      </c>
      <c r="BA299" s="1" t="s">
        <v>74</v>
      </c>
      <c r="BB299" s="1" t="s">
        <v>74</v>
      </c>
      <c r="BC299" s="1" t="s">
        <v>74</v>
      </c>
      <c r="BD299" s="1">
        <v>1160.0</v>
      </c>
      <c r="BE299" s="1" t="s">
        <v>2731</v>
      </c>
      <c r="BF299" s="2" t="str">
        <f>HYPERLINK("http://dx.doi.org/10.1140/epjc/s10052-023-12341-w","http://dx.doi.org/10.1140/epjc/s10052-023-12341-w")</f>
        <v>http://dx.doi.org/10.1140/epjc/s10052-023-12341-w</v>
      </c>
      <c r="BG299" s="1" t="s">
        <v>74</v>
      </c>
      <c r="BH299" s="1" t="s">
        <v>74</v>
      </c>
      <c r="BI299" s="1" t="s">
        <v>74</v>
      </c>
      <c r="BJ299" s="1" t="s">
        <v>74</v>
      </c>
      <c r="BK299" s="1" t="s">
        <v>74</v>
      </c>
      <c r="BL299" s="1" t="s">
        <v>74</v>
      </c>
      <c r="BM299" s="1" t="s">
        <v>74</v>
      </c>
      <c r="BN299" s="1" t="s">
        <v>74</v>
      </c>
      <c r="BO299" s="1" t="s">
        <v>74</v>
      </c>
      <c r="BP299" s="1" t="s">
        <v>74</v>
      </c>
      <c r="BQ299" s="1" t="s">
        <v>74</v>
      </c>
      <c r="BR299" s="1" t="s">
        <v>74</v>
      </c>
      <c r="BS299" s="1" t="s">
        <v>2732</v>
      </c>
      <c r="BT299" s="1" t="str">
        <f>HYPERLINK("https%3A%2F%2Fwww.webofscience.com%2Fwos%2Fwoscc%2Ffull-record%2FWOS:001144251900001","View Full Record in Web of Science")</f>
        <v>View Full Record in Web of Science</v>
      </c>
    </row>
    <row r="300" ht="12.75" customHeight="1">
      <c r="A300" s="1" t="s">
        <v>72</v>
      </c>
      <c r="B300" s="1" t="s">
        <v>2733</v>
      </c>
      <c r="C300" s="1" t="s">
        <v>74</v>
      </c>
      <c r="D300" s="1" t="s">
        <v>74</v>
      </c>
      <c r="E300" s="1" t="s">
        <v>74</v>
      </c>
      <c r="F300" s="1" t="s">
        <v>2734</v>
      </c>
      <c r="G300" s="1" t="s">
        <v>74</v>
      </c>
      <c r="H300" s="1" t="s">
        <v>74</v>
      </c>
      <c r="I300" s="1" t="s">
        <v>2735</v>
      </c>
      <c r="J300" s="1" t="s">
        <v>2736</v>
      </c>
      <c r="K300" s="1" t="s">
        <v>74</v>
      </c>
      <c r="L300" s="1" t="s">
        <v>74</v>
      </c>
      <c r="M300" s="1" t="s">
        <v>74</v>
      </c>
      <c r="N300" s="1" t="s">
        <v>74</v>
      </c>
      <c r="O300" s="1" t="s">
        <v>74</v>
      </c>
      <c r="P300" s="1" t="s">
        <v>74</v>
      </c>
      <c r="Q300" s="1" t="s">
        <v>74</v>
      </c>
      <c r="R300" s="1" t="s">
        <v>74</v>
      </c>
      <c r="S300" s="1" t="s">
        <v>74</v>
      </c>
      <c r="T300" s="1" t="s">
        <v>74</v>
      </c>
      <c r="U300" s="1" t="s">
        <v>74</v>
      </c>
      <c r="V300" s="1" t="s">
        <v>2737</v>
      </c>
      <c r="W300" s="1" t="s">
        <v>74</v>
      </c>
      <c r="X300" s="1" t="s">
        <v>74</v>
      </c>
      <c r="Y300" s="1" t="s">
        <v>74</v>
      </c>
      <c r="Z300" s="1" t="s">
        <v>74</v>
      </c>
      <c r="AA300" s="1" t="s">
        <v>74</v>
      </c>
      <c r="AB300" s="1" t="s">
        <v>74</v>
      </c>
      <c r="AC300" s="1" t="s">
        <v>74</v>
      </c>
      <c r="AD300" s="1" t="s">
        <v>74</v>
      </c>
      <c r="AE300" s="1" t="s">
        <v>74</v>
      </c>
      <c r="AF300" s="1" t="s">
        <v>74</v>
      </c>
      <c r="AG300" s="1" t="s">
        <v>74</v>
      </c>
      <c r="AH300" s="1" t="s">
        <v>74</v>
      </c>
      <c r="AI300" s="1" t="s">
        <v>74</v>
      </c>
      <c r="AJ300" s="1" t="s">
        <v>74</v>
      </c>
      <c r="AK300" s="1" t="s">
        <v>74</v>
      </c>
      <c r="AL300" s="1" t="s">
        <v>74</v>
      </c>
      <c r="AM300" s="1" t="s">
        <v>74</v>
      </c>
      <c r="AN300" s="1" t="s">
        <v>74</v>
      </c>
      <c r="AO300" s="1" t="s">
        <v>2738</v>
      </c>
      <c r="AP300" s="1" t="s">
        <v>2739</v>
      </c>
      <c r="AQ300" s="1" t="s">
        <v>74</v>
      </c>
      <c r="AR300" s="1" t="s">
        <v>74</v>
      </c>
      <c r="AS300" s="1" t="s">
        <v>74</v>
      </c>
      <c r="AT300" s="1" t="s">
        <v>88</v>
      </c>
      <c r="AU300" s="1">
        <v>2023.0</v>
      </c>
      <c r="AV300" s="1">
        <v>33.0</v>
      </c>
      <c r="AW300" s="1">
        <v>2.0</v>
      </c>
      <c r="AX300" s="1" t="s">
        <v>74</v>
      </c>
      <c r="AY300" s="1" t="s">
        <v>74</v>
      </c>
      <c r="AZ300" s="1" t="s">
        <v>74</v>
      </c>
      <c r="BA300" s="1" t="s">
        <v>74</v>
      </c>
      <c r="BB300" s="1" t="s">
        <v>74</v>
      </c>
      <c r="BC300" s="1" t="s">
        <v>74</v>
      </c>
      <c r="BD300" s="1" t="s">
        <v>74</v>
      </c>
      <c r="BE300" s="1" t="s">
        <v>2740</v>
      </c>
      <c r="BF300" s="2" t="str">
        <f>HYPERLINK("http://dx.doi.org/10.7770/CUHSD-V33N2-ARTB18","http://dx.doi.org/10.7770/CUHSD-V33N2-ARTB18")</f>
        <v>http://dx.doi.org/10.7770/CUHSD-V33N2-ARTB18</v>
      </c>
      <c r="BG300" s="1" t="s">
        <v>74</v>
      </c>
      <c r="BH300" s="1" t="s">
        <v>74</v>
      </c>
      <c r="BI300" s="1" t="s">
        <v>74</v>
      </c>
      <c r="BJ300" s="1" t="s">
        <v>74</v>
      </c>
      <c r="BK300" s="1" t="s">
        <v>74</v>
      </c>
      <c r="BL300" s="1" t="s">
        <v>74</v>
      </c>
      <c r="BM300" s="1" t="s">
        <v>74</v>
      </c>
      <c r="BN300" s="1" t="s">
        <v>74</v>
      </c>
      <c r="BO300" s="1" t="s">
        <v>74</v>
      </c>
      <c r="BP300" s="1" t="s">
        <v>74</v>
      </c>
      <c r="BQ300" s="1" t="s">
        <v>74</v>
      </c>
      <c r="BR300" s="1" t="s">
        <v>74</v>
      </c>
      <c r="BS300" s="1" t="s">
        <v>2741</v>
      </c>
      <c r="BT300" s="1" t="str">
        <f>HYPERLINK("https%3A%2F%2Fwww.webofscience.com%2Fwos%2Fwoscc%2Ffull-record%2FWOS:001199083200008","View Full Record in Web of Science")</f>
        <v>View Full Record in Web of Science</v>
      </c>
    </row>
    <row r="301" ht="12.75" customHeight="1">
      <c r="A301" s="1" t="s">
        <v>72</v>
      </c>
      <c r="B301" s="1" t="s">
        <v>2742</v>
      </c>
      <c r="C301" s="1" t="s">
        <v>74</v>
      </c>
      <c r="D301" s="1" t="s">
        <v>74</v>
      </c>
      <c r="E301" s="1" t="s">
        <v>74</v>
      </c>
      <c r="F301" s="1" t="s">
        <v>2743</v>
      </c>
      <c r="G301" s="1" t="s">
        <v>74</v>
      </c>
      <c r="H301" s="1" t="s">
        <v>74</v>
      </c>
      <c r="I301" s="1" t="s">
        <v>2744</v>
      </c>
      <c r="J301" s="1" t="s">
        <v>2745</v>
      </c>
      <c r="K301" s="1" t="s">
        <v>74</v>
      </c>
      <c r="L301" s="1" t="s">
        <v>74</v>
      </c>
      <c r="M301" s="1" t="s">
        <v>74</v>
      </c>
      <c r="N301" s="1" t="s">
        <v>74</v>
      </c>
      <c r="O301" s="1" t="s">
        <v>74</v>
      </c>
      <c r="P301" s="1" t="s">
        <v>74</v>
      </c>
      <c r="Q301" s="1" t="s">
        <v>74</v>
      </c>
      <c r="R301" s="1" t="s">
        <v>74</v>
      </c>
      <c r="S301" s="1" t="s">
        <v>74</v>
      </c>
      <c r="T301" s="1" t="s">
        <v>74</v>
      </c>
      <c r="U301" s="1" t="s">
        <v>74</v>
      </c>
      <c r="V301" s="1" t="s">
        <v>2746</v>
      </c>
      <c r="W301" s="1" t="s">
        <v>74</v>
      </c>
      <c r="X301" s="1" t="s">
        <v>74</v>
      </c>
      <c r="Y301" s="1" t="s">
        <v>74</v>
      </c>
      <c r="Z301" s="1" t="s">
        <v>74</v>
      </c>
      <c r="AA301" s="1" t="s">
        <v>2747</v>
      </c>
      <c r="AB301" s="1" t="s">
        <v>380</v>
      </c>
      <c r="AC301" s="1" t="s">
        <v>74</v>
      </c>
      <c r="AD301" s="1" t="s">
        <v>74</v>
      </c>
      <c r="AE301" s="1" t="s">
        <v>74</v>
      </c>
      <c r="AF301" s="1" t="s">
        <v>74</v>
      </c>
      <c r="AG301" s="1" t="s">
        <v>74</v>
      </c>
      <c r="AH301" s="1" t="s">
        <v>74</v>
      </c>
      <c r="AI301" s="1" t="s">
        <v>74</v>
      </c>
      <c r="AJ301" s="1" t="s">
        <v>74</v>
      </c>
      <c r="AK301" s="1" t="s">
        <v>74</v>
      </c>
      <c r="AL301" s="1" t="s">
        <v>74</v>
      </c>
      <c r="AM301" s="1" t="s">
        <v>74</v>
      </c>
      <c r="AN301" s="1" t="s">
        <v>74</v>
      </c>
      <c r="AO301" s="1" t="s">
        <v>2748</v>
      </c>
      <c r="AP301" s="1" t="s">
        <v>2749</v>
      </c>
      <c r="AQ301" s="1" t="s">
        <v>74</v>
      </c>
      <c r="AR301" s="1" t="s">
        <v>74</v>
      </c>
      <c r="AS301" s="1" t="s">
        <v>74</v>
      </c>
      <c r="AT301" s="1" t="s">
        <v>1082</v>
      </c>
      <c r="AU301" s="1">
        <v>2024.0</v>
      </c>
      <c r="AV301" s="1">
        <v>42.0</v>
      </c>
      <c r="AW301" s="1">
        <v>24.0</v>
      </c>
      <c r="AX301" s="1" t="s">
        <v>74</v>
      </c>
      <c r="AY301" s="1" t="s">
        <v>74</v>
      </c>
      <c r="AZ301" s="1" t="s">
        <v>74</v>
      </c>
      <c r="BA301" s="1" t="s">
        <v>74</v>
      </c>
      <c r="BB301" s="1">
        <v>13529.0</v>
      </c>
      <c r="BC301" s="1">
        <v>13537.0</v>
      </c>
      <c r="BD301" s="1" t="s">
        <v>74</v>
      </c>
      <c r="BE301" s="1" t="s">
        <v>2750</v>
      </c>
      <c r="BF301" s="2" t="str">
        <f>HYPERLINK("http://dx.doi.org/10.1080/07391102.2023.2276875","http://dx.doi.org/10.1080/07391102.2023.2276875")</f>
        <v>http://dx.doi.org/10.1080/07391102.2023.2276875</v>
      </c>
      <c r="BG301" s="1" t="s">
        <v>74</v>
      </c>
      <c r="BH301" s="1" t="s">
        <v>2751</v>
      </c>
      <c r="BI301" s="1" t="s">
        <v>74</v>
      </c>
      <c r="BJ301" s="1" t="s">
        <v>74</v>
      </c>
      <c r="BK301" s="1" t="s">
        <v>74</v>
      </c>
      <c r="BL301" s="1" t="s">
        <v>74</v>
      </c>
      <c r="BM301" s="1" t="s">
        <v>74</v>
      </c>
      <c r="BN301" s="1">
        <v>3.7909479E7</v>
      </c>
      <c r="BO301" s="1" t="s">
        <v>74</v>
      </c>
      <c r="BP301" s="1" t="s">
        <v>74</v>
      </c>
      <c r="BQ301" s="1" t="s">
        <v>74</v>
      </c>
      <c r="BR301" s="1" t="s">
        <v>74</v>
      </c>
      <c r="BS301" s="1" t="s">
        <v>2752</v>
      </c>
      <c r="BT301" s="1" t="str">
        <f>HYPERLINK("https%3A%2F%2Fwww.webofscience.com%2Fwos%2Fwoscc%2Ffull-record%2FWOS:001092288400001","View Full Record in Web of Science")</f>
        <v>View Full Record in Web of Science</v>
      </c>
    </row>
    <row r="302" ht="12.75" customHeight="1">
      <c r="A302" s="1" t="s">
        <v>72</v>
      </c>
      <c r="B302" s="1" t="s">
        <v>2753</v>
      </c>
      <c r="C302" s="1" t="s">
        <v>74</v>
      </c>
      <c r="D302" s="1" t="s">
        <v>74</v>
      </c>
      <c r="E302" s="1" t="s">
        <v>74</v>
      </c>
      <c r="F302" s="1" t="s">
        <v>2754</v>
      </c>
      <c r="G302" s="1" t="s">
        <v>74</v>
      </c>
      <c r="H302" s="1" t="s">
        <v>74</v>
      </c>
      <c r="I302" s="1" t="s">
        <v>2755</v>
      </c>
      <c r="J302" s="1" t="s">
        <v>2756</v>
      </c>
      <c r="K302" s="1" t="s">
        <v>74</v>
      </c>
      <c r="L302" s="1" t="s">
        <v>74</v>
      </c>
      <c r="M302" s="1" t="s">
        <v>74</v>
      </c>
      <c r="N302" s="1" t="s">
        <v>74</v>
      </c>
      <c r="O302" s="1" t="s">
        <v>74</v>
      </c>
      <c r="P302" s="1" t="s">
        <v>74</v>
      </c>
      <c r="Q302" s="1" t="s">
        <v>74</v>
      </c>
      <c r="R302" s="1" t="s">
        <v>74</v>
      </c>
      <c r="S302" s="1" t="s">
        <v>74</v>
      </c>
      <c r="T302" s="1" t="s">
        <v>74</v>
      </c>
      <c r="U302" s="1" t="s">
        <v>74</v>
      </c>
      <c r="V302" s="1" t="s">
        <v>2757</v>
      </c>
      <c r="W302" s="1" t="s">
        <v>74</v>
      </c>
      <c r="X302" s="1" t="s">
        <v>74</v>
      </c>
      <c r="Y302" s="1" t="s">
        <v>74</v>
      </c>
      <c r="Z302" s="1" t="s">
        <v>74</v>
      </c>
      <c r="AA302" s="1" t="s">
        <v>74</v>
      </c>
      <c r="AB302" s="1" t="s">
        <v>74</v>
      </c>
      <c r="AC302" s="1" t="s">
        <v>74</v>
      </c>
      <c r="AD302" s="1" t="s">
        <v>74</v>
      </c>
      <c r="AE302" s="1" t="s">
        <v>74</v>
      </c>
      <c r="AF302" s="1" t="s">
        <v>74</v>
      </c>
      <c r="AG302" s="1" t="s">
        <v>74</v>
      </c>
      <c r="AH302" s="1" t="s">
        <v>74</v>
      </c>
      <c r="AI302" s="1" t="s">
        <v>74</v>
      </c>
      <c r="AJ302" s="1" t="s">
        <v>74</v>
      </c>
      <c r="AK302" s="1" t="s">
        <v>74</v>
      </c>
      <c r="AL302" s="1" t="s">
        <v>74</v>
      </c>
      <c r="AM302" s="1" t="s">
        <v>74</v>
      </c>
      <c r="AN302" s="1" t="s">
        <v>74</v>
      </c>
      <c r="AO302" s="1" t="s">
        <v>2758</v>
      </c>
      <c r="AP302" s="1" t="s">
        <v>74</v>
      </c>
      <c r="AQ302" s="1" t="s">
        <v>74</v>
      </c>
      <c r="AR302" s="1" t="s">
        <v>74</v>
      </c>
      <c r="AS302" s="1" t="s">
        <v>74</v>
      </c>
      <c r="AT302" s="1" t="s">
        <v>74</v>
      </c>
      <c r="AU302" s="1">
        <v>2023.0</v>
      </c>
      <c r="AV302" s="1">
        <v>11.0</v>
      </c>
      <c r="AW302" s="1">
        <v>21.0</v>
      </c>
      <c r="AX302" s="1" t="s">
        <v>74</v>
      </c>
      <c r="AY302" s="1" t="s">
        <v>74</v>
      </c>
      <c r="AZ302" s="1" t="s">
        <v>74</v>
      </c>
      <c r="BA302" s="1" t="s">
        <v>74</v>
      </c>
      <c r="BB302" s="1">
        <v>298.0</v>
      </c>
      <c r="BC302" s="1">
        <v>330.0</v>
      </c>
      <c r="BD302" s="1" t="s">
        <v>74</v>
      </c>
      <c r="BE302" s="1" t="s">
        <v>2759</v>
      </c>
      <c r="BF302" s="2" t="str">
        <f>HYPERLINK("http://dx.doi.org/10.5195/ct/2023.604","http://dx.doi.org/10.5195/ct/2023.604")</f>
        <v>http://dx.doi.org/10.5195/ct/2023.604</v>
      </c>
      <c r="BG302" s="1" t="s">
        <v>74</v>
      </c>
      <c r="BH302" s="1" t="s">
        <v>74</v>
      </c>
      <c r="BI302" s="1" t="s">
        <v>74</v>
      </c>
      <c r="BJ302" s="1" t="s">
        <v>74</v>
      </c>
      <c r="BK302" s="1" t="s">
        <v>74</v>
      </c>
      <c r="BL302" s="1" t="s">
        <v>74</v>
      </c>
      <c r="BM302" s="1" t="s">
        <v>74</v>
      </c>
      <c r="BN302" s="1" t="s">
        <v>74</v>
      </c>
      <c r="BO302" s="1" t="s">
        <v>74</v>
      </c>
      <c r="BP302" s="1" t="s">
        <v>74</v>
      </c>
      <c r="BQ302" s="1" t="s">
        <v>74</v>
      </c>
      <c r="BR302" s="1" t="s">
        <v>74</v>
      </c>
      <c r="BS302" s="1" t="s">
        <v>2760</v>
      </c>
      <c r="BT302" s="1" t="str">
        <f>HYPERLINK("https%3A%2F%2Fwww.webofscience.com%2Fwos%2Fwoscc%2Ffull-record%2FWOS:001134207000016","View Full Record in Web of Science")</f>
        <v>View Full Record in Web of Science</v>
      </c>
    </row>
    <row r="303" ht="12.75" customHeight="1">
      <c r="A303" s="1" t="s">
        <v>72</v>
      </c>
      <c r="B303" s="1" t="s">
        <v>2761</v>
      </c>
      <c r="C303" s="1" t="s">
        <v>74</v>
      </c>
      <c r="D303" s="1" t="s">
        <v>74</v>
      </c>
      <c r="E303" s="1" t="s">
        <v>74</v>
      </c>
      <c r="F303" s="1" t="s">
        <v>2762</v>
      </c>
      <c r="G303" s="1" t="s">
        <v>74</v>
      </c>
      <c r="H303" s="1" t="s">
        <v>74</v>
      </c>
      <c r="I303" s="1" t="s">
        <v>2763</v>
      </c>
      <c r="J303" s="1" t="s">
        <v>2764</v>
      </c>
      <c r="K303" s="1" t="s">
        <v>74</v>
      </c>
      <c r="L303" s="1" t="s">
        <v>74</v>
      </c>
      <c r="M303" s="1" t="s">
        <v>74</v>
      </c>
      <c r="N303" s="1" t="s">
        <v>74</v>
      </c>
      <c r="O303" s="1" t="s">
        <v>74</v>
      </c>
      <c r="P303" s="1" t="s">
        <v>74</v>
      </c>
      <c r="Q303" s="1" t="s">
        <v>74</v>
      </c>
      <c r="R303" s="1" t="s">
        <v>74</v>
      </c>
      <c r="S303" s="1" t="s">
        <v>74</v>
      </c>
      <c r="T303" s="1" t="s">
        <v>74</v>
      </c>
      <c r="U303" s="1" t="s">
        <v>74</v>
      </c>
      <c r="V303" s="1" t="s">
        <v>2765</v>
      </c>
      <c r="W303" s="1" t="s">
        <v>74</v>
      </c>
      <c r="X303" s="1" t="s">
        <v>74</v>
      </c>
      <c r="Y303" s="1" t="s">
        <v>74</v>
      </c>
      <c r="Z303" s="1" t="s">
        <v>74</v>
      </c>
      <c r="AA303" s="1" t="s">
        <v>74</v>
      </c>
      <c r="AB303" s="1" t="s">
        <v>74</v>
      </c>
      <c r="AC303" s="1" t="s">
        <v>74</v>
      </c>
      <c r="AD303" s="1" t="s">
        <v>74</v>
      </c>
      <c r="AE303" s="1" t="s">
        <v>74</v>
      </c>
      <c r="AF303" s="1" t="s">
        <v>74</v>
      </c>
      <c r="AG303" s="1" t="s">
        <v>74</v>
      </c>
      <c r="AH303" s="1" t="s">
        <v>74</v>
      </c>
      <c r="AI303" s="1" t="s">
        <v>74</v>
      </c>
      <c r="AJ303" s="1" t="s">
        <v>74</v>
      </c>
      <c r="AK303" s="1" t="s">
        <v>74</v>
      </c>
      <c r="AL303" s="1" t="s">
        <v>74</v>
      </c>
      <c r="AM303" s="1" t="s">
        <v>74</v>
      </c>
      <c r="AN303" s="1" t="s">
        <v>74</v>
      </c>
      <c r="AO303" s="1" t="s">
        <v>2766</v>
      </c>
      <c r="AP303" s="1" t="s">
        <v>2767</v>
      </c>
      <c r="AQ303" s="1" t="s">
        <v>74</v>
      </c>
      <c r="AR303" s="1" t="s">
        <v>74</v>
      </c>
      <c r="AS303" s="1" t="s">
        <v>74</v>
      </c>
      <c r="AT303" s="1" t="s">
        <v>74</v>
      </c>
      <c r="AU303" s="1">
        <v>2023.0</v>
      </c>
      <c r="AV303" s="1">
        <v>51.0</v>
      </c>
      <c r="AW303" s="1">
        <v>3.0</v>
      </c>
      <c r="AX303" s="1" t="s">
        <v>74</v>
      </c>
      <c r="AY303" s="1" t="s">
        <v>74</v>
      </c>
      <c r="AZ303" s="1" t="s">
        <v>74</v>
      </c>
      <c r="BA303" s="1" t="s">
        <v>74</v>
      </c>
      <c r="BB303" s="1">
        <v>143.0</v>
      </c>
      <c r="BC303" s="1">
        <v>151.0</v>
      </c>
      <c r="BD303" s="1" t="s">
        <v>74</v>
      </c>
      <c r="BE303" s="1" t="s">
        <v>2768</v>
      </c>
      <c r="BF303" s="2" t="str">
        <f>HYPERLINK("http://dx.doi.org/10.2316/J.2023.201-0359","http://dx.doi.org/10.2316/J.2023.201-0359")</f>
        <v>http://dx.doi.org/10.2316/J.2023.201-0359</v>
      </c>
      <c r="BG303" s="1" t="s">
        <v>74</v>
      </c>
      <c r="BH303" s="1" t="s">
        <v>74</v>
      </c>
      <c r="BI303" s="1" t="s">
        <v>74</v>
      </c>
      <c r="BJ303" s="1" t="s">
        <v>74</v>
      </c>
      <c r="BK303" s="1" t="s">
        <v>74</v>
      </c>
      <c r="BL303" s="1" t="s">
        <v>74</v>
      </c>
      <c r="BM303" s="1" t="s">
        <v>74</v>
      </c>
      <c r="BN303" s="1" t="s">
        <v>74</v>
      </c>
      <c r="BO303" s="1" t="s">
        <v>74</v>
      </c>
      <c r="BP303" s="1" t="s">
        <v>74</v>
      </c>
      <c r="BQ303" s="1" t="s">
        <v>74</v>
      </c>
      <c r="BR303" s="1" t="s">
        <v>74</v>
      </c>
      <c r="BS303" s="1" t="s">
        <v>2769</v>
      </c>
      <c r="BT303" s="1" t="str">
        <f>HYPERLINK("https%3A%2F%2Fwww.webofscience.com%2Fwos%2Fwoscc%2Ffull-record%2FWOS:001114046800006","View Full Record in Web of Science")</f>
        <v>View Full Record in Web of Science</v>
      </c>
    </row>
    <row r="304" ht="12.75" customHeight="1">
      <c r="A304" s="1" t="s">
        <v>72</v>
      </c>
      <c r="B304" s="1" t="s">
        <v>2770</v>
      </c>
      <c r="C304" s="1" t="s">
        <v>74</v>
      </c>
      <c r="D304" s="1" t="s">
        <v>74</v>
      </c>
      <c r="E304" s="1" t="s">
        <v>74</v>
      </c>
      <c r="F304" s="1" t="s">
        <v>2771</v>
      </c>
      <c r="G304" s="1" t="s">
        <v>74</v>
      </c>
      <c r="H304" s="1" t="s">
        <v>74</v>
      </c>
      <c r="I304" s="1" t="s">
        <v>2772</v>
      </c>
      <c r="J304" s="1" t="s">
        <v>593</v>
      </c>
      <c r="K304" s="1" t="s">
        <v>74</v>
      </c>
      <c r="L304" s="1" t="s">
        <v>74</v>
      </c>
      <c r="M304" s="1" t="s">
        <v>74</v>
      </c>
      <c r="N304" s="1" t="s">
        <v>74</v>
      </c>
      <c r="O304" s="1" t="s">
        <v>74</v>
      </c>
      <c r="P304" s="1" t="s">
        <v>74</v>
      </c>
      <c r="Q304" s="1" t="s">
        <v>74</v>
      </c>
      <c r="R304" s="1" t="s">
        <v>74</v>
      </c>
      <c r="S304" s="1" t="s">
        <v>74</v>
      </c>
      <c r="T304" s="1" t="s">
        <v>74</v>
      </c>
      <c r="U304" s="1" t="s">
        <v>74</v>
      </c>
      <c r="V304" s="1" t="s">
        <v>2773</v>
      </c>
      <c r="W304" s="1" t="s">
        <v>74</v>
      </c>
      <c r="X304" s="1" t="s">
        <v>74</v>
      </c>
      <c r="Y304" s="1" t="s">
        <v>74</v>
      </c>
      <c r="Z304" s="1" t="s">
        <v>74</v>
      </c>
      <c r="AA304" s="1" t="s">
        <v>1325</v>
      </c>
      <c r="AB304" s="1" t="s">
        <v>2774</v>
      </c>
      <c r="AC304" s="1" t="s">
        <v>74</v>
      </c>
      <c r="AD304" s="1" t="s">
        <v>74</v>
      </c>
      <c r="AE304" s="1" t="s">
        <v>74</v>
      </c>
      <c r="AF304" s="1" t="s">
        <v>74</v>
      </c>
      <c r="AG304" s="1" t="s">
        <v>74</v>
      </c>
      <c r="AH304" s="1" t="s">
        <v>74</v>
      </c>
      <c r="AI304" s="1" t="s">
        <v>74</v>
      </c>
      <c r="AJ304" s="1" t="s">
        <v>74</v>
      </c>
      <c r="AK304" s="1" t="s">
        <v>74</v>
      </c>
      <c r="AL304" s="1" t="s">
        <v>74</v>
      </c>
      <c r="AM304" s="1" t="s">
        <v>74</v>
      </c>
      <c r="AN304" s="1" t="s">
        <v>74</v>
      </c>
      <c r="AO304" s="1" t="s">
        <v>74</v>
      </c>
      <c r="AP304" s="1" t="s">
        <v>597</v>
      </c>
      <c r="AQ304" s="1" t="s">
        <v>74</v>
      </c>
      <c r="AR304" s="1" t="s">
        <v>74</v>
      </c>
      <c r="AS304" s="1" t="s">
        <v>74</v>
      </c>
      <c r="AT304" s="1" t="s">
        <v>205</v>
      </c>
      <c r="AU304" s="1">
        <v>2022.0</v>
      </c>
      <c r="AV304" s="1">
        <v>14.0</v>
      </c>
      <c r="AW304" s="1">
        <v>21.0</v>
      </c>
      <c r="AX304" s="1" t="s">
        <v>74</v>
      </c>
      <c r="AY304" s="1" t="s">
        <v>74</v>
      </c>
      <c r="AZ304" s="1" t="s">
        <v>74</v>
      </c>
      <c r="BA304" s="1" t="s">
        <v>74</v>
      </c>
      <c r="BB304" s="1" t="s">
        <v>74</v>
      </c>
      <c r="BC304" s="1" t="s">
        <v>74</v>
      </c>
      <c r="BD304" s="1">
        <v>4786.0</v>
      </c>
      <c r="BE304" s="1" t="s">
        <v>2775</v>
      </c>
      <c r="BF304" s="2" t="str">
        <f>HYPERLINK("http://dx.doi.org/10.3390/polym14214786","http://dx.doi.org/10.3390/polym14214786")</f>
        <v>http://dx.doi.org/10.3390/polym14214786</v>
      </c>
      <c r="BG304" s="1" t="s">
        <v>74</v>
      </c>
      <c r="BH304" s="1" t="s">
        <v>74</v>
      </c>
      <c r="BI304" s="1" t="s">
        <v>74</v>
      </c>
      <c r="BJ304" s="1" t="s">
        <v>74</v>
      </c>
      <c r="BK304" s="1" t="s">
        <v>74</v>
      </c>
      <c r="BL304" s="1" t="s">
        <v>74</v>
      </c>
      <c r="BM304" s="1" t="s">
        <v>74</v>
      </c>
      <c r="BN304" s="1">
        <v>3.6365775E7</v>
      </c>
      <c r="BO304" s="1" t="s">
        <v>74</v>
      </c>
      <c r="BP304" s="1" t="s">
        <v>74</v>
      </c>
      <c r="BQ304" s="1" t="s">
        <v>74</v>
      </c>
      <c r="BR304" s="1" t="s">
        <v>74</v>
      </c>
      <c r="BS304" s="1" t="s">
        <v>2776</v>
      </c>
      <c r="BT304" s="1" t="str">
        <f>HYPERLINK("https%3A%2F%2Fwww.webofscience.com%2Fwos%2Fwoscc%2Ffull-record%2FWOS:000883964100001","View Full Record in Web of Science")</f>
        <v>View Full Record in Web of Science</v>
      </c>
    </row>
    <row r="305" ht="12.75" customHeight="1">
      <c r="A305" s="1" t="s">
        <v>72</v>
      </c>
      <c r="B305" s="1" t="s">
        <v>2777</v>
      </c>
      <c r="C305" s="1" t="s">
        <v>74</v>
      </c>
      <c r="D305" s="1" t="s">
        <v>74</v>
      </c>
      <c r="E305" s="1" t="s">
        <v>74</v>
      </c>
      <c r="F305" s="1" t="s">
        <v>2778</v>
      </c>
      <c r="G305" s="1" t="s">
        <v>74</v>
      </c>
      <c r="H305" s="1" t="s">
        <v>74</v>
      </c>
      <c r="I305" s="1" t="s">
        <v>2779</v>
      </c>
      <c r="J305" s="1" t="s">
        <v>2780</v>
      </c>
      <c r="K305" s="1" t="s">
        <v>74</v>
      </c>
      <c r="L305" s="1" t="s">
        <v>74</v>
      </c>
      <c r="M305" s="1" t="s">
        <v>74</v>
      </c>
      <c r="N305" s="1" t="s">
        <v>74</v>
      </c>
      <c r="O305" s="1" t="s">
        <v>74</v>
      </c>
      <c r="P305" s="1" t="s">
        <v>74</v>
      </c>
      <c r="Q305" s="1" t="s">
        <v>74</v>
      </c>
      <c r="R305" s="1" t="s">
        <v>74</v>
      </c>
      <c r="S305" s="1" t="s">
        <v>74</v>
      </c>
      <c r="T305" s="1" t="s">
        <v>74</v>
      </c>
      <c r="U305" s="1" t="s">
        <v>74</v>
      </c>
      <c r="V305" s="1" t="s">
        <v>2781</v>
      </c>
      <c r="W305" s="1" t="s">
        <v>74</v>
      </c>
      <c r="X305" s="1" t="s">
        <v>74</v>
      </c>
      <c r="Y305" s="1" t="s">
        <v>74</v>
      </c>
      <c r="Z305" s="1" t="s">
        <v>74</v>
      </c>
      <c r="AA305" s="1" t="s">
        <v>2782</v>
      </c>
      <c r="AB305" s="1" t="s">
        <v>2783</v>
      </c>
      <c r="AC305" s="1" t="s">
        <v>74</v>
      </c>
      <c r="AD305" s="1" t="s">
        <v>74</v>
      </c>
      <c r="AE305" s="1" t="s">
        <v>74</v>
      </c>
      <c r="AF305" s="1" t="s">
        <v>74</v>
      </c>
      <c r="AG305" s="1" t="s">
        <v>74</v>
      </c>
      <c r="AH305" s="1" t="s">
        <v>74</v>
      </c>
      <c r="AI305" s="1" t="s">
        <v>74</v>
      </c>
      <c r="AJ305" s="1" t="s">
        <v>74</v>
      </c>
      <c r="AK305" s="1" t="s">
        <v>74</v>
      </c>
      <c r="AL305" s="1" t="s">
        <v>74</v>
      </c>
      <c r="AM305" s="1" t="s">
        <v>74</v>
      </c>
      <c r="AN305" s="1" t="s">
        <v>74</v>
      </c>
      <c r="AO305" s="1" t="s">
        <v>2784</v>
      </c>
      <c r="AP305" s="1" t="s">
        <v>74</v>
      </c>
      <c r="AQ305" s="1" t="s">
        <v>74</v>
      </c>
      <c r="AR305" s="1" t="s">
        <v>74</v>
      </c>
      <c r="AS305" s="1" t="s">
        <v>74</v>
      </c>
      <c r="AT305" s="1" t="s">
        <v>2785</v>
      </c>
      <c r="AU305" s="1">
        <v>2022.0</v>
      </c>
      <c r="AV305" s="1" t="s">
        <v>74</v>
      </c>
      <c r="AW305" s="1">
        <v>8.0</v>
      </c>
      <c r="AX305" s="1" t="s">
        <v>74</v>
      </c>
      <c r="AY305" s="1" t="s">
        <v>74</v>
      </c>
      <c r="AZ305" s="1" t="s">
        <v>74</v>
      </c>
      <c r="BA305" s="1" t="s">
        <v>74</v>
      </c>
      <c r="BB305" s="1" t="s">
        <v>74</v>
      </c>
      <c r="BC305" s="1" t="s">
        <v>74</v>
      </c>
      <c r="BD305" s="1">
        <v>228.0</v>
      </c>
      <c r="BE305" s="1" t="s">
        <v>2786</v>
      </c>
      <c r="BF305" s="2" t="str">
        <f>HYPERLINK("http://dx.doi.org/10.1007/JHEP08(2022)228","http://dx.doi.org/10.1007/JHEP08(2022)228")</f>
        <v>http://dx.doi.org/10.1007/JHEP08(2022)228</v>
      </c>
      <c r="BG305" s="1" t="s">
        <v>74</v>
      </c>
      <c r="BH305" s="1" t="s">
        <v>74</v>
      </c>
      <c r="BI305" s="1" t="s">
        <v>74</v>
      </c>
      <c r="BJ305" s="1" t="s">
        <v>74</v>
      </c>
      <c r="BK305" s="1" t="s">
        <v>74</v>
      </c>
      <c r="BL305" s="1" t="s">
        <v>74</v>
      </c>
      <c r="BM305" s="1" t="s">
        <v>74</v>
      </c>
      <c r="BN305" s="1" t="s">
        <v>74</v>
      </c>
      <c r="BO305" s="1" t="s">
        <v>74</v>
      </c>
      <c r="BP305" s="1" t="s">
        <v>74</v>
      </c>
      <c r="BQ305" s="1" t="s">
        <v>74</v>
      </c>
      <c r="BR305" s="1" t="s">
        <v>74</v>
      </c>
      <c r="BS305" s="1" t="s">
        <v>2787</v>
      </c>
      <c r="BT305" s="1" t="str">
        <f>HYPERLINK("https%3A%2F%2Fwww.webofscience.com%2Fwos%2Fwoscc%2Ffull-record%2FWOS:000844211100013","View Full Record in Web of Science")</f>
        <v>View Full Record in Web of Science</v>
      </c>
    </row>
    <row r="306" ht="12.75" customHeight="1">
      <c r="A306" s="1" t="s">
        <v>72</v>
      </c>
      <c r="B306" s="1" t="s">
        <v>2788</v>
      </c>
      <c r="C306" s="1" t="s">
        <v>74</v>
      </c>
      <c r="D306" s="1" t="s">
        <v>74</v>
      </c>
      <c r="E306" s="1" t="s">
        <v>74</v>
      </c>
      <c r="F306" s="1" t="s">
        <v>2789</v>
      </c>
      <c r="G306" s="1" t="s">
        <v>74</v>
      </c>
      <c r="H306" s="1" t="s">
        <v>74</v>
      </c>
      <c r="I306" s="1" t="s">
        <v>2790</v>
      </c>
      <c r="J306" s="1" t="s">
        <v>2791</v>
      </c>
      <c r="K306" s="1" t="s">
        <v>74</v>
      </c>
      <c r="L306" s="1" t="s">
        <v>74</v>
      </c>
      <c r="M306" s="1" t="s">
        <v>74</v>
      </c>
      <c r="N306" s="1" t="s">
        <v>74</v>
      </c>
      <c r="O306" s="1" t="s">
        <v>74</v>
      </c>
      <c r="P306" s="1" t="s">
        <v>74</v>
      </c>
      <c r="Q306" s="1" t="s">
        <v>74</v>
      </c>
      <c r="R306" s="1" t="s">
        <v>74</v>
      </c>
      <c r="S306" s="1" t="s">
        <v>74</v>
      </c>
      <c r="T306" s="1" t="s">
        <v>74</v>
      </c>
      <c r="U306" s="1" t="s">
        <v>74</v>
      </c>
      <c r="V306" s="1" t="s">
        <v>2792</v>
      </c>
      <c r="W306" s="1" t="s">
        <v>74</v>
      </c>
      <c r="X306" s="1" t="s">
        <v>74</v>
      </c>
      <c r="Y306" s="1" t="s">
        <v>74</v>
      </c>
      <c r="Z306" s="1" t="s">
        <v>74</v>
      </c>
      <c r="AA306" s="1" t="s">
        <v>296</v>
      </c>
      <c r="AB306" s="1" t="s">
        <v>486</v>
      </c>
      <c r="AC306" s="1" t="s">
        <v>74</v>
      </c>
      <c r="AD306" s="1" t="s">
        <v>74</v>
      </c>
      <c r="AE306" s="1" t="s">
        <v>74</v>
      </c>
      <c r="AF306" s="1" t="s">
        <v>74</v>
      </c>
      <c r="AG306" s="1" t="s">
        <v>74</v>
      </c>
      <c r="AH306" s="1" t="s">
        <v>74</v>
      </c>
      <c r="AI306" s="1" t="s">
        <v>74</v>
      </c>
      <c r="AJ306" s="1" t="s">
        <v>74</v>
      </c>
      <c r="AK306" s="1" t="s">
        <v>74</v>
      </c>
      <c r="AL306" s="1" t="s">
        <v>74</v>
      </c>
      <c r="AM306" s="1" t="s">
        <v>74</v>
      </c>
      <c r="AN306" s="1" t="s">
        <v>74</v>
      </c>
      <c r="AO306" s="1" t="s">
        <v>2793</v>
      </c>
      <c r="AP306" s="1" t="s">
        <v>2794</v>
      </c>
      <c r="AQ306" s="1" t="s">
        <v>74</v>
      </c>
      <c r="AR306" s="1" t="s">
        <v>74</v>
      </c>
      <c r="AS306" s="1" t="s">
        <v>74</v>
      </c>
      <c r="AT306" s="1" t="s">
        <v>88</v>
      </c>
      <c r="AU306" s="1">
        <v>2022.0</v>
      </c>
      <c r="AV306" s="1">
        <v>8.0</v>
      </c>
      <c r="AW306" s="1">
        <v>6.0</v>
      </c>
      <c r="AX306" s="1" t="s">
        <v>74</v>
      </c>
      <c r="AY306" s="1" t="s">
        <v>74</v>
      </c>
      <c r="AZ306" s="1" t="s">
        <v>564</v>
      </c>
      <c r="BA306" s="1" t="s">
        <v>74</v>
      </c>
      <c r="BB306" s="1">
        <v>5101.0</v>
      </c>
      <c r="BC306" s="1">
        <v>5123.0</v>
      </c>
      <c r="BD306" s="1" t="s">
        <v>74</v>
      </c>
      <c r="BE306" s="1" t="s">
        <v>2795</v>
      </c>
      <c r="BF306" s="2" t="str">
        <f>HYPERLINK("http://dx.doi.org/10.1007/s40747-022-00740-7","http://dx.doi.org/10.1007/s40747-022-00740-7")</f>
        <v>http://dx.doi.org/10.1007/s40747-022-00740-7</v>
      </c>
      <c r="BG306" s="1" t="s">
        <v>74</v>
      </c>
      <c r="BH306" s="1" t="s">
        <v>2796</v>
      </c>
      <c r="BI306" s="1" t="s">
        <v>74</v>
      </c>
      <c r="BJ306" s="1" t="s">
        <v>74</v>
      </c>
      <c r="BK306" s="1" t="s">
        <v>74</v>
      </c>
      <c r="BL306" s="1" t="s">
        <v>74</v>
      </c>
      <c r="BM306" s="1" t="s">
        <v>74</v>
      </c>
      <c r="BN306" s="1" t="s">
        <v>74</v>
      </c>
      <c r="BO306" s="1" t="s">
        <v>74</v>
      </c>
      <c r="BP306" s="1" t="s">
        <v>74</v>
      </c>
      <c r="BQ306" s="1" t="s">
        <v>74</v>
      </c>
      <c r="BR306" s="1" t="s">
        <v>74</v>
      </c>
      <c r="BS306" s="1" t="s">
        <v>2797</v>
      </c>
      <c r="BT306" s="1" t="str">
        <f>HYPERLINK("https%3A%2F%2Fwww.webofscience.com%2Fwos%2Fwoscc%2Ffull-record%2FWOS:000790609100003","View Full Record in Web of Science")</f>
        <v>View Full Record in Web of Science</v>
      </c>
    </row>
    <row r="307" ht="12.75" customHeight="1">
      <c r="A307" s="1" t="s">
        <v>72</v>
      </c>
      <c r="B307" s="1" t="s">
        <v>2798</v>
      </c>
      <c r="C307" s="1" t="s">
        <v>74</v>
      </c>
      <c r="D307" s="1" t="s">
        <v>74</v>
      </c>
      <c r="E307" s="1" t="s">
        <v>74</v>
      </c>
      <c r="F307" s="1" t="s">
        <v>2799</v>
      </c>
      <c r="G307" s="1" t="s">
        <v>74</v>
      </c>
      <c r="H307" s="1" t="s">
        <v>74</v>
      </c>
      <c r="I307" s="1" t="s">
        <v>2800</v>
      </c>
      <c r="J307" s="1" t="s">
        <v>2801</v>
      </c>
      <c r="K307" s="1" t="s">
        <v>74</v>
      </c>
      <c r="L307" s="1" t="s">
        <v>74</v>
      </c>
      <c r="M307" s="1" t="s">
        <v>74</v>
      </c>
      <c r="N307" s="1" t="s">
        <v>74</v>
      </c>
      <c r="O307" s="1" t="s">
        <v>74</v>
      </c>
      <c r="P307" s="1" t="s">
        <v>74</v>
      </c>
      <c r="Q307" s="1" t="s">
        <v>74</v>
      </c>
      <c r="R307" s="1" t="s">
        <v>74</v>
      </c>
      <c r="S307" s="1" t="s">
        <v>74</v>
      </c>
      <c r="T307" s="1" t="s">
        <v>74</v>
      </c>
      <c r="U307" s="1" t="s">
        <v>74</v>
      </c>
      <c r="V307" s="1" t="s">
        <v>2802</v>
      </c>
      <c r="W307" s="1" t="s">
        <v>74</v>
      </c>
      <c r="X307" s="1" t="s">
        <v>74</v>
      </c>
      <c r="Y307" s="1" t="s">
        <v>74</v>
      </c>
      <c r="Z307" s="1" t="s">
        <v>74</v>
      </c>
      <c r="AA307" s="1" t="s">
        <v>2803</v>
      </c>
      <c r="AB307" s="1" t="s">
        <v>2804</v>
      </c>
      <c r="AC307" s="1" t="s">
        <v>74</v>
      </c>
      <c r="AD307" s="1" t="s">
        <v>74</v>
      </c>
      <c r="AE307" s="1" t="s">
        <v>74</v>
      </c>
      <c r="AF307" s="1" t="s">
        <v>74</v>
      </c>
      <c r="AG307" s="1" t="s">
        <v>74</v>
      </c>
      <c r="AH307" s="1" t="s">
        <v>74</v>
      </c>
      <c r="AI307" s="1" t="s">
        <v>74</v>
      </c>
      <c r="AJ307" s="1" t="s">
        <v>74</v>
      </c>
      <c r="AK307" s="1" t="s">
        <v>74</v>
      </c>
      <c r="AL307" s="1" t="s">
        <v>74</v>
      </c>
      <c r="AM307" s="1" t="s">
        <v>74</v>
      </c>
      <c r="AN307" s="1" t="s">
        <v>74</v>
      </c>
      <c r="AO307" s="1" t="s">
        <v>74</v>
      </c>
      <c r="AP307" s="1" t="s">
        <v>2805</v>
      </c>
      <c r="AQ307" s="1" t="s">
        <v>74</v>
      </c>
      <c r="AR307" s="1" t="s">
        <v>74</v>
      </c>
      <c r="AS307" s="1" t="s">
        <v>74</v>
      </c>
      <c r="AT307" s="1" t="s">
        <v>148</v>
      </c>
      <c r="AU307" s="1">
        <v>2022.0</v>
      </c>
      <c r="AV307" s="1">
        <v>10.0</v>
      </c>
      <c r="AW307" s="1">
        <v>6.0</v>
      </c>
      <c r="AX307" s="1" t="s">
        <v>74</v>
      </c>
      <c r="AY307" s="1" t="s">
        <v>74</v>
      </c>
      <c r="AZ307" s="1" t="s">
        <v>74</v>
      </c>
      <c r="BA307" s="1" t="s">
        <v>74</v>
      </c>
      <c r="BB307" s="1" t="s">
        <v>74</v>
      </c>
      <c r="BC307" s="1" t="s">
        <v>74</v>
      </c>
      <c r="BD307" s="1">
        <v>895.0</v>
      </c>
      <c r="BE307" s="1" t="s">
        <v>2806</v>
      </c>
      <c r="BF307" s="2" t="str">
        <f>HYPERLINK("http://dx.doi.org/10.3390/math10060895","http://dx.doi.org/10.3390/math10060895")</f>
        <v>http://dx.doi.org/10.3390/math10060895</v>
      </c>
      <c r="BG307" s="1" t="s">
        <v>74</v>
      </c>
      <c r="BH307" s="1" t="s">
        <v>74</v>
      </c>
      <c r="BI307" s="1" t="s">
        <v>74</v>
      </c>
      <c r="BJ307" s="1" t="s">
        <v>74</v>
      </c>
      <c r="BK307" s="1" t="s">
        <v>74</v>
      </c>
      <c r="BL307" s="1" t="s">
        <v>74</v>
      </c>
      <c r="BM307" s="1" t="s">
        <v>74</v>
      </c>
      <c r="BN307" s="1" t="s">
        <v>74</v>
      </c>
      <c r="BO307" s="1" t="s">
        <v>74</v>
      </c>
      <c r="BP307" s="1" t="s">
        <v>74</v>
      </c>
      <c r="BQ307" s="1" t="s">
        <v>74</v>
      </c>
      <c r="BR307" s="1" t="s">
        <v>74</v>
      </c>
      <c r="BS307" s="1" t="s">
        <v>2807</v>
      </c>
      <c r="BT307" s="1" t="str">
        <f>HYPERLINK("https%3A%2F%2Fwww.webofscience.com%2Fwos%2Fwoscc%2Ffull-record%2FWOS:000774153300001","View Full Record in Web of Science")</f>
        <v>View Full Record in Web of Science</v>
      </c>
    </row>
    <row r="308" ht="12.75" customHeight="1">
      <c r="A308" s="1" t="s">
        <v>72</v>
      </c>
      <c r="B308" s="1" t="s">
        <v>663</v>
      </c>
      <c r="C308" s="1" t="s">
        <v>74</v>
      </c>
      <c r="D308" s="1" t="s">
        <v>74</v>
      </c>
      <c r="E308" s="1" t="s">
        <v>74</v>
      </c>
      <c r="F308" s="1" t="s">
        <v>664</v>
      </c>
      <c r="G308" s="1" t="s">
        <v>74</v>
      </c>
      <c r="H308" s="1" t="s">
        <v>74</v>
      </c>
      <c r="I308" s="1" t="s">
        <v>2808</v>
      </c>
      <c r="J308" s="1" t="s">
        <v>2809</v>
      </c>
      <c r="K308" s="1" t="s">
        <v>74</v>
      </c>
      <c r="L308" s="1" t="s">
        <v>74</v>
      </c>
      <c r="M308" s="1" t="s">
        <v>74</v>
      </c>
      <c r="N308" s="1" t="s">
        <v>74</v>
      </c>
      <c r="O308" s="1" t="s">
        <v>74</v>
      </c>
      <c r="P308" s="1" t="s">
        <v>74</v>
      </c>
      <c r="Q308" s="1" t="s">
        <v>74</v>
      </c>
      <c r="R308" s="1" t="s">
        <v>74</v>
      </c>
      <c r="S308" s="1" t="s">
        <v>74</v>
      </c>
      <c r="T308" s="1" t="s">
        <v>74</v>
      </c>
      <c r="U308" s="1" t="s">
        <v>74</v>
      </c>
      <c r="V308" s="1" t="s">
        <v>2810</v>
      </c>
      <c r="W308" s="1" t="s">
        <v>74</v>
      </c>
      <c r="X308" s="1" t="s">
        <v>74</v>
      </c>
      <c r="Y308" s="1" t="s">
        <v>74</v>
      </c>
      <c r="Z308" s="1" t="s">
        <v>74</v>
      </c>
      <c r="AA308" s="1" t="s">
        <v>74</v>
      </c>
      <c r="AB308" s="1" t="s">
        <v>74</v>
      </c>
      <c r="AC308" s="1" t="s">
        <v>74</v>
      </c>
      <c r="AD308" s="1" t="s">
        <v>74</v>
      </c>
      <c r="AE308" s="1" t="s">
        <v>74</v>
      </c>
      <c r="AF308" s="1" t="s">
        <v>74</v>
      </c>
      <c r="AG308" s="1" t="s">
        <v>74</v>
      </c>
      <c r="AH308" s="1" t="s">
        <v>74</v>
      </c>
      <c r="AI308" s="1" t="s">
        <v>74</v>
      </c>
      <c r="AJ308" s="1" t="s">
        <v>74</v>
      </c>
      <c r="AK308" s="1" t="s">
        <v>74</v>
      </c>
      <c r="AL308" s="1" t="s">
        <v>74</v>
      </c>
      <c r="AM308" s="1" t="s">
        <v>74</v>
      </c>
      <c r="AN308" s="1" t="s">
        <v>74</v>
      </c>
      <c r="AO308" s="1" t="s">
        <v>2811</v>
      </c>
      <c r="AP308" s="1" t="s">
        <v>2812</v>
      </c>
      <c r="AQ308" s="1" t="s">
        <v>74</v>
      </c>
      <c r="AR308" s="1" t="s">
        <v>74</v>
      </c>
      <c r="AS308" s="1" t="s">
        <v>74</v>
      </c>
      <c r="AT308" s="1" t="s">
        <v>74</v>
      </c>
      <c r="AU308" s="1">
        <v>2022.0</v>
      </c>
      <c r="AV308" s="1">
        <v>24.0</v>
      </c>
      <c r="AW308" s="1">
        <v>49.0</v>
      </c>
      <c r="AX308" s="1" t="s">
        <v>74</v>
      </c>
      <c r="AY308" s="1" t="s">
        <v>74</v>
      </c>
      <c r="AZ308" s="1" t="s">
        <v>74</v>
      </c>
      <c r="BA308" s="1" t="s">
        <v>74</v>
      </c>
      <c r="BB308" s="1">
        <v>123.0</v>
      </c>
      <c r="BC308" s="1">
        <v>147.0</v>
      </c>
      <c r="BD308" s="1" t="s">
        <v>74</v>
      </c>
      <c r="BE308" s="1" t="s">
        <v>2813</v>
      </c>
      <c r="BF308" s="2" t="str">
        <f>HYPERLINK("http://dx.doi.org/10.12795/araucaria.2022.i49.06","http://dx.doi.org/10.12795/araucaria.2022.i49.06")</f>
        <v>http://dx.doi.org/10.12795/araucaria.2022.i49.06</v>
      </c>
      <c r="BG308" s="1" t="s">
        <v>74</v>
      </c>
      <c r="BH308" s="1" t="s">
        <v>74</v>
      </c>
      <c r="BI308" s="1" t="s">
        <v>74</v>
      </c>
      <c r="BJ308" s="1" t="s">
        <v>74</v>
      </c>
      <c r="BK308" s="1" t="s">
        <v>74</v>
      </c>
      <c r="BL308" s="1" t="s">
        <v>74</v>
      </c>
      <c r="BM308" s="1" t="s">
        <v>74</v>
      </c>
      <c r="BN308" s="1" t="s">
        <v>74</v>
      </c>
      <c r="BO308" s="1" t="s">
        <v>74</v>
      </c>
      <c r="BP308" s="1" t="s">
        <v>74</v>
      </c>
      <c r="BQ308" s="1" t="s">
        <v>74</v>
      </c>
      <c r="BR308" s="1" t="s">
        <v>74</v>
      </c>
      <c r="BS308" s="1" t="s">
        <v>2814</v>
      </c>
      <c r="BT308" s="1" t="str">
        <f>HYPERLINK("https%3A%2F%2Fwww.webofscience.com%2Fwos%2Fwoscc%2Ffull-record%2FWOS:000795225700006","View Full Record in Web of Science")</f>
        <v>View Full Record in Web of Science</v>
      </c>
    </row>
    <row r="309" ht="12.75" customHeight="1">
      <c r="A309" s="1" t="s">
        <v>72</v>
      </c>
      <c r="B309" s="1" t="s">
        <v>2815</v>
      </c>
      <c r="C309" s="1" t="s">
        <v>74</v>
      </c>
      <c r="D309" s="1" t="s">
        <v>74</v>
      </c>
      <c r="E309" s="1" t="s">
        <v>74</v>
      </c>
      <c r="F309" s="1" t="s">
        <v>2816</v>
      </c>
      <c r="G309" s="1" t="s">
        <v>74</v>
      </c>
      <c r="H309" s="1" t="s">
        <v>74</v>
      </c>
      <c r="I309" s="1" t="s">
        <v>2817</v>
      </c>
      <c r="J309" s="1" t="s">
        <v>2818</v>
      </c>
      <c r="K309" s="1" t="s">
        <v>74</v>
      </c>
      <c r="L309" s="1" t="s">
        <v>74</v>
      </c>
      <c r="M309" s="1" t="s">
        <v>74</v>
      </c>
      <c r="N309" s="1" t="s">
        <v>74</v>
      </c>
      <c r="O309" s="1" t="s">
        <v>74</v>
      </c>
      <c r="P309" s="1" t="s">
        <v>74</v>
      </c>
      <c r="Q309" s="1" t="s">
        <v>74</v>
      </c>
      <c r="R309" s="1" t="s">
        <v>74</v>
      </c>
      <c r="S309" s="1" t="s">
        <v>74</v>
      </c>
      <c r="T309" s="1" t="s">
        <v>74</v>
      </c>
      <c r="U309" s="1" t="s">
        <v>74</v>
      </c>
      <c r="V309" s="1" t="s">
        <v>2819</v>
      </c>
      <c r="W309" s="1" t="s">
        <v>74</v>
      </c>
      <c r="X309" s="1" t="s">
        <v>74</v>
      </c>
      <c r="Y309" s="1" t="s">
        <v>74</v>
      </c>
      <c r="Z309" s="1" t="s">
        <v>74</v>
      </c>
      <c r="AA309" s="1" t="s">
        <v>74</v>
      </c>
      <c r="AB309" s="1" t="s">
        <v>2820</v>
      </c>
      <c r="AC309" s="1" t="s">
        <v>74</v>
      </c>
      <c r="AD309" s="1" t="s">
        <v>74</v>
      </c>
      <c r="AE309" s="1" t="s">
        <v>74</v>
      </c>
      <c r="AF309" s="1" t="s">
        <v>74</v>
      </c>
      <c r="AG309" s="1" t="s">
        <v>74</v>
      </c>
      <c r="AH309" s="1" t="s">
        <v>74</v>
      </c>
      <c r="AI309" s="1" t="s">
        <v>74</v>
      </c>
      <c r="AJ309" s="1" t="s">
        <v>74</v>
      </c>
      <c r="AK309" s="1" t="s">
        <v>74</v>
      </c>
      <c r="AL309" s="1" t="s">
        <v>74</v>
      </c>
      <c r="AM309" s="1" t="s">
        <v>74</v>
      </c>
      <c r="AN309" s="1" t="s">
        <v>74</v>
      </c>
      <c r="AO309" s="1" t="s">
        <v>2821</v>
      </c>
      <c r="AP309" s="1" t="s">
        <v>2822</v>
      </c>
      <c r="AQ309" s="1" t="s">
        <v>74</v>
      </c>
      <c r="AR309" s="1" t="s">
        <v>74</v>
      </c>
      <c r="AS309" s="1" t="s">
        <v>74</v>
      </c>
      <c r="AT309" s="1" t="s">
        <v>1997</v>
      </c>
      <c r="AU309" s="1">
        <v>2021.0</v>
      </c>
      <c r="AV309" s="1">
        <v>72.0</v>
      </c>
      <c r="AW309" s="1">
        <v>4.0</v>
      </c>
      <c r="AX309" s="1" t="s">
        <v>74</v>
      </c>
      <c r="AY309" s="1" t="s">
        <v>74</v>
      </c>
      <c r="AZ309" s="1" t="s">
        <v>74</v>
      </c>
      <c r="BA309" s="1" t="s">
        <v>74</v>
      </c>
      <c r="BB309" s="1" t="s">
        <v>74</v>
      </c>
      <c r="BC309" s="1" t="s">
        <v>74</v>
      </c>
      <c r="BD309" s="1" t="s">
        <v>2823</v>
      </c>
      <c r="BE309" s="1" t="s">
        <v>2824</v>
      </c>
      <c r="BF309" s="2" t="str">
        <f>HYPERLINK("http://dx.doi.org/10.3989/gya.0885201","http://dx.doi.org/10.3989/gya.0885201")</f>
        <v>http://dx.doi.org/10.3989/gya.0885201</v>
      </c>
      <c r="BG309" s="1" t="s">
        <v>74</v>
      </c>
      <c r="BH309" s="1" t="s">
        <v>74</v>
      </c>
      <c r="BI309" s="1" t="s">
        <v>74</v>
      </c>
      <c r="BJ309" s="1" t="s">
        <v>74</v>
      </c>
      <c r="BK309" s="1" t="s">
        <v>74</v>
      </c>
      <c r="BL309" s="1" t="s">
        <v>74</v>
      </c>
      <c r="BM309" s="1" t="s">
        <v>74</v>
      </c>
      <c r="BN309" s="1" t="s">
        <v>74</v>
      </c>
      <c r="BO309" s="1" t="s">
        <v>74</v>
      </c>
      <c r="BP309" s="1" t="s">
        <v>74</v>
      </c>
      <c r="BQ309" s="1" t="s">
        <v>74</v>
      </c>
      <c r="BR309" s="1" t="s">
        <v>74</v>
      </c>
      <c r="BS309" s="1" t="s">
        <v>2825</v>
      </c>
      <c r="BT309" s="1" t="str">
        <f>HYPERLINK("https%3A%2F%2Fwww.webofscience.com%2Fwos%2Fwoscc%2Ffull-record%2FWOS:000756092800013","View Full Record in Web of Science")</f>
        <v>View Full Record in Web of Science</v>
      </c>
    </row>
    <row r="310" ht="12.75" customHeight="1">
      <c r="A310" s="1" t="s">
        <v>72</v>
      </c>
      <c r="B310" s="1" t="s">
        <v>2826</v>
      </c>
      <c r="C310" s="1" t="s">
        <v>74</v>
      </c>
      <c r="D310" s="1" t="s">
        <v>74</v>
      </c>
      <c r="E310" s="1" t="s">
        <v>74</v>
      </c>
      <c r="F310" s="1" t="s">
        <v>2827</v>
      </c>
      <c r="G310" s="1" t="s">
        <v>74</v>
      </c>
      <c r="H310" s="1" t="s">
        <v>74</v>
      </c>
      <c r="I310" s="1" t="s">
        <v>2828</v>
      </c>
      <c r="J310" s="1" t="s">
        <v>2829</v>
      </c>
      <c r="K310" s="1" t="s">
        <v>74</v>
      </c>
      <c r="L310" s="1" t="s">
        <v>74</v>
      </c>
      <c r="M310" s="1" t="s">
        <v>74</v>
      </c>
      <c r="N310" s="1" t="s">
        <v>74</v>
      </c>
      <c r="O310" s="1" t="s">
        <v>74</v>
      </c>
      <c r="P310" s="1" t="s">
        <v>74</v>
      </c>
      <c r="Q310" s="1" t="s">
        <v>74</v>
      </c>
      <c r="R310" s="1" t="s">
        <v>74</v>
      </c>
      <c r="S310" s="1" t="s">
        <v>74</v>
      </c>
      <c r="T310" s="1" t="s">
        <v>74</v>
      </c>
      <c r="U310" s="1" t="s">
        <v>74</v>
      </c>
      <c r="V310" s="1" t="s">
        <v>2830</v>
      </c>
      <c r="W310" s="1" t="s">
        <v>74</v>
      </c>
      <c r="X310" s="1" t="s">
        <v>74</v>
      </c>
      <c r="Y310" s="1" t="s">
        <v>74</v>
      </c>
      <c r="Z310" s="1" t="s">
        <v>74</v>
      </c>
      <c r="AA310" s="1" t="s">
        <v>74</v>
      </c>
      <c r="AB310" s="1" t="s">
        <v>74</v>
      </c>
      <c r="AC310" s="1" t="s">
        <v>74</v>
      </c>
      <c r="AD310" s="1" t="s">
        <v>74</v>
      </c>
      <c r="AE310" s="1" t="s">
        <v>74</v>
      </c>
      <c r="AF310" s="1" t="s">
        <v>74</v>
      </c>
      <c r="AG310" s="1" t="s">
        <v>74</v>
      </c>
      <c r="AH310" s="1" t="s">
        <v>74</v>
      </c>
      <c r="AI310" s="1" t="s">
        <v>74</v>
      </c>
      <c r="AJ310" s="1" t="s">
        <v>74</v>
      </c>
      <c r="AK310" s="1" t="s">
        <v>74</v>
      </c>
      <c r="AL310" s="1" t="s">
        <v>74</v>
      </c>
      <c r="AM310" s="1" t="s">
        <v>74</v>
      </c>
      <c r="AN310" s="1" t="s">
        <v>74</v>
      </c>
      <c r="AO310" s="1" t="s">
        <v>2831</v>
      </c>
      <c r="AP310" s="1" t="s">
        <v>2832</v>
      </c>
      <c r="AQ310" s="1" t="s">
        <v>74</v>
      </c>
      <c r="AR310" s="1" t="s">
        <v>74</v>
      </c>
      <c r="AS310" s="1" t="s">
        <v>74</v>
      </c>
      <c r="AT310" s="1" t="s">
        <v>205</v>
      </c>
      <c r="AU310" s="1">
        <v>2022.0</v>
      </c>
      <c r="AV310" s="1">
        <v>42.0</v>
      </c>
      <c r="AW310" s="1">
        <v>11.0</v>
      </c>
      <c r="AX310" s="1" t="s">
        <v>74</v>
      </c>
      <c r="AY310" s="1" t="s">
        <v>74</v>
      </c>
      <c r="AZ310" s="1" t="s">
        <v>74</v>
      </c>
      <c r="BA310" s="1" t="s">
        <v>74</v>
      </c>
      <c r="BB310" s="1">
        <v>3311.0</v>
      </c>
      <c r="BC310" s="1">
        <v>3324.0</v>
      </c>
      <c r="BD310" s="1" t="s">
        <v>74</v>
      </c>
      <c r="BE310" s="1" t="s">
        <v>2833</v>
      </c>
      <c r="BF310" s="2" t="str">
        <f>HYPERLINK("http://dx.doi.org/10.1017/etds.2021.87","http://dx.doi.org/10.1017/etds.2021.87")</f>
        <v>http://dx.doi.org/10.1017/etds.2021.87</v>
      </c>
      <c r="BG310" s="1" t="s">
        <v>74</v>
      </c>
      <c r="BH310" s="1" t="s">
        <v>2834</v>
      </c>
      <c r="BI310" s="1" t="s">
        <v>74</v>
      </c>
      <c r="BJ310" s="1" t="s">
        <v>74</v>
      </c>
      <c r="BK310" s="1" t="s">
        <v>74</v>
      </c>
      <c r="BL310" s="1" t="s">
        <v>74</v>
      </c>
      <c r="BM310" s="1" t="s">
        <v>74</v>
      </c>
      <c r="BN310" s="1" t="s">
        <v>74</v>
      </c>
      <c r="BO310" s="1" t="s">
        <v>74</v>
      </c>
      <c r="BP310" s="1" t="s">
        <v>74</v>
      </c>
      <c r="BQ310" s="1" t="s">
        <v>74</v>
      </c>
      <c r="BR310" s="1" t="s">
        <v>74</v>
      </c>
      <c r="BS310" s="1" t="s">
        <v>2835</v>
      </c>
      <c r="BT310" s="1" t="str">
        <f>HYPERLINK("https%3A%2F%2Fwww.webofscience.com%2Fwos%2Fwoscc%2Ffull-record%2FWOS:000767021900001","View Full Record in Web of Science")</f>
        <v>View Full Record in Web of Science</v>
      </c>
    </row>
    <row r="311" ht="12.75" customHeight="1">
      <c r="A311" s="1" t="s">
        <v>72</v>
      </c>
      <c r="B311" s="1" t="s">
        <v>2836</v>
      </c>
      <c r="C311" s="1" t="s">
        <v>74</v>
      </c>
      <c r="D311" s="1" t="s">
        <v>74</v>
      </c>
      <c r="E311" s="1" t="s">
        <v>74</v>
      </c>
      <c r="F311" s="1" t="s">
        <v>2837</v>
      </c>
      <c r="G311" s="1" t="s">
        <v>74</v>
      </c>
      <c r="H311" s="1" t="s">
        <v>74</v>
      </c>
      <c r="I311" s="1" t="s">
        <v>2838</v>
      </c>
      <c r="J311" s="1" t="s">
        <v>832</v>
      </c>
      <c r="K311" s="1" t="s">
        <v>74</v>
      </c>
      <c r="L311" s="1" t="s">
        <v>74</v>
      </c>
      <c r="M311" s="1" t="s">
        <v>74</v>
      </c>
      <c r="N311" s="1" t="s">
        <v>74</v>
      </c>
      <c r="O311" s="1" t="s">
        <v>74</v>
      </c>
      <c r="P311" s="1" t="s">
        <v>74</v>
      </c>
      <c r="Q311" s="1" t="s">
        <v>74</v>
      </c>
      <c r="R311" s="1" t="s">
        <v>74</v>
      </c>
      <c r="S311" s="1" t="s">
        <v>74</v>
      </c>
      <c r="T311" s="1" t="s">
        <v>74</v>
      </c>
      <c r="U311" s="1" t="s">
        <v>74</v>
      </c>
      <c r="V311" s="1" t="s">
        <v>2839</v>
      </c>
      <c r="W311" s="1" t="s">
        <v>74</v>
      </c>
      <c r="X311" s="1" t="s">
        <v>74</v>
      </c>
      <c r="Y311" s="1" t="s">
        <v>74</v>
      </c>
      <c r="Z311" s="1" t="s">
        <v>74</v>
      </c>
      <c r="AA311" s="1" t="s">
        <v>74</v>
      </c>
      <c r="AB311" s="1" t="s">
        <v>2840</v>
      </c>
      <c r="AC311" s="1" t="s">
        <v>74</v>
      </c>
      <c r="AD311" s="1" t="s">
        <v>74</v>
      </c>
      <c r="AE311" s="1" t="s">
        <v>74</v>
      </c>
      <c r="AF311" s="1" t="s">
        <v>74</v>
      </c>
      <c r="AG311" s="1" t="s">
        <v>74</v>
      </c>
      <c r="AH311" s="1" t="s">
        <v>74</v>
      </c>
      <c r="AI311" s="1" t="s">
        <v>74</v>
      </c>
      <c r="AJ311" s="1" t="s">
        <v>74</v>
      </c>
      <c r="AK311" s="1" t="s">
        <v>74</v>
      </c>
      <c r="AL311" s="1" t="s">
        <v>74</v>
      </c>
      <c r="AM311" s="1" t="s">
        <v>74</v>
      </c>
      <c r="AN311" s="1" t="s">
        <v>74</v>
      </c>
      <c r="AO311" s="1" t="s">
        <v>835</v>
      </c>
      <c r="AP311" s="1" t="s">
        <v>836</v>
      </c>
      <c r="AQ311" s="1" t="s">
        <v>74</v>
      </c>
      <c r="AR311" s="1" t="s">
        <v>74</v>
      </c>
      <c r="AS311" s="1" t="s">
        <v>74</v>
      </c>
      <c r="AT311" s="1" t="s">
        <v>276</v>
      </c>
      <c r="AU311" s="1">
        <v>2021.0</v>
      </c>
      <c r="AV311" s="1">
        <v>149.0</v>
      </c>
      <c r="AW311" s="1">
        <v>9.0</v>
      </c>
      <c r="AX311" s="1" t="s">
        <v>74</v>
      </c>
      <c r="AY311" s="1" t="s">
        <v>74</v>
      </c>
      <c r="AZ311" s="1" t="s">
        <v>74</v>
      </c>
      <c r="BA311" s="1" t="s">
        <v>74</v>
      </c>
      <c r="BB311" s="1">
        <v>1372.0</v>
      </c>
      <c r="BC311" s="1">
        <v>1376.0</v>
      </c>
      <c r="BD311" s="1" t="s">
        <v>74</v>
      </c>
      <c r="BE311" s="1" t="s">
        <v>74</v>
      </c>
      <c r="BF311" s="1" t="s">
        <v>74</v>
      </c>
      <c r="BG311" s="1" t="s">
        <v>74</v>
      </c>
      <c r="BH311" s="1" t="s">
        <v>74</v>
      </c>
      <c r="BI311" s="1" t="s">
        <v>74</v>
      </c>
      <c r="BJ311" s="1" t="s">
        <v>74</v>
      </c>
      <c r="BK311" s="1" t="s">
        <v>74</v>
      </c>
      <c r="BL311" s="1" t="s">
        <v>74</v>
      </c>
      <c r="BM311" s="1" t="s">
        <v>74</v>
      </c>
      <c r="BN311" s="1">
        <v>3.5319692E7</v>
      </c>
      <c r="BO311" s="1" t="s">
        <v>74</v>
      </c>
      <c r="BP311" s="1" t="s">
        <v>74</v>
      </c>
      <c r="BQ311" s="1" t="s">
        <v>74</v>
      </c>
      <c r="BR311" s="1" t="s">
        <v>74</v>
      </c>
      <c r="BS311" s="1" t="s">
        <v>2841</v>
      </c>
      <c r="BT311" s="1" t="str">
        <f>HYPERLINK("https%3A%2F%2Fwww.webofscience.com%2Fwos%2Fwoscc%2Ffull-record%2FWOS:000766213100016","View Full Record in Web of Science")</f>
        <v>View Full Record in Web of Science</v>
      </c>
    </row>
    <row r="312" ht="12.75" customHeight="1">
      <c r="A312" s="1" t="s">
        <v>72</v>
      </c>
      <c r="B312" s="1" t="s">
        <v>2842</v>
      </c>
      <c r="C312" s="1" t="s">
        <v>74</v>
      </c>
      <c r="D312" s="1" t="s">
        <v>74</v>
      </c>
      <c r="E312" s="1" t="s">
        <v>74</v>
      </c>
      <c r="F312" s="1" t="s">
        <v>2843</v>
      </c>
      <c r="G312" s="1" t="s">
        <v>74</v>
      </c>
      <c r="H312" s="1" t="s">
        <v>74</v>
      </c>
      <c r="I312" s="1" t="s">
        <v>2844</v>
      </c>
      <c r="J312" s="1" t="s">
        <v>2845</v>
      </c>
      <c r="K312" s="1" t="s">
        <v>74</v>
      </c>
      <c r="L312" s="1" t="s">
        <v>74</v>
      </c>
      <c r="M312" s="1" t="s">
        <v>74</v>
      </c>
      <c r="N312" s="1" t="s">
        <v>74</v>
      </c>
      <c r="O312" s="1" t="s">
        <v>74</v>
      </c>
      <c r="P312" s="1" t="s">
        <v>74</v>
      </c>
      <c r="Q312" s="1" t="s">
        <v>74</v>
      </c>
      <c r="R312" s="1" t="s">
        <v>74</v>
      </c>
      <c r="S312" s="1" t="s">
        <v>74</v>
      </c>
      <c r="T312" s="1" t="s">
        <v>74</v>
      </c>
      <c r="U312" s="1" t="s">
        <v>74</v>
      </c>
      <c r="V312" s="1" t="s">
        <v>2846</v>
      </c>
      <c r="W312" s="1" t="s">
        <v>74</v>
      </c>
      <c r="X312" s="1" t="s">
        <v>74</v>
      </c>
      <c r="Y312" s="1" t="s">
        <v>74</v>
      </c>
      <c r="Z312" s="1" t="s">
        <v>74</v>
      </c>
      <c r="AA312" s="1" t="s">
        <v>74</v>
      </c>
      <c r="AB312" s="1" t="s">
        <v>74</v>
      </c>
      <c r="AC312" s="1" t="s">
        <v>74</v>
      </c>
      <c r="AD312" s="1" t="s">
        <v>74</v>
      </c>
      <c r="AE312" s="1" t="s">
        <v>74</v>
      </c>
      <c r="AF312" s="1" t="s">
        <v>74</v>
      </c>
      <c r="AG312" s="1" t="s">
        <v>74</v>
      </c>
      <c r="AH312" s="1" t="s">
        <v>74</v>
      </c>
      <c r="AI312" s="1" t="s">
        <v>74</v>
      </c>
      <c r="AJ312" s="1" t="s">
        <v>74</v>
      </c>
      <c r="AK312" s="1" t="s">
        <v>74</v>
      </c>
      <c r="AL312" s="1" t="s">
        <v>74</v>
      </c>
      <c r="AM312" s="1" t="s">
        <v>74</v>
      </c>
      <c r="AN312" s="1" t="s">
        <v>74</v>
      </c>
      <c r="AO312" s="1" t="s">
        <v>2847</v>
      </c>
      <c r="AP312" s="1" t="s">
        <v>2848</v>
      </c>
      <c r="AQ312" s="1" t="s">
        <v>74</v>
      </c>
      <c r="AR312" s="1" t="s">
        <v>74</v>
      </c>
      <c r="AS312" s="1" t="s">
        <v>74</v>
      </c>
      <c r="AT312" s="1" t="s">
        <v>915</v>
      </c>
      <c r="AU312" s="1">
        <v>2021.0</v>
      </c>
      <c r="AV312" s="1">
        <v>11.0</v>
      </c>
      <c r="AW312" s="1">
        <v>2.0</v>
      </c>
      <c r="AX312" s="1" t="s">
        <v>74</v>
      </c>
      <c r="AY312" s="1" t="s">
        <v>74</v>
      </c>
      <c r="AZ312" s="1" t="s">
        <v>74</v>
      </c>
      <c r="BA312" s="1" t="s">
        <v>74</v>
      </c>
      <c r="BB312" s="1">
        <v>199.0</v>
      </c>
      <c r="BC312" s="1">
        <v>230.0</v>
      </c>
      <c r="BD312" s="1" t="s">
        <v>74</v>
      </c>
      <c r="BE312" s="1" t="s">
        <v>74</v>
      </c>
      <c r="BF312" s="1" t="s">
        <v>74</v>
      </c>
      <c r="BG312" s="1" t="s">
        <v>74</v>
      </c>
      <c r="BH312" s="1" t="s">
        <v>74</v>
      </c>
      <c r="BI312" s="1" t="s">
        <v>74</v>
      </c>
      <c r="BJ312" s="1" t="s">
        <v>74</v>
      </c>
      <c r="BK312" s="1" t="s">
        <v>74</v>
      </c>
      <c r="BL312" s="1" t="s">
        <v>74</v>
      </c>
      <c r="BM312" s="1" t="s">
        <v>74</v>
      </c>
      <c r="BN312" s="1" t="s">
        <v>74</v>
      </c>
      <c r="BO312" s="1" t="s">
        <v>74</v>
      </c>
      <c r="BP312" s="1" t="s">
        <v>74</v>
      </c>
      <c r="BQ312" s="1" t="s">
        <v>74</v>
      </c>
      <c r="BR312" s="1" t="s">
        <v>74</v>
      </c>
      <c r="BS312" s="1" t="s">
        <v>2849</v>
      </c>
      <c r="BT312" s="1" t="str">
        <f>HYPERLINK("https%3A%2F%2Fwww.webofscience.com%2Fwos%2Fwoscc%2Ffull-record%2FWOS:000744121900003","View Full Record in Web of Science")</f>
        <v>View Full Record in Web of Science</v>
      </c>
    </row>
    <row r="313" ht="12.75" customHeight="1">
      <c r="A313" s="1" t="s">
        <v>72</v>
      </c>
      <c r="B313" s="1" t="s">
        <v>2777</v>
      </c>
      <c r="C313" s="1" t="s">
        <v>74</v>
      </c>
      <c r="D313" s="1" t="s">
        <v>74</v>
      </c>
      <c r="E313" s="1" t="s">
        <v>74</v>
      </c>
      <c r="F313" s="1" t="s">
        <v>2778</v>
      </c>
      <c r="G313" s="1" t="s">
        <v>74</v>
      </c>
      <c r="H313" s="1" t="s">
        <v>74</v>
      </c>
      <c r="I313" s="1" t="s">
        <v>2850</v>
      </c>
      <c r="J313" s="1" t="s">
        <v>2466</v>
      </c>
      <c r="K313" s="1" t="s">
        <v>74</v>
      </c>
      <c r="L313" s="1" t="s">
        <v>74</v>
      </c>
      <c r="M313" s="1" t="s">
        <v>74</v>
      </c>
      <c r="N313" s="1" t="s">
        <v>74</v>
      </c>
      <c r="O313" s="1" t="s">
        <v>74</v>
      </c>
      <c r="P313" s="1" t="s">
        <v>74</v>
      </c>
      <c r="Q313" s="1" t="s">
        <v>74</v>
      </c>
      <c r="R313" s="1" t="s">
        <v>74</v>
      </c>
      <c r="S313" s="1" t="s">
        <v>74</v>
      </c>
      <c r="T313" s="1" t="s">
        <v>74</v>
      </c>
      <c r="U313" s="1" t="s">
        <v>74</v>
      </c>
      <c r="V313" s="1" t="s">
        <v>2851</v>
      </c>
      <c r="W313" s="1" t="s">
        <v>74</v>
      </c>
      <c r="X313" s="1" t="s">
        <v>74</v>
      </c>
      <c r="Y313" s="1" t="s">
        <v>74</v>
      </c>
      <c r="Z313" s="1" t="s">
        <v>74</v>
      </c>
      <c r="AA313" s="1" t="s">
        <v>2782</v>
      </c>
      <c r="AB313" s="1" t="s">
        <v>2783</v>
      </c>
      <c r="AC313" s="1" t="s">
        <v>74</v>
      </c>
      <c r="AD313" s="1" t="s">
        <v>74</v>
      </c>
      <c r="AE313" s="1" t="s">
        <v>74</v>
      </c>
      <c r="AF313" s="1" t="s">
        <v>74</v>
      </c>
      <c r="AG313" s="1" t="s">
        <v>74</v>
      </c>
      <c r="AH313" s="1" t="s">
        <v>74</v>
      </c>
      <c r="AI313" s="1" t="s">
        <v>74</v>
      </c>
      <c r="AJ313" s="1" t="s">
        <v>74</v>
      </c>
      <c r="AK313" s="1" t="s">
        <v>74</v>
      </c>
      <c r="AL313" s="1" t="s">
        <v>74</v>
      </c>
      <c r="AM313" s="1" t="s">
        <v>74</v>
      </c>
      <c r="AN313" s="1" t="s">
        <v>74</v>
      </c>
      <c r="AO313" s="1" t="s">
        <v>2852</v>
      </c>
      <c r="AP313" s="1" t="s">
        <v>2853</v>
      </c>
      <c r="AQ313" s="1" t="s">
        <v>74</v>
      </c>
      <c r="AR313" s="1" t="s">
        <v>74</v>
      </c>
      <c r="AS313" s="1" t="s">
        <v>74</v>
      </c>
      <c r="AT313" s="1" t="s">
        <v>2854</v>
      </c>
      <c r="AU313" s="1">
        <v>2021.0</v>
      </c>
      <c r="AV313" s="1">
        <v>103.0</v>
      </c>
      <c r="AW313" s="1">
        <v>10.0</v>
      </c>
      <c r="AX313" s="1" t="s">
        <v>74</v>
      </c>
      <c r="AY313" s="1" t="s">
        <v>74</v>
      </c>
      <c r="AZ313" s="1" t="s">
        <v>74</v>
      </c>
      <c r="BA313" s="1" t="s">
        <v>74</v>
      </c>
      <c r="BB313" s="1" t="s">
        <v>74</v>
      </c>
      <c r="BC313" s="1" t="s">
        <v>74</v>
      </c>
      <c r="BD313" s="1">
        <v>106004.0</v>
      </c>
      <c r="BE313" s="1" t="s">
        <v>2855</v>
      </c>
      <c r="BF313" s="2" t="str">
        <f>HYPERLINK("http://dx.doi.org/10.1103/PhysRevD.103.106004","http://dx.doi.org/10.1103/PhysRevD.103.106004")</f>
        <v>http://dx.doi.org/10.1103/PhysRevD.103.106004</v>
      </c>
      <c r="BG313" s="1" t="s">
        <v>74</v>
      </c>
      <c r="BH313" s="1" t="s">
        <v>74</v>
      </c>
      <c r="BI313" s="1" t="s">
        <v>74</v>
      </c>
      <c r="BJ313" s="1" t="s">
        <v>74</v>
      </c>
      <c r="BK313" s="1" t="s">
        <v>74</v>
      </c>
      <c r="BL313" s="1" t="s">
        <v>74</v>
      </c>
      <c r="BM313" s="1" t="s">
        <v>74</v>
      </c>
      <c r="BN313" s="1" t="s">
        <v>74</v>
      </c>
      <c r="BO313" s="1" t="s">
        <v>74</v>
      </c>
      <c r="BP313" s="1" t="s">
        <v>74</v>
      </c>
      <c r="BQ313" s="1" t="s">
        <v>74</v>
      </c>
      <c r="BR313" s="1" t="s">
        <v>74</v>
      </c>
      <c r="BS313" s="1" t="s">
        <v>2856</v>
      </c>
      <c r="BT313" s="1" t="str">
        <f>HYPERLINK("https%3A%2F%2Fwww.webofscience.com%2Fwos%2Fwoscc%2Ffull-record%2FWOS:000655874400011","View Full Record in Web of Science")</f>
        <v>View Full Record in Web of Science</v>
      </c>
    </row>
    <row r="314" ht="12.75" customHeight="1">
      <c r="A314" s="1" t="s">
        <v>72</v>
      </c>
      <c r="B314" s="1" t="s">
        <v>500</v>
      </c>
      <c r="C314" s="1" t="s">
        <v>74</v>
      </c>
      <c r="D314" s="1" t="s">
        <v>74</v>
      </c>
      <c r="E314" s="1" t="s">
        <v>74</v>
      </c>
      <c r="F314" s="1" t="s">
        <v>502</v>
      </c>
      <c r="G314" s="1" t="s">
        <v>74</v>
      </c>
      <c r="H314" s="1" t="s">
        <v>74</v>
      </c>
      <c r="I314" s="1" t="s">
        <v>2857</v>
      </c>
      <c r="J314" s="1" t="s">
        <v>2197</v>
      </c>
      <c r="K314" s="1" t="s">
        <v>74</v>
      </c>
      <c r="L314" s="1" t="s">
        <v>74</v>
      </c>
      <c r="M314" s="1" t="s">
        <v>74</v>
      </c>
      <c r="N314" s="1" t="s">
        <v>74</v>
      </c>
      <c r="O314" s="1" t="s">
        <v>74</v>
      </c>
      <c r="P314" s="1" t="s">
        <v>74</v>
      </c>
      <c r="Q314" s="1" t="s">
        <v>74</v>
      </c>
      <c r="R314" s="1" t="s">
        <v>74</v>
      </c>
      <c r="S314" s="1" t="s">
        <v>74</v>
      </c>
      <c r="T314" s="1" t="s">
        <v>74</v>
      </c>
      <c r="U314" s="1" t="s">
        <v>74</v>
      </c>
      <c r="V314" s="1" t="s">
        <v>2858</v>
      </c>
      <c r="W314" s="1" t="s">
        <v>74</v>
      </c>
      <c r="X314" s="1" t="s">
        <v>74</v>
      </c>
      <c r="Y314" s="1" t="s">
        <v>74</v>
      </c>
      <c r="Z314" s="1" t="s">
        <v>74</v>
      </c>
      <c r="AA314" s="1" t="s">
        <v>74</v>
      </c>
      <c r="AB314" s="1" t="s">
        <v>74</v>
      </c>
      <c r="AC314" s="1" t="s">
        <v>74</v>
      </c>
      <c r="AD314" s="1" t="s">
        <v>74</v>
      </c>
      <c r="AE314" s="1" t="s">
        <v>74</v>
      </c>
      <c r="AF314" s="1" t="s">
        <v>74</v>
      </c>
      <c r="AG314" s="1" t="s">
        <v>74</v>
      </c>
      <c r="AH314" s="1" t="s">
        <v>74</v>
      </c>
      <c r="AI314" s="1" t="s">
        <v>74</v>
      </c>
      <c r="AJ314" s="1" t="s">
        <v>74</v>
      </c>
      <c r="AK314" s="1" t="s">
        <v>74</v>
      </c>
      <c r="AL314" s="1" t="s">
        <v>74</v>
      </c>
      <c r="AM314" s="1" t="s">
        <v>74</v>
      </c>
      <c r="AN314" s="1" t="s">
        <v>74</v>
      </c>
      <c r="AO314" s="1" t="s">
        <v>2199</v>
      </c>
      <c r="AP314" s="1" t="s">
        <v>74</v>
      </c>
      <c r="AQ314" s="1" t="s">
        <v>74</v>
      </c>
      <c r="AR314" s="1" t="s">
        <v>74</v>
      </c>
      <c r="AS314" s="1" t="s">
        <v>74</v>
      </c>
      <c r="AT314" s="1" t="s">
        <v>347</v>
      </c>
      <c r="AU314" s="1">
        <v>2021.0</v>
      </c>
      <c r="AV314" s="1">
        <v>50.0</v>
      </c>
      <c r="AW314" s="1" t="s">
        <v>74</v>
      </c>
      <c r="AX314" s="1" t="s">
        <v>74</v>
      </c>
      <c r="AY314" s="1" t="s">
        <v>74</v>
      </c>
      <c r="AZ314" s="1" t="s">
        <v>74</v>
      </c>
      <c r="BA314" s="1" t="s">
        <v>74</v>
      </c>
      <c r="BB314" s="1" t="s">
        <v>74</v>
      </c>
      <c r="BC314" s="1" t="s">
        <v>74</v>
      </c>
      <c r="BD314" s="1" t="s">
        <v>74</v>
      </c>
      <c r="BE314" s="1" t="s">
        <v>74</v>
      </c>
      <c r="BF314" s="1" t="s">
        <v>74</v>
      </c>
      <c r="BG314" s="1" t="s">
        <v>74</v>
      </c>
      <c r="BH314" s="1" t="s">
        <v>74</v>
      </c>
      <c r="BI314" s="1" t="s">
        <v>74</v>
      </c>
      <c r="BJ314" s="1" t="s">
        <v>74</v>
      </c>
      <c r="BK314" s="1" t="s">
        <v>74</v>
      </c>
      <c r="BL314" s="1" t="s">
        <v>74</v>
      </c>
      <c r="BM314" s="1" t="s">
        <v>74</v>
      </c>
      <c r="BN314" s="1" t="s">
        <v>74</v>
      </c>
      <c r="BO314" s="1" t="s">
        <v>74</v>
      </c>
      <c r="BP314" s="1" t="s">
        <v>74</v>
      </c>
      <c r="BQ314" s="1" t="s">
        <v>74</v>
      </c>
      <c r="BR314" s="1" t="s">
        <v>74</v>
      </c>
      <c r="BS314" s="1" t="s">
        <v>2859</v>
      </c>
      <c r="BT314" s="1" t="str">
        <f>HYPERLINK("https%3A%2F%2Fwww.webofscience.com%2Fwos%2Fwoscc%2Ffull-record%2FWOS:000766714700016","View Full Record in Web of Science")</f>
        <v>View Full Record in Web of Science</v>
      </c>
    </row>
    <row r="315" ht="12.75" customHeight="1">
      <c r="A315" s="1" t="s">
        <v>72</v>
      </c>
      <c r="B315" s="1" t="s">
        <v>2860</v>
      </c>
      <c r="C315" s="1" t="s">
        <v>74</v>
      </c>
      <c r="D315" s="1" t="s">
        <v>74</v>
      </c>
      <c r="E315" s="1" t="s">
        <v>74</v>
      </c>
      <c r="F315" s="1" t="s">
        <v>2861</v>
      </c>
      <c r="G315" s="1" t="s">
        <v>74</v>
      </c>
      <c r="H315" s="1" t="s">
        <v>74</v>
      </c>
      <c r="I315" s="1" t="s">
        <v>2862</v>
      </c>
      <c r="J315" s="1" t="s">
        <v>2863</v>
      </c>
      <c r="K315" s="1" t="s">
        <v>74</v>
      </c>
      <c r="L315" s="1" t="s">
        <v>74</v>
      </c>
      <c r="M315" s="1" t="s">
        <v>74</v>
      </c>
      <c r="N315" s="1" t="s">
        <v>74</v>
      </c>
      <c r="O315" s="1" t="s">
        <v>74</v>
      </c>
      <c r="P315" s="1" t="s">
        <v>74</v>
      </c>
      <c r="Q315" s="1" t="s">
        <v>74</v>
      </c>
      <c r="R315" s="1" t="s">
        <v>74</v>
      </c>
      <c r="S315" s="1" t="s">
        <v>74</v>
      </c>
      <c r="T315" s="1" t="s">
        <v>74</v>
      </c>
      <c r="U315" s="1" t="s">
        <v>74</v>
      </c>
      <c r="V315" s="1" t="s">
        <v>2864</v>
      </c>
      <c r="W315" s="1" t="s">
        <v>74</v>
      </c>
      <c r="X315" s="1" t="s">
        <v>74</v>
      </c>
      <c r="Y315" s="1" t="s">
        <v>74</v>
      </c>
      <c r="Z315" s="1" t="s">
        <v>74</v>
      </c>
      <c r="AA315" s="1" t="s">
        <v>2865</v>
      </c>
      <c r="AB315" s="1" t="s">
        <v>2866</v>
      </c>
      <c r="AC315" s="1" t="s">
        <v>74</v>
      </c>
      <c r="AD315" s="1" t="s">
        <v>74</v>
      </c>
      <c r="AE315" s="1" t="s">
        <v>74</v>
      </c>
      <c r="AF315" s="1" t="s">
        <v>74</v>
      </c>
      <c r="AG315" s="1" t="s">
        <v>74</v>
      </c>
      <c r="AH315" s="1" t="s">
        <v>74</v>
      </c>
      <c r="AI315" s="1" t="s">
        <v>74</v>
      </c>
      <c r="AJ315" s="1" t="s">
        <v>74</v>
      </c>
      <c r="AK315" s="1" t="s">
        <v>74</v>
      </c>
      <c r="AL315" s="1" t="s">
        <v>74</v>
      </c>
      <c r="AM315" s="1" t="s">
        <v>74</v>
      </c>
      <c r="AN315" s="1" t="s">
        <v>74</v>
      </c>
      <c r="AO315" s="1" t="s">
        <v>2867</v>
      </c>
      <c r="AP315" s="1" t="s">
        <v>2868</v>
      </c>
      <c r="AQ315" s="1" t="s">
        <v>74</v>
      </c>
      <c r="AR315" s="1" t="s">
        <v>74</v>
      </c>
      <c r="AS315" s="1" t="s">
        <v>74</v>
      </c>
      <c r="AT315" s="1" t="s">
        <v>1493</v>
      </c>
      <c r="AU315" s="1">
        <v>2021.0</v>
      </c>
      <c r="AV315" s="1" t="s">
        <v>74</v>
      </c>
      <c r="AW315" s="1">
        <v>63.0</v>
      </c>
      <c r="AX315" s="1" t="s">
        <v>74</v>
      </c>
      <c r="AY315" s="1" t="s">
        <v>74</v>
      </c>
      <c r="AZ315" s="1" t="s">
        <v>74</v>
      </c>
      <c r="BA315" s="1" t="s">
        <v>74</v>
      </c>
      <c r="BB315" s="1">
        <v>246.0</v>
      </c>
      <c r="BC315" s="1">
        <v>269.0</v>
      </c>
      <c r="BD315" s="1" t="s">
        <v>74</v>
      </c>
      <c r="BE315" s="1" t="s">
        <v>2869</v>
      </c>
      <c r="BF315" s="2" t="str">
        <f>HYPERLINK("http://dx.doi.org/10.12795/themata.2021.i63.13","http://dx.doi.org/10.12795/themata.2021.i63.13")</f>
        <v>http://dx.doi.org/10.12795/themata.2021.i63.13</v>
      </c>
      <c r="BG315" s="1" t="s">
        <v>74</v>
      </c>
      <c r="BH315" s="1" t="s">
        <v>74</v>
      </c>
      <c r="BI315" s="1" t="s">
        <v>74</v>
      </c>
      <c r="BJ315" s="1" t="s">
        <v>74</v>
      </c>
      <c r="BK315" s="1" t="s">
        <v>74</v>
      </c>
      <c r="BL315" s="1" t="s">
        <v>74</v>
      </c>
      <c r="BM315" s="1" t="s">
        <v>74</v>
      </c>
      <c r="BN315" s="1" t="s">
        <v>74</v>
      </c>
      <c r="BO315" s="1" t="s">
        <v>74</v>
      </c>
      <c r="BP315" s="1" t="s">
        <v>74</v>
      </c>
      <c r="BQ315" s="1" t="s">
        <v>74</v>
      </c>
      <c r="BR315" s="1" t="s">
        <v>74</v>
      </c>
      <c r="BS315" s="1" t="s">
        <v>2870</v>
      </c>
      <c r="BT315" s="1" t="str">
        <f>HYPERLINK("https%3A%2F%2Fwww.webofscience.com%2Fwos%2Fwoscc%2Ffull-record%2FWOS:000744186900012","View Full Record in Web of Science")</f>
        <v>View Full Record in Web of Science</v>
      </c>
    </row>
    <row r="316" ht="12.75" customHeight="1">
      <c r="A316" s="1" t="s">
        <v>91</v>
      </c>
      <c r="B316" s="1" t="s">
        <v>2871</v>
      </c>
      <c r="C316" s="1" t="s">
        <v>74</v>
      </c>
      <c r="D316" s="1" t="s">
        <v>74</v>
      </c>
      <c r="E316" s="1" t="s">
        <v>442</v>
      </c>
      <c r="F316" s="1" t="s">
        <v>2872</v>
      </c>
      <c r="G316" s="1" t="s">
        <v>74</v>
      </c>
      <c r="H316" s="1" t="s">
        <v>74</v>
      </c>
      <c r="I316" s="1" t="s">
        <v>2873</v>
      </c>
      <c r="J316" s="1" t="s">
        <v>2874</v>
      </c>
      <c r="K316" s="1" t="s">
        <v>74</v>
      </c>
      <c r="L316" s="1" t="s">
        <v>74</v>
      </c>
      <c r="M316" s="1" t="s">
        <v>74</v>
      </c>
      <c r="N316" s="1" t="s">
        <v>74</v>
      </c>
      <c r="O316" s="1" t="s">
        <v>2875</v>
      </c>
      <c r="P316" s="1" t="s">
        <v>2876</v>
      </c>
      <c r="Q316" s="1" t="s">
        <v>448</v>
      </c>
      <c r="R316" s="1" t="s">
        <v>2877</v>
      </c>
      <c r="S316" s="1" t="s">
        <v>74</v>
      </c>
      <c r="T316" s="1" t="s">
        <v>74</v>
      </c>
      <c r="U316" s="1" t="s">
        <v>74</v>
      </c>
      <c r="V316" s="1" t="s">
        <v>2878</v>
      </c>
      <c r="W316" s="1" t="s">
        <v>74</v>
      </c>
      <c r="X316" s="1" t="s">
        <v>74</v>
      </c>
      <c r="Y316" s="1" t="s">
        <v>74</v>
      </c>
      <c r="Z316" s="1" t="s">
        <v>74</v>
      </c>
      <c r="AA316" s="1" t="s">
        <v>74</v>
      </c>
      <c r="AB316" s="1" t="s">
        <v>2879</v>
      </c>
      <c r="AC316" s="1" t="s">
        <v>74</v>
      </c>
      <c r="AD316" s="1" t="s">
        <v>74</v>
      </c>
      <c r="AE316" s="1" t="s">
        <v>74</v>
      </c>
      <c r="AF316" s="1" t="s">
        <v>74</v>
      </c>
      <c r="AG316" s="1" t="s">
        <v>74</v>
      </c>
      <c r="AH316" s="1" t="s">
        <v>74</v>
      </c>
      <c r="AI316" s="1" t="s">
        <v>74</v>
      </c>
      <c r="AJ316" s="1" t="s">
        <v>74</v>
      </c>
      <c r="AK316" s="1" t="s">
        <v>74</v>
      </c>
      <c r="AL316" s="1" t="s">
        <v>74</v>
      </c>
      <c r="AM316" s="1" t="s">
        <v>74</v>
      </c>
      <c r="AN316" s="1" t="s">
        <v>74</v>
      </c>
      <c r="AO316" s="1" t="s">
        <v>74</v>
      </c>
      <c r="AP316" s="1" t="s">
        <v>74</v>
      </c>
      <c r="AQ316" s="1" t="s">
        <v>2880</v>
      </c>
      <c r="AR316" s="1" t="s">
        <v>74</v>
      </c>
      <c r="AS316" s="1" t="s">
        <v>74</v>
      </c>
      <c r="AT316" s="1" t="s">
        <v>74</v>
      </c>
      <c r="AU316" s="1">
        <v>2021.0</v>
      </c>
      <c r="AV316" s="1" t="s">
        <v>74</v>
      </c>
      <c r="AW316" s="1" t="s">
        <v>74</v>
      </c>
      <c r="AX316" s="1" t="s">
        <v>74</v>
      </c>
      <c r="AY316" s="1" t="s">
        <v>74</v>
      </c>
      <c r="AZ316" s="1" t="s">
        <v>74</v>
      </c>
      <c r="BA316" s="1" t="s">
        <v>74</v>
      </c>
      <c r="BB316" s="1">
        <v>305.0</v>
      </c>
      <c r="BC316" s="1">
        <v>310.0</v>
      </c>
      <c r="BD316" s="1" t="s">
        <v>74</v>
      </c>
      <c r="BE316" s="1" t="s">
        <v>2881</v>
      </c>
      <c r="BF316" s="2" t="str">
        <f>HYPERLINK("http://dx.doi.org/10.1109/CHILECON54041.2021.9703076","http://dx.doi.org/10.1109/CHILECON54041.2021.9703076")</f>
        <v>http://dx.doi.org/10.1109/CHILECON54041.2021.9703076</v>
      </c>
      <c r="BG316" s="1" t="s">
        <v>74</v>
      </c>
      <c r="BH316" s="1" t="s">
        <v>74</v>
      </c>
      <c r="BI316" s="1" t="s">
        <v>74</v>
      </c>
      <c r="BJ316" s="1" t="s">
        <v>74</v>
      </c>
      <c r="BK316" s="1" t="s">
        <v>74</v>
      </c>
      <c r="BL316" s="1" t="s">
        <v>74</v>
      </c>
      <c r="BM316" s="1" t="s">
        <v>74</v>
      </c>
      <c r="BN316" s="1" t="s">
        <v>74</v>
      </c>
      <c r="BO316" s="1" t="s">
        <v>74</v>
      </c>
      <c r="BP316" s="1" t="s">
        <v>74</v>
      </c>
      <c r="BQ316" s="1" t="s">
        <v>74</v>
      </c>
      <c r="BR316" s="1" t="s">
        <v>74</v>
      </c>
      <c r="BS316" s="1" t="s">
        <v>2882</v>
      </c>
      <c r="BT316" s="1" t="str">
        <f>HYPERLINK("https%3A%2F%2Fwww.webofscience.com%2Fwos%2Fwoscc%2Ffull-record%2FWOS:000788072700052","View Full Record in Web of Science")</f>
        <v>View Full Record in Web of Science</v>
      </c>
    </row>
    <row r="317" ht="12.75" customHeight="1">
      <c r="A317" s="1" t="s">
        <v>72</v>
      </c>
      <c r="B317" s="1" t="s">
        <v>2883</v>
      </c>
      <c r="C317" s="1" t="s">
        <v>74</v>
      </c>
      <c r="D317" s="1" t="s">
        <v>74</v>
      </c>
      <c r="E317" s="1" t="s">
        <v>74</v>
      </c>
      <c r="F317" s="1" t="s">
        <v>2884</v>
      </c>
      <c r="G317" s="1" t="s">
        <v>74</v>
      </c>
      <c r="H317" s="1" t="s">
        <v>74</v>
      </c>
      <c r="I317" s="1" t="s">
        <v>2885</v>
      </c>
      <c r="J317" s="1" t="s">
        <v>2886</v>
      </c>
      <c r="K317" s="1" t="s">
        <v>74</v>
      </c>
      <c r="L317" s="1" t="s">
        <v>74</v>
      </c>
      <c r="M317" s="1" t="s">
        <v>74</v>
      </c>
      <c r="N317" s="1" t="s">
        <v>74</v>
      </c>
      <c r="O317" s="1" t="s">
        <v>74</v>
      </c>
      <c r="P317" s="1" t="s">
        <v>74</v>
      </c>
      <c r="Q317" s="1" t="s">
        <v>74</v>
      </c>
      <c r="R317" s="1" t="s">
        <v>74</v>
      </c>
      <c r="S317" s="1" t="s">
        <v>74</v>
      </c>
      <c r="T317" s="1" t="s">
        <v>74</v>
      </c>
      <c r="U317" s="1" t="s">
        <v>74</v>
      </c>
      <c r="V317" s="1" t="s">
        <v>2887</v>
      </c>
      <c r="W317" s="1" t="s">
        <v>74</v>
      </c>
      <c r="X317" s="1" t="s">
        <v>74</v>
      </c>
      <c r="Y317" s="1" t="s">
        <v>74</v>
      </c>
      <c r="Z317" s="1" t="s">
        <v>74</v>
      </c>
      <c r="AA317" s="1" t="s">
        <v>296</v>
      </c>
      <c r="AB317" s="1" t="s">
        <v>486</v>
      </c>
      <c r="AC317" s="1" t="s">
        <v>74</v>
      </c>
      <c r="AD317" s="1" t="s">
        <v>74</v>
      </c>
      <c r="AE317" s="1" t="s">
        <v>74</v>
      </c>
      <c r="AF317" s="1" t="s">
        <v>74</v>
      </c>
      <c r="AG317" s="1" t="s">
        <v>74</v>
      </c>
      <c r="AH317" s="1" t="s">
        <v>74</v>
      </c>
      <c r="AI317" s="1" t="s">
        <v>74</v>
      </c>
      <c r="AJ317" s="1" t="s">
        <v>74</v>
      </c>
      <c r="AK317" s="1" t="s">
        <v>74</v>
      </c>
      <c r="AL317" s="1" t="s">
        <v>74</v>
      </c>
      <c r="AM317" s="1" t="s">
        <v>74</v>
      </c>
      <c r="AN317" s="1" t="s">
        <v>74</v>
      </c>
      <c r="AO317" s="1" t="s">
        <v>2888</v>
      </c>
      <c r="AP317" s="1" t="s">
        <v>74</v>
      </c>
      <c r="AQ317" s="1" t="s">
        <v>74</v>
      </c>
      <c r="AR317" s="1" t="s">
        <v>74</v>
      </c>
      <c r="AS317" s="1" t="s">
        <v>74</v>
      </c>
      <c r="AT317" s="1" t="s">
        <v>74</v>
      </c>
      <c r="AU317" s="1">
        <v>2021.0</v>
      </c>
      <c r="AV317" s="1">
        <v>50.0</v>
      </c>
      <c r="AW317" s="1">
        <v>3.0</v>
      </c>
      <c r="AX317" s="1" t="s">
        <v>74</v>
      </c>
      <c r="AY317" s="1" t="s">
        <v>74</v>
      </c>
      <c r="AZ317" s="1" t="s">
        <v>74</v>
      </c>
      <c r="BA317" s="1" t="s">
        <v>74</v>
      </c>
      <c r="BB317" s="1">
        <v>485.0</v>
      </c>
      <c r="BC317" s="1">
        <v>494.0</v>
      </c>
      <c r="BD317" s="1" t="s">
        <v>74</v>
      </c>
      <c r="BE317" s="1" t="s">
        <v>2889</v>
      </c>
      <c r="BF317" s="2" t="str">
        <f>HYPERLINK("http://dx.doi.org/10.5755/j01.itc.50.3.29242","http://dx.doi.org/10.5755/j01.itc.50.3.29242")</f>
        <v>http://dx.doi.org/10.5755/j01.itc.50.3.29242</v>
      </c>
      <c r="BG317" s="1" t="s">
        <v>74</v>
      </c>
      <c r="BH317" s="1" t="s">
        <v>74</v>
      </c>
      <c r="BI317" s="1" t="s">
        <v>74</v>
      </c>
      <c r="BJ317" s="1" t="s">
        <v>74</v>
      </c>
      <c r="BK317" s="1" t="s">
        <v>74</v>
      </c>
      <c r="BL317" s="1" t="s">
        <v>74</v>
      </c>
      <c r="BM317" s="1" t="s">
        <v>74</v>
      </c>
      <c r="BN317" s="1" t="s">
        <v>74</v>
      </c>
      <c r="BO317" s="1" t="s">
        <v>74</v>
      </c>
      <c r="BP317" s="1" t="s">
        <v>74</v>
      </c>
      <c r="BQ317" s="1" t="s">
        <v>74</v>
      </c>
      <c r="BR317" s="1" t="s">
        <v>74</v>
      </c>
      <c r="BS317" s="1" t="s">
        <v>2890</v>
      </c>
      <c r="BT317" s="1" t="str">
        <f>HYPERLINK("https%3A%2F%2Fwww.webofscience.com%2Fwos%2Fwoscc%2Ffull-record%2FWOS:000709572900006","View Full Record in Web of Science")</f>
        <v>View Full Record in Web of Science</v>
      </c>
    </row>
    <row r="318" ht="12.75" customHeight="1">
      <c r="A318" s="1" t="s">
        <v>91</v>
      </c>
      <c r="B318" s="1" t="s">
        <v>2891</v>
      </c>
      <c r="C318" s="1" t="s">
        <v>74</v>
      </c>
      <c r="D318" s="1" t="s">
        <v>74</v>
      </c>
      <c r="E318" s="1" t="s">
        <v>442</v>
      </c>
      <c r="F318" s="1" t="s">
        <v>2892</v>
      </c>
      <c r="G318" s="1" t="s">
        <v>74</v>
      </c>
      <c r="H318" s="1" t="s">
        <v>74</v>
      </c>
      <c r="I318" s="1" t="s">
        <v>2893</v>
      </c>
      <c r="J318" s="1" t="s">
        <v>445</v>
      </c>
      <c r="K318" s="1" t="s">
        <v>74</v>
      </c>
      <c r="L318" s="1" t="s">
        <v>74</v>
      </c>
      <c r="M318" s="1" t="s">
        <v>74</v>
      </c>
      <c r="N318" s="1" t="s">
        <v>74</v>
      </c>
      <c r="O318" s="1" t="s">
        <v>446</v>
      </c>
      <c r="P318" s="1" t="s">
        <v>447</v>
      </c>
      <c r="Q318" s="1" t="s">
        <v>448</v>
      </c>
      <c r="R318" s="1" t="s">
        <v>449</v>
      </c>
      <c r="S318" s="1" t="s">
        <v>74</v>
      </c>
      <c r="T318" s="1" t="s">
        <v>74</v>
      </c>
      <c r="U318" s="1" t="s">
        <v>74</v>
      </c>
      <c r="V318" s="1" t="s">
        <v>2894</v>
      </c>
      <c r="W318" s="1" t="s">
        <v>74</v>
      </c>
      <c r="X318" s="1" t="s">
        <v>74</v>
      </c>
      <c r="Y318" s="1" t="s">
        <v>74</v>
      </c>
      <c r="Z318" s="1" t="s">
        <v>74</v>
      </c>
      <c r="AA318" s="1" t="s">
        <v>2895</v>
      </c>
      <c r="AB318" s="1" t="s">
        <v>2896</v>
      </c>
      <c r="AC318" s="1" t="s">
        <v>74</v>
      </c>
      <c r="AD318" s="1" t="s">
        <v>74</v>
      </c>
      <c r="AE318" s="1" t="s">
        <v>74</v>
      </c>
      <c r="AF318" s="1" t="s">
        <v>74</v>
      </c>
      <c r="AG318" s="1" t="s">
        <v>74</v>
      </c>
      <c r="AH318" s="1" t="s">
        <v>74</v>
      </c>
      <c r="AI318" s="1" t="s">
        <v>74</v>
      </c>
      <c r="AJ318" s="1" t="s">
        <v>74</v>
      </c>
      <c r="AK318" s="1" t="s">
        <v>74</v>
      </c>
      <c r="AL318" s="1" t="s">
        <v>74</v>
      </c>
      <c r="AM318" s="1" t="s">
        <v>74</v>
      </c>
      <c r="AN318" s="1" t="s">
        <v>74</v>
      </c>
      <c r="AO318" s="1" t="s">
        <v>74</v>
      </c>
      <c r="AP318" s="1" t="s">
        <v>74</v>
      </c>
      <c r="AQ318" s="1" t="s">
        <v>451</v>
      </c>
      <c r="AR318" s="1" t="s">
        <v>74</v>
      </c>
      <c r="AS318" s="1" t="s">
        <v>74</v>
      </c>
      <c r="AT318" s="1" t="s">
        <v>74</v>
      </c>
      <c r="AU318" s="1">
        <v>2021.0</v>
      </c>
      <c r="AV318" s="1" t="s">
        <v>74</v>
      </c>
      <c r="AW318" s="1" t="s">
        <v>74</v>
      </c>
      <c r="AX318" s="1" t="s">
        <v>74</v>
      </c>
      <c r="AY318" s="1" t="s">
        <v>74</v>
      </c>
      <c r="AZ318" s="1" t="s">
        <v>74</v>
      </c>
      <c r="BA318" s="1" t="s">
        <v>74</v>
      </c>
      <c r="BB318" s="1" t="s">
        <v>74</v>
      </c>
      <c r="BC318" s="1" t="s">
        <v>74</v>
      </c>
      <c r="BD318" s="1" t="s">
        <v>74</v>
      </c>
      <c r="BE318" s="1" t="s">
        <v>2897</v>
      </c>
      <c r="BF318" s="2" t="str">
        <f>HYPERLINK("http://dx.doi.org/10.1109/ICAACCA51523.2021.9465308","http://dx.doi.org/10.1109/ICAACCA51523.2021.9465308")</f>
        <v>http://dx.doi.org/10.1109/ICAACCA51523.2021.9465308</v>
      </c>
      <c r="BG318" s="1" t="s">
        <v>74</v>
      </c>
      <c r="BH318" s="1" t="s">
        <v>74</v>
      </c>
      <c r="BI318" s="1" t="s">
        <v>74</v>
      </c>
      <c r="BJ318" s="1" t="s">
        <v>74</v>
      </c>
      <c r="BK318" s="1" t="s">
        <v>74</v>
      </c>
      <c r="BL318" s="1" t="s">
        <v>74</v>
      </c>
      <c r="BM318" s="1" t="s">
        <v>74</v>
      </c>
      <c r="BN318" s="1" t="s">
        <v>74</v>
      </c>
      <c r="BO318" s="1" t="s">
        <v>74</v>
      </c>
      <c r="BP318" s="1" t="s">
        <v>74</v>
      </c>
      <c r="BQ318" s="1" t="s">
        <v>74</v>
      </c>
      <c r="BR318" s="1" t="s">
        <v>74</v>
      </c>
      <c r="BS318" s="1" t="s">
        <v>2898</v>
      </c>
      <c r="BT318" s="1" t="str">
        <f>HYPERLINK("https%3A%2F%2Fwww.webofscience.com%2Fwos%2Fwoscc%2Ffull-record%2FWOS:000855764500014","View Full Record in Web of Science")</f>
        <v>View Full Record in Web of Science</v>
      </c>
    </row>
    <row r="319" ht="12.75" customHeight="1">
      <c r="A319" s="1" t="s">
        <v>454</v>
      </c>
      <c r="B319" s="1" t="s">
        <v>2899</v>
      </c>
      <c r="C319" s="1" t="s">
        <v>74</v>
      </c>
      <c r="D319" s="1" t="s">
        <v>456</v>
      </c>
      <c r="E319" s="1" t="s">
        <v>74</v>
      </c>
      <c r="F319" s="1" t="s">
        <v>2900</v>
      </c>
      <c r="G319" s="1" t="s">
        <v>74</v>
      </c>
      <c r="H319" s="1" t="s">
        <v>74</v>
      </c>
      <c r="I319" s="1" t="s">
        <v>2901</v>
      </c>
      <c r="J319" s="1" t="s">
        <v>459</v>
      </c>
      <c r="K319" s="1" t="s">
        <v>74</v>
      </c>
      <c r="L319" s="1" t="s">
        <v>74</v>
      </c>
      <c r="M319" s="1" t="s">
        <v>74</v>
      </c>
      <c r="N319" s="1" t="s">
        <v>74</v>
      </c>
      <c r="O319" s="1" t="s">
        <v>74</v>
      </c>
      <c r="P319" s="1" t="s">
        <v>74</v>
      </c>
      <c r="Q319" s="1" t="s">
        <v>74</v>
      </c>
      <c r="R319" s="1" t="s">
        <v>74</v>
      </c>
      <c r="S319" s="1" t="s">
        <v>74</v>
      </c>
      <c r="T319" s="1" t="s">
        <v>74</v>
      </c>
      <c r="U319" s="1" t="s">
        <v>74</v>
      </c>
      <c r="V319" s="1" t="s">
        <v>74</v>
      </c>
      <c r="W319" s="1" t="s">
        <v>74</v>
      </c>
      <c r="X319" s="1" t="s">
        <v>74</v>
      </c>
      <c r="Y319" s="1" t="s">
        <v>74</v>
      </c>
      <c r="Z319" s="1" t="s">
        <v>74</v>
      </c>
      <c r="AA319" s="1" t="s">
        <v>74</v>
      </c>
      <c r="AB319" s="1" t="s">
        <v>74</v>
      </c>
      <c r="AC319" s="1" t="s">
        <v>74</v>
      </c>
      <c r="AD319" s="1" t="s">
        <v>74</v>
      </c>
      <c r="AE319" s="1" t="s">
        <v>74</v>
      </c>
      <c r="AF319" s="1" t="s">
        <v>74</v>
      </c>
      <c r="AG319" s="1" t="s">
        <v>74</v>
      </c>
      <c r="AH319" s="1" t="s">
        <v>74</v>
      </c>
      <c r="AI319" s="1" t="s">
        <v>74</v>
      </c>
      <c r="AJ319" s="1" t="s">
        <v>74</v>
      </c>
      <c r="AK319" s="1" t="s">
        <v>74</v>
      </c>
      <c r="AL319" s="1" t="s">
        <v>74</v>
      </c>
      <c r="AM319" s="1" t="s">
        <v>74</v>
      </c>
      <c r="AN319" s="1" t="s">
        <v>74</v>
      </c>
      <c r="AO319" s="1" t="s">
        <v>74</v>
      </c>
      <c r="AP319" s="1" t="s">
        <v>74</v>
      </c>
      <c r="AQ319" s="1" t="s">
        <v>460</v>
      </c>
      <c r="AR319" s="1" t="s">
        <v>74</v>
      </c>
      <c r="AS319" s="1" t="s">
        <v>74</v>
      </c>
      <c r="AT319" s="1" t="s">
        <v>74</v>
      </c>
      <c r="AU319" s="1">
        <v>2021.0</v>
      </c>
      <c r="AV319" s="1" t="s">
        <v>74</v>
      </c>
      <c r="AW319" s="1" t="s">
        <v>74</v>
      </c>
      <c r="AX319" s="1" t="s">
        <v>74</v>
      </c>
      <c r="AY319" s="1" t="s">
        <v>74</v>
      </c>
      <c r="AZ319" s="1" t="s">
        <v>74</v>
      </c>
      <c r="BA319" s="1" t="s">
        <v>74</v>
      </c>
      <c r="BB319" s="1">
        <v>199.0</v>
      </c>
      <c r="BC319" s="1">
        <v>217.0</v>
      </c>
      <c r="BD319" s="1" t="s">
        <v>74</v>
      </c>
      <c r="BE319" s="1" t="s">
        <v>74</v>
      </c>
      <c r="BF319" s="1" t="s">
        <v>74</v>
      </c>
      <c r="BG319" s="1" t="s">
        <v>461</v>
      </c>
      <c r="BH319" s="1" t="s">
        <v>74</v>
      </c>
      <c r="BI319" s="1" t="s">
        <v>74</v>
      </c>
      <c r="BJ319" s="1" t="s">
        <v>74</v>
      </c>
      <c r="BK319" s="1" t="s">
        <v>74</v>
      </c>
      <c r="BL319" s="1" t="s">
        <v>74</v>
      </c>
      <c r="BM319" s="1" t="s">
        <v>74</v>
      </c>
      <c r="BN319" s="1" t="s">
        <v>74</v>
      </c>
      <c r="BO319" s="1" t="s">
        <v>74</v>
      </c>
      <c r="BP319" s="1" t="s">
        <v>74</v>
      </c>
      <c r="BQ319" s="1" t="s">
        <v>74</v>
      </c>
      <c r="BR319" s="1" t="s">
        <v>74</v>
      </c>
      <c r="BS319" s="1" t="s">
        <v>2902</v>
      </c>
      <c r="BT319" s="1" t="str">
        <f>HYPERLINK("https%3A%2F%2Fwww.webofscience.com%2Fwos%2Fwoscc%2Ffull-record%2FWOS:000762754900009","View Full Record in Web of Science")</f>
        <v>View Full Record in Web of Science</v>
      </c>
    </row>
    <row r="320" ht="12.75" customHeight="1">
      <c r="A320" s="1" t="s">
        <v>91</v>
      </c>
      <c r="B320" s="1" t="s">
        <v>2903</v>
      </c>
      <c r="C320" s="1" t="s">
        <v>74</v>
      </c>
      <c r="D320" s="1" t="s">
        <v>74</v>
      </c>
      <c r="E320" s="1" t="s">
        <v>442</v>
      </c>
      <c r="F320" s="1" t="s">
        <v>2904</v>
      </c>
      <c r="G320" s="1" t="s">
        <v>74</v>
      </c>
      <c r="H320" s="1" t="s">
        <v>74</v>
      </c>
      <c r="I320" s="1" t="s">
        <v>2905</v>
      </c>
      <c r="J320" s="1" t="s">
        <v>2874</v>
      </c>
      <c r="K320" s="1" t="s">
        <v>74</v>
      </c>
      <c r="L320" s="1" t="s">
        <v>74</v>
      </c>
      <c r="M320" s="1" t="s">
        <v>74</v>
      </c>
      <c r="N320" s="1" t="s">
        <v>74</v>
      </c>
      <c r="O320" s="1" t="s">
        <v>2875</v>
      </c>
      <c r="P320" s="1" t="s">
        <v>2876</v>
      </c>
      <c r="Q320" s="1" t="s">
        <v>448</v>
      </c>
      <c r="R320" s="1" t="s">
        <v>2877</v>
      </c>
      <c r="S320" s="1" t="s">
        <v>74</v>
      </c>
      <c r="T320" s="1" t="s">
        <v>74</v>
      </c>
      <c r="U320" s="1" t="s">
        <v>74</v>
      </c>
      <c r="V320" s="1" t="s">
        <v>2906</v>
      </c>
      <c r="W320" s="1" t="s">
        <v>74</v>
      </c>
      <c r="X320" s="1" t="s">
        <v>74</v>
      </c>
      <c r="Y320" s="1" t="s">
        <v>74</v>
      </c>
      <c r="Z320" s="1" t="s">
        <v>74</v>
      </c>
      <c r="AA320" s="1" t="s">
        <v>74</v>
      </c>
      <c r="AB320" s="1" t="s">
        <v>74</v>
      </c>
      <c r="AC320" s="1" t="s">
        <v>74</v>
      </c>
      <c r="AD320" s="1" t="s">
        <v>74</v>
      </c>
      <c r="AE320" s="1" t="s">
        <v>74</v>
      </c>
      <c r="AF320" s="1" t="s">
        <v>74</v>
      </c>
      <c r="AG320" s="1" t="s">
        <v>74</v>
      </c>
      <c r="AH320" s="1" t="s">
        <v>74</v>
      </c>
      <c r="AI320" s="1" t="s">
        <v>74</v>
      </c>
      <c r="AJ320" s="1" t="s">
        <v>74</v>
      </c>
      <c r="AK320" s="1" t="s">
        <v>74</v>
      </c>
      <c r="AL320" s="1" t="s">
        <v>74</v>
      </c>
      <c r="AM320" s="1" t="s">
        <v>74</v>
      </c>
      <c r="AN320" s="1" t="s">
        <v>74</v>
      </c>
      <c r="AO320" s="1" t="s">
        <v>74</v>
      </c>
      <c r="AP320" s="1" t="s">
        <v>74</v>
      </c>
      <c r="AQ320" s="1" t="s">
        <v>2880</v>
      </c>
      <c r="AR320" s="1" t="s">
        <v>74</v>
      </c>
      <c r="AS320" s="1" t="s">
        <v>74</v>
      </c>
      <c r="AT320" s="1" t="s">
        <v>74</v>
      </c>
      <c r="AU320" s="1">
        <v>2021.0</v>
      </c>
      <c r="AV320" s="1" t="s">
        <v>74</v>
      </c>
      <c r="AW320" s="1" t="s">
        <v>74</v>
      </c>
      <c r="AX320" s="1" t="s">
        <v>74</v>
      </c>
      <c r="AY320" s="1" t="s">
        <v>74</v>
      </c>
      <c r="AZ320" s="1" t="s">
        <v>74</v>
      </c>
      <c r="BA320" s="1" t="s">
        <v>74</v>
      </c>
      <c r="BB320" s="1">
        <v>519.0</v>
      </c>
      <c r="BC320" s="1">
        <v>524.0</v>
      </c>
      <c r="BD320" s="1" t="s">
        <v>74</v>
      </c>
      <c r="BE320" s="1" t="s">
        <v>2907</v>
      </c>
      <c r="BF320" s="2" t="str">
        <f>HYPERLINK("http://dx.doi.org/10.1109/CHILECON54041.2021.9703005","http://dx.doi.org/10.1109/CHILECON54041.2021.9703005")</f>
        <v>http://dx.doi.org/10.1109/CHILECON54041.2021.9703005</v>
      </c>
      <c r="BG320" s="1" t="s">
        <v>74</v>
      </c>
      <c r="BH320" s="1" t="s">
        <v>74</v>
      </c>
      <c r="BI320" s="1" t="s">
        <v>74</v>
      </c>
      <c r="BJ320" s="1" t="s">
        <v>74</v>
      </c>
      <c r="BK320" s="1" t="s">
        <v>74</v>
      </c>
      <c r="BL320" s="1" t="s">
        <v>74</v>
      </c>
      <c r="BM320" s="1" t="s">
        <v>74</v>
      </c>
      <c r="BN320" s="1" t="s">
        <v>74</v>
      </c>
      <c r="BO320" s="1" t="s">
        <v>74</v>
      </c>
      <c r="BP320" s="1" t="s">
        <v>74</v>
      </c>
      <c r="BQ320" s="1" t="s">
        <v>74</v>
      </c>
      <c r="BR320" s="1" t="s">
        <v>74</v>
      </c>
      <c r="BS320" s="1" t="s">
        <v>2908</v>
      </c>
      <c r="BT320" s="1" t="str">
        <f>HYPERLINK("https%3A%2F%2Fwww.webofscience.com%2Fwos%2Fwoscc%2Ffull-record%2FWOS:000788072700084","View Full Record in Web of Science")</f>
        <v>View Full Record in Web of Science</v>
      </c>
    </row>
    <row r="321" ht="12.75" customHeight="1">
      <c r="A321" s="1" t="s">
        <v>72</v>
      </c>
      <c r="B321" s="1" t="s">
        <v>2909</v>
      </c>
      <c r="C321" s="1" t="s">
        <v>74</v>
      </c>
      <c r="D321" s="1" t="s">
        <v>74</v>
      </c>
      <c r="E321" s="1" t="s">
        <v>74</v>
      </c>
      <c r="F321" s="1" t="s">
        <v>2910</v>
      </c>
      <c r="G321" s="1" t="s">
        <v>74</v>
      </c>
      <c r="H321" s="1" t="s">
        <v>74</v>
      </c>
      <c r="I321" s="1" t="s">
        <v>2911</v>
      </c>
      <c r="J321" s="1" t="s">
        <v>2912</v>
      </c>
      <c r="K321" s="1" t="s">
        <v>74</v>
      </c>
      <c r="L321" s="1" t="s">
        <v>74</v>
      </c>
      <c r="M321" s="1" t="s">
        <v>74</v>
      </c>
      <c r="N321" s="1" t="s">
        <v>74</v>
      </c>
      <c r="O321" s="1" t="s">
        <v>74</v>
      </c>
      <c r="P321" s="1" t="s">
        <v>74</v>
      </c>
      <c r="Q321" s="1" t="s">
        <v>74</v>
      </c>
      <c r="R321" s="1" t="s">
        <v>74</v>
      </c>
      <c r="S321" s="1" t="s">
        <v>74</v>
      </c>
      <c r="T321" s="1" t="s">
        <v>74</v>
      </c>
      <c r="U321" s="1" t="s">
        <v>74</v>
      </c>
      <c r="V321" s="1" t="s">
        <v>2913</v>
      </c>
      <c r="W321" s="1" t="s">
        <v>74</v>
      </c>
      <c r="X321" s="1" t="s">
        <v>74</v>
      </c>
      <c r="Y321" s="1" t="s">
        <v>74</v>
      </c>
      <c r="Z321" s="1" t="s">
        <v>74</v>
      </c>
      <c r="AA321" s="1" t="s">
        <v>74</v>
      </c>
      <c r="AB321" s="1" t="s">
        <v>74</v>
      </c>
      <c r="AC321" s="1" t="s">
        <v>74</v>
      </c>
      <c r="AD321" s="1" t="s">
        <v>74</v>
      </c>
      <c r="AE321" s="1" t="s">
        <v>74</v>
      </c>
      <c r="AF321" s="1" t="s">
        <v>74</v>
      </c>
      <c r="AG321" s="1" t="s">
        <v>74</v>
      </c>
      <c r="AH321" s="1" t="s">
        <v>74</v>
      </c>
      <c r="AI321" s="1" t="s">
        <v>74</v>
      </c>
      <c r="AJ321" s="1" t="s">
        <v>74</v>
      </c>
      <c r="AK321" s="1" t="s">
        <v>74</v>
      </c>
      <c r="AL321" s="1" t="s">
        <v>74</v>
      </c>
      <c r="AM321" s="1" t="s">
        <v>74</v>
      </c>
      <c r="AN321" s="1" t="s">
        <v>74</v>
      </c>
      <c r="AO321" s="1" t="s">
        <v>2914</v>
      </c>
      <c r="AP321" s="1" t="s">
        <v>2915</v>
      </c>
      <c r="AQ321" s="1" t="s">
        <v>74</v>
      </c>
      <c r="AR321" s="1" t="s">
        <v>74</v>
      </c>
      <c r="AS321" s="1" t="s">
        <v>74</v>
      </c>
      <c r="AT321" s="1" t="s">
        <v>74</v>
      </c>
      <c r="AU321" s="1">
        <v>2021.0</v>
      </c>
      <c r="AV321" s="1">
        <v>12.0</v>
      </c>
      <c r="AW321" s="1">
        <v>2.0</v>
      </c>
      <c r="AX321" s="1" t="s">
        <v>74</v>
      </c>
      <c r="AY321" s="1" t="s">
        <v>74</v>
      </c>
      <c r="AZ321" s="1" t="s">
        <v>74</v>
      </c>
      <c r="BA321" s="1" t="s">
        <v>74</v>
      </c>
      <c r="BB321" s="1">
        <v>20.0</v>
      </c>
      <c r="BC321" s="1">
        <v>39.0</v>
      </c>
      <c r="BD321" s="1" t="s">
        <v>74</v>
      </c>
      <c r="BE321" s="1" t="s">
        <v>74</v>
      </c>
      <c r="BF321" s="1" t="s">
        <v>74</v>
      </c>
      <c r="BG321" s="1" t="s">
        <v>74</v>
      </c>
      <c r="BH321" s="1" t="s">
        <v>74</v>
      </c>
      <c r="BI321" s="1" t="s">
        <v>74</v>
      </c>
      <c r="BJ321" s="1" t="s">
        <v>74</v>
      </c>
      <c r="BK321" s="1" t="s">
        <v>74</v>
      </c>
      <c r="BL321" s="1" t="s">
        <v>74</v>
      </c>
      <c r="BM321" s="1" t="s">
        <v>74</v>
      </c>
      <c r="BN321" s="1" t="s">
        <v>74</v>
      </c>
      <c r="BO321" s="1" t="s">
        <v>74</v>
      </c>
      <c r="BP321" s="1" t="s">
        <v>74</v>
      </c>
      <c r="BQ321" s="1" t="s">
        <v>74</v>
      </c>
      <c r="BR321" s="1" t="s">
        <v>74</v>
      </c>
      <c r="BS321" s="1" t="s">
        <v>2916</v>
      </c>
      <c r="BT321" s="1" t="str">
        <f>HYPERLINK("https%3A%2F%2Fwww.webofscience.com%2Fwos%2Fwoscc%2Ffull-record%2FWOS:000656695900002","View Full Record in Web of Science")</f>
        <v>View Full Record in Web of Science</v>
      </c>
    </row>
    <row r="322" ht="12.75" customHeight="1">
      <c r="A322" s="1" t="s">
        <v>72</v>
      </c>
      <c r="B322" s="1" t="s">
        <v>2108</v>
      </c>
      <c r="C322" s="1" t="s">
        <v>74</v>
      </c>
      <c r="D322" s="1" t="s">
        <v>74</v>
      </c>
      <c r="E322" s="1" t="s">
        <v>74</v>
      </c>
      <c r="F322" s="1" t="s">
        <v>2109</v>
      </c>
      <c r="G322" s="1" t="s">
        <v>74</v>
      </c>
      <c r="H322" s="1" t="s">
        <v>74</v>
      </c>
      <c r="I322" s="1" t="s">
        <v>2917</v>
      </c>
      <c r="J322" s="1" t="s">
        <v>2918</v>
      </c>
      <c r="K322" s="1" t="s">
        <v>74</v>
      </c>
      <c r="L322" s="1" t="s">
        <v>74</v>
      </c>
      <c r="M322" s="1" t="s">
        <v>74</v>
      </c>
      <c r="N322" s="1" t="s">
        <v>74</v>
      </c>
      <c r="O322" s="1" t="s">
        <v>74</v>
      </c>
      <c r="P322" s="1" t="s">
        <v>74</v>
      </c>
      <c r="Q322" s="1" t="s">
        <v>74</v>
      </c>
      <c r="R322" s="1" t="s">
        <v>74</v>
      </c>
      <c r="S322" s="1" t="s">
        <v>74</v>
      </c>
      <c r="T322" s="1" t="s">
        <v>74</v>
      </c>
      <c r="U322" s="1" t="s">
        <v>74</v>
      </c>
      <c r="V322" s="1" t="s">
        <v>2919</v>
      </c>
      <c r="W322" s="1" t="s">
        <v>74</v>
      </c>
      <c r="X322" s="1" t="s">
        <v>74</v>
      </c>
      <c r="Y322" s="1" t="s">
        <v>74</v>
      </c>
      <c r="Z322" s="1" t="s">
        <v>74</v>
      </c>
      <c r="AA322" s="1" t="s">
        <v>74</v>
      </c>
      <c r="AB322" s="1" t="s">
        <v>2920</v>
      </c>
      <c r="AC322" s="1" t="s">
        <v>74</v>
      </c>
      <c r="AD322" s="1" t="s">
        <v>74</v>
      </c>
      <c r="AE322" s="1" t="s">
        <v>74</v>
      </c>
      <c r="AF322" s="1" t="s">
        <v>74</v>
      </c>
      <c r="AG322" s="1" t="s">
        <v>74</v>
      </c>
      <c r="AH322" s="1" t="s">
        <v>74</v>
      </c>
      <c r="AI322" s="1" t="s">
        <v>74</v>
      </c>
      <c r="AJ322" s="1" t="s">
        <v>74</v>
      </c>
      <c r="AK322" s="1" t="s">
        <v>74</v>
      </c>
      <c r="AL322" s="1" t="s">
        <v>74</v>
      </c>
      <c r="AM322" s="1" t="s">
        <v>74</v>
      </c>
      <c r="AN322" s="1" t="s">
        <v>74</v>
      </c>
      <c r="AO322" s="1" t="s">
        <v>2921</v>
      </c>
      <c r="AP322" s="1" t="s">
        <v>2922</v>
      </c>
      <c r="AQ322" s="1" t="s">
        <v>74</v>
      </c>
      <c r="AR322" s="1" t="s">
        <v>74</v>
      </c>
      <c r="AS322" s="1" t="s">
        <v>74</v>
      </c>
      <c r="AT322" s="1" t="s">
        <v>915</v>
      </c>
      <c r="AU322" s="1">
        <v>2020.0</v>
      </c>
      <c r="AV322" s="1">
        <v>47.0</v>
      </c>
      <c r="AW322" s="1">
        <v>2.0</v>
      </c>
      <c r="AX322" s="1" t="s">
        <v>74</v>
      </c>
      <c r="AY322" s="1" t="s">
        <v>74</v>
      </c>
      <c r="AZ322" s="1" t="s">
        <v>74</v>
      </c>
      <c r="BA322" s="1" t="s">
        <v>74</v>
      </c>
      <c r="BB322" s="1">
        <v>345.0</v>
      </c>
      <c r="BC322" s="1">
        <v>371.0</v>
      </c>
      <c r="BD322" s="1" t="s">
        <v>74</v>
      </c>
      <c r="BE322" s="1" t="s">
        <v>2923</v>
      </c>
      <c r="BF322" s="2" t="str">
        <f>HYPERLINK("http://dx.doi.org/10.15446/achsc.v47n2.86169","http://dx.doi.org/10.15446/achsc.v47n2.86169")</f>
        <v>http://dx.doi.org/10.15446/achsc.v47n2.86169</v>
      </c>
      <c r="BG322" s="1" t="s">
        <v>74</v>
      </c>
      <c r="BH322" s="1" t="s">
        <v>74</v>
      </c>
      <c r="BI322" s="1" t="s">
        <v>74</v>
      </c>
      <c r="BJ322" s="1" t="s">
        <v>74</v>
      </c>
      <c r="BK322" s="1" t="s">
        <v>74</v>
      </c>
      <c r="BL322" s="1" t="s">
        <v>74</v>
      </c>
      <c r="BM322" s="1" t="s">
        <v>74</v>
      </c>
      <c r="BN322" s="1" t="s">
        <v>74</v>
      </c>
      <c r="BO322" s="1" t="s">
        <v>74</v>
      </c>
      <c r="BP322" s="1" t="s">
        <v>74</v>
      </c>
      <c r="BQ322" s="1" t="s">
        <v>74</v>
      </c>
      <c r="BR322" s="1" t="s">
        <v>74</v>
      </c>
      <c r="BS322" s="1" t="s">
        <v>2924</v>
      </c>
      <c r="BT322" s="1" t="str">
        <f>HYPERLINK("https%3A%2F%2Fwww.webofscience.com%2Fwos%2Fwoscc%2Ffull-record%2FWOS:000546049900012","View Full Record in Web of Science")</f>
        <v>View Full Record in Web of Science</v>
      </c>
    </row>
    <row r="323" ht="12.75" customHeight="1">
      <c r="A323" s="1" t="s">
        <v>72</v>
      </c>
      <c r="B323" s="1" t="s">
        <v>2925</v>
      </c>
      <c r="C323" s="1" t="s">
        <v>74</v>
      </c>
      <c r="D323" s="1" t="s">
        <v>74</v>
      </c>
      <c r="E323" s="1" t="s">
        <v>74</v>
      </c>
      <c r="F323" s="1" t="s">
        <v>2926</v>
      </c>
      <c r="G323" s="1" t="s">
        <v>74</v>
      </c>
      <c r="H323" s="1" t="s">
        <v>74</v>
      </c>
      <c r="I323" s="1" t="s">
        <v>2927</v>
      </c>
      <c r="J323" s="1" t="s">
        <v>2928</v>
      </c>
      <c r="K323" s="1" t="s">
        <v>74</v>
      </c>
      <c r="L323" s="1" t="s">
        <v>74</v>
      </c>
      <c r="M323" s="1" t="s">
        <v>74</v>
      </c>
      <c r="N323" s="1" t="s">
        <v>74</v>
      </c>
      <c r="O323" s="1" t="s">
        <v>74</v>
      </c>
      <c r="P323" s="1" t="s">
        <v>74</v>
      </c>
      <c r="Q323" s="1" t="s">
        <v>74</v>
      </c>
      <c r="R323" s="1" t="s">
        <v>74</v>
      </c>
      <c r="S323" s="1" t="s">
        <v>74</v>
      </c>
      <c r="T323" s="1" t="s">
        <v>74</v>
      </c>
      <c r="U323" s="1" t="s">
        <v>74</v>
      </c>
      <c r="V323" s="1" t="s">
        <v>2929</v>
      </c>
      <c r="W323" s="1" t="s">
        <v>74</v>
      </c>
      <c r="X323" s="1" t="s">
        <v>74</v>
      </c>
      <c r="Y323" s="1" t="s">
        <v>74</v>
      </c>
      <c r="Z323" s="1" t="s">
        <v>74</v>
      </c>
      <c r="AA323" s="1" t="s">
        <v>74</v>
      </c>
      <c r="AB323" s="1" t="s">
        <v>74</v>
      </c>
      <c r="AC323" s="1" t="s">
        <v>74</v>
      </c>
      <c r="AD323" s="1" t="s">
        <v>74</v>
      </c>
      <c r="AE323" s="1" t="s">
        <v>74</v>
      </c>
      <c r="AF323" s="1" t="s">
        <v>74</v>
      </c>
      <c r="AG323" s="1" t="s">
        <v>74</v>
      </c>
      <c r="AH323" s="1" t="s">
        <v>74</v>
      </c>
      <c r="AI323" s="1" t="s">
        <v>74</v>
      </c>
      <c r="AJ323" s="1" t="s">
        <v>74</v>
      </c>
      <c r="AK323" s="1" t="s">
        <v>74</v>
      </c>
      <c r="AL323" s="1" t="s">
        <v>74</v>
      </c>
      <c r="AM323" s="1" t="s">
        <v>74</v>
      </c>
      <c r="AN323" s="1" t="s">
        <v>74</v>
      </c>
      <c r="AO323" s="1" t="s">
        <v>2930</v>
      </c>
      <c r="AP323" s="1" t="s">
        <v>74</v>
      </c>
      <c r="AQ323" s="1" t="s">
        <v>74</v>
      </c>
      <c r="AR323" s="1" t="s">
        <v>74</v>
      </c>
      <c r="AS323" s="1" t="s">
        <v>74</v>
      </c>
      <c r="AT323" s="1" t="s">
        <v>347</v>
      </c>
      <c r="AU323" s="1">
        <v>2020.0</v>
      </c>
      <c r="AV323" s="1">
        <v>40.0</v>
      </c>
      <c r="AW323" s="1">
        <v>1.0</v>
      </c>
      <c r="AX323" s="1" t="s">
        <v>74</v>
      </c>
      <c r="AY323" s="1" t="s">
        <v>74</v>
      </c>
      <c r="AZ323" s="1" t="s">
        <v>74</v>
      </c>
      <c r="BA323" s="1" t="s">
        <v>74</v>
      </c>
      <c r="BB323" s="1">
        <v>115.0</v>
      </c>
      <c r="BC323" s="1">
        <v>136.0</v>
      </c>
      <c r="BD323" s="1" t="s">
        <v>74</v>
      </c>
      <c r="BE323" s="1" t="s">
        <v>74</v>
      </c>
      <c r="BF323" s="1" t="s">
        <v>74</v>
      </c>
      <c r="BG323" s="1" t="s">
        <v>74</v>
      </c>
      <c r="BH323" s="1" t="s">
        <v>74</v>
      </c>
      <c r="BI323" s="1" t="s">
        <v>74</v>
      </c>
      <c r="BJ323" s="1" t="s">
        <v>74</v>
      </c>
      <c r="BK323" s="1" t="s">
        <v>74</v>
      </c>
      <c r="BL323" s="1" t="s">
        <v>74</v>
      </c>
      <c r="BM323" s="1" t="s">
        <v>74</v>
      </c>
      <c r="BN323" s="1" t="s">
        <v>74</v>
      </c>
      <c r="BO323" s="1" t="s">
        <v>74</v>
      </c>
      <c r="BP323" s="1" t="s">
        <v>74</v>
      </c>
      <c r="BQ323" s="1" t="s">
        <v>74</v>
      </c>
      <c r="BR323" s="1" t="s">
        <v>74</v>
      </c>
      <c r="BS323" s="1" t="s">
        <v>2931</v>
      </c>
      <c r="BT323" s="1" t="str">
        <f>HYPERLINK("https%3A%2F%2Fwww.webofscience.com%2Fwos%2Fwoscc%2Ffull-record%2FWOS:000527371200006","View Full Record in Web of Science")</f>
        <v>View Full Record in Web of Science</v>
      </c>
    </row>
    <row r="324" ht="12.75" customHeight="1">
      <c r="A324" s="1" t="s">
        <v>72</v>
      </c>
      <c r="B324" s="1" t="s">
        <v>2932</v>
      </c>
      <c r="C324" s="1" t="s">
        <v>74</v>
      </c>
      <c r="D324" s="1" t="s">
        <v>74</v>
      </c>
      <c r="E324" s="1" t="s">
        <v>74</v>
      </c>
      <c r="F324" s="1" t="s">
        <v>2933</v>
      </c>
      <c r="G324" s="1" t="s">
        <v>74</v>
      </c>
      <c r="H324" s="1" t="s">
        <v>74</v>
      </c>
      <c r="I324" s="1" t="s">
        <v>2934</v>
      </c>
      <c r="J324" s="1" t="s">
        <v>2935</v>
      </c>
      <c r="K324" s="1" t="s">
        <v>74</v>
      </c>
      <c r="L324" s="1" t="s">
        <v>74</v>
      </c>
      <c r="M324" s="1" t="s">
        <v>74</v>
      </c>
      <c r="N324" s="1" t="s">
        <v>74</v>
      </c>
      <c r="O324" s="1" t="s">
        <v>74</v>
      </c>
      <c r="P324" s="1" t="s">
        <v>74</v>
      </c>
      <c r="Q324" s="1" t="s">
        <v>74</v>
      </c>
      <c r="R324" s="1" t="s">
        <v>74</v>
      </c>
      <c r="S324" s="1" t="s">
        <v>74</v>
      </c>
      <c r="T324" s="1" t="s">
        <v>74</v>
      </c>
      <c r="U324" s="1" t="s">
        <v>74</v>
      </c>
      <c r="V324" s="1" t="s">
        <v>2936</v>
      </c>
      <c r="W324" s="1" t="s">
        <v>74</v>
      </c>
      <c r="X324" s="1" t="s">
        <v>74</v>
      </c>
      <c r="Y324" s="1" t="s">
        <v>74</v>
      </c>
      <c r="Z324" s="1" t="s">
        <v>74</v>
      </c>
      <c r="AA324" s="1" t="s">
        <v>2937</v>
      </c>
      <c r="AB324" s="1" t="s">
        <v>2938</v>
      </c>
      <c r="AC324" s="1" t="s">
        <v>74</v>
      </c>
      <c r="AD324" s="1" t="s">
        <v>74</v>
      </c>
      <c r="AE324" s="1" t="s">
        <v>74</v>
      </c>
      <c r="AF324" s="1" t="s">
        <v>74</v>
      </c>
      <c r="AG324" s="1" t="s">
        <v>74</v>
      </c>
      <c r="AH324" s="1" t="s">
        <v>74</v>
      </c>
      <c r="AI324" s="1" t="s">
        <v>74</v>
      </c>
      <c r="AJ324" s="1" t="s">
        <v>74</v>
      </c>
      <c r="AK324" s="1" t="s">
        <v>74</v>
      </c>
      <c r="AL324" s="1" t="s">
        <v>74</v>
      </c>
      <c r="AM324" s="1" t="s">
        <v>74</v>
      </c>
      <c r="AN324" s="1" t="s">
        <v>74</v>
      </c>
      <c r="AO324" s="1" t="s">
        <v>2939</v>
      </c>
      <c r="AP324" s="1" t="s">
        <v>2940</v>
      </c>
      <c r="AQ324" s="1" t="s">
        <v>74</v>
      </c>
      <c r="AR324" s="1" t="s">
        <v>74</v>
      </c>
      <c r="AS324" s="1" t="s">
        <v>74</v>
      </c>
      <c r="AT324" s="1" t="s">
        <v>347</v>
      </c>
      <c r="AU324" s="1">
        <v>2020.0</v>
      </c>
      <c r="AV324" s="1">
        <v>13.0</v>
      </c>
      <c r="AW324" s="1">
        <v>1.0</v>
      </c>
      <c r="AX324" s="1" t="s">
        <v>74</v>
      </c>
      <c r="AY324" s="1" t="s">
        <v>74</v>
      </c>
      <c r="AZ324" s="1" t="s">
        <v>74</v>
      </c>
      <c r="BA324" s="1" t="s">
        <v>74</v>
      </c>
      <c r="BB324" s="1">
        <v>37.0</v>
      </c>
      <c r="BC324" s="1">
        <v>47.0</v>
      </c>
      <c r="BD324" s="1" t="s">
        <v>74</v>
      </c>
      <c r="BE324" s="1" t="s">
        <v>2941</v>
      </c>
      <c r="BF324" s="2" t="str">
        <f>HYPERLINK("http://dx.doi.org/10.1007/s12076-020-00243-4","http://dx.doi.org/10.1007/s12076-020-00243-4")</f>
        <v>http://dx.doi.org/10.1007/s12076-020-00243-4</v>
      </c>
      <c r="BG324" s="1" t="s">
        <v>74</v>
      </c>
      <c r="BH324" s="1" t="s">
        <v>2942</v>
      </c>
      <c r="BI324" s="1" t="s">
        <v>74</v>
      </c>
      <c r="BJ324" s="1" t="s">
        <v>74</v>
      </c>
      <c r="BK324" s="1" t="s">
        <v>74</v>
      </c>
      <c r="BL324" s="1" t="s">
        <v>74</v>
      </c>
      <c r="BM324" s="1" t="s">
        <v>74</v>
      </c>
      <c r="BN324" s="1" t="s">
        <v>74</v>
      </c>
      <c r="BO324" s="1" t="s">
        <v>74</v>
      </c>
      <c r="BP324" s="1" t="s">
        <v>74</v>
      </c>
      <c r="BQ324" s="1" t="s">
        <v>74</v>
      </c>
      <c r="BR324" s="1" t="s">
        <v>74</v>
      </c>
      <c r="BS324" s="1" t="s">
        <v>2943</v>
      </c>
      <c r="BT324" s="1" t="str">
        <f>HYPERLINK("https%3A%2F%2Fwww.webofscience.com%2Fwos%2Fwoscc%2Ffull-record%2FWOS:000515647700001","View Full Record in Web of Science")</f>
        <v>View Full Record in Web of Science</v>
      </c>
    </row>
    <row r="325" ht="12.75" customHeight="1">
      <c r="A325" s="1" t="s">
        <v>454</v>
      </c>
      <c r="B325" s="1" t="s">
        <v>2944</v>
      </c>
      <c r="C325" s="1" t="s">
        <v>74</v>
      </c>
      <c r="D325" s="1" t="s">
        <v>74</v>
      </c>
      <c r="E325" s="1" t="s">
        <v>601</v>
      </c>
      <c r="F325" s="1" t="s">
        <v>2945</v>
      </c>
      <c r="G325" s="1" t="s">
        <v>74</v>
      </c>
      <c r="H325" s="1" t="s">
        <v>74</v>
      </c>
      <c r="I325" s="1" t="s">
        <v>2946</v>
      </c>
      <c r="J325" s="1" t="s">
        <v>2947</v>
      </c>
      <c r="K325" s="1" t="s">
        <v>74</v>
      </c>
      <c r="L325" s="1" t="s">
        <v>74</v>
      </c>
      <c r="M325" s="1" t="s">
        <v>74</v>
      </c>
      <c r="N325" s="1" t="s">
        <v>74</v>
      </c>
      <c r="O325" s="1" t="s">
        <v>74</v>
      </c>
      <c r="P325" s="1" t="s">
        <v>74</v>
      </c>
      <c r="Q325" s="1" t="s">
        <v>74</v>
      </c>
      <c r="R325" s="1" t="s">
        <v>74</v>
      </c>
      <c r="S325" s="1" t="s">
        <v>74</v>
      </c>
      <c r="T325" s="1" t="s">
        <v>74</v>
      </c>
      <c r="U325" s="1" t="s">
        <v>74</v>
      </c>
      <c r="V325" s="1" t="s">
        <v>2948</v>
      </c>
      <c r="W325" s="1" t="s">
        <v>74</v>
      </c>
      <c r="X325" s="1" t="s">
        <v>74</v>
      </c>
      <c r="Y325" s="1" t="s">
        <v>74</v>
      </c>
      <c r="Z325" s="1" t="s">
        <v>74</v>
      </c>
      <c r="AA325" s="1" t="s">
        <v>74</v>
      </c>
      <c r="AB325" s="1" t="s">
        <v>74</v>
      </c>
      <c r="AC325" s="1" t="s">
        <v>74</v>
      </c>
      <c r="AD325" s="1" t="s">
        <v>74</v>
      </c>
      <c r="AE325" s="1" t="s">
        <v>74</v>
      </c>
      <c r="AF325" s="1" t="s">
        <v>74</v>
      </c>
      <c r="AG325" s="1" t="s">
        <v>74</v>
      </c>
      <c r="AH325" s="1" t="s">
        <v>74</v>
      </c>
      <c r="AI325" s="1" t="s">
        <v>74</v>
      </c>
      <c r="AJ325" s="1" t="s">
        <v>74</v>
      </c>
      <c r="AK325" s="1" t="s">
        <v>74</v>
      </c>
      <c r="AL325" s="1" t="s">
        <v>74</v>
      </c>
      <c r="AM325" s="1" t="s">
        <v>74</v>
      </c>
      <c r="AN325" s="1" t="s">
        <v>74</v>
      </c>
      <c r="AO325" s="1" t="s">
        <v>74</v>
      </c>
      <c r="AP325" s="1" t="s">
        <v>74</v>
      </c>
      <c r="AQ325" s="1" t="s">
        <v>2949</v>
      </c>
      <c r="AR325" s="1" t="s">
        <v>74</v>
      </c>
      <c r="AS325" s="1" t="s">
        <v>74</v>
      </c>
      <c r="AT325" s="1" t="s">
        <v>74</v>
      </c>
      <c r="AU325" s="1">
        <v>2020.0</v>
      </c>
      <c r="AV325" s="1" t="s">
        <v>74</v>
      </c>
      <c r="AW325" s="1" t="s">
        <v>74</v>
      </c>
      <c r="AX325" s="1" t="s">
        <v>74</v>
      </c>
      <c r="AY325" s="1" t="s">
        <v>74</v>
      </c>
      <c r="AZ325" s="1" t="s">
        <v>74</v>
      </c>
      <c r="BA325" s="1" t="s">
        <v>74</v>
      </c>
      <c r="BB325" s="1">
        <v>197.0</v>
      </c>
      <c r="BC325" s="1">
        <v>214.0</v>
      </c>
      <c r="BD325" s="1" t="s">
        <v>74</v>
      </c>
      <c r="BE325" s="1" t="s">
        <v>74</v>
      </c>
      <c r="BF325" s="1" t="s">
        <v>74</v>
      </c>
      <c r="BG325" s="1" t="s">
        <v>74</v>
      </c>
      <c r="BH325" s="1" t="s">
        <v>74</v>
      </c>
      <c r="BI325" s="1" t="s">
        <v>74</v>
      </c>
      <c r="BJ325" s="1" t="s">
        <v>74</v>
      </c>
      <c r="BK325" s="1" t="s">
        <v>74</v>
      </c>
      <c r="BL325" s="1" t="s">
        <v>74</v>
      </c>
      <c r="BM325" s="1" t="s">
        <v>74</v>
      </c>
      <c r="BN325" s="1" t="s">
        <v>74</v>
      </c>
      <c r="BO325" s="1" t="s">
        <v>74</v>
      </c>
      <c r="BP325" s="1" t="s">
        <v>74</v>
      </c>
      <c r="BQ325" s="1" t="s">
        <v>74</v>
      </c>
      <c r="BR325" s="1" t="s">
        <v>74</v>
      </c>
      <c r="BS325" s="1" t="s">
        <v>2950</v>
      </c>
      <c r="BT325" s="1" t="str">
        <f>HYPERLINK("https%3A%2F%2Fwww.webofscience.com%2Fwos%2Fwoscc%2Ffull-record%2FWOS:000608874800013","View Full Record in Web of Science")</f>
        <v>View Full Record in Web of Science</v>
      </c>
    </row>
    <row r="326" ht="12.75" customHeight="1">
      <c r="A326" s="1" t="s">
        <v>72</v>
      </c>
      <c r="B326" s="1" t="s">
        <v>2951</v>
      </c>
      <c r="C326" s="1" t="s">
        <v>74</v>
      </c>
      <c r="D326" s="1" t="s">
        <v>74</v>
      </c>
      <c r="E326" s="1" t="s">
        <v>74</v>
      </c>
      <c r="F326" s="1" t="s">
        <v>2952</v>
      </c>
      <c r="G326" s="1" t="s">
        <v>74</v>
      </c>
      <c r="H326" s="1" t="s">
        <v>74</v>
      </c>
      <c r="I326" s="1" t="s">
        <v>2953</v>
      </c>
      <c r="J326" s="1" t="s">
        <v>1374</v>
      </c>
      <c r="K326" s="1" t="s">
        <v>74</v>
      </c>
      <c r="L326" s="1" t="s">
        <v>74</v>
      </c>
      <c r="M326" s="1" t="s">
        <v>74</v>
      </c>
      <c r="N326" s="1" t="s">
        <v>74</v>
      </c>
      <c r="O326" s="1" t="s">
        <v>74</v>
      </c>
      <c r="P326" s="1" t="s">
        <v>74</v>
      </c>
      <c r="Q326" s="1" t="s">
        <v>74</v>
      </c>
      <c r="R326" s="1" t="s">
        <v>74</v>
      </c>
      <c r="S326" s="1" t="s">
        <v>74</v>
      </c>
      <c r="T326" s="1" t="s">
        <v>74</v>
      </c>
      <c r="U326" s="1" t="s">
        <v>74</v>
      </c>
      <c r="V326" s="1" t="s">
        <v>2954</v>
      </c>
      <c r="W326" s="1" t="s">
        <v>74</v>
      </c>
      <c r="X326" s="1" t="s">
        <v>74</v>
      </c>
      <c r="Y326" s="1" t="s">
        <v>74</v>
      </c>
      <c r="Z326" s="1" t="s">
        <v>74</v>
      </c>
      <c r="AA326" s="1" t="s">
        <v>1376</v>
      </c>
      <c r="AB326" s="1" t="s">
        <v>1377</v>
      </c>
      <c r="AC326" s="1" t="s">
        <v>74</v>
      </c>
      <c r="AD326" s="1" t="s">
        <v>74</v>
      </c>
      <c r="AE326" s="1" t="s">
        <v>74</v>
      </c>
      <c r="AF326" s="1" t="s">
        <v>74</v>
      </c>
      <c r="AG326" s="1" t="s">
        <v>74</v>
      </c>
      <c r="AH326" s="1" t="s">
        <v>74</v>
      </c>
      <c r="AI326" s="1" t="s">
        <v>74</v>
      </c>
      <c r="AJ326" s="1" t="s">
        <v>74</v>
      </c>
      <c r="AK326" s="1" t="s">
        <v>74</v>
      </c>
      <c r="AL326" s="1" t="s">
        <v>74</v>
      </c>
      <c r="AM326" s="1" t="s">
        <v>74</v>
      </c>
      <c r="AN326" s="1" t="s">
        <v>74</v>
      </c>
      <c r="AO326" s="1" t="s">
        <v>74</v>
      </c>
      <c r="AP326" s="1" t="s">
        <v>1378</v>
      </c>
      <c r="AQ326" s="1" t="s">
        <v>74</v>
      </c>
      <c r="AR326" s="1" t="s">
        <v>74</v>
      </c>
      <c r="AS326" s="1" t="s">
        <v>74</v>
      </c>
      <c r="AT326" s="1" t="s">
        <v>88</v>
      </c>
      <c r="AU326" s="1">
        <v>2019.0</v>
      </c>
      <c r="AV326" s="1">
        <v>24.0</v>
      </c>
      <c r="AW326" s="1">
        <v>23.0</v>
      </c>
      <c r="AX326" s="1" t="s">
        <v>74</v>
      </c>
      <c r="AY326" s="1" t="s">
        <v>74</v>
      </c>
      <c r="AZ326" s="1" t="s">
        <v>74</v>
      </c>
      <c r="BA326" s="1" t="s">
        <v>74</v>
      </c>
      <c r="BB326" s="1" t="s">
        <v>74</v>
      </c>
      <c r="BC326" s="1" t="s">
        <v>74</v>
      </c>
      <c r="BD326" s="1">
        <v>4281.0</v>
      </c>
      <c r="BE326" s="1" t="s">
        <v>2955</v>
      </c>
      <c r="BF326" s="2" t="str">
        <f>HYPERLINK("http://dx.doi.org/10.3390/molecules24234281","http://dx.doi.org/10.3390/molecules24234281")</f>
        <v>http://dx.doi.org/10.3390/molecules24234281</v>
      </c>
      <c r="BG326" s="1" t="s">
        <v>74</v>
      </c>
      <c r="BH326" s="1" t="s">
        <v>74</v>
      </c>
      <c r="BI326" s="1" t="s">
        <v>74</v>
      </c>
      <c r="BJ326" s="1" t="s">
        <v>74</v>
      </c>
      <c r="BK326" s="1" t="s">
        <v>74</v>
      </c>
      <c r="BL326" s="1" t="s">
        <v>74</v>
      </c>
      <c r="BM326" s="1" t="s">
        <v>74</v>
      </c>
      <c r="BN326" s="1">
        <v>3.1771295E7</v>
      </c>
      <c r="BO326" s="1" t="s">
        <v>74</v>
      </c>
      <c r="BP326" s="1" t="s">
        <v>74</v>
      </c>
      <c r="BQ326" s="1" t="s">
        <v>74</v>
      </c>
      <c r="BR326" s="1" t="s">
        <v>74</v>
      </c>
      <c r="BS326" s="1" t="s">
        <v>2956</v>
      </c>
      <c r="BT326" s="1" t="str">
        <f>HYPERLINK("https%3A%2F%2Fwww.webofscience.com%2Fwos%2Fwoscc%2Ffull-record%2FWOS:000507294400080","View Full Record in Web of Science")</f>
        <v>View Full Record in Web of Science</v>
      </c>
    </row>
    <row r="327" ht="12.75" customHeight="1">
      <c r="A327" s="1" t="s">
        <v>72</v>
      </c>
      <c r="B327" s="1" t="s">
        <v>2957</v>
      </c>
      <c r="C327" s="1" t="s">
        <v>74</v>
      </c>
      <c r="D327" s="1" t="s">
        <v>74</v>
      </c>
      <c r="E327" s="1" t="s">
        <v>74</v>
      </c>
      <c r="F327" s="1" t="s">
        <v>2958</v>
      </c>
      <c r="G327" s="1" t="s">
        <v>74</v>
      </c>
      <c r="H327" s="1" t="s">
        <v>74</v>
      </c>
      <c r="I327" s="1" t="s">
        <v>2959</v>
      </c>
      <c r="J327" s="1" t="s">
        <v>2960</v>
      </c>
      <c r="K327" s="1" t="s">
        <v>74</v>
      </c>
      <c r="L327" s="1" t="s">
        <v>74</v>
      </c>
      <c r="M327" s="1" t="s">
        <v>74</v>
      </c>
      <c r="N327" s="1" t="s">
        <v>74</v>
      </c>
      <c r="O327" s="1" t="s">
        <v>74</v>
      </c>
      <c r="P327" s="1" t="s">
        <v>74</v>
      </c>
      <c r="Q327" s="1" t="s">
        <v>74</v>
      </c>
      <c r="R327" s="1" t="s">
        <v>74</v>
      </c>
      <c r="S327" s="1" t="s">
        <v>74</v>
      </c>
      <c r="T327" s="1" t="s">
        <v>74</v>
      </c>
      <c r="U327" s="1" t="s">
        <v>74</v>
      </c>
      <c r="V327" s="1" t="s">
        <v>2961</v>
      </c>
      <c r="W327" s="1" t="s">
        <v>74</v>
      </c>
      <c r="X327" s="1" t="s">
        <v>74</v>
      </c>
      <c r="Y327" s="1" t="s">
        <v>74</v>
      </c>
      <c r="Z327" s="1" t="s">
        <v>74</v>
      </c>
      <c r="AA327" s="1" t="s">
        <v>2962</v>
      </c>
      <c r="AB327" s="1" t="s">
        <v>74</v>
      </c>
      <c r="AC327" s="1" t="s">
        <v>74</v>
      </c>
      <c r="AD327" s="1" t="s">
        <v>74</v>
      </c>
      <c r="AE327" s="1" t="s">
        <v>74</v>
      </c>
      <c r="AF327" s="1" t="s">
        <v>74</v>
      </c>
      <c r="AG327" s="1" t="s">
        <v>74</v>
      </c>
      <c r="AH327" s="1" t="s">
        <v>74</v>
      </c>
      <c r="AI327" s="1" t="s">
        <v>74</v>
      </c>
      <c r="AJ327" s="1" t="s">
        <v>74</v>
      </c>
      <c r="AK327" s="1" t="s">
        <v>74</v>
      </c>
      <c r="AL327" s="1" t="s">
        <v>74</v>
      </c>
      <c r="AM327" s="1" t="s">
        <v>74</v>
      </c>
      <c r="AN327" s="1" t="s">
        <v>74</v>
      </c>
      <c r="AO327" s="1" t="s">
        <v>2963</v>
      </c>
      <c r="AP327" s="1" t="s">
        <v>2964</v>
      </c>
      <c r="AQ327" s="1" t="s">
        <v>74</v>
      </c>
      <c r="AR327" s="1" t="s">
        <v>74</v>
      </c>
      <c r="AS327" s="1" t="s">
        <v>74</v>
      </c>
      <c r="AT327" s="1" t="s">
        <v>2014</v>
      </c>
      <c r="AU327" s="1">
        <v>2019.0</v>
      </c>
      <c r="AV327" s="1">
        <v>65.0</v>
      </c>
      <c r="AW327" s="1">
        <v>6.0</v>
      </c>
      <c r="AX327" s="1" t="s">
        <v>74</v>
      </c>
      <c r="AY327" s="1" t="s">
        <v>74</v>
      </c>
      <c r="AZ327" s="1" t="s">
        <v>74</v>
      </c>
      <c r="BA327" s="1" t="s">
        <v>74</v>
      </c>
      <c r="BB327" s="1">
        <v>867.0</v>
      </c>
      <c r="BC327" s="1">
        <v>875.0</v>
      </c>
      <c r="BD327" s="1" t="s">
        <v>74</v>
      </c>
      <c r="BE327" s="1" t="s">
        <v>2965</v>
      </c>
      <c r="BF327" s="2" t="str">
        <f>HYPERLINK("http://dx.doi.org/10.1080/03650340.2018.1524138","http://dx.doi.org/10.1080/03650340.2018.1524138")</f>
        <v>http://dx.doi.org/10.1080/03650340.2018.1524138</v>
      </c>
      <c r="BG327" s="1" t="s">
        <v>74</v>
      </c>
      <c r="BH327" s="1" t="s">
        <v>74</v>
      </c>
      <c r="BI327" s="1" t="s">
        <v>74</v>
      </c>
      <c r="BJ327" s="1" t="s">
        <v>74</v>
      </c>
      <c r="BK327" s="1" t="s">
        <v>74</v>
      </c>
      <c r="BL327" s="1" t="s">
        <v>74</v>
      </c>
      <c r="BM327" s="1" t="s">
        <v>74</v>
      </c>
      <c r="BN327" s="1" t="s">
        <v>74</v>
      </c>
      <c r="BO327" s="1" t="s">
        <v>74</v>
      </c>
      <c r="BP327" s="1" t="s">
        <v>74</v>
      </c>
      <c r="BQ327" s="1" t="s">
        <v>74</v>
      </c>
      <c r="BR327" s="1" t="s">
        <v>74</v>
      </c>
      <c r="BS327" s="1" t="s">
        <v>2966</v>
      </c>
      <c r="BT327" s="1" t="str">
        <f>HYPERLINK("https%3A%2F%2Fwww.webofscience.com%2Fwos%2Fwoscc%2Ffull-record%2FWOS:000463788000011","View Full Record in Web of Science")</f>
        <v>View Full Record in Web of Science</v>
      </c>
    </row>
    <row r="328" ht="12.75" customHeight="1">
      <c r="A328" s="1" t="s">
        <v>91</v>
      </c>
      <c r="B328" s="1" t="s">
        <v>2967</v>
      </c>
      <c r="C328" s="1" t="s">
        <v>74</v>
      </c>
      <c r="D328" s="1" t="s">
        <v>74</v>
      </c>
      <c r="E328" s="1" t="s">
        <v>2968</v>
      </c>
      <c r="F328" s="1" t="s">
        <v>2969</v>
      </c>
      <c r="G328" s="1" t="s">
        <v>74</v>
      </c>
      <c r="H328" s="1" t="s">
        <v>74</v>
      </c>
      <c r="I328" s="1" t="s">
        <v>2970</v>
      </c>
      <c r="J328" s="1" t="s">
        <v>2971</v>
      </c>
      <c r="K328" s="1" t="s">
        <v>2972</v>
      </c>
      <c r="L328" s="1" t="s">
        <v>74</v>
      </c>
      <c r="M328" s="1" t="s">
        <v>74</v>
      </c>
      <c r="N328" s="1" t="s">
        <v>74</v>
      </c>
      <c r="O328" s="1" t="s">
        <v>2973</v>
      </c>
      <c r="P328" s="1" t="s">
        <v>2974</v>
      </c>
      <c r="Q328" s="1" t="s">
        <v>1533</v>
      </c>
      <c r="R328" s="1" t="s">
        <v>74</v>
      </c>
      <c r="S328" s="1" t="s">
        <v>74</v>
      </c>
      <c r="T328" s="1" t="s">
        <v>74</v>
      </c>
      <c r="U328" s="1" t="s">
        <v>74</v>
      </c>
      <c r="V328" s="1" t="s">
        <v>2975</v>
      </c>
      <c r="W328" s="1" t="s">
        <v>74</v>
      </c>
      <c r="X328" s="1" t="s">
        <v>74</v>
      </c>
      <c r="Y328" s="1" t="s">
        <v>74</v>
      </c>
      <c r="Z328" s="1" t="s">
        <v>74</v>
      </c>
      <c r="AA328" s="1" t="s">
        <v>74</v>
      </c>
      <c r="AB328" s="1" t="s">
        <v>74</v>
      </c>
      <c r="AC328" s="1" t="s">
        <v>74</v>
      </c>
      <c r="AD328" s="1" t="s">
        <v>74</v>
      </c>
      <c r="AE328" s="1" t="s">
        <v>74</v>
      </c>
      <c r="AF328" s="1" t="s">
        <v>74</v>
      </c>
      <c r="AG328" s="1" t="s">
        <v>74</v>
      </c>
      <c r="AH328" s="1" t="s">
        <v>74</v>
      </c>
      <c r="AI328" s="1" t="s">
        <v>74</v>
      </c>
      <c r="AJ328" s="1" t="s">
        <v>74</v>
      </c>
      <c r="AK328" s="1" t="s">
        <v>74</v>
      </c>
      <c r="AL328" s="1" t="s">
        <v>74</v>
      </c>
      <c r="AM328" s="1" t="s">
        <v>74</v>
      </c>
      <c r="AN328" s="1" t="s">
        <v>74</v>
      </c>
      <c r="AO328" s="1" t="s">
        <v>2976</v>
      </c>
      <c r="AP328" s="1" t="s">
        <v>74</v>
      </c>
      <c r="AQ328" s="1" t="s">
        <v>74</v>
      </c>
      <c r="AR328" s="1" t="s">
        <v>74</v>
      </c>
      <c r="AS328" s="1" t="s">
        <v>74</v>
      </c>
      <c r="AT328" s="1" t="s">
        <v>74</v>
      </c>
      <c r="AU328" s="1">
        <v>2019.0</v>
      </c>
      <c r="AV328" s="1">
        <v>471.0</v>
      </c>
      <c r="AW328" s="1" t="s">
        <v>74</v>
      </c>
      <c r="AX328" s="1" t="s">
        <v>74</v>
      </c>
      <c r="AY328" s="1" t="s">
        <v>74</v>
      </c>
      <c r="AZ328" s="1" t="s">
        <v>74</v>
      </c>
      <c r="BA328" s="1" t="s">
        <v>74</v>
      </c>
      <c r="BB328" s="1" t="s">
        <v>74</v>
      </c>
      <c r="BC328" s="1" t="s">
        <v>74</v>
      </c>
      <c r="BD328" s="1">
        <v>72021.0</v>
      </c>
      <c r="BE328" s="1" t="s">
        <v>2977</v>
      </c>
      <c r="BF328" s="2" t="str">
        <f>HYPERLINK("http://dx.doi.org/10.1088/1757-899X/471/7/072021","http://dx.doi.org/10.1088/1757-899X/471/7/072021")</f>
        <v>http://dx.doi.org/10.1088/1757-899X/471/7/072021</v>
      </c>
      <c r="BG328" s="1" t="s">
        <v>74</v>
      </c>
      <c r="BH328" s="1" t="s">
        <v>74</v>
      </c>
      <c r="BI328" s="1" t="s">
        <v>74</v>
      </c>
      <c r="BJ328" s="1" t="s">
        <v>74</v>
      </c>
      <c r="BK328" s="1" t="s">
        <v>74</v>
      </c>
      <c r="BL328" s="1" t="s">
        <v>74</v>
      </c>
      <c r="BM328" s="1" t="s">
        <v>74</v>
      </c>
      <c r="BN328" s="1" t="s">
        <v>74</v>
      </c>
      <c r="BO328" s="1" t="s">
        <v>74</v>
      </c>
      <c r="BP328" s="1" t="s">
        <v>74</v>
      </c>
      <c r="BQ328" s="1" t="s">
        <v>74</v>
      </c>
      <c r="BR328" s="1" t="s">
        <v>74</v>
      </c>
      <c r="BS328" s="1" t="s">
        <v>2978</v>
      </c>
      <c r="BT328" s="1" t="str">
        <f>HYPERLINK("https%3A%2F%2Fwww.webofscience.com%2Fwos%2Fwoscc%2Ffull-record%2FWOS:000465811803017","View Full Record in Web of Science")</f>
        <v>View Full Record in Web of Science</v>
      </c>
    </row>
    <row r="329" ht="12.75" customHeight="1">
      <c r="A329" s="1" t="s">
        <v>72</v>
      </c>
      <c r="B329" s="1" t="s">
        <v>2979</v>
      </c>
      <c r="C329" s="1" t="s">
        <v>74</v>
      </c>
      <c r="D329" s="1" t="s">
        <v>74</v>
      </c>
      <c r="E329" s="1" t="s">
        <v>74</v>
      </c>
      <c r="F329" s="1" t="s">
        <v>2980</v>
      </c>
      <c r="G329" s="1" t="s">
        <v>74</v>
      </c>
      <c r="H329" s="1" t="s">
        <v>74</v>
      </c>
      <c r="I329" s="1" t="s">
        <v>2981</v>
      </c>
      <c r="J329" s="1" t="s">
        <v>666</v>
      </c>
      <c r="K329" s="1" t="s">
        <v>74</v>
      </c>
      <c r="L329" s="1" t="s">
        <v>74</v>
      </c>
      <c r="M329" s="1" t="s">
        <v>74</v>
      </c>
      <c r="N329" s="1" t="s">
        <v>74</v>
      </c>
      <c r="O329" s="1" t="s">
        <v>74</v>
      </c>
      <c r="P329" s="1" t="s">
        <v>74</v>
      </c>
      <c r="Q329" s="1" t="s">
        <v>74</v>
      </c>
      <c r="R329" s="1" t="s">
        <v>74</v>
      </c>
      <c r="S329" s="1" t="s">
        <v>74</v>
      </c>
      <c r="T329" s="1" t="s">
        <v>74</v>
      </c>
      <c r="U329" s="1" t="s">
        <v>74</v>
      </c>
      <c r="V329" s="1" t="s">
        <v>2982</v>
      </c>
      <c r="W329" s="1" t="s">
        <v>74</v>
      </c>
      <c r="X329" s="1" t="s">
        <v>74</v>
      </c>
      <c r="Y329" s="1" t="s">
        <v>74</v>
      </c>
      <c r="Z329" s="1" t="s">
        <v>74</v>
      </c>
      <c r="AA329" s="1" t="s">
        <v>74</v>
      </c>
      <c r="AB329" s="1" t="s">
        <v>74</v>
      </c>
      <c r="AC329" s="1" t="s">
        <v>74</v>
      </c>
      <c r="AD329" s="1" t="s">
        <v>74</v>
      </c>
      <c r="AE329" s="1" t="s">
        <v>74</v>
      </c>
      <c r="AF329" s="1" t="s">
        <v>74</v>
      </c>
      <c r="AG329" s="1" t="s">
        <v>74</v>
      </c>
      <c r="AH329" s="1" t="s">
        <v>74</v>
      </c>
      <c r="AI329" s="1" t="s">
        <v>74</v>
      </c>
      <c r="AJ329" s="1" t="s">
        <v>74</v>
      </c>
      <c r="AK329" s="1" t="s">
        <v>74</v>
      </c>
      <c r="AL329" s="1" t="s">
        <v>74</v>
      </c>
      <c r="AM329" s="1" t="s">
        <v>74</v>
      </c>
      <c r="AN329" s="1" t="s">
        <v>74</v>
      </c>
      <c r="AO329" s="1" t="s">
        <v>668</v>
      </c>
      <c r="AP329" s="1" t="s">
        <v>669</v>
      </c>
      <c r="AQ329" s="1" t="s">
        <v>74</v>
      </c>
      <c r="AR329" s="1" t="s">
        <v>74</v>
      </c>
      <c r="AS329" s="1" t="s">
        <v>74</v>
      </c>
      <c r="AT329" s="1" t="s">
        <v>74</v>
      </c>
      <c r="AU329" s="1">
        <v>2019.0</v>
      </c>
      <c r="AV329" s="1">
        <v>76.0</v>
      </c>
      <c r="AW329" s="1" t="s">
        <v>74</v>
      </c>
      <c r="AX329" s="1" t="s">
        <v>74</v>
      </c>
      <c r="AY329" s="1" t="s">
        <v>74</v>
      </c>
      <c r="AZ329" s="1" t="s">
        <v>74</v>
      </c>
      <c r="BA329" s="1" t="s">
        <v>74</v>
      </c>
      <c r="BB329" s="1">
        <v>57.0</v>
      </c>
      <c r="BC329" s="1">
        <v>74.0</v>
      </c>
      <c r="BD329" s="1" t="s">
        <v>74</v>
      </c>
      <c r="BE329" s="1" t="s">
        <v>74</v>
      </c>
      <c r="BF329" s="1" t="s">
        <v>74</v>
      </c>
      <c r="BG329" s="1" t="s">
        <v>74</v>
      </c>
      <c r="BH329" s="1" t="s">
        <v>74</v>
      </c>
      <c r="BI329" s="1" t="s">
        <v>74</v>
      </c>
      <c r="BJ329" s="1" t="s">
        <v>74</v>
      </c>
      <c r="BK329" s="1" t="s">
        <v>74</v>
      </c>
      <c r="BL329" s="1" t="s">
        <v>74</v>
      </c>
      <c r="BM329" s="1" t="s">
        <v>74</v>
      </c>
      <c r="BN329" s="1" t="s">
        <v>74</v>
      </c>
      <c r="BO329" s="1" t="s">
        <v>74</v>
      </c>
      <c r="BP329" s="1" t="s">
        <v>74</v>
      </c>
      <c r="BQ329" s="1" t="s">
        <v>74</v>
      </c>
      <c r="BR329" s="1" t="s">
        <v>74</v>
      </c>
      <c r="BS329" s="1" t="s">
        <v>2983</v>
      </c>
      <c r="BT329" s="1" t="str">
        <f>HYPERLINK("https%3A%2F%2Fwww.webofscience.com%2Fwos%2Fwoscc%2Ffull-record%2FWOS:000594488700005","View Full Record in Web of Science")</f>
        <v>View Full Record in Web of Science</v>
      </c>
    </row>
    <row r="330" ht="12.75" customHeight="1">
      <c r="A330" s="1" t="s">
        <v>72</v>
      </c>
      <c r="B330" s="1" t="s">
        <v>2984</v>
      </c>
      <c r="C330" s="1" t="s">
        <v>74</v>
      </c>
      <c r="D330" s="1" t="s">
        <v>74</v>
      </c>
      <c r="E330" s="1" t="s">
        <v>74</v>
      </c>
      <c r="F330" s="1" t="s">
        <v>2985</v>
      </c>
      <c r="G330" s="1" t="s">
        <v>74</v>
      </c>
      <c r="H330" s="1" t="s">
        <v>74</v>
      </c>
      <c r="I330" s="1" t="s">
        <v>2986</v>
      </c>
      <c r="J330" s="1" t="s">
        <v>2987</v>
      </c>
      <c r="K330" s="1" t="s">
        <v>74</v>
      </c>
      <c r="L330" s="1" t="s">
        <v>74</v>
      </c>
      <c r="M330" s="1" t="s">
        <v>74</v>
      </c>
      <c r="N330" s="1" t="s">
        <v>74</v>
      </c>
      <c r="O330" s="1" t="s">
        <v>74</v>
      </c>
      <c r="P330" s="1" t="s">
        <v>74</v>
      </c>
      <c r="Q330" s="1" t="s">
        <v>74</v>
      </c>
      <c r="R330" s="1" t="s">
        <v>74</v>
      </c>
      <c r="S330" s="1" t="s">
        <v>74</v>
      </c>
      <c r="T330" s="1" t="s">
        <v>74</v>
      </c>
      <c r="U330" s="1" t="s">
        <v>74</v>
      </c>
      <c r="V330" s="1" t="s">
        <v>2988</v>
      </c>
      <c r="W330" s="1" t="s">
        <v>74</v>
      </c>
      <c r="X330" s="1" t="s">
        <v>74</v>
      </c>
      <c r="Y330" s="1" t="s">
        <v>74</v>
      </c>
      <c r="Z330" s="1" t="s">
        <v>74</v>
      </c>
      <c r="AA330" s="1" t="s">
        <v>2989</v>
      </c>
      <c r="AB330" s="1" t="s">
        <v>2990</v>
      </c>
      <c r="AC330" s="1" t="s">
        <v>74</v>
      </c>
      <c r="AD330" s="1" t="s">
        <v>74</v>
      </c>
      <c r="AE330" s="1" t="s">
        <v>74</v>
      </c>
      <c r="AF330" s="1" t="s">
        <v>74</v>
      </c>
      <c r="AG330" s="1" t="s">
        <v>74</v>
      </c>
      <c r="AH330" s="1" t="s">
        <v>74</v>
      </c>
      <c r="AI330" s="1" t="s">
        <v>74</v>
      </c>
      <c r="AJ330" s="1" t="s">
        <v>74</v>
      </c>
      <c r="AK330" s="1" t="s">
        <v>74</v>
      </c>
      <c r="AL330" s="1" t="s">
        <v>74</v>
      </c>
      <c r="AM330" s="1" t="s">
        <v>74</v>
      </c>
      <c r="AN330" s="1" t="s">
        <v>74</v>
      </c>
      <c r="AO330" s="1" t="s">
        <v>2991</v>
      </c>
      <c r="AP330" s="1" t="s">
        <v>2992</v>
      </c>
      <c r="AQ330" s="1" t="s">
        <v>74</v>
      </c>
      <c r="AR330" s="1" t="s">
        <v>74</v>
      </c>
      <c r="AS330" s="1" t="s">
        <v>74</v>
      </c>
      <c r="AT330" s="1" t="s">
        <v>161</v>
      </c>
      <c r="AU330" s="1">
        <v>2018.0</v>
      </c>
      <c r="AV330" s="1">
        <v>29.0</v>
      </c>
      <c r="AW330" s="1">
        <v>2.0</v>
      </c>
      <c r="AX330" s="1" t="s">
        <v>74</v>
      </c>
      <c r="AY330" s="1" t="s">
        <v>74</v>
      </c>
      <c r="AZ330" s="1" t="s">
        <v>74</v>
      </c>
      <c r="BA330" s="1" t="s">
        <v>74</v>
      </c>
      <c r="BB330" s="1">
        <v>195.0</v>
      </c>
      <c r="BC330" s="1">
        <v>216.0</v>
      </c>
      <c r="BD330" s="1" t="s">
        <v>74</v>
      </c>
      <c r="BE330" s="1" t="s">
        <v>2993</v>
      </c>
      <c r="BF330" s="2" t="str">
        <f>HYPERLINK("http://dx.doi.org/10.1017/S0956793318000067","http://dx.doi.org/10.1017/S0956793318000067")</f>
        <v>http://dx.doi.org/10.1017/S0956793318000067</v>
      </c>
      <c r="BG330" s="1" t="s">
        <v>74</v>
      </c>
      <c r="BH330" s="1" t="s">
        <v>74</v>
      </c>
      <c r="BI330" s="1" t="s">
        <v>74</v>
      </c>
      <c r="BJ330" s="1" t="s">
        <v>74</v>
      </c>
      <c r="BK330" s="1" t="s">
        <v>74</v>
      </c>
      <c r="BL330" s="1" t="s">
        <v>74</v>
      </c>
      <c r="BM330" s="1" t="s">
        <v>74</v>
      </c>
      <c r="BN330" s="1" t="s">
        <v>74</v>
      </c>
      <c r="BO330" s="1" t="s">
        <v>74</v>
      </c>
      <c r="BP330" s="1" t="s">
        <v>74</v>
      </c>
      <c r="BQ330" s="1" t="s">
        <v>74</v>
      </c>
      <c r="BR330" s="1" t="s">
        <v>74</v>
      </c>
      <c r="BS330" s="1" t="s">
        <v>2994</v>
      </c>
      <c r="BT330" s="1" t="str">
        <f>HYPERLINK("https%3A%2F%2Fwww.webofscience.com%2Fwos%2Fwoscc%2Ffull-record%2FWOS:000444083600004","View Full Record in Web of Science")</f>
        <v>View Full Record in Web of Science</v>
      </c>
    </row>
    <row r="331" ht="12.75" customHeight="1">
      <c r="A331" s="1" t="s">
        <v>72</v>
      </c>
      <c r="B331" s="1" t="s">
        <v>2995</v>
      </c>
      <c r="C331" s="1" t="s">
        <v>74</v>
      </c>
      <c r="D331" s="1" t="s">
        <v>74</v>
      </c>
      <c r="E331" s="1" t="s">
        <v>74</v>
      </c>
      <c r="F331" s="1" t="s">
        <v>2996</v>
      </c>
      <c r="G331" s="1" t="s">
        <v>74</v>
      </c>
      <c r="H331" s="1" t="s">
        <v>74</v>
      </c>
      <c r="I331" s="1" t="s">
        <v>2997</v>
      </c>
      <c r="J331" s="1" t="s">
        <v>2998</v>
      </c>
      <c r="K331" s="1" t="s">
        <v>74</v>
      </c>
      <c r="L331" s="1" t="s">
        <v>74</v>
      </c>
      <c r="M331" s="1" t="s">
        <v>74</v>
      </c>
      <c r="N331" s="1" t="s">
        <v>74</v>
      </c>
      <c r="O331" s="1" t="s">
        <v>74</v>
      </c>
      <c r="P331" s="1" t="s">
        <v>74</v>
      </c>
      <c r="Q331" s="1" t="s">
        <v>74</v>
      </c>
      <c r="R331" s="1" t="s">
        <v>74</v>
      </c>
      <c r="S331" s="1" t="s">
        <v>74</v>
      </c>
      <c r="T331" s="1" t="s">
        <v>74</v>
      </c>
      <c r="U331" s="1" t="s">
        <v>74</v>
      </c>
      <c r="V331" s="1" t="s">
        <v>74</v>
      </c>
      <c r="W331" s="1" t="s">
        <v>74</v>
      </c>
      <c r="X331" s="1" t="s">
        <v>74</v>
      </c>
      <c r="Y331" s="1" t="s">
        <v>74</v>
      </c>
      <c r="Z331" s="1" t="s">
        <v>74</v>
      </c>
      <c r="AA331" s="1" t="s">
        <v>74</v>
      </c>
      <c r="AB331" s="1" t="s">
        <v>74</v>
      </c>
      <c r="AC331" s="1" t="s">
        <v>74</v>
      </c>
      <c r="AD331" s="1" t="s">
        <v>74</v>
      </c>
      <c r="AE331" s="1" t="s">
        <v>74</v>
      </c>
      <c r="AF331" s="1" t="s">
        <v>74</v>
      </c>
      <c r="AG331" s="1" t="s">
        <v>74</v>
      </c>
      <c r="AH331" s="1" t="s">
        <v>74</v>
      </c>
      <c r="AI331" s="1" t="s">
        <v>74</v>
      </c>
      <c r="AJ331" s="1" t="s">
        <v>74</v>
      </c>
      <c r="AK331" s="1" t="s">
        <v>74</v>
      </c>
      <c r="AL331" s="1" t="s">
        <v>74</v>
      </c>
      <c r="AM331" s="1" t="s">
        <v>74</v>
      </c>
      <c r="AN331" s="1" t="s">
        <v>74</v>
      </c>
      <c r="AO331" s="1" t="s">
        <v>2999</v>
      </c>
      <c r="AP331" s="1" t="s">
        <v>74</v>
      </c>
      <c r="AQ331" s="1" t="s">
        <v>74</v>
      </c>
      <c r="AR331" s="1" t="s">
        <v>74</v>
      </c>
      <c r="AS331" s="1" t="s">
        <v>74</v>
      </c>
      <c r="AT331" s="1" t="s">
        <v>3000</v>
      </c>
      <c r="AU331" s="1">
        <v>2018.0</v>
      </c>
      <c r="AV331" s="1">
        <v>68.0</v>
      </c>
      <c r="AW331" s="1">
        <v>1.0</v>
      </c>
      <c r="AX331" s="1" t="s">
        <v>74</v>
      </c>
      <c r="AY331" s="1" t="s">
        <v>74</v>
      </c>
      <c r="AZ331" s="1" t="s">
        <v>74</v>
      </c>
      <c r="BA331" s="1" t="s">
        <v>74</v>
      </c>
      <c r="BB331" s="1">
        <v>434.0</v>
      </c>
      <c r="BC331" s="1">
        <v>439.0</v>
      </c>
      <c r="BD331" s="1" t="s">
        <v>74</v>
      </c>
      <c r="BE331" s="1" t="s">
        <v>74</v>
      </c>
      <c r="BF331" s="1" t="s">
        <v>74</v>
      </c>
      <c r="BG331" s="1" t="s">
        <v>74</v>
      </c>
      <c r="BH331" s="1" t="s">
        <v>74</v>
      </c>
      <c r="BI331" s="1" t="s">
        <v>74</v>
      </c>
      <c r="BJ331" s="1" t="s">
        <v>74</v>
      </c>
      <c r="BK331" s="1" t="s">
        <v>74</v>
      </c>
      <c r="BL331" s="1" t="s">
        <v>74</v>
      </c>
      <c r="BM331" s="1" t="s">
        <v>74</v>
      </c>
      <c r="BN331" s="1" t="s">
        <v>74</v>
      </c>
      <c r="BO331" s="1" t="s">
        <v>74</v>
      </c>
      <c r="BP331" s="1" t="s">
        <v>74</v>
      </c>
      <c r="BQ331" s="1" t="s">
        <v>74</v>
      </c>
      <c r="BR331" s="1" t="s">
        <v>74</v>
      </c>
      <c r="BS331" s="1" t="s">
        <v>3001</v>
      </c>
      <c r="BT331" s="1" t="str">
        <f>HYPERLINK("https%3A%2F%2Fwww.webofscience.com%2Fwos%2Fwoscc%2Ffull-record%2FWOS:000438170800022","View Full Record in Web of Science")</f>
        <v>View Full Record in Web of Science</v>
      </c>
    </row>
    <row r="332" ht="12.75" customHeight="1">
      <c r="A332" s="1" t="s">
        <v>72</v>
      </c>
      <c r="B332" s="1" t="s">
        <v>3002</v>
      </c>
      <c r="C332" s="1" t="s">
        <v>74</v>
      </c>
      <c r="D332" s="1" t="s">
        <v>74</v>
      </c>
      <c r="E332" s="1" t="s">
        <v>74</v>
      </c>
      <c r="F332" s="1" t="s">
        <v>3003</v>
      </c>
      <c r="G332" s="1" t="s">
        <v>74</v>
      </c>
      <c r="H332" s="1" t="s">
        <v>74</v>
      </c>
      <c r="I332" s="1" t="s">
        <v>3004</v>
      </c>
      <c r="J332" s="1" t="s">
        <v>3005</v>
      </c>
      <c r="K332" s="1" t="s">
        <v>74</v>
      </c>
      <c r="L332" s="1" t="s">
        <v>74</v>
      </c>
      <c r="M332" s="1" t="s">
        <v>74</v>
      </c>
      <c r="N332" s="1" t="s">
        <v>74</v>
      </c>
      <c r="O332" s="1" t="s">
        <v>74</v>
      </c>
      <c r="P332" s="1" t="s">
        <v>74</v>
      </c>
      <c r="Q332" s="1" t="s">
        <v>74</v>
      </c>
      <c r="R332" s="1" t="s">
        <v>74</v>
      </c>
      <c r="S332" s="1" t="s">
        <v>74</v>
      </c>
      <c r="T332" s="1" t="s">
        <v>74</v>
      </c>
      <c r="U332" s="1" t="s">
        <v>74</v>
      </c>
      <c r="V332" s="1" t="s">
        <v>3006</v>
      </c>
      <c r="W332" s="1" t="s">
        <v>74</v>
      </c>
      <c r="X332" s="1" t="s">
        <v>74</v>
      </c>
      <c r="Y332" s="1" t="s">
        <v>74</v>
      </c>
      <c r="Z332" s="1" t="s">
        <v>74</v>
      </c>
      <c r="AA332" s="1" t="s">
        <v>3007</v>
      </c>
      <c r="AB332" s="1" t="s">
        <v>3008</v>
      </c>
      <c r="AC332" s="1" t="s">
        <v>74</v>
      </c>
      <c r="AD332" s="1" t="s">
        <v>74</v>
      </c>
      <c r="AE332" s="1" t="s">
        <v>74</v>
      </c>
      <c r="AF332" s="1" t="s">
        <v>74</v>
      </c>
      <c r="AG332" s="1" t="s">
        <v>74</v>
      </c>
      <c r="AH332" s="1" t="s">
        <v>74</v>
      </c>
      <c r="AI332" s="1" t="s">
        <v>74</v>
      </c>
      <c r="AJ332" s="1" t="s">
        <v>74</v>
      </c>
      <c r="AK332" s="1" t="s">
        <v>74</v>
      </c>
      <c r="AL332" s="1" t="s">
        <v>74</v>
      </c>
      <c r="AM332" s="1" t="s">
        <v>74</v>
      </c>
      <c r="AN332" s="1" t="s">
        <v>74</v>
      </c>
      <c r="AO332" s="1" t="s">
        <v>3009</v>
      </c>
      <c r="AP332" s="1" t="s">
        <v>3010</v>
      </c>
      <c r="AQ332" s="1" t="s">
        <v>74</v>
      </c>
      <c r="AR332" s="1" t="s">
        <v>74</v>
      </c>
      <c r="AS332" s="1" t="s">
        <v>74</v>
      </c>
      <c r="AT332" s="1" t="s">
        <v>370</v>
      </c>
      <c r="AU332" s="1">
        <v>2018.0</v>
      </c>
      <c r="AV332" s="1">
        <v>26.0</v>
      </c>
      <c r="AW332" s="1" t="s">
        <v>74</v>
      </c>
      <c r="AX332" s="1" t="s">
        <v>74</v>
      </c>
      <c r="AY332" s="1" t="s">
        <v>74</v>
      </c>
      <c r="AZ332" s="1" t="s">
        <v>74</v>
      </c>
      <c r="BA332" s="1" t="s">
        <v>74</v>
      </c>
      <c r="BB332" s="1">
        <v>434.0</v>
      </c>
      <c r="BC332" s="1">
        <v>444.0</v>
      </c>
      <c r="BD332" s="1" t="s">
        <v>74</v>
      </c>
      <c r="BE332" s="1" t="s">
        <v>3011</v>
      </c>
      <c r="BF332" s="2" t="str">
        <f>HYPERLINK("http://dx.doi.org/10.1016/j.jcou.2018.05.031","http://dx.doi.org/10.1016/j.jcou.2018.05.031")</f>
        <v>http://dx.doi.org/10.1016/j.jcou.2018.05.031</v>
      </c>
      <c r="BG332" s="1" t="s">
        <v>74</v>
      </c>
      <c r="BH332" s="1" t="s">
        <v>74</v>
      </c>
      <c r="BI332" s="1" t="s">
        <v>74</v>
      </c>
      <c r="BJ332" s="1" t="s">
        <v>74</v>
      </c>
      <c r="BK332" s="1" t="s">
        <v>74</v>
      </c>
      <c r="BL332" s="1" t="s">
        <v>74</v>
      </c>
      <c r="BM332" s="1" t="s">
        <v>74</v>
      </c>
      <c r="BN332" s="1" t="s">
        <v>74</v>
      </c>
      <c r="BO332" s="1" t="s">
        <v>74</v>
      </c>
      <c r="BP332" s="1" t="s">
        <v>74</v>
      </c>
      <c r="BQ332" s="1" t="s">
        <v>74</v>
      </c>
      <c r="BR332" s="1" t="s">
        <v>74</v>
      </c>
      <c r="BS332" s="1" t="s">
        <v>3012</v>
      </c>
      <c r="BT332" s="1" t="str">
        <f>HYPERLINK("https%3A%2F%2Fwww.webofscience.com%2Fwos%2Fwoscc%2Ffull-record%2FWOS:000439069700045","View Full Record in Web of Science")</f>
        <v>View Full Record in Web of Science</v>
      </c>
    </row>
    <row r="333" ht="12.75" customHeight="1">
      <c r="A333" s="1" t="s">
        <v>72</v>
      </c>
      <c r="B333" s="1" t="s">
        <v>2777</v>
      </c>
      <c r="C333" s="1" t="s">
        <v>74</v>
      </c>
      <c r="D333" s="1" t="s">
        <v>74</v>
      </c>
      <c r="E333" s="1" t="s">
        <v>74</v>
      </c>
      <c r="F333" s="1" t="s">
        <v>2778</v>
      </c>
      <c r="G333" s="1" t="s">
        <v>74</v>
      </c>
      <c r="H333" s="1" t="s">
        <v>74</v>
      </c>
      <c r="I333" s="1" t="s">
        <v>3013</v>
      </c>
      <c r="J333" s="1" t="s">
        <v>2466</v>
      </c>
      <c r="K333" s="1" t="s">
        <v>74</v>
      </c>
      <c r="L333" s="1" t="s">
        <v>74</v>
      </c>
      <c r="M333" s="1" t="s">
        <v>74</v>
      </c>
      <c r="N333" s="1" t="s">
        <v>74</v>
      </c>
      <c r="O333" s="1" t="s">
        <v>74</v>
      </c>
      <c r="P333" s="1" t="s">
        <v>74</v>
      </c>
      <c r="Q333" s="1" t="s">
        <v>74</v>
      </c>
      <c r="R333" s="1" t="s">
        <v>74</v>
      </c>
      <c r="S333" s="1" t="s">
        <v>74</v>
      </c>
      <c r="T333" s="1" t="s">
        <v>74</v>
      </c>
      <c r="U333" s="1" t="s">
        <v>74</v>
      </c>
      <c r="V333" s="1" t="s">
        <v>3014</v>
      </c>
      <c r="W333" s="1" t="s">
        <v>74</v>
      </c>
      <c r="X333" s="1" t="s">
        <v>74</v>
      </c>
      <c r="Y333" s="1" t="s">
        <v>74</v>
      </c>
      <c r="Z333" s="1" t="s">
        <v>74</v>
      </c>
      <c r="AA333" s="1" t="s">
        <v>2782</v>
      </c>
      <c r="AB333" s="1" t="s">
        <v>2783</v>
      </c>
      <c r="AC333" s="1" t="s">
        <v>74</v>
      </c>
      <c r="AD333" s="1" t="s">
        <v>74</v>
      </c>
      <c r="AE333" s="1" t="s">
        <v>74</v>
      </c>
      <c r="AF333" s="1" t="s">
        <v>74</v>
      </c>
      <c r="AG333" s="1" t="s">
        <v>74</v>
      </c>
      <c r="AH333" s="1" t="s">
        <v>74</v>
      </c>
      <c r="AI333" s="1" t="s">
        <v>74</v>
      </c>
      <c r="AJ333" s="1" t="s">
        <v>74</v>
      </c>
      <c r="AK333" s="1" t="s">
        <v>74</v>
      </c>
      <c r="AL333" s="1" t="s">
        <v>74</v>
      </c>
      <c r="AM333" s="1" t="s">
        <v>74</v>
      </c>
      <c r="AN333" s="1" t="s">
        <v>74</v>
      </c>
      <c r="AO333" s="1" t="s">
        <v>2852</v>
      </c>
      <c r="AP333" s="1" t="s">
        <v>2853</v>
      </c>
      <c r="AQ333" s="1" t="s">
        <v>74</v>
      </c>
      <c r="AR333" s="1" t="s">
        <v>74</v>
      </c>
      <c r="AS333" s="1" t="s">
        <v>74</v>
      </c>
      <c r="AT333" s="1" t="s">
        <v>3015</v>
      </c>
      <c r="AU333" s="1">
        <v>2018.0</v>
      </c>
      <c r="AV333" s="1">
        <v>97.0</v>
      </c>
      <c r="AW333" s="1">
        <v>4.0</v>
      </c>
      <c r="AX333" s="1" t="s">
        <v>74</v>
      </c>
      <c r="AY333" s="1" t="s">
        <v>74</v>
      </c>
      <c r="AZ333" s="1" t="s">
        <v>74</v>
      </c>
      <c r="BA333" s="1" t="s">
        <v>74</v>
      </c>
      <c r="BB333" s="1" t="s">
        <v>74</v>
      </c>
      <c r="BC333" s="1" t="s">
        <v>74</v>
      </c>
      <c r="BD333" s="1">
        <v>45002.0</v>
      </c>
      <c r="BE333" s="1" t="s">
        <v>3016</v>
      </c>
      <c r="BF333" s="2" t="str">
        <f>HYPERLINK("http://dx.doi.org/10.1103/PhysRevD.97.045002","http://dx.doi.org/10.1103/PhysRevD.97.045002")</f>
        <v>http://dx.doi.org/10.1103/PhysRevD.97.045002</v>
      </c>
      <c r="BG333" s="1" t="s">
        <v>74</v>
      </c>
      <c r="BH333" s="1" t="s">
        <v>74</v>
      </c>
      <c r="BI333" s="1" t="s">
        <v>74</v>
      </c>
      <c r="BJ333" s="1" t="s">
        <v>74</v>
      </c>
      <c r="BK333" s="1" t="s">
        <v>74</v>
      </c>
      <c r="BL333" s="1" t="s">
        <v>74</v>
      </c>
      <c r="BM333" s="1" t="s">
        <v>74</v>
      </c>
      <c r="BN333" s="1" t="s">
        <v>74</v>
      </c>
      <c r="BO333" s="1" t="s">
        <v>74</v>
      </c>
      <c r="BP333" s="1" t="s">
        <v>74</v>
      </c>
      <c r="BQ333" s="1" t="s">
        <v>74</v>
      </c>
      <c r="BR333" s="1" t="s">
        <v>74</v>
      </c>
      <c r="BS333" s="1" t="s">
        <v>3017</v>
      </c>
      <c r="BT333" s="1" t="str">
        <f>HYPERLINK("https%3A%2F%2Fwww.webofscience.com%2Fwos%2Fwoscc%2Ffull-record%2FWOS:000424090300004","View Full Record in Web of Science")</f>
        <v>View Full Record in Web of Science</v>
      </c>
    </row>
    <row r="334" ht="12.75" customHeight="1">
      <c r="A334" s="1" t="s">
        <v>454</v>
      </c>
      <c r="B334" s="1" t="s">
        <v>1480</v>
      </c>
      <c r="C334" s="1" t="s">
        <v>1480</v>
      </c>
      <c r="D334" s="1" t="s">
        <v>74</v>
      </c>
      <c r="E334" s="1" t="s">
        <v>74</v>
      </c>
      <c r="F334" s="1" t="s">
        <v>3018</v>
      </c>
      <c r="G334" s="1" t="s">
        <v>1480</v>
      </c>
      <c r="H334" s="1" t="s">
        <v>74</v>
      </c>
      <c r="I334" s="1" t="s">
        <v>3019</v>
      </c>
      <c r="J334" s="1" t="s">
        <v>1483</v>
      </c>
      <c r="K334" s="1" t="s">
        <v>74</v>
      </c>
      <c r="L334" s="1" t="s">
        <v>74</v>
      </c>
      <c r="M334" s="1" t="s">
        <v>74</v>
      </c>
      <c r="N334" s="1" t="s">
        <v>74</v>
      </c>
      <c r="O334" s="1" t="s">
        <v>74</v>
      </c>
      <c r="P334" s="1" t="s">
        <v>74</v>
      </c>
      <c r="Q334" s="1" t="s">
        <v>74</v>
      </c>
      <c r="R334" s="1" t="s">
        <v>74</v>
      </c>
      <c r="S334" s="1" t="s">
        <v>74</v>
      </c>
      <c r="T334" s="1" t="s">
        <v>74</v>
      </c>
      <c r="U334" s="1" t="s">
        <v>74</v>
      </c>
      <c r="V334" s="1" t="s">
        <v>74</v>
      </c>
      <c r="W334" s="1" t="s">
        <v>74</v>
      </c>
      <c r="X334" s="1" t="s">
        <v>74</v>
      </c>
      <c r="Y334" s="1" t="s">
        <v>74</v>
      </c>
      <c r="Z334" s="1" t="s">
        <v>74</v>
      </c>
      <c r="AA334" s="1" t="s">
        <v>74</v>
      </c>
      <c r="AB334" s="1" t="s">
        <v>74</v>
      </c>
      <c r="AC334" s="1" t="s">
        <v>74</v>
      </c>
      <c r="AD334" s="1" t="s">
        <v>74</v>
      </c>
      <c r="AE334" s="1" t="s">
        <v>74</v>
      </c>
      <c r="AF334" s="1" t="s">
        <v>74</v>
      </c>
      <c r="AG334" s="1" t="s">
        <v>74</v>
      </c>
      <c r="AH334" s="1" t="s">
        <v>74</v>
      </c>
      <c r="AI334" s="1" t="s">
        <v>74</v>
      </c>
      <c r="AJ334" s="1" t="s">
        <v>74</v>
      </c>
      <c r="AK334" s="1" t="s">
        <v>74</v>
      </c>
      <c r="AL334" s="1" t="s">
        <v>74</v>
      </c>
      <c r="AM334" s="1" t="s">
        <v>74</v>
      </c>
      <c r="AN334" s="1" t="s">
        <v>74</v>
      </c>
      <c r="AO334" s="1" t="s">
        <v>74</v>
      </c>
      <c r="AP334" s="1" t="s">
        <v>74</v>
      </c>
      <c r="AQ334" s="1" t="s">
        <v>1485</v>
      </c>
      <c r="AR334" s="1" t="s">
        <v>74</v>
      </c>
      <c r="AS334" s="1" t="s">
        <v>74</v>
      </c>
      <c r="AT334" s="1" t="s">
        <v>74</v>
      </c>
      <c r="AU334" s="1">
        <v>2018.0</v>
      </c>
      <c r="AV334" s="1" t="s">
        <v>74</v>
      </c>
      <c r="AW334" s="1" t="s">
        <v>74</v>
      </c>
      <c r="AX334" s="1" t="s">
        <v>74</v>
      </c>
      <c r="AY334" s="1" t="s">
        <v>74</v>
      </c>
      <c r="AZ334" s="1" t="s">
        <v>74</v>
      </c>
      <c r="BA334" s="1" t="s">
        <v>74</v>
      </c>
      <c r="BB334" s="1">
        <v>5.0</v>
      </c>
      <c r="BC334" s="1">
        <v>9.0</v>
      </c>
      <c r="BD334" s="1" t="s">
        <v>74</v>
      </c>
      <c r="BE334" s="1" t="s">
        <v>74</v>
      </c>
      <c r="BF334" s="1" t="s">
        <v>74</v>
      </c>
      <c r="BG334" s="1" t="s">
        <v>74</v>
      </c>
      <c r="BH334" s="1" t="s">
        <v>74</v>
      </c>
      <c r="BI334" s="1" t="s">
        <v>74</v>
      </c>
      <c r="BJ334" s="1" t="s">
        <v>74</v>
      </c>
      <c r="BK334" s="1" t="s">
        <v>74</v>
      </c>
      <c r="BL334" s="1" t="s">
        <v>74</v>
      </c>
      <c r="BM334" s="1" t="s">
        <v>74</v>
      </c>
      <c r="BN334" s="1" t="s">
        <v>74</v>
      </c>
      <c r="BO334" s="1" t="s">
        <v>74</v>
      </c>
      <c r="BP334" s="1" t="s">
        <v>74</v>
      </c>
      <c r="BQ334" s="1" t="s">
        <v>74</v>
      </c>
      <c r="BR334" s="1" t="s">
        <v>74</v>
      </c>
      <c r="BS334" s="1" t="s">
        <v>3020</v>
      </c>
      <c r="BT334" s="1" t="str">
        <f>HYPERLINK("https%3A%2F%2Fwww.webofscience.com%2Fwos%2Fwoscc%2Ffull-record%2FWOS:000483366800001","View Full Record in Web of Science")</f>
        <v>View Full Record in Web of Science</v>
      </c>
    </row>
    <row r="335" ht="12.75" customHeight="1">
      <c r="A335" s="1" t="s">
        <v>454</v>
      </c>
      <c r="B335" s="1" t="s">
        <v>3021</v>
      </c>
      <c r="C335" s="1" t="s">
        <v>74</v>
      </c>
      <c r="D335" s="1" t="s">
        <v>74</v>
      </c>
      <c r="E335" s="1" t="s">
        <v>601</v>
      </c>
      <c r="F335" s="1" t="s">
        <v>3022</v>
      </c>
      <c r="G335" s="1" t="s">
        <v>74</v>
      </c>
      <c r="H335" s="1" t="s">
        <v>74</v>
      </c>
      <c r="I335" s="1" t="s">
        <v>3023</v>
      </c>
      <c r="J335" s="1" t="s">
        <v>604</v>
      </c>
      <c r="K335" s="1" t="s">
        <v>74</v>
      </c>
      <c r="L335" s="1" t="s">
        <v>74</v>
      </c>
      <c r="M335" s="1" t="s">
        <v>74</v>
      </c>
      <c r="N335" s="1" t="s">
        <v>74</v>
      </c>
      <c r="O335" s="1" t="s">
        <v>74</v>
      </c>
      <c r="P335" s="1" t="s">
        <v>74</v>
      </c>
      <c r="Q335" s="1" t="s">
        <v>74</v>
      </c>
      <c r="R335" s="1" t="s">
        <v>74</v>
      </c>
      <c r="S335" s="1" t="s">
        <v>74</v>
      </c>
      <c r="T335" s="1" t="s">
        <v>74</v>
      </c>
      <c r="U335" s="1" t="s">
        <v>74</v>
      </c>
      <c r="V335" s="1" t="s">
        <v>74</v>
      </c>
      <c r="W335" s="1" t="s">
        <v>74</v>
      </c>
      <c r="X335" s="1" t="s">
        <v>74</v>
      </c>
      <c r="Y335" s="1" t="s">
        <v>74</v>
      </c>
      <c r="Z335" s="1" t="s">
        <v>74</v>
      </c>
      <c r="AA335" s="1" t="s">
        <v>74</v>
      </c>
      <c r="AB335" s="1" t="s">
        <v>74</v>
      </c>
      <c r="AC335" s="1" t="s">
        <v>74</v>
      </c>
      <c r="AD335" s="1" t="s">
        <v>74</v>
      </c>
      <c r="AE335" s="1" t="s">
        <v>74</v>
      </c>
      <c r="AF335" s="1" t="s">
        <v>74</v>
      </c>
      <c r="AG335" s="1" t="s">
        <v>74</v>
      </c>
      <c r="AH335" s="1" t="s">
        <v>74</v>
      </c>
      <c r="AI335" s="1" t="s">
        <v>74</v>
      </c>
      <c r="AJ335" s="1" t="s">
        <v>74</v>
      </c>
      <c r="AK335" s="1" t="s">
        <v>74</v>
      </c>
      <c r="AL335" s="1" t="s">
        <v>74</v>
      </c>
      <c r="AM335" s="1" t="s">
        <v>74</v>
      </c>
      <c r="AN335" s="1" t="s">
        <v>74</v>
      </c>
      <c r="AO335" s="1" t="s">
        <v>74</v>
      </c>
      <c r="AP335" s="1" t="s">
        <v>74</v>
      </c>
      <c r="AQ335" s="1" t="s">
        <v>607</v>
      </c>
      <c r="AR335" s="1" t="s">
        <v>74</v>
      </c>
      <c r="AS335" s="1" t="s">
        <v>74</v>
      </c>
      <c r="AT335" s="1" t="s">
        <v>74</v>
      </c>
      <c r="AU335" s="1">
        <v>2018.0</v>
      </c>
      <c r="AV335" s="1" t="s">
        <v>74</v>
      </c>
      <c r="AW335" s="1" t="s">
        <v>74</v>
      </c>
      <c r="AX335" s="1" t="s">
        <v>74</v>
      </c>
      <c r="AY335" s="1" t="s">
        <v>74</v>
      </c>
      <c r="AZ335" s="1" t="s">
        <v>74</v>
      </c>
      <c r="BA335" s="1" t="s">
        <v>74</v>
      </c>
      <c r="BB335" s="1">
        <v>5.0</v>
      </c>
      <c r="BC335" s="1">
        <v>13.0</v>
      </c>
      <c r="BD335" s="1" t="s">
        <v>74</v>
      </c>
      <c r="BE335" s="1" t="s">
        <v>74</v>
      </c>
      <c r="BF335" s="1" t="s">
        <v>74</v>
      </c>
      <c r="BG335" s="1" t="s">
        <v>74</v>
      </c>
      <c r="BH335" s="1" t="s">
        <v>74</v>
      </c>
      <c r="BI335" s="1" t="s">
        <v>74</v>
      </c>
      <c r="BJ335" s="1" t="s">
        <v>74</v>
      </c>
      <c r="BK335" s="1" t="s">
        <v>74</v>
      </c>
      <c r="BL335" s="1" t="s">
        <v>74</v>
      </c>
      <c r="BM335" s="1" t="s">
        <v>74</v>
      </c>
      <c r="BN335" s="1" t="s">
        <v>74</v>
      </c>
      <c r="BO335" s="1" t="s">
        <v>74</v>
      </c>
      <c r="BP335" s="1" t="s">
        <v>74</v>
      </c>
      <c r="BQ335" s="1" t="s">
        <v>74</v>
      </c>
      <c r="BR335" s="1" t="s">
        <v>74</v>
      </c>
      <c r="BS335" s="1" t="s">
        <v>3024</v>
      </c>
      <c r="BT335" s="1" t="str">
        <f>HYPERLINK("https%3A%2F%2Fwww.webofscience.com%2Fwos%2Fwoscc%2Ffull-record%2FWOS:000480327100001","View Full Record in Web of Science")</f>
        <v>View Full Record in Web of Science</v>
      </c>
    </row>
    <row r="336" ht="12.75" customHeight="1">
      <c r="A336" s="1" t="s">
        <v>72</v>
      </c>
      <c r="B336" s="1" t="s">
        <v>3025</v>
      </c>
      <c r="C336" s="1" t="s">
        <v>74</v>
      </c>
      <c r="D336" s="1" t="s">
        <v>74</v>
      </c>
      <c r="E336" s="1" t="s">
        <v>74</v>
      </c>
      <c r="F336" s="1" t="s">
        <v>3026</v>
      </c>
      <c r="G336" s="1" t="s">
        <v>74</v>
      </c>
      <c r="H336" s="1" t="s">
        <v>74</v>
      </c>
      <c r="I336" s="1" t="s">
        <v>3027</v>
      </c>
      <c r="J336" s="1" t="s">
        <v>2502</v>
      </c>
      <c r="K336" s="1" t="s">
        <v>74</v>
      </c>
      <c r="L336" s="1" t="s">
        <v>74</v>
      </c>
      <c r="M336" s="1" t="s">
        <v>74</v>
      </c>
      <c r="N336" s="1" t="s">
        <v>74</v>
      </c>
      <c r="O336" s="1" t="s">
        <v>74</v>
      </c>
      <c r="P336" s="1" t="s">
        <v>74</v>
      </c>
      <c r="Q336" s="1" t="s">
        <v>74</v>
      </c>
      <c r="R336" s="1" t="s">
        <v>74</v>
      </c>
      <c r="S336" s="1" t="s">
        <v>74</v>
      </c>
      <c r="T336" s="1" t="s">
        <v>74</v>
      </c>
      <c r="U336" s="1" t="s">
        <v>74</v>
      </c>
      <c r="V336" s="1" t="s">
        <v>3028</v>
      </c>
      <c r="W336" s="1" t="s">
        <v>74</v>
      </c>
      <c r="X336" s="1" t="s">
        <v>74</v>
      </c>
      <c r="Y336" s="1" t="s">
        <v>74</v>
      </c>
      <c r="Z336" s="1" t="s">
        <v>74</v>
      </c>
      <c r="AA336" s="1" t="s">
        <v>74</v>
      </c>
      <c r="AB336" s="1" t="s">
        <v>74</v>
      </c>
      <c r="AC336" s="1" t="s">
        <v>74</v>
      </c>
      <c r="AD336" s="1" t="s">
        <v>74</v>
      </c>
      <c r="AE336" s="1" t="s">
        <v>74</v>
      </c>
      <c r="AF336" s="1" t="s">
        <v>74</v>
      </c>
      <c r="AG336" s="1" t="s">
        <v>74</v>
      </c>
      <c r="AH336" s="1" t="s">
        <v>74</v>
      </c>
      <c r="AI336" s="1" t="s">
        <v>74</v>
      </c>
      <c r="AJ336" s="1" t="s">
        <v>74</v>
      </c>
      <c r="AK336" s="1" t="s">
        <v>74</v>
      </c>
      <c r="AL336" s="1" t="s">
        <v>74</v>
      </c>
      <c r="AM336" s="1" t="s">
        <v>74</v>
      </c>
      <c r="AN336" s="1" t="s">
        <v>74</v>
      </c>
      <c r="AO336" s="1" t="s">
        <v>2505</v>
      </c>
      <c r="AP336" s="1" t="s">
        <v>74</v>
      </c>
      <c r="AQ336" s="1" t="s">
        <v>74</v>
      </c>
      <c r="AR336" s="1" t="s">
        <v>74</v>
      </c>
      <c r="AS336" s="1" t="s">
        <v>74</v>
      </c>
      <c r="AT336" s="1" t="s">
        <v>370</v>
      </c>
      <c r="AU336" s="1">
        <v>2017.0</v>
      </c>
      <c r="AV336" s="1">
        <v>16.0</v>
      </c>
      <c r="AW336" s="1">
        <v>4.0</v>
      </c>
      <c r="AX336" s="1" t="s">
        <v>74</v>
      </c>
      <c r="AY336" s="1" t="s">
        <v>74</v>
      </c>
      <c r="AZ336" s="1" t="s">
        <v>74</v>
      </c>
      <c r="BA336" s="1" t="s">
        <v>74</v>
      </c>
      <c r="BB336" s="1">
        <v>398.0</v>
      </c>
      <c r="BC336" s="1">
        <v>409.0</v>
      </c>
      <c r="BD336" s="1" t="s">
        <v>74</v>
      </c>
      <c r="BE336" s="1" t="s">
        <v>74</v>
      </c>
      <c r="BF336" s="1" t="s">
        <v>74</v>
      </c>
      <c r="BG336" s="1" t="s">
        <v>74</v>
      </c>
      <c r="BH336" s="1" t="s">
        <v>74</v>
      </c>
      <c r="BI336" s="1" t="s">
        <v>74</v>
      </c>
      <c r="BJ336" s="1" t="s">
        <v>74</v>
      </c>
      <c r="BK336" s="1" t="s">
        <v>74</v>
      </c>
      <c r="BL336" s="1" t="s">
        <v>74</v>
      </c>
      <c r="BM336" s="1" t="s">
        <v>74</v>
      </c>
      <c r="BN336" s="1" t="s">
        <v>74</v>
      </c>
      <c r="BO336" s="1" t="s">
        <v>74</v>
      </c>
      <c r="BP336" s="1" t="s">
        <v>74</v>
      </c>
      <c r="BQ336" s="1" t="s">
        <v>74</v>
      </c>
      <c r="BR336" s="1" t="s">
        <v>74</v>
      </c>
      <c r="BS336" s="1" t="s">
        <v>3029</v>
      </c>
      <c r="BT336" s="1" t="str">
        <f>HYPERLINK("https%3A%2F%2Fwww.webofscience.com%2Fwos%2Fwoscc%2Ffull-record%2FWOS:000405695600005","View Full Record in Web of Science")</f>
        <v>View Full Record in Web of Science</v>
      </c>
    </row>
    <row r="337" ht="12.75" customHeight="1">
      <c r="A337" s="1" t="s">
        <v>72</v>
      </c>
      <c r="B337" s="1" t="s">
        <v>3030</v>
      </c>
      <c r="C337" s="1" t="s">
        <v>74</v>
      </c>
      <c r="D337" s="1" t="s">
        <v>74</v>
      </c>
      <c r="E337" s="1" t="s">
        <v>74</v>
      </c>
      <c r="F337" s="1" t="s">
        <v>3031</v>
      </c>
      <c r="G337" s="1" t="s">
        <v>74</v>
      </c>
      <c r="H337" s="1" t="s">
        <v>74</v>
      </c>
      <c r="I337" s="1" t="s">
        <v>3032</v>
      </c>
      <c r="J337" s="1" t="s">
        <v>1312</v>
      </c>
      <c r="K337" s="1" t="s">
        <v>74</v>
      </c>
      <c r="L337" s="1" t="s">
        <v>74</v>
      </c>
      <c r="M337" s="1" t="s">
        <v>74</v>
      </c>
      <c r="N337" s="1" t="s">
        <v>74</v>
      </c>
      <c r="O337" s="1" t="s">
        <v>74</v>
      </c>
      <c r="P337" s="1" t="s">
        <v>74</v>
      </c>
      <c r="Q337" s="1" t="s">
        <v>74</v>
      </c>
      <c r="R337" s="1" t="s">
        <v>74</v>
      </c>
      <c r="S337" s="1" t="s">
        <v>74</v>
      </c>
      <c r="T337" s="1" t="s">
        <v>74</v>
      </c>
      <c r="U337" s="1" t="s">
        <v>74</v>
      </c>
      <c r="V337" s="1" t="s">
        <v>3033</v>
      </c>
      <c r="W337" s="1" t="s">
        <v>74</v>
      </c>
      <c r="X337" s="1" t="s">
        <v>74</v>
      </c>
      <c r="Y337" s="1" t="s">
        <v>74</v>
      </c>
      <c r="Z337" s="1" t="s">
        <v>74</v>
      </c>
      <c r="AA337" s="1" t="s">
        <v>74</v>
      </c>
      <c r="AB337" s="1" t="s">
        <v>74</v>
      </c>
      <c r="AC337" s="1" t="s">
        <v>74</v>
      </c>
      <c r="AD337" s="1" t="s">
        <v>74</v>
      </c>
      <c r="AE337" s="1" t="s">
        <v>74</v>
      </c>
      <c r="AF337" s="1" t="s">
        <v>74</v>
      </c>
      <c r="AG337" s="1" t="s">
        <v>74</v>
      </c>
      <c r="AH337" s="1" t="s">
        <v>74</v>
      </c>
      <c r="AI337" s="1" t="s">
        <v>74</v>
      </c>
      <c r="AJ337" s="1" t="s">
        <v>74</v>
      </c>
      <c r="AK337" s="1" t="s">
        <v>74</v>
      </c>
      <c r="AL337" s="1" t="s">
        <v>74</v>
      </c>
      <c r="AM337" s="1" t="s">
        <v>74</v>
      </c>
      <c r="AN337" s="1" t="s">
        <v>74</v>
      </c>
      <c r="AO337" s="1" t="s">
        <v>1316</v>
      </c>
      <c r="AP337" s="1" t="s">
        <v>1317</v>
      </c>
      <c r="AQ337" s="1" t="s">
        <v>74</v>
      </c>
      <c r="AR337" s="1" t="s">
        <v>74</v>
      </c>
      <c r="AS337" s="1" t="s">
        <v>74</v>
      </c>
      <c r="AT337" s="1" t="s">
        <v>288</v>
      </c>
      <c r="AU337" s="1">
        <v>2017.0</v>
      </c>
      <c r="AV337" s="1">
        <v>377.0</v>
      </c>
      <c r="AW337" s="1" t="s">
        <v>74</v>
      </c>
      <c r="AX337" s="1" t="s">
        <v>74</v>
      </c>
      <c r="AY337" s="1" t="s">
        <v>74</v>
      </c>
      <c r="AZ337" s="1" t="s">
        <v>74</v>
      </c>
      <c r="BA337" s="1" t="s">
        <v>74</v>
      </c>
      <c r="BB337" s="1">
        <v>164.0</v>
      </c>
      <c r="BC337" s="1">
        <v>179.0</v>
      </c>
      <c r="BD337" s="1" t="s">
        <v>74</v>
      </c>
      <c r="BE337" s="1" t="s">
        <v>3034</v>
      </c>
      <c r="BF337" s="2" t="str">
        <f>HYPERLINK("http://dx.doi.org/10.1016/j.aop.2016.12.003","http://dx.doi.org/10.1016/j.aop.2016.12.003")</f>
        <v>http://dx.doi.org/10.1016/j.aop.2016.12.003</v>
      </c>
      <c r="BG337" s="1" t="s">
        <v>74</v>
      </c>
      <c r="BH337" s="1" t="s">
        <v>74</v>
      </c>
      <c r="BI337" s="1" t="s">
        <v>74</v>
      </c>
      <c r="BJ337" s="1" t="s">
        <v>74</v>
      </c>
      <c r="BK337" s="1" t="s">
        <v>74</v>
      </c>
      <c r="BL337" s="1" t="s">
        <v>74</v>
      </c>
      <c r="BM337" s="1" t="s">
        <v>74</v>
      </c>
      <c r="BN337" s="1" t="s">
        <v>74</v>
      </c>
      <c r="BO337" s="1" t="s">
        <v>74</v>
      </c>
      <c r="BP337" s="1" t="s">
        <v>74</v>
      </c>
      <c r="BQ337" s="1" t="s">
        <v>74</v>
      </c>
      <c r="BR337" s="1" t="s">
        <v>74</v>
      </c>
      <c r="BS337" s="1" t="s">
        <v>3035</v>
      </c>
      <c r="BT337" s="1" t="str">
        <f>HYPERLINK("https%3A%2F%2Fwww.webofscience.com%2Fwos%2Fwoscc%2Ffull-record%2FWOS:000394197800015","View Full Record in Web of Science")</f>
        <v>View Full Record in Web of Science</v>
      </c>
    </row>
    <row r="338" ht="12.75" customHeight="1">
      <c r="A338" s="1" t="s">
        <v>91</v>
      </c>
      <c r="B338" s="1" t="s">
        <v>3036</v>
      </c>
      <c r="C338" s="1" t="s">
        <v>74</v>
      </c>
      <c r="D338" s="1" t="s">
        <v>74</v>
      </c>
      <c r="E338" s="1" t="s">
        <v>442</v>
      </c>
      <c r="F338" s="1" t="s">
        <v>3037</v>
      </c>
      <c r="G338" s="1" t="s">
        <v>74</v>
      </c>
      <c r="H338" s="1" t="s">
        <v>74</v>
      </c>
      <c r="I338" s="1" t="s">
        <v>3038</v>
      </c>
      <c r="J338" s="1" t="s">
        <v>3039</v>
      </c>
      <c r="K338" s="1" t="s">
        <v>74</v>
      </c>
      <c r="L338" s="1" t="s">
        <v>74</v>
      </c>
      <c r="M338" s="1" t="s">
        <v>74</v>
      </c>
      <c r="N338" s="1" t="s">
        <v>74</v>
      </c>
      <c r="O338" s="1" t="s">
        <v>3040</v>
      </c>
      <c r="P338" s="1" t="s">
        <v>3041</v>
      </c>
      <c r="Q338" s="1" t="s">
        <v>3042</v>
      </c>
      <c r="R338" s="1" t="s">
        <v>3043</v>
      </c>
      <c r="S338" s="1" t="s">
        <v>74</v>
      </c>
      <c r="T338" s="1" t="s">
        <v>74</v>
      </c>
      <c r="U338" s="1" t="s">
        <v>74</v>
      </c>
      <c r="V338" s="1" t="s">
        <v>3044</v>
      </c>
      <c r="W338" s="1" t="s">
        <v>74</v>
      </c>
      <c r="X338" s="1" t="s">
        <v>74</v>
      </c>
      <c r="Y338" s="1" t="s">
        <v>74</v>
      </c>
      <c r="Z338" s="1" t="s">
        <v>74</v>
      </c>
      <c r="AA338" s="1" t="s">
        <v>1535</v>
      </c>
      <c r="AB338" s="1" t="s">
        <v>3045</v>
      </c>
      <c r="AC338" s="1" t="s">
        <v>74</v>
      </c>
      <c r="AD338" s="1" t="s">
        <v>74</v>
      </c>
      <c r="AE338" s="1" t="s">
        <v>74</v>
      </c>
      <c r="AF338" s="1" t="s">
        <v>74</v>
      </c>
      <c r="AG338" s="1" t="s">
        <v>74</v>
      </c>
      <c r="AH338" s="1" t="s">
        <v>74</v>
      </c>
      <c r="AI338" s="1" t="s">
        <v>74</v>
      </c>
      <c r="AJ338" s="1" t="s">
        <v>74</v>
      </c>
      <c r="AK338" s="1" t="s">
        <v>74</v>
      </c>
      <c r="AL338" s="1" t="s">
        <v>74</v>
      </c>
      <c r="AM338" s="1" t="s">
        <v>74</v>
      </c>
      <c r="AN338" s="1" t="s">
        <v>74</v>
      </c>
      <c r="AO338" s="1" t="s">
        <v>74</v>
      </c>
      <c r="AP338" s="1" t="s">
        <v>74</v>
      </c>
      <c r="AQ338" s="1" t="s">
        <v>3046</v>
      </c>
      <c r="AR338" s="1" t="s">
        <v>74</v>
      </c>
      <c r="AS338" s="1" t="s">
        <v>74</v>
      </c>
      <c r="AT338" s="1" t="s">
        <v>74</v>
      </c>
      <c r="AU338" s="1">
        <v>2017.0</v>
      </c>
      <c r="AV338" s="1" t="s">
        <v>74</v>
      </c>
      <c r="AW338" s="1" t="s">
        <v>74</v>
      </c>
      <c r="AX338" s="1" t="s">
        <v>74</v>
      </c>
      <c r="AY338" s="1" t="s">
        <v>74</v>
      </c>
      <c r="AZ338" s="1" t="s">
        <v>74</v>
      </c>
      <c r="BA338" s="1" t="s">
        <v>74</v>
      </c>
      <c r="BB338" s="1">
        <v>1.0</v>
      </c>
      <c r="BC338" s="1">
        <v>6.0</v>
      </c>
      <c r="BD338" s="1" t="s">
        <v>74</v>
      </c>
      <c r="BE338" s="1" t="s">
        <v>74</v>
      </c>
      <c r="BF338" s="1" t="s">
        <v>74</v>
      </c>
      <c r="BG338" s="1" t="s">
        <v>74</v>
      </c>
      <c r="BH338" s="1" t="s">
        <v>74</v>
      </c>
      <c r="BI338" s="1" t="s">
        <v>74</v>
      </c>
      <c r="BJ338" s="1" t="s">
        <v>74</v>
      </c>
      <c r="BK338" s="1" t="s">
        <v>74</v>
      </c>
      <c r="BL338" s="1" t="s">
        <v>74</v>
      </c>
      <c r="BM338" s="1" t="s">
        <v>74</v>
      </c>
      <c r="BN338" s="1" t="s">
        <v>74</v>
      </c>
      <c r="BO338" s="1" t="s">
        <v>74</v>
      </c>
      <c r="BP338" s="1" t="s">
        <v>74</v>
      </c>
      <c r="BQ338" s="1" t="s">
        <v>74</v>
      </c>
      <c r="BR338" s="1" t="s">
        <v>74</v>
      </c>
      <c r="BS338" s="1" t="s">
        <v>3047</v>
      </c>
      <c r="BT338" s="1" t="str">
        <f>HYPERLINK("https%3A%2F%2Fwww.webofscience.com%2Fwos%2Fwoscc%2Ffull-record%2FWOS:000428142700005","View Full Record in Web of Science")</f>
        <v>View Full Record in Web of Science</v>
      </c>
    </row>
    <row r="339" ht="12.75" customHeight="1">
      <c r="A339" s="1" t="s">
        <v>91</v>
      </c>
      <c r="B339" s="1" t="s">
        <v>3048</v>
      </c>
      <c r="C339" s="1" t="s">
        <v>74</v>
      </c>
      <c r="D339" s="1" t="s">
        <v>3049</v>
      </c>
      <c r="E339" s="1" t="s">
        <v>74</v>
      </c>
      <c r="F339" s="1" t="s">
        <v>3050</v>
      </c>
      <c r="G339" s="1" t="s">
        <v>74</v>
      </c>
      <c r="H339" s="1" t="s">
        <v>74</v>
      </c>
      <c r="I339" s="1" t="s">
        <v>3051</v>
      </c>
      <c r="J339" s="1" t="s">
        <v>3052</v>
      </c>
      <c r="K339" s="1" t="s">
        <v>3053</v>
      </c>
      <c r="L339" s="1" t="s">
        <v>74</v>
      </c>
      <c r="M339" s="1" t="s">
        <v>74</v>
      </c>
      <c r="N339" s="1" t="s">
        <v>74</v>
      </c>
      <c r="O339" s="1" t="s">
        <v>3054</v>
      </c>
      <c r="P339" s="1" t="s">
        <v>3055</v>
      </c>
      <c r="Q339" s="1" t="s">
        <v>3056</v>
      </c>
      <c r="R339" s="1" t="s">
        <v>3057</v>
      </c>
      <c r="S339" s="1" t="s">
        <v>3058</v>
      </c>
      <c r="T339" s="1" t="s">
        <v>74</v>
      </c>
      <c r="U339" s="1" t="s">
        <v>74</v>
      </c>
      <c r="V339" s="1" t="s">
        <v>3059</v>
      </c>
      <c r="W339" s="1" t="s">
        <v>74</v>
      </c>
      <c r="X339" s="1" t="s">
        <v>74</v>
      </c>
      <c r="Y339" s="1" t="s">
        <v>74</v>
      </c>
      <c r="Z339" s="1" t="s">
        <v>74</v>
      </c>
      <c r="AA339" s="1" t="s">
        <v>74</v>
      </c>
      <c r="AB339" s="1" t="s">
        <v>74</v>
      </c>
      <c r="AC339" s="1" t="s">
        <v>74</v>
      </c>
      <c r="AD339" s="1" t="s">
        <v>74</v>
      </c>
      <c r="AE339" s="1" t="s">
        <v>74</v>
      </c>
      <c r="AF339" s="1" t="s">
        <v>74</v>
      </c>
      <c r="AG339" s="1" t="s">
        <v>74</v>
      </c>
      <c r="AH339" s="1" t="s">
        <v>74</v>
      </c>
      <c r="AI339" s="1" t="s">
        <v>74</v>
      </c>
      <c r="AJ339" s="1" t="s">
        <v>74</v>
      </c>
      <c r="AK339" s="1" t="s">
        <v>74</v>
      </c>
      <c r="AL339" s="1" t="s">
        <v>74</v>
      </c>
      <c r="AM339" s="1" t="s">
        <v>74</v>
      </c>
      <c r="AN339" s="1" t="s">
        <v>74</v>
      </c>
      <c r="AO339" s="1" t="s">
        <v>3060</v>
      </c>
      <c r="AP339" s="1" t="s">
        <v>74</v>
      </c>
      <c r="AQ339" s="1" t="s">
        <v>3061</v>
      </c>
      <c r="AR339" s="1" t="s">
        <v>74</v>
      </c>
      <c r="AS339" s="1" t="s">
        <v>74</v>
      </c>
      <c r="AT339" s="1" t="s">
        <v>74</v>
      </c>
      <c r="AU339" s="1">
        <v>2017.0</v>
      </c>
      <c r="AV339" s="1">
        <v>188.0</v>
      </c>
      <c r="AW339" s="1" t="s">
        <v>74</v>
      </c>
      <c r="AX339" s="1" t="s">
        <v>74</v>
      </c>
      <c r="AY339" s="1" t="s">
        <v>74</v>
      </c>
      <c r="AZ339" s="1" t="s">
        <v>74</v>
      </c>
      <c r="BA339" s="1" t="s">
        <v>74</v>
      </c>
      <c r="BB339" s="1">
        <v>1299.0</v>
      </c>
      <c r="BC339" s="1">
        <v>1305.0</v>
      </c>
      <c r="BD339" s="1" t="s">
        <v>74</v>
      </c>
      <c r="BE339" s="1" t="s">
        <v>3062</v>
      </c>
      <c r="BF339" s="2" t="str">
        <f>HYPERLINK("http://dx.doi.org/10.1007/978-981-10-1926-5_133","http://dx.doi.org/10.1007/978-981-10-1926-5_133")</f>
        <v>http://dx.doi.org/10.1007/978-981-10-1926-5_133</v>
      </c>
      <c r="BG339" s="1" t="s">
        <v>74</v>
      </c>
      <c r="BH339" s="1" t="s">
        <v>74</v>
      </c>
      <c r="BI339" s="1" t="s">
        <v>74</v>
      </c>
      <c r="BJ339" s="1" t="s">
        <v>74</v>
      </c>
      <c r="BK339" s="1" t="s">
        <v>74</v>
      </c>
      <c r="BL339" s="1" t="s">
        <v>74</v>
      </c>
      <c r="BM339" s="1" t="s">
        <v>74</v>
      </c>
      <c r="BN339" s="1" t="s">
        <v>74</v>
      </c>
      <c r="BO339" s="1" t="s">
        <v>74</v>
      </c>
      <c r="BP339" s="1" t="s">
        <v>74</v>
      </c>
      <c r="BQ339" s="1" t="s">
        <v>74</v>
      </c>
      <c r="BR339" s="1" t="s">
        <v>74</v>
      </c>
      <c r="BS339" s="1" t="s">
        <v>3063</v>
      </c>
      <c r="BT339" s="1" t="str">
        <f>HYPERLINK("https%3A%2F%2Fwww.webofscience.com%2Fwos%2Fwoscc%2Ffull-record%2FWOS:000416515400133","View Full Record in Web of Science")</f>
        <v>View Full Record in Web of Science</v>
      </c>
    </row>
    <row r="340" ht="12.75" customHeight="1">
      <c r="A340" s="1" t="s">
        <v>72</v>
      </c>
      <c r="B340" s="1" t="s">
        <v>3064</v>
      </c>
      <c r="C340" s="1" t="s">
        <v>74</v>
      </c>
      <c r="D340" s="1" t="s">
        <v>74</v>
      </c>
      <c r="E340" s="1" t="s">
        <v>74</v>
      </c>
      <c r="F340" s="1" t="s">
        <v>3065</v>
      </c>
      <c r="G340" s="1" t="s">
        <v>74</v>
      </c>
      <c r="H340" s="1" t="s">
        <v>74</v>
      </c>
      <c r="I340" s="1" t="s">
        <v>3066</v>
      </c>
      <c r="J340" s="1" t="s">
        <v>3067</v>
      </c>
      <c r="K340" s="1" t="s">
        <v>74</v>
      </c>
      <c r="L340" s="1" t="s">
        <v>74</v>
      </c>
      <c r="M340" s="1" t="s">
        <v>74</v>
      </c>
      <c r="N340" s="1" t="s">
        <v>74</v>
      </c>
      <c r="O340" s="1" t="s">
        <v>74</v>
      </c>
      <c r="P340" s="1" t="s">
        <v>74</v>
      </c>
      <c r="Q340" s="1" t="s">
        <v>74</v>
      </c>
      <c r="R340" s="1" t="s">
        <v>74</v>
      </c>
      <c r="S340" s="1" t="s">
        <v>74</v>
      </c>
      <c r="T340" s="1" t="s">
        <v>74</v>
      </c>
      <c r="U340" s="1" t="s">
        <v>74</v>
      </c>
      <c r="V340" s="1" t="s">
        <v>3068</v>
      </c>
      <c r="W340" s="1" t="s">
        <v>74</v>
      </c>
      <c r="X340" s="1" t="s">
        <v>74</v>
      </c>
      <c r="Y340" s="1" t="s">
        <v>74</v>
      </c>
      <c r="Z340" s="1" t="s">
        <v>74</v>
      </c>
      <c r="AA340" s="1" t="s">
        <v>3069</v>
      </c>
      <c r="AB340" s="1" t="s">
        <v>3070</v>
      </c>
      <c r="AC340" s="1" t="s">
        <v>74</v>
      </c>
      <c r="AD340" s="1" t="s">
        <v>74</v>
      </c>
      <c r="AE340" s="1" t="s">
        <v>74</v>
      </c>
      <c r="AF340" s="1" t="s">
        <v>74</v>
      </c>
      <c r="AG340" s="1" t="s">
        <v>74</v>
      </c>
      <c r="AH340" s="1" t="s">
        <v>74</v>
      </c>
      <c r="AI340" s="1" t="s">
        <v>74</v>
      </c>
      <c r="AJ340" s="1" t="s">
        <v>74</v>
      </c>
      <c r="AK340" s="1" t="s">
        <v>74</v>
      </c>
      <c r="AL340" s="1" t="s">
        <v>74</v>
      </c>
      <c r="AM340" s="1" t="s">
        <v>74</v>
      </c>
      <c r="AN340" s="1" t="s">
        <v>74</v>
      </c>
      <c r="AO340" s="1" t="s">
        <v>3071</v>
      </c>
      <c r="AP340" s="1" t="s">
        <v>3072</v>
      </c>
      <c r="AQ340" s="1" t="s">
        <v>74</v>
      </c>
      <c r="AR340" s="1" t="s">
        <v>74</v>
      </c>
      <c r="AS340" s="1" t="s">
        <v>74</v>
      </c>
      <c r="AT340" s="1" t="s">
        <v>1176</v>
      </c>
      <c r="AU340" s="1">
        <v>2016.0</v>
      </c>
      <c r="AV340" s="1">
        <v>7.0</v>
      </c>
      <c r="AW340" s="1">
        <v>4.0</v>
      </c>
      <c r="AX340" s="1" t="s">
        <v>74</v>
      </c>
      <c r="AY340" s="1" t="s">
        <v>74</v>
      </c>
      <c r="AZ340" s="1" t="s">
        <v>74</v>
      </c>
      <c r="BA340" s="1" t="s">
        <v>74</v>
      </c>
      <c r="BB340" s="1">
        <v>337.0</v>
      </c>
      <c r="BC340" s="1">
        <v>341.0</v>
      </c>
      <c r="BD340" s="1" t="s">
        <v>74</v>
      </c>
      <c r="BE340" s="1" t="s">
        <v>3073</v>
      </c>
      <c r="BF340" s="2" t="str">
        <f>HYPERLINK("http://dx.doi.org/10.1017/S204017441600012X","http://dx.doi.org/10.1017/S204017441600012X")</f>
        <v>http://dx.doi.org/10.1017/S204017441600012X</v>
      </c>
      <c r="BG340" s="1" t="s">
        <v>74</v>
      </c>
      <c r="BH340" s="1" t="s">
        <v>74</v>
      </c>
      <c r="BI340" s="1" t="s">
        <v>74</v>
      </c>
      <c r="BJ340" s="1" t="s">
        <v>74</v>
      </c>
      <c r="BK340" s="1" t="s">
        <v>74</v>
      </c>
      <c r="BL340" s="1" t="s">
        <v>74</v>
      </c>
      <c r="BM340" s="1" t="s">
        <v>74</v>
      </c>
      <c r="BN340" s="1">
        <v>2.7020122E7</v>
      </c>
      <c r="BO340" s="1" t="s">
        <v>74</v>
      </c>
      <c r="BP340" s="1" t="s">
        <v>74</v>
      </c>
      <c r="BQ340" s="1" t="s">
        <v>74</v>
      </c>
      <c r="BR340" s="1" t="s">
        <v>74</v>
      </c>
      <c r="BS340" s="1" t="s">
        <v>3074</v>
      </c>
      <c r="BT340" s="1" t="str">
        <f>HYPERLINK("https%3A%2F%2Fwww.webofscience.com%2Fwos%2Fwoscc%2Ffull-record%2FWOS:000379780300001","View Full Record in Web of Science")</f>
        <v>View Full Record in Web of Science</v>
      </c>
    </row>
    <row r="341" ht="12.75" customHeight="1">
      <c r="A341" s="1" t="s">
        <v>72</v>
      </c>
      <c r="B341" s="1" t="s">
        <v>3075</v>
      </c>
      <c r="C341" s="1" t="s">
        <v>74</v>
      </c>
      <c r="D341" s="1" t="s">
        <v>74</v>
      </c>
      <c r="E341" s="1" t="s">
        <v>74</v>
      </c>
      <c r="F341" s="1" t="s">
        <v>3076</v>
      </c>
      <c r="G341" s="1" t="s">
        <v>74</v>
      </c>
      <c r="H341" s="1" t="s">
        <v>74</v>
      </c>
      <c r="I341" s="1" t="s">
        <v>3077</v>
      </c>
      <c r="J341" s="1" t="s">
        <v>3078</v>
      </c>
      <c r="K341" s="1" t="s">
        <v>74</v>
      </c>
      <c r="L341" s="1" t="s">
        <v>74</v>
      </c>
      <c r="M341" s="1" t="s">
        <v>74</v>
      </c>
      <c r="N341" s="1" t="s">
        <v>74</v>
      </c>
      <c r="O341" s="1" t="s">
        <v>74</v>
      </c>
      <c r="P341" s="1" t="s">
        <v>74</v>
      </c>
      <c r="Q341" s="1" t="s">
        <v>74</v>
      </c>
      <c r="R341" s="1" t="s">
        <v>74</v>
      </c>
      <c r="S341" s="1" t="s">
        <v>74</v>
      </c>
      <c r="T341" s="1" t="s">
        <v>74</v>
      </c>
      <c r="U341" s="1" t="s">
        <v>74</v>
      </c>
      <c r="V341" s="1" t="s">
        <v>74</v>
      </c>
      <c r="W341" s="1" t="s">
        <v>74</v>
      </c>
      <c r="X341" s="1" t="s">
        <v>74</v>
      </c>
      <c r="Y341" s="1" t="s">
        <v>74</v>
      </c>
      <c r="Z341" s="1" t="s">
        <v>74</v>
      </c>
      <c r="AA341" s="1" t="s">
        <v>3079</v>
      </c>
      <c r="AB341" s="1" t="s">
        <v>3080</v>
      </c>
      <c r="AC341" s="1" t="s">
        <v>74</v>
      </c>
      <c r="AD341" s="1" t="s">
        <v>74</v>
      </c>
      <c r="AE341" s="1" t="s">
        <v>74</v>
      </c>
      <c r="AF341" s="1" t="s">
        <v>74</v>
      </c>
      <c r="AG341" s="1" t="s">
        <v>74</v>
      </c>
      <c r="AH341" s="1" t="s">
        <v>74</v>
      </c>
      <c r="AI341" s="1" t="s">
        <v>74</v>
      </c>
      <c r="AJ341" s="1" t="s">
        <v>74</v>
      </c>
      <c r="AK341" s="1" t="s">
        <v>74</v>
      </c>
      <c r="AL341" s="1" t="s">
        <v>74</v>
      </c>
      <c r="AM341" s="1" t="s">
        <v>74</v>
      </c>
      <c r="AN341" s="1" t="s">
        <v>74</v>
      </c>
      <c r="AO341" s="1" t="s">
        <v>3081</v>
      </c>
      <c r="AP341" s="1" t="s">
        <v>3082</v>
      </c>
      <c r="AQ341" s="1" t="s">
        <v>74</v>
      </c>
      <c r="AR341" s="1" t="s">
        <v>74</v>
      </c>
      <c r="AS341" s="1" t="s">
        <v>74</v>
      </c>
      <c r="AT341" s="1" t="s">
        <v>370</v>
      </c>
      <c r="AU341" s="1">
        <v>2016.0</v>
      </c>
      <c r="AV341" s="1">
        <v>17.0</v>
      </c>
      <c r="AW341" s="1" t="s">
        <v>74</v>
      </c>
      <c r="AX341" s="1" t="s">
        <v>74</v>
      </c>
      <c r="AY341" s="1" t="s">
        <v>74</v>
      </c>
      <c r="AZ341" s="1" t="s">
        <v>74</v>
      </c>
      <c r="BA341" s="1" t="s">
        <v>74</v>
      </c>
      <c r="BB341" s="1">
        <v>163.0</v>
      </c>
      <c r="BC341" s="1">
        <v>165.0</v>
      </c>
      <c r="BD341" s="1" t="s">
        <v>74</v>
      </c>
      <c r="BE341" s="1" t="s">
        <v>3083</v>
      </c>
      <c r="BF341" s="2" t="str">
        <f>HYPERLINK("http://dx.doi.org/10.1016/j.plrev.2016.06.003","http://dx.doi.org/10.1016/j.plrev.2016.06.003")</f>
        <v>http://dx.doi.org/10.1016/j.plrev.2016.06.003</v>
      </c>
      <c r="BG341" s="1" t="s">
        <v>74</v>
      </c>
      <c r="BH341" s="1" t="s">
        <v>74</v>
      </c>
      <c r="BI341" s="1" t="s">
        <v>74</v>
      </c>
      <c r="BJ341" s="1" t="s">
        <v>74</v>
      </c>
      <c r="BK341" s="1" t="s">
        <v>74</v>
      </c>
      <c r="BL341" s="1" t="s">
        <v>74</v>
      </c>
      <c r="BM341" s="1" t="s">
        <v>74</v>
      </c>
      <c r="BN341" s="1">
        <v>2.7341748E7</v>
      </c>
      <c r="BO341" s="1" t="s">
        <v>74</v>
      </c>
      <c r="BP341" s="1" t="s">
        <v>74</v>
      </c>
      <c r="BQ341" s="1" t="s">
        <v>74</v>
      </c>
      <c r="BR341" s="1" t="s">
        <v>74</v>
      </c>
      <c r="BS341" s="1" t="s">
        <v>3084</v>
      </c>
      <c r="BT341" s="1" t="str">
        <f>HYPERLINK("https%3A%2F%2Fwww.webofscience.com%2Fwos%2Fwoscc%2Ffull-record%2FWOS:000381544100032","View Full Record in Web of Science")</f>
        <v>View Full Record in Web of Science</v>
      </c>
    </row>
    <row r="342" ht="12.75" customHeight="1">
      <c r="A342" s="1" t="s">
        <v>91</v>
      </c>
      <c r="B342" s="1" t="s">
        <v>3085</v>
      </c>
      <c r="C342" s="1" t="s">
        <v>74</v>
      </c>
      <c r="D342" s="1" t="s">
        <v>3086</v>
      </c>
      <c r="E342" s="1" t="s">
        <v>74</v>
      </c>
      <c r="F342" s="1" t="s">
        <v>3087</v>
      </c>
      <c r="G342" s="1" t="s">
        <v>74</v>
      </c>
      <c r="H342" s="1" t="s">
        <v>74</v>
      </c>
      <c r="I342" s="1" t="s">
        <v>3088</v>
      </c>
      <c r="J342" s="1" t="s">
        <v>3089</v>
      </c>
      <c r="K342" s="1" t="s">
        <v>939</v>
      </c>
      <c r="L342" s="1" t="s">
        <v>74</v>
      </c>
      <c r="M342" s="1" t="s">
        <v>74</v>
      </c>
      <c r="N342" s="1" t="s">
        <v>74</v>
      </c>
      <c r="O342" s="1" t="s">
        <v>3090</v>
      </c>
      <c r="P342" s="1" t="s">
        <v>3091</v>
      </c>
      <c r="Q342" s="1" t="s">
        <v>3092</v>
      </c>
      <c r="R342" s="1" t="s">
        <v>3093</v>
      </c>
      <c r="S342" s="1" t="s">
        <v>74</v>
      </c>
      <c r="T342" s="1" t="s">
        <v>74</v>
      </c>
      <c r="U342" s="1" t="s">
        <v>74</v>
      </c>
      <c r="V342" s="1" t="s">
        <v>3094</v>
      </c>
      <c r="W342" s="1" t="s">
        <v>74</v>
      </c>
      <c r="X342" s="1" t="s">
        <v>74</v>
      </c>
      <c r="Y342" s="1" t="s">
        <v>74</v>
      </c>
      <c r="Z342" s="1" t="s">
        <v>74</v>
      </c>
      <c r="AA342" s="1" t="s">
        <v>945</v>
      </c>
      <c r="AB342" s="1" t="s">
        <v>3095</v>
      </c>
      <c r="AC342" s="1" t="s">
        <v>74</v>
      </c>
      <c r="AD342" s="1" t="s">
        <v>74</v>
      </c>
      <c r="AE342" s="1" t="s">
        <v>74</v>
      </c>
      <c r="AF342" s="1" t="s">
        <v>74</v>
      </c>
      <c r="AG342" s="1" t="s">
        <v>74</v>
      </c>
      <c r="AH342" s="1" t="s">
        <v>74</v>
      </c>
      <c r="AI342" s="1" t="s">
        <v>74</v>
      </c>
      <c r="AJ342" s="1" t="s">
        <v>74</v>
      </c>
      <c r="AK342" s="1" t="s">
        <v>74</v>
      </c>
      <c r="AL342" s="1" t="s">
        <v>74</v>
      </c>
      <c r="AM342" s="1" t="s">
        <v>74</v>
      </c>
      <c r="AN342" s="1" t="s">
        <v>74</v>
      </c>
      <c r="AO342" s="1" t="s">
        <v>947</v>
      </c>
      <c r="AP342" s="1" t="s">
        <v>74</v>
      </c>
      <c r="AQ342" s="1" t="s">
        <v>3096</v>
      </c>
      <c r="AR342" s="1" t="s">
        <v>74</v>
      </c>
      <c r="AS342" s="1" t="s">
        <v>74</v>
      </c>
      <c r="AT342" s="1" t="s">
        <v>74</v>
      </c>
      <c r="AU342" s="1">
        <v>2016.0</v>
      </c>
      <c r="AV342" s="1" t="s">
        <v>74</v>
      </c>
      <c r="AW342" s="1" t="s">
        <v>74</v>
      </c>
      <c r="AX342" s="1" t="s">
        <v>74</v>
      </c>
      <c r="AY342" s="1" t="s">
        <v>74</v>
      </c>
      <c r="AZ342" s="1" t="s">
        <v>74</v>
      </c>
      <c r="BA342" s="1" t="s">
        <v>74</v>
      </c>
      <c r="BB342" s="1">
        <v>232.0</v>
      </c>
      <c r="BC342" s="1">
        <v>239.0</v>
      </c>
      <c r="BD342" s="1" t="s">
        <v>74</v>
      </c>
      <c r="BE342" s="1" t="s">
        <v>74</v>
      </c>
      <c r="BF342" s="1" t="s">
        <v>74</v>
      </c>
      <c r="BG342" s="1" t="s">
        <v>74</v>
      </c>
      <c r="BH342" s="1" t="s">
        <v>74</v>
      </c>
      <c r="BI342" s="1" t="s">
        <v>74</v>
      </c>
      <c r="BJ342" s="1" t="s">
        <v>74</v>
      </c>
      <c r="BK342" s="1" t="s">
        <v>74</v>
      </c>
      <c r="BL342" s="1" t="s">
        <v>74</v>
      </c>
      <c r="BM342" s="1" t="s">
        <v>74</v>
      </c>
      <c r="BN342" s="1" t="s">
        <v>74</v>
      </c>
      <c r="BO342" s="1" t="s">
        <v>74</v>
      </c>
      <c r="BP342" s="1" t="s">
        <v>74</v>
      </c>
      <c r="BQ342" s="1" t="s">
        <v>74</v>
      </c>
      <c r="BR342" s="1" t="s">
        <v>74</v>
      </c>
      <c r="BS342" s="1" t="s">
        <v>3097</v>
      </c>
      <c r="BT342" s="1" t="str">
        <f>HYPERLINK("https%3A%2F%2Fwww.webofscience.com%2Fwos%2Fwoscc%2Ffull-record%2FWOS:000381810900029","View Full Record in Web of Science")</f>
        <v>View Full Record in Web of Science</v>
      </c>
    </row>
    <row r="343" ht="12.75" customHeight="1">
      <c r="A343" s="1" t="s">
        <v>162</v>
      </c>
      <c r="B343" s="1" t="s">
        <v>3098</v>
      </c>
      <c r="C343" s="1" t="s">
        <v>74</v>
      </c>
      <c r="D343" s="1" t="s">
        <v>3099</v>
      </c>
      <c r="E343" s="1" t="s">
        <v>74</v>
      </c>
      <c r="F343" s="1" t="s">
        <v>3100</v>
      </c>
      <c r="G343" s="1" t="s">
        <v>74</v>
      </c>
      <c r="H343" s="1" t="s">
        <v>74</v>
      </c>
      <c r="I343" s="1" t="s">
        <v>3101</v>
      </c>
      <c r="J343" s="1" t="s">
        <v>3102</v>
      </c>
      <c r="K343" s="1" t="s">
        <v>3103</v>
      </c>
      <c r="L343" s="1" t="s">
        <v>74</v>
      </c>
      <c r="M343" s="1" t="s">
        <v>74</v>
      </c>
      <c r="N343" s="1" t="s">
        <v>74</v>
      </c>
      <c r="O343" s="1" t="s">
        <v>74</v>
      </c>
      <c r="P343" s="1" t="s">
        <v>74</v>
      </c>
      <c r="Q343" s="1" t="s">
        <v>74</v>
      </c>
      <c r="R343" s="1" t="s">
        <v>74</v>
      </c>
      <c r="S343" s="1" t="s">
        <v>74</v>
      </c>
      <c r="T343" s="1" t="s">
        <v>74</v>
      </c>
      <c r="U343" s="1" t="s">
        <v>74</v>
      </c>
      <c r="V343" s="1" t="s">
        <v>3104</v>
      </c>
      <c r="W343" s="1" t="s">
        <v>74</v>
      </c>
      <c r="X343" s="1" t="s">
        <v>74</v>
      </c>
      <c r="Y343" s="1" t="s">
        <v>74</v>
      </c>
      <c r="Z343" s="1" t="s">
        <v>74</v>
      </c>
      <c r="AA343" s="1" t="s">
        <v>3105</v>
      </c>
      <c r="AB343" s="1" t="s">
        <v>74</v>
      </c>
      <c r="AC343" s="1" t="s">
        <v>74</v>
      </c>
      <c r="AD343" s="1" t="s">
        <v>74</v>
      </c>
      <c r="AE343" s="1" t="s">
        <v>74</v>
      </c>
      <c r="AF343" s="1" t="s">
        <v>74</v>
      </c>
      <c r="AG343" s="1" t="s">
        <v>74</v>
      </c>
      <c r="AH343" s="1" t="s">
        <v>74</v>
      </c>
      <c r="AI343" s="1" t="s">
        <v>74</v>
      </c>
      <c r="AJ343" s="1" t="s">
        <v>74</v>
      </c>
      <c r="AK343" s="1" t="s">
        <v>74</v>
      </c>
      <c r="AL343" s="1" t="s">
        <v>74</v>
      </c>
      <c r="AM343" s="1" t="s">
        <v>74</v>
      </c>
      <c r="AN343" s="1" t="s">
        <v>74</v>
      </c>
      <c r="AO343" s="1" t="s">
        <v>3106</v>
      </c>
      <c r="AP343" s="1" t="s">
        <v>74</v>
      </c>
      <c r="AQ343" s="1" t="s">
        <v>3107</v>
      </c>
      <c r="AR343" s="1" t="s">
        <v>74</v>
      </c>
      <c r="AS343" s="1" t="s">
        <v>74</v>
      </c>
      <c r="AT343" s="1" t="s">
        <v>74</v>
      </c>
      <c r="AU343" s="1">
        <v>2016.0</v>
      </c>
      <c r="AV343" s="1">
        <v>13.0</v>
      </c>
      <c r="AW343" s="1" t="s">
        <v>74</v>
      </c>
      <c r="AX343" s="1" t="s">
        <v>74</v>
      </c>
      <c r="AY343" s="1" t="s">
        <v>74</v>
      </c>
      <c r="AZ343" s="1" t="s">
        <v>74</v>
      </c>
      <c r="BA343" s="1" t="s">
        <v>74</v>
      </c>
      <c r="BB343" s="1">
        <v>219.0</v>
      </c>
      <c r="BC343" s="1">
        <v>234.0</v>
      </c>
      <c r="BD343" s="1" t="s">
        <v>74</v>
      </c>
      <c r="BE343" s="1" t="s">
        <v>3108</v>
      </c>
      <c r="BF343" s="2" t="str">
        <f>HYPERLINK("http://dx.doi.org/10.1007/978-3-319-44570-0_11","http://dx.doi.org/10.1007/978-3-319-44570-0_11")</f>
        <v>http://dx.doi.org/10.1007/978-3-319-44570-0_11</v>
      </c>
      <c r="BG343" s="1" t="s">
        <v>3109</v>
      </c>
      <c r="BH343" s="1" t="s">
        <v>74</v>
      </c>
      <c r="BI343" s="1" t="s">
        <v>74</v>
      </c>
      <c r="BJ343" s="1" t="s">
        <v>74</v>
      </c>
      <c r="BK343" s="1" t="s">
        <v>74</v>
      </c>
      <c r="BL343" s="1" t="s">
        <v>74</v>
      </c>
      <c r="BM343" s="1" t="s">
        <v>74</v>
      </c>
      <c r="BN343" s="1" t="s">
        <v>74</v>
      </c>
      <c r="BO343" s="1" t="s">
        <v>74</v>
      </c>
      <c r="BP343" s="1" t="s">
        <v>74</v>
      </c>
      <c r="BQ343" s="1" t="s">
        <v>74</v>
      </c>
      <c r="BR343" s="1" t="s">
        <v>74</v>
      </c>
      <c r="BS343" s="1" t="s">
        <v>3110</v>
      </c>
      <c r="BT343" s="1" t="str">
        <f>HYPERLINK("https%3A%2F%2Fwww.webofscience.com%2Fwos%2Fwoscc%2Ffull-record%2FWOS:000402839200012","View Full Record in Web of Science")</f>
        <v>View Full Record in Web of Science</v>
      </c>
    </row>
    <row r="344" ht="12.75" customHeight="1">
      <c r="A344" s="1" t="s">
        <v>72</v>
      </c>
      <c r="B344" s="1" t="s">
        <v>3111</v>
      </c>
      <c r="C344" s="1" t="s">
        <v>74</v>
      </c>
      <c r="D344" s="1" t="s">
        <v>74</v>
      </c>
      <c r="E344" s="1" t="s">
        <v>74</v>
      </c>
      <c r="F344" s="1" t="s">
        <v>3112</v>
      </c>
      <c r="G344" s="1" t="s">
        <v>74</v>
      </c>
      <c r="H344" s="1" t="s">
        <v>74</v>
      </c>
      <c r="I344" s="1" t="s">
        <v>3113</v>
      </c>
      <c r="J344" s="1" t="s">
        <v>3114</v>
      </c>
      <c r="K344" s="1" t="s">
        <v>74</v>
      </c>
      <c r="L344" s="1" t="s">
        <v>74</v>
      </c>
      <c r="M344" s="1" t="s">
        <v>74</v>
      </c>
      <c r="N344" s="1" t="s">
        <v>74</v>
      </c>
      <c r="O344" s="1" t="s">
        <v>74</v>
      </c>
      <c r="P344" s="1" t="s">
        <v>74</v>
      </c>
      <c r="Q344" s="1" t="s">
        <v>74</v>
      </c>
      <c r="R344" s="1" t="s">
        <v>74</v>
      </c>
      <c r="S344" s="1" t="s">
        <v>74</v>
      </c>
      <c r="T344" s="1" t="s">
        <v>74</v>
      </c>
      <c r="U344" s="1" t="s">
        <v>74</v>
      </c>
      <c r="V344" s="1" t="s">
        <v>3115</v>
      </c>
      <c r="W344" s="1" t="s">
        <v>74</v>
      </c>
      <c r="X344" s="1" t="s">
        <v>74</v>
      </c>
      <c r="Y344" s="1" t="s">
        <v>74</v>
      </c>
      <c r="Z344" s="1" t="s">
        <v>74</v>
      </c>
      <c r="AA344" s="1" t="s">
        <v>74</v>
      </c>
      <c r="AB344" s="1" t="s">
        <v>74</v>
      </c>
      <c r="AC344" s="1" t="s">
        <v>74</v>
      </c>
      <c r="AD344" s="1" t="s">
        <v>74</v>
      </c>
      <c r="AE344" s="1" t="s">
        <v>74</v>
      </c>
      <c r="AF344" s="1" t="s">
        <v>74</v>
      </c>
      <c r="AG344" s="1" t="s">
        <v>74</v>
      </c>
      <c r="AH344" s="1" t="s">
        <v>74</v>
      </c>
      <c r="AI344" s="1" t="s">
        <v>74</v>
      </c>
      <c r="AJ344" s="1" t="s">
        <v>74</v>
      </c>
      <c r="AK344" s="1" t="s">
        <v>74</v>
      </c>
      <c r="AL344" s="1" t="s">
        <v>74</v>
      </c>
      <c r="AM344" s="1" t="s">
        <v>74</v>
      </c>
      <c r="AN344" s="1" t="s">
        <v>74</v>
      </c>
      <c r="AO344" s="1" t="s">
        <v>3116</v>
      </c>
      <c r="AP344" s="1" t="s">
        <v>3117</v>
      </c>
      <c r="AQ344" s="1" t="s">
        <v>74</v>
      </c>
      <c r="AR344" s="1" t="s">
        <v>74</v>
      </c>
      <c r="AS344" s="1" t="s">
        <v>74</v>
      </c>
      <c r="AT344" s="1" t="s">
        <v>88</v>
      </c>
      <c r="AU344" s="1">
        <v>2015.0</v>
      </c>
      <c r="AV344" s="1">
        <v>5.0</v>
      </c>
      <c r="AW344" s="1">
        <v>4.0</v>
      </c>
      <c r="AX344" s="1" t="s">
        <v>74</v>
      </c>
      <c r="AY344" s="1" t="s">
        <v>74</v>
      </c>
      <c r="AZ344" s="1" t="s">
        <v>74</v>
      </c>
      <c r="BA344" s="1" t="s">
        <v>74</v>
      </c>
      <c r="BB344" s="1">
        <v>845.0</v>
      </c>
      <c r="BC344" s="1">
        <v>858.0</v>
      </c>
      <c r="BD344" s="1" t="s">
        <v>74</v>
      </c>
      <c r="BE344" s="1" t="s">
        <v>3118</v>
      </c>
      <c r="BF344" s="2" t="str">
        <f>HYPERLINK("http://dx.doi.org/10.3934/mcrf.2015.5.845","http://dx.doi.org/10.3934/mcrf.2015.5.845")</f>
        <v>http://dx.doi.org/10.3934/mcrf.2015.5.845</v>
      </c>
      <c r="BG344" s="1" t="s">
        <v>74</v>
      </c>
      <c r="BH344" s="1" t="s">
        <v>74</v>
      </c>
      <c r="BI344" s="1" t="s">
        <v>74</v>
      </c>
      <c r="BJ344" s="1" t="s">
        <v>74</v>
      </c>
      <c r="BK344" s="1" t="s">
        <v>74</v>
      </c>
      <c r="BL344" s="1" t="s">
        <v>74</v>
      </c>
      <c r="BM344" s="1" t="s">
        <v>74</v>
      </c>
      <c r="BN344" s="1" t="s">
        <v>74</v>
      </c>
      <c r="BO344" s="1" t="s">
        <v>74</v>
      </c>
      <c r="BP344" s="1" t="s">
        <v>74</v>
      </c>
      <c r="BQ344" s="1" t="s">
        <v>74</v>
      </c>
      <c r="BR344" s="1" t="s">
        <v>74</v>
      </c>
      <c r="BS344" s="1" t="s">
        <v>3119</v>
      </c>
      <c r="BT344" s="1" t="str">
        <f>HYPERLINK("https%3A%2F%2Fwww.webofscience.com%2Fwos%2Fwoscc%2Ffull-record%2FWOS:000364578500007","View Full Record in Web of Science")</f>
        <v>View Full Record in Web of Science</v>
      </c>
    </row>
    <row r="345" ht="12.75" customHeight="1">
      <c r="A345" s="1" t="s">
        <v>72</v>
      </c>
      <c r="B345" s="1" t="s">
        <v>3120</v>
      </c>
      <c r="C345" s="1" t="s">
        <v>74</v>
      </c>
      <c r="D345" s="1" t="s">
        <v>74</v>
      </c>
      <c r="E345" s="1" t="s">
        <v>74</v>
      </c>
      <c r="F345" s="1" t="s">
        <v>3121</v>
      </c>
      <c r="G345" s="1" t="s">
        <v>74</v>
      </c>
      <c r="H345" s="1" t="s">
        <v>74</v>
      </c>
      <c r="I345" s="1" t="s">
        <v>3122</v>
      </c>
      <c r="J345" s="1" t="s">
        <v>3123</v>
      </c>
      <c r="K345" s="1" t="s">
        <v>74</v>
      </c>
      <c r="L345" s="1" t="s">
        <v>74</v>
      </c>
      <c r="M345" s="1" t="s">
        <v>74</v>
      </c>
      <c r="N345" s="1" t="s">
        <v>74</v>
      </c>
      <c r="O345" s="1" t="s">
        <v>3124</v>
      </c>
      <c r="P345" s="1" t="s">
        <v>3125</v>
      </c>
      <c r="Q345" s="1" t="s">
        <v>3126</v>
      </c>
      <c r="R345" s="1" t="s">
        <v>3127</v>
      </c>
      <c r="S345" s="1" t="s">
        <v>74</v>
      </c>
      <c r="T345" s="1" t="s">
        <v>74</v>
      </c>
      <c r="U345" s="1" t="s">
        <v>74</v>
      </c>
      <c r="V345" s="1" t="s">
        <v>74</v>
      </c>
      <c r="W345" s="1" t="s">
        <v>74</v>
      </c>
      <c r="X345" s="1" t="s">
        <v>74</v>
      </c>
      <c r="Y345" s="1" t="s">
        <v>74</v>
      </c>
      <c r="Z345" s="1" t="s">
        <v>74</v>
      </c>
      <c r="AA345" s="1" t="s">
        <v>74</v>
      </c>
      <c r="AB345" s="1" t="s">
        <v>74</v>
      </c>
      <c r="AC345" s="1" t="s">
        <v>74</v>
      </c>
      <c r="AD345" s="1" t="s">
        <v>74</v>
      </c>
      <c r="AE345" s="1" t="s">
        <v>74</v>
      </c>
      <c r="AF345" s="1" t="s">
        <v>74</v>
      </c>
      <c r="AG345" s="1" t="s">
        <v>74</v>
      </c>
      <c r="AH345" s="1" t="s">
        <v>74</v>
      </c>
      <c r="AI345" s="1" t="s">
        <v>74</v>
      </c>
      <c r="AJ345" s="1" t="s">
        <v>74</v>
      </c>
      <c r="AK345" s="1" t="s">
        <v>74</v>
      </c>
      <c r="AL345" s="1" t="s">
        <v>74</v>
      </c>
      <c r="AM345" s="1" t="s">
        <v>74</v>
      </c>
      <c r="AN345" s="1" t="s">
        <v>74</v>
      </c>
      <c r="AO345" s="1" t="s">
        <v>3128</v>
      </c>
      <c r="AP345" s="1" t="s">
        <v>74</v>
      </c>
      <c r="AQ345" s="1" t="s">
        <v>74</v>
      </c>
      <c r="AR345" s="1" t="s">
        <v>74</v>
      </c>
      <c r="AS345" s="1" t="s">
        <v>74</v>
      </c>
      <c r="AT345" s="1" t="s">
        <v>429</v>
      </c>
      <c r="AU345" s="1">
        <v>2015.0</v>
      </c>
      <c r="AV345" s="1">
        <v>125.0</v>
      </c>
      <c r="AW345" s="1" t="s">
        <v>74</v>
      </c>
      <c r="AX345" s="1" t="s">
        <v>74</v>
      </c>
      <c r="AY345" s="1">
        <v>1.0</v>
      </c>
      <c r="AZ345" s="1" t="s">
        <v>74</v>
      </c>
      <c r="BA345" s="1">
        <v>197.0</v>
      </c>
      <c r="BB345" s="1" t="s">
        <v>3129</v>
      </c>
      <c r="BC345" s="1" t="s">
        <v>3129</v>
      </c>
      <c r="BD345" s="1" t="s">
        <v>74</v>
      </c>
      <c r="BE345" s="1" t="s">
        <v>3130</v>
      </c>
      <c r="BF345" s="2" t="str">
        <f>HYPERLINK("http://dx.doi.org/10.1097/01.AOG.0000463767.26060.e9","http://dx.doi.org/10.1097/01.AOG.0000463767.26060.e9")</f>
        <v>http://dx.doi.org/10.1097/01.AOG.0000463767.26060.e9</v>
      </c>
      <c r="BG345" s="1" t="s">
        <v>74</v>
      </c>
      <c r="BH345" s="1" t="s">
        <v>74</v>
      </c>
      <c r="BI345" s="1" t="s">
        <v>74</v>
      </c>
      <c r="BJ345" s="1" t="s">
        <v>74</v>
      </c>
      <c r="BK345" s="1" t="s">
        <v>74</v>
      </c>
      <c r="BL345" s="1" t="s">
        <v>74</v>
      </c>
      <c r="BM345" s="1" t="s">
        <v>74</v>
      </c>
      <c r="BN345" s="1" t="s">
        <v>74</v>
      </c>
      <c r="BO345" s="1" t="s">
        <v>74</v>
      </c>
      <c r="BP345" s="1" t="s">
        <v>74</v>
      </c>
      <c r="BQ345" s="1" t="s">
        <v>74</v>
      </c>
      <c r="BR345" s="1" t="s">
        <v>74</v>
      </c>
      <c r="BS345" s="1" t="s">
        <v>3131</v>
      </c>
      <c r="BT345" s="1" t="str">
        <f>HYPERLINK("https%3A%2F%2Fwww.webofscience.com%2Fwos%2Fwoscc%2Ffull-record%2FWOS:000354128700217","View Full Record in Web of Science")</f>
        <v>View Full Record in Web of Science</v>
      </c>
    </row>
    <row r="346" ht="12.75" customHeight="1">
      <c r="A346" s="1" t="s">
        <v>72</v>
      </c>
      <c r="B346" s="1" t="s">
        <v>2337</v>
      </c>
      <c r="C346" s="1" t="s">
        <v>74</v>
      </c>
      <c r="D346" s="1" t="s">
        <v>74</v>
      </c>
      <c r="E346" s="1" t="s">
        <v>74</v>
      </c>
      <c r="F346" s="1" t="s">
        <v>2338</v>
      </c>
      <c r="G346" s="1" t="s">
        <v>74</v>
      </c>
      <c r="H346" s="1" t="s">
        <v>74</v>
      </c>
      <c r="I346" s="1" t="s">
        <v>3132</v>
      </c>
      <c r="J346" s="1" t="s">
        <v>3133</v>
      </c>
      <c r="K346" s="1" t="s">
        <v>74</v>
      </c>
      <c r="L346" s="1" t="s">
        <v>74</v>
      </c>
      <c r="M346" s="1" t="s">
        <v>74</v>
      </c>
      <c r="N346" s="1" t="s">
        <v>74</v>
      </c>
      <c r="O346" s="1" t="s">
        <v>74</v>
      </c>
      <c r="P346" s="1" t="s">
        <v>74</v>
      </c>
      <c r="Q346" s="1" t="s">
        <v>74</v>
      </c>
      <c r="R346" s="1" t="s">
        <v>74</v>
      </c>
      <c r="S346" s="1" t="s">
        <v>74</v>
      </c>
      <c r="T346" s="1" t="s">
        <v>74</v>
      </c>
      <c r="U346" s="1" t="s">
        <v>74</v>
      </c>
      <c r="V346" s="1" t="s">
        <v>3134</v>
      </c>
      <c r="W346" s="1" t="s">
        <v>74</v>
      </c>
      <c r="X346" s="1" t="s">
        <v>74</v>
      </c>
      <c r="Y346" s="1" t="s">
        <v>74</v>
      </c>
      <c r="Z346" s="1" t="s">
        <v>74</v>
      </c>
      <c r="AA346" s="1" t="s">
        <v>74</v>
      </c>
      <c r="AB346" s="1" t="s">
        <v>2342</v>
      </c>
      <c r="AC346" s="1" t="s">
        <v>74</v>
      </c>
      <c r="AD346" s="1" t="s">
        <v>74</v>
      </c>
      <c r="AE346" s="1" t="s">
        <v>74</v>
      </c>
      <c r="AF346" s="1" t="s">
        <v>74</v>
      </c>
      <c r="AG346" s="1" t="s">
        <v>74</v>
      </c>
      <c r="AH346" s="1" t="s">
        <v>74</v>
      </c>
      <c r="AI346" s="1" t="s">
        <v>74</v>
      </c>
      <c r="AJ346" s="1" t="s">
        <v>74</v>
      </c>
      <c r="AK346" s="1" t="s">
        <v>74</v>
      </c>
      <c r="AL346" s="1" t="s">
        <v>74</v>
      </c>
      <c r="AM346" s="1" t="s">
        <v>74</v>
      </c>
      <c r="AN346" s="1" t="s">
        <v>74</v>
      </c>
      <c r="AO346" s="1" t="s">
        <v>3135</v>
      </c>
      <c r="AP346" s="1" t="s">
        <v>3136</v>
      </c>
      <c r="AQ346" s="1" t="s">
        <v>74</v>
      </c>
      <c r="AR346" s="1" t="s">
        <v>74</v>
      </c>
      <c r="AS346" s="1" t="s">
        <v>74</v>
      </c>
      <c r="AT346" s="1" t="s">
        <v>347</v>
      </c>
      <c r="AU346" s="1">
        <v>2015.0</v>
      </c>
      <c r="AV346" s="1">
        <v>45.0</v>
      </c>
      <c r="AW346" s="1">
        <v>2.0</v>
      </c>
      <c r="AX346" s="1" t="s">
        <v>74</v>
      </c>
      <c r="AY346" s="1" t="s">
        <v>74</v>
      </c>
      <c r="AZ346" s="1" t="s">
        <v>74</v>
      </c>
      <c r="BA346" s="1" t="s">
        <v>74</v>
      </c>
      <c r="BB346" s="1">
        <v>273.0</v>
      </c>
      <c r="BC346" s="1">
        <v>302.0</v>
      </c>
      <c r="BD346" s="1" t="s">
        <v>74</v>
      </c>
      <c r="BE346" s="1" t="s">
        <v>3137</v>
      </c>
      <c r="BF346" s="2" t="str">
        <f>HYPERLINK("http://dx.doi.org/10.1525/hsns.2015.45.2.273","http://dx.doi.org/10.1525/hsns.2015.45.2.273")</f>
        <v>http://dx.doi.org/10.1525/hsns.2015.45.2.273</v>
      </c>
      <c r="BG346" s="1" t="s">
        <v>74</v>
      </c>
      <c r="BH346" s="1" t="s">
        <v>74</v>
      </c>
      <c r="BI346" s="1" t="s">
        <v>74</v>
      </c>
      <c r="BJ346" s="1" t="s">
        <v>74</v>
      </c>
      <c r="BK346" s="1" t="s">
        <v>74</v>
      </c>
      <c r="BL346" s="1" t="s">
        <v>74</v>
      </c>
      <c r="BM346" s="1" t="s">
        <v>74</v>
      </c>
      <c r="BN346" s="1" t="s">
        <v>74</v>
      </c>
      <c r="BO346" s="1" t="s">
        <v>74</v>
      </c>
      <c r="BP346" s="1" t="s">
        <v>74</v>
      </c>
      <c r="BQ346" s="1" t="s">
        <v>74</v>
      </c>
      <c r="BR346" s="1" t="s">
        <v>74</v>
      </c>
      <c r="BS346" s="1" t="s">
        <v>3138</v>
      </c>
      <c r="BT346" s="1" t="str">
        <f>HYPERLINK("https%3A%2F%2Fwww.webofscience.com%2Fwos%2Fwoscc%2Ffull-record%2FWOS:000353366100002","View Full Record in Web of Science")</f>
        <v>View Full Record in Web of Science</v>
      </c>
    </row>
    <row r="347" ht="12.75" customHeight="1">
      <c r="A347" s="1" t="s">
        <v>72</v>
      </c>
      <c r="B347" s="1" t="s">
        <v>3139</v>
      </c>
      <c r="C347" s="1" t="s">
        <v>74</v>
      </c>
      <c r="D347" s="1" t="s">
        <v>74</v>
      </c>
      <c r="E347" s="1" t="s">
        <v>74</v>
      </c>
      <c r="F347" s="1" t="s">
        <v>3140</v>
      </c>
      <c r="G347" s="1" t="s">
        <v>74</v>
      </c>
      <c r="H347" s="1" t="s">
        <v>74</v>
      </c>
      <c r="I347" s="1" t="s">
        <v>3141</v>
      </c>
      <c r="J347" s="1" t="s">
        <v>2502</v>
      </c>
      <c r="K347" s="1" t="s">
        <v>74</v>
      </c>
      <c r="L347" s="1" t="s">
        <v>74</v>
      </c>
      <c r="M347" s="1" t="s">
        <v>74</v>
      </c>
      <c r="N347" s="1" t="s">
        <v>74</v>
      </c>
      <c r="O347" s="1" t="s">
        <v>74</v>
      </c>
      <c r="P347" s="1" t="s">
        <v>74</v>
      </c>
      <c r="Q347" s="1" t="s">
        <v>74</v>
      </c>
      <c r="R347" s="1" t="s">
        <v>74</v>
      </c>
      <c r="S347" s="1" t="s">
        <v>74</v>
      </c>
      <c r="T347" s="1" t="s">
        <v>74</v>
      </c>
      <c r="U347" s="1" t="s">
        <v>74</v>
      </c>
      <c r="V347" s="1" t="s">
        <v>3142</v>
      </c>
      <c r="W347" s="1" t="s">
        <v>74</v>
      </c>
      <c r="X347" s="1" t="s">
        <v>74</v>
      </c>
      <c r="Y347" s="1" t="s">
        <v>74</v>
      </c>
      <c r="Z347" s="1" t="s">
        <v>74</v>
      </c>
      <c r="AA347" s="1" t="s">
        <v>74</v>
      </c>
      <c r="AB347" s="1" t="s">
        <v>74</v>
      </c>
      <c r="AC347" s="1" t="s">
        <v>74</v>
      </c>
      <c r="AD347" s="1" t="s">
        <v>74</v>
      </c>
      <c r="AE347" s="1" t="s">
        <v>74</v>
      </c>
      <c r="AF347" s="1" t="s">
        <v>74</v>
      </c>
      <c r="AG347" s="1" t="s">
        <v>74</v>
      </c>
      <c r="AH347" s="1" t="s">
        <v>74</v>
      </c>
      <c r="AI347" s="1" t="s">
        <v>74</v>
      </c>
      <c r="AJ347" s="1" t="s">
        <v>74</v>
      </c>
      <c r="AK347" s="1" t="s">
        <v>74</v>
      </c>
      <c r="AL347" s="1" t="s">
        <v>74</v>
      </c>
      <c r="AM347" s="1" t="s">
        <v>74</v>
      </c>
      <c r="AN347" s="1" t="s">
        <v>74</v>
      </c>
      <c r="AO347" s="1" t="s">
        <v>2505</v>
      </c>
      <c r="AP347" s="1" t="s">
        <v>74</v>
      </c>
      <c r="AQ347" s="1" t="s">
        <v>74</v>
      </c>
      <c r="AR347" s="1" t="s">
        <v>74</v>
      </c>
      <c r="AS347" s="1" t="s">
        <v>74</v>
      </c>
      <c r="AT347" s="1" t="s">
        <v>148</v>
      </c>
      <c r="AU347" s="1">
        <v>2015.0</v>
      </c>
      <c r="AV347" s="1">
        <v>14.0</v>
      </c>
      <c r="AW347" s="1">
        <v>2.0</v>
      </c>
      <c r="AX347" s="1" t="s">
        <v>74</v>
      </c>
      <c r="AY347" s="1" t="s">
        <v>74</v>
      </c>
      <c r="AZ347" s="1" t="s">
        <v>74</v>
      </c>
      <c r="BA347" s="1" t="s">
        <v>74</v>
      </c>
      <c r="BB347" s="1">
        <v>131.0</v>
      </c>
      <c r="BC347" s="1">
        <v>140.0</v>
      </c>
      <c r="BD347" s="1" t="s">
        <v>74</v>
      </c>
      <c r="BE347" s="1" t="s">
        <v>74</v>
      </c>
      <c r="BF347" s="1" t="s">
        <v>74</v>
      </c>
      <c r="BG347" s="1" t="s">
        <v>74</v>
      </c>
      <c r="BH347" s="1" t="s">
        <v>74</v>
      </c>
      <c r="BI347" s="1" t="s">
        <v>74</v>
      </c>
      <c r="BJ347" s="1" t="s">
        <v>74</v>
      </c>
      <c r="BK347" s="1" t="s">
        <v>74</v>
      </c>
      <c r="BL347" s="1" t="s">
        <v>74</v>
      </c>
      <c r="BM347" s="1" t="s">
        <v>74</v>
      </c>
      <c r="BN347" s="1" t="s">
        <v>74</v>
      </c>
      <c r="BO347" s="1" t="s">
        <v>74</v>
      </c>
      <c r="BP347" s="1" t="s">
        <v>74</v>
      </c>
      <c r="BQ347" s="1" t="s">
        <v>74</v>
      </c>
      <c r="BR347" s="1" t="s">
        <v>74</v>
      </c>
      <c r="BS347" s="1" t="s">
        <v>3143</v>
      </c>
      <c r="BT347" s="1" t="str">
        <f>HYPERLINK("https%3A%2F%2Fwww.webofscience.com%2Fwos%2Fwoscc%2Ffull-record%2FWOS:000351495000007","View Full Record in Web of Science")</f>
        <v>View Full Record in Web of Science</v>
      </c>
    </row>
    <row r="348" ht="12.75" customHeight="1">
      <c r="A348" s="1" t="s">
        <v>91</v>
      </c>
      <c r="B348" s="1" t="s">
        <v>3144</v>
      </c>
      <c r="C348" s="1" t="s">
        <v>74</v>
      </c>
      <c r="D348" s="1" t="s">
        <v>3145</v>
      </c>
      <c r="E348" s="1" t="s">
        <v>74</v>
      </c>
      <c r="F348" s="1" t="s">
        <v>3146</v>
      </c>
      <c r="G348" s="1" t="s">
        <v>74</v>
      </c>
      <c r="H348" s="1" t="s">
        <v>74</v>
      </c>
      <c r="I348" s="1" t="s">
        <v>3147</v>
      </c>
      <c r="J348" s="1" t="s">
        <v>3148</v>
      </c>
      <c r="K348" s="1" t="s">
        <v>3149</v>
      </c>
      <c r="L348" s="1" t="s">
        <v>74</v>
      </c>
      <c r="M348" s="1" t="s">
        <v>74</v>
      </c>
      <c r="N348" s="1" t="s">
        <v>74</v>
      </c>
      <c r="O348" s="1" t="s">
        <v>3150</v>
      </c>
      <c r="P348" s="1" t="s">
        <v>3151</v>
      </c>
      <c r="Q348" s="1" t="s">
        <v>3152</v>
      </c>
      <c r="R348" s="1" t="s">
        <v>3153</v>
      </c>
      <c r="S348" s="1" t="s">
        <v>3154</v>
      </c>
      <c r="T348" s="1" t="s">
        <v>74</v>
      </c>
      <c r="U348" s="1" t="s">
        <v>74</v>
      </c>
      <c r="V348" s="1" t="s">
        <v>3155</v>
      </c>
      <c r="W348" s="1" t="s">
        <v>74</v>
      </c>
      <c r="X348" s="1" t="s">
        <v>74</v>
      </c>
      <c r="Y348" s="1" t="s">
        <v>74</v>
      </c>
      <c r="Z348" s="1" t="s">
        <v>74</v>
      </c>
      <c r="AA348" s="1" t="s">
        <v>74</v>
      </c>
      <c r="AB348" s="1" t="s">
        <v>585</v>
      </c>
      <c r="AC348" s="1" t="s">
        <v>74</v>
      </c>
      <c r="AD348" s="1" t="s">
        <v>74</v>
      </c>
      <c r="AE348" s="1" t="s">
        <v>74</v>
      </c>
      <c r="AF348" s="1" t="s">
        <v>74</v>
      </c>
      <c r="AG348" s="1" t="s">
        <v>74</v>
      </c>
      <c r="AH348" s="1" t="s">
        <v>74</v>
      </c>
      <c r="AI348" s="1" t="s">
        <v>74</v>
      </c>
      <c r="AJ348" s="1" t="s">
        <v>74</v>
      </c>
      <c r="AK348" s="1" t="s">
        <v>74</v>
      </c>
      <c r="AL348" s="1" t="s">
        <v>74</v>
      </c>
      <c r="AM348" s="1" t="s">
        <v>74</v>
      </c>
      <c r="AN348" s="1" t="s">
        <v>74</v>
      </c>
      <c r="AO348" s="1" t="s">
        <v>3156</v>
      </c>
      <c r="AP348" s="1" t="s">
        <v>74</v>
      </c>
      <c r="AQ348" s="1" t="s">
        <v>3157</v>
      </c>
      <c r="AR348" s="1" t="s">
        <v>74</v>
      </c>
      <c r="AS348" s="1" t="s">
        <v>74</v>
      </c>
      <c r="AT348" s="1" t="s">
        <v>74</v>
      </c>
      <c r="AU348" s="1">
        <v>2015.0</v>
      </c>
      <c r="AV348" s="1">
        <v>360.0</v>
      </c>
      <c r="AW348" s="1" t="s">
        <v>74</v>
      </c>
      <c r="AX348" s="1" t="s">
        <v>74</v>
      </c>
      <c r="AY348" s="1" t="s">
        <v>74</v>
      </c>
      <c r="AZ348" s="1" t="s">
        <v>74</v>
      </c>
      <c r="BA348" s="1" t="s">
        <v>74</v>
      </c>
      <c r="BB348" s="1">
        <v>321.0</v>
      </c>
      <c r="BC348" s="1">
        <v>329.0</v>
      </c>
      <c r="BD348" s="1" t="s">
        <v>74</v>
      </c>
      <c r="BE348" s="1" t="s">
        <v>3158</v>
      </c>
      <c r="BF348" s="2" t="str">
        <f>HYPERLINK("http://dx.doi.org/10.1007/978-3-319-18167-7_28","http://dx.doi.org/10.1007/978-3-319-18167-7_28")</f>
        <v>http://dx.doi.org/10.1007/978-3-319-18167-7_28</v>
      </c>
      <c r="BG348" s="1" t="s">
        <v>74</v>
      </c>
      <c r="BH348" s="1" t="s">
        <v>74</v>
      </c>
      <c r="BI348" s="1" t="s">
        <v>74</v>
      </c>
      <c r="BJ348" s="1" t="s">
        <v>74</v>
      </c>
      <c r="BK348" s="1" t="s">
        <v>74</v>
      </c>
      <c r="BL348" s="1" t="s">
        <v>74</v>
      </c>
      <c r="BM348" s="1" t="s">
        <v>74</v>
      </c>
      <c r="BN348" s="1" t="s">
        <v>74</v>
      </c>
      <c r="BO348" s="1" t="s">
        <v>74</v>
      </c>
      <c r="BP348" s="1" t="s">
        <v>74</v>
      </c>
      <c r="BQ348" s="1" t="s">
        <v>74</v>
      </c>
      <c r="BR348" s="1" t="s">
        <v>74</v>
      </c>
      <c r="BS348" s="1" t="s">
        <v>3159</v>
      </c>
      <c r="BT348" s="1" t="str">
        <f>HYPERLINK("https%3A%2F%2Fwww.webofscience.com%2Fwos%2Fwoscc%2Ffull-record%2FWOS:000377866400028","View Full Record in Web of Science")</f>
        <v>View Full Record in Web of Science</v>
      </c>
    </row>
    <row r="349" ht="12.75" customHeight="1">
      <c r="A349" s="1" t="s">
        <v>72</v>
      </c>
      <c r="B349" s="1" t="s">
        <v>3160</v>
      </c>
      <c r="C349" s="1" t="s">
        <v>74</v>
      </c>
      <c r="D349" s="1" t="s">
        <v>74</v>
      </c>
      <c r="E349" s="1" t="s">
        <v>74</v>
      </c>
      <c r="F349" s="1" t="s">
        <v>3161</v>
      </c>
      <c r="G349" s="1" t="s">
        <v>74</v>
      </c>
      <c r="H349" s="1" t="s">
        <v>74</v>
      </c>
      <c r="I349" s="1" t="s">
        <v>3162</v>
      </c>
      <c r="J349" s="1" t="s">
        <v>3163</v>
      </c>
      <c r="K349" s="1" t="s">
        <v>74</v>
      </c>
      <c r="L349" s="1" t="s">
        <v>74</v>
      </c>
      <c r="M349" s="1" t="s">
        <v>74</v>
      </c>
      <c r="N349" s="1" t="s">
        <v>74</v>
      </c>
      <c r="O349" s="1" t="s">
        <v>74</v>
      </c>
      <c r="P349" s="1" t="s">
        <v>74</v>
      </c>
      <c r="Q349" s="1" t="s">
        <v>74</v>
      </c>
      <c r="R349" s="1" t="s">
        <v>74</v>
      </c>
      <c r="S349" s="1" t="s">
        <v>74</v>
      </c>
      <c r="T349" s="1" t="s">
        <v>74</v>
      </c>
      <c r="U349" s="1" t="s">
        <v>74</v>
      </c>
      <c r="V349" s="1" t="s">
        <v>3164</v>
      </c>
      <c r="W349" s="1" t="s">
        <v>74</v>
      </c>
      <c r="X349" s="1" t="s">
        <v>74</v>
      </c>
      <c r="Y349" s="1" t="s">
        <v>74</v>
      </c>
      <c r="Z349" s="1" t="s">
        <v>74</v>
      </c>
      <c r="AA349" s="1" t="s">
        <v>74</v>
      </c>
      <c r="AB349" s="1" t="s">
        <v>74</v>
      </c>
      <c r="AC349" s="1" t="s">
        <v>74</v>
      </c>
      <c r="AD349" s="1" t="s">
        <v>74</v>
      </c>
      <c r="AE349" s="1" t="s">
        <v>74</v>
      </c>
      <c r="AF349" s="1" t="s">
        <v>74</v>
      </c>
      <c r="AG349" s="1" t="s">
        <v>74</v>
      </c>
      <c r="AH349" s="1" t="s">
        <v>74</v>
      </c>
      <c r="AI349" s="1" t="s">
        <v>74</v>
      </c>
      <c r="AJ349" s="1" t="s">
        <v>74</v>
      </c>
      <c r="AK349" s="1" t="s">
        <v>74</v>
      </c>
      <c r="AL349" s="1" t="s">
        <v>74</v>
      </c>
      <c r="AM349" s="1" t="s">
        <v>74</v>
      </c>
      <c r="AN349" s="1" t="s">
        <v>74</v>
      </c>
      <c r="AO349" s="1" t="s">
        <v>3165</v>
      </c>
      <c r="AP349" s="1" t="s">
        <v>74</v>
      </c>
      <c r="AQ349" s="1" t="s">
        <v>74</v>
      </c>
      <c r="AR349" s="1" t="s">
        <v>74</v>
      </c>
      <c r="AS349" s="1" t="s">
        <v>74</v>
      </c>
      <c r="AT349" s="1" t="s">
        <v>74</v>
      </c>
      <c r="AU349" s="1">
        <v>2015.0</v>
      </c>
      <c r="AV349" s="1" t="s">
        <v>74</v>
      </c>
      <c r="AW349" s="1">
        <v>511.0</v>
      </c>
      <c r="AX349" s="1" t="s">
        <v>74</v>
      </c>
      <c r="AY349" s="1" t="s">
        <v>74</v>
      </c>
      <c r="AZ349" s="1" t="s">
        <v>74</v>
      </c>
      <c r="BA349" s="1" t="s">
        <v>74</v>
      </c>
      <c r="BB349" s="1">
        <v>221.0</v>
      </c>
      <c r="BC349" s="1">
        <v>245.0</v>
      </c>
      <c r="BD349" s="1" t="s">
        <v>74</v>
      </c>
      <c r="BE349" s="1" t="s">
        <v>74</v>
      </c>
      <c r="BF349" s="1" t="s">
        <v>74</v>
      </c>
      <c r="BG349" s="1" t="s">
        <v>74</v>
      </c>
      <c r="BH349" s="1" t="s">
        <v>74</v>
      </c>
      <c r="BI349" s="1" t="s">
        <v>74</v>
      </c>
      <c r="BJ349" s="1" t="s">
        <v>74</v>
      </c>
      <c r="BK349" s="1" t="s">
        <v>74</v>
      </c>
      <c r="BL349" s="1" t="s">
        <v>74</v>
      </c>
      <c r="BM349" s="1" t="s">
        <v>74</v>
      </c>
      <c r="BN349" s="1" t="s">
        <v>74</v>
      </c>
      <c r="BO349" s="1" t="s">
        <v>74</v>
      </c>
      <c r="BP349" s="1" t="s">
        <v>74</v>
      </c>
      <c r="BQ349" s="1" t="s">
        <v>74</v>
      </c>
      <c r="BR349" s="1" t="s">
        <v>74</v>
      </c>
      <c r="BS349" s="1" t="s">
        <v>3166</v>
      </c>
      <c r="BT349" s="1" t="str">
        <f>HYPERLINK("https%3A%2F%2Fwww.webofscience.com%2Fwos%2Fwoscc%2Ffull-record%2FWOS:000361271500012","View Full Record in Web of Science")</f>
        <v>View Full Record in Web of Science</v>
      </c>
    </row>
    <row r="350" ht="12.75" customHeight="1">
      <c r="A350" s="1" t="s">
        <v>72</v>
      </c>
      <c r="B350" s="1" t="s">
        <v>3167</v>
      </c>
      <c r="C350" s="1" t="s">
        <v>74</v>
      </c>
      <c r="D350" s="1" t="s">
        <v>74</v>
      </c>
      <c r="E350" s="1" t="s">
        <v>74</v>
      </c>
      <c r="F350" s="1" t="s">
        <v>3168</v>
      </c>
      <c r="G350" s="1" t="s">
        <v>74</v>
      </c>
      <c r="H350" s="1" t="s">
        <v>74</v>
      </c>
      <c r="I350" s="1" t="s">
        <v>3169</v>
      </c>
      <c r="J350" s="1" t="s">
        <v>1603</v>
      </c>
      <c r="K350" s="1" t="s">
        <v>74</v>
      </c>
      <c r="L350" s="1" t="s">
        <v>74</v>
      </c>
      <c r="M350" s="1" t="s">
        <v>74</v>
      </c>
      <c r="N350" s="1" t="s">
        <v>74</v>
      </c>
      <c r="O350" s="1" t="s">
        <v>74</v>
      </c>
      <c r="P350" s="1" t="s">
        <v>74</v>
      </c>
      <c r="Q350" s="1" t="s">
        <v>74</v>
      </c>
      <c r="R350" s="1" t="s">
        <v>74</v>
      </c>
      <c r="S350" s="1" t="s">
        <v>74</v>
      </c>
      <c r="T350" s="1" t="s">
        <v>74</v>
      </c>
      <c r="U350" s="1" t="s">
        <v>74</v>
      </c>
      <c r="V350" s="1" t="s">
        <v>3170</v>
      </c>
      <c r="W350" s="1" t="s">
        <v>74</v>
      </c>
      <c r="X350" s="1" t="s">
        <v>74</v>
      </c>
      <c r="Y350" s="1" t="s">
        <v>74</v>
      </c>
      <c r="Z350" s="1" t="s">
        <v>74</v>
      </c>
      <c r="AA350" s="1" t="s">
        <v>296</v>
      </c>
      <c r="AB350" s="1" t="s">
        <v>486</v>
      </c>
      <c r="AC350" s="1" t="s">
        <v>74</v>
      </c>
      <c r="AD350" s="1" t="s">
        <v>74</v>
      </c>
      <c r="AE350" s="1" t="s">
        <v>74</v>
      </c>
      <c r="AF350" s="1" t="s">
        <v>74</v>
      </c>
      <c r="AG350" s="1" t="s">
        <v>74</v>
      </c>
      <c r="AH350" s="1" t="s">
        <v>74</v>
      </c>
      <c r="AI350" s="1" t="s">
        <v>74</v>
      </c>
      <c r="AJ350" s="1" t="s">
        <v>74</v>
      </c>
      <c r="AK350" s="1" t="s">
        <v>74</v>
      </c>
      <c r="AL350" s="1" t="s">
        <v>74</v>
      </c>
      <c r="AM350" s="1" t="s">
        <v>74</v>
      </c>
      <c r="AN350" s="1" t="s">
        <v>74</v>
      </c>
      <c r="AO350" s="1" t="s">
        <v>1605</v>
      </c>
      <c r="AP350" s="1" t="s">
        <v>74</v>
      </c>
      <c r="AQ350" s="1" t="s">
        <v>74</v>
      </c>
      <c r="AR350" s="1" t="s">
        <v>74</v>
      </c>
      <c r="AS350" s="1" t="s">
        <v>74</v>
      </c>
      <c r="AT350" s="1" t="s">
        <v>180</v>
      </c>
      <c r="AU350" s="1">
        <v>2014.0</v>
      </c>
      <c r="AV350" s="1">
        <v>12.0</v>
      </c>
      <c r="AW350" s="1">
        <v>4.0</v>
      </c>
      <c r="AX350" s="1" t="s">
        <v>74</v>
      </c>
      <c r="AY350" s="1" t="s">
        <v>74</v>
      </c>
      <c r="AZ350" s="1" t="s">
        <v>74</v>
      </c>
      <c r="BA350" s="1" t="s">
        <v>74</v>
      </c>
      <c r="BB350" s="1">
        <v>538.0</v>
      </c>
      <c r="BC350" s="1">
        <v>542.0</v>
      </c>
      <c r="BD350" s="1" t="s">
        <v>74</v>
      </c>
      <c r="BE350" s="1" t="s">
        <v>3171</v>
      </c>
      <c r="BF350" s="2" t="str">
        <f>HYPERLINK("http://dx.doi.org/10.1109/TLA.2014.6868852","http://dx.doi.org/10.1109/TLA.2014.6868852")</f>
        <v>http://dx.doi.org/10.1109/TLA.2014.6868852</v>
      </c>
      <c r="BG350" s="1" t="s">
        <v>74</v>
      </c>
      <c r="BH350" s="1" t="s">
        <v>74</v>
      </c>
      <c r="BI350" s="1" t="s">
        <v>74</v>
      </c>
      <c r="BJ350" s="1" t="s">
        <v>74</v>
      </c>
      <c r="BK350" s="1" t="s">
        <v>74</v>
      </c>
      <c r="BL350" s="1" t="s">
        <v>74</v>
      </c>
      <c r="BM350" s="1" t="s">
        <v>74</v>
      </c>
      <c r="BN350" s="1" t="s">
        <v>74</v>
      </c>
      <c r="BO350" s="1" t="s">
        <v>74</v>
      </c>
      <c r="BP350" s="1" t="s">
        <v>74</v>
      </c>
      <c r="BQ350" s="1" t="s">
        <v>74</v>
      </c>
      <c r="BR350" s="1" t="s">
        <v>74</v>
      </c>
      <c r="BS350" s="1" t="s">
        <v>3172</v>
      </c>
      <c r="BT350" s="1" t="str">
        <f>HYPERLINK("https%3A%2F%2Fwww.webofscience.com%2Fwos%2Fwoscc%2Ffull-record%2FWOS:000341576900002","View Full Record in Web of Science")</f>
        <v>View Full Record in Web of Science</v>
      </c>
    </row>
    <row r="351" ht="12.75" customHeight="1">
      <c r="A351" s="1" t="s">
        <v>162</v>
      </c>
      <c r="B351" s="1" t="s">
        <v>3173</v>
      </c>
      <c r="C351" s="1" t="s">
        <v>74</v>
      </c>
      <c r="D351" s="1" t="s">
        <v>3174</v>
      </c>
      <c r="E351" s="1" t="s">
        <v>74</v>
      </c>
      <c r="F351" s="1" t="s">
        <v>3175</v>
      </c>
      <c r="G351" s="1" t="s">
        <v>74</v>
      </c>
      <c r="H351" s="1" t="s">
        <v>74</v>
      </c>
      <c r="I351" s="1" t="s">
        <v>3176</v>
      </c>
      <c r="J351" s="1" t="s">
        <v>3177</v>
      </c>
      <c r="K351" s="1" t="s">
        <v>3178</v>
      </c>
      <c r="L351" s="1" t="s">
        <v>74</v>
      </c>
      <c r="M351" s="1" t="s">
        <v>74</v>
      </c>
      <c r="N351" s="1" t="s">
        <v>74</v>
      </c>
      <c r="O351" s="1" t="s">
        <v>74</v>
      </c>
      <c r="P351" s="1" t="s">
        <v>74</v>
      </c>
      <c r="Q351" s="1" t="s">
        <v>74</v>
      </c>
      <c r="R351" s="1" t="s">
        <v>74</v>
      </c>
      <c r="S351" s="1" t="s">
        <v>74</v>
      </c>
      <c r="T351" s="1" t="s">
        <v>74</v>
      </c>
      <c r="U351" s="1" t="s">
        <v>74</v>
      </c>
      <c r="V351" s="1" t="s">
        <v>3179</v>
      </c>
      <c r="W351" s="1" t="s">
        <v>74</v>
      </c>
      <c r="X351" s="1" t="s">
        <v>74</v>
      </c>
      <c r="Y351" s="1" t="s">
        <v>74</v>
      </c>
      <c r="Z351" s="1" t="s">
        <v>74</v>
      </c>
      <c r="AA351" s="1" t="s">
        <v>3180</v>
      </c>
      <c r="AB351" s="1" t="s">
        <v>3181</v>
      </c>
      <c r="AC351" s="1" t="s">
        <v>74</v>
      </c>
      <c r="AD351" s="1" t="s">
        <v>74</v>
      </c>
      <c r="AE351" s="1" t="s">
        <v>74</v>
      </c>
      <c r="AF351" s="1" t="s">
        <v>74</v>
      </c>
      <c r="AG351" s="1" t="s">
        <v>74</v>
      </c>
      <c r="AH351" s="1" t="s">
        <v>74</v>
      </c>
      <c r="AI351" s="1" t="s">
        <v>74</v>
      </c>
      <c r="AJ351" s="1" t="s">
        <v>74</v>
      </c>
      <c r="AK351" s="1" t="s">
        <v>74</v>
      </c>
      <c r="AL351" s="1" t="s">
        <v>74</v>
      </c>
      <c r="AM351" s="1" t="s">
        <v>74</v>
      </c>
      <c r="AN351" s="1" t="s">
        <v>74</v>
      </c>
      <c r="AO351" s="1" t="s">
        <v>3182</v>
      </c>
      <c r="AP351" s="1" t="s">
        <v>74</v>
      </c>
      <c r="AQ351" s="1" t="s">
        <v>3183</v>
      </c>
      <c r="AR351" s="1" t="s">
        <v>74</v>
      </c>
      <c r="AS351" s="1" t="s">
        <v>74</v>
      </c>
      <c r="AT351" s="1" t="s">
        <v>74</v>
      </c>
      <c r="AU351" s="1">
        <v>2014.0</v>
      </c>
      <c r="AV351" s="1">
        <v>74.0</v>
      </c>
      <c r="AW351" s="1" t="s">
        <v>74</v>
      </c>
      <c r="AX351" s="1" t="s">
        <v>74</v>
      </c>
      <c r="AY351" s="1" t="s">
        <v>74</v>
      </c>
      <c r="AZ351" s="1" t="s">
        <v>74</v>
      </c>
      <c r="BA351" s="1" t="s">
        <v>74</v>
      </c>
      <c r="BB351" s="1">
        <v>293.0</v>
      </c>
      <c r="BC351" s="1">
        <v>324.0</v>
      </c>
      <c r="BD351" s="1" t="s">
        <v>74</v>
      </c>
      <c r="BE351" s="1" t="s">
        <v>3184</v>
      </c>
      <c r="BF351" s="2" t="str">
        <f>HYPERLINK("http://dx.doi.org/10.1016/B978-0-12-800181-3.00011-7","http://dx.doi.org/10.1016/B978-0-12-800181-3.00011-7")</f>
        <v>http://dx.doi.org/10.1016/B978-0-12-800181-3.00011-7</v>
      </c>
      <c r="BG351" s="1" t="s">
        <v>74</v>
      </c>
      <c r="BH351" s="1" t="s">
        <v>74</v>
      </c>
      <c r="BI351" s="1" t="s">
        <v>74</v>
      </c>
      <c r="BJ351" s="1" t="s">
        <v>74</v>
      </c>
      <c r="BK351" s="1" t="s">
        <v>74</v>
      </c>
      <c r="BL351" s="1" t="s">
        <v>74</v>
      </c>
      <c r="BM351" s="1" t="s">
        <v>74</v>
      </c>
      <c r="BN351" s="1">
        <v>2.5366241E7</v>
      </c>
      <c r="BO351" s="1" t="s">
        <v>74</v>
      </c>
      <c r="BP351" s="1" t="s">
        <v>74</v>
      </c>
      <c r="BQ351" s="1" t="s">
        <v>74</v>
      </c>
      <c r="BR351" s="1" t="s">
        <v>74</v>
      </c>
      <c r="BS351" s="1" t="s">
        <v>3185</v>
      </c>
      <c r="BT351" s="1" t="str">
        <f>HYPERLINK("https%3A%2F%2Fwww.webofscience.com%2Fwos%2Fwoscc%2Ffull-record%2FWOS:000449376400012","View Full Record in Web of Science")</f>
        <v>View Full Record in Web of Science</v>
      </c>
    </row>
    <row r="352" ht="12.75" customHeight="1">
      <c r="A352" s="1" t="s">
        <v>72</v>
      </c>
      <c r="B352" s="1" t="s">
        <v>3186</v>
      </c>
      <c r="C352" s="1" t="s">
        <v>74</v>
      </c>
      <c r="D352" s="1" t="s">
        <v>74</v>
      </c>
      <c r="E352" s="1" t="s">
        <v>74</v>
      </c>
      <c r="F352" s="1" t="s">
        <v>3187</v>
      </c>
      <c r="G352" s="1" t="s">
        <v>74</v>
      </c>
      <c r="H352" s="1" t="s">
        <v>74</v>
      </c>
      <c r="I352" s="1" t="s">
        <v>3188</v>
      </c>
      <c r="J352" s="1" t="s">
        <v>3189</v>
      </c>
      <c r="K352" s="1" t="s">
        <v>74</v>
      </c>
      <c r="L352" s="1" t="s">
        <v>74</v>
      </c>
      <c r="M352" s="1" t="s">
        <v>74</v>
      </c>
      <c r="N352" s="1" t="s">
        <v>74</v>
      </c>
      <c r="O352" s="1" t="s">
        <v>74</v>
      </c>
      <c r="P352" s="1" t="s">
        <v>74</v>
      </c>
      <c r="Q352" s="1" t="s">
        <v>74</v>
      </c>
      <c r="R352" s="1" t="s">
        <v>74</v>
      </c>
      <c r="S352" s="1" t="s">
        <v>74</v>
      </c>
      <c r="T352" s="1" t="s">
        <v>74</v>
      </c>
      <c r="U352" s="1" t="s">
        <v>74</v>
      </c>
      <c r="V352" s="1" t="s">
        <v>3190</v>
      </c>
      <c r="W352" s="1" t="s">
        <v>74</v>
      </c>
      <c r="X352" s="1" t="s">
        <v>74</v>
      </c>
      <c r="Y352" s="1" t="s">
        <v>74</v>
      </c>
      <c r="Z352" s="1" t="s">
        <v>74</v>
      </c>
      <c r="AA352" s="1" t="s">
        <v>74</v>
      </c>
      <c r="AB352" s="1" t="s">
        <v>74</v>
      </c>
      <c r="AC352" s="1" t="s">
        <v>74</v>
      </c>
      <c r="AD352" s="1" t="s">
        <v>74</v>
      </c>
      <c r="AE352" s="1" t="s">
        <v>74</v>
      </c>
      <c r="AF352" s="1" t="s">
        <v>74</v>
      </c>
      <c r="AG352" s="1" t="s">
        <v>74</v>
      </c>
      <c r="AH352" s="1" t="s">
        <v>74</v>
      </c>
      <c r="AI352" s="1" t="s">
        <v>74</v>
      </c>
      <c r="AJ352" s="1" t="s">
        <v>74</v>
      </c>
      <c r="AK352" s="1" t="s">
        <v>74</v>
      </c>
      <c r="AL352" s="1" t="s">
        <v>74</v>
      </c>
      <c r="AM352" s="1" t="s">
        <v>74</v>
      </c>
      <c r="AN352" s="1" t="s">
        <v>74</v>
      </c>
      <c r="AO352" s="1" t="s">
        <v>3191</v>
      </c>
      <c r="AP352" s="1" t="s">
        <v>3192</v>
      </c>
      <c r="AQ352" s="1" t="s">
        <v>74</v>
      </c>
      <c r="AR352" s="1" t="s">
        <v>74</v>
      </c>
      <c r="AS352" s="1" t="s">
        <v>74</v>
      </c>
      <c r="AT352" s="1" t="s">
        <v>906</v>
      </c>
      <c r="AU352" s="1">
        <v>2013.0</v>
      </c>
      <c r="AV352" s="1">
        <v>17.0</v>
      </c>
      <c r="AW352" s="1">
        <v>2.0</v>
      </c>
      <c r="AX352" s="1" t="s">
        <v>74</v>
      </c>
      <c r="AY352" s="1" t="s">
        <v>74</v>
      </c>
      <c r="AZ352" s="1" t="s">
        <v>74</v>
      </c>
      <c r="BA352" s="1" t="s">
        <v>74</v>
      </c>
      <c r="BB352" s="1">
        <v>229.0</v>
      </c>
      <c r="BC352" s="1">
        <v>242.0</v>
      </c>
      <c r="BD352" s="1" t="s">
        <v>74</v>
      </c>
      <c r="BE352" s="1" t="s">
        <v>3193</v>
      </c>
      <c r="BF352" s="2" t="str">
        <f>HYPERLINK("http://dx.doi.org/10.1080/16823206.2013.803662","http://dx.doi.org/10.1080/16823206.2013.803662")</f>
        <v>http://dx.doi.org/10.1080/16823206.2013.803662</v>
      </c>
      <c r="BG352" s="1" t="s">
        <v>74</v>
      </c>
      <c r="BH352" s="1" t="s">
        <v>74</v>
      </c>
      <c r="BI352" s="1" t="s">
        <v>74</v>
      </c>
      <c r="BJ352" s="1" t="s">
        <v>74</v>
      </c>
      <c r="BK352" s="1" t="s">
        <v>74</v>
      </c>
      <c r="BL352" s="1" t="s">
        <v>74</v>
      </c>
      <c r="BM352" s="1" t="s">
        <v>74</v>
      </c>
      <c r="BN352" s="1" t="s">
        <v>74</v>
      </c>
      <c r="BO352" s="1" t="s">
        <v>74</v>
      </c>
      <c r="BP352" s="1" t="s">
        <v>74</v>
      </c>
      <c r="BQ352" s="1" t="s">
        <v>74</v>
      </c>
      <c r="BR352" s="1" t="s">
        <v>74</v>
      </c>
      <c r="BS352" s="1" t="s">
        <v>3194</v>
      </c>
      <c r="BT352" s="1" t="str">
        <f>HYPERLINK("https%3A%2F%2Fwww.webofscience.com%2Fwos%2Fwoscc%2Ffull-record%2FWOS:000320359700007","View Full Record in Web of Science")</f>
        <v>View Full Record in Web of Science</v>
      </c>
    </row>
    <row r="353" ht="12.75" customHeight="1">
      <c r="A353" s="1" t="s">
        <v>72</v>
      </c>
      <c r="B353" s="1" t="s">
        <v>3195</v>
      </c>
      <c r="C353" s="1" t="s">
        <v>74</v>
      </c>
      <c r="D353" s="1" t="s">
        <v>74</v>
      </c>
      <c r="E353" s="1" t="s">
        <v>74</v>
      </c>
      <c r="F353" s="1" t="s">
        <v>3196</v>
      </c>
      <c r="G353" s="1" t="s">
        <v>74</v>
      </c>
      <c r="H353" s="1" t="s">
        <v>74</v>
      </c>
      <c r="I353" s="1" t="s">
        <v>3197</v>
      </c>
      <c r="J353" s="1" t="s">
        <v>3198</v>
      </c>
      <c r="K353" s="1" t="s">
        <v>74</v>
      </c>
      <c r="L353" s="1" t="s">
        <v>74</v>
      </c>
      <c r="M353" s="1" t="s">
        <v>74</v>
      </c>
      <c r="N353" s="1" t="s">
        <v>74</v>
      </c>
      <c r="O353" s="1" t="s">
        <v>74</v>
      </c>
      <c r="P353" s="1" t="s">
        <v>74</v>
      </c>
      <c r="Q353" s="1" t="s">
        <v>74</v>
      </c>
      <c r="R353" s="1" t="s">
        <v>74</v>
      </c>
      <c r="S353" s="1" t="s">
        <v>74</v>
      </c>
      <c r="T353" s="1" t="s">
        <v>74</v>
      </c>
      <c r="U353" s="1" t="s">
        <v>74</v>
      </c>
      <c r="V353" s="1" t="s">
        <v>74</v>
      </c>
      <c r="W353" s="1" t="s">
        <v>74</v>
      </c>
      <c r="X353" s="1" t="s">
        <v>74</v>
      </c>
      <c r="Y353" s="1" t="s">
        <v>74</v>
      </c>
      <c r="Z353" s="1" t="s">
        <v>74</v>
      </c>
      <c r="AA353" s="1" t="s">
        <v>74</v>
      </c>
      <c r="AB353" s="1" t="s">
        <v>74</v>
      </c>
      <c r="AC353" s="1" t="s">
        <v>74</v>
      </c>
      <c r="AD353" s="1" t="s">
        <v>74</v>
      </c>
      <c r="AE353" s="1" t="s">
        <v>74</v>
      </c>
      <c r="AF353" s="1" t="s">
        <v>74</v>
      </c>
      <c r="AG353" s="1" t="s">
        <v>74</v>
      </c>
      <c r="AH353" s="1" t="s">
        <v>74</v>
      </c>
      <c r="AI353" s="1" t="s">
        <v>74</v>
      </c>
      <c r="AJ353" s="1" t="s">
        <v>74</v>
      </c>
      <c r="AK353" s="1" t="s">
        <v>74</v>
      </c>
      <c r="AL353" s="1" t="s">
        <v>74</v>
      </c>
      <c r="AM353" s="1" t="s">
        <v>74</v>
      </c>
      <c r="AN353" s="1" t="s">
        <v>74</v>
      </c>
      <c r="AO353" s="1" t="s">
        <v>3199</v>
      </c>
      <c r="AP353" s="1" t="s">
        <v>3200</v>
      </c>
      <c r="AQ353" s="1" t="s">
        <v>74</v>
      </c>
      <c r="AR353" s="1" t="s">
        <v>74</v>
      </c>
      <c r="AS353" s="1" t="s">
        <v>74</v>
      </c>
      <c r="AT353" s="1" t="s">
        <v>3201</v>
      </c>
      <c r="AU353" s="1">
        <v>2013.0</v>
      </c>
      <c r="AV353" s="1" t="s">
        <v>74</v>
      </c>
      <c r="AW353" s="1">
        <v>72.0</v>
      </c>
      <c r="AX353" s="1" t="s">
        <v>74</v>
      </c>
      <c r="AY353" s="1" t="s">
        <v>74</v>
      </c>
      <c r="AZ353" s="1" t="s">
        <v>74</v>
      </c>
      <c r="BA353" s="1" t="s">
        <v>74</v>
      </c>
      <c r="BB353" s="1">
        <v>403.0</v>
      </c>
      <c r="BC353" s="1">
        <v>406.0</v>
      </c>
      <c r="BD353" s="1" t="s">
        <v>74</v>
      </c>
      <c r="BE353" s="1" t="s">
        <v>74</v>
      </c>
      <c r="BF353" s="1" t="s">
        <v>74</v>
      </c>
      <c r="BG353" s="1" t="s">
        <v>74</v>
      </c>
      <c r="BH353" s="1" t="s">
        <v>74</v>
      </c>
      <c r="BI353" s="1" t="s">
        <v>74</v>
      </c>
      <c r="BJ353" s="1" t="s">
        <v>74</v>
      </c>
      <c r="BK353" s="1" t="s">
        <v>74</v>
      </c>
      <c r="BL353" s="1" t="s">
        <v>74</v>
      </c>
      <c r="BM353" s="1" t="s">
        <v>74</v>
      </c>
      <c r="BN353" s="1" t="s">
        <v>74</v>
      </c>
      <c r="BO353" s="1" t="s">
        <v>74</v>
      </c>
      <c r="BP353" s="1" t="s">
        <v>74</v>
      </c>
      <c r="BQ353" s="1" t="s">
        <v>74</v>
      </c>
      <c r="BR353" s="1" t="s">
        <v>74</v>
      </c>
      <c r="BS353" s="1" t="s">
        <v>3202</v>
      </c>
      <c r="BT353" s="1" t="str">
        <f>HYPERLINK("https%3A%2F%2Fwww.webofscience.com%2Fwos%2Fwoscc%2Ffull-record%2FWOS:000327907200061","View Full Record in Web of Science")</f>
        <v>View Full Record in Web of Science</v>
      </c>
    </row>
    <row r="354" ht="12.75" customHeight="1">
      <c r="A354" s="1" t="s">
        <v>72</v>
      </c>
      <c r="B354" s="1" t="s">
        <v>3203</v>
      </c>
      <c r="C354" s="1" t="s">
        <v>74</v>
      </c>
      <c r="D354" s="1" t="s">
        <v>74</v>
      </c>
      <c r="E354" s="1" t="s">
        <v>74</v>
      </c>
      <c r="F354" s="1" t="s">
        <v>3204</v>
      </c>
      <c r="G354" s="1" t="s">
        <v>74</v>
      </c>
      <c r="H354" s="1" t="s">
        <v>74</v>
      </c>
      <c r="I354" s="1" t="s">
        <v>3205</v>
      </c>
      <c r="J354" s="1" t="s">
        <v>1050</v>
      </c>
      <c r="K354" s="1" t="s">
        <v>74</v>
      </c>
      <c r="L354" s="1" t="s">
        <v>74</v>
      </c>
      <c r="M354" s="1" t="s">
        <v>74</v>
      </c>
      <c r="N354" s="1" t="s">
        <v>74</v>
      </c>
      <c r="O354" s="1" t="s">
        <v>74</v>
      </c>
      <c r="P354" s="1" t="s">
        <v>74</v>
      </c>
      <c r="Q354" s="1" t="s">
        <v>74</v>
      </c>
      <c r="R354" s="1" t="s">
        <v>74</v>
      </c>
      <c r="S354" s="1" t="s">
        <v>74</v>
      </c>
      <c r="T354" s="1" t="s">
        <v>74</v>
      </c>
      <c r="U354" s="1" t="s">
        <v>74</v>
      </c>
      <c r="V354" s="1" t="s">
        <v>3206</v>
      </c>
      <c r="W354" s="1" t="s">
        <v>74</v>
      </c>
      <c r="X354" s="1" t="s">
        <v>74</v>
      </c>
      <c r="Y354" s="1" t="s">
        <v>74</v>
      </c>
      <c r="Z354" s="1" t="s">
        <v>74</v>
      </c>
      <c r="AA354" s="1" t="s">
        <v>3207</v>
      </c>
      <c r="AB354" s="1" t="s">
        <v>3208</v>
      </c>
      <c r="AC354" s="1" t="s">
        <v>74</v>
      </c>
      <c r="AD354" s="1" t="s">
        <v>74</v>
      </c>
      <c r="AE354" s="1" t="s">
        <v>74</v>
      </c>
      <c r="AF354" s="1" t="s">
        <v>74</v>
      </c>
      <c r="AG354" s="1" t="s">
        <v>74</v>
      </c>
      <c r="AH354" s="1" t="s">
        <v>74</v>
      </c>
      <c r="AI354" s="1" t="s">
        <v>74</v>
      </c>
      <c r="AJ354" s="1" t="s">
        <v>74</v>
      </c>
      <c r="AK354" s="1" t="s">
        <v>74</v>
      </c>
      <c r="AL354" s="1" t="s">
        <v>74</v>
      </c>
      <c r="AM354" s="1" t="s">
        <v>74</v>
      </c>
      <c r="AN354" s="1" t="s">
        <v>74</v>
      </c>
      <c r="AO354" s="1" t="s">
        <v>1054</v>
      </c>
      <c r="AP354" s="1" t="s">
        <v>74</v>
      </c>
      <c r="AQ354" s="1" t="s">
        <v>74</v>
      </c>
      <c r="AR354" s="1" t="s">
        <v>74</v>
      </c>
      <c r="AS354" s="1" t="s">
        <v>74</v>
      </c>
      <c r="AT354" s="1" t="s">
        <v>180</v>
      </c>
      <c r="AU354" s="1">
        <v>2013.0</v>
      </c>
      <c r="AV354" s="1">
        <v>58.0</v>
      </c>
      <c r="AW354" s="1">
        <v>2.0</v>
      </c>
      <c r="AX354" s="1" t="s">
        <v>74</v>
      </c>
      <c r="AY354" s="1" t="s">
        <v>74</v>
      </c>
      <c r="AZ354" s="1" t="s">
        <v>74</v>
      </c>
      <c r="BA354" s="1" t="s">
        <v>74</v>
      </c>
      <c r="BB354" s="1">
        <v>1725.0</v>
      </c>
      <c r="BC354" s="1">
        <v>1727.0</v>
      </c>
      <c r="BD354" s="1" t="s">
        <v>74</v>
      </c>
      <c r="BE354" s="1" t="s">
        <v>74</v>
      </c>
      <c r="BF354" s="1" t="s">
        <v>74</v>
      </c>
      <c r="BG354" s="1" t="s">
        <v>74</v>
      </c>
      <c r="BH354" s="1" t="s">
        <v>74</v>
      </c>
      <c r="BI354" s="1" t="s">
        <v>74</v>
      </c>
      <c r="BJ354" s="1" t="s">
        <v>74</v>
      </c>
      <c r="BK354" s="1" t="s">
        <v>74</v>
      </c>
      <c r="BL354" s="1" t="s">
        <v>74</v>
      </c>
      <c r="BM354" s="1" t="s">
        <v>74</v>
      </c>
      <c r="BN354" s="1" t="s">
        <v>74</v>
      </c>
      <c r="BO354" s="1" t="s">
        <v>74</v>
      </c>
      <c r="BP354" s="1" t="s">
        <v>74</v>
      </c>
      <c r="BQ354" s="1" t="s">
        <v>74</v>
      </c>
      <c r="BR354" s="1" t="s">
        <v>74</v>
      </c>
      <c r="BS354" s="1" t="s">
        <v>3209</v>
      </c>
      <c r="BT354" s="1" t="str">
        <f>HYPERLINK("https%3A%2F%2Fwww.webofscience.com%2Fwos%2Fwoscc%2Ffull-record%2FWOS:000331237700018","View Full Record in Web of Science")</f>
        <v>View Full Record in Web of Science</v>
      </c>
    </row>
    <row r="355" ht="12.75" customHeight="1">
      <c r="A355" s="1" t="s">
        <v>72</v>
      </c>
      <c r="B355" s="1" t="s">
        <v>1698</v>
      </c>
      <c r="C355" s="1" t="s">
        <v>74</v>
      </c>
      <c r="D355" s="1" t="s">
        <v>74</v>
      </c>
      <c r="E355" s="1" t="s">
        <v>74</v>
      </c>
      <c r="F355" s="1" t="s">
        <v>1699</v>
      </c>
      <c r="G355" s="1" t="s">
        <v>74</v>
      </c>
      <c r="H355" s="1" t="s">
        <v>74</v>
      </c>
      <c r="I355" s="1" t="s">
        <v>3210</v>
      </c>
      <c r="J355" s="1" t="s">
        <v>2298</v>
      </c>
      <c r="K355" s="1" t="s">
        <v>74</v>
      </c>
      <c r="L355" s="1" t="s">
        <v>74</v>
      </c>
      <c r="M355" s="1" t="s">
        <v>74</v>
      </c>
      <c r="N355" s="1" t="s">
        <v>74</v>
      </c>
      <c r="O355" s="1" t="s">
        <v>74</v>
      </c>
      <c r="P355" s="1" t="s">
        <v>74</v>
      </c>
      <c r="Q355" s="1" t="s">
        <v>74</v>
      </c>
      <c r="R355" s="1" t="s">
        <v>74</v>
      </c>
      <c r="S355" s="1" t="s">
        <v>74</v>
      </c>
      <c r="T355" s="1" t="s">
        <v>74</v>
      </c>
      <c r="U355" s="1" t="s">
        <v>74</v>
      </c>
      <c r="V355" s="1" t="s">
        <v>3211</v>
      </c>
      <c r="W355" s="1" t="s">
        <v>74</v>
      </c>
      <c r="X355" s="1" t="s">
        <v>74</v>
      </c>
      <c r="Y355" s="1" t="s">
        <v>74</v>
      </c>
      <c r="Z355" s="1" t="s">
        <v>74</v>
      </c>
      <c r="AA355" s="1" t="s">
        <v>74</v>
      </c>
      <c r="AB355" s="1" t="s">
        <v>74</v>
      </c>
      <c r="AC355" s="1" t="s">
        <v>74</v>
      </c>
      <c r="AD355" s="1" t="s">
        <v>74</v>
      </c>
      <c r="AE355" s="1" t="s">
        <v>74</v>
      </c>
      <c r="AF355" s="1" t="s">
        <v>74</v>
      </c>
      <c r="AG355" s="1" t="s">
        <v>74</v>
      </c>
      <c r="AH355" s="1" t="s">
        <v>74</v>
      </c>
      <c r="AI355" s="1" t="s">
        <v>74</v>
      </c>
      <c r="AJ355" s="1" t="s">
        <v>74</v>
      </c>
      <c r="AK355" s="1" t="s">
        <v>74</v>
      </c>
      <c r="AL355" s="1" t="s">
        <v>74</v>
      </c>
      <c r="AM355" s="1" t="s">
        <v>74</v>
      </c>
      <c r="AN355" s="1" t="s">
        <v>74</v>
      </c>
      <c r="AO355" s="1" t="s">
        <v>2300</v>
      </c>
      <c r="AP355" s="1" t="s">
        <v>2301</v>
      </c>
      <c r="AQ355" s="1" t="s">
        <v>74</v>
      </c>
      <c r="AR355" s="1" t="s">
        <v>74</v>
      </c>
      <c r="AS355" s="1" t="s">
        <v>74</v>
      </c>
      <c r="AT355" s="1" t="s">
        <v>429</v>
      </c>
      <c r="AU355" s="1">
        <v>2013.0</v>
      </c>
      <c r="AV355" s="1">
        <v>37.0</v>
      </c>
      <c r="AW355" s="1" t="s">
        <v>74</v>
      </c>
      <c r="AX355" s="1" t="s">
        <v>74</v>
      </c>
      <c r="AY355" s="1" t="s">
        <v>74</v>
      </c>
      <c r="AZ355" s="1" t="s">
        <v>74</v>
      </c>
      <c r="BA355" s="1" t="s">
        <v>74</v>
      </c>
      <c r="BB355" s="1">
        <v>60.0</v>
      </c>
      <c r="BC355" s="1">
        <v>67.0</v>
      </c>
      <c r="BD355" s="1" t="s">
        <v>74</v>
      </c>
      <c r="BE355" s="1" t="s">
        <v>3212</v>
      </c>
      <c r="BF355" s="2" t="str">
        <f>HYPERLINK("http://dx.doi.org/10.1016/j.eneco.2012.12.008","http://dx.doi.org/10.1016/j.eneco.2012.12.008")</f>
        <v>http://dx.doi.org/10.1016/j.eneco.2012.12.008</v>
      </c>
      <c r="BG355" s="1" t="s">
        <v>74</v>
      </c>
      <c r="BH355" s="1" t="s">
        <v>74</v>
      </c>
      <c r="BI355" s="1" t="s">
        <v>74</v>
      </c>
      <c r="BJ355" s="1" t="s">
        <v>74</v>
      </c>
      <c r="BK355" s="1" t="s">
        <v>74</v>
      </c>
      <c r="BL355" s="1" t="s">
        <v>74</v>
      </c>
      <c r="BM355" s="1" t="s">
        <v>74</v>
      </c>
      <c r="BN355" s="1" t="s">
        <v>74</v>
      </c>
      <c r="BO355" s="1" t="s">
        <v>74</v>
      </c>
      <c r="BP355" s="1" t="s">
        <v>74</v>
      </c>
      <c r="BQ355" s="1" t="s">
        <v>74</v>
      </c>
      <c r="BR355" s="1" t="s">
        <v>74</v>
      </c>
      <c r="BS355" s="1" t="s">
        <v>3213</v>
      </c>
      <c r="BT355" s="1" t="str">
        <f>HYPERLINK("https%3A%2F%2Fwww.webofscience.com%2Fwos%2Fwoscc%2Ffull-record%2FWOS:000317710000006","View Full Record in Web of Science")</f>
        <v>View Full Record in Web of Science</v>
      </c>
    </row>
    <row r="356" ht="12.75" customHeight="1">
      <c r="A356" s="1" t="s">
        <v>72</v>
      </c>
      <c r="B356" s="1" t="s">
        <v>3214</v>
      </c>
      <c r="C356" s="1" t="s">
        <v>74</v>
      </c>
      <c r="D356" s="1" t="s">
        <v>74</v>
      </c>
      <c r="E356" s="1" t="s">
        <v>74</v>
      </c>
      <c r="F356" s="1" t="s">
        <v>3215</v>
      </c>
      <c r="G356" s="1" t="s">
        <v>74</v>
      </c>
      <c r="H356" s="1" t="s">
        <v>74</v>
      </c>
      <c r="I356" s="1" t="s">
        <v>3216</v>
      </c>
      <c r="J356" s="1" t="s">
        <v>3217</v>
      </c>
      <c r="K356" s="1" t="s">
        <v>74</v>
      </c>
      <c r="L356" s="1" t="s">
        <v>74</v>
      </c>
      <c r="M356" s="1" t="s">
        <v>74</v>
      </c>
      <c r="N356" s="1" t="s">
        <v>74</v>
      </c>
      <c r="O356" s="1" t="s">
        <v>74</v>
      </c>
      <c r="P356" s="1" t="s">
        <v>74</v>
      </c>
      <c r="Q356" s="1" t="s">
        <v>74</v>
      </c>
      <c r="R356" s="1" t="s">
        <v>74</v>
      </c>
      <c r="S356" s="1" t="s">
        <v>74</v>
      </c>
      <c r="T356" s="1" t="s">
        <v>74</v>
      </c>
      <c r="U356" s="1" t="s">
        <v>74</v>
      </c>
      <c r="V356" s="1" t="s">
        <v>3218</v>
      </c>
      <c r="W356" s="1" t="s">
        <v>74</v>
      </c>
      <c r="X356" s="1" t="s">
        <v>74</v>
      </c>
      <c r="Y356" s="1" t="s">
        <v>74</v>
      </c>
      <c r="Z356" s="1" t="s">
        <v>74</v>
      </c>
      <c r="AA356" s="1" t="s">
        <v>3219</v>
      </c>
      <c r="AB356" s="1" t="s">
        <v>3220</v>
      </c>
      <c r="AC356" s="1" t="s">
        <v>74</v>
      </c>
      <c r="AD356" s="1" t="s">
        <v>74</v>
      </c>
      <c r="AE356" s="1" t="s">
        <v>74</v>
      </c>
      <c r="AF356" s="1" t="s">
        <v>74</v>
      </c>
      <c r="AG356" s="1" t="s">
        <v>74</v>
      </c>
      <c r="AH356" s="1" t="s">
        <v>74</v>
      </c>
      <c r="AI356" s="1" t="s">
        <v>74</v>
      </c>
      <c r="AJ356" s="1" t="s">
        <v>74</v>
      </c>
      <c r="AK356" s="1" t="s">
        <v>74</v>
      </c>
      <c r="AL356" s="1" t="s">
        <v>74</v>
      </c>
      <c r="AM356" s="1" t="s">
        <v>74</v>
      </c>
      <c r="AN356" s="1" t="s">
        <v>74</v>
      </c>
      <c r="AO356" s="1" t="s">
        <v>3221</v>
      </c>
      <c r="AP356" s="1" t="s">
        <v>74</v>
      </c>
      <c r="AQ356" s="1" t="s">
        <v>74</v>
      </c>
      <c r="AR356" s="1" t="s">
        <v>74</v>
      </c>
      <c r="AS356" s="1" t="s">
        <v>74</v>
      </c>
      <c r="AT356" s="1" t="s">
        <v>347</v>
      </c>
      <c r="AU356" s="1">
        <v>2013.0</v>
      </c>
      <c r="AV356" s="1">
        <v>30.0</v>
      </c>
      <c r="AW356" s="1">
        <v>4.0</v>
      </c>
      <c r="AX356" s="1" t="s">
        <v>74</v>
      </c>
      <c r="AY356" s="1" t="s">
        <v>74</v>
      </c>
      <c r="AZ356" s="1" t="s">
        <v>74</v>
      </c>
      <c r="BA356" s="1" t="s">
        <v>74</v>
      </c>
      <c r="BB356" s="1">
        <v>945.0</v>
      </c>
      <c r="BC356" s="1">
        <v>949.0</v>
      </c>
      <c r="BD356" s="1" t="s">
        <v>74</v>
      </c>
      <c r="BE356" s="1" t="s">
        <v>3222</v>
      </c>
      <c r="BF356" s="2" t="str">
        <f>HYPERLINK("http://dx.doi.org/10.1364/JOSAB.30.000945","http://dx.doi.org/10.1364/JOSAB.30.000945")</f>
        <v>http://dx.doi.org/10.1364/JOSAB.30.000945</v>
      </c>
      <c r="BG356" s="1" t="s">
        <v>74</v>
      </c>
      <c r="BH356" s="1" t="s">
        <v>74</v>
      </c>
      <c r="BI356" s="1" t="s">
        <v>74</v>
      </c>
      <c r="BJ356" s="1" t="s">
        <v>74</v>
      </c>
      <c r="BK356" s="1" t="s">
        <v>74</v>
      </c>
      <c r="BL356" s="1" t="s">
        <v>74</v>
      </c>
      <c r="BM356" s="1" t="s">
        <v>74</v>
      </c>
      <c r="BN356" s="1" t="s">
        <v>74</v>
      </c>
      <c r="BO356" s="1" t="s">
        <v>74</v>
      </c>
      <c r="BP356" s="1" t="s">
        <v>74</v>
      </c>
      <c r="BQ356" s="1" t="s">
        <v>74</v>
      </c>
      <c r="BR356" s="1" t="s">
        <v>74</v>
      </c>
      <c r="BS356" s="1" t="s">
        <v>3223</v>
      </c>
      <c r="BT356" s="1" t="str">
        <f>HYPERLINK("https%3A%2F%2Fwww.webofscience.com%2Fwos%2Fwoscc%2Ffull-record%2FWOS:000316994100026","View Full Record in Web of Science")</f>
        <v>View Full Record in Web of Science</v>
      </c>
    </row>
    <row r="357" ht="12.75" customHeight="1">
      <c r="A357" s="1" t="s">
        <v>72</v>
      </c>
      <c r="B357" s="1" t="s">
        <v>3224</v>
      </c>
      <c r="C357" s="1" t="s">
        <v>74</v>
      </c>
      <c r="D357" s="1" t="s">
        <v>74</v>
      </c>
      <c r="E357" s="1" t="s">
        <v>74</v>
      </c>
      <c r="F357" s="1" t="s">
        <v>3225</v>
      </c>
      <c r="G357" s="1" t="s">
        <v>74</v>
      </c>
      <c r="H357" s="1" t="s">
        <v>74</v>
      </c>
      <c r="I357" s="1" t="s">
        <v>3226</v>
      </c>
      <c r="J357" s="1" t="s">
        <v>900</v>
      </c>
      <c r="K357" s="1" t="s">
        <v>74</v>
      </c>
      <c r="L357" s="1" t="s">
        <v>74</v>
      </c>
      <c r="M357" s="1" t="s">
        <v>74</v>
      </c>
      <c r="N357" s="1" t="s">
        <v>74</v>
      </c>
      <c r="O357" s="1" t="s">
        <v>74</v>
      </c>
      <c r="P357" s="1" t="s">
        <v>74</v>
      </c>
      <c r="Q357" s="1" t="s">
        <v>74</v>
      </c>
      <c r="R357" s="1" t="s">
        <v>74</v>
      </c>
      <c r="S357" s="1" t="s">
        <v>74</v>
      </c>
      <c r="T357" s="1" t="s">
        <v>74</v>
      </c>
      <c r="U357" s="1" t="s">
        <v>74</v>
      </c>
      <c r="V357" s="1" t="s">
        <v>3227</v>
      </c>
      <c r="W357" s="1" t="s">
        <v>74</v>
      </c>
      <c r="X357" s="1" t="s">
        <v>74</v>
      </c>
      <c r="Y357" s="1" t="s">
        <v>74</v>
      </c>
      <c r="Z357" s="1" t="s">
        <v>74</v>
      </c>
      <c r="AA357" s="1" t="s">
        <v>74</v>
      </c>
      <c r="AB357" s="1" t="s">
        <v>74</v>
      </c>
      <c r="AC357" s="1" t="s">
        <v>74</v>
      </c>
      <c r="AD357" s="1" t="s">
        <v>74</v>
      </c>
      <c r="AE357" s="1" t="s">
        <v>74</v>
      </c>
      <c r="AF357" s="1" t="s">
        <v>74</v>
      </c>
      <c r="AG357" s="1" t="s">
        <v>74</v>
      </c>
      <c r="AH357" s="1" t="s">
        <v>74</v>
      </c>
      <c r="AI357" s="1" t="s">
        <v>74</v>
      </c>
      <c r="AJ357" s="1" t="s">
        <v>74</v>
      </c>
      <c r="AK357" s="1" t="s">
        <v>74</v>
      </c>
      <c r="AL357" s="1" t="s">
        <v>74</v>
      </c>
      <c r="AM357" s="1" t="s">
        <v>74</v>
      </c>
      <c r="AN357" s="1" t="s">
        <v>74</v>
      </c>
      <c r="AO357" s="1" t="s">
        <v>904</v>
      </c>
      <c r="AP357" s="1" t="s">
        <v>905</v>
      </c>
      <c r="AQ357" s="1" t="s">
        <v>74</v>
      </c>
      <c r="AR357" s="1" t="s">
        <v>74</v>
      </c>
      <c r="AS357" s="1" t="s">
        <v>74</v>
      </c>
      <c r="AT357" s="1" t="s">
        <v>148</v>
      </c>
      <c r="AU357" s="1">
        <v>2013.0</v>
      </c>
      <c r="AV357" s="1">
        <v>80.0</v>
      </c>
      <c r="AW357" s="1" t="s">
        <v>74</v>
      </c>
      <c r="AX357" s="1" t="s">
        <v>74</v>
      </c>
      <c r="AY357" s="1" t="s">
        <v>74</v>
      </c>
      <c r="AZ357" s="1" t="s">
        <v>74</v>
      </c>
      <c r="BA357" s="1" t="s">
        <v>74</v>
      </c>
      <c r="BB357" s="1">
        <v>135.0</v>
      </c>
      <c r="BC357" s="1">
        <v>149.0</v>
      </c>
      <c r="BD357" s="1" t="s">
        <v>74</v>
      </c>
      <c r="BE357" s="1" t="s">
        <v>3228</v>
      </c>
      <c r="BF357" s="2" t="str">
        <f>HYPERLINK("http://dx.doi.org/10.1016/j.na.2012.10.010","http://dx.doi.org/10.1016/j.na.2012.10.010")</f>
        <v>http://dx.doi.org/10.1016/j.na.2012.10.010</v>
      </c>
      <c r="BG357" s="1" t="s">
        <v>74</v>
      </c>
      <c r="BH357" s="1" t="s">
        <v>74</v>
      </c>
      <c r="BI357" s="1" t="s">
        <v>74</v>
      </c>
      <c r="BJ357" s="1" t="s">
        <v>74</v>
      </c>
      <c r="BK357" s="1" t="s">
        <v>74</v>
      </c>
      <c r="BL357" s="1" t="s">
        <v>74</v>
      </c>
      <c r="BM357" s="1" t="s">
        <v>74</v>
      </c>
      <c r="BN357" s="1" t="s">
        <v>74</v>
      </c>
      <c r="BO357" s="1" t="s">
        <v>74</v>
      </c>
      <c r="BP357" s="1" t="s">
        <v>74</v>
      </c>
      <c r="BQ357" s="1" t="s">
        <v>74</v>
      </c>
      <c r="BR357" s="1" t="s">
        <v>74</v>
      </c>
      <c r="BS357" s="1" t="s">
        <v>3229</v>
      </c>
      <c r="BT357" s="1" t="str">
        <f>HYPERLINK("https%3A%2F%2Fwww.webofscience.com%2Fwos%2Fwoscc%2Ffull-record%2FWOS:000314873300013","View Full Record in Web of Science")</f>
        <v>View Full Record in Web of Science</v>
      </c>
    </row>
    <row r="358" ht="12.75" customHeight="1">
      <c r="A358" s="1" t="s">
        <v>72</v>
      </c>
      <c r="B358" s="1" t="s">
        <v>3230</v>
      </c>
      <c r="C358" s="1" t="s">
        <v>74</v>
      </c>
      <c r="D358" s="1" t="s">
        <v>74</v>
      </c>
      <c r="E358" s="1" t="s">
        <v>74</v>
      </c>
      <c r="F358" s="1" t="s">
        <v>3231</v>
      </c>
      <c r="G358" s="1" t="s">
        <v>74</v>
      </c>
      <c r="H358" s="1" t="s">
        <v>74</v>
      </c>
      <c r="I358" s="1" t="s">
        <v>3232</v>
      </c>
      <c r="J358" s="1" t="s">
        <v>3233</v>
      </c>
      <c r="K358" s="1" t="s">
        <v>74</v>
      </c>
      <c r="L358" s="1" t="s">
        <v>74</v>
      </c>
      <c r="M358" s="1" t="s">
        <v>74</v>
      </c>
      <c r="N358" s="1" t="s">
        <v>74</v>
      </c>
      <c r="O358" s="1" t="s">
        <v>74</v>
      </c>
      <c r="P358" s="1" t="s">
        <v>74</v>
      </c>
      <c r="Q358" s="1" t="s">
        <v>74</v>
      </c>
      <c r="R358" s="1" t="s">
        <v>74</v>
      </c>
      <c r="S358" s="1" t="s">
        <v>74</v>
      </c>
      <c r="T358" s="1" t="s">
        <v>74</v>
      </c>
      <c r="U358" s="1" t="s">
        <v>74</v>
      </c>
      <c r="V358" s="1" t="s">
        <v>3234</v>
      </c>
      <c r="W358" s="1" t="s">
        <v>74</v>
      </c>
      <c r="X358" s="1" t="s">
        <v>74</v>
      </c>
      <c r="Y358" s="1" t="s">
        <v>74</v>
      </c>
      <c r="Z358" s="1" t="s">
        <v>74</v>
      </c>
      <c r="AA358" s="1" t="s">
        <v>74</v>
      </c>
      <c r="AB358" s="1" t="s">
        <v>74</v>
      </c>
      <c r="AC358" s="1" t="s">
        <v>74</v>
      </c>
      <c r="AD358" s="1" t="s">
        <v>74</v>
      </c>
      <c r="AE358" s="1" t="s">
        <v>74</v>
      </c>
      <c r="AF358" s="1" t="s">
        <v>74</v>
      </c>
      <c r="AG358" s="1" t="s">
        <v>74</v>
      </c>
      <c r="AH358" s="1" t="s">
        <v>74</v>
      </c>
      <c r="AI358" s="1" t="s">
        <v>74</v>
      </c>
      <c r="AJ358" s="1" t="s">
        <v>74</v>
      </c>
      <c r="AK358" s="1" t="s">
        <v>74</v>
      </c>
      <c r="AL358" s="1" t="s">
        <v>74</v>
      </c>
      <c r="AM358" s="1" t="s">
        <v>74</v>
      </c>
      <c r="AN358" s="1" t="s">
        <v>74</v>
      </c>
      <c r="AO358" s="1" t="s">
        <v>3235</v>
      </c>
      <c r="AP358" s="1" t="s">
        <v>3236</v>
      </c>
      <c r="AQ358" s="1" t="s">
        <v>74</v>
      </c>
      <c r="AR358" s="1" t="s">
        <v>74</v>
      </c>
      <c r="AS358" s="1" t="s">
        <v>74</v>
      </c>
      <c r="AT358" s="1" t="s">
        <v>1493</v>
      </c>
      <c r="AU358" s="1">
        <v>2013.0</v>
      </c>
      <c r="AV358" s="1" t="s">
        <v>74</v>
      </c>
      <c r="AW358" s="1">
        <v>29.0</v>
      </c>
      <c r="AX358" s="1" t="s">
        <v>74</v>
      </c>
      <c r="AY358" s="1" t="s">
        <v>74</v>
      </c>
      <c r="AZ358" s="1" t="s">
        <v>74</v>
      </c>
      <c r="BA358" s="1" t="s">
        <v>74</v>
      </c>
      <c r="BB358" s="1">
        <v>193.0</v>
      </c>
      <c r="BC358" s="1">
        <v>218.0</v>
      </c>
      <c r="BD358" s="1" t="s">
        <v>74</v>
      </c>
      <c r="BE358" s="1" t="s">
        <v>74</v>
      </c>
      <c r="BF358" s="1" t="s">
        <v>74</v>
      </c>
      <c r="BG358" s="1" t="s">
        <v>74</v>
      </c>
      <c r="BH358" s="1" t="s">
        <v>74</v>
      </c>
      <c r="BI358" s="1" t="s">
        <v>74</v>
      </c>
      <c r="BJ358" s="1" t="s">
        <v>74</v>
      </c>
      <c r="BK358" s="1" t="s">
        <v>74</v>
      </c>
      <c r="BL358" s="1" t="s">
        <v>74</v>
      </c>
      <c r="BM358" s="1" t="s">
        <v>74</v>
      </c>
      <c r="BN358" s="1" t="s">
        <v>74</v>
      </c>
      <c r="BO358" s="1" t="s">
        <v>74</v>
      </c>
      <c r="BP358" s="1" t="s">
        <v>74</v>
      </c>
      <c r="BQ358" s="1" t="s">
        <v>74</v>
      </c>
      <c r="BR358" s="1" t="s">
        <v>74</v>
      </c>
      <c r="BS358" s="1" t="s">
        <v>3237</v>
      </c>
      <c r="BT358" s="1" t="str">
        <f>HYPERLINK("https%3A%2F%2Fwww.webofscience.com%2Fwos%2Fwoscc%2Ffull-record%2FWOS:000327165500007","View Full Record in Web of Science")</f>
        <v>View Full Record in Web of Science</v>
      </c>
    </row>
    <row r="359" ht="12.75" customHeight="1">
      <c r="A359" s="1" t="s">
        <v>72</v>
      </c>
      <c r="B359" s="1" t="s">
        <v>3238</v>
      </c>
      <c r="C359" s="1" t="s">
        <v>74</v>
      </c>
      <c r="D359" s="1" t="s">
        <v>74</v>
      </c>
      <c r="E359" s="1" t="s">
        <v>74</v>
      </c>
      <c r="F359" s="1" t="s">
        <v>3239</v>
      </c>
      <c r="G359" s="1" t="s">
        <v>74</v>
      </c>
      <c r="H359" s="1" t="s">
        <v>74</v>
      </c>
      <c r="I359" s="1" t="s">
        <v>3240</v>
      </c>
      <c r="J359" s="1" t="s">
        <v>1490</v>
      </c>
      <c r="K359" s="1" t="s">
        <v>74</v>
      </c>
      <c r="L359" s="1" t="s">
        <v>74</v>
      </c>
      <c r="M359" s="1" t="s">
        <v>74</v>
      </c>
      <c r="N359" s="1" t="s">
        <v>74</v>
      </c>
      <c r="O359" s="1" t="s">
        <v>74</v>
      </c>
      <c r="P359" s="1" t="s">
        <v>74</v>
      </c>
      <c r="Q359" s="1" t="s">
        <v>74</v>
      </c>
      <c r="R359" s="1" t="s">
        <v>74</v>
      </c>
      <c r="S359" s="1" t="s">
        <v>74</v>
      </c>
      <c r="T359" s="1" t="s">
        <v>74</v>
      </c>
      <c r="U359" s="1" t="s">
        <v>74</v>
      </c>
      <c r="V359" s="1" t="s">
        <v>74</v>
      </c>
      <c r="W359" s="1" t="s">
        <v>74</v>
      </c>
      <c r="X359" s="1" t="s">
        <v>74</v>
      </c>
      <c r="Y359" s="1" t="s">
        <v>74</v>
      </c>
      <c r="Z359" s="1" t="s">
        <v>74</v>
      </c>
      <c r="AA359" s="1" t="s">
        <v>74</v>
      </c>
      <c r="AB359" s="1" t="s">
        <v>74</v>
      </c>
      <c r="AC359" s="1" t="s">
        <v>74</v>
      </c>
      <c r="AD359" s="1" t="s">
        <v>74</v>
      </c>
      <c r="AE359" s="1" t="s">
        <v>74</v>
      </c>
      <c r="AF359" s="1" t="s">
        <v>74</v>
      </c>
      <c r="AG359" s="1" t="s">
        <v>74</v>
      </c>
      <c r="AH359" s="1" t="s">
        <v>74</v>
      </c>
      <c r="AI359" s="1" t="s">
        <v>74</v>
      </c>
      <c r="AJ359" s="1" t="s">
        <v>74</v>
      </c>
      <c r="AK359" s="1" t="s">
        <v>74</v>
      </c>
      <c r="AL359" s="1" t="s">
        <v>74</v>
      </c>
      <c r="AM359" s="1" t="s">
        <v>74</v>
      </c>
      <c r="AN359" s="1" t="s">
        <v>74</v>
      </c>
      <c r="AO359" s="1" t="s">
        <v>1491</v>
      </c>
      <c r="AP359" s="1" t="s">
        <v>74</v>
      </c>
      <c r="AQ359" s="1" t="s">
        <v>74</v>
      </c>
      <c r="AR359" s="1" t="s">
        <v>74</v>
      </c>
      <c r="AS359" s="1" t="s">
        <v>74</v>
      </c>
      <c r="AT359" s="1" t="s">
        <v>1493</v>
      </c>
      <c r="AU359" s="1">
        <v>2013.0</v>
      </c>
      <c r="AV359" s="1">
        <v>67.0</v>
      </c>
      <c r="AW359" s="1">
        <v>219.0</v>
      </c>
      <c r="AX359" s="1" t="s">
        <v>74</v>
      </c>
      <c r="AY359" s="1" t="s">
        <v>74</v>
      </c>
      <c r="AZ359" s="1" t="s">
        <v>74</v>
      </c>
      <c r="BA359" s="1" t="s">
        <v>74</v>
      </c>
      <c r="BB359" s="1">
        <v>98.0</v>
      </c>
      <c r="BC359" s="1">
        <v>99.0</v>
      </c>
      <c r="BD359" s="1" t="s">
        <v>74</v>
      </c>
      <c r="BE359" s="1" t="s">
        <v>74</v>
      </c>
      <c r="BF359" s="1" t="s">
        <v>74</v>
      </c>
      <c r="BG359" s="1" t="s">
        <v>74</v>
      </c>
      <c r="BH359" s="1" t="s">
        <v>74</v>
      </c>
      <c r="BI359" s="1" t="s">
        <v>74</v>
      </c>
      <c r="BJ359" s="1" t="s">
        <v>74</v>
      </c>
      <c r="BK359" s="1" t="s">
        <v>74</v>
      </c>
      <c r="BL359" s="1" t="s">
        <v>74</v>
      </c>
      <c r="BM359" s="1" t="s">
        <v>74</v>
      </c>
      <c r="BN359" s="1" t="s">
        <v>74</v>
      </c>
      <c r="BO359" s="1" t="s">
        <v>74</v>
      </c>
      <c r="BP359" s="1" t="s">
        <v>74</v>
      </c>
      <c r="BQ359" s="1" t="s">
        <v>74</v>
      </c>
      <c r="BR359" s="1" t="s">
        <v>74</v>
      </c>
      <c r="BS359" s="1" t="s">
        <v>3241</v>
      </c>
      <c r="BT359" s="1" t="str">
        <f>HYPERLINK("https%3A%2F%2Fwww.webofscience.com%2Fwos%2Fwoscc%2Ffull-record%2FWOS:000324346300008","View Full Record in Web of Science")</f>
        <v>View Full Record in Web of Science</v>
      </c>
    </row>
    <row r="360" ht="12.75" customHeight="1">
      <c r="A360" s="1" t="s">
        <v>72</v>
      </c>
      <c r="B360" s="1" t="s">
        <v>3242</v>
      </c>
      <c r="C360" s="1" t="s">
        <v>74</v>
      </c>
      <c r="D360" s="1" t="s">
        <v>74</v>
      </c>
      <c r="E360" s="1" t="s">
        <v>74</v>
      </c>
      <c r="F360" s="1" t="s">
        <v>3243</v>
      </c>
      <c r="G360" s="1" t="s">
        <v>74</v>
      </c>
      <c r="H360" s="1" t="s">
        <v>74</v>
      </c>
      <c r="I360" s="1" t="s">
        <v>3244</v>
      </c>
      <c r="J360" s="1" t="s">
        <v>1766</v>
      </c>
      <c r="K360" s="1" t="s">
        <v>74</v>
      </c>
      <c r="L360" s="1" t="s">
        <v>74</v>
      </c>
      <c r="M360" s="1" t="s">
        <v>74</v>
      </c>
      <c r="N360" s="1" t="s">
        <v>74</v>
      </c>
      <c r="O360" s="1" t="s">
        <v>74</v>
      </c>
      <c r="P360" s="1" t="s">
        <v>74</v>
      </c>
      <c r="Q360" s="1" t="s">
        <v>74</v>
      </c>
      <c r="R360" s="1" t="s">
        <v>74</v>
      </c>
      <c r="S360" s="1" t="s">
        <v>74</v>
      </c>
      <c r="T360" s="1" t="s">
        <v>74</v>
      </c>
      <c r="U360" s="1" t="s">
        <v>74</v>
      </c>
      <c r="V360" s="1" t="s">
        <v>3245</v>
      </c>
      <c r="W360" s="1" t="s">
        <v>74</v>
      </c>
      <c r="X360" s="1" t="s">
        <v>74</v>
      </c>
      <c r="Y360" s="1" t="s">
        <v>74</v>
      </c>
      <c r="Z360" s="1" t="s">
        <v>74</v>
      </c>
      <c r="AA360" s="1" t="s">
        <v>3105</v>
      </c>
      <c r="AB360" s="1" t="s">
        <v>3246</v>
      </c>
      <c r="AC360" s="1" t="s">
        <v>74</v>
      </c>
      <c r="AD360" s="1" t="s">
        <v>74</v>
      </c>
      <c r="AE360" s="1" t="s">
        <v>74</v>
      </c>
      <c r="AF360" s="1" t="s">
        <v>74</v>
      </c>
      <c r="AG360" s="1" t="s">
        <v>74</v>
      </c>
      <c r="AH360" s="1" t="s">
        <v>74</v>
      </c>
      <c r="AI360" s="1" t="s">
        <v>74</v>
      </c>
      <c r="AJ360" s="1" t="s">
        <v>74</v>
      </c>
      <c r="AK360" s="1" t="s">
        <v>74</v>
      </c>
      <c r="AL360" s="1" t="s">
        <v>74</v>
      </c>
      <c r="AM360" s="1" t="s">
        <v>74</v>
      </c>
      <c r="AN360" s="1" t="s">
        <v>74</v>
      </c>
      <c r="AO360" s="1" t="s">
        <v>1769</v>
      </c>
      <c r="AP360" s="1" t="s">
        <v>1770</v>
      </c>
      <c r="AQ360" s="1" t="s">
        <v>74</v>
      </c>
      <c r="AR360" s="1" t="s">
        <v>74</v>
      </c>
      <c r="AS360" s="1" t="s">
        <v>74</v>
      </c>
      <c r="AT360" s="1" t="s">
        <v>429</v>
      </c>
      <c r="AU360" s="1">
        <v>2012.0</v>
      </c>
      <c r="AV360" s="1">
        <v>110.0</v>
      </c>
      <c r="AW360" s="1">
        <v>2.0</v>
      </c>
      <c r="AX360" s="1" t="s">
        <v>74</v>
      </c>
      <c r="AY360" s="1" t="s">
        <v>74</v>
      </c>
      <c r="AZ360" s="1" t="s">
        <v>74</v>
      </c>
      <c r="BA360" s="1" t="s">
        <v>74</v>
      </c>
      <c r="BB360" s="1">
        <v>262.0</v>
      </c>
      <c r="BC360" s="1">
        <v>268.0</v>
      </c>
      <c r="BD360" s="1" t="s">
        <v>74</v>
      </c>
      <c r="BE360" s="1" t="s">
        <v>3247</v>
      </c>
      <c r="BF360" s="2" t="str">
        <f>HYPERLINK("http://dx.doi.org/10.1016/j.jfoodeng.2011.05.004","http://dx.doi.org/10.1016/j.jfoodeng.2011.05.004")</f>
        <v>http://dx.doi.org/10.1016/j.jfoodeng.2011.05.004</v>
      </c>
      <c r="BG360" s="1" t="s">
        <v>74</v>
      </c>
      <c r="BH360" s="1" t="s">
        <v>74</v>
      </c>
      <c r="BI360" s="1" t="s">
        <v>74</v>
      </c>
      <c r="BJ360" s="1" t="s">
        <v>74</v>
      </c>
      <c r="BK360" s="1" t="s">
        <v>74</v>
      </c>
      <c r="BL360" s="1" t="s">
        <v>74</v>
      </c>
      <c r="BM360" s="1" t="s">
        <v>74</v>
      </c>
      <c r="BN360" s="1" t="s">
        <v>74</v>
      </c>
      <c r="BO360" s="1" t="s">
        <v>74</v>
      </c>
      <c r="BP360" s="1" t="s">
        <v>74</v>
      </c>
      <c r="BQ360" s="1" t="s">
        <v>74</v>
      </c>
      <c r="BR360" s="1" t="s">
        <v>74</v>
      </c>
      <c r="BS360" s="1" t="s">
        <v>3248</v>
      </c>
      <c r="BT360" s="1" t="str">
        <f>HYPERLINK("https%3A%2F%2Fwww.webofscience.com%2Fwos%2Fwoscc%2Ffull-record%2FWOS:000301273300016","View Full Record in Web of Science")</f>
        <v>View Full Record in Web of Science</v>
      </c>
    </row>
    <row r="361" ht="12.75" customHeight="1">
      <c r="A361" s="1" t="s">
        <v>72</v>
      </c>
      <c r="B361" s="1" t="s">
        <v>3249</v>
      </c>
      <c r="C361" s="1" t="s">
        <v>74</v>
      </c>
      <c r="D361" s="1" t="s">
        <v>74</v>
      </c>
      <c r="E361" s="1" t="s">
        <v>74</v>
      </c>
      <c r="F361" s="1" t="s">
        <v>3250</v>
      </c>
      <c r="G361" s="1" t="s">
        <v>74</v>
      </c>
      <c r="H361" s="1" t="s">
        <v>74</v>
      </c>
      <c r="I361" s="1" t="s">
        <v>3251</v>
      </c>
      <c r="J361" s="1" t="s">
        <v>3163</v>
      </c>
      <c r="K361" s="1" t="s">
        <v>74</v>
      </c>
      <c r="L361" s="1" t="s">
        <v>74</v>
      </c>
      <c r="M361" s="1" t="s">
        <v>74</v>
      </c>
      <c r="N361" s="1" t="s">
        <v>74</v>
      </c>
      <c r="O361" s="1" t="s">
        <v>74</v>
      </c>
      <c r="P361" s="1" t="s">
        <v>74</v>
      </c>
      <c r="Q361" s="1" t="s">
        <v>74</v>
      </c>
      <c r="R361" s="1" t="s">
        <v>74</v>
      </c>
      <c r="S361" s="1" t="s">
        <v>74</v>
      </c>
      <c r="T361" s="1" t="s">
        <v>74</v>
      </c>
      <c r="U361" s="1" t="s">
        <v>74</v>
      </c>
      <c r="V361" s="1" t="s">
        <v>3252</v>
      </c>
      <c r="W361" s="1" t="s">
        <v>74</v>
      </c>
      <c r="X361" s="1" t="s">
        <v>74</v>
      </c>
      <c r="Y361" s="1" t="s">
        <v>74</v>
      </c>
      <c r="Z361" s="1" t="s">
        <v>74</v>
      </c>
      <c r="AA361" s="1" t="s">
        <v>74</v>
      </c>
      <c r="AB361" s="1" t="s">
        <v>74</v>
      </c>
      <c r="AC361" s="1" t="s">
        <v>74</v>
      </c>
      <c r="AD361" s="1" t="s">
        <v>74</v>
      </c>
      <c r="AE361" s="1" t="s">
        <v>74</v>
      </c>
      <c r="AF361" s="1" t="s">
        <v>74</v>
      </c>
      <c r="AG361" s="1" t="s">
        <v>74</v>
      </c>
      <c r="AH361" s="1" t="s">
        <v>74</v>
      </c>
      <c r="AI361" s="1" t="s">
        <v>74</v>
      </c>
      <c r="AJ361" s="1" t="s">
        <v>74</v>
      </c>
      <c r="AK361" s="1" t="s">
        <v>74</v>
      </c>
      <c r="AL361" s="1" t="s">
        <v>74</v>
      </c>
      <c r="AM361" s="1" t="s">
        <v>74</v>
      </c>
      <c r="AN361" s="1" t="s">
        <v>74</v>
      </c>
      <c r="AO361" s="1" t="s">
        <v>3253</v>
      </c>
      <c r="AP361" s="1" t="s">
        <v>74</v>
      </c>
      <c r="AQ361" s="1" t="s">
        <v>74</v>
      </c>
      <c r="AR361" s="1" t="s">
        <v>74</v>
      </c>
      <c r="AS361" s="1" t="s">
        <v>74</v>
      </c>
      <c r="AT361" s="1" t="s">
        <v>74</v>
      </c>
      <c r="AU361" s="1">
        <v>2012.0</v>
      </c>
      <c r="AV361" s="1" t="s">
        <v>74</v>
      </c>
      <c r="AW361" s="1">
        <v>505.0</v>
      </c>
      <c r="AX361" s="1" t="s">
        <v>74</v>
      </c>
      <c r="AY361" s="1" t="s">
        <v>74</v>
      </c>
      <c r="AZ361" s="1" t="s">
        <v>74</v>
      </c>
      <c r="BA361" s="1" t="s">
        <v>74</v>
      </c>
      <c r="BB361" s="1">
        <v>239.0</v>
      </c>
      <c r="BC361" s="1">
        <v>261.0</v>
      </c>
      <c r="BD361" s="1" t="s">
        <v>74</v>
      </c>
      <c r="BE361" s="1" t="s">
        <v>3254</v>
      </c>
      <c r="BF361" s="2" t="str">
        <f>HYPERLINK("http://dx.doi.org/10.4067/S0718-04622012000100011","http://dx.doi.org/10.4067/S0718-04622012000100011")</f>
        <v>http://dx.doi.org/10.4067/S0718-04622012000100011</v>
      </c>
      <c r="BG361" s="1" t="s">
        <v>74</v>
      </c>
      <c r="BH361" s="1" t="s">
        <v>74</v>
      </c>
      <c r="BI361" s="1" t="s">
        <v>74</v>
      </c>
      <c r="BJ361" s="1" t="s">
        <v>74</v>
      </c>
      <c r="BK361" s="1" t="s">
        <v>74</v>
      </c>
      <c r="BL361" s="1" t="s">
        <v>74</v>
      </c>
      <c r="BM361" s="1" t="s">
        <v>74</v>
      </c>
      <c r="BN361" s="1" t="s">
        <v>74</v>
      </c>
      <c r="BO361" s="1" t="s">
        <v>74</v>
      </c>
      <c r="BP361" s="1" t="s">
        <v>74</v>
      </c>
      <c r="BQ361" s="1" t="s">
        <v>74</v>
      </c>
      <c r="BR361" s="1" t="s">
        <v>74</v>
      </c>
      <c r="BS361" s="1" t="s">
        <v>3255</v>
      </c>
      <c r="BT361" s="1" t="str">
        <f>HYPERLINK("https%3A%2F%2Fwww.webofscience.com%2Fwos%2Fwoscc%2Ffull-record%2FWOS:000309380600011","View Full Record in Web of Science")</f>
        <v>View Full Record in Web of Science</v>
      </c>
    </row>
    <row r="362" ht="12.75" customHeight="1">
      <c r="A362" s="1" t="s">
        <v>72</v>
      </c>
      <c r="B362" s="1" t="s">
        <v>3256</v>
      </c>
      <c r="C362" s="1" t="s">
        <v>74</v>
      </c>
      <c r="D362" s="1" t="s">
        <v>74</v>
      </c>
      <c r="E362" s="1" t="s">
        <v>74</v>
      </c>
      <c r="F362" s="1" t="s">
        <v>3257</v>
      </c>
      <c r="G362" s="1" t="s">
        <v>74</v>
      </c>
      <c r="H362" s="1" t="s">
        <v>74</v>
      </c>
      <c r="I362" s="1" t="s">
        <v>3258</v>
      </c>
      <c r="J362" s="1" t="s">
        <v>3259</v>
      </c>
      <c r="K362" s="1" t="s">
        <v>74</v>
      </c>
      <c r="L362" s="1" t="s">
        <v>74</v>
      </c>
      <c r="M362" s="1" t="s">
        <v>74</v>
      </c>
      <c r="N362" s="1" t="s">
        <v>74</v>
      </c>
      <c r="O362" s="1" t="s">
        <v>74</v>
      </c>
      <c r="P362" s="1" t="s">
        <v>74</v>
      </c>
      <c r="Q362" s="1" t="s">
        <v>74</v>
      </c>
      <c r="R362" s="1" t="s">
        <v>74</v>
      </c>
      <c r="S362" s="1" t="s">
        <v>74</v>
      </c>
      <c r="T362" s="1" t="s">
        <v>74</v>
      </c>
      <c r="U362" s="1" t="s">
        <v>74</v>
      </c>
      <c r="V362" s="1" t="s">
        <v>3260</v>
      </c>
      <c r="W362" s="1" t="s">
        <v>74</v>
      </c>
      <c r="X362" s="1" t="s">
        <v>74</v>
      </c>
      <c r="Y362" s="1" t="s">
        <v>74</v>
      </c>
      <c r="Z362" s="1" t="s">
        <v>74</v>
      </c>
      <c r="AA362" s="1" t="s">
        <v>74</v>
      </c>
      <c r="AB362" s="1" t="s">
        <v>74</v>
      </c>
      <c r="AC362" s="1" t="s">
        <v>74</v>
      </c>
      <c r="AD362" s="1" t="s">
        <v>74</v>
      </c>
      <c r="AE362" s="1" t="s">
        <v>74</v>
      </c>
      <c r="AF362" s="1" t="s">
        <v>74</v>
      </c>
      <c r="AG362" s="1" t="s">
        <v>74</v>
      </c>
      <c r="AH362" s="1" t="s">
        <v>74</v>
      </c>
      <c r="AI362" s="1" t="s">
        <v>74</v>
      </c>
      <c r="AJ362" s="1" t="s">
        <v>74</v>
      </c>
      <c r="AK362" s="1" t="s">
        <v>74</v>
      </c>
      <c r="AL362" s="1" t="s">
        <v>74</v>
      </c>
      <c r="AM362" s="1" t="s">
        <v>74</v>
      </c>
      <c r="AN362" s="1" t="s">
        <v>74</v>
      </c>
      <c r="AO362" s="1" t="s">
        <v>3261</v>
      </c>
      <c r="AP362" s="1" t="s">
        <v>74</v>
      </c>
      <c r="AQ362" s="1" t="s">
        <v>74</v>
      </c>
      <c r="AR362" s="1" t="s">
        <v>74</v>
      </c>
      <c r="AS362" s="1" t="s">
        <v>74</v>
      </c>
      <c r="AT362" s="1" t="s">
        <v>288</v>
      </c>
      <c r="AU362" s="1">
        <v>2011.0</v>
      </c>
      <c r="AV362" s="1">
        <v>79.0</v>
      </c>
      <c r="AW362" s="1">
        <v>2.0</v>
      </c>
      <c r="AX362" s="1" t="s">
        <v>74</v>
      </c>
      <c r="AY362" s="1" t="s">
        <v>74</v>
      </c>
      <c r="AZ362" s="1" t="s">
        <v>74</v>
      </c>
      <c r="BA362" s="1" t="s">
        <v>74</v>
      </c>
      <c r="BB362" s="1">
        <v>201.0</v>
      </c>
      <c r="BC362" s="1">
        <v>205.0</v>
      </c>
      <c r="BD362" s="1" t="s">
        <v>74</v>
      </c>
      <c r="BE362" s="1" t="s">
        <v>3262</v>
      </c>
      <c r="BF362" s="2" t="str">
        <f>HYPERLINK("http://dx.doi.org/10.1119/1.3531975","http://dx.doi.org/10.1119/1.3531975")</f>
        <v>http://dx.doi.org/10.1119/1.3531975</v>
      </c>
      <c r="BG362" s="1" t="s">
        <v>74</v>
      </c>
      <c r="BH362" s="1" t="s">
        <v>74</v>
      </c>
      <c r="BI362" s="1" t="s">
        <v>74</v>
      </c>
      <c r="BJ362" s="1" t="s">
        <v>74</v>
      </c>
      <c r="BK362" s="1" t="s">
        <v>74</v>
      </c>
      <c r="BL362" s="1" t="s">
        <v>74</v>
      </c>
      <c r="BM362" s="1" t="s">
        <v>74</v>
      </c>
      <c r="BN362" s="1" t="s">
        <v>74</v>
      </c>
      <c r="BO362" s="1" t="s">
        <v>74</v>
      </c>
      <c r="BP362" s="1" t="s">
        <v>74</v>
      </c>
      <c r="BQ362" s="1" t="s">
        <v>74</v>
      </c>
      <c r="BR362" s="1" t="s">
        <v>74</v>
      </c>
      <c r="BS362" s="1" t="s">
        <v>3263</v>
      </c>
      <c r="BT362" s="1" t="str">
        <f>HYPERLINK("https%3A%2F%2Fwww.webofscience.com%2Fwos%2Fwoscc%2Ffull-record%2FWOS:000286519700008","View Full Record in Web of Science")</f>
        <v>View Full Record in Web of Science</v>
      </c>
    </row>
    <row r="363" ht="12.75" customHeight="1">
      <c r="A363" s="1" t="s">
        <v>91</v>
      </c>
      <c r="B363" s="1" t="s">
        <v>3264</v>
      </c>
      <c r="C363" s="1" t="s">
        <v>74</v>
      </c>
      <c r="D363" s="1" t="s">
        <v>3265</v>
      </c>
      <c r="E363" s="1" t="s">
        <v>74</v>
      </c>
      <c r="F363" s="1" t="s">
        <v>3266</v>
      </c>
      <c r="G363" s="1" t="s">
        <v>74</v>
      </c>
      <c r="H363" s="1" t="s">
        <v>74</v>
      </c>
      <c r="I363" s="1" t="s">
        <v>3267</v>
      </c>
      <c r="J363" s="1" t="s">
        <v>3268</v>
      </c>
      <c r="K363" s="1" t="s">
        <v>74</v>
      </c>
      <c r="L363" s="1" t="s">
        <v>74</v>
      </c>
      <c r="M363" s="1" t="s">
        <v>74</v>
      </c>
      <c r="N363" s="1" t="s">
        <v>74</v>
      </c>
      <c r="O363" s="1" t="s">
        <v>3269</v>
      </c>
      <c r="P363" s="1" t="s">
        <v>3270</v>
      </c>
      <c r="Q363" s="1" t="s">
        <v>3271</v>
      </c>
      <c r="R363" s="1" t="s">
        <v>3272</v>
      </c>
      <c r="S363" s="1" t="s">
        <v>3273</v>
      </c>
      <c r="T363" s="1" t="s">
        <v>74</v>
      </c>
      <c r="U363" s="1" t="s">
        <v>74</v>
      </c>
      <c r="V363" s="1" t="s">
        <v>3274</v>
      </c>
      <c r="W363" s="1" t="s">
        <v>74</v>
      </c>
      <c r="X363" s="1" t="s">
        <v>74</v>
      </c>
      <c r="Y363" s="1" t="s">
        <v>74</v>
      </c>
      <c r="Z363" s="1" t="s">
        <v>74</v>
      </c>
      <c r="AA363" s="1" t="s">
        <v>3275</v>
      </c>
      <c r="AB363" s="1" t="s">
        <v>74</v>
      </c>
      <c r="AC363" s="1" t="s">
        <v>74</v>
      </c>
      <c r="AD363" s="1" t="s">
        <v>74</v>
      </c>
      <c r="AE363" s="1" t="s">
        <v>74</v>
      </c>
      <c r="AF363" s="1" t="s">
        <v>74</v>
      </c>
      <c r="AG363" s="1" t="s">
        <v>74</v>
      </c>
      <c r="AH363" s="1" t="s">
        <v>74</v>
      </c>
      <c r="AI363" s="1" t="s">
        <v>74</v>
      </c>
      <c r="AJ363" s="1" t="s">
        <v>74</v>
      </c>
      <c r="AK363" s="1" t="s">
        <v>74</v>
      </c>
      <c r="AL363" s="1" t="s">
        <v>74</v>
      </c>
      <c r="AM363" s="1" t="s">
        <v>74</v>
      </c>
      <c r="AN363" s="1" t="s">
        <v>74</v>
      </c>
      <c r="AO363" s="1" t="s">
        <v>74</v>
      </c>
      <c r="AP363" s="1" t="s">
        <v>74</v>
      </c>
      <c r="AQ363" s="1" t="s">
        <v>3276</v>
      </c>
      <c r="AR363" s="1" t="s">
        <v>74</v>
      </c>
      <c r="AS363" s="1" t="s">
        <v>74</v>
      </c>
      <c r="AT363" s="1" t="s">
        <v>74</v>
      </c>
      <c r="AU363" s="1">
        <v>2011.0</v>
      </c>
      <c r="AV363" s="1" t="s">
        <v>74</v>
      </c>
      <c r="AW363" s="1" t="s">
        <v>74</v>
      </c>
      <c r="AX363" s="1" t="s">
        <v>74</v>
      </c>
      <c r="AY363" s="1" t="s">
        <v>74</v>
      </c>
      <c r="AZ363" s="1" t="s">
        <v>74</v>
      </c>
      <c r="BA363" s="1" t="s">
        <v>74</v>
      </c>
      <c r="BB363" s="1">
        <v>745.0</v>
      </c>
      <c r="BC363" s="1">
        <v>753.0</v>
      </c>
      <c r="BD363" s="1" t="s">
        <v>74</v>
      </c>
      <c r="BE363" s="1" t="s">
        <v>74</v>
      </c>
      <c r="BF363" s="1" t="s">
        <v>74</v>
      </c>
      <c r="BG363" s="1" t="s">
        <v>74</v>
      </c>
      <c r="BH363" s="1" t="s">
        <v>74</v>
      </c>
      <c r="BI363" s="1" t="s">
        <v>74</v>
      </c>
      <c r="BJ363" s="1" t="s">
        <v>74</v>
      </c>
      <c r="BK363" s="1" t="s">
        <v>74</v>
      </c>
      <c r="BL363" s="1" t="s">
        <v>74</v>
      </c>
      <c r="BM363" s="1" t="s">
        <v>74</v>
      </c>
      <c r="BN363" s="1" t="s">
        <v>74</v>
      </c>
      <c r="BO363" s="1" t="s">
        <v>74</v>
      </c>
      <c r="BP363" s="1" t="s">
        <v>74</v>
      </c>
      <c r="BQ363" s="1" t="s">
        <v>74</v>
      </c>
      <c r="BR363" s="1" t="s">
        <v>74</v>
      </c>
      <c r="BS363" s="1" t="s">
        <v>3277</v>
      </c>
      <c r="BT363" s="1" t="str">
        <f>HYPERLINK("https%3A%2F%2Fwww.webofscience.com%2Fwos%2Fwoscc%2Ffull-record%2FWOS:000393815900078","View Full Record in Web of Science")</f>
        <v>View Full Record in Web of Science</v>
      </c>
    </row>
    <row r="364" ht="12.75" customHeight="1">
      <c r="A364" s="1" t="s">
        <v>72</v>
      </c>
      <c r="B364" s="1" t="s">
        <v>3278</v>
      </c>
      <c r="C364" s="1" t="s">
        <v>74</v>
      </c>
      <c r="D364" s="1" t="s">
        <v>74</v>
      </c>
      <c r="E364" s="1" t="s">
        <v>74</v>
      </c>
      <c r="F364" s="1" t="s">
        <v>3279</v>
      </c>
      <c r="G364" s="1" t="s">
        <v>74</v>
      </c>
      <c r="H364" s="1" t="s">
        <v>74</v>
      </c>
      <c r="I364" s="1" t="s">
        <v>3280</v>
      </c>
      <c r="J364" s="1" t="s">
        <v>3281</v>
      </c>
      <c r="K364" s="1" t="s">
        <v>74</v>
      </c>
      <c r="L364" s="1" t="s">
        <v>74</v>
      </c>
      <c r="M364" s="1" t="s">
        <v>74</v>
      </c>
      <c r="N364" s="1" t="s">
        <v>74</v>
      </c>
      <c r="O364" s="1" t="s">
        <v>74</v>
      </c>
      <c r="P364" s="1" t="s">
        <v>74</v>
      </c>
      <c r="Q364" s="1" t="s">
        <v>74</v>
      </c>
      <c r="R364" s="1" t="s">
        <v>74</v>
      </c>
      <c r="S364" s="1" t="s">
        <v>74</v>
      </c>
      <c r="T364" s="1" t="s">
        <v>74</v>
      </c>
      <c r="U364" s="1" t="s">
        <v>74</v>
      </c>
      <c r="V364" s="1" t="s">
        <v>3282</v>
      </c>
      <c r="W364" s="1" t="s">
        <v>74</v>
      </c>
      <c r="X364" s="1" t="s">
        <v>74</v>
      </c>
      <c r="Y364" s="1" t="s">
        <v>74</v>
      </c>
      <c r="Z364" s="1" t="s">
        <v>74</v>
      </c>
      <c r="AA364" s="1" t="s">
        <v>1642</v>
      </c>
      <c r="AB364" s="1" t="s">
        <v>1643</v>
      </c>
      <c r="AC364" s="1" t="s">
        <v>74</v>
      </c>
      <c r="AD364" s="1" t="s">
        <v>74</v>
      </c>
      <c r="AE364" s="1" t="s">
        <v>74</v>
      </c>
      <c r="AF364" s="1" t="s">
        <v>74</v>
      </c>
      <c r="AG364" s="1" t="s">
        <v>74</v>
      </c>
      <c r="AH364" s="1" t="s">
        <v>74</v>
      </c>
      <c r="AI364" s="1" t="s">
        <v>74</v>
      </c>
      <c r="AJ364" s="1" t="s">
        <v>74</v>
      </c>
      <c r="AK364" s="1" t="s">
        <v>74</v>
      </c>
      <c r="AL364" s="1" t="s">
        <v>74</v>
      </c>
      <c r="AM364" s="1" t="s">
        <v>74</v>
      </c>
      <c r="AN364" s="1" t="s">
        <v>74</v>
      </c>
      <c r="AO364" s="1" t="s">
        <v>3283</v>
      </c>
      <c r="AP364" s="1" t="s">
        <v>74</v>
      </c>
      <c r="AQ364" s="1" t="s">
        <v>74</v>
      </c>
      <c r="AR364" s="1" t="s">
        <v>74</v>
      </c>
      <c r="AS364" s="1" t="s">
        <v>74</v>
      </c>
      <c r="AT364" s="1" t="s">
        <v>3284</v>
      </c>
      <c r="AU364" s="1">
        <v>2010.0</v>
      </c>
      <c r="AV364" s="1">
        <v>43.0</v>
      </c>
      <c r="AW364" s="1">
        <v>25.0</v>
      </c>
      <c r="AX364" s="1" t="s">
        <v>74</v>
      </c>
      <c r="AY364" s="1" t="s">
        <v>74</v>
      </c>
      <c r="AZ364" s="1" t="s">
        <v>74</v>
      </c>
      <c r="BA364" s="1" t="s">
        <v>74</v>
      </c>
      <c r="BB364" s="1" t="s">
        <v>74</v>
      </c>
      <c r="BC364" s="1" t="s">
        <v>74</v>
      </c>
      <c r="BD364" s="1">
        <v>255301.0</v>
      </c>
      <c r="BE364" s="1" t="s">
        <v>3285</v>
      </c>
      <c r="BF364" s="2" t="str">
        <f>HYPERLINK("http://dx.doi.org/10.1088/1751-8113/43/25/255301","http://dx.doi.org/10.1088/1751-8113/43/25/255301")</f>
        <v>http://dx.doi.org/10.1088/1751-8113/43/25/255301</v>
      </c>
      <c r="BG364" s="1" t="s">
        <v>74</v>
      </c>
      <c r="BH364" s="1" t="s">
        <v>74</v>
      </c>
      <c r="BI364" s="1" t="s">
        <v>74</v>
      </c>
      <c r="BJ364" s="1" t="s">
        <v>74</v>
      </c>
      <c r="BK364" s="1" t="s">
        <v>74</v>
      </c>
      <c r="BL364" s="1" t="s">
        <v>74</v>
      </c>
      <c r="BM364" s="1" t="s">
        <v>74</v>
      </c>
      <c r="BN364" s="1" t="s">
        <v>74</v>
      </c>
      <c r="BO364" s="1" t="s">
        <v>74</v>
      </c>
      <c r="BP364" s="1" t="s">
        <v>74</v>
      </c>
      <c r="BQ364" s="1" t="s">
        <v>74</v>
      </c>
      <c r="BR364" s="1" t="s">
        <v>74</v>
      </c>
      <c r="BS364" s="1" t="s">
        <v>3286</v>
      </c>
      <c r="BT364" s="1" t="str">
        <f>HYPERLINK("https%3A%2F%2Fwww.webofscience.com%2Fwos%2Fwoscc%2Ffull-record%2FWOS:000278267700010","View Full Record in Web of Science")</f>
        <v>View Full Record in Web of Science</v>
      </c>
    </row>
    <row r="365" ht="12.75" customHeight="1">
      <c r="A365" s="1" t="s">
        <v>91</v>
      </c>
      <c r="B365" s="1" t="s">
        <v>3287</v>
      </c>
      <c r="C365" s="1" t="s">
        <v>74</v>
      </c>
      <c r="D365" s="1" t="s">
        <v>3288</v>
      </c>
      <c r="E365" s="1" t="s">
        <v>74</v>
      </c>
      <c r="F365" s="1" t="s">
        <v>3289</v>
      </c>
      <c r="G365" s="1" t="s">
        <v>74</v>
      </c>
      <c r="H365" s="1" t="s">
        <v>74</v>
      </c>
      <c r="I365" s="1" t="s">
        <v>3290</v>
      </c>
      <c r="J365" s="1" t="s">
        <v>3291</v>
      </c>
      <c r="K365" s="1" t="s">
        <v>3292</v>
      </c>
      <c r="L365" s="1" t="s">
        <v>74</v>
      </c>
      <c r="M365" s="1" t="s">
        <v>74</v>
      </c>
      <c r="N365" s="1" t="s">
        <v>74</v>
      </c>
      <c r="O365" s="1" t="s">
        <v>3293</v>
      </c>
      <c r="P365" s="1" t="s">
        <v>3294</v>
      </c>
      <c r="Q365" s="1" t="s">
        <v>3295</v>
      </c>
      <c r="R365" s="1" t="s">
        <v>3296</v>
      </c>
      <c r="S365" s="1" t="s">
        <v>74</v>
      </c>
      <c r="T365" s="1" t="s">
        <v>74</v>
      </c>
      <c r="U365" s="1" t="s">
        <v>74</v>
      </c>
      <c r="V365" s="1" t="s">
        <v>3297</v>
      </c>
      <c r="W365" s="1" t="s">
        <v>74</v>
      </c>
      <c r="X365" s="1" t="s">
        <v>74</v>
      </c>
      <c r="Y365" s="1" t="s">
        <v>74</v>
      </c>
      <c r="Z365" s="1" t="s">
        <v>74</v>
      </c>
      <c r="AA365" s="1" t="s">
        <v>3298</v>
      </c>
      <c r="AB365" s="1" t="s">
        <v>74</v>
      </c>
      <c r="AC365" s="1" t="s">
        <v>74</v>
      </c>
      <c r="AD365" s="1" t="s">
        <v>74</v>
      </c>
      <c r="AE365" s="1" t="s">
        <v>74</v>
      </c>
      <c r="AF365" s="1" t="s">
        <v>74</v>
      </c>
      <c r="AG365" s="1" t="s">
        <v>74</v>
      </c>
      <c r="AH365" s="1" t="s">
        <v>74</v>
      </c>
      <c r="AI365" s="1" t="s">
        <v>74</v>
      </c>
      <c r="AJ365" s="1" t="s">
        <v>74</v>
      </c>
      <c r="AK365" s="1" t="s">
        <v>74</v>
      </c>
      <c r="AL365" s="1" t="s">
        <v>74</v>
      </c>
      <c r="AM365" s="1" t="s">
        <v>74</v>
      </c>
      <c r="AN365" s="1" t="s">
        <v>74</v>
      </c>
      <c r="AO365" s="1" t="s">
        <v>3299</v>
      </c>
      <c r="AP365" s="1" t="s">
        <v>74</v>
      </c>
      <c r="AQ365" s="1" t="s">
        <v>3300</v>
      </c>
      <c r="AR365" s="1" t="s">
        <v>74</v>
      </c>
      <c r="AS365" s="1" t="s">
        <v>74</v>
      </c>
      <c r="AT365" s="1" t="s">
        <v>74</v>
      </c>
      <c r="AU365" s="1">
        <v>2009.0</v>
      </c>
      <c r="AV365" s="1" t="s">
        <v>74</v>
      </c>
      <c r="AW365" s="1" t="s">
        <v>74</v>
      </c>
      <c r="AX365" s="1" t="s">
        <v>74</v>
      </c>
      <c r="AY365" s="1" t="s">
        <v>74</v>
      </c>
      <c r="AZ365" s="1" t="s">
        <v>74</v>
      </c>
      <c r="BA365" s="1" t="s">
        <v>74</v>
      </c>
      <c r="BB365" s="1">
        <v>114.0</v>
      </c>
      <c r="BC365" s="1">
        <v>119.0</v>
      </c>
      <c r="BD365" s="1" t="s">
        <v>74</v>
      </c>
      <c r="BE365" s="1" t="s">
        <v>74</v>
      </c>
      <c r="BF365" s="1" t="s">
        <v>74</v>
      </c>
      <c r="BG365" s="1" t="s">
        <v>74</v>
      </c>
      <c r="BH365" s="1" t="s">
        <v>74</v>
      </c>
      <c r="BI365" s="1" t="s">
        <v>74</v>
      </c>
      <c r="BJ365" s="1" t="s">
        <v>74</v>
      </c>
      <c r="BK365" s="1" t="s">
        <v>74</v>
      </c>
      <c r="BL365" s="1" t="s">
        <v>74</v>
      </c>
      <c r="BM365" s="1" t="s">
        <v>74</v>
      </c>
      <c r="BN365" s="1" t="s">
        <v>74</v>
      </c>
      <c r="BO365" s="1" t="s">
        <v>74</v>
      </c>
      <c r="BP365" s="1" t="s">
        <v>74</v>
      </c>
      <c r="BQ365" s="1" t="s">
        <v>74</v>
      </c>
      <c r="BR365" s="1" t="s">
        <v>74</v>
      </c>
      <c r="BS365" s="1" t="s">
        <v>3301</v>
      </c>
      <c r="BT365" s="1" t="str">
        <f>HYPERLINK("https%3A%2F%2Fwww.webofscience.com%2Fwos%2Fwoscc%2Ffull-record%2FWOS:000276594500019","View Full Record in Web of Science")</f>
        <v>View Full Record in Web of Science</v>
      </c>
    </row>
    <row r="366" ht="12.75" customHeight="1">
      <c r="A366" s="1" t="s">
        <v>72</v>
      </c>
      <c r="B366" s="1" t="s">
        <v>3302</v>
      </c>
      <c r="C366" s="1" t="s">
        <v>74</v>
      </c>
      <c r="D366" s="1" t="s">
        <v>74</v>
      </c>
      <c r="E366" s="1" t="s">
        <v>74</v>
      </c>
      <c r="F366" s="1" t="s">
        <v>3303</v>
      </c>
      <c r="G366" s="1" t="s">
        <v>74</v>
      </c>
      <c r="H366" s="1" t="s">
        <v>74</v>
      </c>
      <c r="I366" s="1" t="s">
        <v>3304</v>
      </c>
      <c r="J366" s="1" t="s">
        <v>3305</v>
      </c>
      <c r="K366" s="1" t="s">
        <v>74</v>
      </c>
      <c r="L366" s="1" t="s">
        <v>74</v>
      </c>
      <c r="M366" s="1" t="s">
        <v>74</v>
      </c>
      <c r="N366" s="1" t="s">
        <v>74</v>
      </c>
      <c r="O366" s="1" t="s">
        <v>3306</v>
      </c>
      <c r="P366" s="1" t="s">
        <v>3307</v>
      </c>
      <c r="Q366" s="1" t="s">
        <v>3308</v>
      </c>
      <c r="R366" s="1" t="s">
        <v>74</v>
      </c>
      <c r="S366" s="1" t="s">
        <v>74</v>
      </c>
      <c r="T366" s="1" t="s">
        <v>74</v>
      </c>
      <c r="U366" s="1" t="s">
        <v>74</v>
      </c>
      <c r="V366" s="1" t="s">
        <v>3309</v>
      </c>
      <c r="W366" s="1" t="s">
        <v>74</v>
      </c>
      <c r="X366" s="1" t="s">
        <v>74</v>
      </c>
      <c r="Y366" s="1" t="s">
        <v>74</v>
      </c>
      <c r="Z366" s="1" t="s">
        <v>74</v>
      </c>
      <c r="AA366" s="1" t="s">
        <v>3310</v>
      </c>
      <c r="AB366" s="1" t="s">
        <v>3311</v>
      </c>
      <c r="AC366" s="1" t="s">
        <v>74</v>
      </c>
      <c r="AD366" s="1" t="s">
        <v>74</v>
      </c>
      <c r="AE366" s="1" t="s">
        <v>74</v>
      </c>
      <c r="AF366" s="1" t="s">
        <v>74</v>
      </c>
      <c r="AG366" s="1" t="s">
        <v>74</v>
      </c>
      <c r="AH366" s="1" t="s">
        <v>74</v>
      </c>
      <c r="AI366" s="1" t="s">
        <v>74</v>
      </c>
      <c r="AJ366" s="1" t="s">
        <v>74</v>
      </c>
      <c r="AK366" s="1" t="s">
        <v>74</v>
      </c>
      <c r="AL366" s="1" t="s">
        <v>74</v>
      </c>
      <c r="AM366" s="1" t="s">
        <v>74</v>
      </c>
      <c r="AN366" s="1" t="s">
        <v>74</v>
      </c>
      <c r="AO366" s="1" t="s">
        <v>3312</v>
      </c>
      <c r="AP366" s="1" t="s">
        <v>3313</v>
      </c>
      <c r="AQ366" s="1" t="s">
        <v>74</v>
      </c>
      <c r="AR366" s="1" t="s">
        <v>74</v>
      </c>
      <c r="AS366" s="1" t="s">
        <v>74</v>
      </c>
      <c r="AT366" s="1" t="s">
        <v>3314</v>
      </c>
      <c r="AU366" s="1">
        <v>2008.0</v>
      </c>
      <c r="AV366" s="1">
        <v>108.0</v>
      </c>
      <c r="AW366" s="1">
        <v>13.0</v>
      </c>
      <c r="AX366" s="1" t="s">
        <v>74</v>
      </c>
      <c r="AY366" s="1" t="s">
        <v>74</v>
      </c>
      <c r="AZ366" s="1" t="s">
        <v>564</v>
      </c>
      <c r="BA366" s="1" t="s">
        <v>74</v>
      </c>
      <c r="BB366" s="1">
        <v>2586.0</v>
      </c>
      <c r="BC366" s="1">
        <v>2594.0</v>
      </c>
      <c r="BD366" s="1" t="s">
        <v>74</v>
      </c>
      <c r="BE366" s="1" t="s">
        <v>3315</v>
      </c>
      <c r="BF366" s="2" t="str">
        <f>HYPERLINK("http://dx.doi.org/10.1002/qua.21732","http://dx.doi.org/10.1002/qua.21732")</f>
        <v>http://dx.doi.org/10.1002/qua.21732</v>
      </c>
      <c r="BG366" s="1" t="s">
        <v>74</v>
      </c>
      <c r="BH366" s="1" t="s">
        <v>74</v>
      </c>
      <c r="BI366" s="1" t="s">
        <v>74</v>
      </c>
      <c r="BJ366" s="1" t="s">
        <v>74</v>
      </c>
      <c r="BK366" s="1" t="s">
        <v>74</v>
      </c>
      <c r="BL366" s="1" t="s">
        <v>74</v>
      </c>
      <c r="BM366" s="1" t="s">
        <v>74</v>
      </c>
      <c r="BN366" s="1" t="s">
        <v>74</v>
      </c>
      <c r="BO366" s="1" t="s">
        <v>74</v>
      </c>
      <c r="BP366" s="1" t="s">
        <v>74</v>
      </c>
      <c r="BQ366" s="1" t="s">
        <v>74</v>
      </c>
      <c r="BR366" s="1" t="s">
        <v>74</v>
      </c>
      <c r="BS366" s="1" t="s">
        <v>3316</v>
      </c>
      <c r="BT366" s="1" t="str">
        <f>HYPERLINK("https%3A%2F%2Fwww.webofscience.com%2Fwos%2Fwoscc%2Ffull-record%2FWOS:000259708300035","View Full Record in Web of Science")</f>
        <v>View Full Record in Web of Science</v>
      </c>
    </row>
    <row r="367" ht="12.75" customHeight="1">
      <c r="A367" s="1" t="s">
        <v>72</v>
      </c>
      <c r="B367" s="1" t="s">
        <v>474</v>
      </c>
      <c r="C367" s="1" t="s">
        <v>74</v>
      </c>
      <c r="D367" s="1" t="s">
        <v>74</v>
      </c>
      <c r="E367" s="1" t="s">
        <v>74</v>
      </c>
      <c r="F367" s="1" t="s">
        <v>475</v>
      </c>
      <c r="G367" s="1" t="s">
        <v>74</v>
      </c>
      <c r="H367" s="1" t="s">
        <v>74</v>
      </c>
      <c r="I367" s="1" t="s">
        <v>3317</v>
      </c>
      <c r="J367" s="1" t="s">
        <v>477</v>
      </c>
      <c r="K367" s="1" t="s">
        <v>74</v>
      </c>
      <c r="L367" s="1" t="s">
        <v>74</v>
      </c>
      <c r="M367" s="1" t="s">
        <v>74</v>
      </c>
      <c r="N367" s="1" t="s">
        <v>74</v>
      </c>
      <c r="O367" s="1" t="s">
        <v>74</v>
      </c>
      <c r="P367" s="1" t="s">
        <v>74</v>
      </c>
      <c r="Q367" s="1" t="s">
        <v>74</v>
      </c>
      <c r="R367" s="1" t="s">
        <v>74</v>
      </c>
      <c r="S367" s="1" t="s">
        <v>74</v>
      </c>
      <c r="T367" s="1" t="s">
        <v>74</v>
      </c>
      <c r="U367" s="1" t="s">
        <v>74</v>
      </c>
      <c r="V367" s="1" t="s">
        <v>74</v>
      </c>
      <c r="W367" s="1" t="s">
        <v>74</v>
      </c>
      <c r="X367" s="1" t="s">
        <v>74</v>
      </c>
      <c r="Y367" s="1" t="s">
        <v>74</v>
      </c>
      <c r="Z367" s="1" t="s">
        <v>74</v>
      </c>
      <c r="AA367" s="1" t="s">
        <v>74</v>
      </c>
      <c r="AB367" s="1" t="s">
        <v>74</v>
      </c>
      <c r="AC367" s="1" t="s">
        <v>74</v>
      </c>
      <c r="AD367" s="1" t="s">
        <v>74</v>
      </c>
      <c r="AE367" s="1" t="s">
        <v>74</v>
      </c>
      <c r="AF367" s="1" t="s">
        <v>74</v>
      </c>
      <c r="AG367" s="1" t="s">
        <v>74</v>
      </c>
      <c r="AH367" s="1" t="s">
        <v>74</v>
      </c>
      <c r="AI367" s="1" t="s">
        <v>74</v>
      </c>
      <c r="AJ367" s="1" t="s">
        <v>74</v>
      </c>
      <c r="AK367" s="1" t="s">
        <v>74</v>
      </c>
      <c r="AL367" s="1" t="s">
        <v>74</v>
      </c>
      <c r="AM367" s="1" t="s">
        <v>74</v>
      </c>
      <c r="AN367" s="1" t="s">
        <v>74</v>
      </c>
      <c r="AO367" s="1" t="s">
        <v>3318</v>
      </c>
      <c r="AP367" s="1" t="s">
        <v>74</v>
      </c>
      <c r="AQ367" s="1" t="s">
        <v>74</v>
      </c>
      <c r="AR367" s="1" t="s">
        <v>74</v>
      </c>
      <c r="AS367" s="1" t="s">
        <v>74</v>
      </c>
      <c r="AT367" s="1" t="s">
        <v>205</v>
      </c>
      <c r="AU367" s="1">
        <v>2008.0</v>
      </c>
      <c r="AV367" s="1" t="s">
        <v>74</v>
      </c>
      <c r="AW367" s="1">
        <v>73.0</v>
      </c>
      <c r="AX367" s="1" t="s">
        <v>74</v>
      </c>
      <c r="AY367" s="1" t="s">
        <v>74</v>
      </c>
      <c r="AZ367" s="1" t="s">
        <v>74</v>
      </c>
      <c r="BA367" s="1" t="s">
        <v>74</v>
      </c>
      <c r="BB367" s="1">
        <v>253.0</v>
      </c>
      <c r="BC367" s="1">
        <v>257.0</v>
      </c>
      <c r="BD367" s="1" t="s">
        <v>74</v>
      </c>
      <c r="BE367" s="1" t="s">
        <v>74</v>
      </c>
      <c r="BF367" s="1" t="s">
        <v>74</v>
      </c>
      <c r="BG367" s="1" t="s">
        <v>74</v>
      </c>
      <c r="BH367" s="1" t="s">
        <v>74</v>
      </c>
      <c r="BI367" s="1" t="s">
        <v>74</v>
      </c>
      <c r="BJ367" s="1" t="s">
        <v>74</v>
      </c>
      <c r="BK367" s="1" t="s">
        <v>74</v>
      </c>
      <c r="BL367" s="1" t="s">
        <v>74</v>
      </c>
      <c r="BM367" s="1" t="s">
        <v>74</v>
      </c>
      <c r="BN367" s="1" t="s">
        <v>74</v>
      </c>
      <c r="BO367" s="1" t="s">
        <v>74</v>
      </c>
      <c r="BP367" s="1" t="s">
        <v>74</v>
      </c>
      <c r="BQ367" s="1" t="s">
        <v>74</v>
      </c>
      <c r="BR367" s="1" t="s">
        <v>74</v>
      </c>
      <c r="BS367" s="1" t="s">
        <v>3319</v>
      </c>
      <c r="BT367" s="1" t="str">
        <f>HYPERLINK("https%3A%2F%2Fwww.webofscience.com%2Fwos%2Fwoscc%2Ffull-record%2FWOS:000272722400013","View Full Record in Web of Science")</f>
        <v>View Full Record in Web of Science</v>
      </c>
    </row>
    <row r="368" ht="12.75" customHeight="1">
      <c r="A368" s="1" t="s">
        <v>72</v>
      </c>
      <c r="B368" s="1" t="s">
        <v>3320</v>
      </c>
      <c r="C368" s="1" t="s">
        <v>74</v>
      </c>
      <c r="D368" s="1" t="s">
        <v>74</v>
      </c>
      <c r="E368" s="1" t="s">
        <v>74</v>
      </c>
      <c r="F368" s="1" t="s">
        <v>3321</v>
      </c>
      <c r="G368" s="1" t="s">
        <v>74</v>
      </c>
      <c r="H368" s="1" t="s">
        <v>74</v>
      </c>
      <c r="I368" s="1" t="s">
        <v>3322</v>
      </c>
      <c r="J368" s="1" t="s">
        <v>1809</v>
      </c>
      <c r="K368" s="1" t="s">
        <v>74</v>
      </c>
      <c r="L368" s="1" t="s">
        <v>74</v>
      </c>
      <c r="M368" s="1" t="s">
        <v>74</v>
      </c>
      <c r="N368" s="1" t="s">
        <v>74</v>
      </c>
      <c r="O368" s="1" t="s">
        <v>74</v>
      </c>
      <c r="P368" s="1" t="s">
        <v>74</v>
      </c>
      <c r="Q368" s="1" t="s">
        <v>74</v>
      </c>
      <c r="R368" s="1" t="s">
        <v>74</v>
      </c>
      <c r="S368" s="1" t="s">
        <v>74</v>
      </c>
      <c r="T368" s="1" t="s">
        <v>74</v>
      </c>
      <c r="U368" s="1" t="s">
        <v>74</v>
      </c>
      <c r="V368" s="1" t="s">
        <v>3323</v>
      </c>
      <c r="W368" s="1" t="s">
        <v>74</v>
      </c>
      <c r="X368" s="1" t="s">
        <v>74</v>
      </c>
      <c r="Y368" s="1" t="s">
        <v>74</v>
      </c>
      <c r="Z368" s="1" t="s">
        <v>74</v>
      </c>
      <c r="AA368" s="1" t="s">
        <v>74</v>
      </c>
      <c r="AB368" s="1" t="s">
        <v>3324</v>
      </c>
      <c r="AC368" s="1" t="s">
        <v>74</v>
      </c>
      <c r="AD368" s="1" t="s">
        <v>74</v>
      </c>
      <c r="AE368" s="1" t="s">
        <v>74</v>
      </c>
      <c r="AF368" s="1" t="s">
        <v>74</v>
      </c>
      <c r="AG368" s="1" t="s">
        <v>74</v>
      </c>
      <c r="AH368" s="1" t="s">
        <v>74</v>
      </c>
      <c r="AI368" s="1" t="s">
        <v>74</v>
      </c>
      <c r="AJ368" s="1" t="s">
        <v>74</v>
      </c>
      <c r="AK368" s="1" t="s">
        <v>74</v>
      </c>
      <c r="AL368" s="1" t="s">
        <v>74</v>
      </c>
      <c r="AM368" s="1" t="s">
        <v>74</v>
      </c>
      <c r="AN368" s="1" t="s">
        <v>74</v>
      </c>
      <c r="AO368" s="1" t="s">
        <v>1813</v>
      </c>
      <c r="AP368" s="1" t="s">
        <v>1814</v>
      </c>
      <c r="AQ368" s="1" t="s">
        <v>74</v>
      </c>
      <c r="AR368" s="1" t="s">
        <v>74</v>
      </c>
      <c r="AS368" s="1" t="s">
        <v>74</v>
      </c>
      <c r="AT368" s="1" t="s">
        <v>288</v>
      </c>
      <c r="AU368" s="1">
        <v>2007.0</v>
      </c>
      <c r="AV368" s="1">
        <v>19.0</v>
      </c>
      <c r="AW368" s="1">
        <v>1.0</v>
      </c>
      <c r="AX368" s="1" t="s">
        <v>74</v>
      </c>
      <c r="AY368" s="1" t="s">
        <v>74</v>
      </c>
      <c r="AZ368" s="1" t="s">
        <v>74</v>
      </c>
      <c r="BA368" s="1" t="s">
        <v>74</v>
      </c>
      <c r="BB368" s="1">
        <v>79.0</v>
      </c>
      <c r="BC368" s="1">
        <v>88.0</v>
      </c>
      <c r="BD368" s="1" t="s">
        <v>74</v>
      </c>
      <c r="BE368" s="1" t="s">
        <v>3325</v>
      </c>
      <c r="BF368" s="2" t="str">
        <f>HYPERLINK("http://dx.doi.org/10.1007/s10811-006-9114-y","http://dx.doi.org/10.1007/s10811-006-9114-y")</f>
        <v>http://dx.doi.org/10.1007/s10811-006-9114-y</v>
      </c>
      <c r="BG368" s="1" t="s">
        <v>74</v>
      </c>
      <c r="BH368" s="1" t="s">
        <v>74</v>
      </c>
      <c r="BI368" s="1" t="s">
        <v>74</v>
      </c>
      <c r="BJ368" s="1" t="s">
        <v>74</v>
      </c>
      <c r="BK368" s="1" t="s">
        <v>74</v>
      </c>
      <c r="BL368" s="1" t="s">
        <v>74</v>
      </c>
      <c r="BM368" s="1" t="s">
        <v>74</v>
      </c>
      <c r="BN368" s="1" t="s">
        <v>74</v>
      </c>
      <c r="BO368" s="1" t="s">
        <v>74</v>
      </c>
      <c r="BP368" s="1" t="s">
        <v>74</v>
      </c>
      <c r="BQ368" s="1" t="s">
        <v>74</v>
      </c>
      <c r="BR368" s="1" t="s">
        <v>74</v>
      </c>
      <c r="BS368" s="1" t="s">
        <v>3326</v>
      </c>
      <c r="BT368" s="1" t="str">
        <f>HYPERLINK("https%3A%2F%2Fwww.webofscience.com%2Fwos%2Fwoscc%2Ffull-record%2FWOS:000244689300009","View Full Record in Web of Science")</f>
        <v>View Full Record in Web of Science</v>
      </c>
    </row>
    <row r="369" ht="12.75" customHeight="1">
      <c r="A369" s="1" t="s">
        <v>91</v>
      </c>
      <c r="B369" s="1" t="s">
        <v>3327</v>
      </c>
      <c r="C369" s="1" t="s">
        <v>74</v>
      </c>
      <c r="D369" s="1" t="s">
        <v>3328</v>
      </c>
      <c r="E369" s="1" t="s">
        <v>74</v>
      </c>
      <c r="F369" s="1" t="s">
        <v>3329</v>
      </c>
      <c r="G369" s="1" t="s">
        <v>74</v>
      </c>
      <c r="H369" s="1" t="s">
        <v>74</v>
      </c>
      <c r="I369" s="1" t="s">
        <v>3330</v>
      </c>
      <c r="J369" s="1" t="s">
        <v>3331</v>
      </c>
      <c r="K369" s="1" t="s">
        <v>1638</v>
      </c>
      <c r="L369" s="1" t="s">
        <v>74</v>
      </c>
      <c r="M369" s="1" t="s">
        <v>74</v>
      </c>
      <c r="N369" s="1" t="s">
        <v>74</v>
      </c>
      <c r="O369" s="1" t="s">
        <v>3332</v>
      </c>
      <c r="P369" s="1" t="s">
        <v>3333</v>
      </c>
      <c r="Q369" s="1" t="s">
        <v>3334</v>
      </c>
      <c r="R369" s="1" t="s">
        <v>3335</v>
      </c>
      <c r="S369" s="1" t="s">
        <v>74</v>
      </c>
      <c r="T369" s="1" t="s">
        <v>74</v>
      </c>
      <c r="U369" s="1" t="s">
        <v>74</v>
      </c>
      <c r="V369" s="1" t="s">
        <v>3336</v>
      </c>
      <c r="W369" s="1" t="s">
        <v>74</v>
      </c>
      <c r="X369" s="1" t="s">
        <v>74</v>
      </c>
      <c r="Y369" s="1" t="s">
        <v>74</v>
      </c>
      <c r="Z369" s="1" t="s">
        <v>74</v>
      </c>
      <c r="AA369" s="1" t="s">
        <v>3337</v>
      </c>
      <c r="AB369" s="1" t="s">
        <v>3338</v>
      </c>
      <c r="AC369" s="1" t="s">
        <v>74</v>
      </c>
      <c r="AD369" s="1" t="s">
        <v>74</v>
      </c>
      <c r="AE369" s="1" t="s">
        <v>74</v>
      </c>
      <c r="AF369" s="1" t="s">
        <v>74</v>
      </c>
      <c r="AG369" s="1" t="s">
        <v>74</v>
      </c>
      <c r="AH369" s="1" t="s">
        <v>74</v>
      </c>
      <c r="AI369" s="1" t="s">
        <v>74</v>
      </c>
      <c r="AJ369" s="1" t="s">
        <v>74</v>
      </c>
      <c r="AK369" s="1" t="s">
        <v>74</v>
      </c>
      <c r="AL369" s="1" t="s">
        <v>74</v>
      </c>
      <c r="AM369" s="1" t="s">
        <v>74</v>
      </c>
      <c r="AN369" s="1" t="s">
        <v>74</v>
      </c>
      <c r="AO369" s="1" t="s">
        <v>1644</v>
      </c>
      <c r="AP369" s="1" t="s">
        <v>74</v>
      </c>
      <c r="AQ369" s="1" t="s">
        <v>74</v>
      </c>
      <c r="AR369" s="1" t="s">
        <v>74</v>
      </c>
      <c r="AS369" s="1" t="s">
        <v>74</v>
      </c>
      <c r="AT369" s="1" t="s">
        <v>74</v>
      </c>
      <c r="AU369" s="1">
        <v>2007.0</v>
      </c>
      <c r="AV369" s="1">
        <v>84.0</v>
      </c>
      <c r="AW369" s="1" t="s">
        <v>74</v>
      </c>
      <c r="AX369" s="1" t="s">
        <v>74</v>
      </c>
      <c r="AY369" s="1" t="s">
        <v>74</v>
      </c>
      <c r="AZ369" s="1" t="s">
        <v>74</v>
      </c>
      <c r="BA369" s="1" t="s">
        <v>74</v>
      </c>
      <c r="BB369" s="1" t="s">
        <v>74</v>
      </c>
      <c r="BC369" s="1" t="s">
        <v>74</v>
      </c>
      <c r="BD369" s="1">
        <v>12013.0</v>
      </c>
      <c r="BE369" s="1" t="s">
        <v>3339</v>
      </c>
      <c r="BF369" s="2" t="str">
        <f>HYPERLINK("http://dx.doi.org/10.1088/1742-6596/84/1/012013","http://dx.doi.org/10.1088/1742-6596/84/1/012013")</f>
        <v>http://dx.doi.org/10.1088/1742-6596/84/1/012013</v>
      </c>
      <c r="BG369" s="1" t="s">
        <v>74</v>
      </c>
      <c r="BH369" s="1" t="s">
        <v>74</v>
      </c>
      <c r="BI369" s="1" t="s">
        <v>74</v>
      </c>
      <c r="BJ369" s="1" t="s">
        <v>74</v>
      </c>
      <c r="BK369" s="1" t="s">
        <v>74</v>
      </c>
      <c r="BL369" s="1" t="s">
        <v>74</v>
      </c>
      <c r="BM369" s="1" t="s">
        <v>74</v>
      </c>
      <c r="BN369" s="1" t="s">
        <v>74</v>
      </c>
      <c r="BO369" s="1" t="s">
        <v>74</v>
      </c>
      <c r="BP369" s="1" t="s">
        <v>74</v>
      </c>
      <c r="BQ369" s="1" t="s">
        <v>74</v>
      </c>
      <c r="BR369" s="1" t="s">
        <v>74</v>
      </c>
      <c r="BS369" s="1" t="s">
        <v>3340</v>
      </c>
      <c r="BT369" s="1" t="str">
        <f>HYPERLINK("https%3A%2F%2Fwww.webofscience.com%2Fwos%2Fwoscc%2Ffull-record%2FWOS:000295087600013","View Full Record in Web of Science")</f>
        <v>View Full Record in Web of Science</v>
      </c>
    </row>
    <row r="370" ht="12.75" customHeight="1">
      <c r="A370" s="1" t="s">
        <v>72</v>
      </c>
      <c r="B370" s="1" t="s">
        <v>3341</v>
      </c>
      <c r="C370" s="1" t="s">
        <v>74</v>
      </c>
      <c r="D370" s="1" t="s">
        <v>74</v>
      </c>
      <c r="E370" s="1" t="s">
        <v>74</v>
      </c>
      <c r="F370" s="1" t="s">
        <v>3341</v>
      </c>
      <c r="G370" s="1" t="s">
        <v>74</v>
      </c>
      <c r="H370" s="1" t="s">
        <v>74</v>
      </c>
      <c r="I370" s="1" t="s">
        <v>3342</v>
      </c>
      <c r="J370" s="1" t="s">
        <v>3343</v>
      </c>
      <c r="K370" s="1" t="s">
        <v>74</v>
      </c>
      <c r="L370" s="1" t="s">
        <v>74</v>
      </c>
      <c r="M370" s="1" t="s">
        <v>74</v>
      </c>
      <c r="N370" s="1" t="s">
        <v>74</v>
      </c>
      <c r="O370" s="1" t="s">
        <v>74</v>
      </c>
      <c r="P370" s="1" t="s">
        <v>74</v>
      </c>
      <c r="Q370" s="1" t="s">
        <v>74</v>
      </c>
      <c r="R370" s="1" t="s">
        <v>74</v>
      </c>
      <c r="S370" s="1" t="s">
        <v>74</v>
      </c>
      <c r="T370" s="1" t="s">
        <v>74</v>
      </c>
      <c r="U370" s="1" t="s">
        <v>74</v>
      </c>
      <c r="V370" s="1" t="s">
        <v>3344</v>
      </c>
      <c r="W370" s="1" t="s">
        <v>74</v>
      </c>
      <c r="X370" s="1" t="s">
        <v>74</v>
      </c>
      <c r="Y370" s="1" t="s">
        <v>74</v>
      </c>
      <c r="Z370" s="1" t="s">
        <v>74</v>
      </c>
      <c r="AA370" s="1" t="s">
        <v>3345</v>
      </c>
      <c r="AB370" s="1" t="s">
        <v>3346</v>
      </c>
      <c r="AC370" s="1" t="s">
        <v>74</v>
      </c>
      <c r="AD370" s="1" t="s">
        <v>74</v>
      </c>
      <c r="AE370" s="1" t="s">
        <v>74</v>
      </c>
      <c r="AF370" s="1" t="s">
        <v>74</v>
      </c>
      <c r="AG370" s="1" t="s">
        <v>74</v>
      </c>
      <c r="AH370" s="1" t="s">
        <v>74</v>
      </c>
      <c r="AI370" s="1" t="s">
        <v>74</v>
      </c>
      <c r="AJ370" s="1" t="s">
        <v>74</v>
      </c>
      <c r="AK370" s="1" t="s">
        <v>74</v>
      </c>
      <c r="AL370" s="1" t="s">
        <v>74</v>
      </c>
      <c r="AM370" s="1" t="s">
        <v>74</v>
      </c>
      <c r="AN370" s="1" t="s">
        <v>74</v>
      </c>
      <c r="AO370" s="1" t="s">
        <v>3347</v>
      </c>
      <c r="AP370" s="1" t="s">
        <v>3348</v>
      </c>
      <c r="AQ370" s="1" t="s">
        <v>74</v>
      </c>
      <c r="AR370" s="1" t="s">
        <v>74</v>
      </c>
      <c r="AS370" s="1" t="s">
        <v>74</v>
      </c>
      <c r="AT370" s="1" t="s">
        <v>347</v>
      </c>
      <c r="AU370" s="1">
        <v>2006.0</v>
      </c>
      <c r="AV370" s="1">
        <v>37.0</v>
      </c>
      <c r="AW370" s="1">
        <v>2.0</v>
      </c>
      <c r="AX370" s="1" t="s">
        <v>74</v>
      </c>
      <c r="AY370" s="1" t="s">
        <v>74</v>
      </c>
      <c r="AZ370" s="1" t="s">
        <v>74</v>
      </c>
      <c r="BA370" s="1" t="s">
        <v>74</v>
      </c>
      <c r="BB370" s="1">
        <v>253.0</v>
      </c>
      <c r="BC370" s="1">
        <v>264.0</v>
      </c>
      <c r="BD370" s="1" t="s">
        <v>74</v>
      </c>
      <c r="BE370" s="1" t="s">
        <v>3349</v>
      </c>
      <c r="BF370" s="2" t="str">
        <f>HYPERLINK("http://dx.doi.org/10.1007/BF02693155","http://dx.doi.org/10.1007/BF02693155")</f>
        <v>http://dx.doi.org/10.1007/BF02693155</v>
      </c>
      <c r="BG370" s="1" t="s">
        <v>74</v>
      </c>
      <c r="BH370" s="1" t="s">
        <v>74</v>
      </c>
      <c r="BI370" s="1" t="s">
        <v>74</v>
      </c>
      <c r="BJ370" s="1" t="s">
        <v>74</v>
      </c>
      <c r="BK370" s="1" t="s">
        <v>74</v>
      </c>
      <c r="BL370" s="1" t="s">
        <v>74</v>
      </c>
      <c r="BM370" s="1" t="s">
        <v>74</v>
      </c>
      <c r="BN370" s="1" t="s">
        <v>74</v>
      </c>
      <c r="BO370" s="1" t="s">
        <v>74</v>
      </c>
      <c r="BP370" s="1" t="s">
        <v>74</v>
      </c>
      <c r="BQ370" s="1" t="s">
        <v>74</v>
      </c>
      <c r="BR370" s="1" t="s">
        <v>74</v>
      </c>
      <c r="BS370" s="1" t="s">
        <v>3350</v>
      </c>
      <c r="BT370" s="1" t="str">
        <f>HYPERLINK("https%3A%2F%2Fwww.webofscience.com%2Fwos%2Fwoscc%2Ffull-record%2FWOS:000236750000012","View Full Record in Web of Science")</f>
        <v>View Full Record in Web of Science</v>
      </c>
    </row>
    <row r="371" ht="12.75" customHeight="1">
      <c r="A371" s="1" t="s">
        <v>72</v>
      </c>
      <c r="B371" s="1" t="s">
        <v>3351</v>
      </c>
      <c r="C371" s="1" t="s">
        <v>74</v>
      </c>
      <c r="D371" s="1" t="s">
        <v>74</v>
      </c>
      <c r="E371" s="1" t="s">
        <v>74</v>
      </c>
      <c r="F371" s="1" t="s">
        <v>3351</v>
      </c>
      <c r="G371" s="1" t="s">
        <v>74</v>
      </c>
      <c r="H371" s="1" t="s">
        <v>74</v>
      </c>
      <c r="I371" s="1" t="s">
        <v>3352</v>
      </c>
      <c r="J371" s="1" t="s">
        <v>3353</v>
      </c>
      <c r="K371" s="1" t="s">
        <v>74</v>
      </c>
      <c r="L371" s="1" t="s">
        <v>74</v>
      </c>
      <c r="M371" s="1" t="s">
        <v>74</v>
      </c>
      <c r="N371" s="1" t="s">
        <v>74</v>
      </c>
      <c r="O371" s="1" t="s">
        <v>74</v>
      </c>
      <c r="P371" s="1" t="s">
        <v>74</v>
      </c>
      <c r="Q371" s="1" t="s">
        <v>74</v>
      </c>
      <c r="R371" s="1" t="s">
        <v>74</v>
      </c>
      <c r="S371" s="1" t="s">
        <v>74</v>
      </c>
      <c r="T371" s="1" t="s">
        <v>74</v>
      </c>
      <c r="U371" s="1" t="s">
        <v>74</v>
      </c>
      <c r="V371" s="1" t="s">
        <v>74</v>
      </c>
      <c r="W371" s="1" t="s">
        <v>74</v>
      </c>
      <c r="X371" s="1" t="s">
        <v>74</v>
      </c>
      <c r="Y371" s="1" t="s">
        <v>74</v>
      </c>
      <c r="Z371" s="1" t="s">
        <v>74</v>
      </c>
      <c r="AA371" s="1" t="s">
        <v>3354</v>
      </c>
      <c r="AB371" s="1" t="s">
        <v>74</v>
      </c>
      <c r="AC371" s="1" t="s">
        <v>74</v>
      </c>
      <c r="AD371" s="1" t="s">
        <v>74</v>
      </c>
      <c r="AE371" s="1" t="s">
        <v>74</v>
      </c>
      <c r="AF371" s="1" t="s">
        <v>74</v>
      </c>
      <c r="AG371" s="1" t="s">
        <v>74</v>
      </c>
      <c r="AH371" s="1" t="s">
        <v>74</v>
      </c>
      <c r="AI371" s="1" t="s">
        <v>74</v>
      </c>
      <c r="AJ371" s="1" t="s">
        <v>74</v>
      </c>
      <c r="AK371" s="1" t="s">
        <v>74</v>
      </c>
      <c r="AL371" s="1" t="s">
        <v>74</v>
      </c>
      <c r="AM371" s="1" t="s">
        <v>74</v>
      </c>
      <c r="AN371" s="1" t="s">
        <v>74</v>
      </c>
      <c r="AO371" s="1" t="s">
        <v>3355</v>
      </c>
      <c r="AP371" s="1" t="s">
        <v>74</v>
      </c>
      <c r="AQ371" s="1" t="s">
        <v>74</v>
      </c>
      <c r="AR371" s="1" t="s">
        <v>74</v>
      </c>
      <c r="AS371" s="1" t="s">
        <v>74</v>
      </c>
      <c r="AT371" s="1" t="s">
        <v>88</v>
      </c>
      <c r="AU371" s="1">
        <v>2004.0</v>
      </c>
      <c r="AV371" s="1">
        <v>75.0</v>
      </c>
      <c r="AW371" s="1">
        <v>12.0</v>
      </c>
      <c r="AX371" s="1" t="s">
        <v>74</v>
      </c>
      <c r="AY371" s="1" t="s">
        <v>74</v>
      </c>
      <c r="AZ371" s="1" t="s">
        <v>74</v>
      </c>
      <c r="BA371" s="1" t="s">
        <v>74</v>
      </c>
      <c r="BB371" s="1">
        <v>1782.0</v>
      </c>
      <c r="BC371" s="1">
        <v>1783.0</v>
      </c>
      <c r="BD371" s="1" t="s">
        <v>74</v>
      </c>
      <c r="BE371" s="1" t="s">
        <v>3356</v>
      </c>
      <c r="BF371" s="2" t="str">
        <f>HYPERLINK("http://dx.doi.org/10.1136/jnnp.2003.034553","http://dx.doi.org/10.1136/jnnp.2003.034553")</f>
        <v>http://dx.doi.org/10.1136/jnnp.2003.034553</v>
      </c>
      <c r="BG371" s="1" t="s">
        <v>74</v>
      </c>
      <c r="BH371" s="1" t="s">
        <v>74</v>
      </c>
      <c r="BI371" s="1" t="s">
        <v>74</v>
      </c>
      <c r="BJ371" s="1" t="s">
        <v>74</v>
      </c>
      <c r="BK371" s="1" t="s">
        <v>74</v>
      </c>
      <c r="BL371" s="1" t="s">
        <v>74</v>
      </c>
      <c r="BM371" s="1" t="s">
        <v>74</v>
      </c>
      <c r="BN371" s="1">
        <v>1.5548507E7</v>
      </c>
      <c r="BO371" s="1" t="s">
        <v>74</v>
      </c>
      <c r="BP371" s="1" t="s">
        <v>74</v>
      </c>
      <c r="BQ371" s="1" t="s">
        <v>74</v>
      </c>
      <c r="BR371" s="1" t="s">
        <v>74</v>
      </c>
      <c r="BS371" s="1" t="s">
        <v>3357</v>
      </c>
      <c r="BT371" s="1" t="str">
        <f>HYPERLINK("https%3A%2F%2Fwww.webofscience.com%2Fwos%2Fwoscc%2Ffull-record%2FWOS:000225162400035","View Full Record in Web of Science")</f>
        <v>View Full Record in Web of Science</v>
      </c>
    </row>
    <row r="372" ht="12.75" customHeight="1">
      <c r="A372" s="1" t="s">
        <v>72</v>
      </c>
      <c r="B372" s="1" t="s">
        <v>3358</v>
      </c>
      <c r="C372" s="1" t="s">
        <v>74</v>
      </c>
      <c r="D372" s="1" t="s">
        <v>74</v>
      </c>
      <c r="E372" s="1" t="s">
        <v>74</v>
      </c>
      <c r="F372" s="1" t="s">
        <v>3358</v>
      </c>
      <c r="G372" s="1" t="s">
        <v>74</v>
      </c>
      <c r="H372" s="1" t="s">
        <v>74</v>
      </c>
      <c r="I372" s="1" t="s">
        <v>3359</v>
      </c>
      <c r="J372" s="1" t="s">
        <v>134</v>
      </c>
      <c r="K372" s="1" t="s">
        <v>74</v>
      </c>
      <c r="L372" s="1" t="s">
        <v>74</v>
      </c>
      <c r="M372" s="1" t="s">
        <v>74</v>
      </c>
      <c r="N372" s="1" t="s">
        <v>74</v>
      </c>
      <c r="O372" s="1" t="s">
        <v>74</v>
      </c>
      <c r="P372" s="1" t="s">
        <v>74</v>
      </c>
      <c r="Q372" s="1" t="s">
        <v>74</v>
      </c>
      <c r="R372" s="1" t="s">
        <v>74</v>
      </c>
      <c r="S372" s="1" t="s">
        <v>74</v>
      </c>
      <c r="T372" s="1" t="s">
        <v>74</v>
      </c>
      <c r="U372" s="1" t="s">
        <v>74</v>
      </c>
      <c r="V372" s="1" t="s">
        <v>3360</v>
      </c>
      <c r="W372" s="1" t="s">
        <v>74</v>
      </c>
      <c r="X372" s="1" t="s">
        <v>74</v>
      </c>
      <c r="Y372" s="1" t="s">
        <v>74</v>
      </c>
      <c r="Z372" s="1" t="s">
        <v>74</v>
      </c>
      <c r="AA372" s="1" t="s">
        <v>74</v>
      </c>
      <c r="AB372" s="1" t="s">
        <v>3361</v>
      </c>
      <c r="AC372" s="1" t="s">
        <v>74</v>
      </c>
      <c r="AD372" s="1" t="s">
        <v>74</v>
      </c>
      <c r="AE372" s="1" t="s">
        <v>74</v>
      </c>
      <c r="AF372" s="1" t="s">
        <v>74</v>
      </c>
      <c r="AG372" s="1" t="s">
        <v>74</v>
      </c>
      <c r="AH372" s="1" t="s">
        <v>74</v>
      </c>
      <c r="AI372" s="1" t="s">
        <v>74</v>
      </c>
      <c r="AJ372" s="1" t="s">
        <v>74</v>
      </c>
      <c r="AK372" s="1" t="s">
        <v>74</v>
      </c>
      <c r="AL372" s="1" t="s">
        <v>74</v>
      </c>
      <c r="AM372" s="1" t="s">
        <v>74</v>
      </c>
      <c r="AN372" s="1" t="s">
        <v>74</v>
      </c>
      <c r="AO372" s="1" t="s">
        <v>138</v>
      </c>
      <c r="AP372" s="1" t="s">
        <v>74</v>
      </c>
      <c r="AQ372" s="1" t="s">
        <v>74</v>
      </c>
      <c r="AR372" s="1" t="s">
        <v>74</v>
      </c>
      <c r="AS372" s="1" t="s">
        <v>74</v>
      </c>
      <c r="AT372" s="1" t="s">
        <v>3314</v>
      </c>
      <c r="AU372" s="1">
        <v>2004.0</v>
      </c>
      <c r="AV372" s="1">
        <v>1026.0</v>
      </c>
      <c r="AW372" s="1">
        <v>1.0</v>
      </c>
      <c r="AX372" s="1" t="s">
        <v>74</v>
      </c>
      <c r="AY372" s="1" t="s">
        <v>74</v>
      </c>
      <c r="AZ372" s="1" t="s">
        <v>74</v>
      </c>
      <c r="BA372" s="1" t="s">
        <v>74</v>
      </c>
      <c r="BB372" s="1">
        <v>136.0</v>
      </c>
      <c r="BC372" s="1">
        <v>142.0</v>
      </c>
      <c r="BD372" s="1" t="s">
        <v>74</v>
      </c>
      <c r="BE372" s="1" t="s">
        <v>3362</v>
      </c>
      <c r="BF372" s="2" t="str">
        <f>HYPERLINK("http://dx.doi.org/10.1016/j.brainres.2004.08.028","http://dx.doi.org/10.1016/j.brainres.2004.08.028")</f>
        <v>http://dx.doi.org/10.1016/j.brainres.2004.08.028</v>
      </c>
      <c r="BG372" s="1" t="s">
        <v>74</v>
      </c>
      <c r="BH372" s="1" t="s">
        <v>74</v>
      </c>
      <c r="BI372" s="1" t="s">
        <v>74</v>
      </c>
      <c r="BJ372" s="1" t="s">
        <v>74</v>
      </c>
      <c r="BK372" s="1" t="s">
        <v>74</v>
      </c>
      <c r="BL372" s="1" t="s">
        <v>74</v>
      </c>
      <c r="BM372" s="1" t="s">
        <v>74</v>
      </c>
      <c r="BN372" s="1">
        <v>1.5476705E7</v>
      </c>
      <c r="BO372" s="1" t="s">
        <v>74</v>
      </c>
      <c r="BP372" s="1" t="s">
        <v>74</v>
      </c>
      <c r="BQ372" s="1" t="s">
        <v>74</v>
      </c>
      <c r="BR372" s="1" t="s">
        <v>74</v>
      </c>
      <c r="BS372" s="1" t="s">
        <v>3363</v>
      </c>
      <c r="BT372" s="1" t="str">
        <f>HYPERLINK("https%3A%2F%2Fwww.webofscience.com%2Fwos%2Fwoscc%2Ffull-record%2FWOS:000224713200014","View Full Record in Web of Science")</f>
        <v>View Full Record in Web of Science</v>
      </c>
    </row>
    <row r="373" ht="12.75" customHeight="1">
      <c r="A373" s="1" t="s">
        <v>72</v>
      </c>
      <c r="B373" s="1" t="s">
        <v>3364</v>
      </c>
      <c r="C373" s="1" t="s">
        <v>74</v>
      </c>
      <c r="D373" s="1" t="s">
        <v>74</v>
      </c>
      <c r="E373" s="1" t="s">
        <v>74</v>
      </c>
      <c r="F373" s="1" t="s">
        <v>3364</v>
      </c>
      <c r="G373" s="1" t="s">
        <v>74</v>
      </c>
      <c r="H373" s="1" t="s">
        <v>74</v>
      </c>
      <c r="I373" s="1" t="s">
        <v>3365</v>
      </c>
      <c r="J373" s="1" t="s">
        <v>1766</v>
      </c>
      <c r="K373" s="1" t="s">
        <v>74</v>
      </c>
      <c r="L373" s="1" t="s">
        <v>74</v>
      </c>
      <c r="M373" s="1" t="s">
        <v>74</v>
      </c>
      <c r="N373" s="1" t="s">
        <v>74</v>
      </c>
      <c r="O373" s="1" t="s">
        <v>74</v>
      </c>
      <c r="P373" s="1" t="s">
        <v>74</v>
      </c>
      <c r="Q373" s="1" t="s">
        <v>74</v>
      </c>
      <c r="R373" s="1" t="s">
        <v>74</v>
      </c>
      <c r="S373" s="1" t="s">
        <v>74</v>
      </c>
      <c r="T373" s="1" t="s">
        <v>74</v>
      </c>
      <c r="U373" s="1" t="s">
        <v>74</v>
      </c>
      <c r="V373" s="1" t="s">
        <v>3366</v>
      </c>
      <c r="W373" s="1" t="s">
        <v>74</v>
      </c>
      <c r="X373" s="1" t="s">
        <v>74</v>
      </c>
      <c r="Y373" s="1" t="s">
        <v>74</v>
      </c>
      <c r="Z373" s="1" t="s">
        <v>74</v>
      </c>
      <c r="AA373" s="1" t="s">
        <v>74</v>
      </c>
      <c r="AB373" s="1" t="s">
        <v>978</v>
      </c>
      <c r="AC373" s="1" t="s">
        <v>74</v>
      </c>
      <c r="AD373" s="1" t="s">
        <v>74</v>
      </c>
      <c r="AE373" s="1" t="s">
        <v>74</v>
      </c>
      <c r="AF373" s="1" t="s">
        <v>74</v>
      </c>
      <c r="AG373" s="1" t="s">
        <v>74</v>
      </c>
      <c r="AH373" s="1" t="s">
        <v>74</v>
      </c>
      <c r="AI373" s="1" t="s">
        <v>74</v>
      </c>
      <c r="AJ373" s="1" t="s">
        <v>74</v>
      </c>
      <c r="AK373" s="1" t="s">
        <v>74</v>
      </c>
      <c r="AL373" s="1" t="s">
        <v>74</v>
      </c>
      <c r="AM373" s="1" t="s">
        <v>74</v>
      </c>
      <c r="AN373" s="1" t="s">
        <v>74</v>
      </c>
      <c r="AO373" s="1" t="s">
        <v>1769</v>
      </c>
      <c r="AP373" s="1" t="s">
        <v>74</v>
      </c>
      <c r="AQ373" s="1" t="s">
        <v>74</v>
      </c>
      <c r="AR373" s="1" t="s">
        <v>74</v>
      </c>
      <c r="AS373" s="1" t="s">
        <v>74</v>
      </c>
      <c r="AT373" s="1" t="s">
        <v>180</v>
      </c>
      <c r="AU373" s="1">
        <v>2004.0</v>
      </c>
      <c r="AV373" s="1">
        <v>63.0</v>
      </c>
      <c r="AW373" s="1">
        <v>1.0</v>
      </c>
      <c r="AX373" s="1" t="s">
        <v>74</v>
      </c>
      <c r="AY373" s="1" t="s">
        <v>74</v>
      </c>
      <c r="AZ373" s="1" t="s">
        <v>74</v>
      </c>
      <c r="BA373" s="1" t="s">
        <v>74</v>
      </c>
      <c r="BB373" s="1">
        <v>57.0</v>
      </c>
      <c r="BC373" s="1">
        <v>62.0</v>
      </c>
      <c r="BD373" s="1" t="s">
        <v>74</v>
      </c>
      <c r="BE373" s="1" t="s">
        <v>3367</v>
      </c>
      <c r="BF373" s="2" t="str">
        <f>HYPERLINK("http://dx.doi.org/10.1016/S0260-8774(03)00282-6","http://dx.doi.org/10.1016/S0260-8774(03)00282-6")</f>
        <v>http://dx.doi.org/10.1016/S0260-8774(03)00282-6</v>
      </c>
      <c r="BG373" s="1" t="s">
        <v>74</v>
      </c>
      <c r="BH373" s="1" t="s">
        <v>74</v>
      </c>
      <c r="BI373" s="1" t="s">
        <v>74</v>
      </c>
      <c r="BJ373" s="1" t="s">
        <v>74</v>
      </c>
      <c r="BK373" s="1" t="s">
        <v>74</v>
      </c>
      <c r="BL373" s="1" t="s">
        <v>74</v>
      </c>
      <c r="BM373" s="1" t="s">
        <v>74</v>
      </c>
      <c r="BN373" s="1" t="s">
        <v>74</v>
      </c>
      <c r="BO373" s="1" t="s">
        <v>74</v>
      </c>
      <c r="BP373" s="1" t="s">
        <v>74</v>
      </c>
      <c r="BQ373" s="1" t="s">
        <v>74</v>
      </c>
      <c r="BR373" s="1" t="s">
        <v>74</v>
      </c>
      <c r="BS373" s="1" t="s">
        <v>3368</v>
      </c>
      <c r="BT373" s="1" t="str">
        <f>HYPERLINK("https%3A%2F%2Fwww.webofscience.com%2Fwos%2Fwoscc%2Ffull-record%2FWOS:000188954200008","View Full Record in Web of Science")</f>
        <v>View Full Record in Web of Science</v>
      </c>
    </row>
    <row r="374" ht="12.75" customHeight="1">
      <c r="A374" s="1" t="s">
        <v>72</v>
      </c>
      <c r="B374" s="1" t="s">
        <v>3369</v>
      </c>
      <c r="C374" s="1" t="s">
        <v>74</v>
      </c>
      <c r="D374" s="1" t="s">
        <v>74</v>
      </c>
      <c r="E374" s="1" t="s">
        <v>74</v>
      </c>
      <c r="F374" s="1" t="s">
        <v>3369</v>
      </c>
      <c r="G374" s="1" t="s">
        <v>74</v>
      </c>
      <c r="H374" s="1" t="s">
        <v>74</v>
      </c>
      <c r="I374" s="1" t="s">
        <v>3370</v>
      </c>
      <c r="J374" s="1" t="s">
        <v>3371</v>
      </c>
      <c r="K374" s="1" t="s">
        <v>74</v>
      </c>
      <c r="L374" s="1" t="s">
        <v>74</v>
      </c>
      <c r="M374" s="1" t="s">
        <v>74</v>
      </c>
      <c r="N374" s="1" t="s">
        <v>74</v>
      </c>
      <c r="O374" s="1" t="s">
        <v>74</v>
      </c>
      <c r="P374" s="1" t="s">
        <v>74</v>
      </c>
      <c r="Q374" s="1" t="s">
        <v>74</v>
      </c>
      <c r="R374" s="1" t="s">
        <v>74</v>
      </c>
      <c r="S374" s="1" t="s">
        <v>74</v>
      </c>
      <c r="T374" s="1" t="s">
        <v>74</v>
      </c>
      <c r="U374" s="1" t="s">
        <v>74</v>
      </c>
      <c r="V374" s="1" t="s">
        <v>3372</v>
      </c>
      <c r="W374" s="1" t="s">
        <v>74</v>
      </c>
      <c r="X374" s="1" t="s">
        <v>74</v>
      </c>
      <c r="Y374" s="1" t="s">
        <v>74</v>
      </c>
      <c r="Z374" s="1" t="s">
        <v>74</v>
      </c>
      <c r="AA374" s="1" t="s">
        <v>3373</v>
      </c>
      <c r="AB374" s="1" t="s">
        <v>3374</v>
      </c>
      <c r="AC374" s="1" t="s">
        <v>74</v>
      </c>
      <c r="AD374" s="1" t="s">
        <v>74</v>
      </c>
      <c r="AE374" s="1" t="s">
        <v>74</v>
      </c>
      <c r="AF374" s="1" t="s">
        <v>74</v>
      </c>
      <c r="AG374" s="1" t="s">
        <v>74</v>
      </c>
      <c r="AH374" s="1" t="s">
        <v>74</v>
      </c>
      <c r="AI374" s="1" t="s">
        <v>74</v>
      </c>
      <c r="AJ374" s="1" t="s">
        <v>74</v>
      </c>
      <c r="AK374" s="1" t="s">
        <v>74</v>
      </c>
      <c r="AL374" s="1" t="s">
        <v>74</v>
      </c>
      <c r="AM374" s="1" t="s">
        <v>74</v>
      </c>
      <c r="AN374" s="1" t="s">
        <v>74</v>
      </c>
      <c r="AO374" s="1" t="s">
        <v>3375</v>
      </c>
      <c r="AP374" s="1" t="s">
        <v>74</v>
      </c>
      <c r="AQ374" s="1" t="s">
        <v>74</v>
      </c>
      <c r="AR374" s="1" t="s">
        <v>74</v>
      </c>
      <c r="AS374" s="1" t="s">
        <v>74</v>
      </c>
      <c r="AT374" s="1" t="s">
        <v>299</v>
      </c>
      <c r="AU374" s="1">
        <v>2003.0</v>
      </c>
      <c r="AV374" s="1">
        <v>41.0</v>
      </c>
      <c r="AW374" s="1">
        <v>1.0</v>
      </c>
      <c r="AX374" s="1" t="s">
        <v>74</v>
      </c>
      <c r="AY374" s="1" t="s">
        <v>74</v>
      </c>
      <c r="AZ374" s="1" t="s">
        <v>74</v>
      </c>
      <c r="BA374" s="1" t="s">
        <v>74</v>
      </c>
      <c r="BB374" s="1">
        <v>65.0</v>
      </c>
      <c r="BC374" s="1">
        <v>70.0</v>
      </c>
      <c r="BD374" s="1" t="s">
        <v>3376</v>
      </c>
      <c r="BE374" s="1" t="s">
        <v>3377</v>
      </c>
      <c r="BF374" s="2" t="str">
        <f>HYPERLINK("http://dx.doi.org/10.1016/S0041-0101(02)00210-6","http://dx.doi.org/10.1016/S0041-0101(02)00210-6")</f>
        <v>http://dx.doi.org/10.1016/S0041-0101(02)00210-6</v>
      </c>
      <c r="BG374" s="1" t="s">
        <v>74</v>
      </c>
      <c r="BH374" s="1" t="s">
        <v>74</v>
      </c>
      <c r="BI374" s="1" t="s">
        <v>74</v>
      </c>
      <c r="BJ374" s="1" t="s">
        <v>74</v>
      </c>
      <c r="BK374" s="1" t="s">
        <v>74</v>
      </c>
      <c r="BL374" s="1" t="s">
        <v>74</v>
      </c>
      <c r="BM374" s="1" t="s">
        <v>74</v>
      </c>
      <c r="BN374" s="1">
        <v>1.2467663E7</v>
      </c>
      <c r="BO374" s="1" t="s">
        <v>74</v>
      </c>
      <c r="BP374" s="1" t="s">
        <v>74</v>
      </c>
      <c r="BQ374" s="1" t="s">
        <v>74</v>
      </c>
      <c r="BR374" s="1" t="s">
        <v>74</v>
      </c>
      <c r="BS374" s="1" t="s">
        <v>3378</v>
      </c>
      <c r="BT374" s="1" t="str">
        <f>HYPERLINK("https%3A%2F%2Fwww.webofscience.com%2Fwos%2Fwoscc%2Ffull-record%2FWOS:000180450100009","View Full Record in Web of Science")</f>
        <v>View Full Record in Web of Science</v>
      </c>
    </row>
    <row r="375" ht="12.75" customHeight="1">
      <c r="A375" s="1" t="s">
        <v>72</v>
      </c>
      <c r="B375" s="1" t="s">
        <v>3379</v>
      </c>
      <c r="C375" s="1" t="s">
        <v>74</v>
      </c>
      <c r="D375" s="1" t="s">
        <v>74</v>
      </c>
      <c r="E375" s="1" t="s">
        <v>74</v>
      </c>
      <c r="F375" s="1" t="s">
        <v>3379</v>
      </c>
      <c r="G375" s="1" t="s">
        <v>74</v>
      </c>
      <c r="H375" s="1" t="s">
        <v>74</v>
      </c>
      <c r="I375" s="1" t="s">
        <v>3380</v>
      </c>
      <c r="J375" s="1" t="s">
        <v>177</v>
      </c>
      <c r="K375" s="1" t="s">
        <v>74</v>
      </c>
      <c r="L375" s="1" t="s">
        <v>74</v>
      </c>
      <c r="M375" s="1" t="s">
        <v>74</v>
      </c>
      <c r="N375" s="1" t="s">
        <v>74</v>
      </c>
      <c r="O375" s="1" t="s">
        <v>74</v>
      </c>
      <c r="P375" s="1" t="s">
        <v>74</v>
      </c>
      <c r="Q375" s="1" t="s">
        <v>74</v>
      </c>
      <c r="R375" s="1" t="s">
        <v>74</v>
      </c>
      <c r="S375" s="1" t="s">
        <v>74</v>
      </c>
      <c r="T375" s="1" t="s">
        <v>74</v>
      </c>
      <c r="U375" s="1" t="s">
        <v>74</v>
      </c>
      <c r="V375" s="1" t="s">
        <v>3381</v>
      </c>
      <c r="W375" s="1" t="s">
        <v>74</v>
      </c>
      <c r="X375" s="1" t="s">
        <v>74</v>
      </c>
      <c r="Y375" s="1" t="s">
        <v>74</v>
      </c>
      <c r="Z375" s="1" t="s">
        <v>74</v>
      </c>
      <c r="AA375" s="1" t="s">
        <v>74</v>
      </c>
      <c r="AB375" s="1" t="s">
        <v>74</v>
      </c>
      <c r="AC375" s="1" t="s">
        <v>74</v>
      </c>
      <c r="AD375" s="1" t="s">
        <v>74</v>
      </c>
      <c r="AE375" s="1" t="s">
        <v>74</v>
      </c>
      <c r="AF375" s="1" t="s">
        <v>74</v>
      </c>
      <c r="AG375" s="1" t="s">
        <v>74</v>
      </c>
      <c r="AH375" s="1" t="s">
        <v>74</v>
      </c>
      <c r="AI375" s="1" t="s">
        <v>74</v>
      </c>
      <c r="AJ375" s="1" t="s">
        <v>74</v>
      </c>
      <c r="AK375" s="1" t="s">
        <v>74</v>
      </c>
      <c r="AL375" s="1" t="s">
        <v>74</v>
      </c>
      <c r="AM375" s="1" t="s">
        <v>74</v>
      </c>
      <c r="AN375" s="1" t="s">
        <v>74</v>
      </c>
      <c r="AO375" s="1" t="s">
        <v>179</v>
      </c>
      <c r="AP375" s="1" t="s">
        <v>74</v>
      </c>
      <c r="AQ375" s="1" t="s">
        <v>74</v>
      </c>
      <c r="AR375" s="1" t="s">
        <v>74</v>
      </c>
      <c r="AS375" s="1" t="s">
        <v>74</v>
      </c>
      <c r="AT375" s="1" t="s">
        <v>276</v>
      </c>
      <c r="AU375" s="1">
        <v>2002.0</v>
      </c>
      <c r="AV375" s="1">
        <v>47.0</v>
      </c>
      <c r="AW375" s="1">
        <v>3.0</v>
      </c>
      <c r="AX375" s="1" t="s">
        <v>74</v>
      </c>
      <c r="AY375" s="1" t="s">
        <v>74</v>
      </c>
      <c r="AZ375" s="1" t="s">
        <v>74</v>
      </c>
      <c r="BA375" s="1" t="s">
        <v>74</v>
      </c>
      <c r="BB375" s="1">
        <v>265.0</v>
      </c>
      <c r="BC375" s="1">
        <v>271.0</v>
      </c>
      <c r="BD375" s="1" t="s">
        <v>74</v>
      </c>
      <c r="BE375" s="1" t="s">
        <v>74</v>
      </c>
      <c r="BF375" s="1" t="s">
        <v>74</v>
      </c>
      <c r="BG375" s="1" t="s">
        <v>74</v>
      </c>
      <c r="BH375" s="1" t="s">
        <v>74</v>
      </c>
      <c r="BI375" s="1" t="s">
        <v>74</v>
      </c>
      <c r="BJ375" s="1" t="s">
        <v>74</v>
      </c>
      <c r="BK375" s="1" t="s">
        <v>74</v>
      </c>
      <c r="BL375" s="1" t="s">
        <v>74</v>
      </c>
      <c r="BM375" s="1" t="s">
        <v>74</v>
      </c>
      <c r="BN375" s="1" t="s">
        <v>74</v>
      </c>
      <c r="BO375" s="1" t="s">
        <v>74</v>
      </c>
      <c r="BP375" s="1" t="s">
        <v>74</v>
      </c>
      <c r="BQ375" s="1" t="s">
        <v>74</v>
      </c>
      <c r="BR375" s="1" t="s">
        <v>74</v>
      </c>
      <c r="BS375" s="1" t="s">
        <v>3382</v>
      </c>
      <c r="BT375" s="1" t="str">
        <f>HYPERLINK("https%3A%2F%2Fwww.webofscience.com%2Fwos%2Fwoscc%2Ffull-record%2FWOS:000177975100009","View Full Record in Web of Science")</f>
        <v>View Full Record in Web of Science</v>
      </c>
    </row>
    <row r="376" ht="12.75" customHeight="1">
      <c r="A376" s="1" t="s">
        <v>72</v>
      </c>
      <c r="B376" s="1" t="s">
        <v>3383</v>
      </c>
      <c r="C376" s="1" t="s">
        <v>74</v>
      </c>
      <c r="D376" s="1" t="s">
        <v>74</v>
      </c>
      <c r="E376" s="1" t="s">
        <v>74</v>
      </c>
      <c r="F376" s="1" t="s">
        <v>3383</v>
      </c>
      <c r="G376" s="1" t="s">
        <v>74</v>
      </c>
      <c r="H376" s="1" t="s">
        <v>74</v>
      </c>
      <c r="I376" s="1" t="s">
        <v>3384</v>
      </c>
      <c r="J376" s="1" t="s">
        <v>3385</v>
      </c>
      <c r="K376" s="1" t="s">
        <v>74</v>
      </c>
      <c r="L376" s="1" t="s">
        <v>74</v>
      </c>
      <c r="M376" s="1" t="s">
        <v>74</v>
      </c>
      <c r="N376" s="1" t="s">
        <v>74</v>
      </c>
      <c r="O376" s="1" t="s">
        <v>74</v>
      </c>
      <c r="P376" s="1" t="s">
        <v>74</v>
      </c>
      <c r="Q376" s="1" t="s">
        <v>74</v>
      </c>
      <c r="R376" s="1" t="s">
        <v>74</v>
      </c>
      <c r="S376" s="1" t="s">
        <v>74</v>
      </c>
      <c r="T376" s="1" t="s">
        <v>74</v>
      </c>
      <c r="U376" s="1" t="s">
        <v>74</v>
      </c>
      <c r="V376" s="1" t="s">
        <v>3386</v>
      </c>
      <c r="W376" s="1" t="s">
        <v>74</v>
      </c>
      <c r="X376" s="1" t="s">
        <v>74</v>
      </c>
      <c r="Y376" s="1" t="s">
        <v>74</v>
      </c>
      <c r="Z376" s="1" t="s">
        <v>74</v>
      </c>
      <c r="AA376" s="1" t="s">
        <v>3387</v>
      </c>
      <c r="AB376" s="1" t="s">
        <v>1015</v>
      </c>
      <c r="AC376" s="1" t="s">
        <v>74</v>
      </c>
      <c r="AD376" s="1" t="s">
        <v>74</v>
      </c>
      <c r="AE376" s="1" t="s">
        <v>74</v>
      </c>
      <c r="AF376" s="1" t="s">
        <v>74</v>
      </c>
      <c r="AG376" s="1" t="s">
        <v>74</v>
      </c>
      <c r="AH376" s="1" t="s">
        <v>74</v>
      </c>
      <c r="AI376" s="1" t="s">
        <v>74</v>
      </c>
      <c r="AJ376" s="1" t="s">
        <v>74</v>
      </c>
      <c r="AK376" s="1" t="s">
        <v>74</v>
      </c>
      <c r="AL376" s="1" t="s">
        <v>74</v>
      </c>
      <c r="AM376" s="1" t="s">
        <v>74</v>
      </c>
      <c r="AN376" s="1" t="s">
        <v>74</v>
      </c>
      <c r="AO376" s="1" t="s">
        <v>3388</v>
      </c>
      <c r="AP376" s="1" t="s">
        <v>74</v>
      </c>
      <c r="AQ376" s="1" t="s">
        <v>74</v>
      </c>
      <c r="AR376" s="1" t="s">
        <v>74</v>
      </c>
      <c r="AS376" s="1" t="s">
        <v>74</v>
      </c>
      <c r="AT376" s="1" t="s">
        <v>429</v>
      </c>
      <c r="AU376" s="1">
        <v>2002.0</v>
      </c>
      <c r="AV376" s="1">
        <v>68.0</v>
      </c>
      <c r="AW376" s="1">
        <v>5.0</v>
      </c>
      <c r="AX376" s="1" t="s">
        <v>74</v>
      </c>
      <c r="AY376" s="1" t="s">
        <v>74</v>
      </c>
      <c r="AZ376" s="1" t="s">
        <v>74</v>
      </c>
      <c r="BA376" s="1" t="s">
        <v>74</v>
      </c>
      <c r="BB376" s="1">
        <v>452.0</v>
      </c>
      <c r="BC376" s="1">
        <v>454.0</v>
      </c>
      <c r="BD376" s="1" t="s">
        <v>74</v>
      </c>
      <c r="BE376" s="1" t="s">
        <v>3389</v>
      </c>
      <c r="BF376" s="2" t="str">
        <f>HYPERLINK("http://dx.doi.org/10.1055/s-2002-32086","http://dx.doi.org/10.1055/s-2002-32086")</f>
        <v>http://dx.doi.org/10.1055/s-2002-32086</v>
      </c>
      <c r="BG376" s="1" t="s">
        <v>74</v>
      </c>
      <c r="BH376" s="1" t="s">
        <v>74</v>
      </c>
      <c r="BI376" s="1" t="s">
        <v>74</v>
      </c>
      <c r="BJ376" s="1" t="s">
        <v>74</v>
      </c>
      <c r="BK376" s="1" t="s">
        <v>74</v>
      </c>
      <c r="BL376" s="1" t="s">
        <v>74</v>
      </c>
      <c r="BM376" s="1" t="s">
        <v>74</v>
      </c>
      <c r="BN376" s="1">
        <v>1.2058325E7</v>
      </c>
      <c r="BO376" s="1" t="s">
        <v>74</v>
      </c>
      <c r="BP376" s="1" t="s">
        <v>74</v>
      </c>
      <c r="BQ376" s="1" t="s">
        <v>74</v>
      </c>
      <c r="BR376" s="1" t="s">
        <v>74</v>
      </c>
      <c r="BS376" s="1" t="s">
        <v>3390</v>
      </c>
      <c r="BT376" s="1" t="str">
        <f>HYPERLINK("https%3A%2F%2Fwww.webofscience.com%2Fwos%2Fwoscc%2Ffull-record%2FWOS:000176221600015","View Full Record in Web of Science")</f>
        <v>View Full Record in Web of Science</v>
      </c>
    </row>
    <row r="377" ht="12.75" customHeight="1">
      <c r="A377" s="1" t="s">
        <v>162</v>
      </c>
      <c r="B377" s="1" t="s">
        <v>3391</v>
      </c>
      <c r="C377" s="1" t="s">
        <v>74</v>
      </c>
      <c r="D377" s="1" t="s">
        <v>3392</v>
      </c>
      <c r="E377" s="1" t="s">
        <v>74</v>
      </c>
      <c r="F377" s="1" t="s">
        <v>3391</v>
      </c>
      <c r="G377" s="1" t="s">
        <v>74</v>
      </c>
      <c r="H377" s="1" t="s">
        <v>74</v>
      </c>
      <c r="I377" s="1" t="s">
        <v>3393</v>
      </c>
      <c r="J377" s="1" t="s">
        <v>3394</v>
      </c>
      <c r="K377" s="1" t="s">
        <v>887</v>
      </c>
      <c r="L377" s="1" t="s">
        <v>74</v>
      </c>
      <c r="M377" s="1" t="s">
        <v>74</v>
      </c>
      <c r="N377" s="1" t="s">
        <v>74</v>
      </c>
      <c r="O377" s="1" t="s">
        <v>3395</v>
      </c>
      <c r="P377" s="1" t="s">
        <v>3396</v>
      </c>
      <c r="Q377" s="1" t="s">
        <v>3397</v>
      </c>
      <c r="R377" s="1" t="s">
        <v>74</v>
      </c>
      <c r="S377" s="1" t="s">
        <v>74</v>
      </c>
      <c r="T377" s="1" t="s">
        <v>74</v>
      </c>
      <c r="U377" s="1" t="s">
        <v>74</v>
      </c>
      <c r="V377" s="1" t="s">
        <v>3398</v>
      </c>
      <c r="W377" s="1" t="s">
        <v>74</v>
      </c>
      <c r="X377" s="1" t="s">
        <v>74</v>
      </c>
      <c r="Y377" s="1" t="s">
        <v>74</v>
      </c>
      <c r="Z377" s="1" t="s">
        <v>74</v>
      </c>
      <c r="AA377" s="1" t="s">
        <v>3399</v>
      </c>
      <c r="AB377" s="1" t="s">
        <v>3400</v>
      </c>
      <c r="AC377" s="1" t="s">
        <v>74</v>
      </c>
      <c r="AD377" s="1" t="s">
        <v>74</v>
      </c>
      <c r="AE377" s="1" t="s">
        <v>74</v>
      </c>
      <c r="AF377" s="1" t="s">
        <v>74</v>
      </c>
      <c r="AG377" s="1" t="s">
        <v>74</v>
      </c>
      <c r="AH377" s="1" t="s">
        <v>74</v>
      </c>
      <c r="AI377" s="1" t="s">
        <v>74</v>
      </c>
      <c r="AJ377" s="1" t="s">
        <v>74</v>
      </c>
      <c r="AK377" s="1" t="s">
        <v>74</v>
      </c>
      <c r="AL377" s="1" t="s">
        <v>74</v>
      </c>
      <c r="AM377" s="1" t="s">
        <v>74</v>
      </c>
      <c r="AN377" s="1" t="s">
        <v>74</v>
      </c>
      <c r="AO377" s="1" t="s">
        <v>893</v>
      </c>
      <c r="AP377" s="1" t="s">
        <v>894</v>
      </c>
      <c r="AQ377" s="1" t="s">
        <v>3401</v>
      </c>
      <c r="AR377" s="1" t="s">
        <v>74</v>
      </c>
      <c r="AS377" s="1" t="s">
        <v>74</v>
      </c>
      <c r="AT377" s="1" t="s">
        <v>74</v>
      </c>
      <c r="AU377" s="1">
        <v>2002.0</v>
      </c>
      <c r="AV377" s="1">
        <v>2440.0</v>
      </c>
      <c r="AW377" s="1" t="s">
        <v>74</v>
      </c>
      <c r="AX377" s="1" t="s">
        <v>74</v>
      </c>
      <c r="AY377" s="1" t="s">
        <v>74</v>
      </c>
      <c r="AZ377" s="1" t="s">
        <v>74</v>
      </c>
      <c r="BA377" s="1" t="s">
        <v>74</v>
      </c>
      <c r="BB377" s="1">
        <v>189.0</v>
      </c>
      <c r="BC377" s="1">
        <v>199.0</v>
      </c>
      <c r="BD377" s="1" t="s">
        <v>74</v>
      </c>
      <c r="BE377" s="1" t="s">
        <v>74</v>
      </c>
      <c r="BF377" s="1" t="s">
        <v>74</v>
      </c>
      <c r="BG377" s="1" t="s">
        <v>74</v>
      </c>
      <c r="BH377" s="1" t="s">
        <v>74</v>
      </c>
      <c r="BI377" s="1" t="s">
        <v>74</v>
      </c>
      <c r="BJ377" s="1" t="s">
        <v>74</v>
      </c>
      <c r="BK377" s="1" t="s">
        <v>74</v>
      </c>
      <c r="BL377" s="1" t="s">
        <v>74</v>
      </c>
      <c r="BM377" s="1" t="s">
        <v>74</v>
      </c>
      <c r="BN377" s="1" t="s">
        <v>74</v>
      </c>
      <c r="BO377" s="1" t="s">
        <v>74</v>
      </c>
      <c r="BP377" s="1" t="s">
        <v>74</v>
      </c>
      <c r="BQ377" s="1" t="s">
        <v>74</v>
      </c>
      <c r="BR377" s="1" t="s">
        <v>74</v>
      </c>
      <c r="BS377" s="1" t="s">
        <v>3402</v>
      </c>
      <c r="BT377" s="1" t="str">
        <f>HYPERLINK("https%3A%2F%2Fwww.webofscience.com%2Fwos%2Fwoscc%2Ffull-record%2FWOS:000182748200013","View Full Record in Web of Science")</f>
        <v>View Full Record in Web of Science</v>
      </c>
    </row>
    <row r="378" ht="12.75" customHeight="1">
      <c r="A378" s="1" t="s">
        <v>72</v>
      </c>
      <c r="B378" s="1" t="s">
        <v>1115</v>
      </c>
      <c r="C378" s="1" t="s">
        <v>74</v>
      </c>
      <c r="D378" s="1" t="s">
        <v>74</v>
      </c>
      <c r="E378" s="1" t="s">
        <v>74</v>
      </c>
      <c r="F378" s="1" t="s">
        <v>1115</v>
      </c>
      <c r="G378" s="1" t="s">
        <v>74</v>
      </c>
      <c r="H378" s="1" t="s">
        <v>74</v>
      </c>
      <c r="I378" s="1" t="s">
        <v>3403</v>
      </c>
      <c r="J378" s="1" t="s">
        <v>3404</v>
      </c>
      <c r="K378" s="1" t="s">
        <v>74</v>
      </c>
      <c r="L378" s="1" t="s">
        <v>74</v>
      </c>
      <c r="M378" s="1" t="s">
        <v>74</v>
      </c>
      <c r="N378" s="1" t="s">
        <v>74</v>
      </c>
      <c r="O378" s="1" t="s">
        <v>74</v>
      </c>
      <c r="P378" s="1" t="s">
        <v>74</v>
      </c>
      <c r="Q378" s="1" t="s">
        <v>74</v>
      </c>
      <c r="R378" s="1" t="s">
        <v>74</v>
      </c>
      <c r="S378" s="1" t="s">
        <v>74</v>
      </c>
      <c r="T378" s="1" t="s">
        <v>74</v>
      </c>
      <c r="U378" s="1" t="s">
        <v>74</v>
      </c>
      <c r="V378" s="1" t="s">
        <v>3405</v>
      </c>
      <c r="W378" s="1" t="s">
        <v>74</v>
      </c>
      <c r="X378" s="1" t="s">
        <v>74</v>
      </c>
      <c r="Y378" s="1" t="s">
        <v>74</v>
      </c>
      <c r="Z378" s="1" t="s">
        <v>74</v>
      </c>
      <c r="AA378" s="1" t="s">
        <v>902</v>
      </c>
      <c r="AB378" s="1" t="s">
        <v>74</v>
      </c>
      <c r="AC378" s="1" t="s">
        <v>74</v>
      </c>
      <c r="AD378" s="1" t="s">
        <v>74</v>
      </c>
      <c r="AE378" s="1" t="s">
        <v>74</v>
      </c>
      <c r="AF378" s="1" t="s">
        <v>74</v>
      </c>
      <c r="AG378" s="1" t="s">
        <v>74</v>
      </c>
      <c r="AH378" s="1" t="s">
        <v>74</v>
      </c>
      <c r="AI378" s="1" t="s">
        <v>74</v>
      </c>
      <c r="AJ378" s="1" t="s">
        <v>74</v>
      </c>
      <c r="AK378" s="1" t="s">
        <v>74</v>
      </c>
      <c r="AL378" s="1" t="s">
        <v>74</v>
      </c>
      <c r="AM378" s="1" t="s">
        <v>74</v>
      </c>
      <c r="AN378" s="1" t="s">
        <v>74</v>
      </c>
      <c r="AO378" s="1" t="s">
        <v>3406</v>
      </c>
      <c r="AP378" s="1" t="s">
        <v>74</v>
      </c>
      <c r="AQ378" s="1" t="s">
        <v>74</v>
      </c>
      <c r="AR378" s="1" t="s">
        <v>74</v>
      </c>
      <c r="AS378" s="1" t="s">
        <v>74</v>
      </c>
      <c r="AT378" s="1" t="s">
        <v>161</v>
      </c>
      <c r="AU378" s="1">
        <v>2001.0</v>
      </c>
      <c r="AV378" s="1">
        <v>41.0</v>
      </c>
      <c r="AW378" s="1">
        <v>2.0</v>
      </c>
      <c r="AX378" s="1" t="s">
        <v>74</v>
      </c>
      <c r="AY378" s="1" t="s">
        <v>74</v>
      </c>
      <c r="AZ378" s="1" t="s">
        <v>74</v>
      </c>
      <c r="BA378" s="1" t="s">
        <v>74</v>
      </c>
      <c r="BB378" s="1">
        <v>223.0</v>
      </c>
      <c r="BC378" s="1">
        <v>229.0</v>
      </c>
      <c r="BD378" s="1" t="s">
        <v>74</v>
      </c>
      <c r="BE378" s="1" t="s">
        <v>3407</v>
      </c>
      <c r="BF378" s="2" t="str">
        <f>HYPERLINK("http://dx.doi.org/10.1007/BF01295306","http://dx.doi.org/10.1007/BF01295306")</f>
        <v>http://dx.doi.org/10.1007/BF01295306</v>
      </c>
      <c r="BG378" s="1" t="s">
        <v>74</v>
      </c>
      <c r="BH378" s="1" t="s">
        <v>74</v>
      </c>
      <c r="BI378" s="1" t="s">
        <v>74</v>
      </c>
      <c r="BJ378" s="1" t="s">
        <v>74</v>
      </c>
      <c r="BK378" s="1" t="s">
        <v>74</v>
      </c>
      <c r="BL378" s="1" t="s">
        <v>74</v>
      </c>
      <c r="BM378" s="1" t="s">
        <v>74</v>
      </c>
      <c r="BN378" s="1" t="s">
        <v>74</v>
      </c>
      <c r="BO378" s="1" t="s">
        <v>74</v>
      </c>
      <c r="BP378" s="1" t="s">
        <v>74</v>
      </c>
      <c r="BQ378" s="1" t="s">
        <v>74</v>
      </c>
      <c r="BR378" s="1" t="s">
        <v>74</v>
      </c>
      <c r="BS378" s="1" t="s">
        <v>3408</v>
      </c>
      <c r="BT378" s="1" t="str">
        <f>HYPERLINK("https%3A%2F%2Fwww.webofscience.com%2Fwos%2Fwoscc%2Ffull-record%2FWOS:000171640900004","View Full Record in Web of Science")</f>
        <v>View Full Record in Web of Science</v>
      </c>
    </row>
    <row r="379" ht="12.75" customHeight="1">
      <c r="A379" s="1" t="s">
        <v>72</v>
      </c>
      <c r="B379" s="1" t="s">
        <v>3409</v>
      </c>
      <c r="C379" s="1" t="s">
        <v>74</v>
      </c>
      <c r="D379" s="1" t="s">
        <v>74</v>
      </c>
      <c r="E379" s="1" t="s">
        <v>74</v>
      </c>
      <c r="F379" s="1" t="s">
        <v>3409</v>
      </c>
      <c r="G379" s="1" t="s">
        <v>74</v>
      </c>
      <c r="H379" s="1" t="s">
        <v>74</v>
      </c>
      <c r="I379" s="1" t="s">
        <v>3410</v>
      </c>
      <c r="J379" s="1" t="s">
        <v>177</v>
      </c>
      <c r="K379" s="1" t="s">
        <v>74</v>
      </c>
      <c r="L379" s="1" t="s">
        <v>74</v>
      </c>
      <c r="M379" s="1" t="s">
        <v>74</v>
      </c>
      <c r="N379" s="1" t="s">
        <v>74</v>
      </c>
      <c r="O379" s="1" t="s">
        <v>74</v>
      </c>
      <c r="P379" s="1" t="s">
        <v>74</v>
      </c>
      <c r="Q379" s="1" t="s">
        <v>74</v>
      </c>
      <c r="R379" s="1" t="s">
        <v>74</v>
      </c>
      <c r="S379" s="1" t="s">
        <v>74</v>
      </c>
      <c r="T379" s="1" t="s">
        <v>74</v>
      </c>
      <c r="U379" s="1" t="s">
        <v>74</v>
      </c>
      <c r="V379" s="1" t="s">
        <v>3411</v>
      </c>
      <c r="W379" s="1" t="s">
        <v>74</v>
      </c>
      <c r="X379" s="1" t="s">
        <v>74</v>
      </c>
      <c r="Y379" s="1" t="s">
        <v>74</v>
      </c>
      <c r="Z379" s="1" t="s">
        <v>74</v>
      </c>
      <c r="AA379" s="1" t="s">
        <v>74</v>
      </c>
      <c r="AB379" s="1" t="s">
        <v>74</v>
      </c>
      <c r="AC379" s="1" t="s">
        <v>74</v>
      </c>
      <c r="AD379" s="1" t="s">
        <v>74</v>
      </c>
      <c r="AE379" s="1" t="s">
        <v>74</v>
      </c>
      <c r="AF379" s="1" t="s">
        <v>74</v>
      </c>
      <c r="AG379" s="1" t="s">
        <v>74</v>
      </c>
      <c r="AH379" s="1" t="s">
        <v>74</v>
      </c>
      <c r="AI379" s="1" t="s">
        <v>74</v>
      </c>
      <c r="AJ379" s="1" t="s">
        <v>74</v>
      </c>
      <c r="AK379" s="1" t="s">
        <v>74</v>
      </c>
      <c r="AL379" s="1" t="s">
        <v>74</v>
      </c>
      <c r="AM379" s="1" t="s">
        <v>74</v>
      </c>
      <c r="AN379" s="1" t="s">
        <v>74</v>
      </c>
      <c r="AO379" s="1" t="s">
        <v>179</v>
      </c>
      <c r="AP379" s="1" t="s">
        <v>74</v>
      </c>
      <c r="AQ379" s="1" t="s">
        <v>74</v>
      </c>
      <c r="AR379" s="1" t="s">
        <v>74</v>
      </c>
      <c r="AS379" s="1" t="s">
        <v>74</v>
      </c>
      <c r="AT379" s="1" t="s">
        <v>148</v>
      </c>
      <c r="AU379" s="1">
        <v>2000.0</v>
      </c>
      <c r="AV379" s="1">
        <v>45.0</v>
      </c>
      <c r="AW379" s="1">
        <v>1.0</v>
      </c>
      <c r="AX379" s="1" t="s">
        <v>74</v>
      </c>
      <c r="AY379" s="1" t="s">
        <v>74</v>
      </c>
      <c r="AZ379" s="1" t="s">
        <v>74</v>
      </c>
      <c r="BA379" s="1" t="s">
        <v>74</v>
      </c>
      <c r="BB379" s="1">
        <v>41.0</v>
      </c>
      <c r="BC379" s="1">
        <v>48.0</v>
      </c>
      <c r="BD379" s="1" t="s">
        <v>74</v>
      </c>
      <c r="BE379" s="1" t="s">
        <v>74</v>
      </c>
      <c r="BF379" s="1" t="s">
        <v>74</v>
      </c>
      <c r="BG379" s="1" t="s">
        <v>74</v>
      </c>
      <c r="BH379" s="1" t="s">
        <v>74</v>
      </c>
      <c r="BI379" s="1" t="s">
        <v>74</v>
      </c>
      <c r="BJ379" s="1" t="s">
        <v>74</v>
      </c>
      <c r="BK379" s="1" t="s">
        <v>74</v>
      </c>
      <c r="BL379" s="1" t="s">
        <v>74</v>
      </c>
      <c r="BM379" s="1" t="s">
        <v>74</v>
      </c>
      <c r="BN379" s="1" t="s">
        <v>74</v>
      </c>
      <c r="BO379" s="1" t="s">
        <v>74</v>
      </c>
      <c r="BP379" s="1" t="s">
        <v>74</v>
      </c>
      <c r="BQ379" s="1" t="s">
        <v>74</v>
      </c>
      <c r="BR379" s="1" t="s">
        <v>74</v>
      </c>
      <c r="BS379" s="1" t="s">
        <v>3412</v>
      </c>
      <c r="BT379" s="1" t="str">
        <f>HYPERLINK("https%3A%2F%2Fwww.webofscience.com%2Fwos%2Fwoscc%2Ffull-record%2FWOS:000086415500006","View Full Record in Web of Science")</f>
        <v>View Full Record in Web of Science</v>
      </c>
    </row>
    <row r="380" ht="12.75" customHeight="1">
      <c r="A380" s="1" t="s">
        <v>162</v>
      </c>
      <c r="B380" s="1" t="s">
        <v>3413</v>
      </c>
      <c r="C380" s="1" t="s">
        <v>74</v>
      </c>
      <c r="D380" s="1" t="s">
        <v>3414</v>
      </c>
      <c r="E380" s="1" t="s">
        <v>74</v>
      </c>
      <c r="F380" s="1" t="s">
        <v>3413</v>
      </c>
      <c r="G380" s="1" t="s">
        <v>74</v>
      </c>
      <c r="H380" s="1" t="s">
        <v>74</v>
      </c>
      <c r="I380" s="1" t="s">
        <v>3415</v>
      </c>
      <c r="J380" s="1" t="s">
        <v>3416</v>
      </c>
      <c r="K380" s="1" t="s">
        <v>3417</v>
      </c>
      <c r="L380" s="1" t="s">
        <v>74</v>
      </c>
      <c r="M380" s="1" t="s">
        <v>74</v>
      </c>
      <c r="N380" s="1" t="s">
        <v>74</v>
      </c>
      <c r="O380" s="1" t="s">
        <v>3418</v>
      </c>
      <c r="P380" s="1" t="s">
        <v>3419</v>
      </c>
      <c r="Q380" s="1" t="s">
        <v>3420</v>
      </c>
      <c r="R380" s="1" t="s">
        <v>3421</v>
      </c>
      <c r="S380" s="1" t="s">
        <v>74</v>
      </c>
      <c r="T380" s="1" t="s">
        <v>74</v>
      </c>
      <c r="U380" s="1" t="s">
        <v>74</v>
      </c>
      <c r="V380" s="1" t="s">
        <v>74</v>
      </c>
      <c r="W380" s="1" t="s">
        <v>74</v>
      </c>
      <c r="X380" s="1" t="s">
        <v>74</v>
      </c>
      <c r="Y380" s="1" t="s">
        <v>74</v>
      </c>
      <c r="Z380" s="1" t="s">
        <v>74</v>
      </c>
      <c r="AA380" s="1" t="s">
        <v>74</v>
      </c>
      <c r="AB380" s="1" t="s">
        <v>74</v>
      </c>
      <c r="AC380" s="1" t="s">
        <v>74</v>
      </c>
      <c r="AD380" s="1" t="s">
        <v>74</v>
      </c>
      <c r="AE380" s="1" t="s">
        <v>74</v>
      </c>
      <c r="AF380" s="1" t="s">
        <v>74</v>
      </c>
      <c r="AG380" s="1" t="s">
        <v>74</v>
      </c>
      <c r="AH380" s="1" t="s">
        <v>74</v>
      </c>
      <c r="AI380" s="1" t="s">
        <v>74</v>
      </c>
      <c r="AJ380" s="1" t="s">
        <v>74</v>
      </c>
      <c r="AK380" s="1" t="s">
        <v>74</v>
      </c>
      <c r="AL380" s="1" t="s">
        <v>74</v>
      </c>
      <c r="AM380" s="1" t="s">
        <v>74</v>
      </c>
      <c r="AN380" s="1" t="s">
        <v>74</v>
      </c>
      <c r="AO380" s="1" t="s">
        <v>3422</v>
      </c>
      <c r="AP380" s="1" t="s">
        <v>74</v>
      </c>
      <c r="AQ380" s="1" t="s">
        <v>3423</v>
      </c>
      <c r="AR380" s="1" t="s">
        <v>74</v>
      </c>
      <c r="AS380" s="1" t="s">
        <v>74</v>
      </c>
      <c r="AT380" s="1" t="s">
        <v>74</v>
      </c>
      <c r="AU380" s="1">
        <v>2000.0</v>
      </c>
      <c r="AV380" s="1">
        <v>475.0</v>
      </c>
      <c r="AW380" s="1" t="s">
        <v>74</v>
      </c>
      <c r="AX380" s="1" t="s">
        <v>74</v>
      </c>
      <c r="AY380" s="1" t="s">
        <v>74</v>
      </c>
      <c r="AZ380" s="1" t="s">
        <v>74</v>
      </c>
      <c r="BA380" s="1" t="s">
        <v>74</v>
      </c>
      <c r="BB380" s="1">
        <v>785.0</v>
      </c>
      <c r="BC380" s="1">
        <v>788.0</v>
      </c>
      <c r="BD380" s="1" t="s">
        <v>74</v>
      </c>
      <c r="BE380" s="1" t="s">
        <v>74</v>
      </c>
      <c r="BF380" s="1" t="s">
        <v>74</v>
      </c>
      <c r="BG380" s="1" t="s">
        <v>74</v>
      </c>
      <c r="BH380" s="1" t="s">
        <v>74</v>
      </c>
      <c r="BI380" s="1" t="s">
        <v>74</v>
      </c>
      <c r="BJ380" s="1" t="s">
        <v>74</v>
      </c>
      <c r="BK380" s="1" t="s">
        <v>74</v>
      </c>
      <c r="BL380" s="1" t="s">
        <v>74</v>
      </c>
      <c r="BM380" s="1" t="s">
        <v>74</v>
      </c>
      <c r="BN380" s="1">
        <v>1.084972E7</v>
      </c>
      <c r="BO380" s="1" t="s">
        <v>74</v>
      </c>
      <c r="BP380" s="1" t="s">
        <v>74</v>
      </c>
      <c r="BQ380" s="1" t="s">
        <v>74</v>
      </c>
      <c r="BR380" s="1" t="s">
        <v>74</v>
      </c>
      <c r="BS380" s="1" t="s">
        <v>3424</v>
      </c>
      <c r="BT380" s="1" t="str">
        <f>HYPERLINK("https%3A%2F%2Fwww.webofscience.com%2Fwos%2Fwoscc%2Ffull-record%2FWOS:000088717700078","View Full Record in Web of Science")</f>
        <v>View Full Record in Web of Science</v>
      </c>
    </row>
    <row r="381" ht="12.75" customHeight="1">
      <c r="A381" s="1" t="s">
        <v>72</v>
      </c>
      <c r="B381" s="1" t="s">
        <v>3425</v>
      </c>
      <c r="C381" s="1" t="s">
        <v>74</v>
      </c>
      <c r="D381" s="1" t="s">
        <v>74</v>
      </c>
      <c r="E381" s="1" t="s">
        <v>74</v>
      </c>
      <c r="F381" s="1" t="s">
        <v>3425</v>
      </c>
      <c r="G381" s="1" t="s">
        <v>74</v>
      </c>
      <c r="H381" s="1" t="s">
        <v>74</v>
      </c>
      <c r="I381" s="1" t="s">
        <v>3426</v>
      </c>
      <c r="J381" s="1" t="s">
        <v>177</v>
      </c>
      <c r="K381" s="1" t="s">
        <v>74</v>
      </c>
      <c r="L381" s="1" t="s">
        <v>74</v>
      </c>
      <c r="M381" s="1" t="s">
        <v>74</v>
      </c>
      <c r="N381" s="1" t="s">
        <v>74</v>
      </c>
      <c r="O381" s="1" t="s">
        <v>74</v>
      </c>
      <c r="P381" s="1" t="s">
        <v>74</v>
      </c>
      <c r="Q381" s="1" t="s">
        <v>74</v>
      </c>
      <c r="R381" s="1" t="s">
        <v>74</v>
      </c>
      <c r="S381" s="1" t="s">
        <v>74</v>
      </c>
      <c r="T381" s="1" t="s">
        <v>74</v>
      </c>
      <c r="U381" s="1" t="s">
        <v>74</v>
      </c>
      <c r="V381" s="1" t="s">
        <v>3427</v>
      </c>
      <c r="W381" s="1" t="s">
        <v>74</v>
      </c>
      <c r="X381" s="1" t="s">
        <v>74</v>
      </c>
      <c r="Y381" s="1" t="s">
        <v>74</v>
      </c>
      <c r="Z381" s="1" t="s">
        <v>74</v>
      </c>
      <c r="AA381" s="1" t="s">
        <v>74</v>
      </c>
      <c r="AB381" s="1" t="s">
        <v>74</v>
      </c>
      <c r="AC381" s="1" t="s">
        <v>74</v>
      </c>
      <c r="AD381" s="1" t="s">
        <v>74</v>
      </c>
      <c r="AE381" s="1" t="s">
        <v>74</v>
      </c>
      <c r="AF381" s="1" t="s">
        <v>74</v>
      </c>
      <c r="AG381" s="1" t="s">
        <v>74</v>
      </c>
      <c r="AH381" s="1" t="s">
        <v>74</v>
      </c>
      <c r="AI381" s="1" t="s">
        <v>74</v>
      </c>
      <c r="AJ381" s="1" t="s">
        <v>74</v>
      </c>
      <c r="AK381" s="1" t="s">
        <v>74</v>
      </c>
      <c r="AL381" s="1" t="s">
        <v>74</v>
      </c>
      <c r="AM381" s="1" t="s">
        <v>74</v>
      </c>
      <c r="AN381" s="1" t="s">
        <v>74</v>
      </c>
      <c r="AO381" s="1" t="s">
        <v>179</v>
      </c>
      <c r="AP381" s="1" t="s">
        <v>74</v>
      </c>
      <c r="AQ381" s="1" t="s">
        <v>74</v>
      </c>
      <c r="AR381" s="1" t="s">
        <v>74</v>
      </c>
      <c r="AS381" s="1" t="s">
        <v>74</v>
      </c>
      <c r="AT381" s="1" t="s">
        <v>180</v>
      </c>
      <c r="AU381" s="1">
        <v>1999.0</v>
      </c>
      <c r="AV381" s="1">
        <v>44.0</v>
      </c>
      <c r="AW381" s="1">
        <v>2.0</v>
      </c>
      <c r="AX381" s="1" t="s">
        <v>74</v>
      </c>
      <c r="AY381" s="1" t="s">
        <v>74</v>
      </c>
      <c r="AZ381" s="1" t="s">
        <v>74</v>
      </c>
      <c r="BA381" s="1" t="s">
        <v>74</v>
      </c>
      <c r="BB381" s="1">
        <v>239.0</v>
      </c>
      <c r="BC381" s="1">
        <v>242.0</v>
      </c>
      <c r="BD381" s="1" t="s">
        <v>74</v>
      </c>
      <c r="BE381" s="1" t="s">
        <v>74</v>
      </c>
      <c r="BF381" s="1" t="s">
        <v>74</v>
      </c>
      <c r="BG381" s="1" t="s">
        <v>74</v>
      </c>
      <c r="BH381" s="1" t="s">
        <v>74</v>
      </c>
      <c r="BI381" s="1" t="s">
        <v>74</v>
      </c>
      <c r="BJ381" s="1" t="s">
        <v>74</v>
      </c>
      <c r="BK381" s="1" t="s">
        <v>74</v>
      </c>
      <c r="BL381" s="1" t="s">
        <v>74</v>
      </c>
      <c r="BM381" s="1" t="s">
        <v>74</v>
      </c>
      <c r="BN381" s="1" t="s">
        <v>74</v>
      </c>
      <c r="BO381" s="1" t="s">
        <v>74</v>
      </c>
      <c r="BP381" s="1" t="s">
        <v>74</v>
      </c>
      <c r="BQ381" s="1" t="s">
        <v>74</v>
      </c>
      <c r="BR381" s="1" t="s">
        <v>74</v>
      </c>
      <c r="BS381" s="1" t="s">
        <v>3428</v>
      </c>
      <c r="BT381" s="1" t="str">
        <f>HYPERLINK("https%3A%2F%2Fwww.webofscience.com%2Fwos%2Fwoscc%2Ffull-record%2FWOS:000081380600015","View Full Record in Web of Science")</f>
        <v>View Full Record in Web of Science</v>
      </c>
    </row>
    <row r="382" ht="12.75" customHeight="1">
      <c r="A382" s="1" t="s">
        <v>72</v>
      </c>
      <c r="B382" s="1" t="s">
        <v>3429</v>
      </c>
      <c r="C382" s="1" t="s">
        <v>74</v>
      </c>
      <c r="D382" s="1" t="s">
        <v>74</v>
      </c>
      <c r="E382" s="1" t="s">
        <v>74</v>
      </c>
      <c r="F382" s="1" t="s">
        <v>3429</v>
      </c>
      <c r="G382" s="1" t="s">
        <v>74</v>
      </c>
      <c r="H382" s="1" t="s">
        <v>74</v>
      </c>
      <c r="I382" s="1" t="s">
        <v>3430</v>
      </c>
      <c r="J382" s="1" t="s">
        <v>3431</v>
      </c>
      <c r="K382" s="1" t="s">
        <v>74</v>
      </c>
      <c r="L382" s="1" t="s">
        <v>74</v>
      </c>
      <c r="M382" s="1" t="s">
        <v>74</v>
      </c>
      <c r="N382" s="1" t="s">
        <v>74</v>
      </c>
      <c r="O382" s="1" t="s">
        <v>74</v>
      </c>
      <c r="P382" s="1" t="s">
        <v>74</v>
      </c>
      <c r="Q382" s="1" t="s">
        <v>74</v>
      </c>
      <c r="R382" s="1" t="s">
        <v>74</v>
      </c>
      <c r="S382" s="1" t="s">
        <v>74</v>
      </c>
      <c r="T382" s="1" t="s">
        <v>74</v>
      </c>
      <c r="U382" s="1" t="s">
        <v>74</v>
      </c>
      <c r="V382" s="1" t="s">
        <v>3432</v>
      </c>
      <c r="W382" s="1" t="s">
        <v>74</v>
      </c>
      <c r="X382" s="1" t="s">
        <v>74</v>
      </c>
      <c r="Y382" s="1" t="s">
        <v>74</v>
      </c>
      <c r="Z382" s="1" t="s">
        <v>74</v>
      </c>
      <c r="AA382" s="1" t="s">
        <v>74</v>
      </c>
      <c r="AB382" s="1" t="s">
        <v>3433</v>
      </c>
      <c r="AC382" s="1" t="s">
        <v>74</v>
      </c>
      <c r="AD382" s="1" t="s">
        <v>74</v>
      </c>
      <c r="AE382" s="1" t="s">
        <v>74</v>
      </c>
      <c r="AF382" s="1" t="s">
        <v>74</v>
      </c>
      <c r="AG382" s="1" t="s">
        <v>74</v>
      </c>
      <c r="AH382" s="1" t="s">
        <v>74</v>
      </c>
      <c r="AI382" s="1" t="s">
        <v>74</v>
      </c>
      <c r="AJ382" s="1" t="s">
        <v>74</v>
      </c>
      <c r="AK382" s="1" t="s">
        <v>74</v>
      </c>
      <c r="AL382" s="1" t="s">
        <v>74</v>
      </c>
      <c r="AM382" s="1" t="s">
        <v>74</v>
      </c>
      <c r="AN382" s="1" t="s">
        <v>74</v>
      </c>
      <c r="AO382" s="1" t="s">
        <v>3434</v>
      </c>
      <c r="AP382" s="1" t="s">
        <v>74</v>
      </c>
      <c r="AQ382" s="1" t="s">
        <v>74</v>
      </c>
      <c r="AR382" s="1" t="s">
        <v>74</v>
      </c>
      <c r="AS382" s="1" t="s">
        <v>74</v>
      </c>
      <c r="AT382" s="1" t="s">
        <v>161</v>
      </c>
      <c r="AU382" s="1">
        <v>1998.0</v>
      </c>
      <c r="AV382" s="1">
        <v>41.0</v>
      </c>
      <c r="AW382" s="1">
        <v>4.0</v>
      </c>
      <c r="AX382" s="1" t="s">
        <v>74</v>
      </c>
      <c r="AY382" s="1" t="s">
        <v>74</v>
      </c>
      <c r="AZ382" s="1" t="s">
        <v>74</v>
      </c>
      <c r="BA382" s="1" t="s">
        <v>74</v>
      </c>
      <c r="BB382" s="1">
        <v>441.0</v>
      </c>
      <c r="BC382" s="1">
        <v>446.0</v>
      </c>
      <c r="BD382" s="1" t="s">
        <v>74</v>
      </c>
      <c r="BE382" s="1" t="s">
        <v>3435</v>
      </c>
      <c r="BF382" s="2" t="str">
        <f>HYPERLINK("http://dx.doi.org/10.1007/s002890050385","http://dx.doi.org/10.1007/s002890050385")</f>
        <v>http://dx.doi.org/10.1007/s002890050385</v>
      </c>
      <c r="BG382" s="1" t="s">
        <v>74</v>
      </c>
      <c r="BH382" s="1" t="s">
        <v>74</v>
      </c>
      <c r="BI382" s="1" t="s">
        <v>74</v>
      </c>
      <c r="BJ382" s="1" t="s">
        <v>74</v>
      </c>
      <c r="BK382" s="1" t="s">
        <v>74</v>
      </c>
      <c r="BL382" s="1" t="s">
        <v>74</v>
      </c>
      <c r="BM382" s="1" t="s">
        <v>74</v>
      </c>
      <c r="BN382" s="1" t="s">
        <v>74</v>
      </c>
      <c r="BO382" s="1" t="s">
        <v>74</v>
      </c>
      <c r="BP382" s="1" t="s">
        <v>74</v>
      </c>
      <c r="BQ382" s="1" t="s">
        <v>74</v>
      </c>
      <c r="BR382" s="1" t="s">
        <v>74</v>
      </c>
      <c r="BS382" s="1" t="s">
        <v>3436</v>
      </c>
      <c r="BT382" s="1" t="str">
        <f>HYPERLINK("https%3A%2F%2Fwww.webofscience.com%2Fwos%2Fwoscc%2Ffull-record%2FWOS:000076751800007","View Full Record in Web of Science")</f>
        <v>View Full Record in Web of Science</v>
      </c>
    </row>
    <row r="383" ht="12.75" customHeight="1">
      <c r="A383" s="1" t="s">
        <v>72</v>
      </c>
      <c r="B383" s="1" t="s">
        <v>3437</v>
      </c>
      <c r="C383" s="1" t="s">
        <v>74</v>
      </c>
      <c r="D383" s="1" t="s">
        <v>74</v>
      </c>
      <c r="E383" s="1" t="s">
        <v>74</v>
      </c>
      <c r="F383" s="1" t="s">
        <v>3437</v>
      </c>
      <c r="G383" s="1" t="s">
        <v>74</v>
      </c>
      <c r="H383" s="1" t="s">
        <v>74</v>
      </c>
      <c r="I383" s="1" t="s">
        <v>3438</v>
      </c>
      <c r="J383" s="1" t="s">
        <v>3439</v>
      </c>
      <c r="K383" s="1" t="s">
        <v>74</v>
      </c>
      <c r="L383" s="1" t="s">
        <v>74</v>
      </c>
      <c r="M383" s="1" t="s">
        <v>74</v>
      </c>
      <c r="N383" s="1" t="s">
        <v>74</v>
      </c>
      <c r="O383" s="1" t="s">
        <v>74</v>
      </c>
      <c r="P383" s="1" t="s">
        <v>74</v>
      </c>
      <c r="Q383" s="1" t="s">
        <v>74</v>
      </c>
      <c r="R383" s="1" t="s">
        <v>74</v>
      </c>
      <c r="S383" s="1" t="s">
        <v>74</v>
      </c>
      <c r="T383" s="1" t="s">
        <v>74</v>
      </c>
      <c r="U383" s="1" t="s">
        <v>74</v>
      </c>
      <c r="V383" s="1" t="s">
        <v>74</v>
      </c>
      <c r="W383" s="1" t="s">
        <v>74</v>
      </c>
      <c r="X383" s="1" t="s">
        <v>74</v>
      </c>
      <c r="Y383" s="1" t="s">
        <v>74</v>
      </c>
      <c r="Z383" s="1" t="s">
        <v>74</v>
      </c>
      <c r="AA383" s="1" t="s">
        <v>3440</v>
      </c>
      <c r="AB383" s="1" t="s">
        <v>74</v>
      </c>
      <c r="AC383" s="1" t="s">
        <v>74</v>
      </c>
      <c r="AD383" s="1" t="s">
        <v>74</v>
      </c>
      <c r="AE383" s="1" t="s">
        <v>74</v>
      </c>
      <c r="AF383" s="1" t="s">
        <v>74</v>
      </c>
      <c r="AG383" s="1" t="s">
        <v>74</v>
      </c>
      <c r="AH383" s="1" t="s">
        <v>74</v>
      </c>
      <c r="AI383" s="1" t="s">
        <v>74</v>
      </c>
      <c r="AJ383" s="1" t="s">
        <v>74</v>
      </c>
      <c r="AK383" s="1" t="s">
        <v>74</v>
      </c>
      <c r="AL383" s="1" t="s">
        <v>74</v>
      </c>
      <c r="AM383" s="1" t="s">
        <v>74</v>
      </c>
      <c r="AN383" s="1" t="s">
        <v>74</v>
      </c>
      <c r="AO383" s="1" t="s">
        <v>3441</v>
      </c>
      <c r="AP383" s="1" t="s">
        <v>74</v>
      </c>
      <c r="AQ383" s="1" t="s">
        <v>74</v>
      </c>
      <c r="AR383" s="1" t="s">
        <v>74</v>
      </c>
      <c r="AS383" s="1" t="s">
        <v>74</v>
      </c>
      <c r="AT383" s="1" t="s">
        <v>74</v>
      </c>
      <c r="AU383" s="1">
        <v>1998.0</v>
      </c>
      <c r="AV383" s="1">
        <v>10.0</v>
      </c>
      <c r="AW383" s="1" t="s">
        <v>74</v>
      </c>
      <c r="AX383" s="1" t="s">
        <v>74</v>
      </c>
      <c r="AY383" s="1">
        <v>10.0</v>
      </c>
      <c r="AZ383" s="1" t="s">
        <v>74</v>
      </c>
      <c r="BA383" s="1">
        <v>3301.0</v>
      </c>
      <c r="BB383" s="1">
        <v>95.0</v>
      </c>
      <c r="BC383" s="1">
        <v>95.0</v>
      </c>
      <c r="BD383" s="1" t="s">
        <v>74</v>
      </c>
      <c r="BE383" s="1" t="s">
        <v>74</v>
      </c>
      <c r="BF383" s="1" t="s">
        <v>74</v>
      </c>
      <c r="BG383" s="1" t="s">
        <v>74</v>
      </c>
      <c r="BH383" s="1" t="s">
        <v>74</v>
      </c>
      <c r="BI383" s="1" t="s">
        <v>74</v>
      </c>
      <c r="BJ383" s="1" t="s">
        <v>74</v>
      </c>
      <c r="BK383" s="1" t="s">
        <v>74</v>
      </c>
      <c r="BL383" s="1" t="s">
        <v>74</v>
      </c>
      <c r="BM383" s="1" t="s">
        <v>74</v>
      </c>
      <c r="BN383" s="1" t="s">
        <v>74</v>
      </c>
      <c r="BO383" s="1" t="s">
        <v>74</v>
      </c>
      <c r="BP383" s="1" t="s">
        <v>74</v>
      </c>
      <c r="BQ383" s="1" t="s">
        <v>74</v>
      </c>
      <c r="BR383" s="1" t="s">
        <v>74</v>
      </c>
      <c r="BS383" s="1" t="s">
        <v>3442</v>
      </c>
      <c r="BT383" s="1" t="str">
        <f>HYPERLINK("https%3A%2F%2Fwww.webofscience.com%2Fwos%2Fwoscc%2Ffull-record%2FWOS:000074749400554","View Full Record in Web of Science")</f>
        <v>View Full Record in Web of Science</v>
      </c>
    </row>
    <row r="384" ht="12.75" customHeight="1">
      <c r="A384" s="1" t="s">
        <v>72</v>
      </c>
      <c r="B384" s="1" t="s">
        <v>3443</v>
      </c>
      <c r="C384" s="1" t="s">
        <v>74</v>
      </c>
      <c r="D384" s="1" t="s">
        <v>74</v>
      </c>
      <c r="E384" s="1" t="s">
        <v>74</v>
      </c>
      <c r="F384" s="1" t="s">
        <v>3443</v>
      </c>
      <c r="G384" s="1" t="s">
        <v>74</v>
      </c>
      <c r="H384" s="1" t="s">
        <v>74</v>
      </c>
      <c r="I384" s="1" t="s">
        <v>3444</v>
      </c>
      <c r="J384" s="1" t="s">
        <v>1872</v>
      </c>
      <c r="K384" s="1" t="s">
        <v>74</v>
      </c>
      <c r="L384" s="1" t="s">
        <v>74</v>
      </c>
      <c r="M384" s="1" t="s">
        <v>74</v>
      </c>
      <c r="N384" s="1" t="s">
        <v>74</v>
      </c>
      <c r="O384" s="1" t="s">
        <v>74</v>
      </c>
      <c r="P384" s="1" t="s">
        <v>74</v>
      </c>
      <c r="Q384" s="1" t="s">
        <v>74</v>
      </c>
      <c r="R384" s="1" t="s">
        <v>74</v>
      </c>
      <c r="S384" s="1" t="s">
        <v>74</v>
      </c>
      <c r="T384" s="1" t="s">
        <v>74</v>
      </c>
      <c r="U384" s="1" t="s">
        <v>74</v>
      </c>
      <c r="V384" s="1" t="s">
        <v>3445</v>
      </c>
      <c r="W384" s="1" t="s">
        <v>74</v>
      </c>
      <c r="X384" s="1" t="s">
        <v>74</v>
      </c>
      <c r="Y384" s="1" t="s">
        <v>74</v>
      </c>
      <c r="Z384" s="1" t="s">
        <v>74</v>
      </c>
      <c r="AA384" s="1" t="s">
        <v>74</v>
      </c>
      <c r="AB384" s="1" t="s">
        <v>74</v>
      </c>
      <c r="AC384" s="1" t="s">
        <v>74</v>
      </c>
      <c r="AD384" s="1" t="s">
        <v>74</v>
      </c>
      <c r="AE384" s="1" t="s">
        <v>74</v>
      </c>
      <c r="AF384" s="1" t="s">
        <v>74</v>
      </c>
      <c r="AG384" s="1" t="s">
        <v>74</v>
      </c>
      <c r="AH384" s="1" t="s">
        <v>74</v>
      </c>
      <c r="AI384" s="1" t="s">
        <v>74</v>
      </c>
      <c r="AJ384" s="1" t="s">
        <v>74</v>
      </c>
      <c r="AK384" s="1" t="s">
        <v>74</v>
      </c>
      <c r="AL384" s="1" t="s">
        <v>74</v>
      </c>
      <c r="AM384" s="1" t="s">
        <v>74</v>
      </c>
      <c r="AN384" s="1" t="s">
        <v>74</v>
      </c>
      <c r="AO384" s="1" t="s">
        <v>1874</v>
      </c>
      <c r="AP384" s="1" t="s">
        <v>74</v>
      </c>
      <c r="AQ384" s="1" t="s">
        <v>74</v>
      </c>
      <c r="AR384" s="1" t="s">
        <v>74</v>
      </c>
      <c r="AS384" s="1" t="s">
        <v>74</v>
      </c>
      <c r="AT384" s="1" t="s">
        <v>3446</v>
      </c>
      <c r="AU384" s="1">
        <v>1996.0</v>
      </c>
      <c r="AV384" s="1">
        <v>177.0</v>
      </c>
      <c r="AW384" s="1">
        <v>1.0</v>
      </c>
      <c r="AX384" s="1" t="s">
        <v>74</v>
      </c>
      <c r="AY384" s="1" t="s">
        <v>74</v>
      </c>
      <c r="AZ384" s="1" t="s">
        <v>74</v>
      </c>
      <c r="BA384" s="1" t="s">
        <v>74</v>
      </c>
      <c r="BB384" s="1">
        <v>229.0</v>
      </c>
      <c r="BC384" s="1">
        <v>233.0</v>
      </c>
      <c r="BD384" s="1" t="s">
        <v>74</v>
      </c>
      <c r="BE384" s="1" t="s">
        <v>3447</v>
      </c>
      <c r="BF384" s="2" t="str">
        <f>HYPERLINK("http://dx.doi.org/10.1006/jcis.1996.0025","http://dx.doi.org/10.1006/jcis.1996.0025")</f>
        <v>http://dx.doi.org/10.1006/jcis.1996.0025</v>
      </c>
      <c r="BG384" s="1" t="s">
        <v>74</v>
      </c>
      <c r="BH384" s="1" t="s">
        <v>74</v>
      </c>
      <c r="BI384" s="1" t="s">
        <v>74</v>
      </c>
      <c r="BJ384" s="1" t="s">
        <v>74</v>
      </c>
      <c r="BK384" s="1" t="s">
        <v>74</v>
      </c>
      <c r="BL384" s="1" t="s">
        <v>74</v>
      </c>
      <c r="BM384" s="1" t="s">
        <v>74</v>
      </c>
      <c r="BN384" s="1">
        <v>1.0479436E7</v>
      </c>
      <c r="BO384" s="1" t="s">
        <v>74</v>
      </c>
      <c r="BP384" s="1" t="s">
        <v>74</v>
      </c>
      <c r="BQ384" s="1" t="s">
        <v>74</v>
      </c>
      <c r="BR384" s="1" t="s">
        <v>74</v>
      </c>
      <c r="BS384" s="1" t="s">
        <v>3448</v>
      </c>
      <c r="BT384" s="1" t="str">
        <f>HYPERLINK("https%3A%2F%2Fwww.webofscience.com%2Fwos%2Fwoscc%2Ffull-record%2FWOS:A1996TN49100025","View Full Record in Web of Science")</f>
        <v>View Full Record in Web of Science</v>
      </c>
    </row>
    <row r="385" ht="12.75" customHeight="1">
      <c r="A385" s="1" t="s">
        <v>72</v>
      </c>
      <c r="B385" s="1" t="s">
        <v>3449</v>
      </c>
      <c r="C385" s="1" t="s">
        <v>74</v>
      </c>
      <c r="D385" s="1" t="s">
        <v>74</v>
      </c>
      <c r="E385" s="1" t="s">
        <v>74</v>
      </c>
      <c r="F385" s="1" t="s">
        <v>3449</v>
      </c>
      <c r="G385" s="1" t="s">
        <v>74</v>
      </c>
      <c r="H385" s="1" t="s">
        <v>74</v>
      </c>
      <c r="I385" s="1" t="s">
        <v>3450</v>
      </c>
      <c r="J385" s="1" t="s">
        <v>177</v>
      </c>
      <c r="K385" s="1" t="s">
        <v>74</v>
      </c>
      <c r="L385" s="1" t="s">
        <v>74</v>
      </c>
      <c r="M385" s="1" t="s">
        <v>74</v>
      </c>
      <c r="N385" s="1" t="s">
        <v>74</v>
      </c>
      <c r="O385" s="1" t="s">
        <v>74</v>
      </c>
      <c r="P385" s="1" t="s">
        <v>74</v>
      </c>
      <c r="Q385" s="1" t="s">
        <v>74</v>
      </c>
      <c r="R385" s="1" t="s">
        <v>74</v>
      </c>
      <c r="S385" s="1" t="s">
        <v>74</v>
      </c>
      <c r="T385" s="1" t="s">
        <v>74</v>
      </c>
      <c r="U385" s="1" t="s">
        <v>74</v>
      </c>
      <c r="V385" s="1" t="s">
        <v>3451</v>
      </c>
      <c r="W385" s="1" t="s">
        <v>74</v>
      </c>
      <c r="X385" s="1" t="s">
        <v>74</v>
      </c>
      <c r="Y385" s="1" t="s">
        <v>74</v>
      </c>
      <c r="Z385" s="1" t="s">
        <v>74</v>
      </c>
      <c r="AA385" s="1" t="s">
        <v>74</v>
      </c>
      <c r="AB385" s="1" t="s">
        <v>74</v>
      </c>
      <c r="AC385" s="1" t="s">
        <v>74</v>
      </c>
      <c r="AD385" s="1" t="s">
        <v>74</v>
      </c>
      <c r="AE385" s="1" t="s">
        <v>74</v>
      </c>
      <c r="AF385" s="1" t="s">
        <v>74</v>
      </c>
      <c r="AG385" s="1" t="s">
        <v>74</v>
      </c>
      <c r="AH385" s="1" t="s">
        <v>74</v>
      </c>
      <c r="AI385" s="1" t="s">
        <v>74</v>
      </c>
      <c r="AJ385" s="1" t="s">
        <v>74</v>
      </c>
      <c r="AK385" s="1" t="s">
        <v>74</v>
      </c>
      <c r="AL385" s="1" t="s">
        <v>74</v>
      </c>
      <c r="AM385" s="1" t="s">
        <v>74</v>
      </c>
      <c r="AN385" s="1" t="s">
        <v>74</v>
      </c>
      <c r="AO385" s="1" t="s">
        <v>179</v>
      </c>
      <c r="AP385" s="1" t="s">
        <v>74</v>
      </c>
      <c r="AQ385" s="1" t="s">
        <v>74</v>
      </c>
      <c r="AR385" s="1" t="s">
        <v>74</v>
      </c>
      <c r="AS385" s="1" t="s">
        <v>74</v>
      </c>
      <c r="AT385" s="1" t="s">
        <v>148</v>
      </c>
      <c r="AU385" s="1">
        <v>1995.0</v>
      </c>
      <c r="AV385" s="1">
        <v>40.0</v>
      </c>
      <c r="AW385" s="1">
        <v>1.0</v>
      </c>
      <c r="AX385" s="1" t="s">
        <v>74</v>
      </c>
      <c r="AY385" s="1" t="s">
        <v>74</v>
      </c>
      <c r="AZ385" s="1" t="s">
        <v>74</v>
      </c>
      <c r="BA385" s="1" t="s">
        <v>74</v>
      </c>
      <c r="BB385" s="1">
        <v>101.0</v>
      </c>
      <c r="BC385" s="1">
        <v>103.0</v>
      </c>
      <c r="BD385" s="1" t="s">
        <v>74</v>
      </c>
      <c r="BE385" s="1" t="s">
        <v>74</v>
      </c>
      <c r="BF385" s="1" t="s">
        <v>74</v>
      </c>
      <c r="BG385" s="1" t="s">
        <v>74</v>
      </c>
      <c r="BH385" s="1" t="s">
        <v>74</v>
      </c>
      <c r="BI385" s="1" t="s">
        <v>74</v>
      </c>
      <c r="BJ385" s="1" t="s">
        <v>74</v>
      </c>
      <c r="BK385" s="1" t="s">
        <v>74</v>
      </c>
      <c r="BL385" s="1" t="s">
        <v>74</v>
      </c>
      <c r="BM385" s="1" t="s">
        <v>74</v>
      </c>
      <c r="BN385" s="1" t="s">
        <v>74</v>
      </c>
      <c r="BO385" s="1" t="s">
        <v>74</v>
      </c>
      <c r="BP385" s="1" t="s">
        <v>74</v>
      </c>
      <c r="BQ385" s="1" t="s">
        <v>74</v>
      </c>
      <c r="BR385" s="1" t="s">
        <v>74</v>
      </c>
      <c r="BS385" s="1" t="s">
        <v>3452</v>
      </c>
      <c r="BT385" s="1" t="str">
        <f>HYPERLINK("https%3A%2F%2Fwww.webofscience.com%2Fwos%2Fwoscc%2Ffull-record%2FWOS:A1995QV98900014","View Full Record in Web of Science")</f>
        <v>View Full Record in Web of Science</v>
      </c>
    </row>
    <row r="386" ht="12.75" customHeight="1">
      <c r="A386" s="1" t="s">
        <v>72</v>
      </c>
      <c r="B386" s="1" t="s">
        <v>3453</v>
      </c>
      <c r="C386" s="1" t="s">
        <v>74</v>
      </c>
      <c r="D386" s="1" t="s">
        <v>74</v>
      </c>
      <c r="E386" s="1" t="s">
        <v>74</v>
      </c>
      <c r="F386" s="1" t="s">
        <v>3453</v>
      </c>
      <c r="G386" s="1" t="s">
        <v>74</v>
      </c>
      <c r="H386" s="1" t="s">
        <v>74</v>
      </c>
      <c r="I386" s="1" t="s">
        <v>3454</v>
      </c>
      <c r="J386" s="1" t="s">
        <v>3455</v>
      </c>
      <c r="K386" s="1" t="s">
        <v>74</v>
      </c>
      <c r="L386" s="1" t="s">
        <v>74</v>
      </c>
      <c r="M386" s="1" t="s">
        <v>74</v>
      </c>
      <c r="N386" s="1" t="s">
        <v>74</v>
      </c>
      <c r="O386" s="1" t="s">
        <v>74</v>
      </c>
      <c r="P386" s="1" t="s">
        <v>74</v>
      </c>
      <c r="Q386" s="1" t="s">
        <v>74</v>
      </c>
      <c r="R386" s="1" t="s">
        <v>74</v>
      </c>
      <c r="S386" s="1" t="s">
        <v>74</v>
      </c>
      <c r="T386" s="1" t="s">
        <v>74</v>
      </c>
      <c r="U386" s="1" t="s">
        <v>74</v>
      </c>
      <c r="V386" s="1" t="s">
        <v>3456</v>
      </c>
      <c r="W386" s="1" t="s">
        <v>74</v>
      </c>
      <c r="X386" s="1" t="s">
        <v>74</v>
      </c>
      <c r="Y386" s="1" t="s">
        <v>74</v>
      </c>
      <c r="Z386" s="1" t="s">
        <v>74</v>
      </c>
      <c r="AA386" s="1" t="s">
        <v>74</v>
      </c>
      <c r="AB386" s="1" t="s">
        <v>74</v>
      </c>
      <c r="AC386" s="1" t="s">
        <v>74</v>
      </c>
      <c r="AD386" s="1" t="s">
        <v>74</v>
      </c>
      <c r="AE386" s="1" t="s">
        <v>74</v>
      </c>
      <c r="AF386" s="1" t="s">
        <v>74</v>
      </c>
      <c r="AG386" s="1" t="s">
        <v>74</v>
      </c>
      <c r="AH386" s="1" t="s">
        <v>74</v>
      </c>
      <c r="AI386" s="1" t="s">
        <v>74</v>
      </c>
      <c r="AJ386" s="1" t="s">
        <v>74</v>
      </c>
      <c r="AK386" s="1" t="s">
        <v>74</v>
      </c>
      <c r="AL386" s="1" t="s">
        <v>74</v>
      </c>
      <c r="AM386" s="1" t="s">
        <v>74</v>
      </c>
      <c r="AN386" s="1" t="s">
        <v>74</v>
      </c>
      <c r="AO386" s="1" t="s">
        <v>3457</v>
      </c>
      <c r="AP386" s="1" t="s">
        <v>74</v>
      </c>
      <c r="AQ386" s="1" t="s">
        <v>74</v>
      </c>
      <c r="AR386" s="1" t="s">
        <v>74</v>
      </c>
      <c r="AS386" s="1" t="s">
        <v>74</v>
      </c>
      <c r="AT386" s="1" t="s">
        <v>74</v>
      </c>
      <c r="AU386" s="1">
        <v>1995.0</v>
      </c>
      <c r="AV386" s="1">
        <v>34.0</v>
      </c>
      <c r="AW386" s="1">
        <v>6.0</v>
      </c>
      <c r="AX386" s="1" t="s">
        <v>74</v>
      </c>
      <c r="AY386" s="1" t="s">
        <v>74</v>
      </c>
      <c r="AZ386" s="1" t="s">
        <v>74</v>
      </c>
      <c r="BA386" s="1" t="s">
        <v>74</v>
      </c>
      <c r="BB386" s="1">
        <v>935.0</v>
      </c>
      <c r="BC386" s="1">
        <v>945.0</v>
      </c>
      <c r="BD386" s="1" t="s">
        <v>74</v>
      </c>
      <c r="BE386" s="1" t="s">
        <v>3458</v>
      </c>
      <c r="BF386" s="2" t="str">
        <f>HYPERLINK("http://dx.doi.org/10.1080/03602559508012185","http://dx.doi.org/10.1080/03602559508012185")</f>
        <v>http://dx.doi.org/10.1080/03602559508012185</v>
      </c>
      <c r="BG386" s="1" t="s">
        <v>74</v>
      </c>
      <c r="BH386" s="1" t="s">
        <v>74</v>
      </c>
      <c r="BI386" s="1" t="s">
        <v>74</v>
      </c>
      <c r="BJ386" s="1" t="s">
        <v>74</v>
      </c>
      <c r="BK386" s="1" t="s">
        <v>74</v>
      </c>
      <c r="BL386" s="1" t="s">
        <v>74</v>
      </c>
      <c r="BM386" s="1" t="s">
        <v>74</v>
      </c>
      <c r="BN386" s="1" t="s">
        <v>74</v>
      </c>
      <c r="BO386" s="1" t="s">
        <v>74</v>
      </c>
      <c r="BP386" s="1" t="s">
        <v>74</v>
      </c>
      <c r="BQ386" s="1" t="s">
        <v>74</v>
      </c>
      <c r="BR386" s="1" t="s">
        <v>74</v>
      </c>
      <c r="BS386" s="1" t="s">
        <v>3459</v>
      </c>
      <c r="BT386" s="1" t="str">
        <f>HYPERLINK("https%3A%2F%2Fwww.webofscience.com%2Fwos%2Fwoscc%2Ffull-record%2FWOS:A1995TG84800007","View Full Record in Web of Science")</f>
        <v>View Full Record in Web of Science</v>
      </c>
    </row>
    <row r="387" ht="12.75" customHeight="1">
      <c r="A387" s="1" t="s">
        <v>72</v>
      </c>
      <c r="B387" s="1" t="s">
        <v>3460</v>
      </c>
      <c r="C387" s="1" t="s">
        <v>74</v>
      </c>
      <c r="D387" s="1" t="s">
        <v>74</v>
      </c>
      <c r="E387" s="1" t="s">
        <v>74</v>
      </c>
      <c r="F387" s="1" t="s">
        <v>3460</v>
      </c>
      <c r="G387" s="1" t="s">
        <v>74</v>
      </c>
      <c r="H387" s="1" t="s">
        <v>74</v>
      </c>
      <c r="I387" s="1" t="s">
        <v>3461</v>
      </c>
      <c r="J387" s="1" t="s">
        <v>177</v>
      </c>
      <c r="K387" s="1" t="s">
        <v>74</v>
      </c>
      <c r="L387" s="1" t="s">
        <v>74</v>
      </c>
      <c r="M387" s="1" t="s">
        <v>74</v>
      </c>
      <c r="N387" s="1" t="s">
        <v>74</v>
      </c>
      <c r="O387" s="1" t="s">
        <v>74</v>
      </c>
      <c r="P387" s="1" t="s">
        <v>74</v>
      </c>
      <c r="Q387" s="1" t="s">
        <v>74</v>
      </c>
      <c r="R387" s="1" t="s">
        <v>74</v>
      </c>
      <c r="S387" s="1" t="s">
        <v>74</v>
      </c>
      <c r="T387" s="1" t="s">
        <v>74</v>
      </c>
      <c r="U387" s="1" t="s">
        <v>74</v>
      </c>
      <c r="V387" s="1" t="s">
        <v>3462</v>
      </c>
      <c r="W387" s="1" t="s">
        <v>74</v>
      </c>
      <c r="X387" s="1" t="s">
        <v>74</v>
      </c>
      <c r="Y387" s="1" t="s">
        <v>74</v>
      </c>
      <c r="Z387" s="1" t="s">
        <v>74</v>
      </c>
      <c r="AA387" s="1" t="s">
        <v>74</v>
      </c>
      <c r="AB387" s="1" t="s">
        <v>74</v>
      </c>
      <c r="AC387" s="1" t="s">
        <v>74</v>
      </c>
      <c r="AD387" s="1" t="s">
        <v>74</v>
      </c>
      <c r="AE387" s="1" t="s">
        <v>74</v>
      </c>
      <c r="AF387" s="1" t="s">
        <v>74</v>
      </c>
      <c r="AG387" s="1" t="s">
        <v>74</v>
      </c>
      <c r="AH387" s="1" t="s">
        <v>74</v>
      </c>
      <c r="AI387" s="1" t="s">
        <v>74</v>
      </c>
      <c r="AJ387" s="1" t="s">
        <v>74</v>
      </c>
      <c r="AK387" s="1" t="s">
        <v>74</v>
      </c>
      <c r="AL387" s="1" t="s">
        <v>74</v>
      </c>
      <c r="AM387" s="1" t="s">
        <v>74</v>
      </c>
      <c r="AN387" s="1" t="s">
        <v>74</v>
      </c>
      <c r="AO387" s="1" t="s">
        <v>179</v>
      </c>
      <c r="AP387" s="1" t="s">
        <v>74</v>
      </c>
      <c r="AQ387" s="1" t="s">
        <v>74</v>
      </c>
      <c r="AR387" s="1" t="s">
        <v>74</v>
      </c>
      <c r="AS387" s="1" t="s">
        <v>74</v>
      </c>
      <c r="AT387" s="1" t="s">
        <v>148</v>
      </c>
      <c r="AU387" s="1">
        <v>1994.0</v>
      </c>
      <c r="AV387" s="1">
        <v>39.0</v>
      </c>
      <c r="AW387" s="1">
        <v>1.0</v>
      </c>
      <c r="AX387" s="1" t="s">
        <v>74</v>
      </c>
      <c r="AY387" s="1" t="s">
        <v>74</v>
      </c>
      <c r="AZ387" s="1" t="s">
        <v>74</v>
      </c>
      <c r="BA387" s="1" t="s">
        <v>74</v>
      </c>
      <c r="BB387" s="1">
        <v>23.0</v>
      </c>
      <c r="BC387" s="1">
        <v>28.0</v>
      </c>
      <c r="BD387" s="1" t="s">
        <v>74</v>
      </c>
      <c r="BE387" s="1" t="s">
        <v>74</v>
      </c>
      <c r="BF387" s="1" t="s">
        <v>74</v>
      </c>
      <c r="BG387" s="1" t="s">
        <v>74</v>
      </c>
      <c r="BH387" s="1" t="s">
        <v>74</v>
      </c>
      <c r="BI387" s="1" t="s">
        <v>74</v>
      </c>
      <c r="BJ387" s="1" t="s">
        <v>74</v>
      </c>
      <c r="BK387" s="1" t="s">
        <v>74</v>
      </c>
      <c r="BL387" s="1" t="s">
        <v>74</v>
      </c>
      <c r="BM387" s="1" t="s">
        <v>74</v>
      </c>
      <c r="BN387" s="1" t="s">
        <v>74</v>
      </c>
      <c r="BO387" s="1" t="s">
        <v>74</v>
      </c>
      <c r="BP387" s="1" t="s">
        <v>74</v>
      </c>
      <c r="BQ387" s="1" t="s">
        <v>74</v>
      </c>
      <c r="BR387" s="1" t="s">
        <v>74</v>
      </c>
      <c r="BS387" s="1" t="s">
        <v>3463</v>
      </c>
      <c r="BT387" s="1" t="str">
        <f>HYPERLINK("https%3A%2F%2Fwww.webofscience.com%2Fwos%2Fwoscc%2Ffull-record%2FWOS:A1994NK09000007","View Full Record in Web of Science")</f>
        <v>View Full Record in Web of Science</v>
      </c>
    </row>
    <row r="388" ht="12.75" customHeight="1">
      <c r="A388" s="1" t="s">
        <v>91</v>
      </c>
      <c r="B388" s="1" t="s">
        <v>3464</v>
      </c>
      <c r="C388" s="1" t="s">
        <v>74</v>
      </c>
      <c r="D388" s="1" t="s">
        <v>3465</v>
      </c>
      <c r="E388" s="1" t="s">
        <v>74</v>
      </c>
      <c r="F388" s="1" t="s">
        <v>3464</v>
      </c>
      <c r="G388" s="1" t="s">
        <v>74</v>
      </c>
      <c r="H388" s="1" t="s">
        <v>74</v>
      </c>
      <c r="I388" s="1" t="s">
        <v>3466</v>
      </c>
      <c r="J388" s="1" t="s">
        <v>3467</v>
      </c>
      <c r="K388" s="1" t="s">
        <v>74</v>
      </c>
      <c r="L388" s="1" t="s">
        <v>74</v>
      </c>
      <c r="M388" s="1" t="s">
        <v>74</v>
      </c>
      <c r="N388" s="1" t="s">
        <v>74</v>
      </c>
      <c r="O388" s="1" t="s">
        <v>3468</v>
      </c>
      <c r="P388" s="1" t="s">
        <v>3469</v>
      </c>
      <c r="Q388" s="1" t="s">
        <v>3470</v>
      </c>
      <c r="R388" s="1" t="s">
        <v>74</v>
      </c>
      <c r="S388" s="1" t="s">
        <v>74</v>
      </c>
      <c r="T388" s="1" t="s">
        <v>74</v>
      </c>
      <c r="U388" s="1" t="s">
        <v>74</v>
      </c>
      <c r="V388" s="1" t="s">
        <v>74</v>
      </c>
      <c r="W388" s="1" t="s">
        <v>74</v>
      </c>
      <c r="X388" s="1" t="s">
        <v>74</v>
      </c>
      <c r="Y388" s="1" t="s">
        <v>74</v>
      </c>
      <c r="Z388" s="1" t="s">
        <v>74</v>
      </c>
      <c r="AA388" s="1" t="s">
        <v>3471</v>
      </c>
      <c r="AB388" s="1" t="s">
        <v>3472</v>
      </c>
      <c r="AC388" s="1" t="s">
        <v>74</v>
      </c>
      <c r="AD388" s="1" t="s">
        <v>74</v>
      </c>
      <c r="AE388" s="1" t="s">
        <v>74</v>
      </c>
      <c r="AF388" s="1" t="s">
        <v>74</v>
      </c>
      <c r="AG388" s="1" t="s">
        <v>74</v>
      </c>
      <c r="AH388" s="1" t="s">
        <v>74</v>
      </c>
      <c r="AI388" s="1" t="s">
        <v>74</v>
      </c>
      <c r="AJ388" s="1" t="s">
        <v>74</v>
      </c>
      <c r="AK388" s="1" t="s">
        <v>74</v>
      </c>
      <c r="AL388" s="1" t="s">
        <v>74</v>
      </c>
      <c r="AM388" s="1" t="s">
        <v>74</v>
      </c>
      <c r="AN388" s="1" t="s">
        <v>74</v>
      </c>
      <c r="AO388" s="1" t="s">
        <v>74</v>
      </c>
      <c r="AP388" s="1" t="s">
        <v>74</v>
      </c>
      <c r="AQ388" s="1" t="s">
        <v>74</v>
      </c>
      <c r="AR388" s="1" t="s">
        <v>74</v>
      </c>
      <c r="AS388" s="1" t="s">
        <v>74</v>
      </c>
      <c r="AT388" s="1" t="s">
        <v>74</v>
      </c>
      <c r="AU388" s="1">
        <v>1993.0</v>
      </c>
      <c r="AV388" s="1" t="s">
        <v>74</v>
      </c>
      <c r="AW388" s="1" t="s">
        <v>74</v>
      </c>
      <c r="AX388" s="1" t="s">
        <v>74</v>
      </c>
      <c r="AY388" s="1" t="s">
        <v>74</v>
      </c>
      <c r="AZ388" s="1" t="s">
        <v>74</v>
      </c>
      <c r="BA388" s="1" t="s">
        <v>74</v>
      </c>
      <c r="BB388" s="1">
        <v>251.0</v>
      </c>
      <c r="BC388" s="1">
        <v>258.0</v>
      </c>
      <c r="BD388" s="1" t="s">
        <v>74</v>
      </c>
      <c r="BE388" s="1" t="s">
        <v>74</v>
      </c>
      <c r="BF388" s="1" t="s">
        <v>74</v>
      </c>
      <c r="BG388" s="1" t="s">
        <v>74</v>
      </c>
      <c r="BH388" s="1" t="s">
        <v>74</v>
      </c>
      <c r="BI388" s="1" t="s">
        <v>74</v>
      </c>
      <c r="BJ388" s="1" t="s">
        <v>74</v>
      </c>
      <c r="BK388" s="1" t="s">
        <v>74</v>
      </c>
      <c r="BL388" s="1" t="s">
        <v>74</v>
      </c>
      <c r="BM388" s="1" t="s">
        <v>74</v>
      </c>
      <c r="BN388" s="1" t="s">
        <v>74</v>
      </c>
      <c r="BO388" s="1" t="s">
        <v>74</v>
      </c>
      <c r="BP388" s="1" t="s">
        <v>74</v>
      </c>
      <c r="BQ388" s="1" t="s">
        <v>74</v>
      </c>
      <c r="BR388" s="1" t="s">
        <v>74</v>
      </c>
      <c r="BS388" s="1" t="s">
        <v>3473</v>
      </c>
      <c r="BT388" s="1" t="str">
        <f>HYPERLINK("https%3A%2F%2Fwww.webofscience.com%2Fwos%2Fwoscc%2Ffull-record%2FWOS:A1993BH62F00018","View Full Record in Web of Science")</f>
        <v>View Full Record in Web of Science</v>
      </c>
    </row>
    <row r="389" ht="12.75" customHeight="1">
      <c r="A389" s="1" t="s">
        <v>72</v>
      </c>
      <c r="B389" s="1" t="s">
        <v>3474</v>
      </c>
      <c r="C389" s="1" t="s">
        <v>74</v>
      </c>
      <c r="D389" s="1" t="s">
        <v>74</v>
      </c>
      <c r="E389" s="1" t="s">
        <v>74</v>
      </c>
      <c r="F389" s="1" t="s">
        <v>3474</v>
      </c>
      <c r="G389" s="1" t="s">
        <v>74</v>
      </c>
      <c r="H389" s="1" t="s">
        <v>74</v>
      </c>
      <c r="I389" s="1" t="s">
        <v>3475</v>
      </c>
      <c r="J389" s="1" t="s">
        <v>177</v>
      </c>
      <c r="K389" s="1" t="s">
        <v>74</v>
      </c>
      <c r="L389" s="1" t="s">
        <v>74</v>
      </c>
      <c r="M389" s="1" t="s">
        <v>74</v>
      </c>
      <c r="N389" s="1" t="s">
        <v>74</v>
      </c>
      <c r="O389" s="1" t="s">
        <v>74</v>
      </c>
      <c r="P389" s="1" t="s">
        <v>74</v>
      </c>
      <c r="Q389" s="1" t="s">
        <v>74</v>
      </c>
      <c r="R389" s="1" t="s">
        <v>74</v>
      </c>
      <c r="S389" s="1" t="s">
        <v>74</v>
      </c>
      <c r="T389" s="1" t="s">
        <v>74</v>
      </c>
      <c r="U389" s="1" t="s">
        <v>74</v>
      </c>
      <c r="V389" s="1" t="s">
        <v>3476</v>
      </c>
      <c r="W389" s="1" t="s">
        <v>74</v>
      </c>
      <c r="X389" s="1" t="s">
        <v>74</v>
      </c>
      <c r="Y389" s="1" t="s">
        <v>74</v>
      </c>
      <c r="Z389" s="1" t="s">
        <v>74</v>
      </c>
      <c r="AA389" s="1" t="s">
        <v>74</v>
      </c>
      <c r="AB389" s="1" t="s">
        <v>74</v>
      </c>
      <c r="AC389" s="1" t="s">
        <v>74</v>
      </c>
      <c r="AD389" s="1" t="s">
        <v>74</v>
      </c>
      <c r="AE389" s="1" t="s">
        <v>74</v>
      </c>
      <c r="AF389" s="1" t="s">
        <v>74</v>
      </c>
      <c r="AG389" s="1" t="s">
        <v>74</v>
      </c>
      <c r="AH389" s="1" t="s">
        <v>74</v>
      </c>
      <c r="AI389" s="1" t="s">
        <v>74</v>
      </c>
      <c r="AJ389" s="1" t="s">
        <v>74</v>
      </c>
      <c r="AK389" s="1" t="s">
        <v>74</v>
      </c>
      <c r="AL389" s="1" t="s">
        <v>74</v>
      </c>
      <c r="AM389" s="1" t="s">
        <v>74</v>
      </c>
      <c r="AN389" s="1" t="s">
        <v>74</v>
      </c>
      <c r="AO389" s="1" t="s">
        <v>179</v>
      </c>
      <c r="AP389" s="1" t="s">
        <v>74</v>
      </c>
      <c r="AQ389" s="1" t="s">
        <v>74</v>
      </c>
      <c r="AR389" s="1" t="s">
        <v>74</v>
      </c>
      <c r="AS389" s="1" t="s">
        <v>74</v>
      </c>
      <c r="AT389" s="1" t="s">
        <v>276</v>
      </c>
      <c r="AU389" s="1">
        <v>1992.0</v>
      </c>
      <c r="AV389" s="1">
        <v>37.0</v>
      </c>
      <c r="AW389" s="1">
        <v>3.0</v>
      </c>
      <c r="AX389" s="1" t="s">
        <v>74</v>
      </c>
      <c r="AY389" s="1" t="s">
        <v>74</v>
      </c>
      <c r="AZ389" s="1" t="s">
        <v>74</v>
      </c>
      <c r="BA389" s="1" t="s">
        <v>74</v>
      </c>
      <c r="BB389" s="1">
        <v>183.0</v>
      </c>
      <c r="BC389" s="1">
        <v>187.0</v>
      </c>
      <c r="BD389" s="1" t="s">
        <v>74</v>
      </c>
      <c r="BE389" s="1" t="s">
        <v>74</v>
      </c>
      <c r="BF389" s="1" t="s">
        <v>74</v>
      </c>
      <c r="BG389" s="1" t="s">
        <v>74</v>
      </c>
      <c r="BH389" s="1" t="s">
        <v>74</v>
      </c>
      <c r="BI389" s="1" t="s">
        <v>74</v>
      </c>
      <c r="BJ389" s="1" t="s">
        <v>74</v>
      </c>
      <c r="BK389" s="1" t="s">
        <v>74</v>
      </c>
      <c r="BL389" s="1" t="s">
        <v>74</v>
      </c>
      <c r="BM389" s="1" t="s">
        <v>74</v>
      </c>
      <c r="BN389" s="1" t="s">
        <v>74</v>
      </c>
      <c r="BO389" s="1" t="s">
        <v>74</v>
      </c>
      <c r="BP389" s="1" t="s">
        <v>74</v>
      </c>
      <c r="BQ389" s="1" t="s">
        <v>74</v>
      </c>
      <c r="BR389" s="1" t="s">
        <v>74</v>
      </c>
      <c r="BS389" s="1" t="s">
        <v>3477</v>
      </c>
      <c r="BT389" s="1" t="str">
        <f>HYPERLINK("https%3A%2F%2Fwww.webofscience.com%2Fwos%2Fwoscc%2Ffull-record%2FWOS:A1992JT84200007","View Full Record in Web of Science")</f>
        <v>View Full Record in Web of Science</v>
      </c>
    </row>
    <row r="390" ht="12.75" customHeight="1">
      <c r="A390" s="1" t="s">
        <v>72</v>
      </c>
      <c r="B390" s="1" t="s">
        <v>3478</v>
      </c>
      <c r="C390" s="1" t="s">
        <v>74</v>
      </c>
      <c r="D390" s="1" t="s">
        <v>74</v>
      </c>
      <c r="E390" s="1" t="s">
        <v>74</v>
      </c>
      <c r="F390" s="1" t="s">
        <v>3478</v>
      </c>
      <c r="G390" s="1" t="s">
        <v>74</v>
      </c>
      <c r="H390" s="1" t="s">
        <v>74</v>
      </c>
      <c r="I390" s="1" t="s">
        <v>3479</v>
      </c>
      <c r="J390" s="1" t="s">
        <v>3480</v>
      </c>
      <c r="K390" s="1" t="s">
        <v>74</v>
      </c>
      <c r="L390" s="1" t="s">
        <v>74</v>
      </c>
      <c r="M390" s="1" t="s">
        <v>74</v>
      </c>
      <c r="N390" s="1" t="s">
        <v>74</v>
      </c>
      <c r="O390" s="1" t="s">
        <v>74</v>
      </c>
      <c r="P390" s="1" t="s">
        <v>74</v>
      </c>
      <c r="Q390" s="1" t="s">
        <v>74</v>
      </c>
      <c r="R390" s="1" t="s">
        <v>74</v>
      </c>
      <c r="S390" s="1" t="s">
        <v>74</v>
      </c>
      <c r="T390" s="1" t="s">
        <v>74</v>
      </c>
      <c r="U390" s="1" t="s">
        <v>74</v>
      </c>
      <c r="V390" s="1" t="s">
        <v>74</v>
      </c>
      <c r="W390" s="1" t="s">
        <v>74</v>
      </c>
      <c r="X390" s="1" t="s">
        <v>74</v>
      </c>
      <c r="Y390" s="1" t="s">
        <v>74</v>
      </c>
      <c r="Z390" s="1" t="s">
        <v>74</v>
      </c>
      <c r="AA390" s="1" t="s">
        <v>74</v>
      </c>
      <c r="AB390" s="1" t="s">
        <v>74</v>
      </c>
      <c r="AC390" s="1" t="s">
        <v>74</v>
      </c>
      <c r="AD390" s="1" t="s">
        <v>74</v>
      </c>
      <c r="AE390" s="1" t="s">
        <v>74</v>
      </c>
      <c r="AF390" s="1" t="s">
        <v>74</v>
      </c>
      <c r="AG390" s="1" t="s">
        <v>74</v>
      </c>
      <c r="AH390" s="1" t="s">
        <v>74</v>
      </c>
      <c r="AI390" s="1" t="s">
        <v>74</v>
      </c>
      <c r="AJ390" s="1" t="s">
        <v>74</v>
      </c>
      <c r="AK390" s="1" t="s">
        <v>74</v>
      </c>
      <c r="AL390" s="1" t="s">
        <v>74</v>
      </c>
      <c r="AM390" s="1" t="s">
        <v>74</v>
      </c>
      <c r="AN390" s="1" t="s">
        <v>74</v>
      </c>
      <c r="AO390" s="1" t="s">
        <v>3481</v>
      </c>
      <c r="AP390" s="1" t="s">
        <v>74</v>
      </c>
      <c r="AQ390" s="1" t="s">
        <v>74</v>
      </c>
      <c r="AR390" s="1" t="s">
        <v>74</v>
      </c>
      <c r="AS390" s="1" t="s">
        <v>74</v>
      </c>
      <c r="AT390" s="1" t="s">
        <v>74</v>
      </c>
      <c r="AU390" s="1">
        <v>1985.0</v>
      </c>
      <c r="AV390" s="1">
        <v>58.0</v>
      </c>
      <c r="AW390" s="1">
        <v>1.0</v>
      </c>
      <c r="AX390" s="1" t="s">
        <v>74</v>
      </c>
      <c r="AY390" s="1" t="s">
        <v>74</v>
      </c>
      <c r="AZ390" s="1" t="s">
        <v>74</v>
      </c>
      <c r="BA390" s="1" t="s">
        <v>74</v>
      </c>
      <c r="BB390" s="1">
        <v>98.0</v>
      </c>
      <c r="BC390" s="1">
        <v>102.0</v>
      </c>
      <c r="BD390" s="1" t="s">
        <v>74</v>
      </c>
      <c r="BE390" s="1" t="s">
        <v>3482</v>
      </c>
      <c r="BF390" s="2" t="str">
        <f>HYPERLINK("http://dx.doi.org/10.1016/0022-4596(85)90272-5","http://dx.doi.org/10.1016/0022-4596(85)90272-5")</f>
        <v>http://dx.doi.org/10.1016/0022-4596(85)90272-5</v>
      </c>
      <c r="BG390" s="1" t="s">
        <v>74</v>
      </c>
      <c r="BH390" s="1" t="s">
        <v>74</v>
      </c>
      <c r="BI390" s="1" t="s">
        <v>74</v>
      </c>
      <c r="BJ390" s="1" t="s">
        <v>74</v>
      </c>
      <c r="BK390" s="1" t="s">
        <v>74</v>
      </c>
      <c r="BL390" s="1" t="s">
        <v>74</v>
      </c>
      <c r="BM390" s="1" t="s">
        <v>74</v>
      </c>
      <c r="BN390" s="1" t="s">
        <v>74</v>
      </c>
      <c r="BO390" s="1" t="s">
        <v>74</v>
      </c>
      <c r="BP390" s="1" t="s">
        <v>74</v>
      </c>
      <c r="BQ390" s="1" t="s">
        <v>74</v>
      </c>
      <c r="BR390" s="1" t="s">
        <v>74</v>
      </c>
      <c r="BS390" s="1" t="s">
        <v>3483</v>
      </c>
      <c r="BT390" s="1" t="str">
        <f>HYPERLINK("https%3A%2F%2Fwww.webofscience.com%2Fwos%2Fwoscc%2Ffull-record%2FWOS:A1985AJT8400009","View Full Record in Web of Science")</f>
        <v>View Full Record in Web of Science</v>
      </c>
    </row>
    <row r="391" ht="12.75" customHeight="1">
      <c r="A391" s="1" t="s">
        <v>72</v>
      </c>
      <c r="B391" s="1" t="s">
        <v>2683</v>
      </c>
      <c r="C391" s="1" t="s">
        <v>74</v>
      </c>
      <c r="D391" s="1" t="s">
        <v>74</v>
      </c>
      <c r="E391" s="1" t="s">
        <v>74</v>
      </c>
      <c r="F391" s="1" t="s">
        <v>2683</v>
      </c>
      <c r="G391" s="1" t="s">
        <v>74</v>
      </c>
      <c r="H391" s="1" t="s">
        <v>74</v>
      </c>
      <c r="I391" s="1" t="s">
        <v>3484</v>
      </c>
      <c r="J391" s="1" t="s">
        <v>2685</v>
      </c>
      <c r="K391" s="1" t="s">
        <v>74</v>
      </c>
      <c r="L391" s="1" t="s">
        <v>74</v>
      </c>
      <c r="M391" s="1" t="s">
        <v>74</v>
      </c>
      <c r="N391" s="1" t="s">
        <v>74</v>
      </c>
      <c r="O391" s="1" t="s">
        <v>74</v>
      </c>
      <c r="P391" s="1" t="s">
        <v>74</v>
      </c>
      <c r="Q391" s="1" t="s">
        <v>74</v>
      </c>
      <c r="R391" s="1" t="s">
        <v>74</v>
      </c>
      <c r="S391" s="1" t="s">
        <v>74</v>
      </c>
      <c r="T391" s="1" t="s">
        <v>74</v>
      </c>
      <c r="U391" s="1" t="s">
        <v>74</v>
      </c>
      <c r="V391" s="1" t="s">
        <v>74</v>
      </c>
      <c r="W391" s="1" t="s">
        <v>74</v>
      </c>
      <c r="X391" s="1" t="s">
        <v>74</v>
      </c>
      <c r="Y391" s="1" t="s">
        <v>74</v>
      </c>
      <c r="Z391" s="1" t="s">
        <v>74</v>
      </c>
      <c r="AA391" s="1" t="s">
        <v>74</v>
      </c>
      <c r="AB391" s="1" t="s">
        <v>74</v>
      </c>
      <c r="AC391" s="1" t="s">
        <v>74</v>
      </c>
      <c r="AD391" s="1" t="s">
        <v>74</v>
      </c>
      <c r="AE391" s="1" t="s">
        <v>74</v>
      </c>
      <c r="AF391" s="1" t="s">
        <v>74</v>
      </c>
      <c r="AG391" s="1" t="s">
        <v>74</v>
      </c>
      <c r="AH391" s="1" t="s">
        <v>74</v>
      </c>
      <c r="AI391" s="1" t="s">
        <v>74</v>
      </c>
      <c r="AJ391" s="1" t="s">
        <v>74</v>
      </c>
      <c r="AK391" s="1" t="s">
        <v>74</v>
      </c>
      <c r="AL391" s="1" t="s">
        <v>74</v>
      </c>
      <c r="AM391" s="1" t="s">
        <v>74</v>
      </c>
      <c r="AN391" s="1" t="s">
        <v>74</v>
      </c>
      <c r="AO391" s="1" t="s">
        <v>2686</v>
      </c>
      <c r="AP391" s="1" t="s">
        <v>74</v>
      </c>
      <c r="AQ391" s="1" t="s">
        <v>74</v>
      </c>
      <c r="AR391" s="1" t="s">
        <v>74</v>
      </c>
      <c r="AS391" s="1" t="s">
        <v>74</v>
      </c>
      <c r="AT391" s="1" t="s">
        <v>74</v>
      </c>
      <c r="AU391" s="1">
        <v>1978.0</v>
      </c>
      <c r="AV391" s="1">
        <v>63.0</v>
      </c>
      <c r="AW391" s="1" t="s">
        <v>180</v>
      </c>
      <c r="AX391" s="1" t="s">
        <v>74</v>
      </c>
      <c r="AY391" s="1" t="s">
        <v>74</v>
      </c>
      <c r="AZ391" s="1" t="s">
        <v>74</v>
      </c>
      <c r="BA391" s="1" t="s">
        <v>74</v>
      </c>
      <c r="BB391" s="1">
        <v>297.0</v>
      </c>
      <c r="BC391" s="1">
        <v>300.0</v>
      </c>
      <c r="BD391" s="1" t="s">
        <v>74</v>
      </c>
      <c r="BE391" s="1" t="s">
        <v>3485</v>
      </c>
      <c r="BF391" s="2" t="str">
        <f>HYPERLINK("http://dx.doi.org/10.1016/S0008-6215(00)80957-X","http://dx.doi.org/10.1016/S0008-6215(00)80957-X")</f>
        <v>http://dx.doi.org/10.1016/S0008-6215(00)80957-X</v>
      </c>
      <c r="BG391" s="1" t="s">
        <v>74</v>
      </c>
      <c r="BH391" s="1" t="s">
        <v>74</v>
      </c>
      <c r="BI391" s="1" t="s">
        <v>74</v>
      </c>
      <c r="BJ391" s="1" t="s">
        <v>74</v>
      </c>
      <c r="BK391" s="1" t="s">
        <v>74</v>
      </c>
      <c r="BL391" s="1" t="s">
        <v>74</v>
      </c>
      <c r="BM391" s="1" t="s">
        <v>74</v>
      </c>
      <c r="BN391" s="1" t="s">
        <v>74</v>
      </c>
      <c r="BO391" s="1" t="s">
        <v>74</v>
      </c>
      <c r="BP391" s="1" t="s">
        <v>74</v>
      </c>
      <c r="BQ391" s="1" t="s">
        <v>74</v>
      </c>
      <c r="BR391" s="1" t="s">
        <v>74</v>
      </c>
      <c r="BS391" s="1" t="s">
        <v>3486</v>
      </c>
      <c r="BT391" s="1" t="str">
        <f>HYPERLINK("https%3A%2F%2Fwww.webofscience.com%2Fwos%2Fwoscc%2Ffull-record%2FWOS:A1978FJ22700034","View Full Record in Web of Science")</f>
        <v>View Full Record in Web of Science</v>
      </c>
    </row>
    <row r="392" ht="12.75" customHeight="1">
      <c r="A392" s="1" t="s">
        <v>72</v>
      </c>
      <c r="B392" s="1" t="s">
        <v>3487</v>
      </c>
      <c r="C392" s="1" t="s">
        <v>74</v>
      </c>
      <c r="D392" s="1" t="s">
        <v>74</v>
      </c>
      <c r="E392" s="1" t="s">
        <v>74</v>
      </c>
      <c r="F392" s="1" t="s">
        <v>3488</v>
      </c>
      <c r="G392" s="1" t="s">
        <v>74</v>
      </c>
      <c r="H392" s="1" t="s">
        <v>74</v>
      </c>
      <c r="I392" s="1" t="s">
        <v>3489</v>
      </c>
      <c r="J392" s="1" t="s">
        <v>3490</v>
      </c>
      <c r="K392" s="1" t="s">
        <v>74</v>
      </c>
      <c r="L392" s="1" t="s">
        <v>74</v>
      </c>
      <c r="M392" s="1" t="s">
        <v>74</v>
      </c>
      <c r="N392" s="1" t="s">
        <v>74</v>
      </c>
      <c r="O392" s="1" t="s">
        <v>74</v>
      </c>
      <c r="P392" s="1" t="s">
        <v>74</v>
      </c>
      <c r="Q392" s="1" t="s">
        <v>74</v>
      </c>
      <c r="R392" s="1" t="s">
        <v>74</v>
      </c>
      <c r="S392" s="1" t="s">
        <v>74</v>
      </c>
      <c r="T392" s="1" t="s">
        <v>74</v>
      </c>
      <c r="U392" s="1" t="s">
        <v>74</v>
      </c>
      <c r="V392" s="1" t="s">
        <v>3491</v>
      </c>
      <c r="W392" s="1" t="s">
        <v>74</v>
      </c>
      <c r="X392" s="1" t="s">
        <v>74</v>
      </c>
      <c r="Y392" s="1" t="s">
        <v>74</v>
      </c>
      <c r="Z392" s="1" t="s">
        <v>74</v>
      </c>
      <c r="AA392" s="1" t="s">
        <v>3492</v>
      </c>
      <c r="AB392" s="1" t="s">
        <v>3493</v>
      </c>
      <c r="AC392" s="1" t="s">
        <v>74</v>
      </c>
      <c r="AD392" s="1" t="s">
        <v>74</v>
      </c>
      <c r="AE392" s="1" t="s">
        <v>74</v>
      </c>
      <c r="AF392" s="1" t="s">
        <v>74</v>
      </c>
      <c r="AG392" s="1" t="s">
        <v>74</v>
      </c>
      <c r="AH392" s="1" t="s">
        <v>74</v>
      </c>
      <c r="AI392" s="1" t="s">
        <v>74</v>
      </c>
      <c r="AJ392" s="1" t="s">
        <v>74</v>
      </c>
      <c r="AK392" s="1" t="s">
        <v>74</v>
      </c>
      <c r="AL392" s="1" t="s">
        <v>74</v>
      </c>
      <c r="AM392" s="1" t="s">
        <v>74</v>
      </c>
      <c r="AN392" s="1" t="s">
        <v>74</v>
      </c>
      <c r="AO392" s="1" t="s">
        <v>3494</v>
      </c>
      <c r="AP392" s="1" t="s">
        <v>3495</v>
      </c>
      <c r="AQ392" s="1" t="s">
        <v>74</v>
      </c>
      <c r="AR392" s="1" t="s">
        <v>74</v>
      </c>
      <c r="AS392" s="1" t="s">
        <v>74</v>
      </c>
      <c r="AT392" s="1" t="s">
        <v>347</v>
      </c>
      <c r="AU392" s="1">
        <v>2025.0</v>
      </c>
      <c r="AV392" s="1">
        <v>165.0</v>
      </c>
      <c r="AW392" s="1" t="s">
        <v>74</v>
      </c>
      <c r="AX392" s="1" t="s">
        <v>74</v>
      </c>
      <c r="AY392" s="1" t="s">
        <v>74</v>
      </c>
      <c r="AZ392" s="1" t="s">
        <v>74</v>
      </c>
      <c r="BA392" s="1" t="s">
        <v>74</v>
      </c>
      <c r="BB392" s="1" t="s">
        <v>74</v>
      </c>
      <c r="BC392" s="1" t="s">
        <v>74</v>
      </c>
      <c r="BD392" s="1">
        <v>108528.0</v>
      </c>
      <c r="BE392" s="1" t="s">
        <v>3496</v>
      </c>
      <c r="BF392" s="2" t="str">
        <f>HYPERLINK("http://dx.doi.org/10.1016/j.chb.2024.108528","http://dx.doi.org/10.1016/j.chb.2024.108528")</f>
        <v>http://dx.doi.org/10.1016/j.chb.2024.108528</v>
      </c>
      <c r="BG392" s="1" t="s">
        <v>74</v>
      </c>
      <c r="BH392" s="1" t="s">
        <v>254</v>
      </c>
      <c r="BI392" s="1" t="s">
        <v>74</v>
      </c>
      <c r="BJ392" s="1" t="s">
        <v>74</v>
      </c>
      <c r="BK392" s="1" t="s">
        <v>74</v>
      </c>
      <c r="BL392" s="1" t="s">
        <v>74</v>
      </c>
      <c r="BM392" s="1" t="s">
        <v>74</v>
      </c>
      <c r="BN392" s="1" t="s">
        <v>74</v>
      </c>
      <c r="BO392" s="1" t="s">
        <v>74</v>
      </c>
      <c r="BP392" s="1" t="s">
        <v>74</v>
      </c>
      <c r="BQ392" s="1" t="s">
        <v>74</v>
      </c>
      <c r="BR392" s="1" t="s">
        <v>74</v>
      </c>
      <c r="BS392" s="1" t="s">
        <v>3497</v>
      </c>
      <c r="BT392" s="1" t="str">
        <f>HYPERLINK("https%3A%2F%2Fwww.webofscience.com%2Fwos%2Fwoscc%2Ffull-record%2FWOS:001376724500001","View Full Record in Web of Science")</f>
        <v>View Full Record in Web of Science</v>
      </c>
    </row>
    <row r="393" ht="12.75" customHeight="1">
      <c r="A393" s="1" t="s">
        <v>72</v>
      </c>
      <c r="B393" s="1" t="s">
        <v>3498</v>
      </c>
      <c r="C393" s="1" t="s">
        <v>74</v>
      </c>
      <c r="D393" s="1" t="s">
        <v>74</v>
      </c>
      <c r="E393" s="1" t="s">
        <v>74</v>
      </c>
      <c r="F393" s="1" t="s">
        <v>3499</v>
      </c>
      <c r="G393" s="1" t="s">
        <v>74</v>
      </c>
      <c r="H393" s="1" t="s">
        <v>74</v>
      </c>
      <c r="I393" s="1" t="s">
        <v>3500</v>
      </c>
      <c r="J393" s="1" t="s">
        <v>3501</v>
      </c>
      <c r="K393" s="1" t="s">
        <v>74</v>
      </c>
      <c r="L393" s="1" t="s">
        <v>74</v>
      </c>
      <c r="M393" s="1" t="s">
        <v>74</v>
      </c>
      <c r="N393" s="1" t="s">
        <v>74</v>
      </c>
      <c r="O393" s="1" t="s">
        <v>74</v>
      </c>
      <c r="P393" s="1" t="s">
        <v>74</v>
      </c>
      <c r="Q393" s="1" t="s">
        <v>74</v>
      </c>
      <c r="R393" s="1" t="s">
        <v>74</v>
      </c>
      <c r="S393" s="1" t="s">
        <v>74</v>
      </c>
      <c r="T393" s="1" t="s">
        <v>74</v>
      </c>
      <c r="U393" s="1" t="s">
        <v>74</v>
      </c>
      <c r="V393" s="1" t="s">
        <v>74</v>
      </c>
      <c r="W393" s="1" t="s">
        <v>74</v>
      </c>
      <c r="X393" s="1" t="s">
        <v>74</v>
      </c>
      <c r="Y393" s="1" t="s">
        <v>74</v>
      </c>
      <c r="Z393" s="1" t="s">
        <v>74</v>
      </c>
      <c r="AA393" s="1" t="s">
        <v>74</v>
      </c>
      <c r="AB393" s="1" t="s">
        <v>74</v>
      </c>
      <c r="AC393" s="1" t="s">
        <v>74</v>
      </c>
      <c r="AD393" s="1" t="s">
        <v>74</v>
      </c>
      <c r="AE393" s="1" t="s">
        <v>74</v>
      </c>
      <c r="AF393" s="1" t="s">
        <v>74</v>
      </c>
      <c r="AG393" s="1" t="s">
        <v>74</v>
      </c>
      <c r="AH393" s="1" t="s">
        <v>74</v>
      </c>
      <c r="AI393" s="1" t="s">
        <v>74</v>
      </c>
      <c r="AJ393" s="1" t="s">
        <v>74</v>
      </c>
      <c r="AK393" s="1" t="s">
        <v>74</v>
      </c>
      <c r="AL393" s="1" t="s">
        <v>74</v>
      </c>
      <c r="AM393" s="1" t="s">
        <v>74</v>
      </c>
      <c r="AN393" s="1" t="s">
        <v>74</v>
      </c>
      <c r="AO393" s="1" t="s">
        <v>3502</v>
      </c>
      <c r="AP393" s="1" t="s">
        <v>3503</v>
      </c>
      <c r="AQ393" s="1" t="s">
        <v>74</v>
      </c>
      <c r="AR393" s="1" t="s">
        <v>74</v>
      </c>
      <c r="AS393" s="1" t="s">
        <v>74</v>
      </c>
      <c r="AT393" s="1" t="s">
        <v>915</v>
      </c>
      <c r="AU393" s="1">
        <v>2024.0</v>
      </c>
      <c r="AV393" s="1" t="s">
        <v>74</v>
      </c>
      <c r="AW393" s="1">
        <v>49.0</v>
      </c>
      <c r="AX393" s="1" t="s">
        <v>74</v>
      </c>
      <c r="AY393" s="1" t="s">
        <v>74</v>
      </c>
      <c r="AZ393" s="1" t="s">
        <v>564</v>
      </c>
      <c r="BA393" s="1" t="s">
        <v>74</v>
      </c>
      <c r="BB393" s="1">
        <v>210.0</v>
      </c>
      <c r="BC393" s="1">
        <v>210.0</v>
      </c>
      <c r="BD393" s="1" t="s">
        <v>74</v>
      </c>
      <c r="BE393" s="1" t="s">
        <v>74</v>
      </c>
      <c r="BF393" s="1" t="s">
        <v>74</v>
      </c>
      <c r="BG393" s="1" t="s">
        <v>74</v>
      </c>
      <c r="BH393" s="1" t="s">
        <v>74</v>
      </c>
      <c r="BI393" s="1" t="s">
        <v>74</v>
      </c>
      <c r="BJ393" s="1" t="s">
        <v>74</v>
      </c>
      <c r="BK393" s="1" t="s">
        <v>74</v>
      </c>
      <c r="BL393" s="1" t="s">
        <v>74</v>
      </c>
      <c r="BM393" s="1" t="s">
        <v>74</v>
      </c>
      <c r="BN393" s="1" t="s">
        <v>74</v>
      </c>
      <c r="BO393" s="1" t="s">
        <v>74</v>
      </c>
      <c r="BP393" s="1" t="s">
        <v>74</v>
      </c>
      <c r="BQ393" s="1" t="s">
        <v>74</v>
      </c>
      <c r="BR393" s="1" t="s">
        <v>74</v>
      </c>
      <c r="BS393" s="1" t="s">
        <v>3504</v>
      </c>
      <c r="BT393" s="1" t="str">
        <f>HYPERLINK("https%3A%2F%2Fwww.webofscience.com%2Fwos%2Fwoscc%2Ffull-record%2FWOS:001273937000018","View Full Record in Web of Science")</f>
        <v>View Full Record in Web of Science</v>
      </c>
    </row>
    <row r="394" ht="12.75" customHeight="1">
      <c r="A394" s="1" t="s">
        <v>72</v>
      </c>
      <c r="B394" s="1" t="s">
        <v>3505</v>
      </c>
      <c r="C394" s="1" t="s">
        <v>74</v>
      </c>
      <c r="D394" s="1" t="s">
        <v>74</v>
      </c>
      <c r="E394" s="1" t="s">
        <v>74</v>
      </c>
      <c r="F394" s="1" t="s">
        <v>3506</v>
      </c>
      <c r="G394" s="1" t="s">
        <v>74</v>
      </c>
      <c r="H394" s="1" t="s">
        <v>74</v>
      </c>
      <c r="I394" s="1" t="s">
        <v>3507</v>
      </c>
      <c r="J394" s="1" t="s">
        <v>3508</v>
      </c>
      <c r="K394" s="1" t="s">
        <v>74</v>
      </c>
      <c r="L394" s="1" t="s">
        <v>74</v>
      </c>
      <c r="M394" s="1" t="s">
        <v>74</v>
      </c>
      <c r="N394" s="1" t="s">
        <v>74</v>
      </c>
      <c r="O394" s="1" t="s">
        <v>74</v>
      </c>
      <c r="P394" s="1" t="s">
        <v>74</v>
      </c>
      <c r="Q394" s="1" t="s">
        <v>74</v>
      </c>
      <c r="R394" s="1" t="s">
        <v>74</v>
      </c>
      <c r="S394" s="1" t="s">
        <v>74</v>
      </c>
      <c r="T394" s="1" t="s">
        <v>74</v>
      </c>
      <c r="U394" s="1" t="s">
        <v>74</v>
      </c>
      <c r="V394" s="1" t="s">
        <v>3509</v>
      </c>
      <c r="W394" s="1" t="s">
        <v>74</v>
      </c>
      <c r="X394" s="1" t="s">
        <v>74</v>
      </c>
      <c r="Y394" s="1" t="s">
        <v>74</v>
      </c>
      <c r="Z394" s="1" t="s">
        <v>74</v>
      </c>
      <c r="AA394" s="1" t="s">
        <v>74</v>
      </c>
      <c r="AB394" s="1" t="s">
        <v>74</v>
      </c>
      <c r="AC394" s="1" t="s">
        <v>74</v>
      </c>
      <c r="AD394" s="1" t="s">
        <v>74</v>
      </c>
      <c r="AE394" s="1" t="s">
        <v>74</v>
      </c>
      <c r="AF394" s="1" t="s">
        <v>74</v>
      </c>
      <c r="AG394" s="1" t="s">
        <v>74</v>
      </c>
      <c r="AH394" s="1" t="s">
        <v>74</v>
      </c>
      <c r="AI394" s="1" t="s">
        <v>74</v>
      </c>
      <c r="AJ394" s="1" t="s">
        <v>74</v>
      </c>
      <c r="AK394" s="1" t="s">
        <v>74</v>
      </c>
      <c r="AL394" s="1" t="s">
        <v>74</v>
      </c>
      <c r="AM394" s="1" t="s">
        <v>74</v>
      </c>
      <c r="AN394" s="1" t="s">
        <v>74</v>
      </c>
      <c r="AO394" s="1" t="s">
        <v>3510</v>
      </c>
      <c r="AP394" s="1" t="s">
        <v>3511</v>
      </c>
      <c r="AQ394" s="1" t="s">
        <v>74</v>
      </c>
      <c r="AR394" s="1" t="s">
        <v>74</v>
      </c>
      <c r="AS394" s="1" t="s">
        <v>74</v>
      </c>
      <c r="AT394" s="1" t="s">
        <v>915</v>
      </c>
      <c r="AU394" s="1">
        <v>2024.0</v>
      </c>
      <c r="AV394" s="1" t="s">
        <v>74</v>
      </c>
      <c r="AW394" s="1">
        <v>33.0</v>
      </c>
      <c r="AX394" s="1" t="s">
        <v>74</v>
      </c>
      <c r="AY394" s="1" t="s">
        <v>74</v>
      </c>
      <c r="AZ394" s="1" t="s">
        <v>74</v>
      </c>
      <c r="BA394" s="1" t="s">
        <v>74</v>
      </c>
      <c r="BB394" s="1">
        <v>157.0</v>
      </c>
      <c r="BC394" s="1">
        <v>207.0</v>
      </c>
      <c r="BD394" s="1" t="s">
        <v>74</v>
      </c>
      <c r="BE394" s="1" t="s">
        <v>74</v>
      </c>
      <c r="BF394" s="1" t="s">
        <v>74</v>
      </c>
      <c r="BG394" s="1" t="s">
        <v>74</v>
      </c>
      <c r="BH394" s="1" t="s">
        <v>74</v>
      </c>
      <c r="BI394" s="1" t="s">
        <v>74</v>
      </c>
      <c r="BJ394" s="1" t="s">
        <v>74</v>
      </c>
      <c r="BK394" s="1" t="s">
        <v>74</v>
      </c>
      <c r="BL394" s="1" t="s">
        <v>74</v>
      </c>
      <c r="BM394" s="1" t="s">
        <v>74</v>
      </c>
      <c r="BN394" s="1" t="s">
        <v>74</v>
      </c>
      <c r="BO394" s="1" t="s">
        <v>74</v>
      </c>
      <c r="BP394" s="1" t="s">
        <v>74</v>
      </c>
      <c r="BQ394" s="1" t="s">
        <v>74</v>
      </c>
      <c r="BR394" s="1" t="s">
        <v>74</v>
      </c>
      <c r="BS394" s="1" t="s">
        <v>3512</v>
      </c>
      <c r="BT394" s="1" t="str">
        <f>HYPERLINK("https%3A%2F%2Fwww.webofscience.com%2Fwos%2Fwoscc%2Ffull-record%2FWOS:001367372400007","View Full Record in Web of Science")</f>
        <v>View Full Record in Web of Science</v>
      </c>
    </row>
    <row r="395" ht="12.75" customHeight="1">
      <c r="A395" s="1" t="s">
        <v>72</v>
      </c>
      <c r="B395" s="1" t="s">
        <v>3513</v>
      </c>
      <c r="C395" s="1" t="s">
        <v>74</v>
      </c>
      <c r="D395" s="1" t="s">
        <v>74</v>
      </c>
      <c r="E395" s="1" t="s">
        <v>74</v>
      </c>
      <c r="F395" s="1" t="s">
        <v>3514</v>
      </c>
      <c r="G395" s="1" t="s">
        <v>74</v>
      </c>
      <c r="H395" s="1" t="s">
        <v>74</v>
      </c>
      <c r="I395" s="1" t="s">
        <v>3515</v>
      </c>
      <c r="J395" s="1" t="s">
        <v>353</v>
      </c>
      <c r="K395" s="1" t="s">
        <v>74</v>
      </c>
      <c r="L395" s="1" t="s">
        <v>74</v>
      </c>
      <c r="M395" s="1" t="s">
        <v>74</v>
      </c>
      <c r="N395" s="1" t="s">
        <v>74</v>
      </c>
      <c r="O395" s="1" t="s">
        <v>74</v>
      </c>
      <c r="P395" s="1" t="s">
        <v>74</v>
      </c>
      <c r="Q395" s="1" t="s">
        <v>74</v>
      </c>
      <c r="R395" s="1" t="s">
        <v>74</v>
      </c>
      <c r="S395" s="1" t="s">
        <v>74</v>
      </c>
      <c r="T395" s="1" t="s">
        <v>74</v>
      </c>
      <c r="U395" s="1" t="s">
        <v>74</v>
      </c>
      <c r="V395" s="1" t="s">
        <v>3516</v>
      </c>
      <c r="W395" s="1" t="s">
        <v>74</v>
      </c>
      <c r="X395" s="1" t="s">
        <v>74</v>
      </c>
      <c r="Y395" s="1" t="s">
        <v>74</v>
      </c>
      <c r="Z395" s="1" t="s">
        <v>74</v>
      </c>
      <c r="AA395" s="1" t="s">
        <v>3517</v>
      </c>
      <c r="AB395" s="1" t="s">
        <v>3518</v>
      </c>
      <c r="AC395" s="1" t="s">
        <v>74</v>
      </c>
      <c r="AD395" s="1" t="s">
        <v>74</v>
      </c>
      <c r="AE395" s="1" t="s">
        <v>74</v>
      </c>
      <c r="AF395" s="1" t="s">
        <v>74</v>
      </c>
      <c r="AG395" s="1" t="s">
        <v>74</v>
      </c>
      <c r="AH395" s="1" t="s">
        <v>74</v>
      </c>
      <c r="AI395" s="1" t="s">
        <v>74</v>
      </c>
      <c r="AJ395" s="1" t="s">
        <v>74</v>
      </c>
      <c r="AK395" s="1" t="s">
        <v>74</v>
      </c>
      <c r="AL395" s="1" t="s">
        <v>74</v>
      </c>
      <c r="AM395" s="1" t="s">
        <v>74</v>
      </c>
      <c r="AN395" s="1" t="s">
        <v>74</v>
      </c>
      <c r="AO395" s="1" t="s">
        <v>356</v>
      </c>
      <c r="AP395" s="1" t="s">
        <v>357</v>
      </c>
      <c r="AQ395" s="1" t="s">
        <v>74</v>
      </c>
      <c r="AR395" s="1" t="s">
        <v>74</v>
      </c>
      <c r="AS395" s="1" t="s">
        <v>74</v>
      </c>
      <c r="AT395" s="1" t="s">
        <v>3519</v>
      </c>
      <c r="AU395" s="1">
        <v>2024.0</v>
      </c>
      <c r="AV395" s="1">
        <v>28.0</v>
      </c>
      <c r="AW395" s="1">
        <v>79.0</v>
      </c>
      <c r="AX395" s="1" t="s">
        <v>74</v>
      </c>
      <c r="AY395" s="1" t="s">
        <v>74</v>
      </c>
      <c r="AZ395" s="1" t="s">
        <v>74</v>
      </c>
      <c r="BA395" s="1" t="s">
        <v>74</v>
      </c>
      <c r="BB395" s="1">
        <v>185.0</v>
      </c>
      <c r="BC395" s="1">
        <v>205.0</v>
      </c>
      <c r="BD395" s="1" t="s">
        <v>74</v>
      </c>
      <c r="BE395" s="1" t="s">
        <v>3520</v>
      </c>
      <c r="BF395" s="2" t="str">
        <f>HYPERLINK("http://dx.doi.org/10.17141/iconos.79.2024.5962","http://dx.doi.org/10.17141/iconos.79.2024.5962")</f>
        <v>http://dx.doi.org/10.17141/iconos.79.2024.5962</v>
      </c>
      <c r="BG395" s="1" t="s">
        <v>74</v>
      </c>
      <c r="BH395" s="1" t="s">
        <v>74</v>
      </c>
      <c r="BI395" s="1" t="s">
        <v>74</v>
      </c>
      <c r="BJ395" s="1" t="s">
        <v>74</v>
      </c>
      <c r="BK395" s="1" t="s">
        <v>74</v>
      </c>
      <c r="BL395" s="1" t="s">
        <v>74</v>
      </c>
      <c r="BM395" s="1" t="s">
        <v>74</v>
      </c>
      <c r="BN395" s="1" t="s">
        <v>74</v>
      </c>
      <c r="BO395" s="1" t="s">
        <v>74</v>
      </c>
      <c r="BP395" s="1" t="s">
        <v>74</v>
      </c>
      <c r="BQ395" s="1" t="s">
        <v>74</v>
      </c>
      <c r="BR395" s="1" t="s">
        <v>74</v>
      </c>
      <c r="BS395" s="1" t="s">
        <v>3521</v>
      </c>
      <c r="BT395" s="1" t="str">
        <f>HYPERLINK("https%3A%2F%2Fwww.webofscience.com%2Fwos%2Fwoscc%2Ffull-record%2FWOS:001222828100008","View Full Record in Web of Science")</f>
        <v>View Full Record in Web of Science</v>
      </c>
    </row>
    <row r="396" ht="12.75" customHeight="1">
      <c r="A396" s="1" t="s">
        <v>454</v>
      </c>
      <c r="B396" s="1" t="s">
        <v>3522</v>
      </c>
      <c r="C396" s="1" t="s">
        <v>74</v>
      </c>
      <c r="D396" s="1" t="s">
        <v>3523</v>
      </c>
      <c r="E396" s="1" t="s">
        <v>74</v>
      </c>
      <c r="F396" s="1" t="s">
        <v>3524</v>
      </c>
      <c r="G396" s="1" t="s">
        <v>74</v>
      </c>
      <c r="H396" s="1" t="s">
        <v>74</v>
      </c>
      <c r="I396" s="1" t="s">
        <v>3525</v>
      </c>
      <c r="J396" s="1" t="s">
        <v>3526</v>
      </c>
      <c r="K396" s="1" t="s">
        <v>74</v>
      </c>
      <c r="L396" s="1" t="s">
        <v>74</v>
      </c>
      <c r="M396" s="1" t="s">
        <v>74</v>
      </c>
      <c r="N396" s="1" t="s">
        <v>74</v>
      </c>
      <c r="O396" s="1" t="s">
        <v>74</v>
      </c>
      <c r="P396" s="1" t="s">
        <v>74</v>
      </c>
      <c r="Q396" s="1" t="s">
        <v>74</v>
      </c>
      <c r="R396" s="1" t="s">
        <v>74</v>
      </c>
      <c r="S396" s="1" t="s">
        <v>74</v>
      </c>
      <c r="T396" s="1" t="s">
        <v>74</v>
      </c>
      <c r="U396" s="1" t="s">
        <v>74</v>
      </c>
      <c r="V396" s="1" t="s">
        <v>74</v>
      </c>
      <c r="W396" s="1" t="s">
        <v>74</v>
      </c>
      <c r="X396" s="1" t="s">
        <v>74</v>
      </c>
      <c r="Y396" s="1" t="s">
        <v>74</v>
      </c>
      <c r="Z396" s="1" t="s">
        <v>74</v>
      </c>
      <c r="AA396" s="1" t="s">
        <v>74</v>
      </c>
      <c r="AB396" s="1" t="s">
        <v>74</v>
      </c>
      <c r="AC396" s="1" t="s">
        <v>74</v>
      </c>
      <c r="AD396" s="1" t="s">
        <v>74</v>
      </c>
      <c r="AE396" s="1" t="s">
        <v>74</v>
      </c>
      <c r="AF396" s="1" t="s">
        <v>74</v>
      </c>
      <c r="AG396" s="1" t="s">
        <v>74</v>
      </c>
      <c r="AH396" s="1" t="s">
        <v>74</v>
      </c>
      <c r="AI396" s="1" t="s">
        <v>74</v>
      </c>
      <c r="AJ396" s="1" t="s">
        <v>74</v>
      </c>
      <c r="AK396" s="1" t="s">
        <v>74</v>
      </c>
      <c r="AL396" s="1" t="s">
        <v>74</v>
      </c>
      <c r="AM396" s="1" t="s">
        <v>74</v>
      </c>
      <c r="AN396" s="1" t="s">
        <v>74</v>
      </c>
      <c r="AO396" s="1" t="s">
        <v>74</v>
      </c>
      <c r="AP396" s="1" t="s">
        <v>74</v>
      </c>
      <c r="AQ396" s="1" t="s">
        <v>3527</v>
      </c>
      <c r="AR396" s="1" t="s">
        <v>74</v>
      </c>
      <c r="AS396" s="1" t="s">
        <v>74</v>
      </c>
      <c r="AT396" s="1" t="s">
        <v>74</v>
      </c>
      <c r="AU396" s="1">
        <v>2024.0</v>
      </c>
      <c r="AV396" s="1" t="s">
        <v>74</v>
      </c>
      <c r="AW396" s="1" t="s">
        <v>74</v>
      </c>
      <c r="AX396" s="1" t="s">
        <v>74</v>
      </c>
      <c r="AY396" s="1" t="s">
        <v>74</v>
      </c>
      <c r="AZ396" s="1" t="s">
        <v>74</v>
      </c>
      <c r="BA396" s="1" t="s">
        <v>74</v>
      </c>
      <c r="BB396" s="1">
        <v>171.0</v>
      </c>
      <c r="BC396" s="1">
        <v>189.0</v>
      </c>
      <c r="BD396" s="1" t="s">
        <v>74</v>
      </c>
      <c r="BE396" s="1" t="s">
        <v>3528</v>
      </c>
      <c r="BF396" s="2" t="str">
        <f>HYPERLINK("http://dx.doi.org/10.1007/978-3-031-59523-3_10","http://dx.doi.org/10.1007/978-3-031-59523-3_10")</f>
        <v>http://dx.doi.org/10.1007/978-3-031-59523-3_10</v>
      </c>
      <c r="BG396" s="1" t="s">
        <v>3529</v>
      </c>
      <c r="BH396" s="1" t="s">
        <v>74</v>
      </c>
      <c r="BI396" s="1" t="s">
        <v>74</v>
      </c>
      <c r="BJ396" s="1" t="s">
        <v>74</v>
      </c>
      <c r="BK396" s="1" t="s">
        <v>74</v>
      </c>
      <c r="BL396" s="1" t="s">
        <v>74</v>
      </c>
      <c r="BM396" s="1" t="s">
        <v>74</v>
      </c>
      <c r="BN396" s="1" t="s">
        <v>74</v>
      </c>
      <c r="BO396" s="1" t="s">
        <v>74</v>
      </c>
      <c r="BP396" s="1" t="s">
        <v>74</v>
      </c>
      <c r="BQ396" s="1" t="s">
        <v>74</v>
      </c>
      <c r="BR396" s="1" t="s">
        <v>74</v>
      </c>
      <c r="BS396" s="1" t="s">
        <v>3530</v>
      </c>
      <c r="BT396" s="1" t="str">
        <f>HYPERLINK("https%3A%2F%2Fwww.webofscience.com%2Fwos%2Fwoscc%2Ffull-record%2FWOS:001410904500010","View Full Record in Web of Science")</f>
        <v>View Full Record in Web of Science</v>
      </c>
    </row>
    <row r="397" ht="12.75" customHeight="1">
      <c r="A397" s="1" t="s">
        <v>72</v>
      </c>
      <c r="B397" s="1" t="s">
        <v>3531</v>
      </c>
      <c r="C397" s="1" t="s">
        <v>74</v>
      </c>
      <c r="D397" s="1" t="s">
        <v>74</v>
      </c>
      <c r="E397" s="1" t="s">
        <v>74</v>
      </c>
      <c r="F397" s="1" t="s">
        <v>3532</v>
      </c>
      <c r="G397" s="1" t="s">
        <v>74</v>
      </c>
      <c r="H397" s="1" t="s">
        <v>74</v>
      </c>
      <c r="I397" s="1" t="s">
        <v>3533</v>
      </c>
      <c r="J397" s="1" t="s">
        <v>3534</v>
      </c>
      <c r="K397" s="1" t="s">
        <v>74</v>
      </c>
      <c r="L397" s="1" t="s">
        <v>74</v>
      </c>
      <c r="M397" s="1" t="s">
        <v>74</v>
      </c>
      <c r="N397" s="1" t="s">
        <v>74</v>
      </c>
      <c r="O397" s="1" t="s">
        <v>74</v>
      </c>
      <c r="P397" s="1" t="s">
        <v>74</v>
      </c>
      <c r="Q397" s="1" t="s">
        <v>74</v>
      </c>
      <c r="R397" s="1" t="s">
        <v>74</v>
      </c>
      <c r="S397" s="1" t="s">
        <v>74</v>
      </c>
      <c r="T397" s="1" t="s">
        <v>74</v>
      </c>
      <c r="U397" s="1" t="s">
        <v>74</v>
      </c>
      <c r="V397" s="1" t="s">
        <v>3535</v>
      </c>
      <c r="W397" s="1" t="s">
        <v>74</v>
      </c>
      <c r="X397" s="1" t="s">
        <v>74</v>
      </c>
      <c r="Y397" s="1" t="s">
        <v>74</v>
      </c>
      <c r="Z397" s="1" t="s">
        <v>74</v>
      </c>
      <c r="AA397" s="1" t="s">
        <v>74</v>
      </c>
      <c r="AB397" s="1" t="s">
        <v>74</v>
      </c>
      <c r="AC397" s="1" t="s">
        <v>74</v>
      </c>
      <c r="AD397" s="1" t="s">
        <v>74</v>
      </c>
      <c r="AE397" s="1" t="s">
        <v>74</v>
      </c>
      <c r="AF397" s="1" t="s">
        <v>74</v>
      </c>
      <c r="AG397" s="1" t="s">
        <v>74</v>
      </c>
      <c r="AH397" s="1" t="s">
        <v>74</v>
      </c>
      <c r="AI397" s="1" t="s">
        <v>74</v>
      </c>
      <c r="AJ397" s="1" t="s">
        <v>74</v>
      </c>
      <c r="AK397" s="1" t="s">
        <v>74</v>
      </c>
      <c r="AL397" s="1" t="s">
        <v>74</v>
      </c>
      <c r="AM397" s="1" t="s">
        <v>74</v>
      </c>
      <c r="AN397" s="1" t="s">
        <v>74</v>
      </c>
      <c r="AO397" s="1" t="s">
        <v>3536</v>
      </c>
      <c r="AP397" s="1" t="s">
        <v>3537</v>
      </c>
      <c r="AQ397" s="1" t="s">
        <v>74</v>
      </c>
      <c r="AR397" s="1" t="s">
        <v>74</v>
      </c>
      <c r="AS397" s="1" t="s">
        <v>74</v>
      </c>
      <c r="AT397" s="1" t="s">
        <v>370</v>
      </c>
      <c r="AU397" s="1">
        <v>2023.0</v>
      </c>
      <c r="AV397" s="1">
        <v>153.0</v>
      </c>
      <c r="AW397" s="1" t="s">
        <v>74</v>
      </c>
      <c r="AX397" s="1" t="s">
        <v>74</v>
      </c>
      <c r="AY397" s="1" t="s">
        <v>74</v>
      </c>
      <c r="AZ397" s="1" t="s">
        <v>74</v>
      </c>
      <c r="BA397" s="1" t="s">
        <v>74</v>
      </c>
      <c r="BB397" s="1" t="s">
        <v>74</v>
      </c>
      <c r="BC397" s="1" t="s">
        <v>74</v>
      </c>
      <c r="BD397" s="1">
        <v>104408.0</v>
      </c>
      <c r="BE397" s="1" t="s">
        <v>3538</v>
      </c>
      <c r="BF397" s="2" t="str">
        <f>HYPERLINK("http://dx.doi.org/10.1016/j.ijnonlinmec.2023.104408","http://dx.doi.org/10.1016/j.ijnonlinmec.2023.104408")</f>
        <v>http://dx.doi.org/10.1016/j.ijnonlinmec.2023.104408</v>
      </c>
      <c r="BG397" s="1" t="s">
        <v>74</v>
      </c>
      <c r="BH397" s="1" t="s">
        <v>3539</v>
      </c>
      <c r="BI397" s="1" t="s">
        <v>74</v>
      </c>
      <c r="BJ397" s="1" t="s">
        <v>74</v>
      </c>
      <c r="BK397" s="1" t="s">
        <v>74</v>
      </c>
      <c r="BL397" s="1" t="s">
        <v>74</v>
      </c>
      <c r="BM397" s="1" t="s">
        <v>74</v>
      </c>
      <c r="BN397" s="1" t="s">
        <v>74</v>
      </c>
      <c r="BO397" s="1" t="s">
        <v>74</v>
      </c>
      <c r="BP397" s="1" t="s">
        <v>74</v>
      </c>
      <c r="BQ397" s="1" t="s">
        <v>74</v>
      </c>
      <c r="BR397" s="1" t="s">
        <v>74</v>
      </c>
      <c r="BS397" s="1" t="s">
        <v>3540</v>
      </c>
      <c r="BT397" s="1" t="str">
        <f>HYPERLINK("https%3A%2F%2Fwww.webofscience.com%2Fwos%2Fwoscc%2Ffull-record%2FWOS:000989570900001","View Full Record in Web of Science")</f>
        <v>View Full Record in Web of Science</v>
      </c>
    </row>
    <row r="398" ht="12.75" customHeight="1">
      <c r="A398" s="1" t="s">
        <v>72</v>
      </c>
      <c r="B398" s="1" t="s">
        <v>3541</v>
      </c>
      <c r="C398" s="1" t="s">
        <v>74</v>
      </c>
      <c r="D398" s="1" t="s">
        <v>74</v>
      </c>
      <c r="E398" s="1" t="s">
        <v>74</v>
      </c>
      <c r="F398" s="1" t="s">
        <v>3542</v>
      </c>
      <c r="G398" s="1" t="s">
        <v>74</v>
      </c>
      <c r="H398" s="1" t="s">
        <v>74</v>
      </c>
      <c r="I398" s="1" t="s">
        <v>3543</v>
      </c>
      <c r="J398" s="1" t="s">
        <v>3544</v>
      </c>
      <c r="K398" s="1" t="s">
        <v>74</v>
      </c>
      <c r="L398" s="1" t="s">
        <v>74</v>
      </c>
      <c r="M398" s="1" t="s">
        <v>74</v>
      </c>
      <c r="N398" s="1" t="s">
        <v>74</v>
      </c>
      <c r="O398" s="1" t="s">
        <v>74</v>
      </c>
      <c r="P398" s="1" t="s">
        <v>74</v>
      </c>
      <c r="Q398" s="1" t="s">
        <v>74</v>
      </c>
      <c r="R398" s="1" t="s">
        <v>74</v>
      </c>
      <c r="S398" s="1" t="s">
        <v>74</v>
      </c>
      <c r="T398" s="1" t="s">
        <v>74</v>
      </c>
      <c r="U398" s="1" t="s">
        <v>74</v>
      </c>
      <c r="V398" s="1" t="s">
        <v>3545</v>
      </c>
      <c r="W398" s="1" t="s">
        <v>74</v>
      </c>
      <c r="X398" s="1" t="s">
        <v>74</v>
      </c>
      <c r="Y398" s="1" t="s">
        <v>74</v>
      </c>
      <c r="Z398" s="1" t="s">
        <v>74</v>
      </c>
      <c r="AA398" s="1" t="s">
        <v>3546</v>
      </c>
      <c r="AB398" s="1" t="s">
        <v>3547</v>
      </c>
      <c r="AC398" s="1" t="s">
        <v>74</v>
      </c>
      <c r="AD398" s="1" t="s">
        <v>74</v>
      </c>
      <c r="AE398" s="1" t="s">
        <v>74</v>
      </c>
      <c r="AF398" s="1" t="s">
        <v>74</v>
      </c>
      <c r="AG398" s="1" t="s">
        <v>74</v>
      </c>
      <c r="AH398" s="1" t="s">
        <v>74</v>
      </c>
      <c r="AI398" s="1" t="s">
        <v>74</v>
      </c>
      <c r="AJ398" s="1" t="s">
        <v>74</v>
      </c>
      <c r="AK398" s="1" t="s">
        <v>74</v>
      </c>
      <c r="AL398" s="1" t="s">
        <v>74</v>
      </c>
      <c r="AM398" s="1" t="s">
        <v>74</v>
      </c>
      <c r="AN398" s="1" t="s">
        <v>74</v>
      </c>
      <c r="AO398" s="1" t="s">
        <v>74</v>
      </c>
      <c r="AP398" s="1" t="s">
        <v>3548</v>
      </c>
      <c r="AQ398" s="1" t="s">
        <v>74</v>
      </c>
      <c r="AR398" s="1" t="s">
        <v>74</v>
      </c>
      <c r="AS398" s="1" t="s">
        <v>74</v>
      </c>
      <c r="AT398" s="1" t="s">
        <v>347</v>
      </c>
      <c r="AU398" s="1">
        <v>2023.0</v>
      </c>
      <c r="AV398" s="1">
        <v>13.0</v>
      </c>
      <c r="AW398" s="1">
        <v>4.0</v>
      </c>
      <c r="AX398" s="1" t="s">
        <v>74</v>
      </c>
      <c r="AY398" s="1" t="s">
        <v>74</v>
      </c>
      <c r="AZ398" s="1" t="s">
        <v>74</v>
      </c>
      <c r="BA398" s="1" t="s">
        <v>74</v>
      </c>
      <c r="BB398" s="1" t="s">
        <v>74</v>
      </c>
      <c r="BC398" s="1" t="s">
        <v>74</v>
      </c>
      <c r="BD398" s="1">
        <v>385.0</v>
      </c>
      <c r="BE398" s="1" t="s">
        <v>3549</v>
      </c>
      <c r="BF398" s="2" t="str">
        <f>HYPERLINK("http://dx.doi.org/10.3390/membranes13040385","http://dx.doi.org/10.3390/membranes13040385")</f>
        <v>http://dx.doi.org/10.3390/membranes13040385</v>
      </c>
      <c r="BG398" s="1" t="s">
        <v>74</v>
      </c>
      <c r="BH398" s="1" t="s">
        <v>74</v>
      </c>
      <c r="BI398" s="1" t="s">
        <v>74</v>
      </c>
      <c r="BJ398" s="1" t="s">
        <v>74</v>
      </c>
      <c r="BK398" s="1" t="s">
        <v>74</v>
      </c>
      <c r="BL398" s="1" t="s">
        <v>74</v>
      </c>
      <c r="BM398" s="1" t="s">
        <v>74</v>
      </c>
      <c r="BN398" s="1">
        <v>3.7103812E7</v>
      </c>
      <c r="BO398" s="1" t="s">
        <v>74</v>
      </c>
      <c r="BP398" s="1" t="s">
        <v>74</v>
      </c>
      <c r="BQ398" s="1" t="s">
        <v>74</v>
      </c>
      <c r="BR398" s="1" t="s">
        <v>74</v>
      </c>
      <c r="BS398" s="1" t="s">
        <v>3550</v>
      </c>
      <c r="BT398" s="1" t="str">
        <f>HYPERLINK("https%3A%2F%2Fwww.webofscience.com%2Fwos%2Fwoscc%2Ffull-record%2FWOS:000977472200001","View Full Record in Web of Science")</f>
        <v>View Full Record in Web of Science</v>
      </c>
    </row>
    <row r="399" ht="12.75" customHeight="1">
      <c r="A399" s="1" t="s">
        <v>72</v>
      </c>
      <c r="B399" s="1" t="s">
        <v>3551</v>
      </c>
      <c r="C399" s="1" t="s">
        <v>74</v>
      </c>
      <c r="D399" s="1" t="s">
        <v>74</v>
      </c>
      <c r="E399" s="1" t="s">
        <v>74</v>
      </c>
      <c r="F399" s="1" t="s">
        <v>3552</v>
      </c>
      <c r="G399" s="1" t="s">
        <v>74</v>
      </c>
      <c r="H399" s="1" t="s">
        <v>74</v>
      </c>
      <c r="I399" s="1" t="s">
        <v>3553</v>
      </c>
      <c r="J399" s="1" t="s">
        <v>3554</v>
      </c>
      <c r="K399" s="1" t="s">
        <v>74</v>
      </c>
      <c r="L399" s="1" t="s">
        <v>74</v>
      </c>
      <c r="M399" s="1" t="s">
        <v>74</v>
      </c>
      <c r="N399" s="1" t="s">
        <v>74</v>
      </c>
      <c r="O399" s="1" t="s">
        <v>74</v>
      </c>
      <c r="P399" s="1" t="s">
        <v>74</v>
      </c>
      <c r="Q399" s="1" t="s">
        <v>74</v>
      </c>
      <c r="R399" s="1" t="s">
        <v>74</v>
      </c>
      <c r="S399" s="1" t="s">
        <v>74</v>
      </c>
      <c r="T399" s="1" t="s">
        <v>74</v>
      </c>
      <c r="U399" s="1" t="s">
        <v>74</v>
      </c>
      <c r="V399" s="1" t="s">
        <v>3555</v>
      </c>
      <c r="W399" s="1" t="s">
        <v>74</v>
      </c>
      <c r="X399" s="1" t="s">
        <v>74</v>
      </c>
      <c r="Y399" s="1" t="s">
        <v>74</v>
      </c>
      <c r="Z399" s="1" t="s">
        <v>74</v>
      </c>
      <c r="AA399" s="1" t="s">
        <v>3556</v>
      </c>
      <c r="AB399" s="1" t="s">
        <v>3557</v>
      </c>
      <c r="AC399" s="1" t="s">
        <v>74</v>
      </c>
      <c r="AD399" s="1" t="s">
        <v>74</v>
      </c>
      <c r="AE399" s="1" t="s">
        <v>74</v>
      </c>
      <c r="AF399" s="1" t="s">
        <v>74</v>
      </c>
      <c r="AG399" s="1" t="s">
        <v>74</v>
      </c>
      <c r="AH399" s="1" t="s">
        <v>74</v>
      </c>
      <c r="AI399" s="1" t="s">
        <v>74</v>
      </c>
      <c r="AJ399" s="1" t="s">
        <v>74</v>
      </c>
      <c r="AK399" s="1" t="s">
        <v>74</v>
      </c>
      <c r="AL399" s="1" t="s">
        <v>74</v>
      </c>
      <c r="AM399" s="1" t="s">
        <v>74</v>
      </c>
      <c r="AN399" s="1" t="s">
        <v>74</v>
      </c>
      <c r="AO399" s="1" t="s">
        <v>3558</v>
      </c>
      <c r="AP399" s="1" t="s">
        <v>3559</v>
      </c>
      <c r="AQ399" s="1" t="s">
        <v>74</v>
      </c>
      <c r="AR399" s="1" t="s">
        <v>74</v>
      </c>
      <c r="AS399" s="1" t="s">
        <v>74</v>
      </c>
      <c r="AT399" s="1" t="s">
        <v>347</v>
      </c>
      <c r="AU399" s="1">
        <v>2023.0</v>
      </c>
      <c r="AV399" s="1">
        <v>19.0</v>
      </c>
      <c r="AW399" s="1">
        <v>1.0</v>
      </c>
      <c r="AX399" s="1" t="s">
        <v>74</v>
      </c>
      <c r="AY399" s="1" t="s">
        <v>74</v>
      </c>
      <c r="AZ399" s="1" t="s">
        <v>74</v>
      </c>
      <c r="BA399" s="1" t="s">
        <v>74</v>
      </c>
      <c r="BB399" s="1" t="s">
        <v>74</v>
      </c>
      <c r="BC399" s="1" t="s">
        <v>74</v>
      </c>
      <c r="BD399" s="1" t="s">
        <v>3560</v>
      </c>
      <c r="BE399" s="1" t="s">
        <v>3561</v>
      </c>
      <c r="BF399" s="2" t="str">
        <f>HYPERLINK("http://dx.doi.org/10.25200/BJR.v19n1.2023.1550","http://dx.doi.org/10.25200/BJR.v19n1.2023.1550")</f>
        <v>http://dx.doi.org/10.25200/BJR.v19n1.2023.1550</v>
      </c>
      <c r="BG399" s="1" t="s">
        <v>74</v>
      </c>
      <c r="BH399" s="1" t="s">
        <v>74</v>
      </c>
      <c r="BI399" s="1" t="s">
        <v>74</v>
      </c>
      <c r="BJ399" s="1" t="s">
        <v>74</v>
      </c>
      <c r="BK399" s="1" t="s">
        <v>74</v>
      </c>
      <c r="BL399" s="1" t="s">
        <v>74</v>
      </c>
      <c r="BM399" s="1" t="s">
        <v>74</v>
      </c>
      <c r="BN399" s="1" t="s">
        <v>74</v>
      </c>
      <c r="BO399" s="1" t="s">
        <v>74</v>
      </c>
      <c r="BP399" s="1" t="s">
        <v>74</v>
      </c>
      <c r="BQ399" s="1" t="s">
        <v>74</v>
      </c>
      <c r="BR399" s="1" t="s">
        <v>74</v>
      </c>
      <c r="BS399" s="1" t="s">
        <v>3562</v>
      </c>
      <c r="BT399" s="1" t="str">
        <f>HYPERLINK("https%3A%2F%2Fwww.webofscience.com%2Fwos%2Fwoscc%2Ffull-record%2FWOS:000972434100001","View Full Record in Web of Science")</f>
        <v>View Full Record in Web of Science</v>
      </c>
    </row>
    <row r="400" ht="12.75" customHeight="1">
      <c r="A400" s="1" t="s">
        <v>72</v>
      </c>
      <c r="B400" s="1" t="s">
        <v>3563</v>
      </c>
      <c r="C400" s="1" t="s">
        <v>74</v>
      </c>
      <c r="D400" s="1" t="s">
        <v>74</v>
      </c>
      <c r="E400" s="1" t="s">
        <v>74</v>
      </c>
      <c r="F400" s="1" t="s">
        <v>3564</v>
      </c>
      <c r="G400" s="1" t="s">
        <v>74</v>
      </c>
      <c r="H400" s="1" t="s">
        <v>74</v>
      </c>
      <c r="I400" s="1" t="s">
        <v>3565</v>
      </c>
      <c r="J400" s="1" t="s">
        <v>3566</v>
      </c>
      <c r="K400" s="1" t="s">
        <v>74</v>
      </c>
      <c r="L400" s="1" t="s">
        <v>74</v>
      </c>
      <c r="M400" s="1" t="s">
        <v>74</v>
      </c>
      <c r="N400" s="1" t="s">
        <v>74</v>
      </c>
      <c r="O400" s="1" t="s">
        <v>74</v>
      </c>
      <c r="P400" s="1" t="s">
        <v>74</v>
      </c>
      <c r="Q400" s="1" t="s">
        <v>74</v>
      </c>
      <c r="R400" s="1" t="s">
        <v>74</v>
      </c>
      <c r="S400" s="1" t="s">
        <v>74</v>
      </c>
      <c r="T400" s="1" t="s">
        <v>74</v>
      </c>
      <c r="U400" s="1" t="s">
        <v>74</v>
      </c>
      <c r="V400" s="1" t="s">
        <v>3567</v>
      </c>
      <c r="W400" s="1" t="s">
        <v>74</v>
      </c>
      <c r="X400" s="1" t="s">
        <v>74</v>
      </c>
      <c r="Y400" s="1" t="s">
        <v>74</v>
      </c>
      <c r="Z400" s="1" t="s">
        <v>74</v>
      </c>
      <c r="AA400" s="1" t="s">
        <v>74</v>
      </c>
      <c r="AB400" s="1" t="s">
        <v>3568</v>
      </c>
      <c r="AC400" s="1" t="s">
        <v>74</v>
      </c>
      <c r="AD400" s="1" t="s">
        <v>74</v>
      </c>
      <c r="AE400" s="1" t="s">
        <v>74</v>
      </c>
      <c r="AF400" s="1" t="s">
        <v>74</v>
      </c>
      <c r="AG400" s="1" t="s">
        <v>74</v>
      </c>
      <c r="AH400" s="1" t="s">
        <v>74</v>
      </c>
      <c r="AI400" s="1" t="s">
        <v>74</v>
      </c>
      <c r="AJ400" s="1" t="s">
        <v>74</v>
      </c>
      <c r="AK400" s="1" t="s">
        <v>74</v>
      </c>
      <c r="AL400" s="1" t="s">
        <v>74</v>
      </c>
      <c r="AM400" s="1" t="s">
        <v>74</v>
      </c>
      <c r="AN400" s="1" t="s">
        <v>74</v>
      </c>
      <c r="AO400" s="1" t="s">
        <v>3569</v>
      </c>
      <c r="AP400" s="1" t="s">
        <v>3570</v>
      </c>
      <c r="AQ400" s="1" t="s">
        <v>74</v>
      </c>
      <c r="AR400" s="1" t="s">
        <v>74</v>
      </c>
      <c r="AS400" s="1" t="s">
        <v>74</v>
      </c>
      <c r="AT400" s="1" t="s">
        <v>299</v>
      </c>
      <c r="AU400" s="1">
        <v>2023.0</v>
      </c>
      <c r="AV400" s="1">
        <v>242.0</v>
      </c>
      <c r="AW400" s="1" t="s">
        <v>74</v>
      </c>
      <c r="AX400" s="1" t="s">
        <v>74</v>
      </c>
      <c r="AY400" s="1" t="s">
        <v>74</v>
      </c>
      <c r="AZ400" s="1" t="s">
        <v>74</v>
      </c>
      <c r="BA400" s="1" t="s">
        <v>74</v>
      </c>
      <c r="BB400" s="1">
        <v>725.0</v>
      </c>
      <c r="BC400" s="1">
        <v>753.0</v>
      </c>
      <c r="BD400" s="1" t="s">
        <v>74</v>
      </c>
      <c r="BE400" s="1" t="s">
        <v>3571</v>
      </c>
      <c r="BF400" s="2" t="str">
        <f>HYPERLINK("http://dx.doi.org/10.1016/j.jnt.2022.05.011","http://dx.doi.org/10.1016/j.jnt.2022.05.011")</f>
        <v>http://dx.doi.org/10.1016/j.jnt.2022.05.011</v>
      </c>
      <c r="BG400" s="1" t="s">
        <v>74</v>
      </c>
      <c r="BH400" s="1" t="s">
        <v>3572</v>
      </c>
      <c r="BI400" s="1" t="s">
        <v>74</v>
      </c>
      <c r="BJ400" s="1" t="s">
        <v>74</v>
      </c>
      <c r="BK400" s="1" t="s">
        <v>74</v>
      </c>
      <c r="BL400" s="1" t="s">
        <v>74</v>
      </c>
      <c r="BM400" s="1" t="s">
        <v>74</v>
      </c>
      <c r="BN400" s="1" t="s">
        <v>74</v>
      </c>
      <c r="BO400" s="1" t="s">
        <v>74</v>
      </c>
      <c r="BP400" s="1" t="s">
        <v>74</v>
      </c>
      <c r="BQ400" s="1" t="s">
        <v>74</v>
      </c>
      <c r="BR400" s="1" t="s">
        <v>74</v>
      </c>
      <c r="BS400" s="1" t="s">
        <v>3573</v>
      </c>
      <c r="BT400" s="1" t="str">
        <f>HYPERLINK("https%3A%2F%2Fwww.webofscience.com%2Fwos%2Fwoscc%2Ffull-record%2FWOS:000869968500028","View Full Record in Web of Science")</f>
        <v>View Full Record in Web of Science</v>
      </c>
    </row>
    <row r="401" ht="12.75" customHeight="1">
      <c r="A401" s="1" t="s">
        <v>72</v>
      </c>
      <c r="B401" s="1" t="s">
        <v>3574</v>
      </c>
      <c r="C401" s="1" t="s">
        <v>74</v>
      </c>
      <c r="D401" s="1" t="s">
        <v>74</v>
      </c>
      <c r="E401" s="1" t="s">
        <v>74</v>
      </c>
      <c r="F401" s="1" t="s">
        <v>3575</v>
      </c>
      <c r="G401" s="1" t="s">
        <v>74</v>
      </c>
      <c r="H401" s="1" t="s">
        <v>74</v>
      </c>
      <c r="I401" s="1" t="s">
        <v>3576</v>
      </c>
      <c r="J401" s="1" t="s">
        <v>3577</v>
      </c>
      <c r="K401" s="1" t="s">
        <v>74</v>
      </c>
      <c r="L401" s="1" t="s">
        <v>74</v>
      </c>
      <c r="M401" s="1" t="s">
        <v>74</v>
      </c>
      <c r="N401" s="1" t="s">
        <v>74</v>
      </c>
      <c r="O401" s="1" t="s">
        <v>74</v>
      </c>
      <c r="P401" s="1" t="s">
        <v>74</v>
      </c>
      <c r="Q401" s="1" t="s">
        <v>74</v>
      </c>
      <c r="R401" s="1" t="s">
        <v>74</v>
      </c>
      <c r="S401" s="1" t="s">
        <v>74</v>
      </c>
      <c r="T401" s="1" t="s">
        <v>74</v>
      </c>
      <c r="U401" s="1" t="s">
        <v>74</v>
      </c>
      <c r="V401" s="1" t="s">
        <v>3578</v>
      </c>
      <c r="W401" s="1" t="s">
        <v>74</v>
      </c>
      <c r="X401" s="1" t="s">
        <v>74</v>
      </c>
      <c r="Y401" s="1" t="s">
        <v>74</v>
      </c>
      <c r="Z401" s="1" t="s">
        <v>74</v>
      </c>
      <c r="AA401" s="1" t="s">
        <v>1132</v>
      </c>
      <c r="AB401" s="1" t="s">
        <v>3579</v>
      </c>
      <c r="AC401" s="1" t="s">
        <v>74</v>
      </c>
      <c r="AD401" s="1" t="s">
        <v>74</v>
      </c>
      <c r="AE401" s="1" t="s">
        <v>74</v>
      </c>
      <c r="AF401" s="1" t="s">
        <v>74</v>
      </c>
      <c r="AG401" s="1" t="s">
        <v>74</v>
      </c>
      <c r="AH401" s="1" t="s">
        <v>74</v>
      </c>
      <c r="AI401" s="1" t="s">
        <v>74</v>
      </c>
      <c r="AJ401" s="1" t="s">
        <v>74</v>
      </c>
      <c r="AK401" s="1" t="s">
        <v>74</v>
      </c>
      <c r="AL401" s="1" t="s">
        <v>74</v>
      </c>
      <c r="AM401" s="1" t="s">
        <v>74</v>
      </c>
      <c r="AN401" s="1" t="s">
        <v>74</v>
      </c>
      <c r="AO401" s="1" t="s">
        <v>74</v>
      </c>
      <c r="AP401" s="1" t="s">
        <v>3580</v>
      </c>
      <c r="AQ401" s="1" t="s">
        <v>74</v>
      </c>
      <c r="AR401" s="1" t="s">
        <v>74</v>
      </c>
      <c r="AS401" s="1" t="s">
        <v>74</v>
      </c>
      <c r="AT401" s="1" t="s">
        <v>288</v>
      </c>
      <c r="AU401" s="1">
        <v>2022.0</v>
      </c>
      <c r="AV401" s="1">
        <v>12.0</v>
      </c>
      <c r="AW401" s="1">
        <v>2.0</v>
      </c>
      <c r="AX401" s="1" t="s">
        <v>74</v>
      </c>
      <c r="AY401" s="1" t="s">
        <v>74</v>
      </c>
      <c r="AZ401" s="1" t="s">
        <v>74</v>
      </c>
      <c r="BA401" s="1" t="s">
        <v>74</v>
      </c>
      <c r="BB401" s="1" t="s">
        <v>74</v>
      </c>
      <c r="BC401" s="1" t="s">
        <v>74</v>
      </c>
      <c r="BD401" s="1">
        <v>233.0</v>
      </c>
      <c r="BE401" s="1" t="s">
        <v>3581</v>
      </c>
      <c r="BF401" s="2" t="str">
        <f>HYPERLINK("http://dx.doi.org/10.3390/biom12020233","http://dx.doi.org/10.3390/biom12020233")</f>
        <v>http://dx.doi.org/10.3390/biom12020233</v>
      </c>
      <c r="BG401" s="1" t="s">
        <v>74</v>
      </c>
      <c r="BH401" s="1" t="s">
        <v>74</v>
      </c>
      <c r="BI401" s="1" t="s">
        <v>74</v>
      </c>
      <c r="BJ401" s="1" t="s">
        <v>74</v>
      </c>
      <c r="BK401" s="1" t="s">
        <v>74</v>
      </c>
      <c r="BL401" s="1" t="s">
        <v>74</v>
      </c>
      <c r="BM401" s="1" t="s">
        <v>74</v>
      </c>
      <c r="BN401" s="1">
        <v>3.5204734E7</v>
      </c>
      <c r="BO401" s="1" t="s">
        <v>74</v>
      </c>
      <c r="BP401" s="1" t="s">
        <v>74</v>
      </c>
      <c r="BQ401" s="1" t="s">
        <v>74</v>
      </c>
      <c r="BR401" s="1" t="s">
        <v>74</v>
      </c>
      <c r="BS401" s="1" t="s">
        <v>3582</v>
      </c>
      <c r="BT401" s="1" t="str">
        <f>HYPERLINK("https%3A%2F%2Fwww.webofscience.com%2Fwos%2Fwoscc%2Ffull-record%2FWOS:000764293000001","View Full Record in Web of Science")</f>
        <v>View Full Record in Web of Science</v>
      </c>
    </row>
    <row r="402" ht="12.75" customHeight="1">
      <c r="A402" s="1" t="s">
        <v>72</v>
      </c>
      <c r="B402" s="1" t="s">
        <v>1495</v>
      </c>
      <c r="C402" s="1" t="s">
        <v>74</v>
      </c>
      <c r="D402" s="1" t="s">
        <v>74</v>
      </c>
      <c r="E402" s="1" t="s">
        <v>74</v>
      </c>
      <c r="F402" s="1" t="s">
        <v>1496</v>
      </c>
      <c r="G402" s="1" t="s">
        <v>74</v>
      </c>
      <c r="H402" s="1" t="s">
        <v>74</v>
      </c>
      <c r="I402" s="1" t="s">
        <v>3583</v>
      </c>
      <c r="J402" s="1" t="s">
        <v>3584</v>
      </c>
      <c r="K402" s="1" t="s">
        <v>74</v>
      </c>
      <c r="L402" s="1" t="s">
        <v>74</v>
      </c>
      <c r="M402" s="1" t="s">
        <v>74</v>
      </c>
      <c r="N402" s="1" t="s">
        <v>74</v>
      </c>
      <c r="O402" s="1" t="s">
        <v>74</v>
      </c>
      <c r="P402" s="1" t="s">
        <v>74</v>
      </c>
      <c r="Q402" s="1" t="s">
        <v>74</v>
      </c>
      <c r="R402" s="1" t="s">
        <v>74</v>
      </c>
      <c r="S402" s="1" t="s">
        <v>74</v>
      </c>
      <c r="T402" s="1" t="s">
        <v>74</v>
      </c>
      <c r="U402" s="1" t="s">
        <v>74</v>
      </c>
      <c r="V402" s="1" t="s">
        <v>3585</v>
      </c>
      <c r="W402" s="1" t="s">
        <v>74</v>
      </c>
      <c r="X402" s="1" t="s">
        <v>74</v>
      </c>
      <c r="Y402" s="1" t="s">
        <v>74</v>
      </c>
      <c r="Z402" s="1" t="s">
        <v>74</v>
      </c>
      <c r="AA402" s="1" t="s">
        <v>74</v>
      </c>
      <c r="AB402" s="1" t="s">
        <v>3586</v>
      </c>
      <c r="AC402" s="1" t="s">
        <v>74</v>
      </c>
      <c r="AD402" s="1" t="s">
        <v>74</v>
      </c>
      <c r="AE402" s="1" t="s">
        <v>74</v>
      </c>
      <c r="AF402" s="1" t="s">
        <v>74</v>
      </c>
      <c r="AG402" s="1" t="s">
        <v>74</v>
      </c>
      <c r="AH402" s="1" t="s">
        <v>74</v>
      </c>
      <c r="AI402" s="1" t="s">
        <v>74</v>
      </c>
      <c r="AJ402" s="1" t="s">
        <v>74</v>
      </c>
      <c r="AK402" s="1" t="s">
        <v>74</v>
      </c>
      <c r="AL402" s="1" t="s">
        <v>74</v>
      </c>
      <c r="AM402" s="1" t="s">
        <v>74</v>
      </c>
      <c r="AN402" s="1" t="s">
        <v>74</v>
      </c>
      <c r="AO402" s="1" t="s">
        <v>3587</v>
      </c>
      <c r="AP402" s="1" t="s">
        <v>3588</v>
      </c>
      <c r="AQ402" s="1" t="s">
        <v>74</v>
      </c>
      <c r="AR402" s="1" t="s">
        <v>74</v>
      </c>
      <c r="AS402" s="1" t="s">
        <v>74</v>
      </c>
      <c r="AT402" s="1" t="s">
        <v>276</v>
      </c>
      <c r="AU402" s="1">
        <v>2021.0</v>
      </c>
      <c r="AV402" s="1">
        <v>244.0</v>
      </c>
      <c r="AW402" s="1">
        <v>2.0</v>
      </c>
      <c r="AX402" s="1" t="s">
        <v>74</v>
      </c>
      <c r="AY402" s="1" t="s">
        <v>74</v>
      </c>
      <c r="AZ402" s="1" t="s">
        <v>74</v>
      </c>
      <c r="BA402" s="1" t="s">
        <v>74</v>
      </c>
      <c r="BB402" s="1">
        <v>727.0</v>
      </c>
      <c r="BC402" s="1">
        <v>741.0</v>
      </c>
      <c r="BD402" s="1" t="s">
        <v>74</v>
      </c>
      <c r="BE402" s="1" t="s">
        <v>3589</v>
      </c>
      <c r="BF402" s="2" t="str">
        <f>HYPERLINK("http://dx.doi.org/10.1007/s11856-021-2188-z","http://dx.doi.org/10.1007/s11856-021-2188-z")</f>
        <v>http://dx.doi.org/10.1007/s11856-021-2188-z</v>
      </c>
      <c r="BG402" s="1" t="s">
        <v>74</v>
      </c>
      <c r="BH402" s="1" t="s">
        <v>2067</v>
      </c>
      <c r="BI402" s="1" t="s">
        <v>74</v>
      </c>
      <c r="BJ402" s="1" t="s">
        <v>74</v>
      </c>
      <c r="BK402" s="1" t="s">
        <v>74</v>
      </c>
      <c r="BL402" s="1" t="s">
        <v>74</v>
      </c>
      <c r="BM402" s="1" t="s">
        <v>74</v>
      </c>
      <c r="BN402" s="1" t="s">
        <v>74</v>
      </c>
      <c r="BO402" s="1" t="s">
        <v>74</v>
      </c>
      <c r="BP402" s="1" t="s">
        <v>74</v>
      </c>
      <c r="BQ402" s="1" t="s">
        <v>74</v>
      </c>
      <c r="BR402" s="1" t="s">
        <v>74</v>
      </c>
      <c r="BS402" s="1" t="s">
        <v>3590</v>
      </c>
      <c r="BT402" s="1" t="str">
        <f>HYPERLINK("https%3A%2F%2Fwww.webofscience.com%2Fwos%2Fwoscc%2Ffull-record%2FWOS:000687017400005","View Full Record in Web of Science")</f>
        <v>View Full Record in Web of Science</v>
      </c>
    </row>
    <row r="403" ht="12.75" customHeight="1">
      <c r="A403" s="1" t="s">
        <v>72</v>
      </c>
      <c r="B403" s="1" t="s">
        <v>3591</v>
      </c>
      <c r="C403" s="1" t="s">
        <v>74</v>
      </c>
      <c r="D403" s="1" t="s">
        <v>74</v>
      </c>
      <c r="E403" s="1" t="s">
        <v>74</v>
      </c>
      <c r="F403" s="1" t="s">
        <v>3592</v>
      </c>
      <c r="G403" s="1" t="s">
        <v>74</v>
      </c>
      <c r="H403" s="1" t="s">
        <v>74</v>
      </c>
      <c r="I403" s="1" t="s">
        <v>3593</v>
      </c>
      <c r="J403" s="1" t="s">
        <v>3594</v>
      </c>
      <c r="K403" s="1" t="s">
        <v>74</v>
      </c>
      <c r="L403" s="1" t="s">
        <v>74</v>
      </c>
      <c r="M403" s="1" t="s">
        <v>74</v>
      </c>
      <c r="N403" s="1" t="s">
        <v>74</v>
      </c>
      <c r="O403" s="1" t="s">
        <v>74</v>
      </c>
      <c r="P403" s="1" t="s">
        <v>74</v>
      </c>
      <c r="Q403" s="1" t="s">
        <v>74</v>
      </c>
      <c r="R403" s="1" t="s">
        <v>74</v>
      </c>
      <c r="S403" s="1" t="s">
        <v>74</v>
      </c>
      <c r="T403" s="1" t="s">
        <v>74</v>
      </c>
      <c r="U403" s="1" t="s">
        <v>74</v>
      </c>
      <c r="V403" s="1" t="s">
        <v>3595</v>
      </c>
      <c r="W403" s="1" t="s">
        <v>74</v>
      </c>
      <c r="X403" s="1" t="s">
        <v>74</v>
      </c>
      <c r="Y403" s="1" t="s">
        <v>74</v>
      </c>
      <c r="Z403" s="1" t="s">
        <v>74</v>
      </c>
      <c r="AA403" s="1" t="s">
        <v>3596</v>
      </c>
      <c r="AB403" s="1" t="s">
        <v>3597</v>
      </c>
      <c r="AC403" s="1" t="s">
        <v>74</v>
      </c>
      <c r="AD403" s="1" t="s">
        <v>74</v>
      </c>
      <c r="AE403" s="1" t="s">
        <v>74</v>
      </c>
      <c r="AF403" s="1" t="s">
        <v>74</v>
      </c>
      <c r="AG403" s="1" t="s">
        <v>74</v>
      </c>
      <c r="AH403" s="1" t="s">
        <v>74</v>
      </c>
      <c r="AI403" s="1" t="s">
        <v>74</v>
      </c>
      <c r="AJ403" s="1" t="s">
        <v>74</v>
      </c>
      <c r="AK403" s="1" t="s">
        <v>74</v>
      </c>
      <c r="AL403" s="1" t="s">
        <v>74</v>
      </c>
      <c r="AM403" s="1" t="s">
        <v>74</v>
      </c>
      <c r="AN403" s="1" t="s">
        <v>74</v>
      </c>
      <c r="AO403" s="1" t="s">
        <v>74</v>
      </c>
      <c r="AP403" s="1" t="s">
        <v>3598</v>
      </c>
      <c r="AQ403" s="1" t="s">
        <v>74</v>
      </c>
      <c r="AR403" s="1" t="s">
        <v>74</v>
      </c>
      <c r="AS403" s="1" t="s">
        <v>74</v>
      </c>
      <c r="AT403" s="1" t="s">
        <v>111</v>
      </c>
      <c r="AU403" s="1">
        <v>2021.0</v>
      </c>
      <c r="AV403" s="1">
        <v>32.0</v>
      </c>
      <c r="AW403" s="1">
        <v>4.0</v>
      </c>
      <c r="AX403" s="1" t="s">
        <v>74</v>
      </c>
      <c r="AY403" s="1" t="s">
        <v>74</v>
      </c>
      <c r="AZ403" s="1" t="s">
        <v>74</v>
      </c>
      <c r="BA403" s="1" t="s">
        <v>74</v>
      </c>
      <c r="BB403" s="1">
        <v>511.0</v>
      </c>
      <c r="BC403" s="1">
        <v>517.0</v>
      </c>
      <c r="BD403" s="1" t="s">
        <v>74</v>
      </c>
      <c r="BE403" s="1" t="s">
        <v>3599</v>
      </c>
      <c r="BF403" s="2" t="str">
        <f>HYPERLINK("http://dx.doi.org/10.1016/j.rmclc.2021.04.006","http://dx.doi.org/10.1016/j.rmclc.2021.04.006")</f>
        <v>http://dx.doi.org/10.1016/j.rmclc.2021.04.006</v>
      </c>
      <c r="BG403" s="1" t="s">
        <v>74</v>
      </c>
      <c r="BH403" s="1" t="s">
        <v>1369</v>
      </c>
      <c r="BI403" s="1" t="s">
        <v>74</v>
      </c>
      <c r="BJ403" s="1" t="s">
        <v>74</v>
      </c>
      <c r="BK403" s="1" t="s">
        <v>74</v>
      </c>
      <c r="BL403" s="1" t="s">
        <v>74</v>
      </c>
      <c r="BM403" s="1" t="s">
        <v>74</v>
      </c>
      <c r="BN403" s="1" t="s">
        <v>74</v>
      </c>
      <c r="BO403" s="1" t="s">
        <v>74</v>
      </c>
      <c r="BP403" s="1" t="s">
        <v>74</v>
      </c>
      <c r="BQ403" s="1" t="s">
        <v>74</v>
      </c>
      <c r="BR403" s="1" t="s">
        <v>74</v>
      </c>
      <c r="BS403" s="1" t="s">
        <v>3600</v>
      </c>
      <c r="BT403" s="1" t="str">
        <f>HYPERLINK("https%3A%2F%2Fwww.webofscience.com%2Fwos%2Fwoscc%2Ffull-record%2FWOS:000678329300015","View Full Record in Web of Science")</f>
        <v>View Full Record in Web of Science</v>
      </c>
    </row>
    <row r="404" ht="12.75" customHeight="1">
      <c r="A404" s="1" t="s">
        <v>72</v>
      </c>
      <c r="B404" s="1" t="s">
        <v>421</v>
      </c>
      <c r="C404" s="1" t="s">
        <v>74</v>
      </c>
      <c r="D404" s="1" t="s">
        <v>74</v>
      </c>
      <c r="E404" s="1" t="s">
        <v>74</v>
      </c>
      <c r="F404" s="1" t="s">
        <v>422</v>
      </c>
      <c r="G404" s="1" t="s">
        <v>74</v>
      </c>
      <c r="H404" s="1" t="s">
        <v>74</v>
      </c>
      <c r="I404" s="1" t="s">
        <v>3601</v>
      </c>
      <c r="J404" s="1" t="s">
        <v>3602</v>
      </c>
      <c r="K404" s="1" t="s">
        <v>74</v>
      </c>
      <c r="L404" s="1" t="s">
        <v>74</v>
      </c>
      <c r="M404" s="1" t="s">
        <v>74</v>
      </c>
      <c r="N404" s="1" t="s">
        <v>74</v>
      </c>
      <c r="O404" s="1" t="s">
        <v>74</v>
      </c>
      <c r="P404" s="1" t="s">
        <v>74</v>
      </c>
      <c r="Q404" s="1" t="s">
        <v>74</v>
      </c>
      <c r="R404" s="1" t="s">
        <v>74</v>
      </c>
      <c r="S404" s="1" t="s">
        <v>74</v>
      </c>
      <c r="T404" s="1" t="s">
        <v>74</v>
      </c>
      <c r="U404" s="1" t="s">
        <v>74</v>
      </c>
      <c r="V404" s="1" t="s">
        <v>3603</v>
      </c>
      <c r="W404" s="1" t="s">
        <v>74</v>
      </c>
      <c r="X404" s="1" t="s">
        <v>74</v>
      </c>
      <c r="Y404" s="1" t="s">
        <v>74</v>
      </c>
      <c r="Z404" s="1" t="s">
        <v>74</v>
      </c>
      <c r="AA404" s="1" t="s">
        <v>296</v>
      </c>
      <c r="AB404" s="1" t="s">
        <v>426</v>
      </c>
      <c r="AC404" s="1" t="s">
        <v>74</v>
      </c>
      <c r="AD404" s="1" t="s">
        <v>74</v>
      </c>
      <c r="AE404" s="1" t="s">
        <v>74</v>
      </c>
      <c r="AF404" s="1" t="s">
        <v>74</v>
      </c>
      <c r="AG404" s="1" t="s">
        <v>74</v>
      </c>
      <c r="AH404" s="1" t="s">
        <v>74</v>
      </c>
      <c r="AI404" s="1" t="s">
        <v>74</v>
      </c>
      <c r="AJ404" s="1" t="s">
        <v>74</v>
      </c>
      <c r="AK404" s="1" t="s">
        <v>74</v>
      </c>
      <c r="AL404" s="1" t="s">
        <v>74</v>
      </c>
      <c r="AM404" s="1" t="s">
        <v>74</v>
      </c>
      <c r="AN404" s="1" t="s">
        <v>74</v>
      </c>
      <c r="AO404" s="1" t="s">
        <v>3604</v>
      </c>
      <c r="AP404" s="1" t="s">
        <v>3605</v>
      </c>
      <c r="AQ404" s="1" t="s">
        <v>74</v>
      </c>
      <c r="AR404" s="1" t="s">
        <v>74</v>
      </c>
      <c r="AS404" s="1" t="s">
        <v>74</v>
      </c>
      <c r="AT404" s="1" t="s">
        <v>1176</v>
      </c>
      <c r="AU404" s="1">
        <v>2021.0</v>
      </c>
      <c r="AV404" s="1">
        <v>19.0</v>
      </c>
      <c r="AW404" s="1">
        <v>8.0</v>
      </c>
      <c r="AX404" s="1" t="s">
        <v>74</v>
      </c>
      <c r="AY404" s="1" t="s">
        <v>74</v>
      </c>
      <c r="AZ404" s="1" t="s">
        <v>74</v>
      </c>
      <c r="BA404" s="1" t="s">
        <v>74</v>
      </c>
      <c r="BB404" s="1">
        <v>2902.0</v>
      </c>
      <c r="BC404" s="1">
        <v>2909.0</v>
      </c>
      <c r="BD404" s="1" t="s">
        <v>74</v>
      </c>
      <c r="BE404" s="1" t="s">
        <v>3606</v>
      </c>
      <c r="BF404" s="2" t="str">
        <f>HYPERLINK("http://dx.doi.org/10.1007/s12555-020-0476-8","http://dx.doi.org/10.1007/s12555-020-0476-8")</f>
        <v>http://dx.doi.org/10.1007/s12555-020-0476-8</v>
      </c>
      <c r="BG404" s="1" t="s">
        <v>74</v>
      </c>
      <c r="BH404" s="1" t="s">
        <v>419</v>
      </c>
      <c r="BI404" s="1" t="s">
        <v>74</v>
      </c>
      <c r="BJ404" s="1" t="s">
        <v>74</v>
      </c>
      <c r="BK404" s="1" t="s">
        <v>74</v>
      </c>
      <c r="BL404" s="1" t="s">
        <v>74</v>
      </c>
      <c r="BM404" s="1" t="s">
        <v>74</v>
      </c>
      <c r="BN404" s="1" t="s">
        <v>74</v>
      </c>
      <c r="BO404" s="1" t="s">
        <v>74</v>
      </c>
      <c r="BP404" s="1" t="s">
        <v>74</v>
      </c>
      <c r="BQ404" s="1" t="s">
        <v>74</v>
      </c>
      <c r="BR404" s="1" t="s">
        <v>74</v>
      </c>
      <c r="BS404" s="1" t="s">
        <v>3607</v>
      </c>
      <c r="BT404" s="1" t="str">
        <f>HYPERLINK("https%3A%2F%2Fwww.webofscience.com%2Fwos%2Fwoscc%2Ffull-record%2FWOS:000662152700014","View Full Record in Web of Science")</f>
        <v>View Full Record in Web of Science</v>
      </c>
    </row>
    <row r="405" ht="12.75" customHeight="1">
      <c r="A405" s="1" t="s">
        <v>72</v>
      </c>
      <c r="B405" s="1" t="s">
        <v>3608</v>
      </c>
      <c r="C405" s="1" t="s">
        <v>74</v>
      </c>
      <c r="D405" s="1" t="s">
        <v>74</v>
      </c>
      <c r="E405" s="1" t="s">
        <v>74</v>
      </c>
      <c r="F405" s="1" t="s">
        <v>3609</v>
      </c>
      <c r="G405" s="1" t="s">
        <v>74</v>
      </c>
      <c r="H405" s="1" t="s">
        <v>74</v>
      </c>
      <c r="I405" s="1" t="s">
        <v>3610</v>
      </c>
      <c r="J405" s="1" t="s">
        <v>400</v>
      </c>
      <c r="K405" s="1" t="s">
        <v>74</v>
      </c>
      <c r="L405" s="1" t="s">
        <v>74</v>
      </c>
      <c r="M405" s="1" t="s">
        <v>74</v>
      </c>
      <c r="N405" s="1" t="s">
        <v>74</v>
      </c>
      <c r="O405" s="1" t="s">
        <v>74</v>
      </c>
      <c r="P405" s="1" t="s">
        <v>74</v>
      </c>
      <c r="Q405" s="1" t="s">
        <v>74</v>
      </c>
      <c r="R405" s="1" t="s">
        <v>74</v>
      </c>
      <c r="S405" s="1" t="s">
        <v>74</v>
      </c>
      <c r="T405" s="1" t="s">
        <v>74</v>
      </c>
      <c r="U405" s="1" t="s">
        <v>74</v>
      </c>
      <c r="V405" s="1" t="s">
        <v>3611</v>
      </c>
      <c r="W405" s="1" t="s">
        <v>74</v>
      </c>
      <c r="X405" s="1" t="s">
        <v>74</v>
      </c>
      <c r="Y405" s="1" t="s">
        <v>74</v>
      </c>
      <c r="Z405" s="1" t="s">
        <v>74</v>
      </c>
      <c r="AA405" s="1" t="s">
        <v>74</v>
      </c>
      <c r="AB405" s="1" t="s">
        <v>74</v>
      </c>
      <c r="AC405" s="1" t="s">
        <v>74</v>
      </c>
      <c r="AD405" s="1" t="s">
        <v>74</v>
      </c>
      <c r="AE405" s="1" t="s">
        <v>74</v>
      </c>
      <c r="AF405" s="1" t="s">
        <v>74</v>
      </c>
      <c r="AG405" s="1" t="s">
        <v>74</v>
      </c>
      <c r="AH405" s="1" t="s">
        <v>74</v>
      </c>
      <c r="AI405" s="1" t="s">
        <v>74</v>
      </c>
      <c r="AJ405" s="1" t="s">
        <v>74</v>
      </c>
      <c r="AK405" s="1" t="s">
        <v>74</v>
      </c>
      <c r="AL405" s="1" t="s">
        <v>74</v>
      </c>
      <c r="AM405" s="1" t="s">
        <v>74</v>
      </c>
      <c r="AN405" s="1" t="s">
        <v>74</v>
      </c>
      <c r="AO405" s="1" t="s">
        <v>403</v>
      </c>
      <c r="AP405" s="1" t="s">
        <v>404</v>
      </c>
      <c r="AQ405" s="1" t="s">
        <v>74</v>
      </c>
      <c r="AR405" s="1" t="s">
        <v>74</v>
      </c>
      <c r="AS405" s="1" t="s">
        <v>74</v>
      </c>
      <c r="AT405" s="1" t="s">
        <v>3612</v>
      </c>
      <c r="AU405" s="1">
        <v>2021.0</v>
      </c>
      <c r="AV405" s="1">
        <v>36.0</v>
      </c>
      <c r="AW405" s="1">
        <v>18.0</v>
      </c>
      <c r="AX405" s="1" t="s">
        <v>74</v>
      </c>
      <c r="AY405" s="1" t="s">
        <v>74</v>
      </c>
      <c r="AZ405" s="1" t="s">
        <v>74</v>
      </c>
      <c r="BA405" s="1" t="s">
        <v>74</v>
      </c>
      <c r="BB405" s="1" t="s">
        <v>74</v>
      </c>
      <c r="BC405" s="1" t="s">
        <v>74</v>
      </c>
      <c r="BD405" s="1">
        <v>2150126.0</v>
      </c>
      <c r="BE405" s="1" t="s">
        <v>3613</v>
      </c>
      <c r="BF405" s="2" t="str">
        <f>HYPERLINK("http://dx.doi.org/10.1142/S0217732321501261","http://dx.doi.org/10.1142/S0217732321501261")</f>
        <v>http://dx.doi.org/10.1142/S0217732321501261</v>
      </c>
      <c r="BG405" s="1" t="s">
        <v>74</v>
      </c>
      <c r="BH405" s="1" t="s">
        <v>74</v>
      </c>
      <c r="BI405" s="1" t="s">
        <v>74</v>
      </c>
      <c r="BJ405" s="1" t="s">
        <v>74</v>
      </c>
      <c r="BK405" s="1" t="s">
        <v>74</v>
      </c>
      <c r="BL405" s="1" t="s">
        <v>74</v>
      </c>
      <c r="BM405" s="1" t="s">
        <v>74</v>
      </c>
      <c r="BN405" s="1" t="s">
        <v>74</v>
      </c>
      <c r="BO405" s="1" t="s">
        <v>74</v>
      </c>
      <c r="BP405" s="1" t="s">
        <v>74</v>
      </c>
      <c r="BQ405" s="1" t="s">
        <v>74</v>
      </c>
      <c r="BR405" s="1" t="s">
        <v>74</v>
      </c>
      <c r="BS405" s="1" t="s">
        <v>3614</v>
      </c>
      <c r="BT405" s="1" t="str">
        <f>HYPERLINK("https%3A%2F%2Fwww.webofscience.com%2Fwos%2Fwoscc%2Ffull-record%2FWOS:000664585000007","View Full Record in Web of Science")</f>
        <v>View Full Record in Web of Science</v>
      </c>
    </row>
    <row r="406" ht="12.75" customHeight="1">
      <c r="A406" s="1" t="s">
        <v>72</v>
      </c>
      <c r="B406" s="1" t="s">
        <v>3615</v>
      </c>
      <c r="C406" s="1" t="s">
        <v>74</v>
      </c>
      <c r="D406" s="1" t="s">
        <v>74</v>
      </c>
      <c r="E406" s="1" t="s">
        <v>74</v>
      </c>
      <c r="F406" s="1" t="s">
        <v>3616</v>
      </c>
      <c r="G406" s="1" t="s">
        <v>74</v>
      </c>
      <c r="H406" s="1" t="s">
        <v>74</v>
      </c>
      <c r="I406" s="1" t="s">
        <v>3617</v>
      </c>
      <c r="J406" s="1" t="s">
        <v>3618</v>
      </c>
      <c r="K406" s="1" t="s">
        <v>74</v>
      </c>
      <c r="L406" s="1" t="s">
        <v>74</v>
      </c>
      <c r="M406" s="1" t="s">
        <v>74</v>
      </c>
      <c r="N406" s="1" t="s">
        <v>74</v>
      </c>
      <c r="O406" s="1" t="s">
        <v>74</v>
      </c>
      <c r="P406" s="1" t="s">
        <v>74</v>
      </c>
      <c r="Q406" s="1" t="s">
        <v>74</v>
      </c>
      <c r="R406" s="1" t="s">
        <v>74</v>
      </c>
      <c r="S406" s="1" t="s">
        <v>74</v>
      </c>
      <c r="T406" s="1" t="s">
        <v>74</v>
      </c>
      <c r="U406" s="1" t="s">
        <v>74</v>
      </c>
      <c r="V406" s="1" t="s">
        <v>3619</v>
      </c>
      <c r="W406" s="1" t="s">
        <v>74</v>
      </c>
      <c r="X406" s="1" t="s">
        <v>74</v>
      </c>
      <c r="Y406" s="1" t="s">
        <v>74</v>
      </c>
      <c r="Z406" s="1" t="s">
        <v>74</v>
      </c>
      <c r="AA406" s="1" t="s">
        <v>902</v>
      </c>
      <c r="AB406" s="1" t="s">
        <v>1119</v>
      </c>
      <c r="AC406" s="1" t="s">
        <v>74</v>
      </c>
      <c r="AD406" s="1" t="s">
        <v>74</v>
      </c>
      <c r="AE406" s="1" t="s">
        <v>74</v>
      </c>
      <c r="AF406" s="1" t="s">
        <v>74</v>
      </c>
      <c r="AG406" s="1" t="s">
        <v>74</v>
      </c>
      <c r="AH406" s="1" t="s">
        <v>74</v>
      </c>
      <c r="AI406" s="1" t="s">
        <v>74</v>
      </c>
      <c r="AJ406" s="1" t="s">
        <v>74</v>
      </c>
      <c r="AK406" s="1" t="s">
        <v>74</v>
      </c>
      <c r="AL406" s="1" t="s">
        <v>74</v>
      </c>
      <c r="AM406" s="1" t="s">
        <v>74</v>
      </c>
      <c r="AN406" s="1" t="s">
        <v>74</v>
      </c>
      <c r="AO406" s="1" t="s">
        <v>3620</v>
      </c>
      <c r="AP406" s="1" t="s">
        <v>74</v>
      </c>
      <c r="AQ406" s="1" t="s">
        <v>74</v>
      </c>
      <c r="AR406" s="1" t="s">
        <v>74</v>
      </c>
      <c r="AS406" s="1" t="s">
        <v>74</v>
      </c>
      <c r="AT406" s="1" t="s">
        <v>3621</v>
      </c>
      <c r="AU406" s="1">
        <v>2021.0</v>
      </c>
      <c r="AV406" s="1">
        <v>2021.0</v>
      </c>
      <c r="AW406" s="1">
        <v>1.0</v>
      </c>
      <c r="AX406" s="1" t="s">
        <v>74</v>
      </c>
      <c r="AY406" s="1" t="s">
        <v>74</v>
      </c>
      <c r="AZ406" s="1" t="s">
        <v>74</v>
      </c>
      <c r="BA406" s="1" t="s">
        <v>74</v>
      </c>
      <c r="BB406" s="1" t="s">
        <v>74</v>
      </c>
      <c r="BC406" s="1" t="s">
        <v>74</v>
      </c>
      <c r="BD406" s="1">
        <v>53.0</v>
      </c>
      <c r="BE406" s="1" t="s">
        <v>3622</v>
      </c>
      <c r="BF406" s="2" t="str">
        <f>HYPERLINK("http://dx.doi.org/10.1186/s13661-021-01529-2","http://dx.doi.org/10.1186/s13661-021-01529-2")</f>
        <v>http://dx.doi.org/10.1186/s13661-021-01529-2</v>
      </c>
      <c r="BG406" s="1" t="s">
        <v>74</v>
      </c>
      <c r="BH406" s="1" t="s">
        <v>74</v>
      </c>
      <c r="BI406" s="1" t="s">
        <v>74</v>
      </c>
      <c r="BJ406" s="1" t="s">
        <v>74</v>
      </c>
      <c r="BK406" s="1" t="s">
        <v>74</v>
      </c>
      <c r="BL406" s="1" t="s">
        <v>74</v>
      </c>
      <c r="BM406" s="1" t="s">
        <v>74</v>
      </c>
      <c r="BN406" s="1" t="s">
        <v>74</v>
      </c>
      <c r="BO406" s="1" t="s">
        <v>74</v>
      </c>
      <c r="BP406" s="1" t="s">
        <v>74</v>
      </c>
      <c r="BQ406" s="1" t="s">
        <v>74</v>
      </c>
      <c r="BR406" s="1" t="s">
        <v>74</v>
      </c>
      <c r="BS406" s="1" t="s">
        <v>3623</v>
      </c>
      <c r="BT406" s="1" t="str">
        <f>HYPERLINK("https%3A%2F%2Fwww.webofscience.com%2Fwos%2Fwoscc%2Ffull-record%2FWOS:000653046500001","View Full Record in Web of Science")</f>
        <v>View Full Record in Web of Science</v>
      </c>
    </row>
    <row r="407" ht="12.75" customHeight="1">
      <c r="A407" s="1" t="s">
        <v>72</v>
      </c>
      <c r="B407" s="1" t="s">
        <v>3624</v>
      </c>
      <c r="C407" s="1" t="s">
        <v>74</v>
      </c>
      <c r="D407" s="1" t="s">
        <v>74</v>
      </c>
      <c r="E407" s="1" t="s">
        <v>74</v>
      </c>
      <c r="F407" s="1" t="s">
        <v>3625</v>
      </c>
      <c r="G407" s="1" t="s">
        <v>74</v>
      </c>
      <c r="H407" s="1" t="s">
        <v>74</v>
      </c>
      <c r="I407" s="1" t="s">
        <v>3626</v>
      </c>
      <c r="J407" s="1" t="s">
        <v>1971</v>
      </c>
      <c r="K407" s="1" t="s">
        <v>74</v>
      </c>
      <c r="L407" s="1" t="s">
        <v>74</v>
      </c>
      <c r="M407" s="1" t="s">
        <v>74</v>
      </c>
      <c r="N407" s="1" t="s">
        <v>74</v>
      </c>
      <c r="O407" s="1" t="s">
        <v>74</v>
      </c>
      <c r="P407" s="1" t="s">
        <v>74</v>
      </c>
      <c r="Q407" s="1" t="s">
        <v>74</v>
      </c>
      <c r="R407" s="1" t="s">
        <v>74</v>
      </c>
      <c r="S407" s="1" t="s">
        <v>74</v>
      </c>
      <c r="T407" s="1" t="s">
        <v>74</v>
      </c>
      <c r="U407" s="1" t="s">
        <v>74</v>
      </c>
      <c r="V407" s="1" t="s">
        <v>3627</v>
      </c>
      <c r="W407" s="1" t="s">
        <v>74</v>
      </c>
      <c r="X407" s="1" t="s">
        <v>74</v>
      </c>
      <c r="Y407" s="1" t="s">
        <v>74</v>
      </c>
      <c r="Z407" s="1" t="s">
        <v>74</v>
      </c>
      <c r="AA407" s="1" t="s">
        <v>74</v>
      </c>
      <c r="AB407" s="1" t="s">
        <v>74</v>
      </c>
      <c r="AC407" s="1" t="s">
        <v>74</v>
      </c>
      <c r="AD407" s="1" t="s">
        <v>74</v>
      </c>
      <c r="AE407" s="1" t="s">
        <v>74</v>
      </c>
      <c r="AF407" s="1" t="s">
        <v>74</v>
      </c>
      <c r="AG407" s="1" t="s">
        <v>74</v>
      </c>
      <c r="AH407" s="1" t="s">
        <v>74</v>
      </c>
      <c r="AI407" s="1" t="s">
        <v>74</v>
      </c>
      <c r="AJ407" s="1" t="s">
        <v>74</v>
      </c>
      <c r="AK407" s="1" t="s">
        <v>74</v>
      </c>
      <c r="AL407" s="1" t="s">
        <v>74</v>
      </c>
      <c r="AM407" s="1" t="s">
        <v>74</v>
      </c>
      <c r="AN407" s="1" t="s">
        <v>74</v>
      </c>
      <c r="AO407" s="1" t="s">
        <v>1973</v>
      </c>
      <c r="AP407" s="1" t="s">
        <v>1974</v>
      </c>
      <c r="AQ407" s="1" t="s">
        <v>74</v>
      </c>
      <c r="AR407" s="1" t="s">
        <v>74</v>
      </c>
      <c r="AS407" s="1" t="s">
        <v>74</v>
      </c>
      <c r="AT407" s="1" t="s">
        <v>1493</v>
      </c>
      <c r="AU407" s="1">
        <v>2021.0</v>
      </c>
      <c r="AV407" s="1">
        <v>21.0</v>
      </c>
      <c r="AW407" s="1">
        <v>42.0</v>
      </c>
      <c r="AX407" s="1" t="s">
        <v>74</v>
      </c>
      <c r="AY407" s="1" t="s">
        <v>74</v>
      </c>
      <c r="AZ407" s="1" t="s">
        <v>74</v>
      </c>
      <c r="BA407" s="1" t="s">
        <v>74</v>
      </c>
      <c r="BB407" s="1">
        <v>37.0</v>
      </c>
      <c r="BC407" s="1">
        <v>72.0</v>
      </c>
      <c r="BD407" s="1" t="s">
        <v>74</v>
      </c>
      <c r="BE407" s="1" t="s">
        <v>3628</v>
      </c>
      <c r="BF407" s="2" t="str">
        <f>HYPERLINK("http://dx.doi.org/10.18270/rcfc.v21i42.3478","http://dx.doi.org/10.18270/rcfc.v21i42.3478")</f>
        <v>http://dx.doi.org/10.18270/rcfc.v21i42.3478</v>
      </c>
      <c r="BG407" s="1" t="s">
        <v>74</v>
      </c>
      <c r="BH407" s="1" t="s">
        <v>74</v>
      </c>
      <c r="BI407" s="1" t="s">
        <v>74</v>
      </c>
      <c r="BJ407" s="1" t="s">
        <v>74</v>
      </c>
      <c r="BK407" s="1" t="s">
        <v>74</v>
      </c>
      <c r="BL407" s="1" t="s">
        <v>74</v>
      </c>
      <c r="BM407" s="1" t="s">
        <v>74</v>
      </c>
      <c r="BN407" s="1" t="s">
        <v>74</v>
      </c>
      <c r="BO407" s="1" t="s">
        <v>74</v>
      </c>
      <c r="BP407" s="1" t="s">
        <v>74</v>
      </c>
      <c r="BQ407" s="1" t="s">
        <v>74</v>
      </c>
      <c r="BR407" s="1" t="s">
        <v>74</v>
      </c>
      <c r="BS407" s="1" t="s">
        <v>3629</v>
      </c>
      <c r="BT407" s="1" t="str">
        <f>HYPERLINK("https%3A%2F%2Fwww.webofscience.com%2Fwos%2Fwoscc%2Ffull-record%2FWOS:000705899100002","View Full Record in Web of Science")</f>
        <v>View Full Record in Web of Science</v>
      </c>
    </row>
    <row r="408" ht="12.75" customHeight="1">
      <c r="A408" s="1" t="s">
        <v>454</v>
      </c>
      <c r="B408" s="1" t="s">
        <v>3630</v>
      </c>
      <c r="C408" s="1" t="s">
        <v>74</v>
      </c>
      <c r="D408" s="1" t="s">
        <v>3631</v>
      </c>
      <c r="E408" s="1" t="s">
        <v>74</v>
      </c>
      <c r="F408" s="1" t="s">
        <v>3632</v>
      </c>
      <c r="G408" s="1" t="s">
        <v>74</v>
      </c>
      <c r="H408" s="1" t="s">
        <v>74</v>
      </c>
      <c r="I408" s="1" t="s">
        <v>3633</v>
      </c>
      <c r="J408" s="1" t="s">
        <v>3634</v>
      </c>
      <c r="K408" s="1" t="s">
        <v>74</v>
      </c>
      <c r="L408" s="1" t="s">
        <v>74</v>
      </c>
      <c r="M408" s="1" t="s">
        <v>74</v>
      </c>
      <c r="N408" s="1" t="s">
        <v>74</v>
      </c>
      <c r="O408" s="1" t="s">
        <v>74</v>
      </c>
      <c r="P408" s="1" t="s">
        <v>74</v>
      </c>
      <c r="Q408" s="1" t="s">
        <v>74</v>
      </c>
      <c r="R408" s="1" t="s">
        <v>74</v>
      </c>
      <c r="S408" s="1" t="s">
        <v>74</v>
      </c>
      <c r="T408" s="1" t="s">
        <v>74</v>
      </c>
      <c r="U408" s="1" t="s">
        <v>74</v>
      </c>
      <c r="V408" s="1" t="s">
        <v>74</v>
      </c>
      <c r="W408" s="1" t="s">
        <v>74</v>
      </c>
      <c r="X408" s="1" t="s">
        <v>74</v>
      </c>
      <c r="Y408" s="1" t="s">
        <v>74</v>
      </c>
      <c r="Z408" s="1" t="s">
        <v>74</v>
      </c>
      <c r="AA408" s="1" t="s">
        <v>74</v>
      </c>
      <c r="AB408" s="1" t="s">
        <v>74</v>
      </c>
      <c r="AC408" s="1" t="s">
        <v>74</v>
      </c>
      <c r="AD408" s="1" t="s">
        <v>74</v>
      </c>
      <c r="AE408" s="1" t="s">
        <v>74</v>
      </c>
      <c r="AF408" s="1" t="s">
        <v>74</v>
      </c>
      <c r="AG408" s="1" t="s">
        <v>74</v>
      </c>
      <c r="AH408" s="1" t="s">
        <v>74</v>
      </c>
      <c r="AI408" s="1" t="s">
        <v>74</v>
      </c>
      <c r="AJ408" s="1" t="s">
        <v>74</v>
      </c>
      <c r="AK408" s="1" t="s">
        <v>74</v>
      </c>
      <c r="AL408" s="1" t="s">
        <v>74</v>
      </c>
      <c r="AM408" s="1" t="s">
        <v>74</v>
      </c>
      <c r="AN408" s="1" t="s">
        <v>74</v>
      </c>
      <c r="AO408" s="1" t="s">
        <v>74</v>
      </c>
      <c r="AP408" s="1" t="s">
        <v>74</v>
      </c>
      <c r="AQ408" s="1" t="s">
        <v>3635</v>
      </c>
      <c r="AR408" s="1" t="s">
        <v>74</v>
      </c>
      <c r="AS408" s="1" t="s">
        <v>74</v>
      </c>
      <c r="AT408" s="1" t="s">
        <v>74</v>
      </c>
      <c r="AU408" s="1">
        <v>2021.0</v>
      </c>
      <c r="AV408" s="1" t="s">
        <v>74</v>
      </c>
      <c r="AW408" s="1" t="s">
        <v>74</v>
      </c>
      <c r="AX408" s="1" t="s">
        <v>74</v>
      </c>
      <c r="AY408" s="1" t="s">
        <v>74</v>
      </c>
      <c r="AZ408" s="1" t="s">
        <v>74</v>
      </c>
      <c r="BA408" s="1" t="s">
        <v>74</v>
      </c>
      <c r="BB408" s="1">
        <v>77.0</v>
      </c>
      <c r="BC408" s="1">
        <v>95.0</v>
      </c>
      <c r="BD408" s="1" t="s">
        <v>74</v>
      </c>
      <c r="BE408" s="1" t="s">
        <v>74</v>
      </c>
      <c r="BF408" s="1" t="s">
        <v>74</v>
      </c>
      <c r="BG408" s="1" t="s">
        <v>74</v>
      </c>
      <c r="BH408" s="1" t="s">
        <v>74</v>
      </c>
      <c r="BI408" s="1" t="s">
        <v>74</v>
      </c>
      <c r="BJ408" s="1" t="s">
        <v>74</v>
      </c>
      <c r="BK408" s="1" t="s">
        <v>74</v>
      </c>
      <c r="BL408" s="1" t="s">
        <v>74</v>
      </c>
      <c r="BM408" s="1" t="s">
        <v>74</v>
      </c>
      <c r="BN408" s="1" t="s">
        <v>74</v>
      </c>
      <c r="BO408" s="1" t="s">
        <v>74</v>
      </c>
      <c r="BP408" s="1" t="s">
        <v>74</v>
      </c>
      <c r="BQ408" s="1" t="s">
        <v>74</v>
      </c>
      <c r="BR408" s="1" t="s">
        <v>74</v>
      </c>
      <c r="BS408" s="1" t="s">
        <v>3636</v>
      </c>
      <c r="BT408" s="1" t="str">
        <f>HYPERLINK("https%3A%2F%2Fwww.webofscience.com%2Fwos%2Fwoscc%2Ffull-record%2FWOS:000651158400005","View Full Record in Web of Science")</f>
        <v>View Full Record in Web of Science</v>
      </c>
    </row>
    <row r="409" ht="12.75" customHeight="1">
      <c r="A409" s="1" t="s">
        <v>72</v>
      </c>
      <c r="B409" s="1" t="s">
        <v>3637</v>
      </c>
      <c r="C409" s="1" t="s">
        <v>74</v>
      </c>
      <c r="D409" s="1" t="s">
        <v>74</v>
      </c>
      <c r="E409" s="1" t="s">
        <v>74</v>
      </c>
      <c r="F409" s="1" t="s">
        <v>3638</v>
      </c>
      <c r="G409" s="1" t="s">
        <v>74</v>
      </c>
      <c r="H409" s="1" t="s">
        <v>74</v>
      </c>
      <c r="I409" s="1" t="s">
        <v>3639</v>
      </c>
      <c r="J409" s="1" t="s">
        <v>1299</v>
      </c>
      <c r="K409" s="1" t="s">
        <v>74</v>
      </c>
      <c r="L409" s="1" t="s">
        <v>74</v>
      </c>
      <c r="M409" s="1" t="s">
        <v>74</v>
      </c>
      <c r="N409" s="1" t="s">
        <v>74</v>
      </c>
      <c r="O409" s="1" t="s">
        <v>74</v>
      </c>
      <c r="P409" s="1" t="s">
        <v>74</v>
      </c>
      <c r="Q409" s="1" t="s">
        <v>74</v>
      </c>
      <c r="R409" s="1" t="s">
        <v>74</v>
      </c>
      <c r="S409" s="1" t="s">
        <v>74</v>
      </c>
      <c r="T409" s="1" t="s">
        <v>74</v>
      </c>
      <c r="U409" s="1" t="s">
        <v>74</v>
      </c>
      <c r="V409" s="1" t="s">
        <v>3640</v>
      </c>
      <c r="W409" s="1" t="s">
        <v>74</v>
      </c>
      <c r="X409" s="1" t="s">
        <v>74</v>
      </c>
      <c r="Y409" s="1" t="s">
        <v>74</v>
      </c>
      <c r="Z409" s="1" t="s">
        <v>74</v>
      </c>
      <c r="AA409" s="1" t="s">
        <v>74</v>
      </c>
      <c r="AB409" s="1" t="s">
        <v>3641</v>
      </c>
      <c r="AC409" s="1" t="s">
        <v>74</v>
      </c>
      <c r="AD409" s="1" t="s">
        <v>74</v>
      </c>
      <c r="AE409" s="1" t="s">
        <v>74</v>
      </c>
      <c r="AF409" s="1" t="s">
        <v>74</v>
      </c>
      <c r="AG409" s="1" t="s">
        <v>74</v>
      </c>
      <c r="AH409" s="1" t="s">
        <v>74</v>
      </c>
      <c r="AI409" s="1" t="s">
        <v>74</v>
      </c>
      <c r="AJ409" s="1" t="s">
        <v>74</v>
      </c>
      <c r="AK409" s="1" t="s">
        <v>74</v>
      </c>
      <c r="AL409" s="1" t="s">
        <v>74</v>
      </c>
      <c r="AM409" s="1" t="s">
        <v>74</v>
      </c>
      <c r="AN409" s="1" t="s">
        <v>74</v>
      </c>
      <c r="AO409" s="1" t="s">
        <v>1300</v>
      </c>
      <c r="AP409" s="1" t="s">
        <v>74</v>
      </c>
      <c r="AQ409" s="1" t="s">
        <v>74</v>
      </c>
      <c r="AR409" s="1" t="s">
        <v>74</v>
      </c>
      <c r="AS409" s="1" t="s">
        <v>74</v>
      </c>
      <c r="AT409" s="1" t="s">
        <v>74</v>
      </c>
      <c r="AU409" s="1">
        <v>2021.0</v>
      </c>
      <c r="AV409" s="1" t="s">
        <v>74</v>
      </c>
      <c r="AW409" s="1">
        <v>17.0</v>
      </c>
      <c r="AX409" s="1" t="s">
        <v>74</v>
      </c>
      <c r="AY409" s="1" t="s">
        <v>74</v>
      </c>
      <c r="AZ409" s="1" t="s">
        <v>564</v>
      </c>
      <c r="BA409" s="1" t="s">
        <v>74</v>
      </c>
      <c r="BB409" s="1">
        <v>135.0</v>
      </c>
      <c r="BC409" s="1">
        <v>154.0</v>
      </c>
      <c r="BD409" s="1" t="s">
        <v>74</v>
      </c>
      <c r="BE409" s="1" t="s">
        <v>3642</v>
      </c>
      <c r="BF409" s="2" t="str">
        <f>HYPERLINK("http://dx.doi.org/10.7203/KAM.17.17618","http://dx.doi.org/10.7203/KAM.17.17618")</f>
        <v>http://dx.doi.org/10.7203/KAM.17.17618</v>
      </c>
      <c r="BG409" s="1" t="s">
        <v>74</v>
      </c>
      <c r="BH409" s="1" t="s">
        <v>74</v>
      </c>
      <c r="BI409" s="1" t="s">
        <v>74</v>
      </c>
      <c r="BJ409" s="1" t="s">
        <v>74</v>
      </c>
      <c r="BK409" s="1" t="s">
        <v>74</v>
      </c>
      <c r="BL409" s="1" t="s">
        <v>74</v>
      </c>
      <c r="BM409" s="1" t="s">
        <v>74</v>
      </c>
      <c r="BN409" s="1" t="s">
        <v>74</v>
      </c>
      <c r="BO409" s="1" t="s">
        <v>74</v>
      </c>
      <c r="BP409" s="1" t="s">
        <v>74</v>
      </c>
      <c r="BQ409" s="1" t="s">
        <v>74</v>
      </c>
      <c r="BR409" s="1" t="s">
        <v>74</v>
      </c>
      <c r="BS409" s="1" t="s">
        <v>3643</v>
      </c>
      <c r="BT409" s="1" t="str">
        <f>HYPERLINK("https%3A%2F%2Fwww.webofscience.com%2Fwos%2Fwoscc%2Ffull-record%2FWOS:000680725300007","View Full Record in Web of Science")</f>
        <v>View Full Record in Web of Science</v>
      </c>
    </row>
    <row r="410" ht="12.75" customHeight="1">
      <c r="A410" s="1" t="s">
        <v>72</v>
      </c>
      <c r="B410" s="1" t="s">
        <v>3644</v>
      </c>
      <c r="C410" s="1" t="s">
        <v>74</v>
      </c>
      <c r="D410" s="1" t="s">
        <v>74</v>
      </c>
      <c r="E410" s="1" t="s">
        <v>74</v>
      </c>
      <c r="F410" s="1" t="s">
        <v>3645</v>
      </c>
      <c r="G410" s="1" t="s">
        <v>74</v>
      </c>
      <c r="H410" s="1" t="s">
        <v>74</v>
      </c>
      <c r="I410" s="1" t="s">
        <v>3646</v>
      </c>
      <c r="J410" s="1" t="s">
        <v>3647</v>
      </c>
      <c r="K410" s="1" t="s">
        <v>74</v>
      </c>
      <c r="L410" s="1" t="s">
        <v>74</v>
      </c>
      <c r="M410" s="1" t="s">
        <v>74</v>
      </c>
      <c r="N410" s="1" t="s">
        <v>74</v>
      </c>
      <c r="O410" s="1" t="s">
        <v>74</v>
      </c>
      <c r="P410" s="1" t="s">
        <v>74</v>
      </c>
      <c r="Q410" s="1" t="s">
        <v>74</v>
      </c>
      <c r="R410" s="1" t="s">
        <v>74</v>
      </c>
      <c r="S410" s="1" t="s">
        <v>74</v>
      </c>
      <c r="T410" s="1" t="s">
        <v>74</v>
      </c>
      <c r="U410" s="1" t="s">
        <v>74</v>
      </c>
      <c r="V410" s="1" t="s">
        <v>3648</v>
      </c>
      <c r="W410" s="1" t="s">
        <v>74</v>
      </c>
      <c r="X410" s="1" t="s">
        <v>74</v>
      </c>
      <c r="Y410" s="1" t="s">
        <v>74</v>
      </c>
      <c r="Z410" s="1" t="s">
        <v>74</v>
      </c>
      <c r="AA410" s="1" t="s">
        <v>74</v>
      </c>
      <c r="AB410" s="1" t="s">
        <v>74</v>
      </c>
      <c r="AC410" s="1" t="s">
        <v>74</v>
      </c>
      <c r="AD410" s="1" t="s">
        <v>74</v>
      </c>
      <c r="AE410" s="1" t="s">
        <v>74</v>
      </c>
      <c r="AF410" s="1" t="s">
        <v>74</v>
      </c>
      <c r="AG410" s="1" t="s">
        <v>74</v>
      </c>
      <c r="AH410" s="1" t="s">
        <v>74</v>
      </c>
      <c r="AI410" s="1" t="s">
        <v>74</v>
      </c>
      <c r="AJ410" s="1" t="s">
        <v>74</v>
      </c>
      <c r="AK410" s="1" t="s">
        <v>74</v>
      </c>
      <c r="AL410" s="1" t="s">
        <v>74</v>
      </c>
      <c r="AM410" s="1" t="s">
        <v>74</v>
      </c>
      <c r="AN410" s="1" t="s">
        <v>74</v>
      </c>
      <c r="AO410" s="1" t="s">
        <v>3649</v>
      </c>
      <c r="AP410" s="1" t="s">
        <v>3650</v>
      </c>
      <c r="AQ410" s="1" t="s">
        <v>74</v>
      </c>
      <c r="AR410" s="1" t="s">
        <v>74</v>
      </c>
      <c r="AS410" s="1" t="s">
        <v>74</v>
      </c>
      <c r="AT410" s="1" t="s">
        <v>74</v>
      </c>
      <c r="AU410" s="1">
        <v>2021.0</v>
      </c>
      <c r="AV410" s="1">
        <v>23.0</v>
      </c>
      <c r="AW410" s="1" t="s">
        <v>74</v>
      </c>
      <c r="AX410" s="1" t="s">
        <v>74</v>
      </c>
      <c r="AY410" s="1" t="s">
        <v>74</v>
      </c>
      <c r="AZ410" s="1" t="s">
        <v>74</v>
      </c>
      <c r="BA410" s="1" t="s">
        <v>74</v>
      </c>
      <c r="BB410" s="1">
        <v>218.0</v>
      </c>
      <c r="BC410" s="1">
        <v>240.0</v>
      </c>
      <c r="BD410" s="1" t="s">
        <v>74</v>
      </c>
      <c r="BE410" s="1" t="s">
        <v>3651</v>
      </c>
      <c r="BF410" s="2" t="str">
        <f>HYPERLINK("http://dx.doi.org/10.24197/aefd.0.2021.218-240","http://dx.doi.org/10.24197/aefd.0.2021.218-240")</f>
        <v>http://dx.doi.org/10.24197/aefd.0.2021.218-240</v>
      </c>
      <c r="BG410" s="1" t="s">
        <v>74</v>
      </c>
      <c r="BH410" s="1" t="s">
        <v>74</v>
      </c>
      <c r="BI410" s="1" t="s">
        <v>74</v>
      </c>
      <c r="BJ410" s="1" t="s">
        <v>74</v>
      </c>
      <c r="BK410" s="1" t="s">
        <v>74</v>
      </c>
      <c r="BL410" s="1" t="s">
        <v>74</v>
      </c>
      <c r="BM410" s="1" t="s">
        <v>74</v>
      </c>
      <c r="BN410" s="1" t="s">
        <v>74</v>
      </c>
      <c r="BO410" s="1" t="s">
        <v>74</v>
      </c>
      <c r="BP410" s="1" t="s">
        <v>74</v>
      </c>
      <c r="BQ410" s="1" t="s">
        <v>74</v>
      </c>
      <c r="BR410" s="1" t="s">
        <v>74</v>
      </c>
      <c r="BS410" s="1" t="s">
        <v>3652</v>
      </c>
      <c r="BT410" s="1" t="str">
        <f>HYPERLINK("https%3A%2F%2Fwww.webofscience.com%2Fwos%2Fwoscc%2Ffull-record%2FWOS:000733242800012","View Full Record in Web of Science")</f>
        <v>View Full Record in Web of Science</v>
      </c>
    </row>
    <row r="411" ht="12.75" customHeight="1">
      <c r="A411" s="1" t="s">
        <v>91</v>
      </c>
      <c r="B411" s="1" t="s">
        <v>3653</v>
      </c>
      <c r="C411" s="1" t="s">
        <v>74</v>
      </c>
      <c r="D411" s="1" t="s">
        <v>74</v>
      </c>
      <c r="E411" s="1" t="s">
        <v>442</v>
      </c>
      <c r="F411" s="1" t="s">
        <v>3654</v>
      </c>
      <c r="G411" s="1" t="s">
        <v>74</v>
      </c>
      <c r="H411" s="1" t="s">
        <v>74</v>
      </c>
      <c r="I411" s="1" t="s">
        <v>3655</v>
      </c>
      <c r="J411" s="1" t="s">
        <v>3656</v>
      </c>
      <c r="K411" s="1" t="s">
        <v>74</v>
      </c>
      <c r="L411" s="1" t="s">
        <v>74</v>
      </c>
      <c r="M411" s="1" t="s">
        <v>74</v>
      </c>
      <c r="N411" s="1" t="s">
        <v>74</v>
      </c>
      <c r="O411" s="1" t="s">
        <v>3657</v>
      </c>
      <c r="P411" s="1" t="s">
        <v>3658</v>
      </c>
      <c r="Q411" s="1" t="s">
        <v>3659</v>
      </c>
      <c r="R411" s="1" t="s">
        <v>74</v>
      </c>
      <c r="S411" s="1" t="s">
        <v>74</v>
      </c>
      <c r="T411" s="1" t="s">
        <v>74</v>
      </c>
      <c r="U411" s="1" t="s">
        <v>74</v>
      </c>
      <c r="V411" s="1" t="s">
        <v>3660</v>
      </c>
      <c r="W411" s="1" t="s">
        <v>74</v>
      </c>
      <c r="X411" s="1" t="s">
        <v>74</v>
      </c>
      <c r="Y411" s="1" t="s">
        <v>74</v>
      </c>
      <c r="Z411" s="1" t="s">
        <v>74</v>
      </c>
      <c r="AA411" s="1" t="s">
        <v>74</v>
      </c>
      <c r="AB411" s="1" t="s">
        <v>1036</v>
      </c>
      <c r="AC411" s="1" t="s">
        <v>74</v>
      </c>
      <c r="AD411" s="1" t="s">
        <v>74</v>
      </c>
      <c r="AE411" s="1" t="s">
        <v>74</v>
      </c>
      <c r="AF411" s="1" t="s">
        <v>74</v>
      </c>
      <c r="AG411" s="1" t="s">
        <v>74</v>
      </c>
      <c r="AH411" s="1" t="s">
        <v>74</v>
      </c>
      <c r="AI411" s="1" t="s">
        <v>74</v>
      </c>
      <c r="AJ411" s="1" t="s">
        <v>74</v>
      </c>
      <c r="AK411" s="1" t="s">
        <v>74</v>
      </c>
      <c r="AL411" s="1" t="s">
        <v>74</v>
      </c>
      <c r="AM411" s="1" t="s">
        <v>74</v>
      </c>
      <c r="AN411" s="1" t="s">
        <v>74</v>
      </c>
      <c r="AO411" s="1" t="s">
        <v>74</v>
      </c>
      <c r="AP411" s="1" t="s">
        <v>74</v>
      </c>
      <c r="AQ411" s="1" t="s">
        <v>3661</v>
      </c>
      <c r="AR411" s="1" t="s">
        <v>74</v>
      </c>
      <c r="AS411" s="1" t="s">
        <v>74</v>
      </c>
      <c r="AT411" s="1" t="s">
        <v>74</v>
      </c>
      <c r="AU411" s="1">
        <v>2021.0</v>
      </c>
      <c r="AV411" s="1" t="s">
        <v>74</v>
      </c>
      <c r="AW411" s="1" t="s">
        <v>74</v>
      </c>
      <c r="AX411" s="1" t="s">
        <v>74</v>
      </c>
      <c r="AY411" s="1" t="s">
        <v>74</v>
      </c>
      <c r="AZ411" s="1" t="s">
        <v>74</v>
      </c>
      <c r="BA411" s="1" t="s">
        <v>74</v>
      </c>
      <c r="BB411" s="1" t="s">
        <v>74</v>
      </c>
      <c r="BC411" s="1" t="s">
        <v>74</v>
      </c>
      <c r="BD411" s="1" t="s">
        <v>74</v>
      </c>
      <c r="BE411" s="1" t="s">
        <v>3662</v>
      </c>
      <c r="BF411" s="2" t="str">
        <f>HYPERLINK("http://dx.doi.org/10.1109/LA-CCI48322.2021.9769836","http://dx.doi.org/10.1109/LA-CCI48322.2021.9769836")</f>
        <v>http://dx.doi.org/10.1109/LA-CCI48322.2021.9769836</v>
      </c>
      <c r="BG411" s="1" t="s">
        <v>74</v>
      </c>
      <c r="BH411" s="1" t="s">
        <v>74</v>
      </c>
      <c r="BI411" s="1" t="s">
        <v>74</v>
      </c>
      <c r="BJ411" s="1" t="s">
        <v>74</v>
      </c>
      <c r="BK411" s="1" t="s">
        <v>74</v>
      </c>
      <c r="BL411" s="1" t="s">
        <v>74</v>
      </c>
      <c r="BM411" s="1" t="s">
        <v>74</v>
      </c>
      <c r="BN411" s="1" t="s">
        <v>74</v>
      </c>
      <c r="BO411" s="1" t="s">
        <v>74</v>
      </c>
      <c r="BP411" s="1" t="s">
        <v>74</v>
      </c>
      <c r="BQ411" s="1" t="s">
        <v>74</v>
      </c>
      <c r="BR411" s="1" t="s">
        <v>74</v>
      </c>
      <c r="BS411" s="1" t="s">
        <v>3663</v>
      </c>
      <c r="BT411" s="1" t="str">
        <f>HYPERLINK("https%3A%2F%2Fwww.webofscience.com%2Fwos%2Fwoscc%2Ffull-record%2FWOS:000925148800038","View Full Record in Web of Science")</f>
        <v>View Full Record in Web of Science</v>
      </c>
    </row>
    <row r="412" ht="12.75" customHeight="1">
      <c r="A412" s="1" t="s">
        <v>72</v>
      </c>
      <c r="B412" s="1" t="s">
        <v>3664</v>
      </c>
      <c r="C412" s="1" t="s">
        <v>74</v>
      </c>
      <c r="D412" s="1" t="s">
        <v>74</v>
      </c>
      <c r="E412" s="1" t="s">
        <v>74</v>
      </c>
      <c r="F412" s="1" t="s">
        <v>3665</v>
      </c>
      <c r="G412" s="1" t="s">
        <v>74</v>
      </c>
      <c r="H412" s="1" t="s">
        <v>74</v>
      </c>
      <c r="I412" s="1" t="s">
        <v>3666</v>
      </c>
      <c r="J412" s="1" t="s">
        <v>3667</v>
      </c>
      <c r="K412" s="1" t="s">
        <v>74</v>
      </c>
      <c r="L412" s="1" t="s">
        <v>74</v>
      </c>
      <c r="M412" s="1" t="s">
        <v>74</v>
      </c>
      <c r="N412" s="1" t="s">
        <v>74</v>
      </c>
      <c r="O412" s="1" t="s">
        <v>74</v>
      </c>
      <c r="P412" s="1" t="s">
        <v>74</v>
      </c>
      <c r="Q412" s="1" t="s">
        <v>74</v>
      </c>
      <c r="R412" s="1" t="s">
        <v>74</v>
      </c>
      <c r="S412" s="1" t="s">
        <v>74</v>
      </c>
      <c r="T412" s="1" t="s">
        <v>74</v>
      </c>
      <c r="U412" s="1" t="s">
        <v>74</v>
      </c>
      <c r="V412" s="1" t="s">
        <v>3668</v>
      </c>
      <c r="W412" s="1" t="s">
        <v>74</v>
      </c>
      <c r="X412" s="1" t="s">
        <v>74</v>
      </c>
      <c r="Y412" s="1" t="s">
        <v>74</v>
      </c>
      <c r="Z412" s="1" t="s">
        <v>74</v>
      </c>
      <c r="AA412" s="1" t="s">
        <v>3669</v>
      </c>
      <c r="AB412" s="1" t="s">
        <v>3670</v>
      </c>
      <c r="AC412" s="1" t="s">
        <v>74</v>
      </c>
      <c r="AD412" s="1" t="s">
        <v>74</v>
      </c>
      <c r="AE412" s="1" t="s">
        <v>74</v>
      </c>
      <c r="AF412" s="1" t="s">
        <v>74</v>
      </c>
      <c r="AG412" s="1" t="s">
        <v>74</v>
      </c>
      <c r="AH412" s="1" t="s">
        <v>74</v>
      </c>
      <c r="AI412" s="1" t="s">
        <v>74</v>
      </c>
      <c r="AJ412" s="1" t="s">
        <v>74</v>
      </c>
      <c r="AK412" s="1" t="s">
        <v>74</v>
      </c>
      <c r="AL412" s="1" t="s">
        <v>74</v>
      </c>
      <c r="AM412" s="1" t="s">
        <v>74</v>
      </c>
      <c r="AN412" s="1" t="s">
        <v>74</v>
      </c>
      <c r="AO412" s="1" t="s">
        <v>3671</v>
      </c>
      <c r="AP412" s="1" t="s">
        <v>3672</v>
      </c>
      <c r="AQ412" s="1" t="s">
        <v>74</v>
      </c>
      <c r="AR412" s="1" t="s">
        <v>74</v>
      </c>
      <c r="AS412" s="1" t="s">
        <v>74</v>
      </c>
      <c r="AT412" s="1" t="s">
        <v>88</v>
      </c>
      <c r="AU412" s="1">
        <v>2020.0</v>
      </c>
      <c r="AV412" s="1">
        <v>317.0</v>
      </c>
      <c r="AW412" s="1" t="s">
        <v>74</v>
      </c>
      <c r="AX412" s="1" t="s">
        <v>74</v>
      </c>
      <c r="AY412" s="1" t="s">
        <v>74</v>
      </c>
      <c r="AZ412" s="1" t="s">
        <v>74</v>
      </c>
      <c r="BA412" s="1" t="s">
        <v>74</v>
      </c>
      <c r="BB412" s="1" t="s">
        <v>74</v>
      </c>
      <c r="BC412" s="1" t="s">
        <v>74</v>
      </c>
      <c r="BD412" s="1">
        <v>123989.0</v>
      </c>
      <c r="BE412" s="1" t="s">
        <v>3673</v>
      </c>
      <c r="BF412" s="2" t="str">
        <f>HYPERLINK("http://dx.doi.org/10.1016/j.biortech.2020.123989","http://dx.doi.org/10.1016/j.biortech.2020.123989")</f>
        <v>http://dx.doi.org/10.1016/j.biortech.2020.123989</v>
      </c>
      <c r="BG412" s="1" t="s">
        <v>74</v>
      </c>
      <c r="BH412" s="1" t="s">
        <v>74</v>
      </c>
      <c r="BI412" s="1" t="s">
        <v>74</v>
      </c>
      <c r="BJ412" s="1" t="s">
        <v>74</v>
      </c>
      <c r="BK412" s="1" t="s">
        <v>74</v>
      </c>
      <c r="BL412" s="1" t="s">
        <v>74</v>
      </c>
      <c r="BM412" s="1" t="s">
        <v>74</v>
      </c>
      <c r="BN412" s="1">
        <v>3.2799085E7</v>
      </c>
      <c r="BO412" s="1" t="s">
        <v>74</v>
      </c>
      <c r="BP412" s="1" t="s">
        <v>74</v>
      </c>
      <c r="BQ412" s="1" t="s">
        <v>74</v>
      </c>
      <c r="BR412" s="1" t="s">
        <v>74</v>
      </c>
      <c r="BS412" s="1" t="s">
        <v>3674</v>
      </c>
      <c r="BT412" s="1" t="str">
        <f>HYPERLINK("https%3A%2F%2Fwww.webofscience.com%2Fwos%2Fwoscc%2Ffull-record%2FWOS:000577077100016","View Full Record in Web of Science")</f>
        <v>View Full Record in Web of Science</v>
      </c>
    </row>
    <row r="413" ht="12.75" customHeight="1">
      <c r="A413" s="1" t="s">
        <v>72</v>
      </c>
      <c r="B413" s="1" t="s">
        <v>3675</v>
      </c>
      <c r="C413" s="1" t="s">
        <v>74</v>
      </c>
      <c r="D413" s="1" t="s">
        <v>74</v>
      </c>
      <c r="E413" s="1" t="s">
        <v>74</v>
      </c>
      <c r="F413" s="1" t="s">
        <v>3676</v>
      </c>
      <c r="G413" s="1" t="s">
        <v>74</v>
      </c>
      <c r="H413" s="1" t="s">
        <v>74</v>
      </c>
      <c r="I413" s="1" t="s">
        <v>3677</v>
      </c>
      <c r="J413" s="1" t="s">
        <v>3678</v>
      </c>
      <c r="K413" s="1" t="s">
        <v>74</v>
      </c>
      <c r="L413" s="1" t="s">
        <v>74</v>
      </c>
      <c r="M413" s="1" t="s">
        <v>74</v>
      </c>
      <c r="N413" s="1" t="s">
        <v>74</v>
      </c>
      <c r="O413" s="1" t="s">
        <v>74</v>
      </c>
      <c r="P413" s="1" t="s">
        <v>74</v>
      </c>
      <c r="Q413" s="1" t="s">
        <v>74</v>
      </c>
      <c r="R413" s="1" t="s">
        <v>74</v>
      </c>
      <c r="S413" s="1" t="s">
        <v>74</v>
      </c>
      <c r="T413" s="1" t="s">
        <v>74</v>
      </c>
      <c r="U413" s="1" t="s">
        <v>74</v>
      </c>
      <c r="V413" s="1" t="s">
        <v>3679</v>
      </c>
      <c r="W413" s="1" t="s">
        <v>74</v>
      </c>
      <c r="X413" s="1" t="s">
        <v>74</v>
      </c>
      <c r="Y413" s="1" t="s">
        <v>74</v>
      </c>
      <c r="Z413" s="1" t="s">
        <v>74</v>
      </c>
      <c r="AA413" s="1" t="s">
        <v>3680</v>
      </c>
      <c r="AB413" s="1" t="s">
        <v>74</v>
      </c>
      <c r="AC413" s="1" t="s">
        <v>74</v>
      </c>
      <c r="AD413" s="1" t="s">
        <v>74</v>
      </c>
      <c r="AE413" s="1" t="s">
        <v>74</v>
      </c>
      <c r="AF413" s="1" t="s">
        <v>74</v>
      </c>
      <c r="AG413" s="1" t="s">
        <v>74</v>
      </c>
      <c r="AH413" s="1" t="s">
        <v>74</v>
      </c>
      <c r="AI413" s="1" t="s">
        <v>74</v>
      </c>
      <c r="AJ413" s="1" t="s">
        <v>74</v>
      </c>
      <c r="AK413" s="1" t="s">
        <v>74</v>
      </c>
      <c r="AL413" s="1" t="s">
        <v>74</v>
      </c>
      <c r="AM413" s="1" t="s">
        <v>74</v>
      </c>
      <c r="AN413" s="1" t="s">
        <v>74</v>
      </c>
      <c r="AO413" s="1" t="s">
        <v>3681</v>
      </c>
      <c r="AP413" s="1" t="s">
        <v>3682</v>
      </c>
      <c r="AQ413" s="1" t="s">
        <v>74</v>
      </c>
      <c r="AR413" s="1" t="s">
        <v>74</v>
      </c>
      <c r="AS413" s="1" t="s">
        <v>74</v>
      </c>
      <c r="AT413" s="1" t="s">
        <v>1099</v>
      </c>
      <c r="AU413" s="1">
        <v>2020.0</v>
      </c>
      <c r="AV413" s="1">
        <v>48.0</v>
      </c>
      <c r="AW413" s="1">
        <v>3.0</v>
      </c>
      <c r="AX413" s="1" t="s">
        <v>74</v>
      </c>
      <c r="AY413" s="1" t="s">
        <v>74</v>
      </c>
      <c r="AZ413" s="1" t="s">
        <v>74</v>
      </c>
      <c r="BA413" s="1" t="s">
        <v>74</v>
      </c>
      <c r="BB413" s="1">
        <v>214.0</v>
      </c>
      <c r="BC413" s="1">
        <v>222.0</v>
      </c>
      <c r="BD413" s="1" t="s">
        <v>74</v>
      </c>
      <c r="BE413" s="1" t="s">
        <v>3683</v>
      </c>
      <c r="BF413" s="2" t="str">
        <f>HYPERLINK("http://dx.doi.org/10.1016/j.aller.2019.11.001","http://dx.doi.org/10.1016/j.aller.2019.11.001")</f>
        <v>http://dx.doi.org/10.1016/j.aller.2019.11.001</v>
      </c>
      <c r="BG413" s="1" t="s">
        <v>74</v>
      </c>
      <c r="BH413" s="1" t="s">
        <v>74</v>
      </c>
      <c r="BI413" s="1" t="s">
        <v>74</v>
      </c>
      <c r="BJ413" s="1" t="s">
        <v>74</v>
      </c>
      <c r="BK413" s="1" t="s">
        <v>74</v>
      </c>
      <c r="BL413" s="1" t="s">
        <v>74</v>
      </c>
      <c r="BM413" s="1" t="s">
        <v>74</v>
      </c>
      <c r="BN413" s="1">
        <v>3.2046866E7</v>
      </c>
      <c r="BO413" s="1" t="s">
        <v>74</v>
      </c>
      <c r="BP413" s="1" t="s">
        <v>74</v>
      </c>
      <c r="BQ413" s="1" t="s">
        <v>74</v>
      </c>
      <c r="BR413" s="1" t="s">
        <v>74</v>
      </c>
      <c r="BS413" s="1" t="s">
        <v>3684</v>
      </c>
      <c r="BT413" s="1" t="str">
        <f>HYPERLINK("https%3A%2F%2Fwww.webofscience.com%2Fwos%2Fwoscc%2Ffull-record%2FWOS:000538107900002","View Full Record in Web of Science")</f>
        <v>View Full Record in Web of Science</v>
      </c>
    </row>
    <row r="414" ht="12.75" customHeight="1">
      <c r="A414" s="1" t="s">
        <v>72</v>
      </c>
      <c r="B414" s="1" t="s">
        <v>3685</v>
      </c>
      <c r="C414" s="1" t="s">
        <v>74</v>
      </c>
      <c r="D414" s="1" t="s">
        <v>74</v>
      </c>
      <c r="E414" s="1" t="s">
        <v>74</v>
      </c>
      <c r="F414" s="1" t="s">
        <v>3686</v>
      </c>
      <c r="G414" s="1" t="s">
        <v>74</v>
      </c>
      <c r="H414" s="1" t="s">
        <v>74</v>
      </c>
      <c r="I414" s="1" t="s">
        <v>3687</v>
      </c>
      <c r="J414" s="1" t="s">
        <v>3688</v>
      </c>
      <c r="K414" s="1" t="s">
        <v>74</v>
      </c>
      <c r="L414" s="1" t="s">
        <v>74</v>
      </c>
      <c r="M414" s="1" t="s">
        <v>74</v>
      </c>
      <c r="N414" s="1" t="s">
        <v>74</v>
      </c>
      <c r="O414" s="1" t="s">
        <v>74</v>
      </c>
      <c r="P414" s="1" t="s">
        <v>74</v>
      </c>
      <c r="Q414" s="1" t="s">
        <v>74</v>
      </c>
      <c r="R414" s="1" t="s">
        <v>74</v>
      </c>
      <c r="S414" s="1" t="s">
        <v>74</v>
      </c>
      <c r="T414" s="1" t="s">
        <v>74</v>
      </c>
      <c r="U414" s="1" t="s">
        <v>74</v>
      </c>
      <c r="V414" s="1" t="s">
        <v>3689</v>
      </c>
      <c r="W414" s="1" t="s">
        <v>74</v>
      </c>
      <c r="X414" s="1" t="s">
        <v>74</v>
      </c>
      <c r="Y414" s="1" t="s">
        <v>74</v>
      </c>
      <c r="Z414" s="1" t="s">
        <v>74</v>
      </c>
      <c r="AA414" s="1" t="s">
        <v>74</v>
      </c>
      <c r="AB414" s="1" t="s">
        <v>74</v>
      </c>
      <c r="AC414" s="1" t="s">
        <v>74</v>
      </c>
      <c r="AD414" s="1" t="s">
        <v>74</v>
      </c>
      <c r="AE414" s="1" t="s">
        <v>74</v>
      </c>
      <c r="AF414" s="1" t="s">
        <v>74</v>
      </c>
      <c r="AG414" s="1" t="s">
        <v>74</v>
      </c>
      <c r="AH414" s="1" t="s">
        <v>74</v>
      </c>
      <c r="AI414" s="1" t="s">
        <v>74</v>
      </c>
      <c r="AJ414" s="1" t="s">
        <v>74</v>
      </c>
      <c r="AK414" s="1" t="s">
        <v>74</v>
      </c>
      <c r="AL414" s="1" t="s">
        <v>74</v>
      </c>
      <c r="AM414" s="1" t="s">
        <v>74</v>
      </c>
      <c r="AN414" s="1" t="s">
        <v>74</v>
      </c>
      <c r="AO414" s="1" t="s">
        <v>3690</v>
      </c>
      <c r="AP414" s="1" t="s">
        <v>74</v>
      </c>
      <c r="AQ414" s="1" t="s">
        <v>74</v>
      </c>
      <c r="AR414" s="1" t="s">
        <v>74</v>
      </c>
      <c r="AS414" s="1" t="s">
        <v>74</v>
      </c>
      <c r="AT414" s="1" t="s">
        <v>3519</v>
      </c>
      <c r="AU414" s="1">
        <v>2020.0</v>
      </c>
      <c r="AV414" s="1">
        <v>6.0</v>
      </c>
      <c r="AW414" s="1">
        <v>2.0</v>
      </c>
      <c r="AX414" s="1" t="s">
        <v>74</v>
      </c>
      <c r="AY414" s="1" t="s">
        <v>74</v>
      </c>
      <c r="AZ414" s="1" t="s">
        <v>74</v>
      </c>
      <c r="BA414" s="1" t="s">
        <v>74</v>
      </c>
      <c r="BB414" s="1">
        <v>340.0</v>
      </c>
      <c r="BC414" s="1">
        <v>359.0</v>
      </c>
      <c r="BD414" s="1" t="s">
        <v>74</v>
      </c>
      <c r="BE414" s="1" t="s">
        <v>3691</v>
      </c>
      <c r="BF414" s="2" t="str">
        <f>HYPERLINK("http://dx.doi.org/10.24206/lh.v6i2.31530","http://dx.doi.org/10.24206/lh.v6i2.31530")</f>
        <v>http://dx.doi.org/10.24206/lh.v6i2.31530</v>
      </c>
      <c r="BG414" s="1" t="s">
        <v>74</v>
      </c>
      <c r="BH414" s="1" t="s">
        <v>74</v>
      </c>
      <c r="BI414" s="1" t="s">
        <v>74</v>
      </c>
      <c r="BJ414" s="1" t="s">
        <v>74</v>
      </c>
      <c r="BK414" s="1" t="s">
        <v>74</v>
      </c>
      <c r="BL414" s="1" t="s">
        <v>74</v>
      </c>
      <c r="BM414" s="1" t="s">
        <v>74</v>
      </c>
      <c r="BN414" s="1" t="s">
        <v>74</v>
      </c>
      <c r="BO414" s="1" t="s">
        <v>74</v>
      </c>
      <c r="BP414" s="1" t="s">
        <v>74</v>
      </c>
      <c r="BQ414" s="1" t="s">
        <v>74</v>
      </c>
      <c r="BR414" s="1" t="s">
        <v>74</v>
      </c>
      <c r="BS414" s="1" t="s">
        <v>3692</v>
      </c>
      <c r="BT414" s="1" t="str">
        <f>HYPERLINK("https%3A%2F%2Fwww.webofscience.com%2Fwos%2Fwoscc%2Ffull-record%2FWOS:000604647000018","View Full Record in Web of Science")</f>
        <v>View Full Record in Web of Science</v>
      </c>
    </row>
    <row r="415" ht="12.75" customHeight="1">
      <c r="A415" s="1" t="s">
        <v>72</v>
      </c>
      <c r="B415" s="1" t="s">
        <v>3693</v>
      </c>
      <c r="C415" s="1" t="s">
        <v>74</v>
      </c>
      <c r="D415" s="1" t="s">
        <v>74</v>
      </c>
      <c r="E415" s="1" t="s">
        <v>74</v>
      </c>
      <c r="F415" s="1" t="s">
        <v>3694</v>
      </c>
      <c r="G415" s="1" t="s">
        <v>74</v>
      </c>
      <c r="H415" s="1" t="s">
        <v>74</v>
      </c>
      <c r="I415" s="1" t="s">
        <v>3695</v>
      </c>
      <c r="J415" s="1" t="s">
        <v>3696</v>
      </c>
      <c r="K415" s="1" t="s">
        <v>74</v>
      </c>
      <c r="L415" s="1" t="s">
        <v>74</v>
      </c>
      <c r="M415" s="1" t="s">
        <v>74</v>
      </c>
      <c r="N415" s="1" t="s">
        <v>74</v>
      </c>
      <c r="O415" s="1" t="s">
        <v>74</v>
      </c>
      <c r="P415" s="1" t="s">
        <v>74</v>
      </c>
      <c r="Q415" s="1" t="s">
        <v>74</v>
      </c>
      <c r="R415" s="1" t="s">
        <v>74</v>
      </c>
      <c r="S415" s="1" t="s">
        <v>74</v>
      </c>
      <c r="T415" s="1" t="s">
        <v>74</v>
      </c>
      <c r="U415" s="1" t="s">
        <v>74</v>
      </c>
      <c r="V415" s="1" t="s">
        <v>3697</v>
      </c>
      <c r="W415" s="1" t="s">
        <v>74</v>
      </c>
      <c r="X415" s="1" t="s">
        <v>74</v>
      </c>
      <c r="Y415" s="1" t="s">
        <v>74</v>
      </c>
      <c r="Z415" s="1" t="s">
        <v>74</v>
      </c>
      <c r="AA415" s="1" t="s">
        <v>3698</v>
      </c>
      <c r="AB415" s="1" t="s">
        <v>3699</v>
      </c>
      <c r="AC415" s="1" t="s">
        <v>74</v>
      </c>
      <c r="AD415" s="1" t="s">
        <v>74</v>
      </c>
      <c r="AE415" s="1" t="s">
        <v>74</v>
      </c>
      <c r="AF415" s="1" t="s">
        <v>74</v>
      </c>
      <c r="AG415" s="1" t="s">
        <v>74</v>
      </c>
      <c r="AH415" s="1" t="s">
        <v>74</v>
      </c>
      <c r="AI415" s="1" t="s">
        <v>74</v>
      </c>
      <c r="AJ415" s="1" t="s">
        <v>74</v>
      </c>
      <c r="AK415" s="1" t="s">
        <v>74</v>
      </c>
      <c r="AL415" s="1" t="s">
        <v>74</v>
      </c>
      <c r="AM415" s="1" t="s">
        <v>74</v>
      </c>
      <c r="AN415" s="1" t="s">
        <v>74</v>
      </c>
      <c r="AO415" s="1" t="s">
        <v>3700</v>
      </c>
      <c r="AP415" s="1" t="s">
        <v>3701</v>
      </c>
      <c r="AQ415" s="1" t="s">
        <v>74</v>
      </c>
      <c r="AR415" s="1" t="s">
        <v>74</v>
      </c>
      <c r="AS415" s="1" t="s">
        <v>74</v>
      </c>
      <c r="AT415" s="1" t="s">
        <v>3702</v>
      </c>
      <c r="AU415" s="1">
        <v>2020.0</v>
      </c>
      <c r="AV415" s="1">
        <v>60.0</v>
      </c>
      <c r="AW415" s="1">
        <v>8.0</v>
      </c>
      <c r="AX415" s="1" t="s">
        <v>74</v>
      </c>
      <c r="AY415" s="1" t="s">
        <v>74</v>
      </c>
      <c r="AZ415" s="1" t="s">
        <v>74</v>
      </c>
      <c r="BA415" s="1" t="s">
        <v>74</v>
      </c>
      <c r="BB415" s="1">
        <v>1290.0</v>
      </c>
      <c r="BC415" s="1">
        <v>1301.0</v>
      </c>
      <c r="BD415" s="1" t="s">
        <v>74</v>
      </c>
      <c r="BE415" s="1" t="s">
        <v>3703</v>
      </c>
      <c r="BF415" s="2" t="str">
        <f>HYPERLINK("http://dx.doi.org/10.1080/10408398.2019.1567459","http://dx.doi.org/10.1080/10408398.2019.1567459")</f>
        <v>http://dx.doi.org/10.1080/10408398.2019.1567459</v>
      </c>
      <c r="BG415" s="1" t="s">
        <v>74</v>
      </c>
      <c r="BH415" s="1" t="s">
        <v>74</v>
      </c>
      <c r="BI415" s="1" t="s">
        <v>74</v>
      </c>
      <c r="BJ415" s="1" t="s">
        <v>74</v>
      </c>
      <c r="BK415" s="1" t="s">
        <v>74</v>
      </c>
      <c r="BL415" s="1" t="s">
        <v>74</v>
      </c>
      <c r="BM415" s="1" t="s">
        <v>74</v>
      </c>
      <c r="BN415" s="1">
        <v>3.0729794E7</v>
      </c>
      <c r="BO415" s="1" t="s">
        <v>74</v>
      </c>
      <c r="BP415" s="1" t="s">
        <v>74</v>
      </c>
      <c r="BQ415" s="1" t="s">
        <v>74</v>
      </c>
      <c r="BR415" s="1" t="s">
        <v>74</v>
      </c>
      <c r="BS415" s="1" t="s">
        <v>3704</v>
      </c>
      <c r="BT415" s="1" t="str">
        <f>HYPERLINK("https%3A%2F%2Fwww.webofscience.com%2Fwos%2Fwoscc%2Ffull-record%2FWOS:000522424200003","View Full Record in Web of Science")</f>
        <v>View Full Record in Web of Science</v>
      </c>
    </row>
    <row r="416" ht="12.75" customHeight="1">
      <c r="A416" s="1" t="s">
        <v>72</v>
      </c>
      <c r="B416" s="1" t="s">
        <v>2984</v>
      </c>
      <c r="C416" s="1" t="s">
        <v>74</v>
      </c>
      <c r="D416" s="1" t="s">
        <v>74</v>
      </c>
      <c r="E416" s="1" t="s">
        <v>74</v>
      </c>
      <c r="F416" s="1" t="s">
        <v>2985</v>
      </c>
      <c r="G416" s="1" t="s">
        <v>74</v>
      </c>
      <c r="H416" s="1" t="s">
        <v>74</v>
      </c>
      <c r="I416" s="1" t="s">
        <v>3705</v>
      </c>
      <c r="J416" s="1" t="s">
        <v>3706</v>
      </c>
      <c r="K416" s="1" t="s">
        <v>74</v>
      </c>
      <c r="L416" s="1" t="s">
        <v>74</v>
      </c>
      <c r="M416" s="1" t="s">
        <v>74</v>
      </c>
      <c r="N416" s="1" t="s">
        <v>74</v>
      </c>
      <c r="O416" s="1" t="s">
        <v>74</v>
      </c>
      <c r="P416" s="1" t="s">
        <v>74</v>
      </c>
      <c r="Q416" s="1" t="s">
        <v>74</v>
      </c>
      <c r="R416" s="1" t="s">
        <v>74</v>
      </c>
      <c r="S416" s="1" t="s">
        <v>74</v>
      </c>
      <c r="T416" s="1" t="s">
        <v>74</v>
      </c>
      <c r="U416" s="1" t="s">
        <v>74</v>
      </c>
      <c r="V416" s="1" t="s">
        <v>3707</v>
      </c>
      <c r="W416" s="1" t="s">
        <v>74</v>
      </c>
      <c r="X416" s="1" t="s">
        <v>74</v>
      </c>
      <c r="Y416" s="1" t="s">
        <v>74</v>
      </c>
      <c r="Z416" s="1" t="s">
        <v>74</v>
      </c>
      <c r="AA416" s="1" t="s">
        <v>2989</v>
      </c>
      <c r="AB416" s="1" t="s">
        <v>74</v>
      </c>
      <c r="AC416" s="1" t="s">
        <v>74</v>
      </c>
      <c r="AD416" s="1" t="s">
        <v>74</v>
      </c>
      <c r="AE416" s="1" t="s">
        <v>74</v>
      </c>
      <c r="AF416" s="1" t="s">
        <v>74</v>
      </c>
      <c r="AG416" s="1" t="s">
        <v>74</v>
      </c>
      <c r="AH416" s="1" t="s">
        <v>74</v>
      </c>
      <c r="AI416" s="1" t="s">
        <v>74</v>
      </c>
      <c r="AJ416" s="1" t="s">
        <v>74</v>
      </c>
      <c r="AK416" s="1" t="s">
        <v>74</v>
      </c>
      <c r="AL416" s="1" t="s">
        <v>74</v>
      </c>
      <c r="AM416" s="1" t="s">
        <v>74</v>
      </c>
      <c r="AN416" s="1" t="s">
        <v>74</v>
      </c>
      <c r="AO416" s="1" t="s">
        <v>3708</v>
      </c>
      <c r="AP416" s="1" t="s">
        <v>3709</v>
      </c>
      <c r="AQ416" s="1" t="s">
        <v>74</v>
      </c>
      <c r="AR416" s="1" t="s">
        <v>74</v>
      </c>
      <c r="AS416" s="1" t="s">
        <v>74</v>
      </c>
      <c r="AT416" s="1" t="s">
        <v>347</v>
      </c>
      <c r="AU416" s="1">
        <v>2020.0</v>
      </c>
      <c r="AV416" s="1">
        <v>39.0</v>
      </c>
      <c r="AW416" s="1">
        <v>2.0</v>
      </c>
      <c r="AX416" s="1" t="s">
        <v>74</v>
      </c>
      <c r="AY416" s="1" t="s">
        <v>74</v>
      </c>
      <c r="AZ416" s="1" t="s">
        <v>564</v>
      </c>
      <c r="BA416" s="1" t="s">
        <v>74</v>
      </c>
      <c r="BB416" s="1">
        <v>238.0</v>
      </c>
      <c r="BC416" s="1">
        <v>254.0</v>
      </c>
      <c r="BD416" s="1" t="s">
        <v>74</v>
      </c>
      <c r="BE416" s="1" t="s">
        <v>3710</v>
      </c>
      <c r="BF416" s="2" t="str">
        <f>HYPERLINK("http://dx.doi.org/10.1111/blar.12955","http://dx.doi.org/10.1111/blar.12955")</f>
        <v>http://dx.doi.org/10.1111/blar.12955</v>
      </c>
      <c r="BG416" s="1" t="s">
        <v>74</v>
      </c>
      <c r="BH416" s="1" t="s">
        <v>74</v>
      </c>
      <c r="BI416" s="1" t="s">
        <v>74</v>
      </c>
      <c r="BJ416" s="1" t="s">
        <v>74</v>
      </c>
      <c r="BK416" s="1" t="s">
        <v>74</v>
      </c>
      <c r="BL416" s="1" t="s">
        <v>74</v>
      </c>
      <c r="BM416" s="1" t="s">
        <v>74</v>
      </c>
      <c r="BN416" s="1" t="s">
        <v>74</v>
      </c>
      <c r="BO416" s="1" t="s">
        <v>74</v>
      </c>
      <c r="BP416" s="1" t="s">
        <v>74</v>
      </c>
      <c r="BQ416" s="1" t="s">
        <v>74</v>
      </c>
      <c r="BR416" s="1" t="s">
        <v>74</v>
      </c>
      <c r="BS416" s="1" t="s">
        <v>3711</v>
      </c>
      <c r="BT416" s="1" t="str">
        <f>HYPERLINK("https%3A%2F%2Fwww.webofscience.com%2Fwos%2Fwoscc%2Ffull-record%2FWOS:000526089300010","View Full Record in Web of Science")</f>
        <v>View Full Record in Web of Science</v>
      </c>
    </row>
    <row r="417" ht="12.75" customHeight="1">
      <c r="A417" s="1" t="s">
        <v>72</v>
      </c>
      <c r="B417" s="1" t="s">
        <v>2188</v>
      </c>
      <c r="C417" s="1" t="s">
        <v>74</v>
      </c>
      <c r="D417" s="1" t="s">
        <v>74</v>
      </c>
      <c r="E417" s="1" t="s">
        <v>74</v>
      </c>
      <c r="F417" s="1" t="s">
        <v>3712</v>
      </c>
      <c r="G417" s="1" t="s">
        <v>74</v>
      </c>
      <c r="H417" s="1" t="s">
        <v>74</v>
      </c>
      <c r="I417" s="1" t="s">
        <v>3713</v>
      </c>
      <c r="J417" s="1" t="s">
        <v>3714</v>
      </c>
      <c r="K417" s="1" t="s">
        <v>74</v>
      </c>
      <c r="L417" s="1" t="s">
        <v>74</v>
      </c>
      <c r="M417" s="1" t="s">
        <v>74</v>
      </c>
      <c r="N417" s="1" t="s">
        <v>74</v>
      </c>
      <c r="O417" s="1" t="s">
        <v>74</v>
      </c>
      <c r="P417" s="1" t="s">
        <v>74</v>
      </c>
      <c r="Q417" s="1" t="s">
        <v>74</v>
      </c>
      <c r="R417" s="1" t="s">
        <v>74</v>
      </c>
      <c r="S417" s="1" t="s">
        <v>74</v>
      </c>
      <c r="T417" s="1" t="s">
        <v>74</v>
      </c>
      <c r="U417" s="1" t="s">
        <v>74</v>
      </c>
      <c r="V417" s="1" t="s">
        <v>3715</v>
      </c>
      <c r="W417" s="1" t="s">
        <v>74</v>
      </c>
      <c r="X417" s="1" t="s">
        <v>74</v>
      </c>
      <c r="Y417" s="1" t="s">
        <v>74</v>
      </c>
      <c r="Z417" s="1" t="s">
        <v>74</v>
      </c>
      <c r="AA417" s="1" t="s">
        <v>74</v>
      </c>
      <c r="AB417" s="1" t="s">
        <v>74</v>
      </c>
      <c r="AC417" s="1" t="s">
        <v>74</v>
      </c>
      <c r="AD417" s="1" t="s">
        <v>74</v>
      </c>
      <c r="AE417" s="1" t="s">
        <v>74</v>
      </c>
      <c r="AF417" s="1" t="s">
        <v>74</v>
      </c>
      <c r="AG417" s="1" t="s">
        <v>74</v>
      </c>
      <c r="AH417" s="1" t="s">
        <v>74</v>
      </c>
      <c r="AI417" s="1" t="s">
        <v>74</v>
      </c>
      <c r="AJ417" s="1" t="s">
        <v>74</v>
      </c>
      <c r="AK417" s="1" t="s">
        <v>74</v>
      </c>
      <c r="AL417" s="1" t="s">
        <v>74</v>
      </c>
      <c r="AM417" s="1" t="s">
        <v>74</v>
      </c>
      <c r="AN417" s="1" t="s">
        <v>74</v>
      </c>
      <c r="AO417" s="1" t="s">
        <v>3716</v>
      </c>
      <c r="AP417" s="1" t="s">
        <v>3717</v>
      </c>
      <c r="AQ417" s="1" t="s">
        <v>74</v>
      </c>
      <c r="AR417" s="1" t="s">
        <v>74</v>
      </c>
      <c r="AS417" s="1" t="s">
        <v>74</v>
      </c>
      <c r="AT417" s="1" t="s">
        <v>74</v>
      </c>
      <c r="AU417" s="1">
        <v>2020.0</v>
      </c>
      <c r="AV417" s="1">
        <v>15.0</v>
      </c>
      <c r="AW417" s="1" t="s">
        <v>74</v>
      </c>
      <c r="AX417" s="1" t="s">
        <v>74</v>
      </c>
      <c r="AY417" s="1" t="s">
        <v>74</v>
      </c>
      <c r="AZ417" s="1" t="s">
        <v>74</v>
      </c>
      <c r="BA417" s="1" t="s">
        <v>74</v>
      </c>
      <c r="BB417" s="1" t="s">
        <v>74</v>
      </c>
      <c r="BC417" s="1" t="s">
        <v>74</v>
      </c>
      <c r="BD417" s="1">
        <v>3.0</v>
      </c>
      <c r="BE417" s="1" t="s">
        <v>74</v>
      </c>
      <c r="BF417" s="1" t="s">
        <v>74</v>
      </c>
      <c r="BG417" s="1" t="s">
        <v>74</v>
      </c>
      <c r="BH417" s="1" t="s">
        <v>74</v>
      </c>
      <c r="BI417" s="1" t="s">
        <v>74</v>
      </c>
      <c r="BJ417" s="1" t="s">
        <v>74</v>
      </c>
      <c r="BK417" s="1" t="s">
        <v>74</v>
      </c>
      <c r="BL417" s="1" t="s">
        <v>74</v>
      </c>
      <c r="BM417" s="1" t="s">
        <v>74</v>
      </c>
      <c r="BN417" s="1" t="s">
        <v>74</v>
      </c>
      <c r="BO417" s="1" t="s">
        <v>74</v>
      </c>
      <c r="BP417" s="1" t="s">
        <v>74</v>
      </c>
      <c r="BQ417" s="1" t="s">
        <v>74</v>
      </c>
      <c r="BR417" s="1" t="s">
        <v>74</v>
      </c>
      <c r="BS417" s="1" t="s">
        <v>3718</v>
      </c>
      <c r="BT417" s="1" t="str">
        <f>HYPERLINK("https%3A%2F%2Fwww.webofscience.com%2Fwos%2Fwoscc%2Ffull-record%2FWOS:000617097000003","View Full Record in Web of Science")</f>
        <v>View Full Record in Web of Science</v>
      </c>
    </row>
    <row r="418" ht="12.75" customHeight="1">
      <c r="A418" s="1" t="s">
        <v>91</v>
      </c>
      <c r="B418" s="1" t="s">
        <v>3719</v>
      </c>
      <c r="C418" s="1" t="s">
        <v>74</v>
      </c>
      <c r="D418" s="1" t="s">
        <v>74</v>
      </c>
      <c r="E418" s="1" t="s">
        <v>442</v>
      </c>
      <c r="F418" s="1" t="s">
        <v>3720</v>
      </c>
      <c r="G418" s="1" t="s">
        <v>74</v>
      </c>
      <c r="H418" s="1" t="s">
        <v>74</v>
      </c>
      <c r="I418" s="1" t="s">
        <v>3721</v>
      </c>
      <c r="J418" s="1" t="s">
        <v>3722</v>
      </c>
      <c r="K418" s="1" t="s">
        <v>3723</v>
      </c>
      <c r="L418" s="1" t="s">
        <v>74</v>
      </c>
      <c r="M418" s="1" t="s">
        <v>74</v>
      </c>
      <c r="N418" s="1" t="s">
        <v>74</v>
      </c>
      <c r="O418" s="1" t="s">
        <v>3724</v>
      </c>
      <c r="P418" s="1" t="s">
        <v>3725</v>
      </c>
      <c r="Q418" s="1" t="s">
        <v>3726</v>
      </c>
      <c r="R418" s="1" t="s">
        <v>3727</v>
      </c>
      <c r="S418" s="1" t="s">
        <v>3728</v>
      </c>
      <c r="T418" s="1" t="s">
        <v>74</v>
      </c>
      <c r="U418" s="1" t="s">
        <v>74</v>
      </c>
      <c r="V418" s="1" t="s">
        <v>3729</v>
      </c>
      <c r="W418" s="1" t="s">
        <v>74</v>
      </c>
      <c r="X418" s="1" t="s">
        <v>74</v>
      </c>
      <c r="Y418" s="1" t="s">
        <v>74</v>
      </c>
      <c r="Z418" s="1" t="s">
        <v>74</v>
      </c>
      <c r="AA418" s="1" t="s">
        <v>74</v>
      </c>
      <c r="AB418" s="1" t="s">
        <v>3730</v>
      </c>
      <c r="AC418" s="1" t="s">
        <v>74</v>
      </c>
      <c r="AD418" s="1" t="s">
        <v>74</v>
      </c>
      <c r="AE418" s="1" t="s">
        <v>74</v>
      </c>
      <c r="AF418" s="1" t="s">
        <v>74</v>
      </c>
      <c r="AG418" s="1" t="s">
        <v>74</v>
      </c>
      <c r="AH418" s="1" t="s">
        <v>74</v>
      </c>
      <c r="AI418" s="1" t="s">
        <v>74</v>
      </c>
      <c r="AJ418" s="1" t="s">
        <v>74</v>
      </c>
      <c r="AK418" s="1" t="s">
        <v>74</v>
      </c>
      <c r="AL418" s="1" t="s">
        <v>74</v>
      </c>
      <c r="AM418" s="1" t="s">
        <v>74</v>
      </c>
      <c r="AN418" s="1" t="s">
        <v>74</v>
      </c>
      <c r="AO418" s="1" t="s">
        <v>3731</v>
      </c>
      <c r="AP418" s="1" t="s">
        <v>74</v>
      </c>
      <c r="AQ418" s="1" t="s">
        <v>3732</v>
      </c>
      <c r="AR418" s="1" t="s">
        <v>74</v>
      </c>
      <c r="AS418" s="1" t="s">
        <v>74</v>
      </c>
      <c r="AT418" s="1" t="s">
        <v>74</v>
      </c>
      <c r="AU418" s="1">
        <v>2020.0</v>
      </c>
      <c r="AV418" s="1" t="s">
        <v>74</v>
      </c>
      <c r="AW418" s="1" t="s">
        <v>74</v>
      </c>
      <c r="AX418" s="1" t="s">
        <v>74</v>
      </c>
      <c r="AY418" s="1" t="s">
        <v>74</v>
      </c>
      <c r="AZ418" s="1" t="s">
        <v>74</v>
      </c>
      <c r="BA418" s="1" t="s">
        <v>74</v>
      </c>
      <c r="BB418" s="1" t="s">
        <v>74</v>
      </c>
      <c r="BC418" s="1" t="s">
        <v>74</v>
      </c>
      <c r="BD418" s="1" t="s">
        <v>74</v>
      </c>
      <c r="BE418" s="1" t="s">
        <v>74</v>
      </c>
      <c r="BF418" s="1" t="s">
        <v>74</v>
      </c>
      <c r="BG418" s="1" t="s">
        <v>74</v>
      </c>
      <c r="BH418" s="1" t="s">
        <v>74</v>
      </c>
      <c r="BI418" s="1" t="s">
        <v>74</v>
      </c>
      <c r="BJ418" s="1" t="s">
        <v>74</v>
      </c>
      <c r="BK418" s="1" t="s">
        <v>74</v>
      </c>
      <c r="BL418" s="1" t="s">
        <v>74</v>
      </c>
      <c r="BM418" s="1" t="s">
        <v>74</v>
      </c>
      <c r="BN418" s="1" t="s">
        <v>74</v>
      </c>
      <c r="BO418" s="1" t="s">
        <v>74</v>
      </c>
      <c r="BP418" s="1" t="s">
        <v>74</v>
      </c>
      <c r="BQ418" s="1" t="s">
        <v>74</v>
      </c>
      <c r="BR418" s="1" t="s">
        <v>74</v>
      </c>
      <c r="BS418" s="1" t="s">
        <v>3733</v>
      </c>
      <c r="BT418" s="1" t="str">
        <f>HYPERLINK("https%3A%2F%2Fwww.webofscience.com%2Fwos%2Fwoscc%2Ffull-record%2FWOS:000848755600045","View Full Record in Web of Science")</f>
        <v>View Full Record in Web of Science</v>
      </c>
    </row>
    <row r="419" ht="12.75" customHeight="1">
      <c r="A419" s="1" t="s">
        <v>454</v>
      </c>
      <c r="B419" s="1" t="s">
        <v>3734</v>
      </c>
      <c r="C419" s="1" t="s">
        <v>74</v>
      </c>
      <c r="D419" s="1" t="s">
        <v>74</v>
      </c>
      <c r="E419" s="1" t="s">
        <v>601</v>
      </c>
      <c r="F419" s="1" t="s">
        <v>3735</v>
      </c>
      <c r="G419" s="1" t="s">
        <v>74</v>
      </c>
      <c r="H419" s="1" t="s">
        <v>74</v>
      </c>
      <c r="I419" s="1" t="s">
        <v>3736</v>
      </c>
      <c r="J419" s="1" t="s">
        <v>2947</v>
      </c>
      <c r="K419" s="1" t="s">
        <v>74</v>
      </c>
      <c r="L419" s="1" t="s">
        <v>74</v>
      </c>
      <c r="M419" s="1" t="s">
        <v>74</v>
      </c>
      <c r="N419" s="1" t="s">
        <v>74</v>
      </c>
      <c r="O419" s="1" t="s">
        <v>74</v>
      </c>
      <c r="P419" s="1" t="s">
        <v>74</v>
      </c>
      <c r="Q419" s="1" t="s">
        <v>74</v>
      </c>
      <c r="R419" s="1" t="s">
        <v>74</v>
      </c>
      <c r="S419" s="1" t="s">
        <v>74</v>
      </c>
      <c r="T419" s="1" t="s">
        <v>74</v>
      </c>
      <c r="U419" s="1" t="s">
        <v>74</v>
      </c>
      <c r="V419" s="1" t="s">
        <v>3737</v>
      </c>
      <c r="W419" s="1" t="s">
        <v>74</v>
      </c>
      <c r="X419" s="1" t="s">
        <v>74</v>
      </c>
      <c r="Y419" s="1" t="s">
        <v>74</v>
      </c>
      <c r="Z419" s="1" t="s">
        <v>74</v>
      </c>
      <c r="AA419" s="1" t="s">
        <v>74</v>
      </c>
      <c r="AB419" s="1" t="s">
        <v>74</v>
      </c>
      <c r="AC419" s="1" t="s">
        <v>74</v>
      </c>
      <c r="AD419" s="1" t="s">
        <v>74</v>
      </c>
      <c r="AE419" s="1" t="s">
        <v>74</v>
      </c>
      <c r="AF419" s="1" t="s">
        <v>74</v>
      </c>
      <c r="AG419" s="1" t="s">
        <v>74</v>
      </c>
      <c r="AH419" s="1" t="s">
        <v>74</v>
      </c>
      <c r="AI419" s="1" t="s">
        <v>74</v>
      </c>
      <c r="AJ419" s="1" t="s">
        <v>74</v>
      </c>
      <c r="AK419" s="1" t="s">
        <v>74</v>
      </c>
      <c r="AL419" s="1" t="s">
        <v>74</v>
      </c>
      <c r="AM419" s="1" t="s">
        <v>74</v>
      </c>
      <c r="AN419" s="1" t="s">
        <v>74</v>
      </c>
      <c r="AO419" s="1" t="s">
        <v>74</v>
      </c>
      <c r="AP419" s="1" t="s">
        <v>74</v>
      </c>
      <c r="AQ419" s="1" t="s">
        <v>2949</v>
      </c>
      <c r="AR419" s="1" t="s">
        <v>74</v>
      </c>
      <c r="AS419" s="1" t="s">
        <v>74</v>
      </c>
      <c r="AT419" s="1" t="s">
        <v>74</v>
      </c>
      <c r="AU419" s="1">
        <v>2020.0</v>
      </c>
      <c r="AV419" s="1" t="s">
        <v>74</v>
      </c>
      <c r="AW419" s="1" t="s">
        <v>74</v>
      </c>
      <c r="AX419" s="1" t="s">
        <v>74</v>
      </c>
      <c r="AY419" s="1" t="s">
        <v>74</v>
      </c>
      <c r="AZ419" s="1" t="s">
        <v>74</v>
      </c>
      <c r="BA419" s="1" t="s">
        <v>74</v>
      </c>
      <c r="BB419" s="1">
        <v>158.0</v>
      </c>
      <c r="BC419" s="1">
        <v>168.0</v>
      </c>
      <c r="BD419" s="1" t="s">
        <v>74</v>
      </c>
      <c r="BE419" s="1" t="s">
        <v>74</v>
      </c>
      <c r="BF419" s="1" t="s">
        <v>74</v>
      </c>
      <c r="BG419" s="1" t="s">
        <v>74</v>
      </c>
      <c r="BH419" s="1" t="s">
        <v>74</v>
      </c>
      <c r="BI419" s="1" t="s">
        <v>74</v>
      </c>
      <c r="BJ419" s="1" t="s">
        <v>74</v>
      </c>
      <c r="BK419" s="1" t="s">
        <v>74</v>
      </c>
      <c r="BL419" s="1" t="s">
        <v>74</v>
      </c>
      <c r="BM419" s="1" t="s">
        <v>74</v>
      </c>
      <c r="BN419" s="1" t="s">
        <v>74</v>
      </c>
      <c r="BO419" s="1" t="s">
        <v>74</v>
      </c>
      <c r="BP419" s="1" t="s">
        <v>74</v>
      </c>
      <c r="BQ419" s="1" t="s">
        <v>74</v>
      </c>
      <c r="BR419" s="1" t="s">
        <v>74</v>
      </c>
      <c r="BS419" s="1" t="s">
        <v>3738</v>
      </c>
      <c r="BT419" s="1" t="str">
        <f>HYPERLINK("https%3A%2F%2Fwww.webofscience.com%2Fwos%2Fwoscc%2Ffull-record%2FWOS:000608874800010","View Full Record in Web of Science")</f>
        <v>View Full Record in Web of Science</v>
      </c>
    </row>
    <row r="420" ht="12.75" customHeight="1">
      <c r="A420" s="1" t="s">
        <v>91</v>
      </c>
      <c r="B420" s="1" t="s">
        <v>3739</v>
      </c>
      <c r="C420" s="1" t="s">
        <v>74</v>
      </c>
      <c r="D420" s="1" t="s">
        <v>74</v>
      </c>
      <c r="E420" s="1" t="s">
        <v>442</v>
      </c>
      <c r="F420" s="1" t="s">
        <v>3740</v>
      </c>
      <c r="G420" s="1" t="s">
        <v>74</v>
      </c>
      <c r="H420" s="1" t="s">
        <v>74</v>
      </c>
      <c r="I420" s="1" t="s">
        <v>3741</v>
      </c>
      <c r="J420" s="1" t="s">
        <v>3722</v>
      </c>
      <c r="K420" s="1" t="s">
        <v>3723</v>
      </c>
      <c r="L420" s="1" t="s">
        <v>74</v>
      </c>
      <c r="M420" s="1" t="s">
        <v>74</v>
      </c>
      <c r="N420" s="1" t="s">
        <v>74</v>
      </c>
      <c r="O420" s="1" t="s">
        <v>3724</v>
      </c>
      <c r="P420" s="1" t="s">
        <v>3725</v>
      </c>
      <c r="Q420" s="1" t="s">
        <v>3726</v>
      </c>
      <c r="R420" s="1" t="s">
        <v>3727</v>
      </c>
      <c r="S420" s="1" t="s">
        <v>3728</v>
      </c>
      <c r="T420" s="1" t="s">
        <v>74</v>
      </c>
      <c r="U420" s="1" t="s">
        <v>74</v>
      </c>
      <c r="V420" s="1" t="s">
        <v>3742</v>
      </c>
      <c r="W420" s="1" t="s">
        <v>74</v>
      </c>
      <c r="X420" s="1" t="s">
        <v>74</v>
      </c>
      <c r="Y420" s="1" t="s">
        <v>74</v>
      </c>
      <c r="Z420" s="1" t="s">
        <v>74</v>
      </c>
      <c r="AA420" s="1" t="s">
        <v>3743</v>
      </c>
      <c r="AB420" s="1" t="s">
        <v>3744</v>
      </c>
      <c r="AC420" s="1" t="s">
        <v>74</v>
      </c>
      <c r="AD420" s="1" t="s">
        <v>74</v>
      </c>
      <c r="AE420" s="1" t="s">
        <v>74</v>
      </c>
      <c r="AF420" s="1" t="s">
        <v>74</v>
      </c>
      <c r="AG420" s="1" t="s">
        <v>74</v>
      </c>
      <c r="AH420" s="1" t="s">
        <v>74</v>
      </c>
      <c r="AI420" s="1" t="s">
        <v>74</v>
      </c>
      <c r="AJ420" s="1" t="s">
        <v>74</v>
      </c>
      <c r="AK420" s="1" t="s">
        <v>74</v>
      </c>
      <c r="AL420" s="1" t="s">
        <v>74</v>
      </c>
      <c r="AM420" s="1" t="s">
        <v>74</v>
      </c>
      <c r="AN420" s="1" t="s">
        <v>74</v>
      </c>
      <c r="AO420" s="1" t="s">
        <v>3731</v>
      </c>
      <c r="AP420" s="1" t="s">
        <v>74</v>
      </c>
      <c r="AQ420" s="1" t="s">
        <v>3732</v>
      </c>
      <c r="AR420" s="1" t="s">
        <v>74</v>
      </c>
      <c r="AS420" s="1" t="s">
        <v>74</v>
      </c>
      <c r="AT420" s="1" t="s">
        <v>74</v>
      </c>
      <c r="AU420" s="1">
        <v>2020.0</v>
      </c>
      <c r="AV420" s="1" t="s">
        <v>74</v>
      </c>
      <c r="AW420" s="1" t="s">
        <v>74</v>
      </c>
      <c r="AX420" s="1" t="s">
        <v>74</v>
      </c>
      <c r="AY420" s="1" t="s">
        <v>74</v>
      </c>
      <c r="AZ420" s="1" t="s">
        <v>74</v>
      </c>
      <c r="BA420" s="1" t="s">
        <v>74</v>
      </c>
      <c r="BB420" s="1" t="s">
        <v>74</v>
      </c>
      <c r="BC420" s="1" t="s">
        <v>74</v>
      </c>
      <c r="BD420" s="1" t="s">
        <v>74</v>
      </c>
      <c r="BE420" s="1" t="s">
        <v>74</v>
      </c>
      <c r="BF420" s="1" t="s">
        <v>74</v>
      </c>
      <c r="BG420" s="1" t="s">
        <v>74</v>
      </c>
      <c r="BH420" s="1" t="s">
        <v>74</v>
      </c>
      <c r="BI420" s="1" t="s">
        <v>74</v>
      </c>
      <c r="BJ420" s="1" t="s">
        <v>74</v>
      </c>
      <c r="BK420" s="1" t="s">
        <v>74</v>
      </c>
      <c r="BL420" s="1" t="s">
        <v>74</v>
      </c>
      <c r="BM420" s="1" t="s">
        <v>74</v>
      </c>
      <c r="BN420" s="1" t="s">
        <v>74</v>
      </c>
      <c r="BO420" s="1" t="s">
        <v>74</v>
      </c>
      <c r="BP420" s="1" t="s">
        <v>74</v>
      </c>
      <c r="BQ420" s="1" t="s">
        <v>74</v>
      </c>
      <c r="BR420" s="1" t="s">
        <v>74</v>
      </c>
      <c r="BS420" s="1" t="s">
        <v>3745</v>
      </c>
      <c r="BT420" s="1" t="str">
        <f>HYPERLINK("https%3A%2F%2Fwww.webofscience.com%2Fwos%2Fwoscc%2Ffull-record%2FWOS:000848755600047","View Full Record in Web of Science")</f>
        <v>View Full Record in Web of Science</v>
      </c>
    </row>
    <row r="421" ht="12.75" customHeight="1">
      <c r="A421" s="1" t="s">
        <v>454</v>
      </c>
      <c r="B421" s="1" t="s">
        <v>3746</v>
      </c>
      <c r="C421" s="1" t="s">
        <v>74</v>
      </c>
      <c r="D421" s="1" t="s">
        <v>501</v>
      </c>
      <c r="E421" s="1" t="s">
        <v>74</v>
      </c>
      <c r="F421" s="1" t="s">
        <v>3747</v>
      </c>
      <c r="G421" s="1" t="s">
        <v>74</v>
      </c>
      <c r="H421" s="1" t="s">
        <v>74</v>
      </c>
      <c r="I421" s="1" t="s">
        <v>3748</v>
      </c>
      <c r="J421" s="1" t="s">
        <v>504</v>
      </c>
      <c r="K421" s="1" t="s">
        <v>505</v>
      </c>
      <c r="L421" s="1" t="s">
        <v>74</v>
      </c>
      <c r="M421" s="1" t="s">
        <v>74</v>
      </c>
      <c r="N421" s="1" t="s">
        <v>74</v>
      </c>
      <c r="O421" s="1" t="s">
        <v>74</v>
      </c>
      <c r="P421" s="1" t="s">
        <v>74</v>
      </c>
      <c r="Q421" s="1" t="s">
        <v>74</v>
      </c>
      <c r="R421" s="1" t="s">
        <v>74</v>
      </c>
      <c r="S421" s="1" t="s">
        <v>74</v>
      </c>
      <c r="T421" s="1" t="s">
        <v>74</v>
      </c>
      <c r="U421" s="1" t="s">
        <v>74</v>
      </c>
      <c r="V421" s="1" t="s">
        <v>74</v>
      </c>
      <c r="W421" s="1" t="s">
        <v>74</v>
      </c>
      <c r="X421" s="1" t="s">
        <v>74</v>
      </c>
      <c r="Y421" s="1" t="s">
        <v>74</v>
      </c>
      <c r="Z421" s="1" t="s">
        <v>74</v>
      </c>
      <c r="AA421" s="1" t="s">
        <v>74</v>
      </c>
      <c r="AB421" s="1" t="s">
        <v>74</v>
      </c>
      <c r="AC421" s="1" t="s">
        <v>74</v>
      </c>
      <c r="AD421" s="1" t="s">
        <v>74</v>
      </c>
      <c r="AE421" s="1" t="s">
        <v>74</v>
      </c>
      <c r="AF421" s="1" t="s">
        <v>74</v>
      </c>
      <c r="AG421" s="1" t="s">
        <v>74</v>
      </c>
      <c r="AH421" s="1" t="s">
        <v>74</v>
      </c>
      <c r="AI421" s="1" t="s">
        <v>74</v>
      </c>
      <c r="AJ421" s="1" t="s">
        <v>74</v>
      </c>
      <c r="AK421" s="1" t="s">
        <v>74</v>
      </c>
      <c r="AL421" s="1" t="s">
        <v>74</v>
      </c>
      <c r="AM421" s="1" t="s">
        <v>74</v>
      </c>
      <c r="AN421" s="1" t="s">
        <v>74</v>
      </c>
      <c r="AO421" s="1" t="s">
        <v>74</v>
      </c>
      <c r="AP421" s="1" t="s">
        <v>74</v>
      </c>
      <c r="AQ421" s="1" t="s">
        <v>506</v>
      </c>
      <c r="AR421" s="1" t="s">
        <v>74</v>
      </c>
      <c r="AS421" s="1" t="s">
        <v>74</v>
      </c>
      <c r="AT421" s="1" t="s">
        <v>74</v>
      </c>
      <c r="AU421" s="1">
        <v>2020.0</v>
      </c>
      <c r="AV421" s="1">
        <v>8.0</v>
      </c>
      <c r="AW421" s="1" t="s">
        <v>74</v>
      </c>
      <c r="AX421" s="1" t="s">
        <v>74</v>
      </c>
      <c r="AY421" s="1" t="s">
        <v>74</v>
      </c>
      <c r="AZ421" s="1" t="s">
        <v>74</v>
      </c>
      <c r="BA421" s="1" t="s">
        <v>74</v>
      </c>
      <c r="BB421" s="1">
        <v>21.0</v>
      </c>
      <c r="BC421" s="1">
        <v>26.0</v>
      </c>
      <c r="BD421" s="1" t="s">
        <v>74</v>
      </c>
      <c r="BE421" s="1" t="s">
        <v>74</v>
      </c>
      <c r="BF421" s="1" t="s">
        <v>74</v>
      </c>
      <c r="BG421" s="1" t="s">
        <v>74</v>
      </c>
      <c r="BH421" s="1" t="s">
        <v>74</v>
      </c>
      <c r="BI421" s="1" t="s">
        <v>74</v>
      </c>
      <c r="BJ421" s="1" t="s">
        <v>74</v>
      </c>
      <c r="BK421" s="1" t="s">
        <v>74</v>
      </c>
      <c r="BL421" s="1" t="s">
        <v>74</v>
      </c>
      <c r="BM421" s="1" t="s">
        <v>74</v>
      </c>
      <c r="BN421" s="1" t="s">
        <v>74</v>
      </c>
      <c r="BO421" s="1" t="s">
        <v>74</v>
      </c>
      <c r="BP421" s="1" t="s">
        <v>74</v>
      </c>
      <c r="BQ421" s="1" t="s">
        <v>74</v>
      </c>
      <c r="BR421" s="1" t="s">
        <v>74</v>
      </c>
      <c r="BS421" s="1" t="s">
        <v>3749</v>
      </c>
      <c r="BT421" s="1" t="str">
        <f>HYPERLINK("https%3A%2F%2Fwww.webofscience.com%2Fwos%2Fwoscc%2Ffull-record%2FWOS:000608865900003","View Full Record in Web of Science")</f>
        <v>View Full Record in Web of Science</v>
      </c>
    </row>
    <row r="422" ht="12.75" customHeight="1">
      <c r="A422" s="1" t="s">
        <v>72</v>
      </c>
      <c r="B422" s="1" t="s">
        <v>3750</v>
      </c>
      <c r="C422" s="1" t="s">
        <v>74</v>
      </c>
      <c r="D422" s="1" t="s">
        <v>74</v>
      </c>
      <c r="E422" s="1" t="s">
        <v>74</v>
      </c>
      <c r="F422" s="1" t="s">
        <v>3751</v>
      </c>
      <c r="G422" s="1" t="s">
        <v>74</v>
      </c>
      <c r="H422" s="1" t="s">
        <v>74</v>
      </c>
      <c r="I422" s="1" t="s">
        <v>3752</v>
      </c>
      <c r="J422" s="1" t="s">
        <v>3753</v>
      </c>
      <c r="K422" s="1" t="s">
        <v>74</v>
      </c>
      <c r="L422" s="1" t="s">
        <v>74</v>
      </c>
      <c r="M422" s="1" t="s">
        <v>74</v>
      </c>
      <c r="N422" s="1" t="s">
        <v>74</v>
      </c>
      <c r="O422" s="1" t="s">
        <v>74</v>
      </c>
      <c r="P422" s="1" t="s">
        <v>74</v>
      </c>
      <c r="Q422" s="1" t="s">
        <v>74</v>
      </c>
      <c r="R422" s="1" t="s">
        <v>74</v>
      </c>
      <c r="S422" s="1" t="s">
        <v>74</v>
      </c>
      <c r="T422" s="1" t="s">
        <v>74</v>
      </c>
      <c r="U422" s="1" t="s">
        <v>74</v>
      </c>
      <c r="V422" s="1" t="s">
        <v>3754</v>
      </c>
      <c r="W422" s="1" t="s">
        <v>74</v>
      </c>
      <c r="X422" s="1" t="s">
        <v>74</v>
      </c>
      <c r="Y422" s="1" t="s">
        <v>74</v>
      </c>
      <c r="Z422" s="1" t="s">
        <v>74</v>
      </c>
      <c r="AA422" s="1" t="s">
        <v>296</v>
      </c>
      <c r="AB422" s="1" t="s">
        <v>3755</v>
      </c>
      <c r="AC422" s="1" t="s">
        <v>74</v>
      </c>
      <c r="AD422" s="1" t="s">
        <v>74</v>
      </c>
      <c r="AE422" s="1" t="s">
        <v>74</v>
      </c>
      <c r="AF422" s="1" t="s">
        <v>74</v>
      </c>
      <c r="AG422" s="1" t="s">
        <v>74</v>
      </c>
      <c r="AH422" s="1" t="s">
        <v>74</v>
      </c>
      <c r="AI422" s="1" t="s">
        <v>74</v>
      </c>
      <c r="AJ422" s="1" t="s">
        <v>74</v>
      </c>
      <c r="AK422" s="1" t="s">
        <v>74</v>
      </c>
      <c r="AL422" s="1" t="s">
        <v>74</v>
      </c>
      <c r="AM422" s="1" t="s">
        <v>74</v>
      </c>
      <c r="AN422" s="1" t="s">
        <v>74</v>
      </c>
      <c r="AO422" s="1" t="s">
        <v>3756</v>
      </c>
      <c r="AP422" s="1" t="s">
        <v>3757</v>
      </c>
      <c r="AQ422" s="1" t="s">
        <v>74</v>
      </c>
      <c r="AR422" s="1" t="s">
        <v>74</v>
      </c>
      <c r="AS422" s="1" t="s">
        <v>74</v>
      </c>
      <c r="AT422" s="1" t="s">
        <v>3758</v>
      </c>
      <c r="AU422" s="1">
        <v>2019.0</v>
      </c>
      <c r="AV422" s="1">
        <v>2019.0</v>
      </c>
      <c r="AW422" s="1" t="s">
        <v>74</v>
      </c>
      <c r="AX422" s="1" t="s">
        <v>74</v>
      </c>
      <c r="AY422" s="1" t="s">
        <v>74</v>
      </c>
      <c r="AZ422" s="1" t="s">
        <v>74</v>
      </c>
      <c r="BA422" s="1" t="s">
        <v>74</v>
      </c>
      <c r="BB422" s="1" t="s">
        <v>74</v>
      </c>
      <c r="BC422" s="1" t="s">
        <v>74</v>
      </c>
      <c r="BD422" s="1" t="s">
        <v>3759</v>
      </c>
      <c r="BE422" s="1" t="s">
        <v>3760</v>
      </c>
      <c r="BF422" s="2" t="str">
        <f>HYPERLINK("http://dx.doi.org/10.1155/2019/7010717","http://dx.doi.org/10.1155/2019/7010717")</f>
        <v>http://dx.doi.org/10.1155/2019/7010717</v>
      </c>
      <c r="BG422" s="1" t="s">
        <v>74</v>
      </c>
      <c r="BH422" s="1" t="s">
        <v>74</v>
      </c>
      <c r="BI422" s="1" t="s">
        <v>74</v>
      </c>
      <c r="BJ422" s="1" t="s">
        <v>74</v>
      </c>
      <c r="BK422" s="1" t="s">
        <v>74</v>
      </c>
      <c r="BL422" s="1" t="s">
        <v>74</v>
      </c>
      <c r="BM422" s="1" t="s">
        <v>74</v>
      </c>
      <c r="BN422" s="1" t="s">
        <v>74</v>
      </c>
      <c r="BO422" s="1" t="s">
        <v>74</v>
      </c>
      <c r="BP422" s="1" t="s">
        <v>74</v>
      </c>
      <c r="BQ422" s="1" t="s">
        <v>74</v>
      </c>
      <c r="BR422" s="1" t="s">
        <v>74</v>
      </c>
      <c r="BS422" s="1" t="s">
        <v>3761</v>
      </c>
      <c r="BT422" s="1" t="str">
        <f>HYPERLINK("https%3A%2F%2Fwww.webofscience.com%2Fwos%2Fwoscc%2Ffull-record%2FWOS:000499164300002","View Full Record in Web of Science")</f>
        <v>View Full Record in Web of Science</v>
      </c>
    </row>
    <row r="423" ht="12.75" customHeight="1">
      <c r="A423" s="1" t="s">
        <v>72</v>
      </c>
      <c r="B423" s="1" t="s">
        <v>3762</v>
      </c>
      <c r="C423" s="1" t="s">
        <v>74</v>
      </c>
      <c r="D423" s="1" t="s">
        <v>74</v>
      </c>
      <c r="E423" s="1" t="s">
        <v>74</v>
      </c>
      <c r="F423" s="1" t="s">
        <v>3763</v>
      </c>
      <c r="G423" s="1" t="s">
        <v>74</v>
      </c>
      <c r="H423" s="1" t="s">
        <v>74</v>
      </c>
      <c r="I423" s="1" t="s">
        <v>3764</v>
      </c>
      <c r="J423" s="1" t="s">
        <v>3765</v>
      </c>
      <c r="K423" s="1" t="s">
        <v>74</v>
      </c>
      <c r="L423" s="1" t="s">
        <v>74</v>
      </c>
      <c r="M423" s="1" t="s">
        <v>74</v>
      </c>
      <c r="N423" s="1" t="s">
        <v>74</v>
      </c>
      <c r="O423" s="1" t="s">
        <v>74</v>
      </c>
      <c r="P423" s="1" t="s">
        <v>74</v>
      </c>
      <c r="Q423" s="1" t="s">
        <v>74</v>
      </c>
      <c r="R423" s="1" t="s">
        <v>74</v>
      </c>
      <c r="S423" s="1" t="s">
        <v>74</v>
      </c>
      <c r="T423" s="1" t="s">
        <v>74</v>
      </c>
      <c r="U423" s="1" t="s">
        <v>74</v>
      </c>
      <c r="V423" s="1" t="s">
        <v>3766</v>
      </c>
      <c r="W423" s="1" t="s">
        <v>74</v>
      </c>
      <c r="X423" s="1" t="s">
        <v>74</v>
      </c>
      <c r="Y423" s="1" t="s">
        <v>74</v>
      </c>
      <c r="Z423" s="1" t="s">
        <v>74</v>
      </c>
      <c r="AA423" s="1" t="s">
        <v>3767</v>
      </c>
      <c r="AB423" s="1" t="s">
        <v>3768</v>
      </c>
      <c r="AC423" s="1" t="s">
        <v>74</v>
      </c>
      <c r="AD423" s="1" t="s">
        <v>74</v>
      </c>
      <c r="AE423" s="1" t="s">
        <v>74</v>
      </c>
      <c r="AF423" s="1" t="s">
        <v>74</v>
      </c>
      <c r="AG423" s="1" t="s">
        <v>74</v>
      </c>
      <c r="AH423" s="1" t="s">
        <v>74</v>
      </c>
      <c r="AI423" s="1" t="s">
        <v>74</v>
      </c>
      <c r="AJ423" s="1" t="s">
        <v>74</v>
      </c>
      <c r="AK423" s="1" t="s">
        <v>74</v>
      </c>
      <c r="AL423" s="1" t="s">
        <v>74</v>
      </c>
      <c r="AM423" s="1" t="s">
        <v>74</v>
      </c>
      <c r="AN423" s="1" t="s">
        <v>74</v>
      </c>
      <c r="AO423" s="1" t="s">
        <v>3769</v>
      </c>
      <c r="AP423" s="1" t="s">
        <v>3770</v>
      </c>
      <c r="AQ423" s="1" t="s">
        <v>74</v>
      </c>
      <c r="AR423" s="1" t="s">
        <v>74</v>
      </c>
      <c r="AS423" s="1" t="s">
        <v>74</v>
      </c>
      <c r="AT423" s="1" t="s">
        <v>161</v>
      </c>
      <c r="AU423" s="1">
        <v>2019.0</v>
      </c>
      <c r="AV423" s="1">
        <v>144.0</v>
      </c>
      <c r="AW423" s="1" t="s">
        <v>74</v>
      </c>
      <c r="AX423" s="1" t="s">
        <v>74</v>
      </c>
      <c r="AY423" s="1" t="s">
        <v>74</v>
      </c>
      <c r="AZ423" s="1" t="s">
        <v>74</v>
      </c>
      <c r="BA423" s="1" t="s">
        <v>74</v>
      </c>
      <c r="BB423" s="1">
        <v>79.0</v>
      </c>
      <c r="BC423" s="1">
        <v>92.0</v>
      </c>
      <c r="BD423" s="1" t="s">
        <v>74</v>
      </c>
      <c r="BE423" s="1" t="s">
        <v>3771</v>
      </c>
      <c r="BF423" s="2" t="str">
        <f>HYPERLINK("http://dx.doi.org/10.1016/j.ijthermalsci.2019.05.016","http://dx.doi.org/10.1016/j.ijthermalsci.2019.05.016")</f>
        <v>http://dx.doi.org/10.1016/j.ijthermalsci.2019.05.016</v>
      </c>
      <c r="BG423" s="1" t="s">
        <v>74</v>
      </c>
      <c r="BH423" s="1" t="s">
        <v>74</v>
      </c>
      <c r="BI423" s="1" t="s">
        <v>74</v>
      </c>
      <c r="BJ423" s="1" t="s">
        <v>74</v>
      </c>
      <c r="BK423" s="1" t="s">
        <v>74</v>
      </c>
      <c r="BL423" s="1" t="s">
        <v>74</v>
      </c>
      <c r="BM423" s="1" t="s">
        <v>74</v>
      </c>
      <c r="BN423" s="1" t="s">
        <v>74</v>
      </c>
      <c r="BO423" s="1" t="s">
        <v>74</v>
      </c>
      <c r="BP423" s="1" t="s">
        <v>74</v>
      </c>
      <c r="BQ423" s="1" t="s">
        <v>74</v>
      </c>
      <c r="BR423" s="1" t="s">
        <v>74</v>
      </c>
      <c r="BS423" s="1" t="s">
        <v>3772</v>
      </c>
      <c r="BT423" s="1" t="str">
        <f>HYPERLINK("https%3A%2F%2Fwww.webofscience.com%2Fwos%2Fwoscc%2Ffull-record%2FWOS:000478788300008","View Full Record in Web of Science")</f>
        <v>View Full Record in Web of Science</v>
      </c>
    </row>
    <row r="424" ht="12.75" customHeight="1">
      <c r="A424" s="1" t="s">
        <v>72</v>
      </c>
      <c r="B424" s="1" t="s">
        <v>3773</v>
      </c>
      <c r="C424" s="1" t="s">
        <v>74</v>
      </c>
      <c r="D424" s="1" t="s">
        <v>74</v>
      </c>
      <c r="E424" s="1" t="s">
        <v>74</v>
      </c>
      <c r="F424" s="1" t="s">
        <v>3774</v>
      </c>
      <c r="G424" s="1" t="s">
        <v>74</v>
      </c>
      <c r="H424" s="1" t="s">
        <v>74</v>
      </c>
      <c r="I424" s="1" t="s">
        <v>3775</v>
      </c>
      <c r="J424" s="1" t="s">
        <v>3776</v>
      </c>
      <c r="K424" s="1" t="s">
        <v>74</v>
      </c>
      <c r="L424" s="1" t="s">
        <v>74</v>
      </c>
      <c r="M424" s="1" t="s">
        <v>74</v>
      </c>
      <c r="N424" s="1" t="s">
        <v>74</v>
      </c>
      <c r="O424" s="1" t="s">
        <v>74</v>
      </c>
      <c r="P424" s="1" t="s">
        <v>74</v>
      </c>
      <c r="Q424" s="1" t="s">
        <v>74</v>
      </c>
      <c r="R424" s="1" t="s">
        <v>74</v>
      </c>
      <c r="S424" s="1" t="s">
        <v>74</v>
      </c>
      <c r="T424" s="1" t="s">
        <v>74</v>
      </c>
      <c r="U424" s="1" t="s">
        <v>74</v>
      </c>
      <c r="V424" s="1" t="s">
        <v>3777</v>
      </c>
      <c r="W424" s="1" t="s">
        <v>74</v>
      </c>
      <c r="X424" s="1" t="s">
        <v>74</v>
      </c>
      <c r="Y424" s="1" t="s">
        <v>74</v>
      </c>
      <c r="Z424" s="1" t="s">
        <v>74</v>
      </c>
      <c r="AA424" s="1" t="s">
        <v>3778</v>
      </c>
      <c r="AB424" s="1" t="s">
        <v>3779</v>
      </c>
      <c r="AC424" s="1" t="s">
        <v>74</v>
      </c>
      <c r="AD424" s="1" t="s">
        <v>74</v>
      </c>
      <c r="AE424" s="1" t="s">
        <v>74</v>
      </c>
      <c r="AF424" s="1" t="s">
        <v>74</v>
      </c>
      <c r="AG424" s="1" t="s">
        <v>74</v>
      </c>
      <c r="AH424" s="1" t="s">
        <v>74</v>
      </c>
      <c r="AI424" s="1" t="s">
        <v>74</v>
      </c>
      <c r="AJ424" s="1" t="s">
        <v>74</v>
      </c>
      <c r="AK424" s="1" t="s">
        <v>74</v>
      </c>
      <c r="AL424" s="1" t="s">
        <v>74</v>
      </c>
      <c r="AM424" s="1" t="s">
        <v>74</v>
      </c>
      <c r="AN424" s="1" t="s">
        <v>74</v>
      </c>
      <c r="AO424" s="1" t="s">
        <v>3780</v>
      </c>
      <c r="AP424" s="1" t="s">
        <v>3781</v>
      </c>
      <c r="AQ424" s="1" t="s">
        <v>74</v>
      </c>
      <c r="AR424" s="1" t="s">
        <v>74</v>
      </c>
      <c r="AS424" s="1" t="s">
        <v>74</v>
      </c>
      <c r="AT424" s="1" t="s">
        <v>161</v>
      </c>
      <c r="AU424" s="1">
        <v>2019.0</v>
      </c>
      <c r="AV424" s="1">
        <v>161.0</v>
      </c>
      <c r="AW424" s="1" t="s">
        <v>74</v>
      </c>
      <c r="AX424" s="1" t="s">
        <v>74</v>
      </c>
      <c r="AY424" s="1" t="s">
        <v>74</v>
      </c>
      <c r="AZ424" s="1" t="s">
        <v>74</v>
      </c>
      <c r="BA424" s="1" t="s">
        <v>74</v>
      </c>
      <c r="BB424" s="1" t="s">
        <v>74</v>
      </c>
      <c r="BC424" s="1" t="s">
        <v>74</v>
      </c>
      <c r="BD424" s="1">
        <v>114130.0</v>
      </c>
      <c r="BE424" s="1" t="s">
        <v>3782</v>
      </c>
      <c r="BF424" s="2" t="str">
        <f>HYPERLINK("http://dx.doi.org/10.1016/j.applthermaleng.2019.114130","http://dx.doi.org/10.1016/j.applthermaleng.2019.114130")</f>
        <v>http://dx.doi.org/10.1016/j.applthermaleng.2019.114130</v>
      </c>
      <c r="BG424" s="1" t="s">
        <v>74</v>
      </c>
      <c r="BH424" s="1" t="s">
        <v>74</v>
      </c>
      <c r="BI424" s="1" t="s">
        <v>74</v>
      </c>
      <c r="BJ424" s="1" t="s">
        <v>74</v>
      </c>
      <c r="BK424" s="1" t="s">
        <v>74</v>
      </c>
      <c r="BL424" s="1" t="s">
        <v>74</v>
      </c>
      <c r="BM424" s="1" t="s">
        <v>74</v>
      </c>
      <c r="BN424" s="1" t="s">
        <v>74</v>
      </c>
      <c r="BO424" s="1" t="s">
        <v>74</v>
      </c>
      <c r="BP424" s="1" t="s">
        <v>74</v>
      </c>
      <c r="BQ424" s="1" t="s">
        <v>74</v>
      </c>
      <c r="BR424" s="1" t="s">
        <v>74</v>
      </c>
      <c r="BS424" s="1" t="s">
        <v>3783</v>
      </c>
      <c r="BT424" s="1" t="str">
        <f>HYPERLINK("https%3A%2F%2Fwww.webofscience.com%2Fwos%2Fwoscc%2Ffull-record%2FWOS:000488887200045","View Full Record in Web of Science")</f>
        <v>View Full Record in Web of Science</v>
      </c>
    </row>
    <row r="425" ht="12.75" customHeight="1">
      <c r="A425" s="1" t="s">
        <v>72</v>
      </c>
      <c r="B425" s="1" t="s">
        <v>3784</v>
      </c>
      <c r="C425" s="1" t="s">
        <v>74</v>
      </c>
      <c r="D425" s="1" t="s">
        <v>74</v>
      </c>
      <c r="E425" s="1" t="s">
        <v>74</v>
      </c>
      <c r="F425" s="1" t="s">
        <v>3785</v>
      </c>
      <c r="G425" s="1" t="s">
        <v>74</v>
      </c>
      <c r="H425" s="1" t="s">
        <v>74</v>
      </c>
      <c r="I425" s="1" t="s">
        <v>3786</v>
      </c>
      <c r="J425" s="1" t="s">
        <v>3787</v>
      </c>
      <c r="K425" s="1" t="s">
        <v>74</v>
      </c>
      <c r="L425" s="1" t="s">
        <v>74</v>
      </c>
      <c r="M425" s="1" t="s">
        <v>74</v>
      </c>
      <c r="N425" s="1" t="s">
        <v>74</v>
      </c>
      <c r="O425" s="1" t="s">
        <v>74</v>
      </c>
      <c r="P425" s="1" t="s">
        <v>74</v>
      </c>
      <c r="Q425" s="1" t="s">
        <v>74</v>
      </c>
      <c r="R425" s="1" t="s">
        <v>74</v>
      </c>
      <c r="S425" s="1" t="s">
        <v>74</v>
      </c>
      <c r="T425" s="1" t="s">
        <v>74</v>
      </c>
      <c r="U425" s="1" t="s">
        <v>74</v>
      </c>
      <c r="V425" s="1" t="s">
        <v>3788</v>
      </c>
      <c r="W425" s="1" t="s">
        <v>74</v>
      </c>
      <c r="X425" s="1" t="s">
        <v>74</v>
      </c>
      <c r="Y425" s="1" t="s">
        <v>74</v>
      </c>
      <c r="Z425" s="1" t="s">
        <v>74</v>
      </c>
      <c r="AA425" s="1" t="s">
        <v>3789</v>
      </c>
      <c r="AB425" s="1" t="s">
        <v>3790</v>
      </c>
      <c r="AC425" s="1" t="s">
        <v>74</v>
      </c>
      <c r="AD425" s="1" t="s">
        <v>74</v>
      </c>
      <c r="AE425" s="1" t="s">
        <v>74</v>
      </c>
      <c r="AF425" s="1" t="s">
        <v>74</v>
      </c>
      <c r="AG425" s="1" t="s">
        <v>74</v>
      </c>
      <c r="AH425" s="1" t="s">
        <v>74</v>
      </c>
      <c r="AI425" s="1" t="s">
        <v>74</v>
      </c>
      <c r="AJ425" s="1" t="s">
        <v>74</v>
      </c>
      <c r="AK425" s="1" t="s">
        <v>74</v>
      </c>
      <c r="AL425" s="1" t="s">
        <v>74</v>
      </c>
      <c r="AM425" s="1" t="s">
        <v>74</v>
      </c>
      <c r="AN425" s="1" t="s">
        <v>74</v>
      </c>
      <c r="AO425" s="1" t="s">
        <v>3791</v>
      </c>
      <c r="AP425" s="1" t="s">
        <v>74</v>
      </c>
      <c r="AQ425" s="1" t="s">
        <v>74</v>
      </c>
      <c r="AR425" s="1" t="s">
        <v>74</v>
      </c>
      <c r="AS425" s="1" t="s">
        <v>74</v>
      </c>
      <c r="AT425" s="1" t="s">
        <v>3519</v>
      </c>
      <c r="AU425" s="1">
        <v>2019.0</v>
      </c>
      <c r="AV425" s="1" t="s">
        <v>74</v>
      </c>
      <c r="AW425" s="1">
        <v>80.0</v>
      </c>
      <c r="AX425" s="1" t="s">
        <v>74</v>
      </c>
      <c r="AY425" s="1" t="s">
        <v>74</v>
      </c>
      <c r="AZ425" s="1" t="s">
        <v>74</v>
      </c>
      <c r="BA425" s="1" t="s">
        <v>74</v>
      </c>
      <c r="BB425" s="1" t="s">
        <v>74</v>
      </c>
      <c r="BC425" s="1" t="s">
        <v>74</v>
      </c>
      <c r="BD425" s="1" t="s">
        <v>74</v>
      </c>
      <c r="BE425" s="1" t="s">
        <v>3792</v>
      </c>
      <c r="BF425" s="2" t="str">
        <f>HYPERLINK("http://dx.doi.org/10.29101/crcs.v26i80.11097","http://dx.doi.org/10.29101/crcs.v26i80.11097")</f>
        <v>http://dx.doi.org/10.29101/crcs.v26i80.11097</v>
      </c>
      <c r="BG425" s="1" t="s">
        <v>74</v>
      </c>
      <c r="BH425" s="1" t="s">
        <v>74</v>
      </c>
      <c r="BI425" s="1" t="s">
        <v>74</v>
      </c>
      <c r="BJ425" s="1" t="s">
        <v>74</v>
      </c>
      <c r="BK425" s="1" t="s">
        <v>74</v>
      </c>
      <c r="BL425" s="1" t="s">
        <v>74</v>
      </c>
      <c r="BM425" s="1" t="s">
        <v>74</v>
      </c>
      <c r="BN425" s="1" t="s">
        <v>74</v>
      </c>
      <c r="BO425" s="1" t="s">
        <v>74</v>
      </c>
      <c r="BP425" s="1" t="s">
        <v>74</v>
      </c>
      <c r="BQ425" s="1" t="s">
        <v>74</v>
      </c>
      <c r="BR425" s="1" t="s">
        <v>74</v>
      </c>
      <c r="BS425" s="1" t="s">
        <v>3793</v>
      </c>
      <c r="BT425" s="1" t="str">
        <f>HYPERLINK("https%3A%2F%2Fwww.webofscience.com%2Fwos%2Fwoscc%2Ffull-record%2FWOS:000483351700008","View Full Record in Web of Science")</f>
        <v>View Full Record in Web of Science</v>
      </c>
    </row>
    <row r="426" ht="12.75" customHeight="1">
      <c r="A426" s="1" t="s">
        <v>72</v>
      </c>
      <c r="B426" s="1" t="s">
        <v>3794</v>
      </c>
      <c r="C426" s="1" t="s">
        <v>74</v>
      </c>
      <c r="D426" s="1" t="s">
        <v>74</v>
      </c>
      <c r="E426" s="1" t="s">
        <v>74</v>
      </c>
      <c r="F426" s="1" t="s">
        <v>3795</v>
      </c>
      <c r="G426" s="1" t="s">
        <v>74</v>
      </c>
      <c r="H426" s="1" t="s">
        <v>74</v>
      </c>
      <c r="I426" s="1" t="s">
        <v>3796</v>
      </c>
      <c r="J426" s="1" t="s">
        <v>3797</v>
      </c>
      <c r="K426" s="1" t="s">
        <v>74</v>
      </c>
      <c r="L426" s="1" t="s">
        <v>74</v>
      </c>
      <c r="M426" s="1" t="s">
        <v>74</v>
      </c>
      <c r="N426" s="1" t="s">
        <v>74</v>
      </c>
      <c r="O426" s="1" t="s">
        <v>74</v>
      </c>
      <c r="P426" s="1" t="s">
        <v>74</v>
      </c>
      <c r="Q426" s="1" t="s">
        <v>74</v>
      </c>
      <c r="R426" s="1" t="s">
        <v>74</v>
      </c>
      <c r="S426" s="1" t="s">
        <v>74</v>
      </c>
      <c r="T426" s="1" t="s">
        <v>74</v>
      </c>
      <c r="U426" s="1" t="s">
        <v>74</v>
      </c>
      <c r="V426" s="1" t="s">
        <v>3798</v>
      </c>
      <c r="W426" s="1" t="s">
        <v>74</v>
      </c>
      <c r="X426" s="1" t="s">
        <v>74</v>
      </c>
      <c r="Y426" s="1" t="s">
        <v>74</v>
      </c>
      <c r="Z426" s="1" t="s">
        <v>74</v>
      </c>
      <c r="AA426" s="1" t="s">
        <v>3799</v>
      </c>
      <c r="AB426" s="1" t="s">
        <v>3800</v>
      </c>
      <c r="AC426" s="1" t="s">
        <v>74</v>
      </c>
      <c r="AD426" s="1" t="s">
        <v>74</v>
      </c>
      <c r="AE426" s="1" t="s">
        <v>74</v>
      </c>
      <c r="AF426" s="1" t="s">
        <v>74</v>
      </c>
      <c r="AG426" s="1" t="s">
        <v>74</v>
      </c>
      <c r="AH426" s="1" t="s">
        <v>74</v>
      </c>
      <c r="AI426" s="1" t="s">
        <v>74</v>
      </c>
      <c r="AJ426" s="1" t="s">
        <v>74</v>
      </c>
      <c r="AK426" s="1" t="s">
        <v>74</v>
      </c>
      <c r="AL426" s="1" t="s">
        <v>74</v>
      </c>
      <c r="AM426" s="1" t="s">
        <v>74</v>
      </c>
      <c r="AN426" s="1" t="s">
        <v>74</v>
      </c>
      <c r="AO426" s="1" t="s">
        <v>3801</v>
      </c>
      <c r="AP426" s="1" t="s">
        <v>3802</v>
      </c>
      <c r="AQ426" s="1" t="s">
        <v>74</v>
      </c>
      <c r="AR426" s="1" t="s">
        <v>74</v>
      </c>
      <c r="AS426" s="1" t="s">
        <v>74</v>
      </c>
      <c r="AT426" s="1" t="s">
        <v>429</v>
      </c>
      <c r="AU426" s="1">
        <v>2019.0</v>
      </c>
      <c r="AV426" s="1">
        <v>31.0</v>
      </c>
      <c r="AW426" s="1">
        <v>5.0</v>
      </c>
      <c r="AX426" s="1" t="s">
        <v>74</v>
      </c>
      <c r="AY426" s="1" t="s">
        <v>74</v>
      </c>
      <c r="AZ426" s="1" t="s">
        <v>74</v>
      </c>
      <c r="BA426" s="1" t="s">
        <v>74</v>
      </c>
      <c r="BB426" s="1" t="s">
        <v>74</v>
      </c>
      <c r="BC426" s="1" t="s">
        <v>74</v>
      </c>
      <c r="BD426" s="1">
        <v>51703.0</v>
      </c>
      <c r="BE426" s="1" t="s">
        <v>3803</v>
      </c>
      <c r="BF426" s="2" t="str">
        <f>HYPERLINK("http://dx.doi.org/10.1063/1.5100041","http://dx.doi.org/10.1063/1.5100041")</f>
        <v>http://dx.doi.org/10.1063/1.5100041</v>
      </c>
      <c r="BG426" s="1" t="s">
        <v>74</v>
      </c>
      <c r="BH426" s="1" t="s">
        <v>74</v>
      </c>
      <c r="BI426" s="1" t="s">
        <v>74</v>
      </c>
      <c r="BJ426" s="1" t="s">
        <v>74</v>
      </c>
      <c r="BK426" s="1" t="s">
        <v>74</v>
      </c>
      <c r="BL426" s="1" t="s">
        <v>74</v>
      </c>
      <c r="BM426" s="1" t="s">
        <v>74</v>
      </c>
      <c r="BN426" s="1" t="s">
        <v>74</v>
      </c>
      <c r="BO426" s="1" t="s">
        <v>74</v>
      </c>
      <c r="BP426" s="1" t="s">
        <v>74</v>
      </c>
      <c r="BQ426" s="1" t="s">
        <v>74</v>
      </c>
      <c r="BR426" s="1" t="s">
        <v>74</v>
      </c>
      <c r="BS426" s="1" t="s">
        <v>3804</v>
      </c>
      <c r="BT426" s="1" t="str">
        <f>HYPERLINK("https%3A%2F%2Fwww.webofscience.com%2Fwos%2Fwoscc%2Ffull-record%2FWOS:000483976700003","View Full Record in Web of Science")</f>
        <v>View Full Record in Web of Science</v>
      </c>
    </row>
    <row r="427" ht="12.75" customHeight="1">
      <c r="A427" s="1" t="s">
        <v>72</v>
      </c>
      <c r="B427" s="1" t="s">
        <v>3805</v>
      </c>
      <c r="C427" s="1" t="s">
        <v>74</v>
      </c>
      <c r="D427" s="1" t="s">
        <v>74</v>
      </c>
      <c r="E427" s="1" t="s">
        <v>74</v>
      </c>
      <c r="F427" s="1" t="s">
        <v>3806</v>
      </c>
      <c r="G427" s="1" t="s">
        <v>74</v>
      </c>
      <c r="H427" s="1" t="s">
        <v>74</v>
      </c>
      <c r="I427" s="1" t="s">
        <v>3807</v>
      </c>
      <c r="J427" s="1" t="s">
        <v>3808</v>
      </c>
      <c r="K427" s="1" t="s">
        <v>74</v>
      </c>
      <c r="L427" s="1" t="s">
        <v>74</v>
      </c>
      <c r="M427" s="1" t="s">
        <v>74</v>
      </c>
      <c r="N427" s="1" t="s">
        <v>74</v>
      </c>
      <c r="O427" s="1" t="s">
        <v>74</v>
      </c>
      <c r="P427" s="1" t="s">
        <v>74</v>
      </c>
      <c r="Q427" s="1" t="s">
        <v>74</v>
      </c>
      <c r="R427" s="1" t="s">
        <v>74</v>
      </c>
      <c r="S427" s="1" t="s">
        <v>74</v>
      </c>
      <c r="T427" s="1" t="s">
        <v>74</v>
      </c>
      <c r="U427" s="1" t="s">
        <v>74</v>
      </c>
      <c r="V427" s="1" t="s">
        <v>3809</v>
      </c>
      <c r="W427" s="1" t="s">
        <v>74</v>
      </c>
      <c r="X427" s="1" t="s">
        <v>74</v>
      </c>
      <c r="Y427" s="1" t="s">
        <v>74</v>
      </c>
      <c r="Z427" s="1" t="s">
        <v>74</v>
      </c>
      <c r="AA427" s="1" t="s">
        <v>1376</v>
      </c>
      <c r="AB427" s="1" t="s">
        <v>74</v>
      </c>
      <c r="AC427" s="1" t="s">
        <v>74</v>
      </c>
      <c r="AD427" s="1" t="s">
        <v>74</v>
      </c>
      <c r="AE427" s="1" t="s">
        <v>74</v>
      </c>
      <c r="AF427" s="1" t="s">
        <v>74</v>
      </c>
      <c r="AG427" s="1" t="s">
        <v>74</v>
      </c>
      <c r="AH427" s="1" t="s">
        <v>74</v>
      </c>
      <c r="AI427" s="1" t="s">
        <v>74</v>
      </c>
      <c r="AJ427" s="1" t="s">
        <v>74</v>
      </c>
      <c r="AK427" s="1" t="s">
        <v>74</v>
      </c>
      <c r="AL427" s="1" t="s">
        <v>74</v>
      </c>
      <c r="AM427" s="1" t="s">
        <v>74</v>
      </c>
      <c r="AN427" s="1" t="s">
        <v>74</v>
      </c>
      <c r="AO427" s="1" t="s">
        <v>3810</v>
      </c>
      <c r="AP427" s="1" t="s">
        <v>3811</v>
      </c>
      <c r="AQ427" s="1" t="s">
        <v>74</v>
      </c>
      <c r="AR427" s="1" t="s">
        <v>74</v>
      </c>
      <c r="AS427" s="1" t="s">
        <v>74</v>
      </c>
      <c r="AT427" s="1" t="s">
        <v>288</v>
      </c>
      <c r="AU427" s="1">
        <v>2019.0</v>
      </c>
      <c r="AV427" s="1">
        <v>30.0</v>
      </c>
      <c r="AW427" s="1">
        <v>1.0</v>
      </c>
      <c r="AX427" s="1" t="s">
        <v>74</v>
      </c>
      <c r="AY427" s="1" t="s">
        <v>74</v>
      </c>
      <c r="AZ427" s="1" t="s">
        <v>74</v>
      </c>
      <c r="BA427" s="1" t="s">
        <v>74</v>
      </c>
      <c r="BB427" s="1">
        <v>369.0</v>
      </c>
      <c r="BC427" s="1">
        <v>384.0</v>
      </c>
      <c r="BD427" s="1" t="s">
        <v>74</v>
      </c>
      <c r="BE427" s="1" t="s">
        <v>3812</v>
      </c>
      <c r="BF427" s="2" t="str">
        <f>HYPERLINK("http://dx.doi.org/10.1007/s11224-018-1210-5","http://dx.doi.org/10.1007/s11224-018-1210-5")</f>
        <v>http://dx.doi.org/10.1007/s11224-018-1210-5</v>
      </c>
      <c r="BG427" s="1" t="s">
        <v>74</v>
      </c>
      <c r="BH427" s="1" t="s">
        <v>74</v>
      </c>
      <c r="BI427" s="1" t="s">
        <v>74</v>
      </c>
      <c r="BJ427" s="1" t="s">
        <v>74</v>
      </c>
      <c r="BK427" s="1" t="s">
        <v>74</v>
      </c>
      <c r="BL427" s="1" t="s">
        <v>74</v>
      </c>
      <c r="BM427" s="1" t="s">
        <v>74</v>
      </c>
      <c r="BN427" s="1" t="s">
        <v>74</v>
      </c>
      <c r="BO427" s="1" t="s">
        <v>74</v>
      </c>
      <c r="BP427" s="1" t="s">
        <v>74</v>
      </c>
      <c r="BQ427" s="1" t="s">
        <v>74</v>
      </c>
      <c r="BR427" s="1" t="s">
        <v>74</v>
      </c>
      <c r="BS427" s="1" t="s">
        <v>3813</v>
      </c>
      <c r="BT427" s="1" t="str">
        <f>HYPERLINK("https%3A%2F%2Fwww.webofscience.com%2Fwos%2Fwoscc%2Ffull-record%2FWOS:000456291900034","View Full Record in Web of Science")</f>
        <v>View Full Record in Web of Science</v>
      </c>
    </row>
    <row r="428" ht="12.75" customHeight="1">
      <c r="A428" s="1" t="s">
        <v>162</v>
      </c>
      <c r="B428" s="1" t="s">
        <v>3814</v>
      </c>
      <c r="C428" s="1" t="s">
        <v>568</v>
      </c>
      <c r="D428" s="1" t="s">
        <v>74</v>
      </c>
      <c r="E428" s="1" t="s">
        <v>74</v>
      </c>
      <c r="F428" s="1" t="s">
        <v>3815</v>
      </c>
      <c r="G428" s="1" t="s">
        <v>568</v>
      </c>
      <c r="H428" s="1" t="s">
        <v>74</v>
      </c>
      <c r="I428" s="1" t="s">
        <v>3816</v>
      </c>
      <c r="J428" s="1" t="s">
        <v>571</v>
      </c>
      <c r="K428" s="1" t="s">
        <v>572</v>
      </c>
      <c r="L428" s="1" t="s">
        <v>74</v>
      </c>
      <c r="M428" s="1" t="s">
        <v>74</v>
      </c>
      <c r="N428" s="1" t="s">
        <v>74</v>
      </c>
      <c r="O428" s="1" t="s">
        <v>74</v>
      </c>
      <c r="P428" s="1" t="s">
        <v>74</v>
      </c>
      <c r="Q428" s="1" t="s">
        <v>74</v>
      </c>
      <c r="R428" s="1" t="s">
        <v>74</v>
      </c>
      <c r="S428" s="1" t="s">
        <v>74</v>
      </c>
      <c r="T428" s="1" t="s">
        <v>74</v>
      </c>
      <c r="U428" s="1" t="s">
        <v>74</v>
      </c>
      <c r="V428" s="1" t="s">
        <v>3817</v>
      </c>
      <c r="W428" s="1" t="s">
        <v>74</v>
      </c>
      <c r="X428" s="1" t="s">
        <v>74</v>
      </c>
      <c r="Y428" s="1" t="s">
        <v>74</v>
      </c>
      <c r="Z428" s="1" t="s">
        <v>74</v>
      </c>
      <c r="AA428" s="1" t="s">
        <v>296</v>
      </c>
      <c r="AB428" s="1" t="s">
        <v>74</v>
      </c>
      <c r="AC428" s="1" t="s">
        <v>74</v>
      </c>
      <c r="AD428" s="1" t="s">
        <v>74</v>
      </c>
      <c r="AE428" s="1" t="s">
        <v>74</v>
      </c>
      <c r="AF428" s="1" t="s">
        <v>74</v>
      </c>
      <c r="AG428" s="1" t="s">
        <v>74</v>
      </c>
      <c r="AH428" s="1" t="s">
        <v>74</v>
      </c>
      <c r="AI428" s="1" t="s">
        <v>74</v>
      </c>
      <c r="AJ428" s="1" t="s">
        <v>74</v>
      </c>
      <c r="AK428" s="1" t="s">
        <v>74</v>
      </c>
      <c r="AL428" s="1" t="s">
        <v>74</v>
      </c>
      <c r="AM428" s="1" t="s">
        <v>74</v>
      </c>
      <c r="AN428" s="1" t="s">
        <v>74</v>
      </c>
      <c r="AO428" s="1" t="s">
        <v>574</v>
      </c>
      <c r="AP428" s="1" t="s">
        <v>575</v>
      </c>
      <c r="AQ428" s="1" t="s">
        <v>576</v>
      </c>
      <c r="AR428" s="1" t="s">
        <v>74</v>
      </c>
      <c r="AS428" s="1" t="s">
        <v>74</v>
      </c>
      <c r="AT428" s="1" t="s">
        <v>74</v>
      </c>
      <c r="AU428" s="1">
        <v>2019.0</v>
      </c>
      <c r="AV428" s="1" t="s">
        <v>74</v>
      </c>
      <c r="AW428" s="1" t="s">
        <v>74</v>
      </c>
      <c r="AX428" s="1" t="s">
        <v>74</v>
      </c>
      <c r="AY428" s="1" t="s">
        <v>74</v>
      </c>
      <c r="AZ428" s="1" t="s">
        <v>74</v>
      </c>
      <c r="BA428" s="1" t="s">
        <v>74</v>
      </c>
      <c r="BB428" s="1">
        <v>401.0</v>
      </c>
      <c r="BC428" s="1">
        <v>420.0</v>
      </c>
      <c r="BD428" s="1" t="s">
        <v>74</v>
      </c>
      <c r="BE428" s="1" t="s">
        <v>3818</v>
      </c>
      <c r="BF428" s="2" t="str">
        <f>HYPERLINK("http://dx.doi.org/10.4018/978-1-5225-5709-8.ch019","http://dx.doi.org/10.4018/978-1-5225-5709-8.ch019")</f>
        <v>http://dx.doi.org/10.4018/978-1-5225-5709-8.ch019</v>
      </c>
      <c r="BG428" s="1" t="s">
        <v>578</v>
      </c>
      <c r="BH428" s="1" t="s">
        <v>74</v>
      </c>
      <c r="BI428" s="1" t="s">
        <v>74</v>
      </c>
      <c r="BJ428" s="1" t="s">
        <v>74</v>
      </c>
      <c r="BK428" s="1" t="s">
        <v>74</v>
      </c>
      <c r="BL428" s="1" t="s">
        <v>74</v>
      </c>
      <c r="BM428" s="1" t="s">
        <v>74</v>
      </c>
      <c r="BN428" s="1" t="s">
        <v>74</v>
      </c>
      <c r="BO428" s="1" t="s">
        <v>74</v>
      </c>
      <c r="BP428" s="1" t="s">
        <v>74</v>
      </c>
      <c r="BQ428" s="1" t="s">
        <v>74</v>
      </c>
      <c r="BR428" s="1" t="s">
        <v>74</v>
      </c>
      <c r="BS428" s="1" t="s">
        <v>3819</v>
      </c>
      <c r="BT428" s="1" t="str">
        <f>HYPERLINK("https%3A%2F%2Fwww.webofscience.com%2Fwos%2Fwoscc%2Ffull-record%2FWOS:000487852300020","View Full Record in Web of Science")</f>
        <v>View Full Record in Web of Science</v>
      </c>
    </row>
    <row r="429" ht="12.75" customHeight="1">
      <c r="A429" s="1" t="s">
        <v>72</v>
      </c>
      <c r="B429" s="1" t="s">
        <v>3820</v>
      </c>
      <c r="C429" s="1" t="s">
        <v>74</v>
      </c>
      <c r="D429" s="1" t="s">
        <v>74</v>
      </c>
      <c r="E429" s="1" t="s">
        <v>74</v>
      </c>
      <c r="F429" s="1" t="s">
        <v>3821</v>
      </c>
      <c r="G429" s="1" t="s">
        <v>74</v>
      </c>
      <c r="H429" s="1" t="s">
        <v>74</v>
      </c>
      <c r="I429" s="1" t="s">
        <v>3822</v>
      </c>
      <c r="J429" s="1" t="s">
        <v>3823</v>
      </c>
      <c r="K429" s="1" t="s">
        <v>74</v>
      </c>
      <c r="L429" s="1" t="s">
        <v>74</v>
      </c>
      <c r="M429" s="1" t="s">
        <v>74</v>
      </c>
      <c r="N429" s="1" t="s">
        <v>74</v>
      </c>
      <c r="O429" s="1" t="s">
        <v>74</v>
      </c>
      <c r="P429" s="1" t="s">
        <v>74</v>
      </c>
      <c r="Q429" s="1" t="s">
        <v>74</v>
      </c>
      <c r="R429" s="1" t="s">
        <v>74</v>
      </c>
      <c r="S429" s="1" t="s">
        <v>74</v>
      </c>
      <c r="T429" s="1" t="s">
        <v>74</v>
      </c>
      <c r="U429" s="1" t="s">
        <v>74</v>
      </c>
      <c r="V429" s="1" t="s">
        <v>3824</v>
      </c>
      <c r="W429" s="1" t="s">
        <v>74</v>
      </c>
      <c r="X429" s="1" t="s">
        <v>74</v>
      </c>
      <c r="Y429" s="1" t="s">
        <v>74</v>
      </c>
      <c r="Z429" s="1" t="s">
        <v>74</v>
      </c>
      <c r="AA429" s="1" t="s">
        <v>3825</v>
      </c>
      <c r="AB429" s="1" t="s">
        <v>3826</v>
      </c>
      <c r="AC429" s="1" t="s">
        <v>74</v>
      </c>
      <c r="AD429" s="1" t="s">
        <v>74</v>
      </c>
      <c r="AE429" s="1" t="s">
        <v>74</v>
      </c>
      <c r="AF429" s="1" t="s">
        <v>74</v>
      </c>
      <c r="AG429" s="1" t="s">
        <v>74</v>
      </c>
      <c r="AH429" s="1" t="s">
        <v>74</v>
      </c>
      <c r="AI429" s="1" t="s">
        <v>74</v>
      </c>
      <c r="AJ429" s="1" t="s">
        <v>74</v>
      </c>
      <c r="AK429" s="1" t="s">
        <v>74</v>
      </c>
      <c r="AL429" s="1" t="s">
        <v>74</v>
      </c>
      <c r="AM429" s="1" t="s">
        <v>74</v>
      </c>
      <c r="AN429" s="1" t="s">
        <v>74</v>
      </c>
      <c r="AO429" s="1" t="s">
        <v>3827</v>
      </c>
      <c r="AP429" s="1" t="s">
        <v>3828</v>
      </c>
      <c r="AQ429" s="1" t="s">
        <v>74</v>
      </c>
      <c r="AR429" s="1" t="s">
        <v>74</v>
      </c>
      <c r="AS429" s="1" t="s">
        <v>74</v>
      </c>
      <c r="AT429" s="1" t="s">
        <v>288</v>
      </c>
      <c r="AU429" s="1">
        <v>2018.0</v>
      </c>
      <c r="AV429" s="1">
        <v>91.0</v>
      </c>
      <c r="AW429" s="1" t="s">
        <v>74</v>
      </c>
      <c r="AX429" s="1" t="s">
        <v>74</v>
      </c>
      <c r="AY429" s="1" t="s">
        <v>74</v>
      </c>
      <c r="AZ429" s="1" t="s">
        <v>74</v>
      </c>
      <c r="BA429" s="1" t="s">
        <v>74</v>
      </c>
      <c r="BB429" s="1">
        <v>234.0</v>
      </c>
      <c r="BC429" s="1">
        <v>238.0</v>
      </c>
      <c r="BD429" s="1" t="s">
        <v>74</v>
      </c>
      <c r="BE429" s="1" t="s">
        <v>3829</v>
      </c>
      <c r="BF429" s="2" t="str">
        <f>HYPERLINK("http://dx.doi.org/10.1016/j.icheatmasstransfer.2017.12.016","http://dx.doi.org/10.1016/j.icheatmasstransfer.2017.12.016")</f>
        <v>http://dx.doi.org/10.1016/j.icheatmasstransfer.2017.12.016</v>
      </c>
      <c r="BG429" s="1" t="s">
        <v>74</v>
      </c>
      <c r="BH429" s="1" t="s">
        <v>74</v>
      </c>
      <c r="BI429" s="1" t="s">
        <v>74</v>
      </c>
      <c r="BJ429" s="1" t="s">
        <v>74</v>
      </c>
      <c r="BK429" s="1" t="s">
        <v>74</v>
      </c>
      <c r="BL429" s="1" t="s">
        <v>74</v>
      </c>
      <c r="BM429" s="1" t="s">
        <v>74</v>
      </c>
      <c r="BN429" s="1" t="s">
        <v>74</v>
      </c>
      <c r="BO429" s="1" t="s">
        <v>74</v>
      </c>
      <c r="BP429" s="1" t="s">
        <v>74</v>
      </c>
      <c r="BQ429" s="1" t="s">
        <v>74</v>
      </c>
      <c r="BR429" s="1" t="s">
        <v>74</v>
      </c>
      <c r="BS429" s="1" t="s">
        <v>3830</v>
      </c>
      <c r="BT429" s="1" t="str">
        <f>HYPERLINK("https%3A%2F%2Fwww.webofscience.com%2Fwos%2Fwoscc%2Ffull-record%2FWOS:000426030300029","View Full Record in Web of Science")</f>
        <v>View Full Record in Web of Science</v>
      </c>
    </row>
    <row r="430" ht="12.75" customHeight="1">
      <c r="A430" s="1" t="s">
        <v>91</v>
      </c>
      <c r="B430" s="1" t="s">
        <v>649</v>
      </c>
      <c r="C430" s="1" t="s">
        <v>74</v>
      </c>
      <c r="D430" s="1" t="s">
        <v>3831</v>
      </c>
      <c r="E430" s="1" t="s">
        <v>74</v>
      </c>
      <c r="F430" s="1" t="s">
        <v>3832</v>
      </c>
      <c r="G430" s="1" t="s">
        <v>74</v>
      </c>
      <c r="H430" s="1" t="s">
        <v>74</v>
      </c>
      <c r="I430" s="1" t="s">
        <v>3833</v>
      </c>
      <c r="J430" s="1" t="s">
        <v>3834</v>
      </c>
      <c r="K430" s="1" t="s">
        <v>74</v>
      </c>
      <c r="L430" s="1" t="s">
        <v>74</v>
      </c>
      <c r="M430" s="1" t="s">
        <v>74</v>
      </c>
      <c r="N430" s="1" t="s">
        <v>74</v>
      </c>
      <c r="O430" s="1" t="s">
        <v>3835</v>
      </c>
      <c r="P430" s="1" t="s">
        <v>3836</v>
      </c>
      <c r="Q430" s="1" t="s">
        <v>691</v>
      </c>
      <c r="R430" s="1" t="s">
        <v>3837</v>
      </c>
      <c r="S430" s="1" t="s">
        <v>74</v>
      </c>
      <c r="T430" s="1" t="s">
        <v>74</v>
      </c>
      <c r="U430" s="1" t="s">
        <v>74</v>
      </c>
      <c r="V430" s="1" t="s">
        <v>3838</v>
      </c>
      <c r="W430" s="1" t="s">
        <v>74</v>
      </c>
      <c r="X430" s="1" t="s">
        <v>74</v>
      </c>
      <c r="Y430" s="1" t="s">
        <v>74</v>
      </c>
      <c r="Z430" s="1" t="s">
        <v>74</v>
      </c>
      <c r="AA430" s="1" t="s">
        <v>659</v>
      </c>
      <c r="AB430" s="1" t="s">
        <v>74</v>
      </c>
      <c r="AC430" s="1" t="s">
        <v>74</v>
      </c>
      <c r="AD430" s="1" t="s">
        <v>74</v>
      </c>
      <c r="AE430" s="1" t="s">
        <v>74</v>
      </c>
      <c r="AF430" s="1" t="s">
        <v>74</v>
      </c>
      <c r="AG430" s="1" t="s">
        <v>74</v>
      </c>
      <c r="AH430" s="1" t="s">
        <v>74</v>
      </c>
      <c r="AI430" s="1" t="s">
        <v>74</v>
      </c>
      <c r="AJ430" s="1" t="s">
        <v>74</v>
      </c>
      <c r="AK430" s="1" t="s">
        <v>74</v>
      </c>
      <c r="AL430" s="1" t="s">
        <v>74</v>
      </c>
      <c r="AM430" s="1" t="s">
        <v>74</v>
      </c>
      <c r="AN430" s="1" t="s">
        <v>74</v>
      </c>
      <c r="AO430" s="1" t="s">
        <v>74</v>
      </c>
      <c r="AP430" s="1" t="s">
        <v>74</v>
      </c>
      <c r="AQ430" s="1" t="s">
        <v>3839</v>
      </c>
      <c r="AR430" s="1" t="s">
        <v>74</v>
      </c>
      <c r="AS430" s="1" t="s">
        <v>74</v>
      </c>
      <c r="AT430" s="1" t="s">
        <v>74</v>
      </c>
      <c r="AU430" s="1">
        <v>2018.0</v>
      </c>
      <c r="AV430" s="1" t="s">
        <v>74</v>
      </c>
      <c r="AW430" s="1" t="s">
        <v>74</v>
      </c>
      <c r="AX430" s="1" t="s">
        <v>74</v>
      </c>
      <c r="AY430" s="1" t="s">
        <v>74</v>
      </c>
      <c r="AZ430" s="1" t="s">
        <v>74</v>
      </c>
      <c r="BA430" s="1" t="s">
        <v>74</v>
      </c>
      <c r="BB430" s="1">
        <v>265.0</v>
      </c>
      <c r="BC430" s="1">
        <v>269.0</v>
      </c>
      <c r="BD430" s="1" t="s">
        <v>74</v>
      </c>
      <c r="BE430" s="1" t="s">
        <v>74</v>
      </c>
      <c r="BF430" s="1" t="s">
        <v>74</v>
      </c>
      <c r="BG430" s="1" t="s">
        <v>74</v>
      </c>
      <c r="BH430" s="1" t="s">
        <v>74</v>
      </c>
      <c r="BI430" s="1" t="s">
        <v>74</v>
      </c>
      <c r="BJ430" s="1" t="s">
        <v>74</v>
      </c>
      <c r="BK430" s="1" t="s">
        <v>74</v>
      </c>
      <c r="BL430" s="1" t="s">
        <v>74</v>
      </c>
      <c r="BM430" s="1" t="s">
        <v>74</v>
      </c>
      <c r="BN430" s="1" t="s">
        <v>74</v>
      </c>
      <c r="BO430" s="1" t="s">
        <v>74</v>
      </c>
      <c r="BP430" s="1" t="s">
        <v>74</v>
      </c>
      <c r="BQ430" s="1" t="s">
        <v>74</v>
      </c>
      <c r="BR430" s="1" t="s">
        <v>74</v>
      </c>
      <c r="BS430" s="1" t="s">
        <v>3840</v>
      </c>
      <c r="BT430" s="1" t="str">
        <f>HYPERLINK("https%3A%2F%2Fwww.webofscience.com%2Fwos%2Fwoscc%2Ffull-record%2FWOS:000437157500040","View Full Record in Web of Science")</f>
        <v>View Full Record in Web of Science</v>
      </c>
    </row>
    <row r="431" ht="12.75" customHeight="1">
      <c r="A431" s="1" t="s">
        <v>91</v>
      </c>
      <c r="B431" s="1" t="s">
        <v>3841</v>
      </c>
      <c r="C431" s="1" t="s">
        <v>74</v>
      </c>
      <c r="D431" s="1" t="s">
        <v>3842</v>
      </c>
      <c r="E431" s="1" t="s">
        <v>74</v>
      </c>
      <c r="F431" s="1" t="s">
        <v>3843</v>
      </c>
      <c r="G431" s="1" t="s">
        <v>74</v>
      </c>
      <c r="H431" s="1" t="s">
        <v>74</v>
      </c>
      <c r="I431" s="1" t="s">
        <v>3844</v>
      </c>
      <c r="J431" s="1" t="s">
        <v>3845</v>
      </c>
      <c r="K431" s="1" t="s">
        <v>74</v>
      </c>
      <c r="L431" s="1" t="s">
        <v>74</v>
      </c>
      <c r="M431" s="1" t="s">
        <v>74</v>
      </c>
      <c r="N431" s="1" t="s">
        <v>74</v>
      </c>
      <c r="O431" s="1" t="s">
        <v>3846</v>
      </c>
      <c r="P431" s="1" t="s">
        <v>3847</v>
      </c>
      <c r="Q431" s="1" t="s">
        <v>3848</v>
      </c>
      <c r="R431" s="1" t="s">
        <v>3849</v>
      </c>
      <c r="S431" s="1" t="s">
        <v>74</v>
      </c>
      <c r="T431" s="1" t="s">
        <v>74</v>
      </c>
      <c r="U431" s="1" t="s">
        <v>74</v>
      </c>
      <c r="V431" s="1" t="s">
        <v>3850</v>
      </c>
      <c r="W431" s="1" t="s">
        <v>74</v>
      </c>
      <c r="X431" s="1" t="s">
        <v>74</v>
      </c>
      <c r="Y431" s="1" t="s">
        <v>74</v>
      </c>
      <c r="Z431" s="1" t="s">
        <v>74</v>
      </c>
      <c r="AA431" s="1" t="s">
        <v>3851</v>
      </c>
      <c r="AB431" s="1" t="s">
        <v>74</v>
      </c>
      <c r="AC431" s="1" t="s">
        <v>74</v>
      </c>
      <c r="AD431" s="1" t="s">
        <v>74</v>
      </c>
      <c r="AE431" s="1" t="s">
        <v>74</v>
      </c>
      <c r="AF431" s="1" t="s">
        <v>74</v>
      </c>
      <c r="AG431" s="1" t="s">
        <v>74</v>
      </c>
      <c r="AH431" s="1" t="s">
        <v>74</v>
      </c>
      <c r="AI431" s="1" t="s">
        <v>74</v>
      </c>
      <c r="AJ431" s="1" t="s">
        <v>74</v>
      </c>
      <c r="AK431" s="1" t="s">
        <v>74</v>
      </c>
      <c r="AL431" s="1" t="s">
        <v>74</v>
      </c>
      <c r="AM431" s="1" t="s">
        <v>74</v>
      </c>
      <c r="AN431" s="1" t="s">
        <v>74</v>
      </c>
      <c r="AO431" s="1" t="s">
        <v>74</v>
      </c>
      <c r="AP431" s="1" t="s">
        <v>74</v>
      </c>
      <c r="AQ431" s="1" t="s">
        <v>3852</v>
      </c>
      <c r="AR431" s="1" t="s">
        <v>74</v>
      </c>
      <c r="AS431" s="1" t="s">
        <v>74</v>
      </c>
      <c r="AT431" s="1" t="s">
        <v>74</v>
      </c>
      <c r="AU431" s="1">
        <v>2018.0</v>
      </c>
      <c r="AV431" s="1" t="s">
        <v>74</v>
      </c>
      <c r="AW431" s="1" t="s">
        <v>74</v>
      </c>
      <c r="AX431" s="1" t="s">
        <v>74</v>
      </c>
      <c r="AY431" s="1" t="s">
        <v>74</v>
      </c>
      <c r="AZ431" s="1" t="s">
        <v>74</v>
      </c>
      <c r="BA431" s="1" t="s">
        <v>74</v>
      </c>
      <c r="BB431" s="1" t="s">
        <v>74</v>
      </c>
      <c r="BC431" s="1" t="s">
        <v>74</v>
      </c>
      <c r="BD431" s="1" t="s">
        <v>74</v>
      </c>
      <c r="BE431" s="1" t="s">
        <v>74</v>
      </c>
      <c r="BF431" s="1" t="s">
        <v>74</v>
      </c>
      <c r="BG431" s="1" t="s">
        <v>74</v>
      </c>
      <c r="BH431" s="1" t="s">
        <v>74</v>
      </c>
      <c r="BI431" s="1" t="s">
        <v>74</v>
      </c>
      <c r="BJ431" s="1" t="s">
        <v>74</v>
      </c>
      <c r="BK431" s="1" t="s">
        <v>74</v>
      </c>
      <c r="BL431" s="1" t="s">
        <v>74</v>
      </c>
      <c r="BM431" s="1" t="s">
        <v>74</v>
      </c>
      <c r="BN431" s="1" t="s">
        <v>74</v>
      </c>
      <c r="BO431" s="1" t="s">
        <v>74</v>
      </c>
      <c r="BP431" s="1" t="s">
        <v>74</v>
      </c>
      <c r="BQ431" s="1" t="s">
        <v>74</v>
      </c>
      <c r="BR431" s="1" t="s">
        <v>74</v>
      </c>
      <c r="BS431" s="1" t="s">
        <v>3853</v>
      </c>
      <c r="BT431" s="1" t="str">
        <f>HYPERLINK("https%3A%2F%2Fwww.webofscience.com%2Fwos%2Fwoscc%2Ffull-record%2FWOS:000458417600042","View Full Record in Web of Science")</f>
        <v>View Full Record in Web of Science</v>
      </c>
    </row>
    <row r="432" ht="12.75" customHeight="1">
      <c r="A432" s="1" t="s">
        <v>454</v>
      </c>
      <c r="B432" s="1" t="s">
        <v>3854</v>
      </c>
      <c r="C432" s="1" t="s">
        <v>74</v>
      </c>
      <c r="D432" s="1" t="s">
        <v>610</v>
      </c>
      <c r="E432" s="1" t="s">
        <v>74</v>
      </c>
      <c r="F432" s="1" t="s">
        <v>3855</v>
      </c>
      <c r="G432" s="1" t="s">
        <v>74</v>
      </c>
      <c r="H432" s="1" t="s">
        <v>74</v>
      </c>
      <c r="I432" s="1" t="s">
        <v>3856</v>
      </c>
      <c r="J432" s="1" t="s">
        <v>613</v>
      </c>
      <c r="K432" s="1" t="s">
        <v>74</v>
      </c>
      <c r="L432" s="1" t="s">
        <v>74</v>
      </c>
      <c r="M432" s="1" t="s">
        <v>74</v>
      </c>
      <c r="N432" s="1" t="s">
        <v>74</v>
      </c>
      <c r="O432" s="1" t="s">
        <v>74</v>
      </c>
      <c r="P432" s="1" t="s">
        <v>74</v>
      </c>
      <c r="Q432" s="1" t="s">
        <v>74</v>
      </c>
      <c r="R432" s="1" t="s">
        <v>74</v>
      </c>
      <c r="S432" s="1" t="s">
        <v>74</v>
      </c>
      <c r="T432" s="1" t="s">
        <v>74</v>
      </c>
      <c r="U432" s="1" t="s">
        <v>74</v>
      </c>
      <c r="V432" s="1" t="s">
        <v>74</v>
      </c>
      <c r="W432" s="1" t="s">
        <v>74</v>
      </c>
      <c r="X432" s="1" t="s">
        <v>74</v>
      </c>
      <c r="Y432" s="1" t="s">
        <v>74</v>
      </c>
      <c r="Z432" s="1" t="s">
        <v>74</v>
      </c>
      <c r="AA432" s="1" t="s">
        <v>74</v>
      </c>
      <c r="AB432" s="1" t="s">
        <v>74</v>
      </c>
      <c r="AC432" s="1" t="s">
        <v>74</v>
      </c>
      <c r="AD432" s="1" t="s">
        <v>74</v>
      </c>
      <c r="AE432" s="1" t="s">
        <v>74</v>
      </c>
      <c r="AF432" s="1" t="s">
        <v>74</v>
      </c>
      <c r="AG432" s="1" t="s">
        <v>74</v>
      </c>
      <c r="AH432" s="1" t="s">
        <v>74</v>
      </c>
      <c r="AI432" s="1" t="s">
        <v>74</v>
      </c>
      <c r="AJ432" s="1" t="s">
        <v>74</v>
      </c>
      <c r="AK432" s="1" t="s">
        <v>74</v>
      </c>
      <c r="AL432" s="1" t="s">
        <v>74</v>
      </c>
      <c r="AM432" s="1" t="s">
        <v>74</v>
      </c>
      <c r="AN432" s="1" t="s">
        <v>74</v>
      </c>
      <c r="AO432" s="1" t="s">
        <v>74</v>
      </c>
      <c r="AP432" s="1" t="s">
        <v>74</v>
      </c>
      <c r="AQ432" s="1" t="s">
        <v>615</v>
      </c>
      <c r="AR432" s="1" t="s">
        <v>74</v>
      </c>
      <c r="AS432" s="1" t="s">
        <v>74</v>
      </c>
      <c r="AT432" s="1" t="s">
        <v>74</v>
      </c>
      <c r="AU432" s="1">
        <v>2018.0</v>
      </c>
      <c r="AV432" s="1" t="s">
        <v>74</v>
      </c>
      <c r="AW432" s="1" t="s">
        <v>74</v>
      </c>
      <c r="AX432" s="1" t="s">
        <v>74</v>
      </c>
      <c r="AY432" s="1" t="s">
        <v>74</v>
      </c>
      <c r="AZ432" s="1" t="s">
        <v>74</v>
      </c>
      <c r="BA432" s="1" t="s">
        <v>74</v>
      </c>
      <c r="BB432" s="1">
        <v>45.0</v>
      </c>
      <c r="BC432" s="1">
        <v>74.0</v>
      </c>
      <c r="BD432" s="1" t="s">
        <v>74</v>
      </c>
      <c r="BE432" s="1" t="s">
        <v>74</v>
      </c>
      <c r="BF432" s="1" t="s">
        <v>74</v>
      </c>
      <c r="BG432" s="1" t="s">
        <v>616</v>
      </c>
      <c r="BH432" s="1" t="s">
        <v>74</v>
      </c>
      <c r="BI432" s="1" t="s">
        <v>74</v>
      </c>
      <c r="BJ432" s="1" t="s">
        <v>74</v>
      </c>
      <c r="BK432" s="1" t="s">
        <v>74</v>
      </c>
      <c r="BL432" s="1" t="s">
        <v>74</v>
      </c>
      <c r="BM432" s="1" t="s">
        <v>74</v>
      </c>
      <c r="BN432" s="1" t="s">
        <v>74</v>
      </c>
      <c r="BO432" s="1" t="s">
        <v>74</v>
      </c>
      <c r="BP432" s="1" t="s">
        <v>74</v>
      </c>
      <c r="BQ432" s="1" t="s">
        <v>74</v>
      </c>
      <c r="BR432" s="1" t="s">
        <v>74</v>
      </c>
      <c r="BS432" s="1" t="s">
        <v>3857</v>
      </c>
      <c r="BT432" s="1" t="str">
        <f>HYPERLINK("https%3A%2F%2Fwww.webofscience.com%2Fwos%2Fwoscc%2Ffull-record%2FWOS:000440942900002","View Full Record in Web of Science")</f>
        <v>View Full Record in Web of Science</v>
      </c>
    </row>
    <row r="433" ht="12.75" customHeight="1">
      <c r="A433" s="1" t="s">
        <v>91</v>
      </c>
      <c r="B433" s="1" t="s">
        <v>3858</v>
      </c>
      <c r="C433" s="1" t="s">
        <v>74</v>
      </c>
      <c r="D433" s="1" t="s">
        <v>3842</v>
      </c>
      <c r="E433" s="1" t="s">
        <v>74</v>
      </c>
      <c r="F433" s="1" t="s">
        <v>3859</v>
      </c>
      <c r="G433" s="1" t="s">
        <v>74</v>
      </c>
      <c r="H433" s="1" t="s">
        <v>74</v>
      </c>
      <c r="I433" s="1" t="s">
        <v>3860</v>
      </c>
      <c r="J433" s="1" t="s">
        <v>3845</v>
      </c>
      <c r="K433" s="1" t="s">
        <v>74</v>
      </c>
      <c r="L433" s="1" t="s">
        <v>74</v>
      </c>
      <c r="M433" s="1" t="s">
        <v>74</v>
      </c>
      <c r="N433" s="1" t="s">
        <v>74</v>
      </c>
      <c r="O433" s="1" t="s">
        <v>3846</v>
      </c>
      <c r="P433" s="1" t="s">
        <v>3847</v>
      </c>
      <c r="Q433" s="1" t="s">
        <v>3848</v>
      </c>
      <c r="R433" s="1" t="s">
        <v>3849</v>
      </c>
      <c r="S433" s="1" t="s">
        <v>74</v>
      </c>
      <c r="T433" s="1" t="s">
        <v>74</v>
      </c>
      <c r="U433" s="1" t="s">
        <v>74</v>
      </c>
      <c r="V433" s="1" t="s">
        <v>3861</v>
      </c>
      <c r="W433" s="1" t="s">
        <v>74</v>
      </c>
      <c r="X433" s="1" t="s">
        <v>74</v>
      </c>
      <c r="Y433" s="1" t="s">
        <v>74</v>
      </c>
      <c r="Z433" s="1" t="s">
        <v>74</v>
      </c>
      <c r="AA433" s="1" t="s">
        <v>2031</v>
      </c>
      <c r="AB433" s="1" t="s">
        <v>2032</v>
      </c>
      <c r="AC433" s="1" t="s">
        <v>74</v>
      </c>
      <c r="AD433" s="1" t="s">
        <v>74</v>
      </c>
      <c r="AE433" s="1" t="s">
        <v>74</v>
      </c>
      <c r="AF433" s="1" t="s">
        <v>74</v>
      </c>
      <c r="AG433" s="1" t="s">
        <v>74</v>
      </c>
      <c r="AH433" s="1" t="s">
        <v>74</v>
      </c>
      <c r="AI433" s="1" t="s">
        <v>74</v>
      </c>
      <c r="AJ433" s="1" t="s">
        <v>74</v>
      </c>
      <c r="AK433" s="1" t="s">
        <v>74</v>
      </c>
      <c r="AL433" s="1" t="s">
        <v>74</v>
      </c>
      <c r="AM433" s="1" t="s">
        <v>74</v>
      </c>
      <c r="AN433" s="1" t="s">
        <v>74</v>
      </c>
      <c r="AO433" s="1" t="s">
        <v>74</v>
      </c>
      <c r="AP433" s="1" t="s">
        <v>74</v>
      </c>
      <c r="AQ433" s="1" t="s">
        <v>3852</v>
      </c>
      <c r="AR433" s="1" t="s">
        <v>74</v>
      </c>
      <c r="AS433" s="1" t="s">
        <v>74</v>
      </c>
      <c r="AT433" s="1" t="s">
        <v>74</v>
      </c>
      <c r="AU433" s="1">
        <v>2018.0</v>
      </c>
      <c r="AV433" s="1" t="s">
        <v>74</v>
      </c>
      <c r="AW433" s="1" t="s">
        <v>74</v>
      </c>
      <c r="AX433" s="1" t="s">
        <v>74</v>
      </c>
      <c r="AY433" s="1" t="s">
        <v>74</v>
      </c>
      <c r="AZ433" s="1" t="s">
        <v>74</v>
      </c>
      <c r="BA433" s="1" t="s">
        <v>74</v>
      </c>
      <c r="BB433" s="1" t="s">
        <v>74</v>
      </c>
      <c r="BC433" s="1" t="s">
        <v>74</v>
      </c>
      <c r="BD433" s="1" t="s">
        <v>74</v>
      </c>
      <c r="BE433" s="1" t="s">
        <v>74</v>
      </c>
      <c r="BF433" s="1" t="s">
        <v>74</v>
      </c>
      <c r="BG433" s="1" t="s">
        <v>74</v>
      </c>
      <c r="BH433" s="1" t="s">
        <v>74</v>
      </c>
      <c r="BI433" s="1" t="s">
        <v>74</v>
      </c>
      <c r="BJ433" s="1" t="s">
        <v>74</v>
      </c>
      <c r="BK433" s="1" t="s">
        <v>74</v>
      </c>
      <c r="BL433" s="1" t="s">
        <v>74</v>
      </c>
      <c r="BM433" s="1" t="s">
        <v>74</v>
      </c>
      <c r="BN433" s="1" t="s">
        <v>74</v>
      </c>
      <c r="BO433" s="1" t="s">
        <v>74</v>
      </c>
      <c r="BP433" s="1" t="s">
        <v>74</v>
      </c>
      <c r="BQ433" s="1" t="s">
        <v>74</v>
      </c>
      <c r="BR433" s="1" t="s">
        <v>74</v>
      </c>
      <c r="BS433" s="1" t="s">
        <v>3862</v>
      </c>
      <c r="BT433" s="1" t="str">
        <f>HYPERLINK("https%3A%2F%2Fwww.webofscience.com%2Fwos%2Fwoscc%2Ffull-record%2FWOS:000458417600137","View Full Record in Web of Science")</f>
        <v>View Full Record in Web of Science</v>
      </c>
    </row>
    <row r="434" ht="12.75" customHeight="1">
      <c r="A434" s="1" t="s">
        <v>91</v>
      </c>
      <c r="B434" s="1" t="s">
        <v>3863</v>
      </c>
      <c r="C434" s="1" t="s">
        <v>74</v>
      </c>
      <c r="D434" s="1" t="s">
        <v>3831</v>
      </c>
      <c r="E434" s="1" t="s">
        <v>74</v>
      </c>
      <c r="F434" s="1" t="s">
        <v>3864</v>
      </c>
      <c r="G434" s="1" t="s">
        <v>74</v>
      </c>
      <c r="H434" s="1" t="s">
        <v>74</v>
      </c>
      <c r="I434" s="1" t="s">
        <v>3865</v>
      </c>
      <c r="J434" s="1" t="s">
        <v>3834</v>
      </c>
      <c r="K434" s="1" t="s">
        <v>74</v>
      </c>
      <c r="L434" s="1" t="s">
        <v>74</v>
      </c>
      <c r="M434" s="1" t="s">
        <v>74</v>
      </c>
      <c r="N434" s="1" t="s">
        <v>74</v>
      </c>
      <c r="O434" s="1" t="s">
        <v>3835</v>
      </c>
      <c r="P434" s="1" t="s">
        <v>3836</v>
      </c>
      <c r="Q434" s="1" t="s">
        <v>691</v>
      </c>
      <c r="R434" s="1" t="s">
        <v>3837</v>
      </c>
      <c r="S434" s="1" t="s">
        <v>74</v>
      </c>
      <c r="T434" s="1" t="s">
        <v>74</v>
      </c>
      <c r="U434" s="1" t="s">
        <v>74</v>
      </c>
      <c r="V434" s="1" t="s">
        <v>3866</v>
      </c>
      <c r="W434" s="1" t="s">
        <v>74</v>
      </c>
      <c r="X434" s="1" t="s">
        <v>74</v>
      </c>
      <c r="Y434" s="1" t="s">
        <v>74</v>
      </c>
      <c r="Z434" s="1" t="s">
        <v>74</v>
      </c>
      <c r="AA434" s="1" t="s">
        <v>74</v>
      </c>
      <c r="AB434" s="1" t="s">
        <v>74</v>
      </c>
      <c r="AC434" s="1" t="s">
        <v>74</v>
      </c>
      <c r="AD434" s="1" t="s">
        <v>74</v>
      </c>
      <c r="AE434" s="1" t="s">
        <v>74</v>
      </c>
      <c r="AF434" s="1" t="s">
        <v>74</v>
      </c>
      <c r="AG434" s="1" t="s">
        <v>74</v>
      </c>
      <c r="AH434" s="1" t="s">
        <v>74</v>
      </c>
      <c r="AI434" s="1" t="s">
        <v>74</v>
      </c>
      <c r="AJ434" s="1" t="s">
        <v>74</v>
      </c>
      <c r="AK434" s="1" t="s">
        <v>74</v>
      </c>
      <c r="AL434" s="1" t="s">
        <v>74</v>
      </c>
      <c r="AM434" s="1" t="s">
        <v>74</v>
      </c>
      <c r="AN434" s="1" t="s">
        <v>74</v>
      </c>
      <c r="AO434" s="1" t="s">
        <v>74</v>
      </c>
      <c r="AP434" s="1" t="s">
        <v>74</v>
      </c>
      <c r="AQ434" s="1" t="s">
        <v>3839</v>
      </c>
      <c r="AR434" s="1" t="s">
        <v>74</v>
      </c>
      <c r="AS434" s="1" t="s">
        <v>74</v>
      </c>
      <c r="AT434" s="1" t="s">
        <v>74</v>
      </c>
      <c r="AU434" s="1">
        <v>2018.0</v>
      </c>
      <c r="AV434" s="1" t="s">
        <v>74</v>
      </c>
      <c r="AW434" s="1" t="s">
        <v>74</v>
      </c>
      <c r="AX434" s="1" t="s">
        <v>74</v>
      </c>
      <c r="AY434" s="1" t="s">
        <v>74</v>
      </c>
      <c r="AZ434" s="1" t="s">
        <v>74</v>
      </c>
      <c r="BA434" s="1" t="s">
        <v>74</v>
      </c>
      <c r="BB434" s="1">
        <v>47.0</v>
      </c>
      <c r="BC434" s="1">
        <v>51.0</v>
      </c>
      <c r="BD434" s="1" t="s">
        <v>74</v>
      </c>
      <c r="BE434" s="1" t="s">
        <v>74</v>
      </c>
      <c r="BF434" s="1" t="s">
        <v>74</v>
      </c>
      <c r="BG434" s="1" t="s">
        <v>74</v>
      </c>
      <c r="BH434" s="1" t="s">
        <v>74</v>
      </c>
      <c r="BI434" s="1" t="s">
        <v>74</v>
      </c>
      <c r="BJ434" s="1" t="s">
        <v>74</v>
      </c>
      <c r="BK434" s="1" t="s">
        <v>74</v>
      </c>
      <c r="BL434" s="1" t="s">
        <v>74</v>
      </c>
      <c r="BM434" s="1" t="s">
        <v>74</v>
      </c>
      <c r="BN434" s="1" t="s">
        <v>74</v>
      </c>
      <c r="BO434" s="1" t="s">
        <v>74</v>
      </c>
      <c r="BP434" s="1" t="s">
        <v>74</v>
      </c>
      <c r="BQ434" s="1" t="s">
        <v>74</v>
      </c>
      <c r="BR434" s="1" t="s">
        <v>74</v>
      </c>
      <c r="BS434" s="1" t="s">
        <v>3867</v>
      </c>
      <c r="BT434" s="1" t="str">
        <f>HYPERLINK("https%3A%2F%2Fwww.webofscience.com%2Fwos%2Fwoscc%2Ffull-record%2FWOS:000437157500006","View Full Record in Web of Science")</f>
        <v>View Full Record in Web of Science</v>
      </c>
    </row>
    <row r="435" ht="12.75" customHeight="1">
      <c r="A435" s="1" t="s">
        <v>454</v>
      </c>
      <c r="B435" s="1" t="s">
        <v>3868</v>
      </c>
      <c r="C435" s="1" t="s">
        <v>3868</v>
      </c>
      <c r="D435" s="1" t="s">
        <v>74</v>
      </c>
      <c r="E435" s="1" t="s">
        <v>74</v>
      </c>
      <c r="F435" s="1" t="s">
        <v>3869</v>
      </c>
      <c r="G435" s="1" t="s">
        <v>3868</v>
      </c>
      <c r="H435" s="1" t="s">
        <v>74</v>
      </c>
      <c r="I435" s="1" t="s">
        <v>3870</v>
      </c>
      <c r="J435" s="1" t="s">
        <v>3871</v>
      </c>
      <c r="K435" s="1" t="s">
        <v>74</v>
      </c>
      <c r="L435" s="1" t="s">
        <v>74</v>
      </c>
      <c r="M435" s="1" t="s">
        <v>74</v>
      </c>
      <c r="N435" s="1" t="s">
        <v>74</v>
      </c>
      <c r="O435" s="1" t="s">
        <v>74</v>
      </c>
      <c r="P435" s="1" t="s">
        <v>74</v>
      </c>
      <c r="Q435" s="1" t="s">
        <v>74</v>
      </c>
      <c r="R435" s="1" t="s">
        <v>74</v>
      </c>
      <c r="S435" s="1" t="s">
        <v>74</v>
      </c>
      <c r="T435" s="1" t="s">
        <v>74</v>
      </c>
      <c r="U435" s="1" t="s">
        <v>74</v>
      </c>
      <c r="V435" s="1" t="s">
        <v>74</v>
      </c>
      <c r="W435" s="1" t="s">
        <v>74</v>
      </c>
      <c r="X435" s="1" t="s">
        <v>74</v>
      </c>
      <c r="Y435" s="1" t="s">
        <v>74</v>
      </c>
      <c r="Z435" s="1" t="s">
        <v>74</v>
      </c>
      <c r="AA435" s="1" t="s">
        <v>74</v>
      </c>
      <c r="AB435" s="1" t="s">
        <v>74</v>
      </c>
      <c r="AC435" s="1" t="s">
        <v>74</v>
      </c>
      <c r="AD435" s="1" t="s">
        <v>74</v>
      </c>
      <c r="AE435" s="1" t="s">
        <v>74</v>
      </c>
      <c r="AF435" s="1" t="s">
        <v>74</v>
      </c>
      <c r="AG435" s="1" t="s">
        <v>74</v>
      </c>
      <c r="AH435" s="1" t="s">
        <v>74</v>
      </c>
      <c r="AI435" s="1" t="s">
        <v>74</v>
      </c>
      <c r="AJ435" s="1" t="s">
        <v>74</v>
      </c>
      <c r="AK435" s="1" t="s">
        <v>74</v>
      </c>
      <c r="AL435" s="1" t="s">
        <v>74</v>
      </c>
      <c r="AM435" s="1" t="s">
        <v>74</v>
      </c>
      <c r="AN435" s="1" t="s">
        <v>74</v>
      </c>
      <c r="AO435" s="1" t="s">
        <v>74</v>
      </c>
      <c r="AP435" s="1" t="s">
        <v>74</v>
      </c>
      <c r="AQ435" s="1" t="s">
        <v>3872</v>
      </c>
      <c r="AR435" s="1" t="s">
        <v>74</v>
      </c>
      <c r="AS435" s="1" t="s">
        <v>74</v>
      </c>
      <c r="AT435" s="1" t="s">
        <v>74</v>
      </c>
      <c r="AU435" s="1">
        <v>2018.0</v>
      </c>
      <c r="AV435" s="1" t="s">
        <v>74</v>
      </c>
      <c r="AW435" s="1" t="s">
        <v>74</v>
      </c>
      <c r="AX435" s="1" t="s">
        <v>74</v>
      </c>
      <c r="AY435" s="1" t="s">
        <v>74</v>
      </c>
      <c r="AZ435" s="1" t="s">
        <v>74</v>
      </c>
      <c r="BA435" s="1" t="s">
        <v>74</v>
      </c>
      <c r="BB435" s="1">
        <v>75.0</v>
      </c>
      <c r="BC435" s="1">
        <v>107.0</v>
      </c>
      <c r="BD435" s="1" t="s">
        <v>74</v>
      </c>
      <c r="BE435" s="1" t="s">
        <v>74</v>
      </c>
      <c r="BF435" s="1" t="s">
        <v>74</v>
      </c>
      <c r="BG435" s="1" t="s">
        <v>74</v>
      </c>
      <c r="BH435" s="1" t="s">
        <v>74</v>
      </c>
      <c r="BI435" s="1" t="s">
        <v>74</v>
      </c>
      <c r="BJ435" s="1" t="s">
        <v>74</v>
      </c>
      <c r="BK435" s="1" t="s">
        <v>74</v>
      </c>
      <c r="BL435" s="1" t="s">
        <v>74</v>
      </c>
      <c r="BM435" s="1" t="s">
        <v>74</v>
      </c>
      <c r="BN435" s="1" t="s">
        <v>74</v>
      </c>
      <c r="BO435" s="1" t="s">
        <v>74</v>
      </c>
      <c r="BP435" s="1" t="s">
        <v>74</v>
      </c>
      <c r="BQ435" s="1" t="s">
        <v>74</v>
      </c>
      <c r="BR435" s="1" t="s">
        <v>74</v>
      </c>
      <c r="BS435" s="1" t="s">
        <v>3873</v>
      </c>
      <c r="BT435" s="1" t="str">
        <f>HYPERLINK("https%3A%2F%2Fwww.webofscience.com%2Fwos%2Fwoscc%2Ffull-record%2FWOS:000608876200004","View Full Record in Web of Science")</f>
        <v>View Full Record in Web of Science</v>
      </c>
    </row>
    <row r="436" ht="12.75" customHeight="1">
      <c r="A436" s="1" t="s">
        <v>454</v>
      </c>
      <c r="B436" s="1" t="s">
        <v>3874</v>
      </c>
      <c r="C436" s="1" t="s">
        <v>74</v>
      </c>
      <c r="D436" s="1" t="s">
        <v>74</v>
      </c>
      <c r="E436" s="1" t="s">
        <v>601</v>
      </c>
      <c r="F436" s="1" t="s">
        <v>3875</v>
      </c>
      <c r="G436" s="1" t="s">
        <v>74</v>
      </c>
      <c r="H436" s="1" t="s">
        <v>74</v>
      </c>
      <c r="I436" s="1" t="s">
        <v>3876</v>
      </c>
      <c r="J436" s="1" t="s">
        <v>604</v>
      </c>
      <c r="K436" s="1" t="s">
        <v>74</v>
      </c>
      <c r="L436" s="1" t="s">
        <v>74</v>
      </c>
      <c r="M436" s="1" t="s">
        <v>74</v>
      </c>
      <c r="N436" s="1" t="s">
        <v>74</v>
      </c>
      <c r="O436" s="1" t="s">
        <v>74</v>
      </c>
      <c r="P436" s="1" t="s">
        <v>74</v>
      </c>
      <c r="Q436" s="1" t="s">
        <v>74</v>
      </c>
      <c r="R436" s="1" t="s">
        <v>74</v>
      </c>
      <c r="S436" s="1" t="s">
        <v>74</v>
      </c>
      <c r="T436" s="1" t="s">
        <v>74</v>
      </c>
      <c r="U436" s="1" t="s">
        <v>74</v>
      </c>
      <c r="V436" s="1" t="s">
        <v>3877</v>
      </c>
      <c r="W436" s="1" t="s">
        <v>74</v>
      </c>
      <c r="X436" s="1" t="s">
        <v>74</v>
      </c>
      <c r="Y436" s="1" t="s">
        <v>74</v>
      </c>
      <c r="Z436" s="1" t="s">
        <v>74</v>
      </c>
      <c r="AA436" s="1" t="s">
        <v>3878</v>
      </c>
      <c r="AB436" s="1" t="s">
        <v>74</v>
      </c>
      <c r="AC436" s="1" t="s">
        <v>74</v>
      </c>
      <c r="AD436" s="1" t="s">
        <v>74</v>
      </c>
      <c r="AE436" s="1" t="s">
        <v>74</v>
      </c>
      <c r="AF436" s="1" t="s">
        <v>74</v>
      </c>
      <c r="AG436" s="1" t="s">
        <v>74</v>
      </c>
      <c r="AH436" s="1" t="s">
        <v>74</v>
      </c>
      <c r="AI436" s="1" t="s">
        <v>74</v>
      </c>
      <c r="AJ436" s="1" t="s">
        <v>74</v>
      </c>
      <c r="AK436" s="1" t="s">
        <v>74</v>
      </c>
      <c r="AL436" s="1" t="s">
        <v>74</v>
      </c>
      <c r="AM436" s="1" t="s">
        <v>74</v>
      </c>
      <c r="AN436" s="1" t="s">
        <v>74</v>
      </c>
      <c r="AO436" s="1" t="s">
        <v>74</v>
      </c>
      <c r="AP436" s="1" t="s">
        <v>74</v>
      </c>
      <c r="AQ436" s="1" t="s">
        <v>607</v>
      </c>
      <c r="AR436" s="1" t="s">
        <v>74</v>
      </c>
      <c r="AS436" s="1" t="s">
        <v>74</v>
      </c>
      <c r="AT436" s="1" t="s">
        <v>74</v>
      </c>
      <c r="AU436" s="1">
        <v>2018.0</v>
      </c>
      <c r="AV436" s="1" t="s">
        <v>74</v>
      </c>
      <c r="AW436" s="1" t="s">
        <v>74</v>
      </c>
      <c r="AX436" s="1" t="s">
        <v>74</v>
      </c>
      <c r="AY436" s="1" t="s">
        <v>74</v>
      </c>
      <c r="AZ436" s="1" t="s">
        <v>74</v>
      </c>
      <c r="BA436" s="1" t="s">
        <v>74</v>
      </c>
      <c r="BB436" s="1">
        <v>34.0</v>
      </c>
      <c r="BC436" s="1">
        <v>48.0</v>
      </c>
      <c r="BD436" s="1" t="s">
        <v>74</v>
      </c>
      <c r="BE436" s="1" t="s">
        <v>74</v>
      </c>
      <c r="BF436" s="1" t="s">
        <v>74</v>
      </c>
      <c r="BG436" s="1" t="s">
        <v>74</v>
      </c>
      <c r="BH436" s="1" t="s">
        <v>74</v>
      </c>
      <c r="BI436" s="1" t="s">
        <v>74</v>
      </c>
      <c r="BJ436" s="1" t="s">
        <v>74</v>
      </c>
      <c r="BK436" s="1" t="s">
        <v>74</v>
      </c>
      <c r="BL436" s="1" t="s">
        <v>74</v>
      </c>
      <c r="BM436" s="1" t="s">
        <v>74</v>
      </c>
      <c r="BN436" s="1" t="s">
        <v>74</v>
      </c>
      <c r="BO436" s="1" t="s">
        <v>74</v>
      </c>
      <c r="BP436" s="1" t="s">
        <v>74</v>
      </c>
      <c r="BQ436" s="1" t="s">
        <v>74</v>
      </c>
      <c r="BR436" s="1" t="s">
        <v>74</v>
      </c>
      <c r="BS436" s="1" t="s">
        <v>3879</v>
      </c>
      <c r="BT436" s="1" t="str">
        <f>HYPERLINK("https%3A%2F%2Fwww.webofscience.com%2Fwos%2Fwoscc%2Ffull-record%2FWOS:000480327100003","View Full Record in Web of Science")</f>
        <v>View Full Record in Web of Science</v>
      </c>
    </row>
    <row r="437" ht="12.75" customHeight="1">
      <c r="A437" s="1" t="s">
        <v>72</v>
      </c>
      <c r="B437" s="1" t="s">
        <v>3880</v>
      </c>
      <c r="C437" s="1" t="s">
        <v>74</v>
      </c>
      <c r="D437" s="1" t="s">
        <v>74</v>
      </c>
      <c r="E437" s="1" t="s">
        <v>74</v>
      </c>
      <c r="F437" s="1" t="s">
        <v>3881</v>
      </c>
      <c r="G437" s="1" t="s">
        <v>74</v>
      </c>
      <c r="H437" s="1" t="s">
        <v>74</v>
      </c>
      <c r="I437" s="1" t="s">
        <v>3882</v>
      </c>
      <c r="J437" s="1" t="s">
        <v>3883</v>
      </c>
      <c r="K437" s="1" t="s">
        <v>74</v>
      </c>
      <c r="L437" s="1" t="s">
        <v>74</v>
      </c>
      <c r="M437" s="1" t="s">
        <v>74</v>
      </c>
      <c r="N437" s="1" t="s">
        <v>74</v>
      </c>
      <c r="O437" s="1" t="s">
        <v>74</v>
      </c>
      <c r="P437" s="1" t="s">
        <v>74</v>
      </c>
      <c r="Q437" s="1" t="s">
        <v>74</v>
      </c>
      <c r="R437" s="1" t="s">
        <v>74</v>
      </c>
      <c r="S437" s="1" t="s">
        <v>74</v>
      </c>
      <c r="T437" s="1" t="s">
        <v>74</v>
      </c>
      <c r="U437" s="1" t="s">
        <v>74</v>
      </c>
      <c r="V437" s="1" t="s">
        <v>3884</v>
      </c>
      <c r="W437" s="1" t="s">
        <v>74</v>
      </c>
      <c r="X437" s="1" t="s">
        <v>74</v>
      </c>
      <c r="Y437" s="1" t="s">
        <v>74</v>
      </c>
      <c r="Z437" s="1" t="s">
        <v>74</v>
      </c>
      <c r="AA437" s="1" t="s">
        <v>3885</v>
      </c>
      <c r="AB437" s="1" t="s">
        <v>3886</v>
      </c>
      <c r="AC437" s="1" t="s">
        <v>74</v>
      </c>
      <c r="AD437" s="1" t="s">
        <v>74</v>
      </c>
      <c r="AE437" s="1" t="s">
        <v>74</v>
      </c>
      <c r="AF437" s="1" t="s">
        <v>74</v>
      </c>
      <c r="AG437" s="1" t="s">
        <v>74</v>
      </c>
      <c r="AH437" s="1" t="s">
        <v>74</v>
      </c>
      <c r="AI437" s="1" t="s">
        <v>74</v>
      </c>
      <c r="AJ437" s="1" t="s">
        <v>74</v>
      </c>
      <c r="AK437" s="1" t="s">
        <v>74</v>
      </c>
      <c r="AL437" s="1" t="s">
        <v>74</v>
      </c>
      <c r="AM437" s="1" t="s">
        <v>74</v>
      </c>
      <c r="AN437" s="1" t="s">
        <v>74</v>
      </c>
      <c r="AO437" s="1" t="s">
        <v>3887</v>
      </c>
      <c r="AP437" s="1" t="s">
        <v>3888</v>
      </c>
      <c r="AQ437" s="1" t="s">
        <v>74</v>
      </c>
      <c r="AR437" s="1" t="s">
        <v>74</v>
      </c>
      <c r="AS437" s="1" t="s">
        <v>74</v>
      </c>
      <c r="AT437" s="1" t="s">
        <v>88</v>
      </c>
      <c r="AU437" s="1">
        <v>2017.0</v>
      </c>
      <c r="AV437" s="1">
        <v>38.0</v>
      </c>
      <c r="AW437" s="1" t="s">
        <v>74</v>
      </c>
      <c r="AX437" s="1" t="s">
        <v>74</v>
      </c>
      <c r="AY437" s="1" t="s">
        <v>74</v>
      </c>
      <c r="AZ437" s="1" t="s">
        <v>74</v>
      </c>
      <c r="BA437" s="1" t="s">
        <v>74</v>
      </c>
      <c r="BB437" s="1">
        <v>66.0</v>
      </c>
      <c r="BC437" s="1">
        <v>72.0</v>
      </c>
      <c r="BD437" s="1" t="s">
        <v>74</v>
      </c>
      <c r="BE437" s="1" t="s">
        <v>3889</v>
      </c>
      <c r="BF437" s="2" t="str">
        <f>HYPERLINK("http://dx.doi.org/10.1016/j.cytogfr.2017.09.004","http://dx.doi.org/10.1016/j.cytogfr.2017.09.004")</f>
        <v>http://dx.doi.org/10.1016/j.cytogfr.2017.09.004</v>
      </c>
      <c r="BG437" s="1" t="s">
        <v>74</v>
      </c>
      <c r="BH437" s="1" t="s">
        <v>74</v>
      </c>
      <c r="BI437" s="1" t="s">
        <v>74</v>
      </c>
      <c r="BJ437" s="1" t="s">
        <v>74</v>
      </c>
      <c r="BK437" s="1" t="s">
        <v>74</v>
      </c>
      <c r="BL437" s="1" t="s">
        <v>74</v>
      </c>
      <c r="BM437" s="1" t="s">
        <v>74</v>
      </c>
      <c r="BN437" s="1">
        <v>2.8988781E7</v>
      </c>
      <c r="BO437" s="1" t="s">
        <v>74</v>
      </c>
      <c r="BP437" s="1" t="s">
        <v>74</v>
      </c>
      <c r="BQ437" s="1" t="s">
        <v>74</v>
      </c>
      <c r="BR437" s="1" t="s">
        <v>74</v>
      </c>
      <c r="BS437" s="1" t="s">
        <v>3890</v>
      </c>
      <c r="BT437" s="1" t="str">
        <f>HYPERLINK("https%3A%2F%2Fwww.webofscience.com%2Fwos%2Fwoscc%2Ffull-record%2FWOS:000416532200007","View Full Record in Web of Science")</f>
        <v>View Full Record in Web of Science</v>
      </c>
    </row>
    <row r="438" ht="12.75" customHeight="1">
      <c r="A438" s="1" t="s">
        <v>72</v>
      </c>
      <c r="B438" s="1" t="s">
        <v>3891</v>
      </c>
      <c r="C438" s="1" t="s">
        <v>74</v>
      </c>
      <c r="D438" s="1" t="s">
        <v>74</v>
      </c>
      <c r="E438" s="1" t="s">
        <v>74</v>
      </c>
      <c r="F438" s="1" t="s">
        <v>3892</v>
      </c>
      <c r="G438" s="1" t="s">
        <v>74</v>
      </c>
      <c r="H438" s="1" t="s">
        <v>74</v>
      </c>
      <c r="I438" s="1" t="s">
        <v>3893</v>
      </c>
      <c r="J438" s="1" t="s">
        <v>3894</v>
      </c>
      <c r="K438" s="1" t="s">
        <v>74</v>
      </c>
      <c r="L438" s="1" t="s">
        <v>74</v>
      </c>
      <c r="M438" s="1" t="s">
        <v>74</v>
      </c>
      <c r="N438" s="1" t="s">
        <v>74</v>
      </c>
      <c r="O438" s="1" t="s">
        <v>74</v>
      </c>
      <c r="P438" s="1" t="s">
        <v>74</v>
      </c>
      <c r="Q438" s="1" t="s">
        <v>74</v>
      </c>
      <c r="R438" s="1" t="s">
        <v>74</v>
      </c>
      <c r="S438" s="1" t="s">
        <v>74</v>
      </c>
      <c r="T438" s="1" t="s">
        <v>74</v>
      </c>
      <c r="U438" s="1" t="s">
        <v>74</v>
      </c>
      <c r="V438" s="1" t="s">
        <v>3895</v>
      </c>
      <c r="W438" s="1" t="s">
        <v>74</v>
      </c>
      <c r="X438" s="1" t="s">
        <v>74</v>
      </c>
      <c r="Y438" s="1" t="s">
        <v>74</v>
      </c>
      <c r="Z438" s="1" t="s">
        <v>74</v>
      </c>
      <c r="AA438" s="1" t="s">
        <v>74</v>
      </c>
      <c r="AB438" s="1" t="s">
        <v>74</v>
      </c>
      <c r="AC438" s="1" t="s">
        <v>74</v>
      </c>
      <c r="AD438" s="1" t="s">
        <v>74</v>
      </c>
      <c r="AE438" s="1" t="s">
        <v>74</v>
      </c>
      <c r="AF438" s="1" t="s">
        <v>74</v>
      </c>
      <c r="AG438" s="1" t="s">
        <v>74</v>
      </c>
      <c r="AH438" s="1" t="s">
        <v>74</v>
      </c>
      <c r="AI438" s="1" t="s">
        <v>74</v>
      </c>
      <c r="AJ438" s="1" t="s">
        <v>74</v>
      </c>
      <c r="AK438" s="1" t="s">
        <v>74</v>
      </c>
      <c r="AL438" s="1" t="s">
        <v>74</v>
      </c>
      <c r="AM438" s="1" t="s">
        <v>74</v>
      </c>
      <c r="AN438" s="1" t="s">
        <v>74</v>
      </c>
      <c r="AO438" s="1" t="s">
        <v>3896</v>
      </c>
      <c r="AP438" s="1" t="s">
        <v>3897</v>
      </c>
      <c r="AQ438" s="1" t="s">
        <v>74</v>
      </c>
      <c r="AR438" s="1" t="s">
        <v>74</v>
      </c>
      <c r="AS438" s="1" t="s">
        <v>74</v>
      </c>
      <c r="AT438" s="1" t="s">
        <v>148</v>
      </c>
      <c r="AU438" s="1">
        <v>2017.0</v>
      </c>
      <c r="AV438" s="1">
        <v>52.0</v>
      </c>
      <c r="AW438" s="1">
        <v>2.0</v>
      </c>
      <c r="AX438" s="1" t="s">
        <v>74</v>
      </c>
      <c r="AY438" s="1" t="s">
        <v>74</v>
      </c>
      <c r="AZ438" s="1" t="s">
        <v>74</v>
      </c>
      <c r="BA438" s="1" t="s">
        <v>74</v>
      </c>
      <c r="BB438" s="1">
        <v>555.0</v>
      </c>
      <c r="BC438" s="1">
        <v>575.0</v>
      </c>
      <c r="BD438" s="1" t="s">
        <v>74</v>
      </c>
      <c r="BE438" s="1" t="s">
        <v>3898</v>
      </c>
      <c r="BF438" s="2" t="str">
        <f>HYPERLINK("http://dx.doi.org/10.1007/s00181-016-1086-4","http://dx.doi.org/10.1007/s00181-016-1086-4")</f>
        <v>http://dx.doi.org/10.1007/s00181-016-1086-4</v>
      </c>
      <c r="BG438" s="1" t="s">
        <v>74</v>
      </c>
      <c r="BH438" s="1" t="s">
        <v>74</v>
      </c>
      <c r="BI438" s="1" t="s">
        <v>74</v>
      </c>
      <c r="BJ438" s="1" t="s">
        <v>74</v>
      </c>
      <c r="BK438" s="1" t="s">
        <v>74</v>
      </c>
      <c r="BL438" s="1" t="s">
        <v>74</v>
      </c>
      <c r="BM438" s="1" t="s">
        <v>74</v>
      </c>
      <c r="BN438" s="1" t="s">
        <v>74</v>
      </c>
      <c r="BO438" s="1" t="s">
        <v>74</v>
      </c>
      <c r="BP438" s="1" t="s">
        <v>74</v>
      </c>
      <c r="BQ438" s="1" t="s">
        <v>74</v>
      </c>
      <c r="BR438" s="1" t="s">
        <v>74</v>
      </c>
      <c r="BS438" s="1" t="s">
        <v>3899</v>
      </c>
      <c r="BT438" s="1" t="str">
        <f>HYPERLINK("https%3A%2F%2Fwww.webofscience.com%2Fwos%2Fwoscc%2Ffull-record%2FWOS:000395064100005","View Full Record in Web of Science")</f>
        <v>View Full Record in Web of Science</v>
      </c>
    </row>
    <row r="439" ht="12.75" customHeight="1">
      <c r="A439" s="1" t="s">
        <v>72</v>
      </c>
      <c r="B439" s="1" t="s">
        <v>3900</v>
      </c>
      <c r="C439" s="1" t="s">
        <v>74</v>
      </c>
      <c r="D439" s="1" t="s">
        <v>74</v>
      </c>
      <c r="E439" s="1" t="s">
        <v>74</v>
      </c>
      <c r="F439" s="1" t="s">
        <v>3901</v>
      </c>
      <c r="G439" s="1" t="s">
        <v>74</v>
      </c>
      <c r="H439" s="1" t="s">
        <v>74</v>
      </c>
      <c r="I439" s="1" t="s">
        <v>3902</v>
      </c>
      <c r="J439" s="1" t="s">
        <v>3903</v>
      </c>
      <c r="K439" s="1" t="s">
        <v>74</v>
      </c>
      <c r="L439" s="1" t="s">
        <v>74</v>
      </c>
      <c r="M439" s="1" t="s">
        <v>74</v>
      </c>
      <c r="N439" s="1" t="s">
        <v>74</v>
      </c>
      <c r="O439" s="1" t="s">
        <v>74</v>
      </c>
      <c r="P439" s="1" t="s">
        <v>74</v>
      </c>
      <c r="Q439" s="1" t="s">
        <v>74</v>
      </c>
      <c r="R439" s="1" t="s">
        <v>74</v>
      </c>
      <c r="S439" s="1" t="s">
        <v>74</v>
      </c>
      <c r="T439" s="1" t="s">
        <v>74</v>
      </c>
      <c r="U439" s="1" t="s">
        <v>74</v>
      </c>
      <c r="V439" s="1" t="s">
        <v>74</v>
      </c>
      <c r="W439" s="1" t="s">
        <v>74</v>
      </c>
      <c r="X439" s="1" t="s">
        <v>74</v>
      </c>
      <c r="Y439" s="1" t="s">
        <v>74</v>
      </c>
      <c r="Z439" s="1" t="s">
        <v>74</v>
      </c>
      <c r="AA439" s="1" t="s">
        <v>74</v>
      </c>
      <c r="AB439" s="1" t="s">
        <v>74</v>
      </c>
      <c r="AC439" s="1" t="s">
        <v>74</v>
      </c>
      <c r="AD439" s="1" t="s">
        <v>74</v>
      </c>
      <c r="AE439" s="1" t="s">
        <v>74</v>
      </c>
      <c r="AF439" s="1" t="s">
        <v>74</v>
      </c>
      <c r="AG439" s="1" t="s">
        <v>74</v>
      </c>
      <c r="AH439" s="1" t="s">
        <v>74</v>
      </c>
      <c r="AI439" s="1" t="s">
        <v>74</v>
      </c>
      <c r="AJ439" s="1" t="s">
        <v>74</v>
      </c>
      <c r="AK439" s="1" t="s">
        <v>74</v>
      </c>
      <c r="AL439" s="1" t="s">
        <v>74</v>
      </c>
      <c r="AM439" s="1" t="s">
        <v>74</v>
      </c>
      <c r="AN439" s="1" t="s">
        <v>74</v>
      </c>
      <c r="AO439" s="1" t="s">
        <v>3904</v>
      </c>
      <c r="AP439" s="1" t="s">
        <v>74</v>
      </c>
      <c r="AQ439" s="1" t="s">
        <v>74</v>
      </c>
      <c r="AR439" s="1" t="s">
        <v>74</v>
      </c>
      <c r="AS439" s="1" t="s">
        <v>74</v>
      </c>
      <c r="AT439" s="1" t="s">
        <v>74</v>
      </c>
      <c r="AU439" s="1">
        <v>2017.0</v>
      </c>
      <c r="AV439" s="1">
        <v>39.0</v>
      </c>
      <c r="AW439" s="1">
        <v>1.0</v>
      </c>
      <c r="AX439" s="1" t="s">
        <v>74</v>
      </c>
      <c r="AY439" s="1" t="s">
        <v>74</v>
      </c>
      <c r="AZ439" s="1" t="s">
        <v>74</v>
      </c>
      <c r="BA439" s="1" t="s">
        <v>74</v>
      </c>
      <c r="BB439" s="1">
        <v>7.0</v>
      </c>
      <c r="BC439" s="1">
        <v>39.0</v>
      </c>
      <c r="BD439" s="1" t="s">
        <v>74</v>
      </c>
      <c r="BE439" s="1" t="s">
        <v>74</v>
      </c>
      <c r="BF439" s="1" t="s">
        <v>74</v>
      </c>
      <c r="BG439" s="1" t="s">
        <v>74</v>
      </c>
      <c r="BH439" s="1" t="s">
        <v>74</v>
      </c>
      <c r="BI439" s="1" t="s">
        <v>74</v>
      </c>
      <c r="BJ439" s="1" t="s">
        <v>74</v>
      </c>
      <c r="BK439" s="1" t="s">
        <v>74</v>
      </c>
      <c r="BL439" s="1" t="s">
        <v>74</v>
      </c>
      <c r="BM439" s="1" t="s">
        <v>74</v>
      </c>
      <c r="BN439" s="1" t="s">
        <v>74</v>
      </c>
      <c r="BO439" s="1" t="s">
        <v>74</v>
      </c>
      <c r="BP439" s="1" t="s">
        <v>74</v>
      </c>
      <c r="BQ439" s="1" t="s">
        <v>74</v>
      </c>
      <c r="BR439" s="1" t="s">
        <v>74</v>
      </c>
      <c r="BS439" s="1" t="s">
        <v>3905</v>
      </c>
      <c r="BT439" s="1" t="str">
        <f>HYPERLINK("https%3A%2F%2Fwww.webofscience.com%2Fwos%2Fwoscc%2Ffull-record%2FWOS:000409159600001","View Full Record in Web of Science")</f>
        <v>View Full Record in Web of Science</v>
      </c>
    </row>
    <row r="440" ht="12.75" customHeight="1">
      <c r="A440" s="1" t="s">
        <v>454</v>
      </c>
      <c r="B440" s="1" t="s">
        <v>3906</v>
      </c>
      <c r="C440" s="1" t="s">
        <v>74</v>
      </c>
      <c r="D440" s="1" t="s">
        <v>3907</v>
      </c>
      <c r="E440" s="1" t="s">
        <v>74</v>
      </c>
      <c r="F440" s="1" t="s">
        <v>3908</v>
      </c>
      <c r="G440" s="1" t="s">
        <v>74</v>
      </c>
      <c r="H440" s="1" t="s">
        <v>74</v>
      </c>
      <c r="I440" s="1" t="s">
        <v>3909</v>
      </c>
      <c r="J440" s="1" t="s">
        <v>3910</v>
      </c>
      <c r="K440" s="1" t="s">
        <v>74</v>
      </c>
      <c r="L440" s="1" t="s">
        <v>74</v>
      </c>
      <c r="M440" s="1" t="s">
        <v>74</v>
      </c>
      <c r="N440" s="1" t="s">
        <v>74</v>
      </c>
      <c r="O440" s="1" t="s">
        <v>74</v>
      </c>
      <c r="P440" s="1" t="s">
        <v>74</v>
      </c>
      <c r="Q440" s="1" t="s">
        <v>74</v>
      </c>
      <c r="R440" s="1" t="s">
        <v>74</v>
      </c>
      <c r="S440" s="1" t="s">
        <v>74</v>
      </c>
      <c r="T440" s="1" t="s">
        <v>74</v>
      </c>
      <c r="U440" s="1" t="s">
        <v>74</v>
      </c>
      <c r="V440" s="1" t="s">
        <v>74</v>
      </c>
      <c r="W440" s="1" t="s">
        <v>74</v>
      </c>
      <c r="X440" s="1" t="s">
        <v>74</v>
      </c>
      <c r="Y440" s="1" t="s">
        <v>74</v>
      </c>
      <c r="Z440" s="1" t="s">
        <v>74</v>
      </c>
      <c r="AA440" s="1" t="s">
        <v>74</v>
      </c>
      <c r="AB440" s="1" t="s">
        <v>74</v>
      </c>
      <c r="AC440" s="1" t="s">
        <v>74</v>
      </c>
      <c r="AD440" s="1" t="s">
        <v>74</v>
      </c>
      <c r="AE440" s="1" t="s">
        <v>74</v>
      </c>
      <c r="AF440" s="1" t="s">
        <v>74</v>
      </c>
      <c r="AG440" s="1" t="s">
        <v>74</v>
      </c>
      <c r="AH440" s="1" t="s">
        <v>74</v>
      </c>
      <c r="AI440" s="1" t="s">
        <v>74</v>
      </c>
      <c r="AJ440" s="1" t="s">
        <v>74</v>
      </c>
      <c r="AK440" s="1" t="s">
        <v>74</v>
      </c>
      <c r="AL440" s="1" t="s">
        <v>74</v>
      </c>
      <c r="AM440" s="1" t="s">
        <v>74</v>
      </c>
      <c r="AN440" s="1" t="s">
        <v>74</v>
      </c>
      <c r="AO440" s="1" t="s">
        <v>74</v>
      </c>
      <c r="AP440" s="1" t="s">
        <v>74</v>
      </c>
      <c r="AQ440" s="1" t="s">
        <v>3911</v>
      </c>
      <c r="AR440" s="1" t="s">
        <v>74</v>
      </c>
      <c r="AS440" s="1" t="s">
        <v>74</v>
      </c>
      <c r="AT440" s="1" t="s">
        <v>74</v>
      </c>
      <c r="AU440" s="1">
        <v>2017.0</v>
      </c>
      <c r="AV440" s="1" t="s">
        <v>74</v>
      </c>
      <c r="AW440" s="1" t="s">
        <v>74</v>
      </c>
      <c r="AX440" s="1" t="s">
        <v>74</v>
      </c>
      <c r="AY440" s="1" t="s">
        <v>74</v>
      </c>
      <c r="AZ440" s="1" t="s">
        <v>74</v>
      </c>
      <c r="BA440" s="1" t="s">
        <v>74</v>
      </c>
      <c r="BB440" s="1">
        <v>5.0</v>
      </c>
      <c r="BC440" s="1">
        <v>8.0</v>
      </c>
      <c r="BD440" s="1" t="s">
        <v>74</v>
      </c>
      <c r="BE440" s="1" t="s">
        <v>74</v>
      </c>
      <c r="BF440" s="1" t="s">
        <v>74</v>
      </c>
      <c r="BG440" s="1" t="s">
        <v>74</v>
      </c>
      <c r="BH440" s="1" t="s">
        <v>74</v>
      </c>
      <c r="BI440" s="1" t="s">
        <v>74</v>
      </c>
      <c r="BJ440" s="1" t="s">
        <v>74</v>
      </c>
      <c r="BK440" s="1" t="s">
        <v>74</v>
      </c>
      <c r="BL440" s="1" t="s">
        <v>74</v>
      </c>
      <c r="BM440" s="1" t="s">
        <v>74</v>
      </c>
      <c r="BN440" s="1" t="s">
        <v>74</v>
      </c>
      <c r="BO440" s="1" t="s">
        <v>74</v>
      </c>
      <c r="BP440" s="1" t="s">
        <v>74</v>
      </c>
      <c r="BQ440" s="1" t="s">
        <v>74</v>
      </c>
      <c r="BR440" s="1" t="s">
        <v>74</v>
      </c>
      <c r="BS440" s="1" t="s">
        <v>3912</v>
      </c>
      <c r="BT440" s="1" t="str">
        <f>HYPERLINK("https%3A%2F%2Fwww.webofscience.com%2Fwos%2Fwoscc%2Ffull-record%2FWOS:000430135000001","View Full Record in Web of Science")</f>
        <v>View Full Record in Web of Science</v>
      </c>
    </row>
    <row r="441" ht="12.75" customHeight="1">
      <c r="A441" s="1" t="s">
        <v>91</v>
      </c>
      <c r="B441" s="1" t="s">
        <v>3913</v>
      </c>
      <c r="C441" s="1" t="s">
        <v>74</v>
      </c>
      <c r="D441" s="1" t="s">
        <v>74</v>
      </c>
      <c r="E441" s="1" t="s">
        <v>442</v>
      </c>
      <c r="F441" s="1" t="s">
        <v>3914</v>
      </c>
      <c r="G441" s="1" t="s">
        <v>74</v>
      </c>
      <c r="H441" s="1" t="s">
        <v>74</v>
      </c>
      <c r="I441" s="1" t="s">
        <v>3915</v>
      </c>
      <c r="J441" s="1" t="s">
        <v>674</v>
      </c>
      <c r="K441" s="1" t="s">
        <v>74</v>
      </c>
      <c r="L441" s="1" t="s">
        <v>74</v>
      </c>
      <c r="M441" s="1" t="s">
        <v>74</v>
      </c>
      <c r="N441" s="1" t="s">
        <v>74</v>
      </c>
      <c r="O441" s="1" t="s">
        <v>675</v>
      </c>
      <c r="P441" s="1" t="s">
        <v>676</v>
      </c>
      <c r="Q441" s="1" t="s">
        <v>677</v>
      </c>
      <c r="R441" s="1" t="s">
        <v>442</v>
      </c>
      <c r="S441" s="1" t="s">
        <v>678</v>
      </c>
      <c r="T441" s="1" t="s">
        <v>74</v>
      </c>
      <c r="U441" s="1" t="s">
        <v>74</v>
      </c>
      <c r="V441" s="1" t="s">
        <v>3916</v>
      </c>
      <c r="W441" s="1" t="s">
        <v>74</v>
      </c>
      <c r="X441" s="1" t="s">
        <v>74</v>
      </c>
      <c r="Y441" s="1" t="s">
        <v>74</v>
      </c>
      <c r="Z441" s="1" t="s">
        <v>74</v>
      </c>
      <c r="AA441" s="1" t="s">
        <v>3917</v>
      </c>
      <c r="AB441" s="1" t="s">
        <v>74</v>
      </c>
      <c r="AC441" s="1" t="s">
        <v>74</v>
      </c>
      <c r="AD441" s="1" t="s">
        <v>74</v>
      </c>
      <c r="AE441" s="1" t="s">
        <v>74</v>
      </c>
      <c r="AF441" s="1" t="s">
        <v>74</v>
      </c>
      <c r="AG441" s="1" t="s">
        <v>74</v>
      </c>
      <c r="AH441" s="1" t="s">
        <v>74</v>
      </c>
      <c r="AI441" s="1" t="s">
        <v>74</v>
      </c>
      <c r="AJ441" s="1" t="s">
        <v>74</v>
      </c>
      <c r="AK441" s="1" t="s">
        <v>74</v>
      </c>
      <c r="AL441" s="1" t="s">
        <v>74</v>
      </c>
      <c r="AM441" s="1" t="s">
        <v>74</v>
      </c>
      <c r="AN441" s="1" t="s">
        <v>74</v>
      </c>
      <c r="AO441" s="1" t="s">
        <v>74</v>
      </c>
      <c r="AP441" s="1" t="s">
        <v>74</v>
      </c>
      <c r="AQ441" s="1" t="s">
        <v>682</v>
      </c>
      <c r="AR441" s="1" t="s">
        <v>74</v>
      </c>
      <c r="AS441" s="1" t="s">
        <v>74</v>
      </c>
      <c r="AT441" s="1" t="s">
        <v>74</v>
      </c>
      <c r="AU441" s="1">
        <v>2016.0</v>
      </c>
      <c r="AV441" s="1" t="s">
        <v>74</v>
      </c>
      <c r="AW441" s="1" t="s">
        <v>74</v>
      </c>
      <c r="AX441" s="1" t="s">
        <v>74</v>
      </c>
      <c r="AY441" s="1" t="s">
        <v>74</v>
      </c>
      <c r="AZ441" s="1" t="s">
        <v>74</v>
      </c>
      <c r="BA441" s="1" t="s">
        <v>74</v>
      </c>
      <c r="BB441" s="1" t="s">
        <v>74</v>
      </c>
      <c r="BC441" s="1" t="s">
        <v>74</v>
      </c>
      <c r="BD441" s="1" t="s">
        <v>74</v>
      </c>
      <c r="BE441" s="1" t="s">
        <v>74</v>
      </c>
      <c r="BF441" s="1" t="s">
        <v>74</v>
      </c>
      <c r="BG441" s="1" t="s">
        <v>74</v>
      </c>
      <c r="BH441" s="1" t="s">
        <v>74</v>
      </c>
      <c r="BI441" s="1" t="s">
        <v>74</v>
      </c>
      <c r="BJ441" s="1" t="s">
        <v>74</v>
      </c>
      <c r="BK441" s="1" t="s">
        <v>74</v>
      </c>
      <c r="BL441" s="1" t="s">
        <v>74</v>
      </c>
      <c r="BM441" s="1" t="s">
        <v>74</v>
      </c>
      <c r="BN441" s="1" t="s">
        <v>74</v>
      </c>
      <c r="BO441" s="1" t="s">
        <v>74</v>
      </c>
      <c r="BP441" s="1" t="s">
        <v>74</v>
      </c>
      <c r="BQ441" s="1" t="s">
        <v>74</v>
      </c>
      <c r="BR441" s="1" t="s">
        <v>74</v>
      </c>
      <c r="BS441" s="1" t="s">
        <v>3918</v>
      </c>
      <c r="BT441" s="1" t="str">
        <f>HYPERLINK("https%3A%2F%2Fwww.webofscience.com%2Fwos%2Fwoscc%2Ffull-record%2FWOS:000390556300087","View Full Record in Web of Science")</f>
        <v>View Full Record in Web of Science</v>
      </c>
    </row>
    <row r="442" ht="12.75" customHeight="1">
      <c r="A442" s="1" t="s">
        <v>454</v>
      </c>
      <c r="B442" s="1" t="s">
        <v>1565</v>
      </c>
      <c r="C442" s="1" t="s">
        <v>1566</v>
      </c>
      <c r="D442" s="1" t="s">
        <v>74</v>
      </c>
      <c r="E442" s="1" t="s">
        <v>74</v>
      </c>
      <c r="F442" s="1" t="s">
        <v>1567</v>
      </c>
      <c r="G442" s="1" t="s">
        <v>1566</v>
      </c>
      <c r="H442" s="1" t="s">
        <v>74</v>
      </c>
      <c r="I442" s="1" t="s">
        <v>3919</v>
      </c>
      <c r="J442" s="1" t="s">
        <v>1569</v>
      </c>
      <c r="K442" s="1" t="s">
        <v>1570</v>
      </c>
      <c r="L442" s="1" t="s">
        <v>74</v>
      </c>
      <c r="M442" s="1" t="s">
        <v>74</v>
      </c>
      <c r="N442" s="1" t="s">
        <v>74</v>
      </c>
      <c r="O442" s="1" t="s">
        <v>74</v>
      </c>
      <c r="P442" s="1" t="s">
        <v>74</v>
      </c>
      <c r="Q442" s="1" t="s">
        <v>74</v>
      </c>
      <c r="R442" s="1" t="s">
        <v>74</v>
      </c>
      <c r="S442" s="1" t="s">
        <v>74</v>
      </c>
      <c r="T442" s="1" t="s">
        <v>74</v>
      </c>
      <c r="U442" s="1" t="s">
        <v>74</v>
      </c>
      <c r="V442" s="1" t="s">
        <v>74</v>
      </c>
      <c r="W442" s="1" t="s">
        <v>74</v>
      </c>
      <c r="X442" s="1" t="s">
        <v>74</v>
      </c>
      <c r="Y442" s="1" t="s">
        <v>74</v>
      </c>
      <c r="Z442" s="1" t="s">
        <v>74</v>
      </c>
      <c r="AA442" s="1" t="s">
        <v>1571</v>
      </c>
      <c r="AB442" s="1" t="s">
        <v>74</v>
      </c>
      <c r="AC442" s="1" t="s">
        <v>74</v>
      </c>
      <c r="AD442" s="1" t="s">
        <v>74</v>
      </c>
      <c r="AE442" s="1" t="s">
        <v>74</v>
      </c>
      <c r="AF442" s="1" t="s">
        <v>74</v>
      </c>
      <c r="AG442" s="1" t="s">
        <v>74</v>
      </c>
      <c r="AH442" s="1" t="s">
        <v>74</v>
      </c>
      <c r="AI442" s="1" t="s">
        <v>74</v>
      </c>
      <c r="AJ442" s="1" t="s">
        <v>74</v>
      </c>
      <c r="AK442" s="1" t="s">
        <v>74</v>
      </c>
      <c r="AL442" s="1" t="s">
        <v>74</v>
      </c>
      <c r="AM442" s="1" t="s">
        <v>74</v>
      </c>
      <c r="AN442" s="1" t="s">
        <v>74</v>
      </c>
      <c r="AO442" s="1" t="s">
        <v>74</v>
      </c>
      <c r="AP442" s="1" t="s">
        <v>74</v>
      </c>
      <c r="AQ442" s="1" t="s">
        <v>1572</v>
      </c>
      <c r="AR442" s="1" t="s">
        <v>74</v>
      </c>
      <c r="AS442" s="1" t="s">
        <v>74</v>
      </c>
      <c r="AT442" s="1" t="s">
        <v>74</v>
      </c>
      <c r="AU442" s="1">
        <v>2016.0</v>
      </c>
      <c r="AV442" s="1" t="s">
        <v>74</v>
      </c>
      <c r="AW442" s="1" t="s">
        <v>74</v>
      </c>
      <c r="AX442" s="1" t="s">
        <v>74</v>
      </c>
      <c r="AY442" s="1" t="s">
        <v>74</v>
      </c>
      <c r="AZ442" s="1" t="s">
        <v>74</v>
      </c>
      <c r="BA442" s="1" t="s">
        <v>74</v>
      </c>
      <c r="BB442" s="1">
        <v>117.0</v>
      </c>
      <c r="BC442" s="1">
        <v>135.0</v>
      </c>
      <c r="BD442" s="1" t="s">
        <v>74</v>
      </c>
      <c r="BE442" s="1" t="s">
        <v>74</v>
      </c>
      <c r="BF442" s="1" t="s">
        <v>74</v>
      </c>
      <c r="BG442" s="1" t="s">
        <v>74</v>
      </c>
      <c r="BH442" s="1" t="s">
        <v>74</v>
      </c>
      <c r="BI442" s="1" t="s">
        <v>74</v>
      </c>
      <c r="BJ442" s="1" t="s">
        <v>74</v>
      </c>
      <c r="BK442" s="1" t="s">
        <v>74</v>
      </c>
      <c r="BL442" s="1" t="s">
        <v>74</v>
      </c>
      <c r="BM442" s="1" t="s">
        <v>74</v>
      </c>
      <c r="BN442" s="1" t="s">
        <v>74</v>
      </c>
      <c r="BO442" s="1" t="s">
        <v>74</v>
      </c>
      <c r="BP442" s="1" t="s">
        <v>74</v>
      </c>
      <c r="BQ442" s="1" t="s">
        <v>74</v>
      </c>
      <c r="BR442" s="1" t="s">
        <v>74</v>
      </c>
      <c r="BS442" s="1" t="s">
        <v>3920</v>
      </c>
      <c r="BT442" s="1" t="str">
        <f>HYPERLINK("https%3A%2F%2Fwww.webofscience.com%2Fwos%2Fwoscc%2Ffull-record%2FWOS:000458913900007","View Full Record in Web of Science")</f>
        <v>View Full Record in Web of Science</v>
      </c>
    </row>
    <row r="443" ht="12.75" customHeight="1">
      <c r="A443" s="1" t="s">
        <v>72</v>
      </c>
      <c r="B443" s="1" t="s">
        <v>3921</v>
      </c>
      <c r="C443" s="1" t="s">
        <v>74</v>
      </c>
      <c r="D443" s="1" t="s">
        <v>74</v>
      </c>
      <c r="E443" s="1" t="s">
        <v>74</v>
      </c>
      <c r="F443" s="1" t="s">
        <v>3922</v>
      </c>
      <c r="G443" s="1" t="s">
        <v>74</v>
      </c>
      <c r="H443" s="1" t="s">
        <v>74</v>
      </c>
      <c r="I443" s="1" t="s">
        <v>3923</v>
      </c>
      <c r="J443" s="1" t="s">
        <v>776</v>
      </c>
      <c r="K443" s="1" t="s">
        <v>74</v>
      </c>
      <c r="L443" s="1" t="s">
        <v>74</v>
      </c>
      <c r="M443" s="1" t="s">
        <v>74</v>
      </c>
      <c r="N443" s="1" t="s">
        <v>74</v>
      </c>
      <c r="O443" s="1" t="s">
        <v>74</v>
      </c>
      <c r="P443" s="1" t="s">
        <v>74</v>
      </c>
      <c r="Q443" s="1" t="s">
        <v>74</v>
      </c>
      <c r="R443" s="1" t="s">
        <v>74</v>
      </c>
      <c r="S443" s="1" t="s">
        <v>74</v>
      </c>
      <c r="T443" s="1" t="s">
        <v>74</v>
      </c>
      <c r="U443" s="1" t="s">
        <v>74</v>
      </c>
      <c r="V443" s="1" t="s">
        <v>3924</v>
      </c>
      <c r="W443" s="1" t="s">
        <v>74</v>
      </c>
      <c r="X443" s="1" t="s">
        <v>74</v>
      </c>
      <c r="Y443" s="1" t="s">
        <v>74</v>
      </c>
      <c r="Z443" s="1" t="s">
        <v>74</v>
      </c>
      <c r="AA443" s="1" t="s">
        <v>74</v>
      </c>
      <c r="AB443" s="1" t="s">
        <v>74</v>
      </c>
      <c r="AC443" s="1" t="s">
        <v>74</v>
      </c>
      <c r="AD443" s="1" t="s">
        <v>74</v>
      </c>
      <c r="AE443" s="1" t="s">
        <v>74</v>
      </c>
      <c r="AF443" s="1" t="s">
        <v>74</v>
      </c>
      <c r="AG443" s="1" t="s">
        <v>74</v>
      </c>
      <c r="AH443" s="1" t="s">
        <v>74</v>
      </c>
      <c r="AI443" s="1" t="s">
        <v>74</v>
      </c>
      <c r="AJ443" s="1" t="s">
        <v>74</v>
      </c>
      <c r="AK443" s="1" t="s">
        <v>74</v>
      </c>
      <c r="AL443" s="1" t="s">
        <v>74</v>
      </c>
      <c r="AM443" s="1" t="s">
        <v>74</v>
      </c>
      <c r="AN443" s="1" t="s">
        <v>74</v>
      </c>
      <c r="AO443" s="1" t="s">
        <v>779</v>
      </c>
      <c r="AP443" s="1" t="s">
        <v>74</v>
      </c>
      <c r="AQ443" s="1" t="s">
        <v>74</v>
      </c>
      <c r="AR443" s="1" t="s">
        <v>74</v>
      </c>
      <c r="AS443" s="1" t="s">
        <v>74</v>
      </c>
      <c r="AT443" s="1" t="s">
        <v>74</v>
      </c>
      <c r="AU443" s="1">
        <v>2016.0</v>
      </c>
      <c r="AV443" s="1">
        <v>44.0</v>
      </c>
      <c r="AW443" s="1">
        <v>2.0</v>
      </c>
      <c r="AX443" s="1" t="s">
        <v>74</v>
      </c>
      <c r="AY443" s="1" t="s">
        <v>74</v>
      </c>
      <c r="AZ443" s="1" t="s">
        <v>74</v>
      </c>
      <c r="BA443" s="1" t="s">
        <v>74</v>
      </c>
      <c r="BB443" s="1">
        <v>87.0</v>
      </c>
      <c r="BC443" s="1">
        <v>105.0</v>
      </c>
      <c r="BD443" s="1" t="s">
        <v>74</v>
      </c>
      <c r="BE443" s="1" t="s">
        <v>74</v>
      </c>
      <c r="BF443" s="1" t="s">
        <v>74</v>
      </c>
      <c r="BG443" s="1" t="s">
        <v>74</v>
      </c>
      <c r="BH443" s="1" t="s">
        <v>74</v>
      </c>
      <c r="BI443" s="1" t="s">
        <v>74</v>
      </c>
      <c r="BJ443" s="1" t="s">
        <v>74</v>
      </c>
      <c r="BK443" s="1" t="s">
        <v>74</v>
      </c>
      <c r="BL443" s="1" t="s">
        <v>74</v>
      </c>
      <c r="BM443" s="1" t="s">
        <v>74</v>
      </c>
      <c r="BN443" s="1" t="s">
        <v>74</v>
      </c>
      <c r="BO443" s="1" t="s">
        <v>74</v>
      </c>
      <c r="BP443" s="1" t="s">
        <v>74</v>
      </c>
      <c r="BQ443" s="1" t="s">
        <v>74</v>
      </c>
      <c r="BR443" s="1" t="s">
        <v>74</v>
      </c>
      <c r="BS443" s="1" t="s">
        <v>3925</v>
      </c>
      <c r="BT443" s="1" t="str">
        <f>HYPERLINK("https%3A%2F%2Fwww.webofscience.com%2Fwos%2Fwoscc%2Ffull-record%2FWOS:000390400400005","View Full Record in Web of Science")</f>
        <v>View Full Record in Web of Science</v>
      </c>
    </row>
    <row r="444" ht="12.75" customHeight="1">
      <c r="A444" s="1" t="s">
        <v>72</v>
      </c>
      <c r="B444" s="1" t="s">
        <v>3926</v>
      </c>
      <c r="C444" s="1" t="s">
        <v>74</v>
      </c>
      <c r="D444" s="1" t="s">
        <v>74</v>
      </c>
      <c r="E444" s="1" t="s">
        <v>74</v>
      </c>
      <c r="F444" s="1" t="s">
        <v>3927</v>
      </c>
      <c r="G444" s="1" t="s">
        <v>74</v>
      </c>
      <c r="H444" s="1" t="s">
        <v>74</v>
      </c>
      <c r="I444" s="1" t="s">
        <v>3928</v>
      </c>
      <c r="J444" s="1" t="s">
        <v>3929</v>
      </c>
      <c r="K444" s="1" t="s">
        <v>74</v>
      </c>
      <c r="L444" s="1" t="s">
        <v>74</v>
      </c>
      <c r="M444" s="1" t="s">
        <v>74</v>
      </c>
      <c r="N444" s="1" t="s">
        <v>74</v>
      </c>
      <c r="O444" s="1" t="s">
        <v>74</v>
      </c>
      <c r="P444" s="1" t="s">
        <v>74</v>
      </c>
      <c r="Q444" s="1" t="s">
        <v>74</v>
      </c>
      <c r="R444" s="1" t="s">
        <v>74</v>
      </c>
      <c r="S444" s="1" t="s">
        <v>74</v>
      </c>
      <c r="T444" s="1" t="s">
        <v>74</v>
      </c>
      <c r="U444" s="1" t="s">
        <v>74</v>
      </c>
      <c r="V444" s="1" t="s">
        <v>74</v>
      </c>
      <c r="W444" s="1" t="s">
        <v>74</v>
      </c>
      <c r="X444" s="1" t="s">
        <v>74</v>
      </c>
      <c r="Y444" s="1" t="s">
        <v>74</v>
      </c>
      <c r="Z444" s="1" t="s">
        <v>74</v>
      </c>
      <c r="AA444" s="1" t="s">
        <v>74</v>
      </c>
      <c r="AB444" s="1" t="s">
        <v>74</v>
      </c>
      <c r="AC444" s="1" t="s">
        <v>74</v>
      </c>
      <c r="AD444" s="1" t="s">
        <v>74</v>
      </c>
      <c r="AE444" s="1" t="s">
        <v>74</v>
      </c>
      <c r="AF444" s="1" t="s">
        <v>74</v>
      </c>
      <c r="AG444" s="1" t="s">
        <v>74</v>
      </c>
      <c r="AH444" s="1" t="s">
        <v>74</v>
      </c>
      <c r="AI444" s="1" t="s">
        <v>74</v>
      </c>
      <c r="AJ444" s="1" t="s">
        <v>74</v>
      </c>
      <c r="AK444" s="1" t="s">
        <v>74</v>
      </c>
      <c r="AL444" s="1" t="s">
        <v>74</v>
      </c>
      <c r="AM444" s="1" t="s">
        <v>74</v>
      </c>
      <c r="AN444" s="1" t="s">
        <v>74</v>
      </c>
      <c r="AO444" s="1" t="s">
        <v>3930</v>
      </c>
      <c r="AP444" s="1" t="s">
        <v>3931</v>
      </c>
      <c r="AQ444" s="1" t="s">
        <v>74</v>
      </c>
      <c r="AR444" s="1" t="s">
        <v>74</v>
      </c>
      <c r="AS444" s="1" t="s">
        <v>74</v>
      </c>
      <c r="AT444" s="1" t="s">
        <v>88</v>
      </c>
      <c r="AU444" s="1">
        <v>2015.0</v>
      </c>
      <c r="AV444" s="1">
        <v>45.0</v>
      </c>
      <c r="AW444" s="1">
        <v>3.0</v>
      </c>
      <c r="AX444" s="1" t="s">
        <v>74</v>
      </c>
      <c r="AY444" s="1" t="s">
        <v>74</v>
      </c>
      <c r="AZ444" s="1" t="s">
        <v>74</v>
      </c>
      <c r="BA444" s="1" t="s">
        <v>74</v>
      </c>
      <c r="BB444" s="1">
        <v>313.0</v>
      </c>
      <c r="BC444" s="1">
        <v>314.0</v>
      </c>
      <c r="BD444" s="1" t="s">
        <v>74</v>
      </c>
      <c r="BE444" s="1" t="s">
        <v>3932</v>
      </c>
      <c r="BF444" s="2" t="str">
        <f>HYPERLINK("http://dx.doi.org/10.1017/S0025100315000201","http://dx.doi.org/10.1017/S0025100315000201")</f>
        <v>http://dx.doi.org/10.1017/S0025100315000201</v>
      </c>
      <c r="BG444" s="1" t="s">
        <v>74</v>
      </c>
      <c r="BH444" s="1" t="s">
        <v>74</v>
      </c>
      <c r="BI444" s="1" t="s">
        <v>74</v>
      </c>
      <c r="BJ444" s="1" t="s">
        <v>74</v>
      </c>
      <c r="BK444" s="1" t="s">
        <v>74</v>
      </c>
      <c r="BL444" s="1" t="s">
        <v>74</v>
      </c>
      <c r="BM444" s="1" t="s">
        <v>74</v>
      </c>
      <c r="BN444" s="1" t="s">
        <v>74</v>
      </c>
      <c r="BO444" s="1" t="s">
        <v>74</v>
      </c>
      <c r="BP444" s="1" t="s">
        <v>74</v>
      </c>
      <c r="BQ444" s="1" t="s">
        <v>74</v>
      </c>
      <c r="BR444" s="1" t="s">
        <v>74</v>
      </c>
      <c r="BS444" s="1" t="s">
        <v>3933</v>
      </c>
      <c r="BT444" s="1" t="str">
        <f>HYPERLINK("https%3A%2F%2Fwww.webofscience.com%2Fwos%2Fwoscc%2Ffull-record%2FWOS:000367191200005","View Full Record in Web of Science")</f>
        <v>View Full Record in Web of Science</v>
      </c>
    </row>
    <row r="445" ht="12.75" customHeight="1">
      <c r="A445" s="1" t="s">
        <v>72</v>
      </c>
      <c r="B445" s="1" t="s">
        <v>3934</v>
      </c>
      <c r="C445" s="1" t="s">
        <v>74</v>
      </c>
      <c r="D445" s="1" t="s">
        <v>74</v>
      </c>
      <c r="E445" s="1" t="s">
        <v>74</v>
      </c>
      <c r="F445" s="1" t="s">
        <v>3935</v>
      </c>
      <c r="G445" s="1" t="s">
        <v>74</v>
      </c>
      <c r="H445" s="1" t="s">
        <v>74</v>
      </c>
      <c r="I445" s="1" t="s">
        <v>3936</v>
      </c>
      <c r="J445" s="1" t="s">
        <v>3937</v>
      </c>
      <c r="K445" s="1" t="s">
        <v>74</v>
      </c>
      <c r="L445" s="1" t="s">
        <v>74</v>
      </c>
      <c r="M445" s="1" t="s">
        <v>74</v>
      </c>
      <c r="N445" s="1" t="s">
        <v>74</v>
      </c>
      <c r="O445" s="1" t="s">
        <v>74</v>
      </c>
      <c r="P445" s="1" t="s">
        <v>74</v>
      </c>
      <c r="Q445" s="1" t="s">
        <v>74</v>
      </c>
      <c r="R445" s="1" t="s">
        <v>74</v>
      </c>
      <c r="S445" s="1" t="s">
        <v>74</v>
      </c>
      <c r="T445" s="1" t="s">
        <v>74</v>
      </c>
      <c r="U445" s="1" t="s">
        <v>74</v>
      </c>
      <c r="V445" s="1" t="s">
        <v>74</v>
      </c>
      <c r="W445" s="1" t="s">
        <v>74</v>
      </c>
      <c r="X445" s="1" t="s">
        <v>74</v>
      </c>
      <c r="Y445" s="1" t="s">
        <v>74</v>
      </c>
      <c r="Z445" s="1" t="s">
        <v>74</v>
      </c>
      <c r="AA445" s="1" t="s">
        <v>3938</v>
      </c>
      <c r="AB445" s="1" t="s">
        <v>74</v>
      </c>
      <c r="AC445" s="1" t="s">
        <v>74</v>
      </c>
      <c r="AD445" s="1" t="s">
        <v>74</v>
      </c>
      <c r="AE445" s="1" t="s">
        <v>74</v>
      </c>
      <c r="AF445" s="1" t="s">
        <v>74</v>
      </c>
      <c r="AG445" s="1" t="s">
        <v>74</v>
      </c>
      <c r="AH445" s="1" t="s">
        <v>74</v>
      </c>
      <c r="AI445" s="1" t="s">
        <v>74</v>
      </c>
      <c r="AJ445" s="1" t="s">
        <v>74</v>
      </c>
      <c r="AK445" s="1" t="s">
        <v>74</v>
      </c>
      <c r="AL445" s="1" t="s">
        <v>74</v>
      </c>
      <c r="AM445" s="1" t="s">
        <v>74</v>
      </c>
      <c r="AN445" s="1" t="s">
        <v>74</v>
      </c>
      <c r="AO445" s="1" t="s">
        <v>3939</v>
      </c>
      <c r="AP445" s="1" t="s">
        <v>74</v>
      </c>
      <c r="AQ445" s="1" t="s">
        <v>74</v>
      </c>
      <c r="AR445" s="1" t="s">
        <v>74</v>
      </c>
      <c r="AS445" s="1" t="s">
        <v>74</v>
      </c>
      <c r="AT445" s="1" t="s">
        <v>3940</v>
      </c>
      <c r="AU445" s="1">
        <v>2015.0</v>
      </c>
      <c r="AV445" s="1">
        <v>250.0</v>
      </c>
      <c r="AW445" s="1" t="s">
        <v>74</v>
      </c>
      <c r="AX445" s="1" t="s">
        <v>74</v>
      </c>
      <c r="AY445" s="1" t="s">
        <v>74</v>
      </c>
      <c r="AZ445" s="1" t="s">
        <v>74</v>
      </c>
      <c r="BA445" s="1">
        <v>443.0</v>
      </c>
      <c r="BB445" s="1" t="s">
        <v>74</v>
      </c>
      <c r="BC445" s="1" t="s">
        <v>74</v>
      </c>
      <c r="BD445" s="1" t="s">
        <v>74</v>
      </c>
      <c r="BE445" s="1" t="s">
        <v>74</v>
      </c>
      <c r="BF445" s="1" t="s">
        <v>74</v>
      </c>
      <c r="BG445" s="1" t="s">
        <v>74</v>
      </c>
      <c r="BH445" s="1" t="s">
        <v>74</v>
      </c>
      <c r="BI445" s="1" t="s">
        <v>74</v>
      </c>
      <c r="BJ445" s="1" t="s">
        <v>74</v>
      </c>
      <c r="BK445" s="1" t="s">
        <v>74</v>
      </c>
      <c r="BL445" s="1" t="s">
        <v>74</v>
      </c>
      <c r="BM445" s="1" t="s">
        <v>74</v>
      </c>
      <c r="BN445" s="1" t="s">
        <v>74</v>
      </c>
      <c r="BO445" s="1" t="s">
        <v>74</v>
      </c>
      <c r="BP445" s="1" t="s">
        <v>74</v>
      </c>
      <c r="BQ445" s="1" t="s">
        <v>74</v>
      </c>
      <c r="BR445" s="1" t="s">
        <v>74</v>
      </c>
      <c r="BS445" s="1" t="s">
        <v>3941</v>
      </c>
      <c r="BT445" s="1" t="str">
        <f>HYPERLINK("https%3A%2F%2Fwww.webofscience.com%2Fwos%2Fwoscc%2Ffull-record%2FWOS:000432475505070","View Full Record in Web of Science")</f>
        <v>View Full Record in Web of Science</v>
      </c>
    </row>
    <row r="446" ht="12.75" customHeight="1">
      <c r="A446" s="1" t="s">
        <v>72</v>
      </c>
      <c r="B446" s="1" t="s">
        <v>3942</v>
      </c>
      <c r="C446" s="1" t="s">
        <v>74</v>
      </c>
      <c r="D446" s="1" t="s">
        <v>74</v>
      </c>
      <c r="E446" s="1" t="s">
        <v>74</v>
      </c>
      <c r="F446" s="1" t="s">
        <v>3943</v>
      </c>
      <c r="G446" s="1" t="s">
        <v>74</v>
      </c>
      <c r="H446" s="1" t="s">
        <v>74</v>
      </c>
      <c r="I446" s="1" t="s">
        <v>3944</v>
      </c>
      <c r="J446" s="1" t="s">
        <v>3163</v>
      </c>
      <c r="K446" s="1" t="s">
        <v>74</v>
      </c>
      <c r="L446" s="1" t="s">
        <v>74</v>
      </c>
      <c r="M446" s="1" t="s">
        <v>74</v>
      </c>
      <c r="N446" s="1" t="s">
        <v>74</v>
      </c>
      <c r="O446" s="1" t="s">
        <v>74</v>
      </c>
      <c r="P446" s="1" t="s">
        <v>74</v>
      </c>
      <c r="Q446" s="1" t="s">
        <v>74</v>
      </c>
      <c r="R446" s="1" t="s">
        <v>74</v>
      </c>
      <c r="S446" s="1" t="s">
        <v>74</v>
      </c>
      <c r="T446" s="1" t="s">
        <v>74</v>
      </c>
      <c r="U446" s="1" t="s">
        <v>74</v>
      </c>
      <c r="V446" s="1" t="s">
        <v>3945</v>
      </c>
      <c r="W446" s="1" t="s">
        <v>74</v>
      </c>
      <c r="X446" s="1" t="s">
        <v>74</v>
      </c>
      <c r="Y446" s="1" t="s">
        <v>74</v>
      </c>
      <c r="Z446" s="1" t="s">
        <v>74</v>
      </c>
      <c r="AA446" s="1" t="s">
        <v>74</v>
      </c>
      <c r="AB446" s="1" t="s">
        <v>74</v>
      </c>
      <c r="AC446" s="1" t="s">
        <v>74</v>
      </c>
      <c r="AD446" s="1" t="s">
        <v>74</v>
      </c>
      <c r="AE446" s="1" t="s">
        <v>74</v>
      </c>
      <c r="AF446" s="1" t="s">
        <v>74</v>
      </c>
      <c r="AG446" s="1" t="s">
        <v>74</v>
      </c>
      <c r="AH446" s="1" t="s">
        <v>74</v>
      </c>
      <c r="AI446" s="1" t="s">
        <v>74</v>
      </c>
      <c r="AJ446" s="1" t="s">
        <v>74</v>
      </c>
      <c r="AK446" s="1" t="s">
        <v>74</v>
      </c>
      <c r="AL446" s="1" t="s">
        <v>74</v>
      </c>
      <c r="AM446" s="1" t="s">
        <v>74</v>
      </c>
      <c r="AN446" s="1" t="s">
        <v>74</v>
      </c>
      <c r="AO446" s="1" t="s">
        <v>3165</v>
      </c>
      <c r="AP446" s="1" t="s">
        <v>74</v>
      </c>
      <c r="AQ446" s="1" t="s">
        <v>74</v>
      </c>
      <c r="AR446" s="1" t="s">
        <v>74</v>
      </c>
      <c r="AS446" s="1" t="s">
        <v>74</v>
      </c>
      <c r="AT446" s="1" t="s">
        <v>74</v>
      </c>
      <c r="AU446" s="1">
        <v>2015.0</v>
      </c>
      <c r="AV446" s="1" t="s">
        <v>74</v>
      </c>
      <c r="AW446" s="1">
        <v>512.0</v>
      </c>
      <c r="AX446" s="1" t="s">
        <v>74</v>
      </c>
      <c r="AY446" s="1" t="s">
        <v>74</v>
      </c>
      <c r="AZ446" s="1" t="s">
        <v>74</v>
      </c>
      <c r="BA446" s="1" t="s">
        <v>74</v>
      </c>
      <c r="BB446" s="1">
        <v>33.0</v>
      </c>
      <c r="BC446" s="1">
        <v>47.0</v>
      </c>
      <c r="BD446" s="1" t="s">
        <v>74</v>
      </c>
      <c r="BE446" s="1" t="s">
        <v>74</v>
      </c>
      <c r="BF446" s="1" t="s">
        <v>74</v>
      </c>
      <c r="BG446" s="1" t="s">
        <v>74</v>
      </c>
      <c r="BH446" s="1" t="s">
        <v>74</v>
      </c>
      <c r="BI446" s="1" t="s">
        <v>74</v>
      </c>
      <c r="BJ446" s="1" t="s">
        <v>74</v>
      </c>
      <c r="BK446" s="1" t="s">
        <v>74</v>
      </c>
      <c r="BL446" s="1" t="s">
        <v>74</v>
      </c>
      <c r="BM446" s="1" t="s">
        <v>74</v>
      </c>
      <c r="BN446" s="1" t="s">
        <v>74</v>
      </c>
      <c r="BO446" s="1" t="s">
        <v>74</v>
      </c>
      <c r="BP446" s="1" t="s">
        <v>74</v>
      </c>
      <c r="BQ446" s="1" t="s">
        <v>74</v>
      </c>
      <c r="BR446" s="1" t="s">
        <v>74</v>
      </c>
      <c r="BS446" s="1" t="s">
        <v>3946</v>
      </c>
      <c r="BT446" s="1" t="str">
        <f>HYPERLINK("https%3A%2F%2Fwww.webofscience.com%2Fwos%2Fwoscc%2Ffull-record%2FWOS:000371528900003","View Full Record in Web of Science")</f>
        <v>View Full Record in Web of Science</v>
      </c>
    </row>
    <row r="447" ht="12.75" customHeight="1">
      <c r="A447" s="1" t="s">
        <v>72</v>
      </c>
      <c r="B447" s="1" t="s">
        <v>3947</v>
      </c>
      <c r="C447" s="1" t="s">
        <v>74</v>
      </c>
      <c r="D447" s="1" t="s">
        <v>74</v>
      </c>
      <c r="E447" s="1" t="s">
        <v>74</v>
      </c>
      <c r="F447" s="1" t="s">
        <v>3948</v>
      </c>
      <c r="G447" s="1" t="s">
        <v>74</v>
      </c>
      <c r="H447" s="1" t="s">
        <v>74</v>
      </c>
      <c r="I447" s="1" t="s">
        <v>3949</v>
      </c>
      <c r="J447" s="1" t="s">
        <v>3950</v>
      </c>
      <c r="K447" s="1" t="s">
        <v>74</v>
      </c>
      <c r="L447" s="1" t="s">
        <v>74</v>
      </c>
      <c r="M447" s="1" t="s">
        <v>74</v>
      </c>
      <c r="N447" s="1" t="s">
        <v>74</v>
      </c>
      <c r="O447" s="1" t="s">
        <v>74</v>
      </c>
      <c r="P447" s="1" t="s">
        <v>74</v>
      </c>
      <c r="Q447" s="1" t="s">
        <v>74</v>
      </c>
      <c r="R447" s="1" t="s">
        <v>74</v>
      </c>
      <c r="S447" s="1" t="s">
        <v>74</v>
      </c>
      <c r="T447" s="1" t="s">
        <v>74</v>
      </c>
      <c r="U447" s="1" t="s">
        <v>74</v>
      </c>
      <c r="V447" s="1" t="s">
        <v>74</v>
      </c>
      <c r="W447" s="1" t="s">
        <v>74</v>
      </c>
      <c r="X447" s="1" t="s">
        <v>74</v>
      </c>
      <c r="Y447" s="1" t="s">
        <v>74</v>
      </c>
      <c r="Z447" s="1" t="s">
        <v>74</v>
      </c>
      <c r="AA447" s="1" t="s">
        <v>74</v>
      </c>
      <c r="AB447" s="1" t="s">
        <v>74</v>
      </c>
      <c r="AC447" s="1" t="s">
        <v>74</v>
      </c>
      <c r="AD447" s="1" t="s">
        <v>74</v>
      </c>
      <c r="AE447" s="1" t="s">
        <v>74</v>
      </c>
      <c r="AF447" s="1" t="s">
        <v>74</v>
      </c>
      <c r="AG447" s="1" t="s">
        <v>74</v>
      </c>
      <c r="AH447" s="1" t="s">
        <v>74</v>
      </c>
      <c r="AI447" s="1" t="s">
        <v>74</v>
      </c>
      <c r="AJ447" s="1" t="s">
        <v>74</v>
      </c>
      <c r="AK447" s="1" t="s">
        <v>74</v>
      </c>
      <c r="AL447" s="1" t="s">
        <v>74</v>
      </c>
      <c r="AM447" s="1" t="s">
        <v>74</v>
      </c>
      <c r="AN447" s="1" t="s">
        <v>74</v>
      </c>
      <c r="AO447" s="1" t="s">
        <v>3951</v>
      </c>
      <c r="AP447" s="1" t="s">
        <v>3952</v>
      </c>
      <c r="AQ447" s="1" t="s">
        <v>74</v>
      </c>
      <c r="AR447" s="1" t="s">
        <v>74</v>
      </c>
      <c r="AS447" s="1" t="s">
        <v>74</v>
      </c>
      <c r="AT447" s="1" t="s">
        <v>88</v>
      </c>
      <c r="AU447" s="1">
        <v>2014.0</v>
      </c>
      <c r="AV447" s="1">
        <v>10.0</v>
      </c>
      <c r="AW447" s="1">
        <v>4.0</v>
      </c>
      <c r="AX447" s="1" t="s">
        <v>74</v>
      </c>
      <c r="AY447" s="1" t="s">
        <v>74</v>
      </c>
      <c r="AZ447" s="1" t="s">
        <v>74</v>
      </c>
      <c r="BA447" s="1" t="s">
        <v>3953</v>
      </c>
      <c r="BB447" s="1">
        <v>800.0</v>
      </c>
      <c r="BC447" s="1">
        <v>800.0</v>
      </c>
      <c r="BD447" s="1" t="s">
        <v>74</v>
      </c>
      <c r="BE447" s="1" t="s">
        <v>74</v>
      </c>
      <c r="BF447" s="1" t="s">
        <v>74</v>
      </c>
      <c r="BG447" s="1" t="s">
        <v>74</v>
      </c>
      <c r="BH447" s="1" t="s">
        <v>74</v>
      </c>
      <c r="BI447" s="1" t="s">
        <v>74</v>
      </c>
      <c r="BJ447" s="1" t="s">
        <v>74</v>
      </c>
      <c r="BK447" s="1" t="s">
        <v>74</v>
      </c>
      <c r="BL447" s="1" t="s">
        <v>74</v>
      </c>
      <c r="BM447" s="1" t="s">
        <v>74</v>
      </c>
      <c r="BN447" s="1" t="s">
        <v>74</v>
      </c>
      <c r="BO447" s="1" t="s">
        <v>74</v>
      </c>
      <c r="BP447" s="1" t="s">
        <v>74</v>
      </c>
      <c r="BQ447" s="1" t="s">
        <v>74</v>
      </c>
      <c r="BR447" s="1" t="s">
        <v>74</v>
      </c>
      <c r="BS447" s="1" t="s">
        <v>3954</v>
      </c>
      <c r="BT447" s="1" t="str">
        <f>HYPERLINK("https%3A%2F%2Fwww.webofscience.com%2Fwos%2Fwoscc%2Ffull-record%2FWOS:000348578700343","View Full Record in Web of Science")</f>
        <v>View Full Record in Web of Science</v>
      </c>
    </row>
    <row r="448" ht="12.75" customHeight="1">
      <c r="A448" s="1" t="s">
        <v>72</v>
      </c>
      <c r="B448" s="1" t="s">
        <v>1565</v>
      </c>
      <c r="C448" s="1" t="s">
        <v>74</v>
      </c>
      <c r="D448" s="1" t="s">
        <v>74</v>
      </c>
      <c r="E448" s="1" t="s">
        <v>74</v>
      </c>
      <c r="F448" s="1" t="s">
        <v>1567</v>
      </c>
      <c r="G448" s="1" t="s">
        <v>74</v>
      </c>
      <c r="H448" s="1" t="s">
        <v>74</v>
      </c>
      <c r="I448" s="1" t="s">
        <v>3955</v>
      </c>
      <c r="J448" s="1" t="s">
        <v>3956</v>
      </c>
      <c r="K448" s="1" t="s">
        <v>74</v>
      </c>
      <c r="L448" s="1" t="s">
        <v>74</v>
      </c>
      <c r="M448" s="1" t="s">
        <v>74</v>
      </c>
      <c r="N448" s="1" t="s">
        <v>74</v>
      </c>
      <c r="O448" s="1" t="s">
        <v>74</v>
      </c>
      <c r="P448" s="1" t="s">
        <v>74</v>
      </c>
      <c r="Q448" s="1" t="s">
        <v>74</v>
      </c>
      <c r="R448" s="1" t="s">
        <v>74</v>
      </c>
      <c r="S448" s="1" t="s">
        <v>74</v>
      </c>
      <c r="T448" s="1" t="s">
        <v>74</v>
      </c>
      <c r="U448" s="1" t="s">
        <v>74</v>
      </c>
      <c r="V448" s="1" t="s">
        <v>74</v>
      </c>
      <c r="W448" s="1" t="s">
        <v>74</v>
      </c>
      <c r="X448" s="1" t="s">
        <v>74</v>
      </c>
      <c r="Y448" s="1" t="s">
        <v>74</v>
      </c>
      <c r="Z448" s="1" t="s">
        <v>74</v>
      </c>
      <c r="AA448" s="1" t="s">
        <v>1571</v>
      </c>
      <c r="AB448" s="1" t="s">
        <v>74</v>
      </c>
      <c r="AC448" s="1" t="s">
        <v>74</v>
      </c>
      <c r="AD448" s="1" t="s">
        <v>74</v>
      </c>
      <c r="AE448" s="1" t="s">
        <v>74</v>
      </c>
      <c r="AF448" s="1" t="s">
        <v>74</v>
      </c>
      <c r="AG448" s="1" t="s">
        <v>74</v>
      </c>
      <c r="AH448" s="1" t="s">
        <v>74</v>
      </c>
      <c r="AI448" s="1" t="s">
        <v>74</v>
      </c>
      <c r="AJ448" s="1" t="s">
        <v>74</v>
      </c>
      <c r="AK448" s="1" t="s">
        <v>74</v>
      </c>
      <c r="AL448" s="1" t="s">
        <v>74</v>
      </c>
      <c r="AM448" s="1" t="s">
        <v>74</v>
      </c>
      <c r="AN448" s="1" t="s">
        <v>74</v>
      </c>
      <c r="AO448" s="1" t="s">
        <v>3957</v>
      </c>
      <c r="AP448" s="1" t="s">
        <v>3958</v>
      </c>
      <c r="AQ448" s="1" t="s">
        <v>74</v>
      </c>
      <c r="AR448" s="1" t="s">
        <v>74</v>
      </c>
      <c r="AS448" s="1" t="s">
        <v>74</v>
      </c>
      <c r="AT448" s="1" t="s">
        <v>180</v>
      </c>
      <c r="AU448" s="1">
        <v>2014.0</v>
      </c>
      <c r="AV448" s="1">
        <v>15.0</v>
      </c>
      <c r="AW448" s="1">
        <v>2.0</v>
      </c>
      <c r="AX448" s="1" t="s">
        <v>74</v>
      </c>
      <c r="AY448" s="1" t="s">
        <v>74</v>
      </c>
      <c r="AZ448" s="1" t="s">
        <v>74</v>
      </c>
      <c r="BA448" s="1" t="s">
        <v>74</v>
      </c>
      <c r="BB448" s="1">
        <v>380.0</v>
      </c>
      <c r="BC448" s="1">
        <v>382.0</v>
      </c>
      <c r="BD448" s="1" t="s">
        <v>74</v>
      </c>
      <c r="BE448" s="1" t="s">
        <v>3959</v>
      </c>
      <c r="BF448" s="2" t="str">
        <f>HYPERLINK("http://dx.doi.org/10.1093/es/khu002","http://dx.doi.org/10.1093/es/khu002")</f>
        <v>http://dx.doi.org/10.1093/es/khu002</v>
      </c>
      <c r="BG448" s="1" t="s">
        <v>74</v>
      </c>
      <c r="BH448" s="1" t="s">
        <v>74</v>
      </c>
      <c r="BI448" s="1" t="s">
        <v>74</v>
      </c>
      <c r="BJ448" s="1" t="s">
        <v>74</v>
      </c>
      <c r="BK448" s="1" t="s">
        <v>74</v>
      </c>
      <c r="BL448" s="1" t="s">
        <v>74</v>
      </c>
      <c r="BM448" s="1" t="s">
        <v>74</v>
      </c>
      <c r="BN448" s="1" t="s">
        <v>74</v>
      </c>
      <c r="BO448" s="1" t="s">
        <v>74</v>
      </c>
      <c r="BP448" s="1" t="s">
        <v>74</v>
      </c>
      <c r="BQ448" s="1" t="s">
        <v>74</v>
      </c>
      <c r="BR448" s="1" t="s">
        <v>74</v>
      </c>
      <c r="BS448" s="1" t="s">
        <v>3960</v>
      </c>
      <c r="BT448" s="1" t="str">
        <f>HYPERLINK("https%3A%2F%2Fwww.webofscience.com%2Fwos%2Fwoscc%2Ffull-record%2FWOS:000336480100006","View Full Record in Web of Science")</f>
        <v>View Full Record in Web of Science</v>
      </c>
    </row>
    <row r="449" ht="12.75" customHeight="1">
      <c r="A449" s="1" t="s">
        <v>91</v>
      </c>
      <c r="B449" s="1" t="s">
        <v>3961</v>
      </c>
      <c r="C449" s="1" t="s">
        <v>74</v>
      </c>
      <c r="D449" s="1" t="s">
        <v>3962</v>
      </c>
      <c r="E449" s="1" t="s">
        <v>74</v>
      </c>
      <c r="F449" s="1" t="s">
        <v>3963</v>
      </c>
      <c r="G449" s="1" t="s">
        <v>74</v>
      </c>
      <c r="H449" s="1" t="s">
        <v>74</v>
      </c>
      <c r="I449" s="1" t="s">
        <v>3964</v>
      </c>
      <c r="J449" s="1" t="s">
        <v>3965</v>
      </c>
      <c r="K449" s="1" t="s">
        <v>3966</v>
      </c>
      <c r="L449" s="1" t="s">
        <v>74</v>
      </c>
      <c r="M449" s="1" t="s">
        <v>74</v>
      </c>
      <c r="N449" s="1" t="s">
        <v>74</v>
      </c>
      <c r="O449" s="1" t="s">
        <v>3967</v>
      </c>
      <c r="P449" s="1" t="s">
        <v>3968</v>
      </c>
      <c r="Q449" s="1" t="s">
        <v>3969</v>
      </c>
      <c r="R449" s="1" t="s">
        <v>3970</v>
      </c>
      <c r="S449" s="1" t="s">
        <v>74</v>
      </c>
      <c r="T449" s="1" t="s">
        <v>74</v>
      </c>
      <c r="U449" s="1" t="s">
        <v>74</v>
      </c>
      <c r="V449" s="1" t="s">
        <v>3971</v>
      </c>
      <c r="W449" s="1" t="s">
        <v>74</v>
      </c>
      <c r="X449" s="1" t="s">
        <v>74</v>
      </c>
      <c r="Y449" s="1" t="s">
        <v>74</v>
      </c>
      <c r="Z449" s="1" t="s">
        <v>74</v>
      </c>
      <c r="AA449" s="1" t="s">
        <v>3972</v>
      </c>
      <c r="AB449" s="1" t="s">
        <v>74</v>
      </c>
      <c r="AC449" s="1" t="s">
        <v>74</v>
      </c>
      <c r="AD449" s="1" t="s">
        <v>74</v>
      </c>
      <c r="AE449" s="1" t="s">
        <v>74</v>
      </c>
      <c r="AF449" s="1" t="s">
        <v>74</v>
      </c>
      <c r="AG449" s="1" t="s">
        <v>74</v>
      </c>
      <c r="AH449" s="1" t="s">
        <v>74</v>
      </c>
      <c r="AI449" s="1" t="s">
        <v>74</v>
      </c>
      <c r="AJ449" s="1" t="s">
        <v>74</v>
      </c>
      <c r="AK449" s="1" t="s">
        <v>74</v>
      </c>
      <c r="AL449" s="1" t="s">
        <v>74</v>
      </c>
      <c r="AM449" s="1" t="s">
        <v>74</v>
      </c>
      <c r="AN449" s="1" t="s">
        <v>74</v>
      </c>
      <c r="AO449" s="1" t="s">
        <v>3973</v>
      </c>
      <c r="AP449" s="1" t="s">
        <v>3974</v>
      </c>
      <c r="AQ449" s="1" t="s">
        <v>3975</v>
      </c>
      <c r="AR449" s="1" t="s">
        <v>74</v>
      </c>
      <c r="AS449" s="1" t="s">
        <v>74</v>
      </c>
      <c r="AT449" s="1" t="s">
        <v>74</v>
      </c>
      <c r="AU449" s="1">
        <v>2014.0</v>
      </c>
      <c r="AV449" s="1">
        <v>1057.0</v>
      </c>
      <c r="AW449" s="1" t="s">
        <v>74</v>
      </c>
      <c r="AX449" s="1" t="s">
        <v>74</v>
      </c>
      <c r="AY449" s="1" t="s">
        <v>74</v>
      </c>
      <c r="AZ449" s="1" t="s">
        <v>74</v>
      </c>
      <c r="BA449" s="1" t="s">
        <v>74</v>
      </c>
      <c r="BB449" s="1">
        <v>619.0</v>
      </c>
      <c r="BC449" s="1">
        <v>626.0</v>
      </c>
      <c r="BD449" s="1" t="s">
        <v>74</v>
      </c>
      <c r="BE449" s="1" t="s">
        <v>74</v>
      </c>
      <c r="BF449" s="1" t="s">
        <v>74</v>
      </c>
      <c r="BG449" s="1" t="s">
        <v>74</v>
      </c>
      <c r="BH449" s="1" t="s">
        <v>74</v>
      </c>
      <c r="BI449" s="1" t="s">
        <v>74</v>
      </c>
      <c r="BJ449" s="1" t="s">
        <v>74</v>
      </c>
      <c r="BK449" s="1" t="s">
        <v>74</v>
      </c>
      <c r="BL449" s="1" t="s">
        <v>74</v>
      </c>
      <c r="BM449" s="1" t="s">
        <v>74</v>
      </c>
      <c r="BN449" s="1" t="s">
        <v>74</v>
      </c>
      <c r="BO449" s="1" t="s">
        <v>74</v>
      </c>
      <c r="BP449" s="1" t="s">
        <v>74</v>
      </c>
      <c r="BQ449" s="1" t="s">
        <v>74</v>
      </c>
      <c r="BR449" s="1" t="s">
        <v>74</v>
      </c>
      <c r="BS449" s="1" t="s">
        <v>3976</v>
      </c>
      <c r="BT449" s="1" t="str">
        <f>HYPERLINK("https%3A%2F%2Fwww.webofscience.com%2Fwos%2Fwoscc%2Ffull-record%2FWOS:000357732500078","View Full Record in Web of Science")</f>
        <v>View Full Record in Web of Science</v>
      </c>
    </row>
    <row r="450" ht="12.75" customHeight="1">
      <c r="A450" s="1" t="s">
        <v>91</v>
      </c>
      <c r="B450" s="1" t="s">
        <v>3977</v>
      </c>
      <c r="C450" s="1" t="s">
        <v>74</v>
      </c>
      <c r="D450" s="1" t="s">
        <v>3978</v>
      </c>
      <c r="E450" s="1" t="s">
        <v>74</v>
      </c>
      <c r="F450" s="1" t="s">
        <v>3979</v>
      </c>
      <c r="G450" s="1" t="s">
        <v>74</v>
      </c>
      <c r="H450" s="1" t="s">
        <v>74</v>
      </c>
      <c r="I450" s="1" t="s">
        <v>3980</v>
      </c>
      <c r="J450" s="1" t="s">
        <v>3981</v>
      </c>
      <c r="K450" s="1" t="s">
        <v>3982</v>
      </c>
      <c r="L450" s="1" t="s">
        <v>74</v>
      </c>
      <c r="M450" s="1" t="s">
        <v>74</v>
      </c>
      <c r="N450" s="1" t="s">
        <v>74</v>
      </c>
      <c r="O450" s="1" t="s">
        <v>3983</v>
      </c>
      <c r="P450" s="1" t="s">
        <v>3984</v>
      </c>
      <c r="Q450" s="1" t="s">
        <v>3985</v>
      </c>
      <c r="R450" s="1" t="s">
        <v>3986</v>
      </c>
      <c r="S450" s="1" t="s">
        <v>3987</v>
      </c>
      <c r="T450" s="1" t="s">
        <v>74</v>
      </c>
      <c r="U450" s="1" t="s">
        <v>74</v>
      </c>
      <c r="V450" s="1" t="s">
        <v>3988</v>
      </c>
      <c r="W450" s="1" t="s">
        <v>74</v>
      </c>
      <c r="X450" s="1" t="s">
        <v>74</v>
      </c>
      <c r="Y450" s="1" t="s">
        <v>74</v>
      </c>
      <c r="Z450" s="1" t="s">
        <v>74</v>
      </c>
      <c r="AA450" s="1" t="s">
        <v>694</v>
      </c>
      <c r="AB450" s="1" t="s">
        <v>695</v>
      </c>
      <c r="AC450" s="1" t="s">
        <v>74</v>
      </c>
      <c r="AD450" s="1" t="s">
        <v>74</v>
      </c>
      <c r="AE450" s="1" t="s">
        <v>74</v>
      </c>
      <c r="AF450" s="1" t="s">
        <v>74</v>
      </c>
      <c r="AG450" s="1" t="s">
        <v>74</v>
      </c>
      <c r="AH450" s="1" t="s">
        <v>74</v>
      </c>
      <c r="AI450" s="1" t="s">
        <v>74</v>
      </c>
      <c r="AJ450" s="1" t="s">
        <v>74</v>
      </c>
      <c r="AK450" s="1" t="s">
        <v>74</v>
      </c>
      <c r="AL450" s="1" t="s">
        <v>74</v>
      </c>
      <c r="AM450" s="1" t="s">
        <v>74</v>
      </c>
      <c r="AN450" s="1" t="s">
        <v>74</v>
      </c>
      <c r="AO450" s="1" t="s">
        <v>3989</v>
      </c>
      <c r="AP450" s="1" t="s">
        <v>74</v>
      </c>
      <c r="AQ450" s="1" t="s">
        <v>74</v>
      </c>
      <c r="AR450" s="1" t="s">
        <v>74</v>
      </c>
      <c r="AS450" s="1" t="s">
        <v>74</v>
      </c>
      <c r="AT450" s="1" t="s">
        <v>74</v>
      </c>
      <c r="AU450" s="1">
        <v>2014.0</v>
      </c>
      <c r="AV450" s="1">
        <v>31.0</v>
      </c>
      <c r="AW450" s="1" t="s">
        <v>74</v>
      </c>
      <c r="AX450" s="1" t="s">
        <v>74</v>
      </c>
      <c r="AY450" s="1" t="s">
        <v>74</v>
      </c>
      <c r="AZ450" s="1" t="s">
        <v>74</v>
      </c>
      <c r="BA450" s="1" t="s">
        <v>74</v>
      </c>
      <c r="BB450" s="1">
        <v>966.0</v>
      </c>
      <c r="BC450" s="1">
        <v>975.0</v>
      </c>
      <c r="BD450" s="1" t="s">
        <v>74</v>
      </c>
      <c r="BE450" s="1" t="s">
        <v>3990</v>
      </c>
      <c r="BF450" s="2" t="str">
        <f>HYPERLINK("http://dx.doi.org/10.1016/j.procs.2014.05.349","http://dx.doi.org/10.1016/j.procs.2014.05.349")</f>
        <v>http://dx.doi.org/10.1016/j.procs.2014.05.349</v>
      </c>
      <c r="BG450" s="1" t="s">
        <v>74</v>
      </c>
      <c r="BH450" s="1" t="s">
        <v>74</v>
      </c>
      <c r="BI450" s="1" t="s">
        <v>74</v>
      </c>
      <c r="BJ450" s="1" t="s">
        <v>74</v>
      </c>
      <c r="BK450" s="1" t="s">
        <v>74</v>
      </c>
      <c r="BL450" s="1" t="s">
        <v>74</v>
      </c>
      <c r="BM450" s="1" t="s">
        <v>74</v>
      </c>
      <c r="BN450" s="1" t="s">
        <v>74</v>
      </c>
      <c r="BO450" s="1" t="s">
        <v>74</v>
      </c>
      <c r="BP450" s="1" t="s">
        <v>74</v>
      </c>
      <c r="BQ450" s="1" t="s">
        <v>74</v>
      </c>
      <c r="BR450" s="1" t="s">
        <v>74</v>
      </c>
      <c r="BS450" s="1" t="s">
        <v>3991</v>
      </c>
      <c r="BT450" s="1" t="str">
        <f>HYPERLINK("https%3A%2F%2Fwww.webofscience.com%2Fwos%2Fwoscc%2Ffull-record%2FWOS:000360713800111","View Full Record in Web of Science")</f>
        <v>View Full Record in Web of Science</v>
      </c>
    </row>
    <row r="451" ht="12.75" customHeight="1">
      <c r="A451" s="1" t="s">
        <v>72</v>
      </c>
      <c r="B451" s="1" t="s">
        <v>3992</v>
      </c>
      <c r="C451" s="1" t="s">
        <v>74</v>
      </c>
      <c r="D451" s="1" t="s">
        <v>74</v>
      </c>
      <c r="E451" s="1" t="s">
        <v>74</v>
      </c>
      <c r="F451" s="1" t="s">
        <v>3993</v>
      </c>
      <c r="G451" s="1" t="s">
        <v>74</v>
      </c>
      <c r="H451" s="1" t="s">
        <v>74</v>
      </c>
      <c r="I451" s="1" t="s">
        <v>3994</v>
      </c>
      <c r="J451" s="1" t="s">
        <v>912</v>
      </c>
      <c r="K451" s="1" t="s">
        <v>74</v>
      </c>
      <c r="L451" s="1" t="s">
        <v>74</v>
      </c>
      <c r="M451" s="1" t="s">
        <v>74</v>
      </c>
      <c r="N451" s="1" t="s">
        <v>74</v>
      </c>
      <c r="O451" s="1" t="s">
        <v>74</v>
      </c>
      <c r="P451" s="1" t="s">
        <v>74</v>
      </c>
      <c r="Q451" s="1" t="s">
        <v>74</v>
      </c>
      <c r="R451" s="1" t="s">
        <v>74</v>
      </c>
      <c r="S451" s="1" t="s">
        <v>74</v>
      </c>
      <c r="T451" s="1" t="s">
        <v>74</v>
      </c>
      <c r="U451" s="1" t="s">
        <v>74</v>
      </c>
      <c r="V451" s="1" t="s">
        <v>74</v>
      </c>
      <c r="W451" s="1" t="s">
        <v>74</v>
      </c>
      <c r="X451" s="1" t="s">
        <v>74</v>
      </c>
      <c r="Y451" s="1" t="s">
        <v>74</v>
      </c>
      <c r="Z451" s="1" t="s">
        <v>74</v>
      </c>
      <c r="AA451" s="1" t="s">
        <v>74</v>
      </c>
      <c r="AB451" s="1" t="s">
        <v>74</v>
      </c>
      <c r="AC451" s="1" t="s">
        <v>74</v>
      </c>
      <c r="AD451" s="1" t="s">
        <v>74</v>
      </c>
      <c r="AE451" s="1" t="s">
        <v>74</v>
      </c>
      <c r="AF451" s="1" t="s">
        <v>74</v>
      </c>
      <c r="AG451" s="1" t="s">
        <v>74</v>
      </c>
      <c r="AH451" s="1" t="s">
        <v>74</v>
      </c>
      <c r="AI451" s="1" t="s">
        <v>74</v>
      </c>
      <c r="AJ451" s="1" t="s">
        <v>74</v>
      </c>
      <c r="AK451" s="1" t="s">
        <v>74</v>
      </c>
      <c r="AL451" s="1" t="s">
        <v>74</v>
      </c>
      <c r="AM451" s="1" t="s">
        <v>74</v>
      </c>
      <c r="AN451" s="1" t="s">
        <v>74</v>
      </c>
      <c r="AO451" s="1" t="s">
        <v>3995</v>
      </c>
      <c r="AP451" s="1" t="s">
        <v>74</v>
      </c>
      <c r="AQ451" s="1" t="s">
        <v>74</v>
      </c>
      <c r="AR451" s="1" t="s">
        <v>74</v>
      </c>
      <c r="AS451" s="1" t="s">
        <v>74</v>
      </c>
      <c r="AT451" s="1" t="s">
        <v>1493</v>
      </c>
      <c r="AU451" s="1">
        <v>2013.0</v>
      </c>
      <c r="AV451" s="1">
        <v>46.0</v>
      </c>
      <c r="AW451" s="1">
        <v>1.0</v>
      </c>
      <c r="AX451" s="1" t="s">
        <v>74</v>
      </c>
      <c r="AY451" s="1" t="s">
        <v>74</v>
      </c>
      <c r="AZ451" s="1" t="s">
        <v>74</v>
      </c>
      <c r="BA451" s="1" t="s">
        <v>74</v>
      </c>
      <c r="BB451" s="1">
        <v>267.0</v>
      </c>
      <c r="BC451" s="1">
        <v>271.0</v>
      </c>
      <c r="BD451" s="1" t="s">
        <v>74</v>
      </c>
      <c r="BE451" s="1" t="s">
        <v>74</v>
      </c>
      <c r="BF451" s="1" t="s">
        <v>74</v>
      </c>
      <c r="BG451" s="1" t="s">
        <v>74</v>
      </c>
      <c r="BH451" s="1" t="s">
        <v>74</v>
      </c>
      <c r="BI451" s="1" t="s">
        <v>74</v>
      </c>
      <c r="BJ451" s="1" t="s">
        <v>74</v>
      </c>
      <c r="BK451" s="1" t="s">
        <v>74</v>
      </c>
      <c r="BL451" s="1" t="s">
        <v>74</v>
      </c>
      <c r="BM451" s="1" t="s">
        <v>74</v>
      </c>
      <c r="BN451" s="1" t="s">
        <v>74</v>
      </c>
      <c r="BO451" s="1" t="s">
        <v>74</v>
      </c>
      <c r="BP451" s="1" t="s">
        <v>74</v>
      </c>
      <c r="BQ451" s="1" t="s">
        <v>74</v>
      </c>
      <c r="BR451" s="1" t="s">
        <v>74</v>
      </c>
      <c r="BS451" s="1" t="s">
        <v>3996</v>
      </c>
      <c r="BT451" s="1" t="str">
        <f>HYPERLINK("https%3A%2F%2Fwww.webofscience.com%2Fwos%2Fwoscc%2Ffull-record%2FWOS:000321934400016","View Full Record in Web of Science")</f>
        <v>View Full Record in Web of Science</v>
      </c>
    </row>
    <row r="452" ht="12.75" customHeight="1">
      <c r="A452" s="1" t="s">
        <v>72</v>
      </c>
      <c r="B452" s="1" t="s">
        <v>3997</v>
      </c>
      <c r="C452" s="1" t="s">
        <v>74</v>
      </c>
      <c r="D452" s="1" t="s">
        <v>74</v>
      </c>
      <c r="E452" s="1" t="s">
        <v>74</v>
      </c>
      <c r="F452" s="1" t="s">
        <v>3998</v>
      </c>
      <c r="G452" s="1" t="s">
        <v>74</v>
      </c>
      <c r="H452" s="1" t="s">
        <v>74</v>
      </c>
      <c r="I452" s="1" t="s">
        <v>3999</v>
      </c>
      <c r="J452" s="1" t="s">
        <v>4000</v>
      </c>
      <c r="K452" s="1" t="s">
        <v>74</v>
      </c>
      <c r="L452" s="1" t="s">
        <v>74</v>
      </c>
      <c r="M452" s="1" t="s">
        <v>74</v>
      </c>
      <c r="N452" s="1" t="s">
        <v>74</v>
      </c>
      <c r="O452" s="1" t="s">
        <v>74</v>
      </c>
      <c r="P452" s="1" t="s">
        <v>74</v>
      </c>
      <c r="Q452" s="1" t="s">
        <v>74</v>
      </c>
      <c r="R452" s="1" t="s">
        <v>74</v>
      </c>
      <c r="S452" s="1" t="s">
        <v>74</v>
      </c>
      <c r="T452" s="1" t="s">
        <v>74</v>
      </c>
      <c r="U452" s="1" t="s">
        <v>74</v>
      </c>
      <c r="V452" s="1" t="s">
        <v>4001</v>
      </c>
      <c r="W452" s="1" t="s">
        <v>74</v>
      </c>
      <c r="X452" s="1" t="s">
        <v>74</v>
      </c>
      <c r="Y452" s="1" t="s">
        <v>74</v>
      </c>
      <c r="Z452" s="1" t="s">
        <v>74</v>
      </c>
      <c r="AA452" s="1" t="s">
        <v>74</v>
      </c>
      <c r="AB452" s="1" t="s">
        <v>74</v>
      </c>
      <c r="AC452" s="1" t="s">
        <v>74</v>
      </c>
      <c r="AD452" s="1" t="s">
        <v>74</v>
      </c>
      <c r="AE452" s="1" t="s">
        <v>74</v>
      </c>
      <c r="AF452" s="1" t="s">
        <v>74</v>
      </c>
      <c r="AG452" s="1" t="s">
        <v>74</v>
      </c>
      <c r="AH452" s="1" t="s">
        <v>74</v>
      </c>
      <c r="AI452" s="1" t="s">
        <v>74</v>
      </c>
      <c r="AJ452" s="1" t="s">
        <v>74</v>
      </c>
      <c r="AK452" s="1" t="s">
        <v>74</v>
      </c>
      <c r="AL452" s="1" t="s">
        <v>74</v>
      </c>
      <c r="AM452" s="1" t="s">
        <v>74</v>
      </c>
      <c r="AN452" s="1" t="s">
        <v>74</v>
      </c>
      <c r="AO452" s="1" t="s">
        <v>4002</v>
      </c>
      <c r="AP452" s="1" t="s">
        <v>4003</v>
      </c>
      <c r="AQ452" s="1" t="s">
        <v>74</v>
      </c>
      <c r="AR452" s="1" t="s">
        <v>74</v>
      </c>
      <c r="AS452" s="1" t="s">
        <v>74</v>
      </c>
      <c r="AT452" s="1" t="s">
        <v>88</v>
      </c>
      <c r="AU452" s="1">
        <v>2012.0</v>
      </c>
      <c r="AV452" s="1" t="s">
        <v>74</v>
      </c>
      <c r="AW452" s="1">
        <v>35.0</v>
      </c>
      <c r="AX452" s="1" t="s">
        <v>74</v>
      </c>
      <c r="AY452" s="1" t="s">
        <v>74</v>
      </c>
      <c r="AZ452" s="1" t="s">
        <v>74</v>
      </c>
      <c r="BA452" s="1" t="s">
        <v>74</v>
      </c>
      <c r="BB452" s="1">
        <v>135.0</v>
      </c>
      <c r="BC452" s="1">
        <v>146.0</v>
      </c>
      <c r="BD452" s="1" t="s">
        <v>74</v>
      </c>
      <c r="BE452" s="1" t="s">
        <v>74</v>
      </c>
      <c r="BF452" s="1" t="s">
        <v>74</v>
      </c>
      <c r="BG452" s="1" t="s">
        <v>74</v>
      </c>
      <c r="BH452" s="1" t="s">
        <v>74</v>
      </c>
      <c r="BI452" s="1" t="s">
        <v>74</v>
      </c>
      <c r="BJ452" s="1" t="s">
        <v>74</v>
      </c>
      <c r="BK452" s="1" t="s">
        <v>74</v>
      </c>
      <c r="BL452" s="1" t="s">
        <v>74</v>
      </c>
      <c r="BM452" s="1" t="s">
        <v>74</v>
      </c>
      <c r="BN452" s="1" t="s">
        <v>74</v>
      </c>
      <c r="BO452" s="1" t="s">
        <v>74</v>
      </c>
      <c r="BP452" s="1" t="s">
        <v>74</v>
      </c>
      <c r="BQ452" s="1" t="s">
        <v>74</v>
      </c>
      <c r="BR452" s="1" t="s">
        <v>74</v>
      </c>
      <c r="BS452" s="1" t="s">
        <v>4004</v>
      </c>
      <c r="BT452" s="1" t="str">
        <f>HYPERLINK("https%3A%2F%2Fwww.webofscience.com%2Fwos%2Fwoscc%2Ffull-record%2FWOS:000326735800009","View Full Record in Web of Science")</f>
        <v>View Full Record in Web of Science</v>
      </c>
    </row>
    <row r="453" ht="12.75" customHeight="1">
      <c r="A453" s="1" t="s">
        <v>91</v>
      </c>
      <c r="B453" s="1" t="s">
        <v>4005</v>
      </c>
      <c r="C453" s="1" t="s">
        <v>74</v>
      </c>
      <c r="D453" s="1" t="s">
        <v>74</v>
      </c>
      <c r="E453" s="1" t="s">
        <v>997</v>
      </c>
      <c r="F453" s="1" t="s">
        <v>4006</v>
      </c>
      <c r="G453" s="1" t="s">
        <v>74</v>
      </c>
      <c r="H453" s="1" t="s">
        <v>74</v>
      </c>
      <c r="I453" s="1" t="s">
        <v>4007</v>
      </c>
      <c r="J453" s="1" t="s">
        <v>4008</v>
      </c>
      <c r="K453" s="1" t="s">
        <v>74</v>
      </c>
      <c r="L453" s="1" t="s">
        <v>74</v>
      </c>
      <c r="M453" s="1" t="s">
        <v>74</v>
      </c>
      <c r="N453" s="1" t="s">
        <v>74</v>
      </c>
      <c r="O453" s="1" t="s">
        <v>4009</v>
      </c>
      <c r="P453" s="1" t="s">
        <v>4010</v>
      </c>
      <c r="Q453" s="1" t="s">
        <v>1003</v>
      </c>
      <c r="R453" s="1" t="s">
        <v>4011</v>
      </c>
      <c r="S453" s="1" t="s">
        <v>74</v>
      </c>
      <c r="T453" s="1" t="s">
        <v>74</v>
      </c>
      <c r="U453" s="1" t="s">
        <v>74</v>
      </c>
      <c r="V453" s="1" t="s">
        <v>4012</v>
      </c>
      <c r="W453" s="1" t="s">
        <v>74</v>
      </c>
      <c r="X453" s="1" t="s">
        <v>74</v>
      </c>
      <c r="Y453" s="1" t="s">
        <v>74</v>
      </c>
      <c r="Z453" s="1" t="s">
        <v>74</v>
      </c>
      <c r="AA453" s="1" t="s">
        <v>74</v>
      </c>
      <c r="AB453" s="1" t="s">
        <v>74</v>
      </c>
      <c r="AC453" s="1" t="s">
        <v>74</v>
      </c>
      <c r="AD453" s="1" t="s">
        <v>74</v>
      </c>
      <c r="AE453" s="1" t="s">
        <v>74</v>
      </c>
      <c r="AF453" s="1" t="s">
        <v>74</v>
      </c>
      <c r="AG453" s="1" t="s">
        <v>74</v>
      </c>
      <c r="AH453" s="1" t="s">
        <v>74</v>
      </c>
      <c r="AI453" s="1" t="s">
        <v>74</v>
      </c>
      <c r="AJ453" s="1" t="s">
        <v>74</v>
      </c>
      <c r="AK453" s="1" t="s">
        <v>74</v>
      </c>
      <c r="AL453" s="1" t="s">
        <v>74</v>
      </c>
      <c r="AM453" s="1" t="s">
        <v>74</v>
      </c>
      <c r="AN453" s="1" t="s">
        <v>74</v>
      </c>
      <c r="AO453" s="1" t="s">
        <v>74</v>
      </c>
      <c r="AP453" s="1" t="s">
        <v>74</v>
      </c>
      <c r="AQ453" s="1" t="s">
        <v>4013</v>
      </c>
      <c r="AR453" s="1" t="s">
        <v>74</v>
      </c>
      <c r="AS453" s="1" t="s">
        <v>74</v>
      </c>
      <c r="AT453" s="1" t="s">
        <v>74</v>
      </c>
      <c r="AU453" s="1">
        <v>2012.0</v>
      </c>
      <c r="AV453" s="1" t="s">
        <v>74</v>
      </c>
      <c r="AW453" s="1" t="s">
        <v>74</v>
      </c>
      <c r="AX453" s="1" t="s">
        <v>74</v>
      </c>
      <c r="AY453" s="1" t="s">
        <v>74</v>
      </c>
      <c r="AZ453" s="1" t="s">
        <v>74</v>
      </c>
      <c r="BA453" s="1" t="s">
        <v>74</v>
      </c>
      <c r="BB453" s="1">
        <v>627.0</v>
      </c>
      <c r="BC453" s="1">
        <v>633.0</v>
      </c>
      <c r="BD453" s="1" t="s">
        <v>74</v>
      </c>
      <c r="BE453" s="1" t="s">
        <v>74</v>
      </c>
      <c r="BF453" s="1" t="s">
        <v>74</v>
      </c>
      <c r="BG453" s="1" t="s">
        <v>74</v>
      </c>
      <c r="BH453" s="1" t="s">
        <v>74</v>
      </c>
      <c r="BI453" s="1" t="s">
        <v>74</v>
      </c>
      <c r="BJ453" s="1" t="s">
        <v>74</v>
      </c>
      <c r="BK453" s="1" t="s">
        <v>74</v>
      </c>
      <c r="BL453" s="1" t="s">
        <v>74</v>
      </c>
      <c r="BM453" s="1" t="s">
        <v>74</v>
      </c>
      <c r="BN453" s="1" t="s">
        <v>74</v>
      </c>
      <c r="BO453" s="1" t="s">
        <v>74</v>
      </c>
      <c r="BP453" s="1" t="s">
        <v>74</v>
      </c>
      <c r="BQ453" s="1" t="s">
        <v>74</v>
      </c>
      <c r="BR453" s="1" t="s">
        <v>74</v>
      </c>
      <c r="BS453" s="1" t="s">
        <v>4014</v>
      </c>
      <c r="BT453" s="1" t="str">
        <f>HYPERLINK("https%3A%2F%2Fwww.webofscience.com%2Fwos%2Fwoscc%2Ffull-record%2FWOS:000320625900072","View Full Record in Web of Science")</f>
        <v>View Full Record in Web of Science</v>
      </c>
    </row>
    <row r="454" ht="12.75" customHeight="1">
      <c r="A454" s="1" t="s">
        <v>72</v>
      </c>
      <c r="B454" s="1" t="s">
        <v>4015</v>
      </c>
      <c r="C454" s="1" t="s">
        <v>74</v>
      </c>
      <c r="D454" s="1" t="s">
        <v>74</v>
      </c>
      <c r="E454" s="1" t="s">
        <v>74</v>
      </c>
      <c r="F454" s="1" t="s">
        <v>4016</v>
      </c>
      <c r="G454" s="1" t="s">
        <v>74</v>
      </c>
      <c r="H454" s="1" t="s">
        <v>74</v>
      </c>
      <c r="I454" s="1" t="s">
        <v>4017</v>
      </c>
      <c r="J454" s="1" t="s">
        <v>1603</v>
      </c>
      <c r="K454" s="1" t="s">
        <v>74</v>
      </c>
      <c r="L454" s="1" t="s">
        <v>74</v>
      </c>
      <c r="M454" s="1" t="s">
        <v>74</v>
      </c>
      <c r="N454" s="1" t="s">
        <v>74</v>
      </c>
      <c r="O454" s="1" t="s">
        <v>74</v>
      </c>
      <c r="P454" s="1" t="s">
        <v>74</v>
      </c>
      <c r="Q454" s="1" t="s">
        <v>74</v>
      </c>
      <c r="R454" s="1" t="s">
        <v>74</v>
      </c>
      <c r="S454" s="1" t="s">
        <v>74</v>
      </c>
      <c r="T454" s="1" t="s">
        <v>74</v>
      </c>
      <c r="U454" s="1" t="s">
        <v>74</v>
      </c>
      <c r="V454" s="1" t="s">
        <v>4018</v>
      </c>
      <c r="W454" s="1" t="s">
        <v>74</v>
      </c>
      <c r="X454" s="1" t="s">
        <v>74</v>
      </c>
      <c r="Y454" s="1" t="s">
        <v>74</v>
      </c>
      <c r="Z454" s="1" t="s">
        <v>74</v>
      </c>
      <c r="AA454" s="1" t="s">
        <v>4019</v>
      </c>
      <c r="AB454" s="1" t="s">
        <v>4020</v>
      </c>
      <c r="AC454" s="1" t="s">
        <v>74</v>
      </c>
      <c r="AD454" s="1" t="s">
        <v>74</v>
      </c>
      <c r="AE454" s="1" t="s">
        <v>74</v>
      </c>
      <c r="AF454" s="1" t="s">
        <v>74</v>
      </c>
      <c r="AG454" s="1" t="s">
        <v>74</v>
      </c>
      <c r="AH454" s="1" t="s">
        <v>74</v>
      </c>
      <c r="AI454" s="1" t="s">
        <v>74</v>
      </c>
      <c r="AJ454" s="1" t="s">
        <v>74</v>
      </c>
      <c r="AK454" s="1" t="s">
        <v>74</v>
      </c>
      <c r="AL454" s="1" t="s">
        <v>74</v>
      </c>
      <c r="AM454" s="1" t="s">
        <v>74</v>
      </c>
      <c r="AN454" s="1" t="s">
        <v>74</v>
      </c>
      <c r="AO454" s="1" t="s">
        <v>1605</v>
      </c>
      <c r="AP454" s="1" t="s">
        <v>74</v>
      </c>
      <c r="AQ454" s="1" t="s">
        <v>74</v>
      </c>
      <c r="AR454" s="1" t="s">
        <v>74</v>
      </c>
      <c r="AS454" s="1" t="s">
        <v>74</v>
      </c>
      <c r="AT454" s="1" t="s">
        <v>88</v>
      </c>
      <c r="AU454" s="1">
        <v>2011.0</v>
      </c>
      <c r="AV454" s="1">
        <v>9.0</v>
      </c>
      <c r="AW454" s="1">
        <v>7.0</v>
      </c>
      <c r="AX454" s="1" t="s">
        <v>74</v>
      </c>
      <c r="AY454" s="1" t="s">
        <v>74</v>
      </c>
      <c r="AZ454" s="1" t="s">
        <v>74</v>
      </c>
      <c r="BA454" s="1" t="s">
        <v>74</v>
      </c>
      <c r="BB454" s="1">
        <v>1105.0</v>
      </c>
      <c r="BC454" s="1">
        <v>1111.0</v>
      </c>
      <c r="BD454" s="1" t="s">
        <v>74</v>
      </c>
      <c r="BE454" s="1" t="s">
        <v>4021</v>
      </c>
      <c r="BF454" s="2" t="str">
        <f>HYPERLINK("http://dx.doi.org/10.1109/TLA.2011.6129710","http://dx.doi.org/10.1109/TLA.2011.6129710")</f>
        <v>http://dx.doi.org/10.1109/TLA.2011.6129710</v>
      </c>
      <c r="BG454" s="1" t="s">
        <v>74</v>
      </c>
      <c r="BH454" s="1" t="s">
        <v>74</v>
      </c>
      <c r="BI454" s="1" t="s">
        <v>74</v>
      </c>
      <c r="BJ454" s="1" t="s">
        <v>74</v>
      </c>
      <c r="BK454" s="1" t="s">
        <v>74</v>
      </c>
      <c r="BL454" s="1" t="s">
        <v>74</v>
      </c>
      <c r="BM454" s="1" t="s">
        <v>74</v>
      </c>
      <c r="BN454" s="1" t="s">
        <v>74</v>
      </c>
      <c r="BO454" s="1" t="s">
        <v>74</v>
      </c>
      <c r="BP454" s="1" t="s">
        <v>74</v>
      </c>
      <c r="BQ454" s="1" t="s">
        <v>74</v>
      </c>
      <c r="BR454" s="1" t="s">
        <v>74</v>
      </c>
      <c r="BS454" s="1" t="s">
        <v>4022</v>
      </c>
      <c r="BT454" s="1" t="str">
        <f>HYPERLINK("https%3A%2F%2Fwww.webofscience.com%2Fwos%2Fwoscc%2Ffull-record%2FWOS:000300191300020","View Full Record in Web of Science")</f>
        <v>View Full Record in Web of Science</v>
      </c>
    </row>
    <row r="455" ht="12.75" customHeight="1">
      <c r="A455" s="1" t="s">
        <v>72</v>
      </c>
      <c r="B455" s="1" t="s">
        <v>4023</v>
      </c>
      <c r="C455" s="1" t="s">
        <v>74</v>
      </c>
      <c r="D455" s="1" t="s">
        <v>74</v>
      </c>
      <c r="E455" s="1" t="s">
        <v>74</v>
      </c>
      <c r="F455" s="1" t="s">
        <v>4024</v>
      </c>
      <c r="G455" s="1" t="s">
        <v>74</v>
      </c>
      <c r="H455" s="1" t="s">
        <v>74</v>
      </c>
      <c r="I455" s="1" t="s">
        <v>4025</v>
      </c>
      <c r="J455" s="1" t="s">
        <v>2502</v>
      </c>
      <c r="K455" s="1" t="s">
        <v>74</v>
      </c>
      <c r="L455" s="1" t="s">
        <v>74</v>
      </c>
      <c r="M455" s="1" t="s">
        <v>74</v>
      </c>
      <c r="N455" s="1" t="s">
        <v>74</v>
      </c>
      <c r="O455" s="1" t="s">
        <v>74</v>
      </c>
      <c r="P455" s="1" t="s">
        <v>74</v>
      </c>
      <c r="Q455" s="1" t="s">
        <v>74</v>
      </c>
      <c r="R455" s="1" t="s">
        <v>74</v>
      </c>
      <c r="S455" s="1" t="s">
        <v>74</v>
      </c>
      <c r="T455" s="1" t="s">
        <v>74</v>
      </c>
      <c r="U455" s="1" t="s">
        <v>74</v>
      </c>
      <c r="V455" s="1" t="s">
        <v>4026</v>
      </c>
      <c r="W455" s="1" t="s">
        <v>74</v>
      </c>
      <c r="X455" s="1" t="s">
        <v>74</v>
      </c>
      <c r="Y455" s="1" t="s">
        <v>74</v>
      </c>
      <c r="Z455" s="1" t="s">
        <v>74</v>
      </c>
      <c r="AA455" s="1" t="s">
        <v>261</v>
      </c>
      <c r="AB455" s="1" t="s">
        <v>4027</v>
      </c>
      <c r="AC455" s="1" t="s">
        <v>74</v>
      </c>
      <c r="AD455" s="1" t="s">
        <v>74</v>
      </c>
      <c r="AE455" s="1" t="s">
        <v>74</v>
      </c>
      <c r="AF455" s="1" t="s">
        <v>74</v>
      </c>
      <c r="AG455" s="1" t="s">
        <v>74</v>
      </c>
      <c r="AH455" s="1" t="s">
        <v>74</v>
      </c>
      <c r="AI455" s="1" t="s">
        <v>74</v>
      </c>
      <c r="AJ455" s="1" t="s">
        <v>74</v>
      </c>
      <c r="AK455" s="1" t="s">
        <v>74</v>
      </c>
      <c r="AL455" s="1" t="s">
        <v>74</v>
      </c>
      <c r="AM455" s="1" t="s">
        <v>74</v>
      </c>
      <c r="AN455" s="1" t="s">
        <v>74</v>
      </c>
      <c r="AO455" s="1" t="s">
        <v>2505</v>
      </c>
      <c r="AP455" s="1" t="s">
        <v>74</v>
      </c>
      <c r="AQ455" s="1" t="s">
        <v>74</v>
      </c>
      <c r="AR455" s="1" t="s">
        <v>74</v>
      </c>
      <c r="AS455" s="1" t="s">
        <v>74</v>
      </c>
      <c r="AT455" s="1" t="s">
        <v>205</v>
      </c>
      <c r="AU455" s="1">
        <v>2011.0</v>
      </c>
      <c r="AV455" s="1">
        <v>10.0</v>
      </c>
      <c r="AW455" s="1">
        <v>6.0</v>
      </c>
      <c r="AX455" s="1" t="s">
        <v>74</v>
      </c>
      <c r="AY455" s="1" t="s">
        <v>74</v>
      </c>
      <c r="AZ455" s="1" t="s">
        <v>74</v>
      </c>
      <c r="BA455" s="1" t="s">
        <v>74</v>
      </c>
      <c r="BB455" s="1">
        <v>590.0</v>
      </c>
      <c r="BC455" s="1">
        <v>594.0</v>
      </c>
      <c r="BD455" s="1" t="s">
        <v>74</v>
      </c>
      <c r="BE455" s="1" t="s">
        <v>74</v>
      </c>
      <c r="BF455" s="1" t="s">
        <v>74</v>
      </c>
      <c r="BG455" s="1" t="s">
        <v>74</v>
      </c>
      <c r="BH455" s="1" t="s">
        <v>74</v>
      </c>
      <c r="BI455" s="1" t="s">
        <v>74</v>
      </c>
      <c r="BJ455" s="1" t="s">
        <v>74</v>
      </c>
      <c r="BK455" s="1" t="s">
        <v>74</v>
      </c>
      <c r="BL455" s="1" t="s">
        <v>74</v>
      </c>
      <c r="BM455" s="1" t="s">
        <v>74</v>
      </c>
      <c r="BN455" s="1" t="s">
        <v>74</v>
      </c>
      <c r="BO455" s="1" t="s">
        <v>74</v>
      </c>
      <c r="BP455" s="1" t="s">
        <v>74</v>
      </c>
      <c r="BQ455" s="1" t="s">
        <v>74</v>
      </c>
      <c r="BR455" s="1" t="s">
        <v>74</v>
      </c>
      <c r="BS455" s="1" t="s">
        <v>4028</v>
      </c>
      <c r="BT455" s="1" t="str">
        <f>HYPERLINK("https%3A%2F%2Fwww.webofscience.com%2Fwos%2Fwoscc%2Ffull-record%2FWOS:000297724500011","View Full Record in Web of Science")</f>
        <v>View Full Record in Web of Science</v>
      </c>
    </row>
    <row r="456" ht="12.75" customHeight="1">
      <c r="A456" s="1" t="s">
        <v>72</v>
      </c>
      <c r="B456" s="1" t="s">
        <v>4029</v>
      </c>
      <c r="C456" s="1" t="s">
        <v>74</v>
      </c>
      <c r="D456" s="1" t="s">
        <v>74</v>
      </c>
      <c r="E456" s="1" t="s">
        <v>74</v>
      </c>
      <c r="F456" s="1" t="s">
        <v>4030</v>
      </c>
      <c r="G456" s="1" t="s">
        <v>74</v>
      </c>
      <c r="H456" s="1" t="s">
        <v>74</v>
      </c>
      <c r="I456" s="1" t="s">
        <v>4031</v>
      </c>
      <c r="J456" s="1" t="s">
        <v>4032</v>
      </c>
      <c r="K456" s="1" t="s">
        <v>74</v>
      </c>
      <c r="L456" s="1" t="s">
        <v>74</v>
      </c>
      <c r="M456" s="1" t="s">
        <v>74</v>
      </c>
      <c r="N456" s="1" t="s">
        <v>74</v>
      </c>
      <c r="O456" s="1" t="s">
        <v>74</v>
      </c>
      <c r="P456" s="1" t="s">
        <v>74</v>
      </c>
      <c r="Q456" s="1" t="s">
        <v>74</v>
      </c>
      <c r="R456" s="1" t="s">
        <v>74</v>
      </c>
      <c r="S456" s="1" t="s">
        <v>74</v>
      </c>
      <c r="T456" s="1" t="s">
        <v>74</v>
      </c>
      <c r="U456" s="1" t="s">
        <v>74</v>
      </c>
      <c r="V456" s="1" t="s">
        <v>4033</v>
      </c>
      <c r="W456" s="1" t="s">
        <v>74</v>
      </c>
      <c r="X456" s="1" t="s">
        <v>74</v>
      </c>
      <c r="Y456" s="1" t="s">
        <v>74</v>
      </c>
      <c r="Z456" s="1" t="s">
        <v>74</v>
      </c>
      <c r="AA456" s="1" t="s">
        <v>74</v>
      </c>
      <c r="AB456" s="1" t="s">
        <v>4034</v>
      </c>
      <c r="AC456" s="1" t="s">
        <v>74</v>
      </c>
      <c r="AD456" s="1" t="s">
        <v>74</v>
      </c>
      <c r="AE456" s="1" t="s">
        <v>74</v>
      </c>
      <c r="AF456" s="1" t="s">
        <v>74</v>
      </c>
      <c r="AG456" s="1" t="s">
        <v>74</v>
      </c>
      <c r="AH456" s="1" t="s">
        <v>74</v>
      </c>
      <c r="AI456" s="1" t="s">
        <v>74</v>
      </c>
      <c r="AJ456" s="1" t="s">
        <v>74</v>
      </c>
      <c r="AK456" s="1" t="s">
        <v>74</v>
      </c>
      <c r="AL456" s="1" t="s">
        <v>74</v>
      </c>
      <c r="AM456" s="1" t="s">
        <v>74</v>
      </c>
      <c r="AN456" s="1" t="s">
        <v>74</v>
      </c>
      <c r="AO456" s="1" t="s">
        <v>4035</v>
      </c>
      <c r="AP456" s="1" t="s">
        <v>74</v>
      </c>
      <c r="AQ456" s="1" t="s">
        <v>74</v>
      </c>
      <c r="AR456" s="1" t="s">
        <v>74</v>
      </c>
      <c r="AS456" s="1" t="s">
        <v>74</v>
      </c>
      <c r="AT456" s="1" t="s">
        <v>74</v>
      </c>
      <c r="AU456" s="1">
        <v>2011.0</v>
      </c>
      <c r="AV456" s="1" t="s">
        <v>4036</v>
      </c>
      <c r="AW456" s="1" t="s">
        <v>74</v>
      </c>
      <c r="AX456" s="1" t="s">
        <v>74</v>
      </c>
      <c r="AY456" s="1" t="s">
        <v>74</v>
      </c>
      <c r="AZ456" s="1" t="s">
        <v>74</v>
      </c>
      <c r="BA456" s="1" t="s">
        <v>74</v>
      </c>
      <c r="BB456" s="1">
        <v>177.0</v>
      </c>
      <c r="BC456" s="1">
        <v>191.0</v>
      </c>
      <c r="BD456" s="1" t="s">
        <v>74</v>
      </c>
      <c r="BE456" s="1" t="s">
        <v>74</v>
      </c>
      <c r="BF456" s="1" t="s">
        <v>74</v>
      </c>
      <c r="BG456" s="1" t="s">
        <v>74</v>
      </c>
      <c r="BH456" s="1" t="s">
        <v>74</v>
      </c>
      <c r="BI456" s="1" t="s">
        <v>74</v>
      </c>
      <c r="BJ456" s="1" t="s">
        <v>74</v>
      </c>
      <c r="BK456" s="1" t="s">
        <v>74</v>
      </c>
      <c r="BL456" s="1" t="s">
        <v>74</v>
      </c>
      <c r="BM456" s="1" t="s">
        <v>74</v>
      </c>
      <c r="BN456" s="1" t="s">
        <v>74</v>
      </c>
      <c r="BO456" s="1" t="s">
        <v>74</v>
      </c>
      <c r="BP456" s="1" t="s">
        <v>74</v>
      </c>
      <c r="BQ456" s="1" t="s">
        <v>74</v>
      </c>
      <c r="BR456" s="1" t="s">
        <v>74</v>
      </c>
      <c r="BS456" s="1" t="s">
        <v>4037</v>
      </c>
      <c r="BT456" s="1" t="str">
        <f>HYPERLINK("https%3A%2F%2Fwww.webofscience.com%2Fwos%2Fwoscc%2Ffull-record%2FWOS:000309669100011","View Full Record in Web of Science")</f>
        <v>View Full Record in Web of Science</v>
      </c>
    </row>
    <row r="457" ht="12.75" customHeight="1">
      <c r="A457" s="1" t="s">
        <v>72</v>
      </c>
      <c r="B457" s="1" t="s">
        <v>4038</v>
      </c>
      <c r="C457" s="1" t="s">
        <v>74</v>
      </c>
      <c r="D457" s="1" t="s">
        <v>74</v>
      </c>
      <c r="E457" s="1" t="s">
        <v>74</v>
      </c>
      <c r="F457" s="1" t="s">
        <v>4039</v>
      </c>
      <c r="G457" s="1" t="s">
        <v>74</v>
      </c>
      <c r="H457" s="1" t="s">
        <v>74</v>
      </c>
      <c r="I457" s="1" t="s">
        <v>4040</v>
      </c>
      <c r="J457" s="1" t="s">
        <v>400</v>
      </c>
      <c r="K457" s="1" t="s">
        <v>74</v>
      </c>
      <c r="L457" s="1" t="s">
        <v>74</v>
      </c>
      <c r="M457" s="1" t="s">
        <v>74</v>
      </c>
      <c r="N457" s="1" t="s">
        <v>74</v>
      </c>
      <c r="O457" s="1" t="s">
        <v>74</v>
      </c>
      <c r="P457" s="1" t="s">
        <v>74</v>
      </c>
      <c r="Q457" s="1" t="s">
        <v>74</v>
      </c>
      <c r="R457" s="1" t="s">
        <v>74</v>
      </c>
      <c r="S457" s="1" t="s">
        <v>74</v>
      </c>
      <c r="T457" s="1" t="s">
        <v>74</v>
      </c>
      <c r="U457" s="1" t="s">
        <v>74</v>
      </c>
      <c r="V457" s="1" t="s">
        <v>4041</v>
      </c>
      <c r="W457" s="1" t="s">
        <v>74</v>
      </c>
      <c r="X457" s="1" t="s">
        <v>74</v>
      </c>
      <c r="Y457" s="1" t="s">
        <v>74</v>
      </c>
      <c r="Z457" s="1" t="s">
        <v>74</v>
      </c>
      <c r="AA457" s="1" t="s">
        <v>4042</v>
      </c>
      <c r="AB457" s="1" t="s">
        <v>4043</v>
      </c>
      <c r="AC457" s="1" t="s">
        <v>74</v>
      </c>
      <c r="AD457" s="1" t="s">
        <v>74</v>
      </c>
      <c r="AE457" s="1" t="s">
        <v>74</v>
      </c>
      <c r="AF457" s="1" t="s">
        <v>74</v>
      </c>
      <c r="AG457" s="1" t="s">
        <v>74</v>
      </c>
      <c r="AH457" s="1" t="s">
        <v>74</v>
      </c>
      <c r="AI457" s="1" t="s">
        <v>74</v>
      </c>
      <c r="AJ457" s="1" t="s">
        <v>74</v>
      </c>
      <c r="AK457" s="1" t="s">
        <v>74</v>
      </c>
      <c r="AL457" s="1" t="s">
        <v>74</v>
      </c>
      <c r="AM457" s="1" t="s">
        <v>74</v>
      </c>
      <c r="AN457" s="1" t="s">
        <v>74</v>
      </c>
      <c r="AO457" s="1" t="s">
        <v>403</v>
      </c>
      <c r="AP457" s="1" t="s">
        <v>404</v>
      </c>
      <c r="AQ457" s="1" t="s">
        <v>74</v>
      </c>
      <c r="AR457" s="1" t="s">
        <v>74</v>
      </c>
      <c r="AS457" s="1" t="s">
        <v>74</v>
      </c>
      <c r="AT457" s="1" t="s">
        <v>4044</v>
      </c>
      <c r="AU457" s="1">
        <v>2010.0</v>
      </c>
      <c r="AV457" s="1">
        <v>25.0</v>
      </c>
      <c r="AW457" s="1">
        <v>4.0</v>
      </c>
      <c r="AX457" s="1" t="s">
        <v>74</v>
      </c>
      <c r="AY457" s="1" t="s">
        <v>74</v>
      </c>
      <c r="AZ457" s="1" t="s">
        <v>74</v>
      </c>
      <c r="BA457" s="1" t="s">
        <v>74</v>
      </c>
      <c r="BB457" s="1">
        <v>277.0</v>
      </c>
      <c r="BC457" s="1">
        <v>282.0</v>
      </c>
      <c r="BD457" s="1" t="s">
        <v>74</v>
      </c>
      <c r="BE457" s="1" t="s">
        <v>4045</v>
      </c>
      <c r="BF457" s="2" t="str">
        <f>HYPERLINK("http://dx.doi.org/10.1142/S0217732310031671","http://dx.doi.org/10.1142/S0217732310031671")</f>
        <v>http://dx.doi.org/10.1142/S0217732310031671</v>
      </c>
      <c r="BG457" s="1" t="s">
        <v>74</v>
      </c>
      <c r="BH457" s="1" t="s">
        <v>74</v>
      </c>
      <c r="BI457" s="1" t="s">
        <v>74</v>
      </c>
      <c r="BJ457" s="1" t="s">
        <v>74</v>
      </c>
      <c r="BK457" s="1" t="s">
        <v>74</v>
      </c>
      <c r="BL457" s="1" t="s">
        <v>74</v>
      </c>
      <c r="BM457" s="1" t="s">
        <v>74</v>
      </c>
      <c r="BN457" s="1" t="s">
        <v>74</v>
      </c>
      <c r="BO457" s="1" t="s">
        <v>74</v>
      </c>
      <c r="BP457" s="1" t="s">
        <v>74</v>
      </c>
      <c r="BQ457" s="1" t="s">
        <v>74</v>
      </c>
      <c r="BR457" s="1" t="s">
        <v>74</v>
      </c>
      <c r="BS457" s="1" t="s">
        <v>4046</v>
      </c>
      <c r="BT457" s="1" t="str">
        <f>HYPERLINK("https%3A%2F%2Fwww.webofscience.com%2Fwos%2Fwoscc%2Ffull-record%2FWOS:000274914600005","View Full Record in Web of Science")</f>
        <v>View Full Record in Web of Science</v>
      </c>
    </row>
    <row r="458" ht="12.75" customHeight="1">
      <c r="A458" s="1" t="s">
        <v>91</v>
      </c>
      <c r="B458" s="1" t="s">
        <v>4047</v>
      </c>
      <c r="C458" s="1" t="s">
        <v>74</v>
      </c>
      <c r="D458" s="1" t="s">
        <v>4048</v>
      </c>
      <c r="E458" s="1" t="s">
        <v>74</v>
      </c>
      <c r="F458" s="1" t="s">
        <v>4049</v>
      </c>
      <c r="G458" s="1" t="s">
        <v>74</v>
      </c>
      <c r="H458" s="1" t="s">
        <v>74</v>
      </c>
      <c r="I458" s="1" t="s">
        <v>4050</v>
      </c>
      <c r="J458" s="1" t="s">
        <v>4051</v>
      </c>
      <c r="K458" s="1" t="s">
        <v>74</v>
      </c>
      <c r="L458" s="1" t="s">
        <v>74</v>
      </c>
      <c r="M458" s="1" t="s">
        <v>74</v>
      </c>
      <c r="N458" s="1" t="s">
        <v>74</v>
      </c>
      <c r="O458" s="1" t="s">
        <v>4052</v>
      </c>
      <c r="P458" s="1" t="s">
        <v>4053</v>
      </c>
      <c r="Q458" s="1" t="s">
        <v>4054</v>
      </c>
      <c r="R458" s="1" t="s">
        <v>4055</v>
      </c>
      <c r="S458" s="1" t="s">
        <v>74</v>
      </c>
      <c r="T458" s="1" t="s">
        <v>74</v>
      </c>
      <c r="U458" s="1" t="s">
        <v>74</v>
      </c>
      <c r="V458" s="1" t="s">
        <v>4056</v>
      </c>
      <c r="W458" s="1" t="s">
        <v>74</v>
      </c>
      <c r="X458" s="1" t="s">
        <v>74</v>
      </c>
      <c r="Y458" s="1" t="s">
        <v>74</v>
      </c>
      <c r="Z458" s="1" t="s">
        <v>74</v>
      </c>
      <c r="AA458" s="1" t="s">
        <v>4019</v>
      </c>
      <c r="AB458" s="1" t="s">
        <v>4057</v>
      </c>
      <c r="AC458" s="1" t="s">
        <v>74</v>
      </c>
      <c r="AD458" s="1" t="s">
        <v>74</v>
      </c>
      <c r="AE458" s="1" t="s">
        <v>74</v>
      </c>
      <c r="AF458" s="1" t="s">
        <v>74</v>
      </c>
      <c r="AG458" s="1" t="s">
        <v>74</v>
      </c>
      <c r="AH458" s="1" t="s">
        <v>74</v>
      </c>
      <c r="AI458" s="1" t="s">
        <v>74</v>
      </c>
      <c r="AJ458" s="1" t="s">
        <v>74</v>
      </c>
      <c r="AK458" s="1" t="s">
        <v>74</v>
      </c>
      <c r="AL458" s="1" t="s">
        <v>74</v>
      </c>
      <c r="AM458" s="1" t="s">
        <v>74</v>
      </c>
      <c r="AN458" s="1" t="s">
        <v>74</v>
      </c>
      <c r="AO458" s="1" t="s">
        <v>74</v>
      </c>
      <c r="AP458" s="1" t="s">
        <v>74</v>
      </c>
      <c r="AQ458" s="1" t="s">
        <v>4058</v>
      </c>
      <c r="AR458" s="1" t="s">
        <v>74</v>
      </c>
      <c r="AS458" s="1" t="s">
        <v>74</v>
      </c>
      <c r="AT458" s="1" t="s">
        <v>74</v>
      </c>
      <c r="AU458" s="1">
        <v>2010.0</v>
      </c>
      <c r="AV458" s="1" t="s">
        <v>74</v>
      </c>
      <c r="AW458" s="1" t="s">
        <v>74</v>
      </c>
      <c r="AX458" s="1" t="s">
        <v>74</v>
      </c>
      <c r="AY458" s="1" t="s">
        <v>74</v>
      </c>
      <c r="AZ458" s="1" t="s">
        <v>74</v>
      </c>
      <c r="BA458" s="1" t="s">
        <v>74</v>
      </c>
      <c r="BB458" s="1">
        <v>125.0</v>
      </c>
      <c r="BC458" s="1">
        <v>132.0</v>
      </c>
      <c r="BD458" s="1" t="s">
        <v>74</v>
      </c>
      <c r="BE458" s="1" t="s">
        <v>74</v>
      </c>
      <c r="BF458" s="1" t="s">
        <v>74</v>
      </c>
      <c r="BG458" s="1" t="s">
        <v>74</v>
      </c>
      <c r="BH458" s="1" t="s">
        <v>74</v>
      </c>
      <c r="BI458" s="1" t="s">
        <v>74</v>
      </c>
      <c r="BJ458" s="1" t="s">
        <v>74</v>
      </c>
      <c r="BK458" s="1" t="s">
        <v>74</v>
      </c>
      <c r="BL458" s="1" t="s">
        <v>74</v>
      </c>
      <c r="BM458" s="1" t="s">
        <v>74</v>
      </c>
      <c r="BN458" s="1" t="s">
        <v>74</v>
      </c>
      <c r="BO458" s="1" t="s">
        <v>74</v>
      </c>
      <c r="BP458" s="1" t="s">
        <v>74</v>
      </c>
      <c r="BQ458" s="1" t="s">
        <v>74</v>
      </c>
      <c r="BR458" s="1" t="s">
        <v>74</v>
      </c>
      <c r="BS458" s="1" t="s">
        <v>4059</v>
      </c>
      <c r="BT458" s="1" t="str">
        <f>HYPERLINK("https%3A%2F%2Fwww.webofscience.com%2Fwos%2Fwoscc%2Ffull-record%2FWOS:000393365300017","View Full Record in Web of Science")</f>
        <v>View Full Record in Web of Science</v>
      </c>
    </row>
    <row r="459" ht="12.75" customHeight="1">
      <c r="A459" s="1" t="s">
        <v>72</v>
      </c>
      <c r="B459" s="1" t="s">
        <v>1495</v>
      </c>
      <c r="C459" s="1" t="s">
        <v>74</v>
      </c>
      <c r="D459" s="1" t="s">
        <v>74</v>
      </c>
      <c r="E459" s="1" t="s">
        <v>74</v>
      </c>
      <c r="F459" s="1" t="s">
        <v>1496</v>
      </c>
      <c r="G459" s="1" t="s">
        <v>74</v>
      </c>
      <c r="H459" s="1" t="s">
        <v>74</v>
      </c>
      <c r="I459" s="1" t="s">
        <v>4060</v>
      </c>
      <c r="J459" s="1" t="s">
        <v>4061</v>
      </c>
      <c r="K459" s="1" t="s">
        <v>74</v>
      </c>
      <c r="L459" s="1" t="s">
        <v>74</v>
      </c>
      <c r="M459" s="1" t="s">
        <v>74</v>
      </c>
      <c r="N459" s="1" t="s">
        <v>74</v>
      </c>
      <c r="O459" s="1" t="s">
        <v>74</v>
      </c>
      <c r="P459" s="1" t="s">
        <v>74</v>
      </c>
      <c r="Q459" s="1" t="s">
        <v>74</v>
      </c>
      <c r="R459" s="1" t="s">
        <v>74</v>
      </c>
      <c r="S459" s="1" t="s">
        <v>74</v>
      </c>
      <c r="T459" s="1" t="s">
        <v>74</v>
      </c>
      <c r="U459" s="1" t="s">
        <v>74</v>
      </c>
      <c r="V459" s="1" t="s">
        <v>4062</v>
      </c>
      <c r="W459" s="1" t="s">
        <v>74</v>
      </c>
      <c r="X459" s="1" t="s">
        <v>74</v>
      </c>
      <c r="Y459" s="1" t="s">
        <v>74</v>
      </c>
      <c r="Z459" s="1" t="s">
        <v>74</v>
      </c>
      <c r="AA459" s="1" t="s">
        <v>74</v>
      </c>
      <c r="AB459" s="1" t="s">
        <v>3586</v>
      </c>
      <c r="AC459" s="1" t="s">
        <v>74</v>
      </c>
      <c r="AD459" s="1" t="s">
        <v>74</v>
      </c>
      <c r="AE459" s="1" t="s">
        <v>74</v>
      </c>
      <c r="AF459" s="1" t="s">
        <v>74</v>
      </c>
      <c r="AG459" s="1" t="s">
        <v>74</v>
      </c>
      <c r="AH459" s="1" t="s">
        <v>74</v>
      </c>
      <c r="AI459" s="1" t="s">
        <v>74</v>
      </c>
      <c r="AJ459" s="1" t="s">
        <v>74</v>
      </c>
      <c r="AK459" s="1" t="s">
        <v>74</v>
      </c>
      <c r="AL459" s="1" t="s">
        <v>74</v>
      </c>
      <c r="AM459" s="1" t="s">
        <v>74</v>
      </c>
      <c r="AN459" s="1" t="s">
        <v>74</v>
      </c>
      <c r="AO459" s="1" t="s">
        <v>4063</v>
      </c>
      <c r="AP459" s="1" t="s">
        <v>74</v>
      </c>
      <c r="AQ459" s="1" t="s">
        <v>74</v>
      </c>
      <c r="AR459" s="1" t="s">
        <v>74</v>
      </c>
      <c r="AS459" s="1" t="s">
        <v>74</v>
      </c>
      <c r="AT459" s="1" t="s">
        <v>74</v>
      </c>
      <c r="AU459" s="1">
        <v>2010.0</v>
      </c>
      <c r="AV459" s="1">
        <v>60.0</v>
      </c>
      <c r="AW459" s="1">
        <v>5.0</v>
      </c>
      <c r="AX459" s="1" t="s">
        <v>74</v>
      </c>
      <c r="AY459" s="1" t="s">
        <v>74</v>
      </c>
      <c r="AZ459" s="1" t="s">
        <v>74</v>
      </c>
      <c r="BA459" s="1" t="s">
        <v>74</v>
      </c>
      <c r="BB459" s="1">
        <v>1685.0</v>
      </c>
      <c r="BC459" s="1">
        <v>1740.0</v>
      </c>
      <c r="BD459" s="1" t="s">
        <v>74</v>
      </c>
      <c r="BE459" s="1" t="s">
        <v>4064</v>
      </c>
      <c r="BF459" s="2" t="str">
        <f>HYPERLINK("http://dx.doi.org/10.5802/aif.2570","http://dx.doi.org/10.5802/aif.2570")</f>
        <v>http://dx.doi.org/10.5802/aif.2570</v>
      </c>
      <c r="BG459" s="1" t="s">
        <v>74</v>
      </c>
      <c r="BH459" s="1" t="s">
        <v>74</v>
      </c>
      <c r="BI459" s="1" t="s">
        <v>74</v>
      </c>
      <c r="BJ459" s="1" t="s">
        <v>74</v>
      </c>
      <c r="BK459" s="1" t="s">
        <v>74</v>
      </c>
      <c r="BL459" s="1" t="s">
        <v>74</v>
      </c>
      <c r="BM459" s="1" t="s">
        <v>74</v>
      </c>
      <c r="BN459" s="1" t="s">
        <v>74</v>
      </c>
      <c r="BO459" s="1" t="s">
        <v>74</v>
      </c>
      <c r="BP459" s="1" t="s">
        <v>74</v>
      </c>
      <c r="BQ459" s="1" t="s">
        <v>74</v>
      </c>
      <c r="BR459" s="1" t="s">
        <v>74</v>
      </c>
      <c r="BS459" s="1" t="s">
        <v>4065</v>
      </c>
      <c r="BT459" s="1" t="str">
        <f>HYPERLINK("https%3A%2F%2Fwww.webofscience.com%2Fwos%2Fwoscc%2Ffull-record%2FWOS:000285215400008","View Full Record in Web of Science")</f>
        <v>View Full Record in Web of Science</v>
      </c>
    </row>
    <row r="460" ht="12.75" customHeight="1">
      <c r="A460" s="1" t="s">
        <v>72</v>
      </c>
      <c r="B460" s="1" t="s">
        <v>4066</v>
      </c>
      <c r="C460" s="1" t="s">
        <v>74</v>
      </c>
      <c r="D460" s="1" t="s">
        <v>74</v>
      </c>
      <c r="E460" s="1" t="s">
        <v>74</v>
      </c>
      <c r="F460" s="1" t="s">
        <v>4067</v>
      </c>
      <c r="G460" s="1" t="s">
        <v>74</v>
      </c>
      <c r="H460" s="1" t="s">
        <v>74</v>
      </c>
      <c r="I460" s="1" t="s">
        <v>4068</v>
      </c>
      <c r="J460" s="1" t="s">
        <v>920</v>
      </c>
      <c r="K460" s="1" t="s">
        <v>74</v>
      </c>
      <c r="L460" s="1" t="s">
        <v>74</v>
      </c>
      <c r="M460" s="1" t="s">
        <v>74</v>
      </c>
      <c r="N460" s="1" t="s">
        <v>74</v>
      </c>
      <c r="O460" s="1" t="s">
        <v>74</v>
      </c>
      <c r="P460" s="1" t="s">
        <v>74</v>
      </c>
      <c r="Q460" s="1" t="s">
        <v>74</v>
      </c>
      <c r="R460" s="1" t="s">
        <v>74</v>
      </c>
      <c r="S460" s="1" t="s">
        <v>74</v>
      </c>
      <c r="T460" s="1" t="s">
        <v>74</v>
      </c>
      <c r="U460" s="1" t="s">
        <v>74</v>
      </c>
      <c r="V460" s="1" t="s">
        <v>4069</v>
      </c>
      <c r="W460" s="1" t="s">
        <v>74</v>
      </c>
      <c r="X460" s="1" t="s">
        <v>74</v>
      </c>
      <c r="Y460" s="1" t="s">
        <v>74</v>
      </c>
      <c r="Z460" s="1" t="s">
        <v>74</v>
      </c>
      <c r="AA460" s="1" t="s">
        <v>74</v>
      </c>
      <c r="AB460" s="1" t="s">
        <v>74</v>
      </c>
      <c r="AC460" s="1" t="s">
        <v>74</v>
      </c>
      <c r="AD460" s="1" t="s">
        <v>74</v>
      </c>
      <c r="AE460" s="1" t="s">
        <v>74</v>
      </c>
      <c r="AF460" s="1" t="s">
        <v>74</v>
      </c>
      <c r="AG460" s="1" t="s">
        <v>74</v>
      </c>
      <c r="AH460" s="1" t="s">
        <v>74</v>
      </c>
      <c r="AI460" s="1" t="s">
        <v>74</v>
      </c>
      <c r="AJ460" s="1" t="s">
        <v>74</v>
      </c>
      <c r="AK460" s="1" t="s">
        <v>74</v>
      </c>
      <c r="AL460" s="1" t="s">
        <v>74</v>
      </c>
      <c r="AM460" s="1" t="s">
        <v>74</v>
      </c>
      <c r="AN460" s="1" t="s">
        <v>74</v>
      </c>
      <c r="AO460" s="1" t="s">
        <v>922</v>
      </c>
      <c r="AP460" s="1" t="s">
        <v>4070</v>
      </c>
      <c r="AQ460" s="1" t="s">
        <v>74</v>
      </c>
      <c r="AR460" s="1" t="s">
        <v>74</v>
      </c>
      <c r="AS460" s="1" t="s">
        <v>74</v>
      </c>
      <c r="AT460" s="1" t="s">
        <v>4071</v>
      </c>
      <c r="AU460" s="1">
        <v>2009.0</v>
      </c>
      <c r="AV460" s="1">
        <v>45.0</v>
      </c>
      <c r="AW460" s="1">
        <v>6.0</v>
      </c>
      <c r="AX460" s="1" t="s">
        <v>74</v>
      </c>
      <c r="AY460" s="1" t="s">
        <v>74</v>
      </c>
      <c r="AZ460" s="1" t="s">
        <v>74</v>
      </c>
      <c r="BA460" s="1" t="s">
        <v>74</v>
      </c>
      <c r="BB460" s="1">
        <v>432.0</v>
      </c>
      <c r="BC460" s="1">
        <v>438.0</v>
      </c>
      <c r="BD460" s="1" t="s">
        <v>74</v>
      </c>
      <c r="BE460" s="1" t="s">
        <v>4072</v>
      </c>
      <c r="BF460" s="2" t="str">
        <f>HYPERLINK("http://dx.doi.org/10.3989/revmetalm.0907","http://dx.doi.org/10.3989/revmetalm.0907")</f>
        <v>http://dx.doi.org/10.3989/revmetalm.0907</v>
      </c>
      <c r="BG460" s="1" t="s">
        <v>74</v>
      </c>
      <c r="BH460" s="1" t="s">
        <v>74</v>
      </c>
      <c r="BI460" s="1" t="s">
        <v>74</v>
      </c>
      <c r="BJ460" s="1" t="s">
        <v>74</v>
      </c>
      <c r="BK460" s="1" t="s">
        <v>74</v>
      </c>
      <c r="BL460" s="1" t="s">
        <v>74</v>
      </c>
      <c r="BM460" s="1" t="s">
        <v>74</v>
      </c>
      <c r="BN460" s="1" t="s">
        <v>74</v>
      </c>
      <c r="BO460" s="1" t="s">
        <v>74</v>
      </c>
      <c r="BP460" s="1" t="s">
        <v>74</v>
      </c>
      <c r="BQ460" s="1" t="s">
        <v>74</v>
      </c>
      <c r="BR460" s="1" t="s">
        <v>74</v>
      </c>
      <c r="BS460" s="1" t="s">
        <v>4073</v>
      </c>
      <c r="BT460" s="1" t="str">
        <f>HYPERLINK("https%3A%2F%2Fwww.webofscience.com%2Fwos%2Fwoscc%2Ffull-record%2FWOS:000274491700005","View Full Record in Web of Science")</f>
        <v>View Full Record in Web of Science</v>
      </c>
    </row>
    <row r="461" ht="12.75" customHeight="1">
      <c r="A461" s="1" t="s">
        <v>72</v>
      </c>
      <c r="B461" s="1" t="s">
        <v>3224</v>
      </c>
      <c r="C461" s="1" t="s">
        <v>74</v>
      </c>
      <c r="D461" s="1" t="s">
        <v>74</v>
      </c>
      <c r="E461" s="1" t="s">
        <v>74</v>
      </c>
      <c r="F461" s="1" t="s">
        <v>3225</v>
      </c>
      <c r="G461" s="1" t="s">
        <v>74</v>
      </c>
      <c r="H461" s="1" t="s">
        <v>74</v>
      </c>
      <c r="I461" s="1" t="s">
        <v>4074</v>
      </c>
      <c r="J461" s="1" t="s">
        <v>4075</v>
      </c>
      <c r="K461" s="1" t="s">
        <v>74</v>
      </c>
      <c r="L461" s="1" t="s">
        <v>74</v>
      </c>
      <c r="M461" s="1" t="s">
        <v>74</v>
      </c>
      <c r="N461" s="1" t="s">
        <v>74</v>
      </c>
      <c r="O461" s="1" t="s">
        <v>74</v>
      </c>
      <c r="P461" s="1" t="s">
        <v>74</v>
      </c>
      <c r="Q461" s="1" t="s">
        <v>74</v>
      </c>
      <c r="R461" s="1" t="s">
        <v>74</v>
      </c>
      <c r="S461" s="1" t="s">
        <v>74</v>
      </c>
      <c r="T461" s="1" t="s">
        <v>74</v>
      </c>
      <c r="U461" s="1" t="s">
        <v>74</v>
      </c>
      <c r="V461" s="1" t="s">
        <v>4076</v>
      </c>
      <c r="W461" s="1" t="s">
        <v>74</v>
      </c>
      <c r="X461" s="1" t="s">
        <v>74</v>
      </c>
      <c r="Y461" s="1" t="s">
        <v>74</v>
      </c>
      <c r="Z461" s="1" t="s">
        <v>74</v>
      </c>
      <c r="AA461" s="1" t="s">
        <v>74</v>
      </c>
      <c r="AB461" s="1" t="s">
        <v>74</v>
      </c>
      <c r="AC461" s="1" t="s">
        <v>74</v>
      </c>
      <c r="AD461" s="1" t="s">
        <v>74</v>
      </c>
      <c r="AE461" s="1" t="s">
        <v>74</v>
      </c>
      <c r="AF461" s="1" t="s">
        <v>74</v>
      </c>
      <c r="AG461" s="1" t="s">
        <v>74</v>
      </c>
      <c r="AH461" s="1" t="s">
        <v>74</v>
      </c>
      <c r="AI461" s="1" t="s">
        <v>74</v>
      </c>
      <c r="AJ461" s="1" t="s">
        <v>74</v>
      </c>
      <c r="AK461" s="1" t="s">
        <v>74</v>
      </c>
      <c r="AL461" s="1" t="s">
        <v>74</v>
      </c>
      <c r="AM461" s="1" t="s">
        <v>74</v>
      </c>
      <c r="AN461" s="1" t="s">
        <v>74</v>
      </c>
      <c r="AO461" s="1" t="s">
        <v>4077</v>
      </c>
      <c r="AP461" s="1" t="s">
        <v>4078</v>
      </c>
      <c r="AQ461" s="1" t="s">
        <v>74</v>
      </c>
      <c r="AR461" s="1" t="s">
        <v>74</v>
      </c>
      <c r="AS461" s="1" t="s">
        <v>74</v>
      </c>
      <c r="AT461" s="1" t="s">
        <v>276</v>
      </c>
      <c r="AU461" s="1">
        <v>2009.0</v>
      </c>
      <c r="AV461" s="1">
        <v>60.0</v>
      </c>
      <c r="AW461" s="1">
        <v>5.0</v>
      </c>
      <c r="AX461" s="1" t="s">
        <v>74</v>
      </c>
      <c r="AY461" s="1" t="s">
        <v>74</v>
      </c>
      <c r="AZ461" s="1" t="s">
        <v>74</v>
      </c>
      <c r="BA461" s="1" t="s">
        <v>74</v>
      </c>
      <c r="BB461" s="1">
        <v>797.0</v>
      </c>
      <c r="BC461" s="1">
        <v>822.0</v>
      </c>
      <c r="BD461" s="1" t="s">
        <v>74</v>
      </c>
      <c r="BE461" s="1" t="s">
        <v>4079</v>
      </c>
      <c r="BF461" s="2" t="str">
        <f>HYPERLINK("http://dx.doi.org/10.1007/s00033-008-7151-x","http://dx.doi.org/10.1007/s00033-008-7151-x")</f>
        <v>http://dx.doi.org/10.1007/s00033-008-7151-x</v>
      </c>
      <c r="BG461" s="1" t="s">
        <v>74</v>
      </c>
      <c r="BH461" s="1" t="s">
        <v>74</v>
      </c>
      <c r="BI461" s="1" t="s">
        <v>74</v>
      </c>
      <c r="BJ461" s="1" t="s">
        <v>74</v>
      </c>
      <c r="BK461" s="1" t="s">
        <v>74</v>
      </c>
      <c r="BL461" s="1" t="s">
        <v>74</v>
      </c>
      <c r="BM461" s="1" t="s">
        <v>74</v>
      </c>
      <c r="BN461" s="1" t="s">
        <v>74</v>
      </c>
      <c r="BO461" s="1" t="s">
        <v>74</v>
      </c>
      <c r="BP461" s="1" t="s">
        <v>74</v>
      </c>
      <c r="BQ461" s="1" t="s">
        <v>74</v>
      </c>
      <c r="BR461" s="1" t="s">
        <v>74</v>
      </c>
      <c r="BS461" s="1" t="s">
        <v>4080</v>
      </c>
      <c r="BT461" s="1" t="str">
        <f>HYPERLINK("https%3A%2F%2Fwww.webofscience.com%2Fwos%2Fwoscc%2Ffull-record%2FWOS:000269212400001","View Full Record in Web of Science")</f>
        <v>View Full Record in Web of Science</v>
      </c>
    </row>
    <row r="462" ht="12.75" customHeight="1">
      <c r="A462" s="1" t="s">
        <v>72</v>
      </c>
      <c r="B462" s="1" t="s">
        <v>4081</v>
      </c>
      <c r="C462" s="1" t="s">
        <v>74</v>
      </c>
      <c r="D462" s="1" t="s">
        <v>74</v>
      </c>
      <c r="E462" s="1" t="s">
        <v>74</v>
      </c>
      <c r="F462" s="1" t="s">
        <v>4082</v>
      </c>
      <c r="G462" s="1" t="s">
        <v>74</v>
      </c>
      <c r="H462" s="1" t="s">
        <v>74</v>
      </c>
      <c r="I462" s="1" t="s">
        <v>4083</v>
      </c>
      <c r="J462" s="1" t="s">
        <v>4084</v>
      </c>
      <c r="K462" s="1" t="s">
        <v>74</v>
      </c>
      <c r="L462" s="1" t="s">
        <v>74</v>
      </c>
      <c r="M462" s="1" t="s">
        <v>74</v>
      </c>
      <c r="N462" s="1" t="s">
        <v>74</v>
      </c>
      <c r="O462" s="1" t="s">
        <v>74</v>
      </c>
      <c r="P462" s="1" t="s">
        <v>74</v>
      </c>
      <c r="Q462" s="1" t="s">
        <v>74</v>
      </c>
      <c r="R462" s="1" t="s">
        <v>74</v>
      </c>
      <c r="S462" s="1" t="s">
        <v>74</v>
      </c>
      <c r="T462" s="1" t="s">
        <v>74</v>
      </c>
      <c r="U462" s="1" t="s">
        <v>74</v>
      </c>
      <c r="V462" s="1" t="s">
        <v>4085</v>
      </c>
      <c r="W462" s="1" t="s">
        <v>74</v>
      </c>
      <c r="X462" s="1" t="s">
        <v>74</v>
      </c>
      <c r="Y462" s="1" t="s">
        <v>74</v>
      </c>
      <c r="Z462" s="1" t="s">
        <v>74</v>
      </c>
      <c r="AA462" s="1" t="s">
        <v>74</v>
      </c>
      <c r="AB462" s="1" t="s">
        <v>74</v>
      </c>
      <c r="AC462" s="1" t="s">
        <v>74</v>
      </c>
      <c r="AD462" s="1" t="s">
        <v>74</v>
      </c>
      <c r="AE462" s="1" t="s">
        <v>74</v>
      </c>
      <c r="AF462" s="1" t="s">
        <v>74</v>
      </c>
      <c r="AG462" s="1" t="s">
        <v>74</v>
      </c>
      <c r="AH462" s="1" t="s">
        <v>74</v>
      </c>
      <c r="AI462" s="1" t="s">
        <v>74</v>
      </c>
      <c r="AJ462" s="1" t="s">
        <v>74</v>
      </c>
      <c r="AK462" s="1" t="s">
        <v>74</v>
      </c>
      <c r="AL462" s="1" t="s">
        <v>74</v>
      </c>
      <c r="AM462" s="1" t="s">
        <v>74</v>
      </c>
      <c r="AN462" s="1" t="s">
        <v>74</v>
      </c>
      <c r="AO462" s="1" t="s">
        <v>4086</v>
      </c>
      <c r="AP462" s="1" t="s">
        <v>74</v>
      </c>
      <c r="AQ462" s="1" t="s">
        <v>74</v>
      </c>
      <c r="AR462" s="1" t="s">
        <v>74</v>
      </c>
      <c r="AS462" s="1" t="s">
        <v>74</v>
      </c>
      <c r="AT462" s="1" t="s">
        <v>180</v>
      </c>
      <c r="AU462" s="1">
        <v>2009.0</v>
      </c>
      <c r="AV462" s="1">
        <v>22.0</v>
      </c>
      <c r="AW462" s="1">
        <v>6.0</v>
      </c>
      <c r="AX462" s="1" t="s">
        <v>74</v>
      </c>
      <c r="AY462" s="1" t="s">
        <v>74</v>
      </c>
      <c r="AZ462" s="1" t="s">
        <v>74</v>
      </c>
      <c r="BA462" s="1" t="s">
        <v>74</v>
      </c>
      <c r="BB462" s="1">
        <v>1413.0</v>
      </c>
      <c r="BC462" s="1">
        <v>1429.0</v>
      </c>
      <c r="BD462" s="1" t="s">
        <v>74</v>
      </c>
      <c r="BE462" s="1" t="s">
        <v>4087</v>
      </c>
      <c r="BF462" s="2" t="str">
        <f>HYPERLINK("http://dx.doi.org/10.1088/0951-7715/22/6/008","http://dx.doi.org/10.1088/0951-7715/22/6/008")</f>
        <v>http://dx.doi.org/10.1088/0951-7715/22/6/008</v>
      </c>
      <c r="BG462" s="1" t="s">
        <v>74</v>
      </c>
      <c r="BH462" s="1" t="s">
        <v>74</v>
      </c>
      <c r="BI462" s="1" t="s">
        <v>74</v>
      </c>
      <c r="BJ462" s="1" t="s">
        <v>74</v>
      </c>
      <c r="BK462" s="1" t="s">
        <v>74</v>
      </c>
      <c r="BL462" s="1" t="s">
        <v>74</v>
      </c>
      <c r="BM462" s="1" t="s">
        <v>74</v>
      </c>
      <c r="BN462" s="1" t="s">
        <v>74</v>
      </c>
      <c r="BO462" s="1" t="s">
        <v>74</v>
      </c>
      <c r="BP462" s="1" t="s">
        <v>74</v>
      </c>
      <c r="BQ462" s="1" t="s">
        <v>74</v>
      </c>
      <c r="BR462" s="1" t="s">
        <v>74</v>
      </c>
      <c r="BS462" s="1" t="s">
        <v>4088</v>
      </c>
      <c r="BT462" s="1" t="str">
        <f>HYPERLINK("https%3A%2F%2Fwww.webofscience.com%2Fwos%2Fwoscc%2Ffull-record%2FWOS:000266072500009","View Full Record in Web of Science")</f>
        <v>View Full Record in Web of Science</v>
      </c>
    </row>
    <row r="463" ht="12.75" customHeight="1">
      <c r="A463" s="1" t="s">
        <v>72</v>
      </c>
      <c r="B463" s="1" t="s">
        <v>4089</v>
      </c>
      <c r="C463" s="1" t="s">
        <v>74</v>
      </c>
      <c r="D463" s="1" t="s">
        <v>74</v>
      </c>
      <c r="E463" s="1" t="s">
        <v>74</v>
      </c>
      <c r="F463" s="1" t="s">
        <v>4090</v>
      </c>
      <c r="G463" s="1" t="s">
        <v>74</v>
      </c>
      <c r="H463" s="1" t="s">
        <v>74</v>
      </c>
      <c r="I463" s="1" t="s">
        <v>4091</v>
      </c>
      <c r="J463" s="1" t="s">
        <v>477</v>
      </c>
      <c r="K463" s="1" t="s">
        <v>74</v>
      </c>
      <c r="L463" s="1" t="s">
        <v>74</v>
      </c>
      <c r="M463" s="1" t="s">
        <v>74</v>
      </c>
      <c r="N463" s="1" t="s">
        <v>74</v>
      </c>
      <c r="O463" s="1" t="s">
        <v>74</v>
      </c>
      <c r="P463" s="1" t="s">
        <v>74</v>
      </c>
      <c r="Q463" s="1" t="s">
        <v>74</v>
      </c>
      <c r="R463" s="1" t="s">
        <v>74</v>
      </c>
      <c r="S463" s="1" t="s">
        <v>74</v>
      </c>
      <c r="T463" s="1" t="s">
        <v>74</v>
      </c>
      <c r="U463" s="1" t="s">
        <v>74</v>
      </c>
      <c r="V463" s="1" t="s">
        <v>74</v>
      </c>
      <c r="W463" s="1" t="s">
        <v>74</v>
      </c>
      <c r="X463" s="1" t="s">
        <v>74</v>
      </c>
      <c r="Y463" s="1" t="s">
        <v>74</v>
      </c>
      <c r="Z463" s="1" t="s">
        <v>74</v>
      </c>
      <c r="AA463" s="1" t="s">
        <v>74</v>
      </c>
      <c r="AB463" s="1" t="s">
        <v>74</v>
      </c>
      <c r="AC463" s="1" t="s">
        <v>74</v>
      </c>
      <c r="AD463" s="1" t="s">
        <v>74</v>
      </c>
      <c r="AE463" s="1" t="s">
        <v>74</v>
      </c>
      <c r="AF463" s="1" t="s">
        <v>74</v>
      </c>
      <c r="AG463" s="1" t="s">
        <v>74</v>
      </c>
      <c r="AH463" s="1" t="s">
        <v>74</v>
      </c>
      <c r="AI463" s="1" t="s">
        <v>74</v>
      </c>
      <c r="AJ463" s="1" t="s">
        <v>74</v>
      </c>
      <c r="AK463" s="1" t="s">
        <v>74</v>
      </c>
      <c r="AL463" s="1" t="s">
        <v>74</v>
      </c>
      <c r="AM463" s="1" t="s">
        <v>74</v>
      </c>
      <c r="AN463" s="1" t="s">
        <v>74</v>
      </c>
      <c r="AO463" s="1" t="s">
        <v>479</v>
      </c>
      <c r="AP463" s="1" t="s">
        <v>74</v>
      </c>
      <c r="AQ463" s="1" t="s">
        <v>74</v>
      </c>
      <c r="AR463" s="1" t="s">
        <v>74</v>
      </c>
      <c r="AS463" s="1" t="s">
        <v>74</v>
      </c>
      <c r="AT463" s="1" t="s">
        <v>347</v>
      </c>
      <c r="AU463" s="1">
        <v>2009.0</v>
      </c>
      <c r="AV463" s="1" t="s">
        <v>74</v>
      </c>
      <c r="AW463" s="1">
        <v>74.0</v>
      </c>
      <c r="AX463" s="1" t="s">
        <v>74</v>
      </c>
      <c r="AY463" s="1" t="s">
        <v>74</v>
      </c>
      <c r="AZ463" s="1" t="s">
        <v>74</v>
      </c>
      <c r="BA463" s="1" t="s">
        <v>74</v>
      </c>
      <c r="BB463" s="1">
        <v>225.0</v>
      </c>
      <c r="BC463" s="1">
        <v>239.0</v>
      </c>
      <c r="BD463" s="1" t="s">
        <v>74</v>
      </c>
      <c r="BE463" s="1" t="s">
        <v>74</v>
      </c>
      <c r="BF463" s="1" t="s">
        <v>74</v>
      </c>
      <c r="BG463" s="1" t="s">
        <v>74</v>
      </c>
      <c r="BH463" s="1" t="s">
        <v>74</v>
      </c>
      <c r="BI463" s="1" t="s">
        <v>74</v>
      </c>
      <c r="BJ463" s="1" t="s">
        <v>74</v>
      </c>
      <c r="BK463" s="1" t="s">
        <v>74</v>
      </c>
      <c r="BL463" s="1" t="s">
        <v>74</v>
      </c>
      <c r="BM463" s="1" t="s">
        <v>74</v>
      </c>
      <c r="BN463" s="1" t="s">
        <v>74</v>
      </c>
      <c r="BO463" s="1" t="s">
        <v>74</v>
      </c>
      <c r="BP463" s="1" t="s">
        <v>74</v>
      </c>
      <c r="BQ463" s="1" t="s">
        <v>74</v>
      </c>
      <c r="BR463" s="1" t="s">
        <v>74</v>
      </c>
      <c r="BS463" s="1" t="s">
        <v>4092</v>
      </c>
      <c r="BT463" s="1" t="str">
        <f>HYPERLINK("https%3A%2F%2Fwww.webofscience.com%2Fwos%2Fwoscc%2Ffull-record%2FWOS:000267810700011","View Full Record in Web of Science")</f>
        <v>View Full Record in Web of Science</v>
      </c>
    </row>
    <row r="464" ht="12.75" customHeight="1">
      <c r="A464" s="1" t="s">
        <v>72</v>
      </c>
      <c r="B464" s="1" t="s">
        <v>4093</v>
      </c>
      <c r="C464" s="1" t="s">
        <v>74</v>
      </c>
      <c r="D464" s="1" t="s">
        <v>74</v>
      </c>
      <c r="E464" s="1" t="s">
        <v>74</v>
      </c>
      <c r="F464" s="1" t="s">
        <v>4094</v>
      </c>
      <c r="G464" s="1" t="s">
        <v>74</v>
      </c>
      <c r="H464" s="1" t="s">
        <v>74</v>
      </c>
      <c r="I464" s="1" t="s">
        <v>4095</v>
      </c>
      <c r="J464" s="1" t="s">
        <v>920</v>
      </c>
      <c r="K464" s="1" t="s">
        <v>74</v>
      </c>
      <c r="L464" s="1" t="s">
        <v>74</v>
      </c>
      <c r="M464" s="1" t="s">
        <v>74</v>
      </c>
      <c r="N464" s="1" t="s">
        <v>74</v>
      </c>
      <c r="O464" s="1" t="s">
        <v>74</v>
      </c>
      <c r="P464" s="1" t="s">
        <v>74</v>
      </c>
      <c r="Q464" s="1" t="s">
        <v>74</v>
      </c>
      <c r="R464" s="1" t="s">
        <v>74</v>
      </c>
      <c r="S464" s="1" t="s">
        <v>74</v>
      </c>
      <c r="T464" s="1" t="s">
        <v>74</v>
      </c>
      <c r="U464" s="1" t="s">
        <v>74</v>
      </c>
      <c r="V464" s="1" t="s">
        <v>4096</v>
      </c>
      <c r="W464" s="1" t="s">
        <v>74</v>
      </c>
      <c r="X464" s="1" t="s">
        <v>74</v>
      </c>
      <c r="Y464" s="1" t="s">
        <v>74</v>
      </c>
      <c r="Z464" s="1" t="s">
        <v>74</v>
      </c>
      <c r="AA464" s="1" t="s">
        <v>74</v>
      </c>
      <c r="AB464" s="1" t="s">
        <v>4097</v>
      </c>
      <c r="AC464" s="1" t="s">
        <v>74</v>
      </c>
      <c r="AD464" s="1" t="s">
        <v>74</v>
      </c>
      <c r="AE464" s="1" t="s">
        <v>74</v>
      </c>
      <c r="AF464" s="1" t="s">
        <v>74</v>
      </c>
      <c r="AG464" s="1" t="s">
        <v>74</v>
      </c>
      <c r="AH464" s="1" t="s">
        <v>74</v>
      </c>
      <c r="AI464" s="1" t="s">
        <v>74</v>
      </c>
      <c r="AJ464" s="1" t="s">
        <v>74</v>
      </c>
      <c r="AK464" s="1" t="s">
        <v>74</v>
      </c>
      <c r="AL464" s="1" t="s">
        <v>74</v>
      </c>
      <c r="AM464" s="1" t="s">
        <v>74</v>
      </c>
      <c r="AN464" s="1" t="s">
        <v>74</v>
      </c>
      <c r="AO464" s="1" t="s">
        <v>922</v>
      </c>
      <c r="AP464" s="1" t="s">
        <v>4070</v>
      </c>
      <c r="AQ464" s="1" t="s">
        <v>74</v>
      </c>
      <c r="AR464" s="1" t="s">
        <v>74</v>
      </c>
      <c r="AS464" s="1" t="s">
        <v>74</v>
      </c>
      <c r="AT464" s="1" t="s">
        <v>1099</v>
      </c>
      <c r="AU464" s="1">
        <v>2007.0</v>
      </c>
      <c r="AV464" s="1">
        <v>43.0</v>
      </c>
      <c r="AW464" s="1">
        <v>3.0</v>
      </c>
      <c r="AX464" s="1" t="s">
        <v>74</v>
      </c>
      <c r="AY464" s="1" t="s">
        <v>74</v>
      </c>
      <c r="AZ464" s="1" t="s">
        <v>74</v>
      </c>
      <c r="BA464" s="1" t="s">
        <v>74</v>
      </c>
      <c r="BB464" s="1">
        <v>165.0</v>
      </c>
      <c r="BC464" s="1">
        <v>180.0</v>
      </c>
      <c r="BD464" s="1" t="s">
        <v>74</v>
      </c>
      <c r="BE464" s="1" t="s">
        <v>74</v>
      </c>
      <c r="BF464" s="1" t="s">
        <v>74</v>
      </c>
      <c r="BG464" s="1" t="s">
        <v>74</v>
      </c>
      <c r="BH464" s="1" t="s">
        <v>74</v>
      </c>
      <c r="BI464" s="1" t="s">
        <v>74</v>
      </c>
      <c r="BJ464" s="1" t="s">
        <v>74</v>
      </c>
      <c r="BK464" s="1" t="s">
        <v>74</v>
      </c>
      <c r="BL464" s="1" t="s">
        <v>74</v>
      </c>
      <c r="BM464" s="1" t="s">
        <v>74</v>
      </c>
      <c r="BN464" s="1" t="s">
        <v>74</v>
      </c>
      <c r="BO464" s="1" t="s">
        <v>74</v>
      </c>
      <c r="BP464" s="1" t="s">
        <v>74</v>
      </c>
      <c r="BQ464" s="1" t="s">
        <v>74</v>
      </c>
      <c r="BR464" s="1" t="s">
        <v>74</v>
      </c>
      <c r="BS464" s="1" t="s">
        <v>4098</v>
      </c>
      <c r="BT464" s="1" t="str">
        <f>HYPERLINK("https%3A%2F%2Fwww.webofscience.com%2Fwos%2Fwoscc%2Ffull-record%2FWOS:000247828900001","View Full Record in Web of Science")</f>
        <v>View Full Record in Web of Science</v>
      </c>
    </row>
    <row r="465" ht="12.75" customHeight="1">
      <c r="A465" s="1" t="s">
        <v>72</v>
      </c>
      <c r="B465" s="1" t="s">
        <v>4099</v>
      </c>
      <c r="C465" s="1" t="s">
        <v>74</v>
      </c>
      <c r="D465" s="1" t="s">
        <v>74</v>
      </c>
      <c r="E465" s="1" t="s">
        <v>74</v>
      </c>
      <c r="F465" s="1" t="s">
        <v>4100</v>
      </c>
      <c r="G465" s="1" t="s">
        <v>74</v>
      </c>
      <c r="H465" s="1" t="s">
        <v>74</v>
      </c>
      <c r="I465" s="1" t="s">
        <v>4101</v>
      </c>
      <c r="J465" s="1" t="s">
        <v>750</v>
      </c>
      <c r="K465" s="1" t="s">
        <v>74</v>
      </c>
      <c r="L465" s="1" t="s">
        <v>74</v>
      </c>
      <c r="M465" s="1" t="s">
        <v>74</v>
      </c>
      <c r="N465" s="1" t="s">
        <v>74</v>
      </c>
      <c r="O465" s="1" t="s">
        <v>74</v>
      </c>
      <c r="P465" s="1" t="s">
        <v>74</v>
      </c>
      <c r="Q465" s="1" t="s">
        <v>74</v>
      </c>
      <c r="R465" s="1" t="s">
        <v>74</v>
      </c>
      <c r="S465" s="1" t="s">
        <v>74</v>
      </c>
      <c r="T465" s="1" t="s">
        <v>74</v>
      </c>
      <c r="U465" s="1" t="s">
        <v>74</v>
      </c>
      <c r="V465" s="1" t="s">
        <v>4102</v>
      </c>
      <c r="W465" s="1" t="s">
        <v>74</v>
      </c>
      <c r="X465" s="1" t="s">
        <v>74</v>
      </c>
      <c r="Y465" s="1" t="s">
        <v>74</v>
      </c>
      <c r="Z465" s="1" t="s">
        <v>74</v>
      </c>
      <c r="AA465" s="1" t="s">
        <v>4103</v>
      </c>
      <c r="AB465" s="1" t="s">
        <v>4104</v>
      </c>
      <c r="AC465" s="1" t="s">
        <v>74</v>
      </c>
      <c r="AD465" s="1" t="s">
        <v>74</v>
      </c>
      <c r="AE465" s="1" t="s">
        <v>74</v>
      </c>
      <c r="AF465" s="1" t="s">
        <v>74</v>
      </c>
      <c r="AG465" s="1" t="s">
        <v>74</v>
      </c>
      <c r="AH465" s="1" t="s">
        <v>74</v>
      </c>
      <c r="AI465" s="1" t="s">
        <v>74</v>
      </c>
      <c r="AJ465" s="1" t="s">
        <v>74</v>
      </c>
      <c r="AK465" s="1" t="s">
        <v>74</v>
      </c>
      <c r="AL465" s="1" t="s">
        <v>74</v>
      </c>
      <c r="AM465" s="1" t="s">
        <v>74</v>
      </c>
      <c r="AN465" s="1" t="s">
        <v>74</v>
      </c>
      <c r="AO465" s="1" t="s">
        <v>754</v>
      </c>
      <c r="AP465" s="1" t="s">
        <v>74</v>
      </c>
      <c r="AQ465" s="1" t="s">
        <v>74</v>
      </c>
      <c r="AR465" s="1" t="s">
        <v>74</v>
      </c>
      <c r="AS465" s="1" t="s">
        <v>74</v>
      </c>
      <c r="AT465" s="1" t="s">
        <v>755</v>
      </c>
      <c r="AU465" s="1">
        <v>2006.0</v>
      </c>
      <c r="AV465" s="1">
        <v>9.0</v>
      </c>
      <c r="AW465" s="1">
        <v>4.0</v>
      </c>
      <c r="AX465" s="1" t="s">
        <v>74</v>
      </c>
      <c r="AY465" s="1" t="s">
        <v>74</v>
      </c>
      <c r="AZ465" s="1" t="s">
        <v>74</v>
      </c>
      <c r="BA465" s="1" t="s">
        <v>74</v>
      </c>
      <c r="BB465" s="1">
        <v>407.0</v>
      </c>
      <c r="BC465" s="1">
        <v>413.0</v>
      </c>
      <c r="BD465" s="1" t="s">
        <v>74</v>
      </c>
      <c r="BE465" s="1" t="s">
        <v>4105</v>
      </c>
      <c r="BF465" s="2" t="str">
        <f>HYPERLINK("http://dx.doi.org/10.2225/vol9-issue4-fulltext-8","http://dx.doi.org/10.2225/vol9-issue4-fulltext-8")</f>
        <v>http://dx.doi.org/10.2225/vol9-issue4-fulltext-8</v>
      </c>
      <c r="BG465" s="1" t="s">
        <v>74</v>
      </c>
      <c r="BH465" s="1" t="s">
        <v>74</v>
      </c>
      <c r="BI465" s="1" t="s">
        <v>74</v>
      </c>
      <c r="BJ465" s="1" t="s">
        <v>74</v>
      </c>
      <c r="BK465" s="1" t="s">
        <v>74</v>
      </c>
      <c r="BL465" s="1" t="s">
        <v>74</v>
      </c>
      <c r="BM465" s="1" t="s">
        <v>74</v>
      </c>
      <c r="BN465" s="1" t="s">
        <v>74</v>
      </c>
      <c r="BO465" s="1" t="s">
        <v>74</v>
      </c>
      <c r="BP465" s="1" t="s">
        <v>74</v>
      </c>
      <c r="BQ465" s="1" t="s">
        <v>74</v>
      </c>
      <c r="BR465" s="1" t="s">
        <v>74</v>
      </c>
      <c r="BS465" s="1" t="s">
        <v>4106</v>
      </c>
      <c r="BT465" s="1" t="str">
        <f>HYPERLINK("https%3A%2F%2Fwww.webofscience.com%2Fwos%2Fwoscc%2Ffull-record%2FWOS:000248639000009","View Full Record in Web of Science")</f>
        <v>View Full Record in Web of Science</v>
      </c>
    </row>
    <row r="466" ht="12.75" customHeight="1">
      <c r="A466" s="1" t="s">
        <v>72</v>
      </c>
      <c r="B466" s="1" t="s">
        <v>4107</v>
      </c>
      <c r="C466" s="1" t="s">
        <v>74</v>
      </c>
      <c r="D466" s="1" t="s">
        <v>74</v>
      </c>
      <c r="E466" s="1" t="s">
        <v>74</v>
      </c>
      <c r="F466" s="1" t="s">
        <v>4107</v>
      </c>
      <c r="G466" s="1" t="s">
        <v>74</v>
      </c>
      <c r="H466" s="1" t="s">
        <v>74</v>
      </c>
      <c r="I466" s="1" t="s">
        <v>4108</v>
      </c>
      <c r="J466" s="1" t="s">
        <v>1819</v>
      </c>
      <c r="K466" s="1" t="s">
        <v>74</v>
      </c>
      <c r="L466" s="1" t="s">
        <v>74</v>
      </c>
      <c r="M466" s="1" t="s">
        <v>74</v>
      </c>
      <c r="N466" s="1" t="s">
        <v>74</v>
      </c>
      <c r="O466" s="1" t="s">
        <v>74</v>
      </c>
      <c r="P466" s="1" t="s">
        <v>74</v>
      </c>
      <c r="Q466" s="1" t="s">
        <v>74</v>
      </c>
      <c r="R466" s="1" t="s">
        <v>74</v>
      </c>
      <c r="S466" s="1" t="s">
        <v>74</v>
      </c>
      <c r="T466" s="1" t="s">
        <v>74</v>
      </c>
      <c r="U466" s="1" t="s">
        <v>74</v>
      </c>
      <c r="V466" s="1" t="s">
        <v>4109</v>
      </c>
      <c r="W466" s="1" t="s">
        <v>74</v>
      </c>
      <c r="X466" s="1" t="s">
        <v>74</v>
      </c>
      <c r="Y466" s="1" t="s">
        <v>74</v>
      </c>
      <c r="Z466" s="1" t="s">
        <v>74</v>
      </c>
      <c r="AA466" s="1" t="s">
        <v>74</v>
      </c>
      <c r="AB466" s="1" t="s">
        <v>74</v>
      </c>
      <c r="AC466" s="1" t="s">
        <v>74</v>
      </c>
      <c r="AD466" s="1" t="s">
        <v>74</v>
      </c>
      <c r="AE466" s="1" t="s">
        <v>74</v>
      </c>
      <c r="AF466" s="1" t="s">
        <v>74</v>
      </c>
      <c r="AG466" s="1" t="s">
        <v>74</v>
      </c>
      <c r="AH466" s="1" t="s">
        <v>74</v>
      </c>
      <c r="AI466" s="1" t="s">
        <v>74</v>
      </c>
      <c r="AJ466" s="1" t="s">
        <v>74</v>
      </c>
      <c r="AK466" s="1" t="s">
        <v>74</v>
      </c>
      <c r="AL466" s="1" t="s">
        <v>74</v>
      </c>
      <c r="AM466" s="1" t="s">
        <v>74</v>
      </c>
      <c r="AN466" s="1" t="s">
        <v>74</v>
      </c>
      <c r="AO466" s="1" t="s">
        <v>1823</v>
      </c>
      <c r="AP466" s="1" t="s">
        <v>1824</v>
      </c>
      <c r="AQ466" s="1" t="s">
        <v>74</v>
      </c>
      <c r="AR466" s="1" t="s">
        <v>74</v>
      </c>
      <c r="AS466" s="1" t="s">
        <v>74</v>
      </c>
      <c r="AT466" s="1" t="s">
        <v>347</v>
      </c>
      <c r="AU466" s="1">
        <v>2006.0</v>
      </c>
      <c r="AV466" s="1">
        <v>73.0</v>
      </c>
      <c r="AW466" s="1">
        <v>4.0</v>
      </c>
      <c r="AX466" s="1">
        <v>2.0</v>
      </c>
      <c r="AY466" s="1" t="s">
        <v>74</v>
      </c>
      <c r="AZ466" s="1" t="s">
        <v>74</v>
      </c>
      <c r="BA466" s="1" t="s">
        <v>74</v>
      </c>
      <c r="BB466" s="1" t="s">
        <v>74</v>
      </c>
      <c r="BC466" s="1" t="s">
        <v>74</v>
      </c>
      <c r="BD466" s="1">
        <v>46130.0</v>
      </c>
      <c r="BE466" s="1" t="s">
        <v>4110</v>
      </c>
      <c r="BF466" s="2" t="str">
        <f>HYPERLINK("http://dx.doi.org/10.1103/PhysRevE.73.046130","http://dx.doi.org/10.1103/PhysRevE.73.046130")</f>
        <v>http://dx.doi.org/10.1103/PhysRevE.73.046130</v>
      </c>
      <c r="BG466" s="1" t="s">
        <v>74</v>
      </c>
      <c r="BH466" s="1" t="s">
        <v>74</v>
      </c>
      <c r="BI466" s="1" t="s">
        <v>74</v>
      </c>
      <c r="BJ466" s="1" t="s">
        <v>74</v>
      </c>
      <c r="BK466" s="1" t="s">
        <v>74</v>
      </c>
      <c r="BL466" s="1" t="s">
        <v>74</v>
      </c>
      <c r="BM466" s="1" t="s">
        <v>74</v>
      </c>
      <c r="BN466" s="1">
        <v>1.6711901E7</v>
      </c>
      <c r="BO466" s="1" t="s">
        <v>74</v>
      </c>
      <c r="BP466" s="1" t="s">
        <v>74</v>
      </c>
      <c r="BQ466" s="1" t="s">
        <v>74</v>
      </c>
      <c r="BR466" s="1" t="s">
        <v>74</v>
      </c>
      <c r="BS466" s="1" t="s">
        <v>4111</v>
      </c>
      <c r="BT466" s="1" t="str">
        <f>HYPERLINK("https%3A%2F%2Fwww.webofscience.com%2Fwos%2Fwoscc%2Ffull-record%2FWOS:000237146800038","View Full Record in Web of Science")</f>
        <v>View Full Record in Web of Science</v>
      </c>
    </row>
    <row r="467" ht="12.75" customHeight="1">
      <c r="A467" s="1" t="s">
        <v>72</v>
      </c>
      <c r="B467" s="1" t="s">
        <v>4112</v>
      </c>
      <c r="C467" s="1" t="s">
        <v>74</v>
      </c>
      <c r="D467" s="1" t="s">
        <v>74</v>
      </c>
      <c r="E467" s="1" t="s">
        <v>74</v>
      </c>
      <c r="F467" s="1" t="s">
        <v>4112</v>
      </c>
      <c r="G467" s="1" t="s">
        <v>74</v>
      </c>
      <c r="H467" s="1" t="s">
        <v>74</v>
      </c>
      <c r="I467" s="1" t="s">
        <v>4113</v>
      </c>
      <c r="J467" s="1" t="s">
        <v>1361</v>
      </c>
      <c r="K467" s="1" t="s">
        <v>74</v>
      </c>
      <c r="L467" s="1" t="s">
        <v>74</v>
      </c>
      <c r="M467" s="1" t="s">
        <v>74</v>
      </c>
      <c r="N467" s="1" t="s">
        <v>74</v>
      </c>
      <c r="O467" s="1" t="s">
        <v>74</v>
      </c>
      <c r="P467" s="1" t="s">
        <v>74</v>
      </c>
      <c r="Q467" s="1" t="s">
        <v>74</v>
      </c>
      <c r="R467" s="1" t="s">
        <v>74</v>
      </c>
      <c r="S467" s="1" t="s">
        <v>74</v>
      </c>
      <c r="T467" s="1" t="s">
        <v>74</v>
      </c>
      <c r="U467" s="1" t="s">
        <v>74</v>
      </c>
      <c r="V467" s="1" t="s">
        <v>4114</v>
      </c>
      <c r="W467" s="1" t="s">
        <v>74</v>
      </c>
      <c r="X467" s="1" t="s">
        <v>74</v>
      </c>
      <c r="Y467" s="1" t="s">
        <v>74</v>
      </c>
      <c r="Z467" s="1" t="s">
        <v>74</v>
      </c>
      <c r="AA467" s="1" t="s">
        <v>4115</v>
      </c>
      <c r="AB467" s="1" t="s">
        <v>4116</v>
      </c>
      <c r="AC467" s="1" t="s">
        <v>74</v>
      </c>
      <c r="AD467" s="1" t="s">
        <v>74</v>
      </c>
      <c r="AE467" s="1" t="s">
        <v>74</v>
      </c>
      <c r="AF467" s="1" t="s">
        <v>74</v>
      </c>
      <c r="AG467" s="1" t="s">
        <v>74</v>
      </c>
      <c r="AH467" s="1" t="s">
        <v>74</v>
      </c>
      <c r="AI467" s="1" t="s">
        <v>74</v>
      </c>
      <c r="AJ467" s="1" t="s">
        <v>74</v>
      </c>
      <c r="AK467" s="1" t="s">
        <v>74</v>
      </c>
      <c r="AL467" s="1" t="s">
        <v>74</v>
      </c>
      <c r="AM467" s="1" t="s">
        <v>74</v>
      </c>
      <c r="AN467" s="1" t="s">
        <v>74</v>
      </c>
      <c r="AO467" s="1" t="s">
        <v>1365</v>
      </c>
      <c r="AP467" s="1" t="s">
        <v>1366</v>
      </c>
      <c r="AQ467" s="1" t="s">
        <v>74</v>
      </c>
      <c r="AR467" s="1" t="s">
        <v>74</v>
      </c>
      <c r="AS467" s="1" t="s">
        <v>74</v>
      </c>
      <c r="AT467" s="1" t="s">
        <v>727</v>
      </c>
      <c r="AU467" s="1">
        <v>2005.0</v>
      </c>
      <c r="AV467" s="1">
        <v>170.0</v>
      </c>
      <c r="AW467" s="1">
        <v>2.0</v>
      </c>
      <c r="AX467" s="1" t="s">
        <v>74</v>
      </c>
      <c r="AY467" s="1" t="s">
        <v>74</v>
      </c>
      <c r="AZ467" s="1" t="s">
        <v>74</v>
      </c>
      <c r="BA467" s="1" t="s">
        <v>74</v>
      </c>
      <c r="BB467" s="1">
        <v>909.0</v>
      </c>
      <c r="BC467" s="1">
        <v>923.0</v>
      </c>
      <c r="BD467" s="1" t="s">
        <v>74</v>
      </c>
      <c r="BE467" s="1" t="s">
        <v>4117</v>
      </c>
      <c r="BF467" s="2" t="str">
        <f>HYPERLINK("http://dx.doi.org/10.1016/j.amc.2004.12.029","http://dx.doi.org/10.1016/j.amc.2004.12.029")</f>
        <v>http://dx.doi.org/10.1016/j.amc.2004.12.029</v>
      </c>
      <c r="BG467" s="1" t="s">
        <v>74</v>
      </c>
      <c r="BH467" s="1" t="s">
        <v>74</v>
      </c>
      <c r="BI467" s="1" t="s">
        <v>74</v>
      </c>
      <c r="BJ467" s="1" t="s">
        <v>74</v>
      </c>
      <c r="BK467" s="1" t="s">
        <v>74</v>
      </c>
      <c r="BL467" s="1" t="s">
        <v>74</v>
      </c>
      <c r="BM467" s="1" t="s">
        <v>74</v>
      </c>
      <c r="BN467" s="1" t="s">
        <v>74</v>
      </c>
      <c r="BO467" s="1" t="s">
        <v>74</v>
      </c>
      <c r="BP467" s="1" t="s">
        <v>74</v>
      </c>
      <c r="BQ467" s="1" t="s">
        <v>74</v>
      </c>
      <c r="BR467" s="1" t="s">
        <v>74</v>
      </c>
      <c r="BS467" s="1" t="s">
        <v>4118</v>
      </c>
      <c r="BT467" s="1" t="str">
        <f>HYPERLINK("https%3A%2F%2Fwww.webofscience.com%2Fwos%2Fwoscc%2Ffull-record%2FWOS:000233054500014","View Full Record in Web of Science")</f>
        <v>View Full Record in Web of Science</v>
      </c>
    </row>
    <row r="468" ht="12.75" customHeight="1">
      <c r="A468" s="1" t="s">
        <v>72</v>
      </c>
      <c r="B468" s="1" t="s">
        <v>4119</v>
      </c>
      <c r="C468" s="1" t="s">
        <v>74</v>
      </c>
      <c r="D468" s="1" t="s">
        <v>74</v>
      </c>
      <c r="E468" s="1" t="s">
        <v>74</v>
      </c>
      <c r="F468" s="1" t="s">
        <v>4119</v>
      </c>
      <c r="G468" s="1" t="s">
        <v>74</v>
      </c>
      <c r="H468" s="1" t="s">
        <v>74</v>
      </c>
      <c r="I468" s="1" t="s">
        <v>4120</v>
      </c>
      <c r="J468" s="1" t="s">
        <v>4121</v>
      </c>
      <c r="K468" s="1" t="s">
        <v>74</v>
      </c>
      <c r="L468" s="1" t="s">
        <v>74</v>
      </c>
      <c r="M468" s="1" t="s">
        <v>74</v>
      </c>
      <c r="N468" s="1" t="s">
        <v>74</v>
      </c>
      <c r="O468" s="1" t="s">
        <v>74</v>
      </c>
      <c r="P468" s="1" t="s">
        <v>74</v>
      </c>
      <c r="Q468" s="1" t="s">
        <v>74</v>
      </c>
      <c r="R468" s="1" t="s">
        <v>74</v>
      </c>
      <c r="S468" s="1" t="s">
        <v>74</v>
      </c>
      <c r="T468" s="1" t="s">
        <v>74</v>
      </c>
      <c r="U468" s="1" t="s">
        <v>74</v>
      </c>
      <c r="V468" s="1" t="s">
        <v>4122</v>
      </c>
      <c r="W468" s="1" t="s">
        <v>74</v>
      </c>
      <c r="X468" s="1" t="s">
        <v>74</v>
      </c>
      <c r="Y468" s="1" t="s">
        <v>74</v>
      </c>
      <c r="Z468" s="1" t="s">
        <v>74</v>
      </c>
      <c r="AA468" s="1" t="s">
        <v>1642</v>
      </c>
      <c r="AB468" s="1" t="s">
        <v>1643</v>
      </c>
      <c r="AC468" s="1" t="s">
        <v>74</v>
      </c>
      <c r="AD468" s="1" t="s">
        <v>74</v>
      </c>
      <c r="AE468" s="1" t="s">
        <v>74</v>
      </c>
      <c r="AF468" s="1" t="s">
        <v>74</v>
      </c>
      <c r="AG468" s="1" t="s">
        <v>74</v>
      </c>
      <c r="AH468" s="1" t="s">
        <v>74</v>
      </c>
      <c r="AI468" s="1" t="s">
        <v>74</v>
      </c>
      <c r="AJ468" s="1" t="s">
        <v>74</v>
      </c>
      <c r="AK468" s="1" t="s">
        <v>74</v>
      </c>
      <c r="AL468" s="1" t="s">
        <v>74</v>
      </c>
      <c r="AM468" s="1" t="s">
        <v>74</v>
      </c>
      <c r="AN468" s="1" t="s">
        <v>74</v>
      </c>
      <c r="AO468" s="1" t="s">
        <v>4123</v>
      </c>
      <c r="AP468" s="1" t="s">
        <v>4124</v>
      </c>
      <c r="AQ468" s="1" t="s">
        <v>74</v>
      </c>
      <c r="AR468" s="1" t="s">
        <v>74</v>
      </c>
      <c r="AS468" s="1" t="s">
        <v>74</v>
      </c>
      <c r="AT468" s="1" t="s">
        <v>370</v>
      </c>
      <c r="AU468" s="1">
        <v>2005.0</v>
      </c>
      <c r="AV468" s="1">
        <v>46.0</v>
      </c>
      <c r="AW468" s="1">
        <v>7.0</v>
      </c>
      <c r="AX468" s="1" t="s">
        <v>74</v>
      </c>
      <c r="AY468" s="1" t="s">
        <v>74</v>
      </c>
      <c r="AZ468" s="1" t="s">
        <v>74</v>
      </c>
      <c r="BA468" s="1" t="s">
        <v>74</v>
      </c>
      <c r="BB468" s="1" t="s">
        <v>74</v>
      </c>
      <c r="BC468" s="1" t="s">
        <v>74</v>
      </c>
      <c r="BD468" s="1">
        <v>73507.0</v>
      </c>
      <c r="BE468" s="1" t="s">
        <v>4125</v>
      </c>
      <c r="BF468" s="2" t="str">
        <f>HYPERLINK("http://dx.doi.org/10.1063/1.1939988","http://dx.doi.org/10.1063/1.1939988")</f>
        <v>http://dx.doi.org/10.1063/1.1939988</v>
      </c>
      <c r="BG468" s="1" t="s">
        <v>74</v>
      </c>
      <c r="BH468" s="1" t="s">
        <v>74</v>
      </c>
      <c r="BI468" s="1" t="s">
        <v>74</v>
      </c>
      <c r="BJ468" s="1" t="s">
        <v>74</v>
      </c>
      <c r="BK468" s="1" t="s">
        <v>74</v>
      </c>
      <c r="BL468" s="1" t="s">
        <v>74</v>
      </c>
      <c r="BM468" s="1" t="s">
        <v>74</v>
      </c>
      <c r="BN468" s="1" t="s">
        <v>74</v>
      </c>
      <c r="BO468" s="1" t="s">
        <v>74</v>
      </c>
      <c r="BP468" s="1" t="s">
        <v>74</v>
      </c>
      <c r="BQ468" s="1" t="s">
        <v>74</v>
      </c>
      <c r="BR468" s="1" t="s">
        <v>74</v>
      </c>
      <c r="BS468" s="1" t="s">
        <v>4126</v>
      </c>
      <c r="BT468" s="1" t="str">
        <f>HYPERLINK("https%3A%2F%2Fwww.webofscience.com%2Fwos%2Fwoscc%2Ffull-record%2FWOS:000230602900030","View Full Record in Web of Science")</f>
        <v>View Full Record in Web of Science</v>
      </c>
    </row>
    <row r="469" ht="12.75" customHeight="1">
      <c r="A469" s="1" t="s">
        <v>72</v>
      </c>
      <c r="B469" s="1" t="s">
        <v>4127</v>
      </c>
      <c r="C469" s="1" t="s">
        <v>74</v>
      </c>
      <c r="D469" s="1" t="s">
        <v>74</v>
      </c>
      <c r="E469" s="1" t="s">
        <v>74</v>
      </c>
      <c r="F469" s="1" t="s">
        <v>4127</v>
      </c>
      <c r="G469" s="1" t="s">
        <v>74</v>
      </c>
      <c r="H469" s="1" t="s">
        <v>74</v>
      </c>
      <c r="I469" s="1" t="s">
        <v>4128</v>
      </c>
      <c r="J469" s="1" t="s">
        <v>4129</v>
      </c>
      <c r="K469" s="1" t="s">
        <v>74</v>
      </c>
      <c r="L469" s="1" t="s">
        <v>74</v>
      </c>
      <c r="M469" s="1" t="s">
        <v>74</v>
      </c>
      <c r="N469" s="1" t="s">
        <v>74</v>
      </c>
      <c r="O469" s="1" t="s">
        <v>74</v>
      </c>
      <c r="P469" s="1" t="s">
        <v>74</v>
      </c>
      <c r="Q469" s="1" t="s">
        <v>74</v>
      </c>
      <c r="R469" s="1" t="s">
        <v>74</v>
      </c>
      <c r="S469" s="1" t="s">
        <v>74</v>
      </c>
      <c r="T469" s="1" t="s">
        <v>74</v>
      </c>
      <c r="U469" s="1" t="s">
        <v>74</v>
      </c>
      <c r="V469" s="1" t="s">
        <v>4130</v>
      </c>
      <c r="W469" s="1" t="s">
        <v>74</v>
      </c>
      <c r="X469" s="1" t="s">
        <v>74</v>
      </c>
      <c r="Y469" s="1" t="s">
        <v>74</v>
      </c>
      <c r="Z469" s="1" t="s">
        <v>74</v>
      </c>
      <c r="AA469" s="1" t="s">
        <v>4131</v>
      </c>
      <c r="AB469" s="1" t="s">
        <v>4132</v>
      </c>
      <c r="AC469" s="1" t="s">
        <v>74</v>
      </c>
      <c r="AD469" s="1" t="s">
        <v>74</v>
      </c>
      <c r="AE469" s="1" t="s">
        <v>74</v>
      </c>
      <c r="AF469" s="1" t="s">
        <v>74</v>
      </c>
      <c r="AG469" s="1" t="s">
        <v>74</v>
      </c>
      <c r="AH469" s="1" t="s">
        <v>74</v>
      </c>
      <c r="AI469" s="1" t="s">
        <v>74</v>
      </c>
      <c r="AJ469" s="1" t="s">
        <v>74</v>
      </c>
      <c r="AK469" s="1" t="s">
        <v>74</v>
      </c>
      <c r="AL469" s="1" t="s">
        <v>74</v>
      </c>
      <c r="AM469" s="1" t="s">
        <v>74</v>
      </c>
      <c r="AN469" s="1" t="s">
        <v>74</v>
      </c>
      <c r="AO469" s="1" t="s">
        <v>4133</v>
      </c>
      <c r="AP469" s="1" t="s">
        <v>4134</v>
      </c>
      <c r="AQ469" s="1" t="s">
        <v>74</v>
      </c>
      <c r="AR469" s="1" t="s">
        <v>74</v>
      </c>
      <c r="AS469" s="1" t="s">
        <v>74</v>
      </c>
      <c r="AT469" s="1" t="s">
        <v>4135</v>
      </c>
      <c r="AU469" s="1">
        <v>2005.0</v>
      </c>
      <c r="AV469" s="1">
        <v>97.0</v>
      </c>
      <c r="AW469" s="1">
        <v>2.0</v>
      </c>
      <c r="AX469" s="1" t="s">
        <v>74</v>
      </c>
      <c r="AY469" s="1" t="s">
        <v>74</v>
      </c>
      <c r="AZ469" s="1" t="s">
        <v>74</v>
      </c>
      <c r="BA469" s="1" t="s">
        <v>74</v>
      </c>
      <c r="BB469" s="1">
        <v>485.0</v>
      </c>
      <c r="BC469" s="1">
        <v>492.0</v>
      </c>
      <c r="BD469" s="1" t="s">
        <v>74</v>
      </c>
      <c r="BE469" s="1" t="s">
        <v>4136</v>
      </c>
      <c r="BF469" s="2" t="str">
        <f>HYPERLINK("http://dx.doi.org/10.3852/mycologia.97.2.485","http://dx.doi.org/10.3852/mycologia.97.2.485")</f>
        <v>http://dx.doi.org/10.3852/mycologia.97.2.485</v>
      </c>
      <c r="BG469" s="1" t="s">
        <v>74</v>
      </c>
      <c r="BH469" s="1" t="s">
        <v>74</v>
      </c>
      <c r="BI469" s="1" t="s">
        <v>74</v>
      </c>
      <c r="BJ469" s="1" t="s">
        <v>74</v>
      </c>
      <c r="BK469" s="1" t="s">
        <v>74</v>
      </c>
      <c r="BL469" s="1" t="s">
        <v>74</v>
      </c>
      <c r="BM469" s="1" t="s">
        <v>74</v>
      </c>
      <c r="BN469" s="1">
        <v>1.6396356E7</v>
      </c>
      <c r="BO469" s="1" t="s">
        <v>74</v>
      </c>
      <c r="BP469" s="1" t="s">
        <v>74</v>
      </c>
      <c r="BQ469" s="1" t="s">
        <v>74</v>
      </c>
      <c r="BR469" s="1" t="s">
        <v>74</v>
      </c>
      <c r="BS469" s="1" t="s">
        <v>4137</v>
      </c>
      <c r="BT469" s="1" t="str">
        <f>HYPERLINK("https%3A%2F%2Fwww.webofscience.com%2Fwos%2Fwoscc%2Ffull-record%2FWOS:000230336600021","View Full Record in Web of Science")</f>
        <v>View Full Record in Web of Science</v>
      </c>
    </row>
    <row r="470" ht="12.75" customHeight="1">
      <c r="A470" s="1" t="s">
        <v>72</v>
      </c>
      <c r="B470" s="1" t="s">
        <v>4081</v>
      </c>
      <c r="C470" s="1" t="s">
        <v>74</v>
      </c>
      <c r="D470" s="1" t="s">
        <v>74</v>
      </c>
      <c r="E470" s="1" t="s">
        <v>74</v>
      </c>
      <c r="F470" s="1" t="s">
        <v>4081</v>
      </c>
      <c r="G470" s="1" t="s">
        <v>74</v>
      </c>
      <c r="H470" s="1" t="s">
        <v>74</v>
      </c>
      <c r="I470" s="1" t="s">
        <v>4138</v>
      </c>
      <c r="J470" s="1" t="s">
        <v>4139</v>
      </c>
      <c r="K470" s="1" t="s">
        <v>74</v>
      </c>
      <c r="L470" s="1" t="s">
        <v>74</v>
      </c>
      <c r="M470" s="1" t="s">
        <v>74</v>
      </c>
      <c r="N470" s="1" t="s">
        <v>74</v>
      </c>
      <c r="O470" s="1" t="s">
        <v>74</v>
      </c>
      <c r="P470" s="1" t="s">
        <v>74</v>
      </c>
      <c r="Q470" s="1" t="s">
        <v>74</v>
      </c>
      <c r="R470" s="1" t="s">
        <v>74</v>
      </c>
      <c r="S470" s="1" t="s">
        <v>74</v>
      </c>
      <c r="T470" s="1" t="s">
        <v>74</v>
      </c>
      <c r="U470" s="1" t="s">
        <v>74</v>
      </c>
      <c r="V470" s="1" t="s">
        <v>4140</v>
      </c>
      <c r="W470" s="1" t="s">
        <v>74</v>
      </c>
      <c r="X470" s="1" t="s">
        <v>74</v>
      </c>
      <c r="Y470" s="1" t="s">
        <v>74</v>
      </c>
      <c r="Z470" s="1" t="s">
        <v>74</v>
      </c>
      <c r="AA470" s="1" t="s">
        <v>74</v>
      </c>
      <c r="AB470" s="1" t="s">
        <v>74</v>
      </c>
      <c r="AC470" s="1" t="s">
        <v>74</v>
      </c>
      <c r="AD470" s="1" t="s">
        <v>74</v>
      </c>
      <c r="AE470" s="1" t="s">
        <v>74</v>
      </c>
      <c r="AF470" s="1" t="s">
        <v>74</v>
      </c>
      <c r="AG470" s="1" t="s">
        <v>74</v>
      </c>
      <c r="AH470" s="1" t="s">
        <v>74</v>
      </c>
      <c r="AI470" s="1" t="s">
        <v>74</v>
      </c>
      <c r="AJ470" s="1" t="s">
        <v>74</v>
      </c>
      <c r="AK470" s="1" t="s">
        <v>74</v>
      </c>
      <c r="AL470" s="1" t="s">
        <v>74</v>
      </c>
      <c r="AM470" s="1" t="s">
        <v>74</v>
      </c>
      <c r="AN470" s="1" t="s">
        <v>74</v>
      </c>
      <c r="AO470" s="1" t="s">
        <v>4141</v>
      </c>
      <c r="AP470" s="1" t="s">
        <v>74</v>
      </c>
      <c r="AQ470" s="1" t="s">
        <v>74</v>
      </c>
      <c r="AR470" s="1" t="s">
        <v>74</v>
      </c>
      <c r="AS470" s="1" t="s">
        <v>74</v>
      </c>
      <c r="AT470" s="1" t="s">
        <v>299</v>
      </c>
      <c r="AU470" s="1">
        <v>2005.0</v>
      </c>
      <c r="AV470" s="1">
        <v>18.0</v>
      </c>
      <c r="AW470" s="1">
        <v>1.0</v>
      </c>
      <c r="AX470" s="1" t="s">
        <v>74</v>
      </c>
      <c r="AY470" s="1" t="s">
        <v>74</v>
      </c>
      <c r="AZ470" s="1" t="s">
        <v>74</v>
      </c>
      <c r="BA470" s="1" t="s">
        <v>74</v>
      </c>
      <c r="BB470" s="1">
        <v>187.0</v>
      </c>
      <c r="BC470" s="1">
        <v>207.0</v>
      </c>
      <c r="BD470" s="1" t="s">
        <v>74</v>
      </c>
      <c r="BE470" s="1" t="s">
        <v>4142</v>
      </c>
      <c r="BF470" s="2" t="str">
        <f>HYPERLINK("http://dx.doi.org/10.1007/s10959-004-2594-2","http://dx.doi.org/10.1007/s10959-004-2594-2")</f>
        <v>http://dx.doi.org/10.1007/s10959-004-2594-2</v>
      </c>
      <c r="BG470" s="1" t="s">
        <v>74</v>
      </c>
      <c r="BH470" s="1" t="s">
        <v>74</v>
      </c>
      <c r="BI470" s="1" t="s">
        <v>74</v>
      </c>
      <c r="BJ470" s="1" t="s">
        <v>74</v>
      </c>
      <c r="BK470" s="1" t="s">
        <v>74</v>
      </c>
      <c r="BL470" s="1" t="s">
        <v>74</v>
      </c>
      <c r="BM470" s="1" t="s">
        <v>74</v>
      </c>
      <c r="BN470" s="1" t="s">
        <v>74</v>
      </c>
      <c r="BO470" s="1" t="s">
        <v>74</v>
      </c>
      <c r="BP470" s="1" t="s">
        <v>74</v>
      </c>
      <c r="BQ470" s="1" t="s">
        <v>74</v>
      </c>
      <c r="BR470" s="1" t="s">
        <v>74</v>
      </c>
      <c r="BS470" s="1" t="s">
        <v>4143</v>
      </c>
      <c r="BT470" s="1" t="str">
        <f>HYPERLINK("https%3A%2F%2Fwww.webofscience.com%2Fwos%2Fwoscc%2Ffull-record%2FWOS:000227744200007","View Full Record in Web of Science")</f>
        <v>View Full Record in Web of Science</v>
      </c>
    </row>
    <row r="471" ht="12.75" customHeight="1">
      <c r="A471" s="1" t="s">
        <v>72</v>
      </c>
      <c r="B471" s="1" t="s">
        <v>4144</v>
      </c>
      <c r="C471" s="1" t="s">
        <v>74</v>
      </c>
      <c r="D471" s="1" t="s">
        <v>74</v>
      </c>
      <c r="E471" s="1" t="s">
        <v>74</v>
      </c>
      <c r="F471" s="1" t="s">
        <v>4144</v>
      </c>
      <c r="G471" s="1" t="s">
        <v>74</v>
      </c>
      <c r="H471" s="1" t="s">
        <v>74</v>
      </c>
      <c r="I471" s="1" t="s">
        <v>4145</v>
      </c>
      <c r="J471" s="1" t="s">
        <v>4146</v>
      </c>
      <c r="K471" s="1" t="s">
        <v>74</v>
      </c>
      <c r="L471" s="1" t="s">
        <v>74</v>
      </c>
      <c r="M471" s="1" t="s">
        <v>74</v>
      </c>
      <c r="N471" s="1" t="s">
        <v>74</v>
      </c>
      <c r="O471" s="1" t="s">
        <v>74</v>
      </c>
      <c r="P471" s="1" t="s">
        <v>74</v>
      </c>
      <c r="Q471" s="1" t="s">
        <v>74</v>
      </c>
      <c r="R471" s="1" t="s">
        <v>74</v>
      </c>
      <c r="S471" s="1" t="s">
        <v>74</v>
      </c>
      <c r="T471" s="1" t="s">
        <v>74</v>
      </c>
      <c r="U471" s="1" t="s">
        <v>74</v>
      </c>
      <c r="V471" s="1" t="s">
        <v>4147</v>
      </c>
      <c r="W471" s="1" t="s">
        <v>74</v>
      </c>
      <c r="X471" s="1" t="s">
        <v>74</v>
      </c>
      <c r="Y471" s="1" t="s">
        <v>74</v>
      </c>
      <c r="Z471" s="1" t="s">
        <v>74</v>
      </c>
      <c r="AA471" s="1" t="s">
        <v>74</v>
      </c>
      <c r="AB471" s="1" t="s">
        <v>74</v>
      </c>
      <c r="AC471" s="1" t="s">
        <v>74</v>
      </c>
      <c r="AD471" s="1" t="s">
        <v>74</v>
      </c>
      <c r="AE471" s="1" t="s">
        <v>74</v>
      </c>
      <c r="AF471" s="1" t="s">
        <v>74</v>
      </c>
      <c r="AG471" s="1" t="s">
        <v>74</v>
      </c>
      <c r="AH471" s="1" t="s">
        <v>74</v>
      </c>
      <c r="AI471" s="1" t="s">
        <v>74</v>
      </c>
      <c r="AJ471" s="1" t="s">
        <v>74</v>
      </c>
      <c r="AK471" s="1" t="s">
        <v>74</v>
      </c>
      <c r="AL471" s="1" t="s">
        <v>74</v>
      </c>
      <c r="AM471" s="1" t="s">
        <v>74</v>
      </c>
      <c r="AN471" s="1" t="s">
        <v>74</v>
      </c>
      <c r="AO471" s="1" t="s">
        <v>4148</v>
      </c>
      <c r="AP471" s="1" t="s">
        <v>4149</v>
      </c>
      <c r="AQ471" s="1" t="s">
        <v>74</v>
      </c>
      <c r="AR471" s="1" t="s">
        <v>74</v>
      </c>
      <c r="AS471" s="1" t="s">
        <v>74</v>
      </c>
      <c r="AT471" s="1" t="s">
        <v>74</v>
      </c>
      <c r="AU471" s="1">
        <v>2005.0</v>
      </c>
      <c r="AV471" s="1">
        <v>38.0</v>
      </c>
      <c r="AW471" s="1">
        <v>4.0</v>
      </c>
      <c r="AX471" s="1" t="s">
        <v>74</v>
      </c>
      <c r="AY471" s="1" t="s">
        <v>74</v>
      </c>
      <c r="AZ471" s="1" t="s">
        <v>74</v>
      </c>
      <c r="BA471" s="1" t="s">
        <v>74</v>
      </c>
      <c r="BB471" s="1">
        <v>347.0</v>
      </c>
      <c r="BC471" s="1">
        <v>352.0</v>
      </c>
      <c r="BD471" s="1" t="s">
        <v>74</v>
      </c>
      <c r="BE471" s="1" t="s">
        <v>74</v>
      </c>
      <c r="BF471" s="1" t="s">
        <v>74</v>
      </c>
      <c r="BG471" s="1" t="s">
        <v>74</v>
      </c>
      <c r="BH471" s="1" t="s">
        <v>74</v>
      </c>
      <c r="BI471" s="1" t="s">
        <v>74</v>
      </c>
      <c r="BJ471" s="1" t="s">
        <v>74</v>
      </c>
      <c r="BK471" s="1" t="s">
        <v>74</v>
      </c>
      <c r="BL471" s="1" t="s">
        <v>74</v>
      </c>
      <c r="BM471" s="1" t="s">
        <v>74</v>
      </c>
      <c r="BN471" s="1">
        <v>1.6579516E7</v>
      </c>
      <c r="BO471" s="1" t="s">
        <v>74</v>
      </c>
      <c r="BP471" s="1" t="s">
        <v>74</v>
      </c>
      <c r="BQ471" s="1" t="s">
        <v>74</v>
      </c>
      <c r="BR471" s="1" t="s">
        <v>74</v>
      </c>
      <c r="BS471" s="1" t="s">
        <v>4150</v>
      </c>
      <c r="BT471" s="1" t="str">
        <f>HYPERLINK("https%3A%2F%2Fwww.webofscience.com%2Fwos%2Fwoscc%2Ffull-record%2FWOS:000236190300006","View Full Record in Web of Science")</f>
        <v>View Full Record in Web of Science</v>
      </c>
    </row>
    <row r="472" ht="12.75" customHeight="1">
      <c r="A472" s="1" t="s">
        <v>72</v>
      </c>
      <c r="B472" s="1" t="s">
        <v>4151</v>
      </c>
      <c r="C472" s="1" t="s">
        <v>74</v>
      </c>
      <c r="D472" s="1" t="s">
        <v>74</v>
      </c>
      <c r="E472" s="1" t="s">
        <v>74</v>
      </c>
      <c r="F472" s="1" t="s">
        <v>4151</v>
      </c>
      <c r="G472" s="1" t="s">
        <v>74</v>
      </c>
      <c r="H472" s="1" t="s">
        <v>74</v>
      </c>
      <c r="I472" s="1" t="s">
        <v>4152</v>
      </c>
      <c r="J472" s="1" t="s">
        <v>4153</v>
      </c>
      <c r="K472" s="1" t="s">
        <v>74</v>
      </c>
      <c r="L472" s="1" t="s">
        <v>74</v>
      </c>
      <c r="M472" s="1" t="s">
        <v>74</v>
      </c>
      <c r="N472" s="1" t="s">
        <v>74</v>
      </c>
      <c r="O472" s="1" t="s">
        <v>74</v>
      </c>
      <c r="P472" s="1" t="s">
        <v>74</v>
      </c>
      <c r="Q472" s="1" t="s">
        <v>74</v>
      </c>
      <c r="R472" s="1" t="s">
        <v>74</v>
      </c>
      <c r="S472" s="1" t="s">
        <v>74</v>
      </c>
      <c r="T472" s="1" t="s">
        <v>74</v>
      </c>
      <c r="U472" s="1" t="s">
        <v>74</v>
      </c>
      <c r="V472" s="1" t="s">
        <v>4154</v>
      </c>
      <c r="W472" s="1" t="s">
        <v>74</v>
      </c>
      <c r="X472" s="1" t="s">
        <v>74</v>
      </c>
      <c r="Y472" s="1" t="s">
        <v>74</v>
      </c>
      <c r="Z472" s="1" t="s">
        <v>74</v>
      </c>
      <c r="AA472" s="1" t="s">
        <v>4155</v>
      </c>
      <c r="AB472" s="1" t="s">
        <v>4156</v>
      </c>
      <c r="AC472" s="1" t="s">
        <v>74</v>
      </c>
      <c r="AD472" s="1" t="s">
        <v>74</v>
      </c>
      <c r="AE472" s="1" t="s">
        <v>74</v>
      </c>
      <c r="AF472" s="1" t="s">
        <v>74</v>
      </c>
      <c r="AG472" s="1" t="s">
        <v>74</v>
      </c>
      <c r="AH472" s="1" t="s">
        <v>74</v>
      </c>
      <c r="AI472" s="1" t="s">
        <v>74</v>
      </c>
      <c r="AJ472" s="1" t="s">
        <v>74</v>
      </c>
      <c r="AK472" s="1" t="s">
        <v>74</v>
      </c>
      <c r="AL472" s="1" t="s">
        <v>74</v>
      </c>
      <c r="AM472" s="1" t="s">
        <v>74</v>
      </c>
      <c r="AN472" s="1" t="s">
        <v>74</v>
      </c>
      <c r="AO472" s="1" t="s">
        <v>4157</v>
      </c>
      <c r="AP472" s="1" t="s">
        <v>4158</v>
      </c>
      <c r="AQ472" s="1" t="s">
        <v>74</v>
      </c>
      <c r="AR472" s="1" t="s">
        <v>74</v>
      </c>
      <c r="AS472" s="1" t="s">
        <v>74</v>
      </c>
      <c r="AT472" s="1" t="s">
        <v>2660</v>
      </c>
      <c r="AU472" s="1">
        <v>2004.0</v>
      </c>
      <c r="AV472" s="1">
        <v>12.0</v>
      </c>
      <c r="AW472" s="1">
        <v>15.0</v>
      </c>
      <c r="AX472" s="1" t="s">
        <v>74</v>
      </c>
      <c r="AY472" s="1" t="s">
        <v>74</v>
      </c>
      <c r="AZ472" s="1" t="s">
        <v>74</v>
      </c>
      <c r="BA472" s="1" t="s">
        <v>74</v>
      </c>
      <c r="BB472" s="1">
        <v>4055.0</v>
      </c>
      <c r="BC472" s="1">
        <v>4066.0</v>
      </c>
      <c r="BD472" s="1" t="s">
        <v>74</v>
      </c>
      <c r="BE472" s="1" t="s">
        <v>4159</v>
      </c>
      <c r="BF472" s="2" t="str">
        <f>HYPERLINK("http://dx.doi.org/10.1016/j.bmc.2004.05.033","http://dx.doi.org/10.1016/j.bmc.2004.05.033")</f>
        <v>http://dx.doi.org/10.1016/j.bmc.2004.05.033</v>
      </c>
      <c r="BG472" s="1" t="s">
        <v>74</v>
      </c>
      <c r="BH472" s="1" t="s">
        <v>74</v>
      </c>
      <c r="BI472" s="1" t="s">
        <v>74</v>
      </c>
      <c r="BJ472" s="1" t="s">
        <v>74</v>
      </c>
      <c r="BK472" s="1" t="s">
        <v>74</v>
      </c>
      <c r="BL472" s="1" t="s">
        <v>74</v>
      </c>
      <c r="BM472" s="1" t="s">
        <v>74</v>
      </c>
      <c r="BN472" s="1">
        <v>1.5246083E7</v>
      </c>
      <c r="BO472" s="1" t="s">
        <v>74</v>
      </c>
      <c r="BP472" s="1" t="s">
        <v>74</v>
      </c>
      <c r="BQ472" s="1" t="s">
        <v>74</v>
      </c>
      <c r="BR472" s="1" t="s">
        <v>74</v>
      </c>
      <c r="BS472" s="1" t="s">
        <v>4160</v>
      </c>
      <c r="BT472" s="1" t="str">
        <f>HYPERLINK("https%3A%2F%2Fwww.webofscience.com%2Fwos%2Fwoscc%2Ffull-record%2FWOS:000222886700012","View Full Record in Web of Science")</f>
        <v>View Full Record in Web of Science</v>
      </c>
    </row>
    <row r="473" ht="12.75" customHeight="1">
      <c r="A473" s="1" t="s">
        <v>72</v>
      </c>
      <c r="B473" s="1" t="s">
        <v>3364</v>
      </c>
      <c r="C473" s="1" t="s">
        <v>74</v>
      </c>
      <c r="D473" s="1" t="s">
        <v>74</v>
      </c>
      <c r="E473" s="1" t="s">
        <v>74</v>
      </c>
      <c r="F473" s="1" t="s">
        <v>3364</v>
      </c>
      <c r="G473" s="1" t="s">
        <v>74</v>
      </c>
      <c r="H473" s="1" t="s">
        <v>74</v>
      </c>
      <c r="I473" s="1" t="s">
        <v>4161</v>
      </c>
      <c r="J473" s="1" t="s">
        <v>2552</v>
      </c>
      <c r="K473" s="1" t="s">
        <v>74</v>
      </c>
      <c r="L473" s="1" t="s">
        <v>74</v>
      </c>
      <c r="M473" s="1" t="s">
        <v>74</v>
      </c>
      <c r="N473" s="1" t="s">
        <v>74</v>
      </c>
      <c r="O473" s="1" t="s">
        <v>74</v>
      </c>
      <c r="P473" s="1" t="s">
        <v>74</v>
      </c>
      <c r="Q473" s="1" t="s">
        <v>74</v>
      </c>
      <c r="R473" s="1" t="s">
        <v>74</v>
      </c>
      <c r="S473" s="1" t="s">
        <v>74</v>
      </c>
      <c r="T473" s="1" t="s">
        <v>74</v>
      </c>
      <c r="U473" s="1" t="s">
        <v>74</v>
      </c>
      <c r="V473" s="1" t="s">
        <v>4162</v>
      </c>
      <c r="W473" s="1" t="s">
        <v>74</v>
      </c>
      <c r="X473" s="1" t="s">
        <v>74</v>
      </c>
      <c r="Y473" s="1" t="s">
        <v>74</v>
      </c>
      <c r="Z473" s="1" t="s">
        <v>74</v>
      </c>
      <c r="AA473" s="1" t="s">
        <v>74</v>
      </c>
      <c r="AB473" s="1" t="s">
        <v>978</v>
      </c>
      <c r="AC473" s="1" t="s">
        <v>74</v>
      </c>
      <c r="AD473" s="1" t="s">
        <v>74</v>
      </c>
      <c r="AE473" s="1" t="s">
        <v>74</v>
      </c>
      <c r="AF473" s="1" t="s">
        <v>74</v>
      </c>
      <c r="AG473" s="1" t="s">
        <v>74</v>
      </c>
      <c r="AH473" s="1" t="s">
        <v>74</v>
      </c>
      <c r="AI473" s="1" t="s">
        <v>74</v>
      </c>
      <c r="AJ473" s="1" t="s">
        <v>74</v>
      </c>
      <c r="AK473" s="1" t="s">
        <v>74</v>
      </c>
      <c r="AL473" s="1" t="s">
        <v>74</v>
      </c>
      <c r="AM473" s="1" t="s">
        <v>74</v>
      </c>
      <c r="AN473" s="1" t="s">
        <v>74</v>
      </c>
      <c r="AO473" s="1" t="s">
        <v>2555</v>
      </c>
      <c r="AP473" s="1" t="s">
        <v>2556</v>
      </c>
      <c r="AQ473" s="1" t="s">
        <v>74</v>
      </c>
      <c r="AR473" s="1" t="s">
        <v>74</v>
      </c>
      <c r="AS473" s="1" t="s">
        <v>74</v>
      </c>
      <c r="AT473" s="1" t="s">
        <v>4071</v>
      </c>
      <c r="AU473" s="1">
        <v>2003.0</v>
      </c>
      <c r="AV473" s="1">
        <v>68.0</v>
      </c>
      <c r="AW473" s="1">
        <v>9.0</v>
      </c>
      <c r="AX473" s="1" t="s">
        <v>74</v>
      </c>
      <c r="AY473" s="1" t="s">
        <v>74</v>
      </c>
      <c r="AZ473" s="1" t="s">
        <v>74</v>
      </c>
      <c r="BA473" s="1" t="s">
        <v>74</v>
      </c>
      <c r="BB473" s="1">
        <v>2701.0</v>
      </c>
      <c r="BC473" s="1">
        <v>2705.0</v>
      </c>
      <c r="BD473" s="1" t="s">
        <v>74</v>
      </c>
      <c r="BE473" s="1" t="s">
        <v>4163</v>
      </c>
      <c r="BF473" s="2" t="str">
        <f>HYPERLINK("http://dx.doi.org/10.1111/j.1365-2621.2003.tb05791.x","http://dx.doi.org/10.1111/j.1365-2621.2003.tb05791.x")</f>
        <v>http://dx.doi.org/10.1111/j.1365-2621.2003.tb05791.x</v>
      </c>
      <c r="BG473" s="1" t="s">
        <v>74</v>
      </c>
      <c r="BH473" s="1" t="s">
        <v>74</v>
      </c>
      <c r="BI473" s="1" t="s">
        <v>74</v>
      </c>
      <c r="BJ473" s="1" t="s">
        <v>74</v>
      </c>
      <c r="BK473" s="1" t="s">
        <v>74</v>
      </c>
      <c r="BL473" s="1" t="s">
        <v>74</v>
      </c>
      <c r="BM473" s="1" t="s">
        <v>74</v>
      </c>
      <c r="BN473" s="1" t="s">
        <v>74</v>
      </c>
      <c r="BO473" s="1" t="s">
        <v>74</v>
      </c>
      <c r="BP473" s="1" t="s">
        <v>74</v>
      </c>
      <c r="BQ473" s="1" t="s">
        <v>74</v>
      </c>
      <c r="BR473" s="1" t="s">
        <v>74</v>
      </c>
      <c r="BS473" s="1" t="s">
        <v>4164</v>
      </c>
      <c r="BT473" s="1" t="str">
        <f>HYPERLINK("https%3A%2F%2Fwww.webofscience.com%2Fwos%2Fwoscc%2Ffull-record%2FWOS:000187350600013","View Full Record in Web of Science")</f>
        <v>View Full Record in Web of Science</v>
      </c>
    </row>
    <row r="474" ht="12.75" customHeight="1">
      <c r="A474" s="1" t="s">
        <v>72</v>
      </c>
      <c r="B474" s="1" t="s">
        <v>4165</v>
      </c>
      <c r="C474" s="1" t="s">
        <v>74</v>
      </c>
      <c r="D474" s="1" t="s">
        <v>74</v>
      </c>
      <c r="E474" s="1" t="s">
        <v>74</v>
      </c>
      <c r="F474" s="1" t="s">
        <v>4165</v>
      </c>
      <c r="G474" s="1" t="s">
        <v>74</v>
      </c>
      <c r="H474" s="1" t="s">
        <v>74</v>
      </c>
      <c r="I474" s="1" t="s">
        <v>4166</v>
      </c>
      <c r="J474" s="1" t="s">
        <v>4167</v>
      </c>
      <c r="K474" s="1" t="s">
        <v>74</v>
      </c>
      <c r="L474" s="1" t="s">
        <v>74</v>
      </c>
      <c r="M474" s="1" t="s">
        <v>74</v>
      </c>
      <c r="N474" s="1" t="s">
        <v>74</v>
      </c>
      <c r="O474" s="1" t="s">
        <v>74</v>
      </c>
      <c r="P474" s="1" t="s">
        <v>74</v>
      </c>
      <c r="Q474" s="1" t="s">
        <v>74</v>
      </c>
      <c r="R474" s="1" t="s">
        <v>74</v>
      </c>
      <c r="S474" s="1" t="s">
        <v>74</v>
      </c>
      <c r="T474" s="1" t="s">
        <v>74</v>
      </c>
      <c r="U474" s="1" t="s">
        <v>74</v>
      </c>
      <c r="V474" s="1" t="s">
        <v>4168</v>
      </c>
      <c r="W474" s="1" t="s">
        <v>74</v>
      </c>
      <c r="X474" s="1" t="s">
        <v>74</v>
      </c>
      <c r="Y474" s="1" t="s">
        <v>74</v>
      </c>
      <c r="Z474" s="1" t="s">
        <v>74</v>
      </c>
      <c r="AA474" s="1" t="s">
        <v>4169</v>
      </c>
      <c r="AB474" s="1" t="s">
        <v>4170</v>
      </c>
      <c r="AC474" s="1" t="s">
        <v>74</v>
      </c>
      <c r="AD474" s="1" t="s">
        <v>74</v>
      </c>
      <c r="AE474" s="1" t="s">
        <v>74</v>
      </c>
      <c r="AF474" s="1" t="s">
        <v>74</v>
      </c>
      <c r="AG474" s="1" t="s">
        <v>74</v>
      </c>
      <c r="AH474" s="1" t="s">
        <v>74</v>
      </c>
      <c r="AI474" s="1" t="s">
        <v>74</v>
      </c>
      <c r="AJ474" s="1" t="s">
        <v>74</v>
      </c>
      <c r="AK474" s="1" t="s">
        <v>74</v>
      </c>
      <c r="AL474" s="1" t="s">
        <v>74</v>
      </c>
      <c r="AM474" s="1" t="s">
        <v>74</v>
      </c>
      <c r="AN474" s="1" t="s">
        <v>74</v>
      </c>
      <c r="AO474" s="1" t="s">
        <v>4171</v>
      </c>
      <c r="AP474" s="1" t="s">
        <v>74</v>
      </c>
      <c r="AQ474" s="1" t="s">
        <v>74</v>
      </c>
      <c r="AR474" s="1" t="s">
        <v>74</v>
      </c>
      <c r="AS474" s="1" t="s">
        <v>74</v>
      </c>
      <c r="AT474" s="1" t="s">
        <v>74</v>
      </c>
      <c r="AU474" s="1">
        <v>2003.0</v>
      </c>
      <c r="AV474" s="1">
        <v>35.0</v>
      </c>
      <c r="AW474" s="1">
        <v>1.0</v>
      </c>
      <c r="AX474" s="1" t="s">
        <v>74</v>
      </c>
      <c r="AY474" s="1" t="s">
        <v>74</v>
      </c>
      <c r="AZ474" s="1" t="s">
        <v>74</v>
      </c>
      <c r="BA474" s="1" t="s">
        <v>74</v>
      </c>
      <c r="BB474" s="1">
        <v>77.0</v>
      </c>
      <c r="BC474" s="1">
        <v>90.0</v>
      </c>
      <c r="BD474" s="1" t="s">
        <v>74</v>
      </c>
      <c r="BE474" s="1" t="s">
        <v>74</v>
      </c>
      <c r="BF474" s="1" t="s">
        <v>74</v>
      </c>
      <c r="BG474" s="1" t="s">
        <v>74</v>
      </c>
      <c r="BH474" s="1" t="s">
        <v>74</v>
      </c>
      <c r="BI474" s="1" t="s">
        <v>74</v>
      </c>
      <c r="BJ474" s="1" t="s">
        <v>74</v>
      </c>
      <c r="BK474" s="1" t="s">
        <v>74</v>
      </c>
      <c r="BL474" s="1" t="s">
        <v>74</v>
      </c>
      <c r="BM474" s="1" t="s">
        <v>74</v>
      </c>
      <c r="BN474" s="1" t="s">
        <v>74</v>
      </c>
      <c r="BO474" s="1" t="s">
        <v>74</v>
      </c>
      <c r="BP474" s="1" t="s">
        <v>74</v>
      </c>
      <c r="BQ474" s="1" t="s">
        <v>74</v>
      </c>
      <c r="BR474" s="1" t="s">
        <v>74</v>
      </c>
      <c r="BS474" s="1" t="s">
        <v>4172</v>
      </c>
      <c r="BT474" s="1" t="str">
        <f>HYPERLINK("https%3A%2F%2Fwww.webofscience.com%2Fwos%2Fwoscc%2Ffull-record%2FWOS:000181408100007","View Full Record in Web of Science")</f>
        <v>View Full Record in Web of Science</v>
      </c>
    </row>
    <row r="475" ht="12.75" customHeight="1">
      <c r="A475" s="1" t="s">
        <v>72</v>
      </c>
      <c r="B475" s="1" t="s">
        <v>4173</v>
      </c>
      <c r="C475" s="1" t="s">
        <v>74</v>
      </c>
      <c r="D475" s="1" t="s">
        <v>74</v>
      </c>
      <c r="E475" s="1" t="s">
        <v>74</v>
      </c>
      <c r="F475" s="1" t="s">
        <v>4173</v>
      </c>
      <c r="G475" s="1" t="s">
        <v>74</v>
      </c>
      <c r="H475" s="1" t="s">
        <v>74</v>
      </c>
      <c r="I475" s="1" t="s">
        <v>4174</v>
      </c>
      <c r="J475" s="1" t="s">
        <v>177</v>
      </c>
      <c r="K475" s="1" t="s">
        <v>74</v>
      </c>
      <c r="L475" s="1" t="s">
        <v>74</v>
      </c>
      <c r="M475" s="1" t="s">
        <v>74</v>
      </c>
      <c r="N475" s="1" t="s">
        <v>74</v>
      </c>
      <c r="O475" s="1" t="s">
        <v>74</v>
      </c>
      <c r="P475" s="1" t="s">
        <v>74</v>
      </c>
      <c r="Q475" s="1" t="s">
        <v>74</v>
      </c>
      <c r="R475" s="1" t="s">
        <v>74</v>
      </c>
      <c r="S475" s="1" t="s">
        <v>74</v>
      </c>
      <c r="T475" s="1" t="s">
        <v>74</v>
      </c>
      <c r="U475" s="1" t="s">
        <v>74</v>
      </c>
      <c r="V475" s="1" t="s">
        <v>4175</v>
      </c>
      <c r="W475" s="1" t="s">
        <v>74</v>
      </c>
      <c r="X475" s="1" t="s">
        <v>74</v>
      </c>
      <c r="Y475" s="1" t="s">
        <v>74</v>
      </c>
      <c r="Z475" s="1" t="s">
        <v>74</v>
      </c>
      <c r="AA475" s="1" t="s">
        <v>74</v>
      </c>
      <c r="AB475" s="1" t="s">
        <v>1015</v>
      </c>
      <c r="AC475" s="1" t="s">
        <v>74</v>
      </c>
      <c r="AD475" s="1" t="s">
        <v>74</v>
      </c>
      <c r="AE475" s="1" t="s">
        <v>74</v>
      </c>
      <c r="AF475" s="1" t="s">
        <v>74</v>
      </c>
      <c r="AG475" s="1" t="s">
        <v>74</v>
      </c>
      <c r="AH475" s="1" t="s">
        <v>74</v>
      </c>
      <c r="AI475" s="1" t="s">
        <v>74</v>
      </c>
      <c r="AJ475" s="1" t="s">
        <v>74</v>
      </c>
      <c r="AK475" s="1" t="s">
        <v>74</v>
      </c>
      <c r="AL475" s="1" t="s">
        <v>74</v>
      </c>
      <c r="AM475" s="1" t="s">
        <v>74</v>
      </c>
      <c r="AN475" s="1" t="s">
        <v>74</v>
      </c>
      <c r="AO475" s="1" t="s">
        <v>179</v>
      </c>
      <c r="AP475" s="1" t="s">
        <v>74</v>
      </c>
      <c r="AQ475" s="1" t="s">
        <v>74</v>
      </c>
      <c r="AR475" s="1" t="s">
        <v>74</v>
      </c>
      <c r="AS475" s="1" t="s">
        <v>74</v>
      </c>
      <c r="AT475" s="1" t="s">
        <v>180</v>
      </c>
      <c r="AU475" s="1">
        <v>2002.0</v>
      </c>
      <c r="AV475" s="1">
        <v>47.0</v>
      </c>
      <c r="AW475" s="1">
        <v>2.0</v>
      </c>
      <c r="AX475" s="1" t="s">
        <v>74</v>
      </c>
      <c r="AY475" s="1" t="s">
        <v>74</v>
      </c>
      <c r="AZ475" s="1" t="s">
        <v>74</v>
      </c>
      <c r="BA475" s="1" t="s">
        <v>74</v>
      </c>
      <c r="BB475" s="1">
        <v>99.0</v>
      </c>
      <c r="BC475" s="1">
        <v>104.0</v>
      </c>
      <c r="BD475" s="1" t="s">
        <v>74</v>
      </c>
      <c r="BE475" s="1" t="s">
        <v>74</v>
      </c>
      <c r="BF475" s="1" t="s">
        <v>74</v>
      </c>
      <c r="BG475" s="1" t="s">
        <v>74</v>
      </c>
      <c r="BH475" s="1" t="s">
        <v>74</v>
      </c>
      <c r="BI475" s="1" t="s">
        <v>74</v>
      </c>
      <c r="BJ475" s="1" t="s">
        <v>74</v>
      </c>
      <c r="BK475" s="1" t="s">
        <v>74</v>
      </c>
      <c r="BL475" s="1" t="s">
        <v>74</v>
      </c>
      <c r="BM475" s="1" t="s">
        <v>74</v>
      </c>
      <c r="BN475" s="1" t="s">
        <v>74</v>
      </c>
      <c r="BO475" s="1" t="s">
        <v>74</v>
      </c>
      <c r="BP475" s="1" t="s">
        <v>74</v>
      </c>
      <c r="BQ475" s="1" t="s">
        <v>74</v>
      </c>
      <c r="BR475" s="1" t="s">
        <v>74</v>
      </c>
      <c r="BS475" s="1" t="s">
        <v>4176</v>
      </c>
      <c r="BT475" s="1" t="str">
        <f>HYPERLINK("https%3A%2F%2Fwww.webofscience.com%2Fwos%2Fwoscc%2Ffull-record%2FWOS:000176814300004","View Full Record in Web of Science")</f>
        <v>View Full Record in Web of Science</v>
      </c>
    </row>
    <row r="476" ht="12.75" customHeight="1">
      <c r="A476" s="1" t="s">
        <v>72</v>
      </c>
      <c r="B476" s="1" t="s">
        <v>4177</v>
      </c>
      <c r="C476" s="1" t="s">
        <v>74</v>
      </c>
      <c r="D476" s="1" t="s">
        <v>74</v>
      </c>
      <c r="E476" s="1" t="s">
        <v>74</v>
      </c>
      <c r="F476" s="1" t="s">
        <v>4177</v>
      </c>
      <c r="G476" s="1" t="s">
        <v>74</v>
      </c>
      <c r="H476" s="1" t="s">
        <v>74</v>
      </c>
      <c r="I476" s="1" t="s">
        <v>4178</v>
      </c>
      <c r="J476" s="1" t="s">
        <v>1784</v>
      </c>
      <c r="K476" s="1" t="s">
        <v>74</v>
      </c>
      <c r="L476" s="1" t="s">
        <v>74</v>
      </c>
      <c r="M476" s="1" t="s">
        <v>74</v>
      </c>
      <c r="N476" s="1" t="s">
        <v>74</v>
      </c>
      <c r="O476" s="1" t="s">
        <v>74</v>
      </c>
      <c r="P476" s="1" t="s">
        <v>74</v>
      </c>
      <c r="Q476" s="1" t="s">
        <v>74</v>
      </c>
      <c r="R476" s="1" t="s">
        <v>74</v>
      </c>
      <c r="S476" s="1" t="s">
        <v>74</v>
      </c>
      <c r="T476" s="1" t="s">
        <v>74</v>
      </c>
      <c r="U476" s="1" t="s">
        <v>74</v>
      </c>
      <c r="V476" s="1" t="s">
        <v>4179</v>
      </c>
      <c r="W476" s="1" t="s">
        <v>74</v>
      </c>
      <c r="X476" s="1" t="s">
        <v>74</v>
      </c>
      <c r="Y476" s="1" t="s">
        <v>74</v>
      </c>
      <c r="Z476" s="1" t="s">
        <v>74</v>
      </c>
      <c r="AA476" s="1" t="s">
        <v>4180</v>
      </c>
      <c r="AB476" s="1" t="s">
        <v>4181</v>
      </c>
      <c r="AC476" s="1" t="s">
        <v>74</v>
      </c>
      <c r="AD476" s="1" t="s">
        <v>74</v>
      </c>
      <c r="AE476" s="1" t="s">
        <v>74</v>
      </c>
      <c r="AF476" s="1" t="s">
        <v>74</v>
      </c>
      <c r="AG476" s="1" t="s">
        <v>74</v>
      </c>
      <c r="AH476" s="1" t="s">
        <v>74</v>
      </c>
      <c r="AI476" s="1" t="s">
        <v>74</v>
      </c>
      <c r="AJ476" s="1" t="s">
        <v>74</v>
      </c>
      <c r="AK476" s="1" t="s">
        <v>74</v>
      </c>
      <c r="AL476" s="1" t="s">
        <v>74</v>
      </c>
      <c r="AM476" s="1" t="s">
        <v>74</v>
      </c>
      <c r="AN476" s="1" t="s">
        <v>74</v>
      </c>
      <c r="AO476" s="1" t="s">
        <v>1787</v>
      </c>
      <c r="AP476" s="1" t="s">
        <v>1788</v>
      </c>
      <c r="AQ476" s="1" t="s">
        <v>74</v>
      </c>
      <c r="AR476" s="1" t="s">
        <v>74</v>
      </c>
      <c r="AS476" s="1" t="s">
        <v>74</v>
      </c>
      <c r="AT476" s="1" t="s">
        <v>4182</v>
      </c>
      <c r="AU476" s="1">
        <v>2001.0</v>
      </c>
      <c r="AV476" s="1">
        <v>18.0</v>
      </c>
      <c r="AW476" s="1">
        <v>11.0</v>
      </c>
      <c r="AX476" s="1" t="s">
        <v>74</v>
      </c>
      <c r="AY476" s="1" t="s">
        <v>74</v>
      </c>
      <c r="AZ476" s="1" t="s">
        <v>74</v>
      </c>
      <c r="BA476" s="1" t="s">
        <v>74</v>
      </c>
      <c r="BB476" s="1">
        <v>2233.0</v>
      </c>
      <c r="BC476" s="1">
        <v>2241.0</v>
      </c>
      <c r="BD476" s="1" t="s">
        <v>74</v>
      </c>
      <c r="BE476" s="1" t="s">
        <v>4183</v>
      </c>
      <c r="BF476" s="2" t="str">
        <f>HYPERLINK("http://dx.doi.org/10.1088/0264-9381/18/11/316","http://dx.doi.org/10.1088/0264-9381/18/11/316")</f>
        <v>http://dx.doi.org/10.1088/0264-9381/18/11/316</v>
      </c>
      <c r="BG476" s="1" t="s">
        <v>74</v>
      </c>
      <c r="BH476" s="1" t="s">
        <v>74</v>
      </c>
      <c r="BI476" s="1" t="s">
        <v>74</v>
      </c>
      <c r="BJ476" s="1" t="s">
        <v>74</v>
      </c>
      <c r="BK476" s="1" t="s">
        <v>74</v>
      </c>
      <c r="BL476" s="1" t="s">
        <v>74</v>
      </c>
      <c r="BM476" s="1" t="s">
        <v>74</v>
      </c>
      <c r="BN476" s="1" t="s">
        <v>74</v>
      </c>
      <c r="BO476" s="1" t="s">
        <v>74</v>
      </c>
      <c r="BP476" s="1" t="s">
        <v>74</v>
      </c>
      <c r="BQ476" s="1" t="s">
        <v>74</v>
      </c>
      <c r="BR476" s="1" t="s">
        <v>74</v>
      </c>
      <c r="BS476" s="1" t="s">
        <v>4184</v>
      </c>
      <c r="BT476" s="1" t="str">
        <f>HYPERLINK("https%3A%2F%2Fwww.webofscience.com%2Fwos%2Fwoscc%2Ffull-record%2FWOS:000169442200017","View Full Record in Web of Science")</f>
        <v>View Full Record in Web of Science</v>
      </c>
    </row>
    <row r="477" ht="12.75" customHeight="1">
      <c r="A477" s="1" t="s">
        <v>72</v>
      </c>
      <c r="B477" s="1" t="s">
        <v>4185</v>
      </c>
      <c r="C477" s="1" t="s">
        <v>74</v>
      </c>
      <c r="D477" s="1" t="s">
        <v>74</v>
      </c>
      <c r="E477" s="1" t="s">
        <v>74</v>
      </c>
      <c r="F477" s="1" t="s">
        <v>4185</v>
      </c>
      <c r="G477" s="1" t="s">
        <v>74</v>
      </c>
      <c r="H477" s="1" t="s">
        <v>74</v>
      </c>
      <c r="I477" s="1" t="s">
        <v>4186</v>
      </c>
      <c r="J477" s="1" t="s">
        <v>920</v>
      </c>
      <c r="K477" s="1" t="s">
        <v>74</v>
      </c>
      <c r="L477" s="1" t="s">
        <v>74</v>
      </c>
      <c r="M477" s="1" t="s">
        <v>74</v>
      </c>
      <c r="N477" s="1" t="s">
        <v>74</v>
      </c>
      <c r="O477" s="1" t="s">
        <v>74</v>
      </c>
      <c r="P477" s="1" t="s">
        <v>74</v>
      </c>
      <c r="Q477" s="1" t="s">
        <v>74</v>
      </c>
      <c r="R477" s="1" t="s">
        <v>74</v>
      </c>
      <c r="S477" s="1" t="s">
        <v>74</v>
      </c>
      <c r="T477" s="1" t="s">
        <v>74</v>
      </c>
      <c r="U477" s="1" t="s">
        <v>74</v>
      </c>
      <c r="V477" s="1" t="s">
        <v>4187</v>
      </c>
      <c r="W477" s="1" t="s">
        <v>74</v>
      </c>
      <c r="X477" s="1" t="s">
        <v>74</v>
      </c>
      <c r="Y477" s="1" t="s">
        <v>74</v>
      </c>
      <c r="Z477" s="1" t="s">
        <v>74</v>
      </c>
      <c r="AA477" s="1" t="s">
        <v>74</v>
      </c>
      <c r="AB477" s="1" t="s">
        <v>4188</v>
      </c>
      <c r="AC477" s="1" t="s">
        <v>74</v>
      </c>
      <c r="AD477" s="1" t="s">
        <v>74</v>
      </c>
      <c r="AE477" s="1" t="s">
        <v>74</v>
      </c>
      <c r="AF477" s="1" t="s">
        <v>74</v>
      </c>
      <c r="AG477" s="1" t="s">
        <v>74</v>
      </c>
      <c r="AH477" s="1" t="s">
        <v>74</v>
      </c>
      <c r="AI477" s="1" t="s">
        <v>74</v>
      </c>
      <c r="AJ477" s="1" t="s">
        <v>74</v>
      </c>
      <c r="AK477" s="1" t="s">
        <v>74</v>
      </c>
      <c r="AL477" s="1" t="s">
        <v>74</v>
      </c>
      <c r="AM477" s="1" t="s">
        <v>74</v>
      </c>
      <c r="AN477" s="1" t="s">
        <v>74</v>
      </c>
      <c r="AO477" s="1" t="s">
        <v>922</v>
      </c>
      <c r="AP477" s="1" t="s">
        <v>74</v>
      </c>
      <c r="AQ477" s="1" t="s">
        <v>74</v>
      </c>
      <c r="AR477" s="1" t="s">
        <v>74</v>
      </c>
      <c r="AS477" s="1" t="s">
        <v>74</v>
      </c>
      <c r="AT477" s="1" t="s">
        <v>1293</v>
      </c>
      <c r="AU477" s="1">
        <v>2001.0</v>
      </c>
      <c r="AV477" s="1">
        <v>37.0</v>
      </c>
      <c r="AW477" s="1">
        <v>1.0</v>
      </c>
      <c r="AX477" s="1" t="s">
        <v>74</v>
      </c>
      <c r="AY477" s="1" t="s">
        <v>74</v>
      </c>
      <c r="AZ477" s="1" t="s">
        <v>74</v>
      </c>
      <c r="BA477" s="1" t="s">
        <v>74</v>
      </c>
      <c r="BB477" s="1">
        <v>3.0</v>
      </c>
      <c r="BC477" s="1">
        <v>9.0</v>
      </c>
      <c r="BD477" s="1" t="s">
        <v>74</v>
      </c>
      <c r="BE477" s="1" t="s">
        <v>4189</v>
      </c>
      <c r="BF477" s="2" t="str">
        <f>HYPERLINK("http://dx.doi.org/10.3989/revmetalm.2001.v37.i1.435","http://dx.doi.org/10.3989/revmetalm.2001.v37.i1.435")</f>
        <v>http://dx.doi.org/10.3989/revmetalm.2001.v37.i1.435</v>
      </c>
      <c r="BG477" s="1" t="s">
        <v>74</v>
      </c>
      <c r="BH477" s="1" t="s">
        <v>74</v>
      </c>
      <c r="BI477" s="1" t="s">
        <v>74</v>
      </c>
      <c r="BJ477" s="1" t="s">
        <v>74</v>
      </c>
      <c r="BK477" s="1" t="s">
        <v>74</v>
      </c>
      <c r="BL477" s="1" t="s">
        <v>74</v>
      </c>
      <c r="BM477" s="1" t="s">
        <v>74</v>
      </c>
      <c r="BN477" s="1" t="s">
        <v>74</v>
      </c>
      <c r="BO477" s="1" t="s">
        <v>74</v>
      </c>
      <c r="BP477" s="1" t="s">
        <v>74</v>
      </c>
      <c r="BQ477" s="1" t="s">
        <v>74</v>
      </c>
      <c r="BR477" s="1" t="s">
        <v>74</v>
      </c>
      <c r="BS477" s="1" t="s">
        <v>4190</v>
      </c>
      <c r="BT477" s="1" t="str">
        <f>HYPERLINK("https%3A%2F%2Fwww.webofscience.com%2Fwos%2Fwoscc%2Ffull-record%2FWOS:000168241800001","View Full Record in Web of Science")</f>
        <v>View Full Record in Web of Science</v>
      </c>
    </row>
    <row r="478" ht="12.75" customHeight="1">
      <c r="A478" s="1" t="s">
        <v>72</v>
      </c>
      <c r="B478" s="1" t="s">
        <v>4191</v>
      </c>
      <c r="C478" s="1" t="s">
        <v>74</v>
      </c>
      <c r="D478" s="1" t="s">
        <v>74</v>
      </c>
      <c r="E478" s="1" t="s">
        <v>74</v>
      </c>
      <c r="F478" s="1" t="s">
        <v>4191</v>
      </c>
      <c r="G478" s="1" t="s">
        <v>74</v>
      </c>
      <c r="H478" s="1" t="s">
        <v>74</v>
      </c>
      <c r="I478" s="1" t="s">
        <v>4192</v>
      </c>
      <c r="J478" s="1" t="s">
        <v>954</v>
      </c>
      <c r="K478" s="1" t="s">
        <v>74</v>
      </c>
      <c r="L478" s="1" t="s">
        <v>74</v>
      </c>
      <c r="M478" s="1" t="s">
        <v>74</v>
      </c>
      <c r="N478" s="1" t="s">
        <v>74</v>
      </c>
      <c r="O478" s="1" t="s">
        <v>74</v>
      </c>
      <c r="P478" s="1" t="s">
        <v>74</v>
      </c>
      <c r="Q478" s="1" t="s">
        <v>74</v>
      </c>
      <c r="R478" s="1" t="s">
        <v>74</v>
      </c>
      <c r="S478" s="1" t="s">
        <v>74</v>
      </c>
      <c r="T478" s="1" t="s">
        <v>74</v>
      </c>
      <c r="U478" s="1" t="s">
        <v>74</v>
      </c>
      <c r="V478" s="1" t="s">
        <v>4193</v>
      </c>
      <c r="W478" s="1" t="s">
        <v>74</v>
      </c>
      <c r="X478" s="1" t="s">
        <v>74</v>
      </c>
      <c r="Y478" s="1" t="s">
        <v>74</v>
      </c>
      <c r="Z478" s="1" t="s">
        <v>74</v>
      </c>
      <c r="AA478" s="1" t="s">
        <v>74</v>
      </c>
      <c r="AB478" s="1" t="s">
        <v>74</v>
      </c>
      <c r="AC478" s="1" t="s">
        <v>74</v>
      </c>
      <c r="AD478" s="1" t="s">
        <v>74</v>
      </c>
      <c r="AE478" s="1" t="s">
        <v>74</v>
      </c>
      <c r="AF478" s="1" t="s">
        <v>74</v>
      </c>
      <c r="AG478" s="1" t="s">
        <v>74</v>
      </c>
      <c r="AH478" s="1" t="s">
        <v>74</v>
      </c>
      <c r="AI478" s="1" t="s">
        <v>74</v>
      </c>
      <c r="AJ478" s="1" t="s">
        <v>74</v>
      </c>
      <c r="AK478" s="1" t="s">
        <v>74</v>
      </c>
      <c r="AL478" s="1" t="s">
        <v>74</v>
      </c>
      <c r="AM478" s="1" t="s">
        <v>74</v>
      </c>
      <c r="AN478" s="1" t="s">
        <v>74</v>
      </c>
      <c r="AO478" s="1" t="s">
        <v>956</v>
      </c>
      <c r="AP478" s="1" t="s">
        <v>74</v>
      </c>
      <c r="AQ478" s="1" t="s">
        <v>74</v>
      </c>
      <c r="AR478" s="1" t="s">
        <v>74</v>
      </c>
      <c r="AS478" s="1" t="s">
        <v>74</v>
      </c>
      <c r="AT478" s="1" t="s">
        <v>74</v>
      </c>
      <c r="AU478" s="1">
        <v>2001.0</v>
      </c>
      <c r="AV478" s="1">
        <v>19.0</v>
      </c>
      <c r="AW478" s="1">
        <v>9.0</v>
      </c>
      <c r="AX478" s="1" t="s">
        <v>74</v>
      </c>
      <c r="AY478" s="1" t="s">
        <v>74</v>
      </c>
      <c r="AZ478" s="1" t="s">
        <v>74</v>
      </c>
      <c r="BA478" s="1" t="s">
        <v>74</v>
      </c>
      <c r="BB478" s="1">
        <v>2235.0</v>
      </c>
      <c r="BC478" s="1">
        <v>2259.0</v>
      </c>
      <c r="BD478" s="1" t="s">
        <v>74</v>
      </c>
      <c r="BE478" s="1" t="s">
        <v>4194</v>
      </c>
      <c r="BF478" s="2" t="str">
        <f>HYPERLINK("http://dx.doi.org/10.1081/DRT-100107496","http://dx.doi.org/10.1081/DRT-100107496")</f>
        <v>http://dx.doi.org/10.1081/DRT-100107496</v>
      </c>
      <c r="BG478" s="1" t="s">
        <v>74</v>
      </c>
      <c r="BH478" s="1" t="s">
        <v>74</v>
      </c>
      <c r="BI478" s="1" t="s">
        <v>74</v>
      </c>
      <c r="BJ478" s="1" t="s">
        <v>74</v>
      </c>
      <c r="BK478" s="1" t="s">
        <v>74</v>
      </c>
      <c r="BL478" s="1" t="s">
        <v>74</v>
      </c>
      <c r="BM478" s="1" t="s">
        <v>74</v>
      </c>
      <c r="BN478" s="1" t="s">
        <v>74</v>
      </c>
      <c r="BO478" s="1" t="s">
        <v>74</v>
      </c>
      <c r="BP478" s="1" t="s">
        <v>74</v>
      </c>
      <c r="BQ478" s="1" t="s">
        <v>74</v>
      </c>
      <c r="BR478" s="1" t="s">
        <v>74</v>
      </c>
      <c r="BS478" s="1" t="s">
        <v>4195</v>
      </c>
      <c r="BT478" s="1" t="str">
        <f>HYPERLINK("https%3A%2F%2Fwww.webofscience.com%2Fwos%2Fwoscc%2Ffull-record%2FWOS:000172553300009","View Full Record in Web of Science")</f>
        <v>View Full Record in Web of Science</v>
      </c>
    </row>
    <row r="479" ht="12.75" customHeight="1">
      <c r="A479" s="1" t="s">
        <v>72</v>
      </c>
      <c r="B479" s="1" t="s">
        <v>4196</v>
      </c>
      <c r="C479" s="1" t="s">
        <v>74</v>
      </c>
      <c r="D479" s="1" t="s">
        <v>74</v>
      </c>
      <c r="E479" s="1" t="s">
        <v>74</v>
      </c>
      <c r="F479" s="1" t="s">
        <v>4196</v>
      </c>
      <c r="G479" s="1" t="s">
        <v>74</v>
      </c>
      <c r="H479" s="1" t="s">
        <v>74</v>
      </c>
      <c r="I479" s="1" t="s">
        <v>4197</v>
      </c>
      <c r="J479" s="1" t="s">
        <v>4198</v>
      </c>
      <c r="K479" s="1" t="s">
        <v>74</v>
      </c>
      <c r="L479" s="1" t="s">
        <v>74</v>
      </c>
      <c r="M479" s="1" t="s">
        <v>74</v>
      </c>
      <c r="N479" s="1" t="s">
        <v>74</v>
      </c>
      <c r="O479" s="1" t="s">
        <v>74</v>
      </c>
      <c r="P479" s="1" t="s">
        <v>74</v>
      </c>
      <c r="Q479" s="1" t="s">
        <v>74</v>
      </c>
      <c r="R479" s="1" t="s">
        <v>74</v>
      </c>
      <c r="S479" s="1" t="s">
        <v>74</v>
      </c>
      <c r="T479" s="1" t="s">
        <v>74</v>
      </c>
      <c r="U479" s="1" t="s">
        <v>74</v>
      </c>
      <c r="V479" s="1" t="s">
        <v>4199</v>
      </c>
      <c r="W479" s="1" t="s">
        <v>74</v>
      </c>
      <c r="X479" s="1" t="s">
        <v>74</v>
      </c>
      <c r="Y479" s="1" t="s">
        <v>74</v>
      </c>
      <c r="Z479" s="1" t="s">
        <v>74</v>
      </c>
      <c r="AA479" s="1" t="s">
        <v>4200</v>
      </c>
      <c r="AB479" s="1" t="s">
        <v>4201</v>
      </c>
      <c r="AC479" s="1" t="s">
        <v>74</v>
      </c>
      <c r="AD479" s="1" t="s">
        <v>74</v>
      </c>
      <c r="AE479" s="1" t="s">
        <v>74</v>
      </c>
      <c r="AF479" s="1" t="s">
        <v>74</v>
      </c>
      <c r="AG479" s="1" t="s">
        <v>74</v>
      </c>
      <c r="AH479" s="1" t="s">
        <v>74</v>
      </c>
      <c r="AI479" s="1" t="s">
        <v>74</v>
      </c>
      <c r="AJ479" s="1" t="s">
        <v>74</v>
      </c>
      <c r="AK479" s="1" t="s">
        <v>74</v>
      </c>
      <c r="AL479" s="1" t="s">
        <v>74</v>
      </c>
      <c r="AM479" s="1" t="s">
        <v>74</v>
      </c>
      <c r="AN479" s="1" t="s">
        <v>74</v>
      </c>
      <c r="AO479" s="1" t="s">
        <v>4202</v>
      </c>
      <c r="AP479" s="1" t="s">
        <v>4203</v>
      </c>
      <c r="AQ479" s="1" t="s">
        <v>74</v>
      </c>
      <c r="AR479" s="1" t="s">
        <v>74</v>
      </c>
      <c r="AS479" s="1" t="s">
        <v>74</v>
      </c>
      <c r="AT479" s="1" t="s">
        <v>1093</v>
      </c>
      <c r="AU479" s="1">
        <v>2000.0</v>
      </c>
      <c r="AV479" s="1">
        <v>39.0</v>
      </c>
      <c r="AW479" s="1">
        <v>27.0</v>
      </c>
      <c r="AX479" s="1" t="s">
        <v>74</v>
      </c>
      <c r="AY479" s="1" t="s">
        <v>74</v>
      </c>
      <c r="AZ479" s="1" t="s">
        <v>74</v>
      </c>
      <c r="BA479" s="1" t="s">
        <v>74</v>
      </c>
      <c r="BB479" s="1">
        <v>4895.0</v>
      </c>
      <c r="BC479" s="1">
        <v>4901.0</v>
      </c>
      <c r="BD479" s="1" t="s">
        <v>74</v>
      </c>
      <c r="BE479" s="1" t="s">
        <v>4204</v>
      </c>
      <c r="BF479" s="2" t="str">
        <f>HYPERLINK("http://dx.doi.org/10.1364/AO.39.004895","http://dx.doi.org/10.1364/AO.39.004895")</f>
        <v>http://dx.doi.org/10.1364/AO.39.004895</v>
      </c>
      <c r="BG479" s="1" t="s">
        <v>74</v>
      </c>
      <c r="BH479" s="1" t="s">
        <v>74</v>
      </c>
      <c r="BI479" s="1" t="s">
        <v>74</v>
      </c>
      <c r="BJ479" s="1" t="s">
        <v>74</v>
      </c>
      <c r="BK479" s="1" t="s">
        <v>74</v>
      </c>
      <c r="BL479" s="1" t="s">
        <v>74</v>
      </c>
      <c r="BM479" s="1" t="s">
        <v>74</v>
      </c>
      <c r="BN479" s="1">
        <v>1.8350082E7</v>
      </c>
      <c r="BO479" s="1" t="s">
        <v>74</v>
      </c>
      <c r="BP479" s="1" t="s">
        <v>74</v>
      </c>
      <c r="BQ479" s="1" t="s">
        <v>74</v>
      </c>
      <c r="BR479" s="1" t="s">
        <v>74</v>
      </c>
      <c r="BS479" s="1" t="s">
        <v>4205</v>
      </c>
      <c r="BT479" s="1" t="str">
        <f>HYPERLINK("https%3A%2F%2Fwww.webofscience.com%2Fwos%2Fwoscc%2Ffull-record%2FWOS:000089252400004","View Full Record in Web of Science")</f>
        <v>View Full Record in Web of Science</v>
      </c>
    </row>
    <row r="480" ht="12.75" customHeight="1">
      <c r="A480" s="1" t="s">
        <v>72</v>
      </c>
      <c r="B480" s="1" t="s">
        <v>4206</v>
      </c>
      <c r="C480" s="1" t="s">
        <v>74</v>
      </c>
      <c r="D480" s="1" t="s">
        <v>74</v>
      </c>
      <c r="E480" s="1" t="s">
        <v>74</v>
      </c>
      <c r="F480" s="1" t="s">
        <v>4206</v>
      </c>
      <c r="G480" s="1" t="s">
        <v>74</v>
      </c>
      <c r="H480" s="1" t="s">
        <v>74</v>
      </c>
      <c r="I480" s="1" t="s">
        <v>4207</v>
      </c>
      <c r="J480" s="1" t="s">
        <v>4208</v>
      </c>
      <c r="K480" s="1" t="s">
        <v>74</v>
      </c>
      <c r="L480" s="1" t="s">
        <v>74</v>
      </c>
      <c r="M480" s="1" t="s">
        <v>74</v>
      </c>
      <c r="N480" s="1" t="s">
        <v>74</v>
      </c>
      <c r="O480" s="1" t="s">
        <v>74</v>
      </c>
      <c r="P480" s="1" t="s">
        <v>74</v>
      </c>
      <c r="Q480" s="1" t="s">
        <v>74</v>
      </c>
      <c r="R480" s="1" t="s">
        <v>74</v>
      </c>
      <c r="S480" s="1" t="s">
        <v>74</v>
      </c>
      <c r="T480" s="1" t="s">
        <v>74</v>
      </c>
      <c r="U480" s="1" t="s">
        <v>74</v>
      </c>
      <c r="V480" s="1" t="s">
        <v>74</v>
      </c>
      <c r="W480" s="1" t="s">
        <v>74</v>
      </c>
      <c r="X480" s="1" t="s">
        <v>74</v>
      </c>
      <c r="Y480" s="1" t="s">
        <v>74</v>
      </c>
      <c r="Z480" s="1" t="s">
        <v>74</v>
      </c>
      <c r="AA480" s="1" t="s">
        <v>74</v>
      </c>
      <c r="AB480" s="1" t="s">
        <v>74</v>
      </c>
      <c r="AC480" s="1" t="s">
        <v>74</v>
      </c>
      <c r="AD480" s="1" t="s">
        <v>74</v>
      </c>
      <c r="AE480" s="1" t="s">
        <v>74</v>
      </c>
      <c r="AF480" s="1" t="s">
        <v>74</v>
      </c>
      <c r="AG480" s="1" t="s">
        <v>74</v>
      </c>
      <c r="AH480" s="1" t="s">
        <v>74</v>
      </c>
      <c r="AI480" s="1" t="s">
        <v>74</v>
      </c>
      <c r="AJ480" s="1" t="s">
        <v>74</v>
      </c>
      <c r="AK480" s="1" t="s">
        <v>74</v>
      </c>
      <c r="AL480" s="1" t="s">
        <v>74</v>
      </c>
      <c r="AM480" s="1" t="s">
        <v>74</v>
      </c>
      <c r="AN480" s="1" t="s">
        <v>74</v>
      </c>
      <c r="AO480" s="1" t="s">
        <v>4209</v>
      </c>
      <c r="AP480" s="1" t="s">
        <v>74</v>
      </c>
      <c r="AQ480" s="1" t="s">
        <v>74</v>
      </c>
      <c r="AR480" s="1" t="s">
        <v>74</v>
      </c>
      <c r="AS480" s="1" t="s">
        <v>74</v>
      </c>
      <c r="AT480" s="1" t="s">
        <v>288</v>
      </c>
      <c r="AU480" s="1">
        <v>2000.0</v>
      </c>
      <c r="AV480" s="1">
        <v>523.0</v>
      </c>
      <c r="AW480" s="1" t="s">
        <v>74</v>
      </c>
      <c r="AX480" s="1" t="s">
        <v>74</v>
      </c>
      <c r="AY480" s="1" t="s">
        <v>162</v>
      </c>
      <c r="AZ480" s="1" t="s">
        <v>74</v>
      </c>
      <c r="BA480" s="1" t="s">
        <v>74</v>
      </c>
      <c r="BB480" s="1" t="s">
        <v>4210</v>
      </c>
      <c r="BC480" s="1" t="s">
        <v>4211</v>
      </c>
      <c r="BD480" s="1" t="s">
        <v>74</v>
      </c>
      <c r="BE480" s="1" t="s">
        <v>74</v>
      </c>
      <c r="BF480" s="1" t="s">
        <v>74</v>
      </c>
      <c r="BG480" s="1" t="s">
        <v>74</v>
      </c>
      <c r="BH480" s="1" t="s">
        <v>74</v>
      </c>
      <c r="BI480" s="1" t="s">
        <v>74</v>
      </c>
      <c r="BJ480" s="1" t="s">
        <v>74</v>
      </c>
      <c r="BK480" s="1" t="s">
        <v>74</v>
      </c>
      <c r="BL480" s="1" t="s">
        <v>74</v>
      </c>
      <c r="BM480" s="1" t="s">
        <v>74</v>
      </c>
      <c r="BN480" s="1" t="s">
        <v>74</v>
      </c>
      <c r="BO480" s="1" t="s">
        <v>74</v>
      </c>
      <c r="BP480" s="1" t="s">
        <v>74</v>
      </c>
      <c r="BQ480" s="1" t="s">
        <v>74</v>
      </c>
      <c r="BR480" s="1" t="s">
        <v>74</v>
      </c>
      <c r="BS480" s="1" t="s">
        <v>4212</v>
      </c>
      <c r="BT480" s="1" t="str">
        <f>HYPERLINK("https%3A%2F%2Fwww.webofscience.com%2Fwos%2Fwoscc%2Ffull-record%2FWOS:000085937100194","View Full Record in Web of Science")</f>
        <v>View Full Record in Web of Science</v>
      </c>
    </row>
    <row r="481" ht="12.75" customHeight="1">
      <c r="A481" s="1" t="s">
        <v>72</v>
      </c>
      <c r="B481" s="1" t="s">
        <v>4213</v>
      </c>
      <c r="C481" s="1" t="s">
        <v>74</v>
      </c>
      <c r="D481" s="1" t="s">
        <v>74</v>
      </c>
      <c r="E481" s="1" t="s">
        <v>74</v>
      </c>
      <c r="F481" s="1" t="s">
        <v>4213</v>
      </c>
      <c r="G481" s="1" t="s">
        <v>74</v>
      </c>
      <c r="H481" s="1" t="s">
        <v>74</v>
      </c>
      <c r="I481" s="1" t="s">
        <v>4214</v>
      </c>
      <c r="J481" s="1" t="s">
        <v>4215</v>
      </c>
      <c r="K481" s="1" t="s">
        <v>74</v>
      </c>
      <c r="L481" s="1" t="s">
        <v>74</v>
      </c>
      <c r="M481" s="1" t="s">
        <v>74</v>
      </c>
      <c r="N481" s="1" t="s">
        <v>74</v>
      </c>
      <c r="O481" s="1" t="s">
        <v>74</v>
      </c>
      <c r="P481" s="1" t="s">
        <v>74</v>
      </c>
      <c r="Q481" s="1" t="s">
        <v>74</v>
      </c>
      <c r="R481" s="1" t="s">
        <v>74</v>
      </c>
      <c r="S481" s="1" t="s">
        <v>74</v>
      </c>
      <c r="T481" s="1" t="s">
        <v>74</v>
      </c>
      <c r="U481" s="1" t="s">
        <v>74</v>
      </c>
      <c r="V481" s="1" t="s">
        <v>4216</v>
      </c>
      <c r="W481" s="1" t="s">
        <v>74</v>
      </c>
      <c r="X481" s="1" t="s">
        <v>74</v>
      </c>
      <c r="Y481" s="1" t="s">
        <v>74</v>
      </c>
      <c r="Z481" s="1" t="s">
        <v>74</v>
      </c>
      <c r="AA481" s="1" t="s">
        <v>74</v>
      </c>
      <c r="AB481" s="1" t="s">
        <v>1015</v>
      </c>
      <c r="AC481" s="1" t="s">
        <v>74</v>
      </c>
      <c r="AD481" s="1" t="s">
        <v>74</v>
      </c>
      <c r="AE481" s="1" t="s">
        <v>74</v>
      </c>
      <c r="AF481" s="1" t="s">
        <v>74</v>
      </c>
      <c r="AG481" s="1" t="s">
        <v>74</v>
      </c>
      <c r="AH481" s="1" t="s">
        <v>74</v>
      </c>
      <c r="AI481" s="1" t="s">
        <v>74</v>
      </c>
      <c r="AJ481" s="1" t="s">
        <v>74</v>
      </c>
      <c r="AK481" s="1" t="s">
        <v>74</v>
      </c>
      <c r="AL481" s="1" t="s">
        <v>74</v>
      </c>
      <c r="AM481" s="1" t="s">
        <v>74</v>
      </c>
      <c r="AN481" s="1" t="s">
        <v>74</v>
      </c>
      <c r="AO481" s="1" t="s">
        <v>4217</v>
      </c>
      <c r="AP481" s="1" t="s">
        <v>74</v>
      </c>
      <c r="AQ481" s="1" t="s">
        <v>74</v>
      </c>
      <c r="AR481" s="1" t="s">
        <v>74</v>
      </c>
      <c r="AS481" s="1" t="s">
        <v>74</v>
      </c>
      <c r="AT481" s="1" t="s">
        <v>74</v>
      </c>
      <c r="AU481" s="1">
        <v>1999.0</v>
      </c>
      <c r="AV481" s="1">
        <v>30.0</v>
      </c>
      <c r="AW481" s="1">
        <v>6.0</v>
      </c>
      <c r="AX481" s="1" t="s">
        <v>74</v>
      </c>
      <c r="AY481" s="1" t="s">
        <v>74</v>
      </c>
      <c r="AZ481" s="1" t="s">
        <v>74</v>
      </c>
      <c r="BA481" s="1" t="s">
        <v>74</v>
      </c>
      <c r="BB481" s="1">
        <v>471.0</v>
      </c>
      <c r="BC481" s="1">
        <v>477.0</v>
      </c>
      <c r="BD481" s="1" t="s">
        <v>74</v>
      </c>
      <c r="BE481" s="1" t="s">
        <v>4218</v>
      </c>
      <c r="BF481" s="2" t="str">
        <f>HYPERLINK("http://dx.doi.org/10.1080/10715769900300511","http://dx.doi.org/10.1080/10715769900300511")</f>
        <v>http://dx.doi.org/10.1080/10715769900300511</v>
      </c>
      <c r="BG481" s="1" t="s">
        <v>74</v>
      </c>
      <c r="BH481" s="1" t="s">
        <v>74</v>
      </c>
      <c r="BI481" s="1" t="s">
        <v>74</v>
      </c>
      <c r="BJ481" s="1" t="s">
        <v>74</v>
      </c>
      <c r="BK481" s="1" t="s">
        <v>74</v>
      </c>
      <c r="BL481" s="1" t="s">
        <v>74</v>
      </c>
      <c r="BM481" s="1" t="s">
        <v>74</v>
      </c>
      <c r="BN481" s="1">
        <v>1.0400459E7</v>
      </c>
      <c r="BO481" s="1" t="s">
        <v>74</v>
      </c>
      <c r="BP481" s="1" t="s">
        <v>74</v>
      </c>
      <c r="BQ481" s="1" t="s">
        <v>74</v>
      </c>
      <c r="BR481" s="1" t="s">
        <v>74</v>
      </c>
      <c r="BS481" s="1" t="s">
        <v>4219</v>
      </c>
      <c r="BT481" s="1" t="str">
        <f>HYPERLINK("https%3A%2F%2Fwww.webofscience.com%2Fwos%2Fwoscc%2Ffull-record%2FWOS:000080985100006","View Full Record in Web of Science")</f>
        <v>View Full Record in Web of Science</v>
      </c>
    </row>
    <row r="482" ht="12.75" customHeight="1">
      <c r="A482" s="1" t="s">
        <v>72</v>
      </c>
      <c r="B482" s="1" t="s">
        <v>4220</v>
      </c>
      <c r="C482" s="1" t="s">
        <v>74</v>
      </c>
      <c r="D482" s="1" t="s">
        <v>74</v>
      </c>
      <c r="E482" s="1" t="s">
        <v>74</v>
      </c>
      <c r="F482" s="1" t="s">
        <v>4220</v>
      </c>
      <c r="G482" s="1" t="s">
        <v>74</v>
      </c>
      <c r="H482" s="1" t="s">
        <v>74</v>
      </c>
      <c r="I482" s="1" t="s">
        <v>4221</v>
      </c>
      <c r="J482" s="1" t="s">
        <v>4222</v>
      </c>
      <c r="K482" s="1" t="s">
        <v>74</v>
      </c>
      <c r="L482" s="1" t="s">
        <v>74</v>
      </c>
      <c r="M482" s="1" t="s">
        <v>74</v>
      </c>
      <c r="N482" s="1" t="s">
        <v>74</v>
      </c>
      <c r="O482" s="1" t="s">
        <v>74</v>
      </c>
      <c r="P482" s="1" t="s">
        <v>74</v>
      </c>
      <c r="Q482" s="1" t="s">
        <v>74</v>
      </c>
      <c r="R482" s="1" t="s">
        <v>74</v>
      </c>
      <c r="S482" s="1" t="s">
        <v>74</v>
      </c>
      <c r="T482" s="1" t="s">
        <v>74</v>
      </c>
      <c r="U482" s="1" t="s">
        <v>74</v>
      </c>
      <c r="V482" s="1" t="s">
        <v>4223</v>
      </c>
      <c r="W482" s="1" t="s">
        <v>74</v>
      </c>
      <c r="X482" s="1" t="s">
        <v>74</v>
      </c>
      <c r="Y482" s="1" t="s">
        <v>74</v>
      </c>
      <c r="Z482" s="1" t="s">
        <v>74</v>
      </c>
      <c r="AA482" s="1" t="s">
        <v>74</v>
      </c>
      <c r="AB482" s="1" t="s">
        <v>74</v>
      </c>
      <c r="AC482" s="1" t="s">
        <v>74</v>
      </c>
      <c r="AD482" s="1" t="s">
        <v>74</v>
      </c>
      <c r="AE482" s="1" t="s">
        <v>74</v>
      </c>
      <c r="AF482" s="1" t="s">
        <v>74</v>
      </c>
      <c r="AG482" s="1" t="s">
        <v>74</v>
      </c>
      <c r="AH482" s="1" t="s">
        <v>74</v>
      </c>
      <c r="AI482" s="1" t="s">
        <v>74</v>
      </c>
      <c r="AJ482" s="1" t="s">
        <v>74</v>
      </c>
      <c r="AK482" s="1" t="s">
        <v>74</v>
      </c>
      <c r="AL482" s="1" t="s">
        <v>74</v>
      </c>
      <c r="AM482" s="1" t="s">
        <v>74</v>
      </c>
      <c r="AN482" s="1" t="s">
        <v>74</v>
      </c>
      <c r="AO482" s="1" t="s">
        <v>4224</v>
      </c>
      <c r="AP482" s="1" t="s">
        <v>4225</v>
      </c>
      <c r="AQ482" s="1" t="s">
        <v>74</v>
      </c>
      <c r="AR482" s="1" t="s">
        <v>74</v>
      </c>
      <c r="AS482" s="1" t="s">
        <v>74</v>
      </c>
      <c r="AT482" s="1" t="s">
        <v>4226</v>
      </c>
      <c r="AU482" s="1">
        <v>1998.0</v>
      </c>
      <c r="AV482" s="1">
        <v>109.0</v>
      </c>
      <c r="AW482" s="1">
        <v>14.0</v>
      </c>
      <c r="AX482" s="1" t="s">
        <v>74</v>
      </c>
      <c r="AY482" s="1" t="s">
        <v>74</v>
      </c>
      <c r="AZ482" s="1" t="s">
        <v>74</v>
      </c>
      <c r="BA482" s="1" t="s">
        <v>74</v>
      </c>
      <c r="BB482" s="1">
        <v>6086.0</v>
      </c>
      <c r="BC482" s="1">
        <v>6091.0</v>
      </c>
      <c r="BD482" s="1" t="s">
        <v>74</v>
      </c>
      <c r="BE482" s="1" t="s">
        <v>4227</v>
      </c>
      <c r="BF482" s="2" t="str">
        <f>HYPERLINK("http://dx.doi.org/10.1063/1.477235","http://dx.doi.org/10.1063/1.477235")</f>
        <v>http://dx.doi.org/10.1063/1.477235</v>
      </c>
      <c r="BG482" s="1" t="s">
        <v>74</v>
      </c>
      <c r="BH482" s="1" t="s">
        <v>74</v>
      </c>
      <c r="BI482" s="1" t="s">
        <v>74</v>
      </c>
      <c r="BJ482" s="1" t="s">
        <v>74</v>
      </c>
      <c r="BK482" s="1" t="s">
        <v>74</v>
      </c>
      <c r="BL482" s="1" t="s">
        <v>74</v>
      </c>
      <c r="BM482" s="1" t="s">
        <v>74</v>
      </c>
      <c r="BN482" s="1" t="s">
        <v>74</v>
      </c>
      <c r="BO482" s="1" t="s">
        <v>74</v>
      </c>
      <c r="BP482" s="1" t="s">
        <v>74</v>
      </c>
      <c r="BQ482" s="1" t="s">
        <v>74</v>
      </c>
      <c r="BR482" s="1" t="s">
        <v>74</v>
      </c>
      <c r="BS482" s="1" t="s">
        <v>4228</v>
      </c>
      <c r="BT482" s="1" t="str">
        <f>HYPERLINK("https%3A%2F%2Fwww.webofscience.com%2Fwos%2Fwoscc%2Ffull-record%2FWOS:000076216900046","View Full Record in Web of Science")</f>
        <v>View Full Record in Web of Science</v>
      </c>
    </row>
    <row r="483" ht="12.75" customHeight="1">
      <c r="A483" s="1" t="s">
        <v>72</v>
      </c>
      <c r="B483" s="1" t="s">
        <v>4229</v>
      </c>
      <c r="C483" s="1" t="s">
        <v>74</v>
      </c>
      <c r="D483" s="1" t="s">
        <v>74</v>
      </c>
      <c r="E483" s="1" t="s">
        <v>74</v>
      </c>
      <c r="F483" s="1" t="s">
        <v>4229</v>
      </c>
      <c r="G483" s="1" t="s">
        <v>74</v>
      </c>
      <c r="H483" s="1" t="s">
        <v>74</v>
      </c>
      <c r="I483" s="1" t="s">
        <v>4230</v>
      </c>
      <c r="J483" s="1" t="s">
        <v>2466</v>
      </c>
      <c r="K483" s="1" t="s">
        <v>74</v>
      </c>
      <c r="L483" s="1" t="s">
        <v>74</v>
      </c>
      <c r="M483" s="1" t="s">
        <v>74</v>
      </c>
      <c r="N483" s="1" t="s">
        <v>74</v>
      </c>
      <c r="O483" s="1" t="s">
        <v>74</v>
      </c>
      <c r="P483" s="1" t="s">
        <v>74</v>
      </c>
      <c r="Q483" s="1" t="s">
        <v>74</v>
      </c>
      <c r="R483" s="1" t="s">
        <v>74</v>
      </c>
      <c r="S483" s="1" t="s">
        <v>74</v>
      </c>
      <c r="T483" s="1" t="s">
        <v>74</v>
      </c>
      <c r="U483" s="1" t="s">
        <v>74</v>
      </c>
      <c r="V483" s="1" t="s">
        <v>4231</v>
      </c>
      <c r="W483" s="1" t="s">
        <v>74</v>
      </c>
      <c r="X483" s="1" t="s">
        <v>74</v>
      </c>
      <c r="Y483" s="1" t="s">
        <v>74</v>
      </c>
      <c r="Z483" s="1" t="s">
        <v>74</v>
      </c>
      <c r="AA483" s="1" t="s">
        <v>4232</v>
      </c>
      <c r="AB483" s="1" t="s">
        <v>4233</v>
      </c>
      <c r="AC483" s="1" t="s">
        <v>74</v>
      </c>
      <c r="AD483" s="1" t="s">
        <v>74</v>
      </c>
      <c r="AE483" s="1" t="s">
        <v>74</v>
      </c>
      <c r="AF483" s="1" t="s">
        <v>74</v>
      </c>
      <c r="AG483" s="1" t="s">
        <v>74</v>
      </c>
      <c r="AH483" s="1" t="s">
        <v>74</v>
      </c>
      <c r="AI483" s="1" t="s">
        <v>74</v>
      </c>
      <c r="AJ483" s="1" t="s">
        <v>74</v>
      </c>
      <c r="AK483" s="1" t="s">
        <v>74</v>
      </c>
      <c r="AL483" s="1" t="s">
        <v>74</v>
      </c>
      <c r="AM483" s="1" t="s">
        <v>74</v>
      </c>
      <c r="AN483" s="1" t="s">
        <v>74</v>
      </c>
      <c r="AO483" s="1" t="s">
        <v>4234</v>
      </c>
      <c r="AP483" s="1" t="s">
        <v>74</v>
      </c>
      <c r="AQ483" s="1" t="s">
        <v>74</v>
      </c>
      <c r="AR483" s="1" t="s">
        <v>74</v>
      </c>
      <c r="AS483" s="1" t="s">
        <v>74</v>
      </c>
      <c r="AT483" s="1" t="s">
        <v>2668</v>
      </c>
      <c r="AU483" s="1">
        <v>1996.0</v>
      </c>
      <c r="AV483" s="1">
        <v>53.0</v>
      </c>
      <c r="AW483" s="1">
        <v>12.0</v>
      </c>
      <c r="AX483" s="1" t="s">
        <v>74</v>
      </c>
      <c r="AY483" s="1" t="s">
        <v>74</v>
      </c>
      <c r="AZ483" s="1" t="s">
        <v>74</v>
      </c>
      <c r="BA483" s="1" t="s">
        <v>74</v>
      </c>
      <c r="BB483" s="1">
        <v>6991.0</v>
      </c>
      <c r="BC483" s="1">
        <v>6994.0</v>
      </c>
      <c r="BD483" s="1" t="s">
        <v>74</v>
      </c>
      <c r="BE483" s="1" t="s">
        <v>4235</v>
      </c>
      <c r="BF483" s="2" t="str">
        <f>HYPERLINK("http://dx.doi.org/10.1103/PhysRevD.53.6991","http://dx.doi.org/10.1103/PhysRevD.53.6991")</f>
        <v>http://dx.doi.org/10.1103/PhysRevD.53.6991</v>
      </c>
      <c r="BG483" s="1" t="s">
        <v>74</v>
      </c>
      <c r="BH483" s="1" t="s">
        <v>74</v>
      </c>
      <c r="BI483" s="1" t="s">
        <v>74</v>
      </c>
      <c r="BJ483" s="1" t="s">
        <v>74</v>
      </c>
      <c r="BK483" s="1" t="s">
        <v>74</v>
      </c>
      <c r="BL483" s="1" t="s">
        <v>74</v>
      </c>
      <c r="BM483" s="1" t="s">
        <v>74</v>
      </c>
      <c r="BN483" s="1">
        <v>1.0019985E7</v>
      </c>
      <c r="BO483" s="1" t="s">
        <v>74</v>
      </c>
      <c r="BP483" s="1" t="s">
        <v>74</v>
      </c>
      <c r="BQ483" s="1" t="s">
        <v>74</v>
      </c>
      <c r="BR483" s="1" t="s">
        <v>74</v>
      </c>
      <c r="BS483" s="1" t="s">
        <v>4236</v>
      </c>
      <c r="BT483" s="1" t="str">
        <f>HYPERLINK("https%3A%2F%2Fwww.webofscience.com%2Fwos%2Fwoscc%2Ffull-record%2FWOS:A1996UT16800031","View Full Record in Web of Science")</f>
        <v>View Full Record in Web of Science</v>
      </c>
    </row>
    <row r="484" ht="12.75" customHeight="1">
      <c r="A484" s="1" t="s">
        <v>91</v>
      </c>
      <c r="B484" s="1" t="s">
        <v>4229</v>
      </c>
      <c r="C484" s="1" t="s">
        <v>74</v>
      </c>
      <c r="D484" s="1" t="s">
        <v>4237</v>
      </c>
      <c r="E484" s="1" t="s">
        <v>74</v>
      </c>
      <c r="F484" s="1" t="s">
        <v>4229</v>
      </c>
      <c r="G484" s="1" t="s">
        <v>74</v>
      </c>
      <c r="H484" s="1" t="s">
        <v>74</v>
      </c>
      <c r="I484" s="1" t="s">
        <v>4238</v>
      </c>
      <c r="J484" s="1" t="s">
        <v>4239</v>
      </c>
      <c r="K484" s="1" t="s">
        <v>4240</v>
      </c>
      <c r="L484" s="1" t="s">
        <v>74</v>
      </c>
      <c r="M484" s="1" t="s">
        <v>74</v>
      </c>
      <c r="N484" s="1" t="s">
        <v>74</v>
      </c>
      <c r="O484" s="1" t="s">
        <v>4241</v>
      </c>
      <c r="P484" s="1" t="s">
        <v>4242</v>
      </c>
      <c r="Q484" s="1" t="s">
        <v>4243</v>
      </c>
      <c r="R484" s="1" t="s">
        <v>4244</v>
      </c>
      <c r="S484" s="1" t="s">
        <v>74</v>
      </c>
      <c r="T484" s="1" t="s">
        <v>74</v>
      </c>
      <c r="U484" s="1" t="s">
        <v>74</v>
      </c>
      <c r="V484" s="1" t="s">
        <v>74</v>
      </c>
      <c r="W484" s="1" t="s">
        <v>74</v>
      </c>
      <c r="X484" s="1" t="s">
        <v>74</v>
      </c>
      <c r="Y484" s="1" t="s">
        <v>74</v>
      </c>
      <c r="Z484" s="1" t="s">
        <v>74</v>
      </c>
      <c r="AA484" s="1" t="s">
        <v>4232</v>
      </c>
      <c r="AB484" s="1" t="s">
        <v>74</v>
      </c>
      <c r="AC484" s="1" t="s">
        <v>74</v>
      </c>
      <c r="AD484" s="1" t="s">
        <v>74</v>
      </c>
      <c r="AE484" s="1" t="s">
        <v>74</v>
      </c>
      <c r="AF484" s="1" t="s">
        <v>74</v>
      </c>
      <c r="AG484" s="1" t="s">
        <v>74</v>
      </c>
      <c r="AH484" s="1" t="s">
        <v>74</v>
      </c>
      <c r="AI484" s="1" t="s">
        <v>74</v>
      </c>
      <c r="AJ484" s="1" t="s">
        <v>74</v>
      </c>
      <c r="AK484" s="1" t="s">
        <v>74</v>
      </c>
      <c r="AL484" s="1" t="s">
        <v>74</v>
      </c>
      <c r="AM484" s="1" t="s">
        <v>74</v>
      </c>
      <c r="AN484" s="1" t="s">
        <v>74</v>
      </c>
      <c r="AO484" s="1" t="s">
        <v>2595</v>
      </c>
      <c r="AP484" s="1" t="s">
        <v>74</v>
      </c>
      <c r="AQ484" s="1" t="s">
        <v>4245</v>
      </c>
      <c r="AR484" s="1" t="s">
        <v>74</v>
      </c>
      <c r="AS484" s="1" t="s">
        <v>74</v>
      </c>
      <c r="AT484" s="1" t="s">
        <v>74</v>
      </c>
      <c r="AU484" s="1">
        <v>1996.0</v>
      </c>
      <c r="AV484" s="1" t="s">
        <v>74</v>
      </c>
      <c r="AW484" s="1">
        <v>359.0</v>
      </c>
      <c r="AX484" s="1" t="s">
        <v>74</v>
      </c>
      <c r="AY484" s="1" t="s">
        <v>74</v>
      </c>
      <c r="AZ484" s="1" t="s">
        <v>74</v>
      </c>
      <c r="BA484" s="1" t="s">
        <v>74</v>
      </c>
      <c r="BB484" s="1">
        <v>317.0</v>
      </c>
      <c r="BC484" s="1">
        <v>338.0</v>
      </c>
      <c r="BD484" s="1" t="s">
        <v>74</v>
      </c>
      <c r="BE484" s="1" t="s">
        <v>74</v>
      </c>
      <c r="BF484" s="1" t="s">
        <v>74</v>
      </c>
      <c r="BG484" s="1" t="s">
        <v>74</v>
      </c>
      <c r="BH484" s="1" t="s">
        <v>74</v>
      </c>
      <c r="BI484" s="1" t="s">
        <v>74</v>
      </c>
      <c r="BJ484" s="1" t="s">
        <v>74</v>
      </c>
      <c r="BK484" s="1" t="s">
        <v>74</v>
      </c>
      <c r="BL484" s="1" t="s">
        <v>74</v>
      </c>
      <c r="BM484" s="1" t="s">
        <v>74</v>
      </c>
      <c r="BN484" s="1" t="s">
        <v>74</v>
      </c>
      <c r="BO484" s="1" t="s">
        <v>74</v>
      </c>
      <c r="BP484" s="1" t="s">
        <v>74</v>
      </c>
      <c r="BQ484" s="1" t="s">
        <v>74</v>
      </c>
      <c r="BR484" s="1" t="s">
        <v>74</v>
      </c>
      <c r="BS484" s="1" t="s">
        <v>4246</v>
      </c>
      <c r="BT484" s="1" t="str">
        <f>HYPERLINK("https%3A%2F%2Fwww.webofscience.com%2Fwos%2Fwoscc%2Ffull-record%2FWOS:A1996BG55P00009","View Full Record in Web of Science")</f>
        <v>View Full Record in Web of Science</v>
      </c>
    </row>
    <row r="485" ht="12.75" customHeight="1">
      <c r="A485" s="1" t="s">
        <v>72</v>
      </c>
      <c r="B485" s="1" t="s">
        <v>4247</v>
      </c>
      <c r="C485" s="1" t="s">
        <v>74</v>
      </c>
      <c r="D485" s="1" t="s">
        <v>74</v>
      </c>
      <c r="E485" s="1" t="s">
        <v>74</v>
      </c>
      <c r="F485" s="1" t="s">
        <v>4248</v>
      </c>
      <c r="G485" s="1" t="s">
        <v>74</v>
      </c>
      <c r="H485" s="1" t="s">
        <v>74</v>
      </c>
      <c r="I485" s="1" t="s">
        <v>4249</v>
      </c>
      <c r="J485" s="1" t="s">
        <v>2563</v>
      </c>
      <c r="K485" s="1" t="s">
        <v>74</v>
      </c>
      <c r="L485" s="1" t="s">
        <v>74</v>
      </c>
      <c r="M485" s="1" t="s">
        <v>74</v>
      </c>
      <c r="N485" s="1" t="s">
        <v>74</v>
      </c>
      <c r="O485" s="1" t="s">
        <v>74</v>
      </c>
      <c r="P485" s="1" t="s">
        <v>74</v>
      </c>
      <c r="Q485" s="1" t="s">
        <v>74</v>
      </c>
      <c r="R485" s="1" t="s">
        <v>74</v>
      </c>
      <c r="S485" s="1" t="s">
        <v>74</v>
      </c>
      <c r="T485" s="1" t="s">
        <v>74</v>
      </c>
      <c r="U485" s="1" t="s">
        <v>74</v>
      </c>
      <c r="V485" s="1" t="s">
        <v>74</v>
      </c>
      <c r="W485" s="1" t="s">
        <v>74</v>
      </c>
      <c r="X485" s="1" t="s">
        <v>74</v>
      </c>
      <c r="Y485" s="1" t="s">
        <v>74</v>
      </c>
      <c r="Z485" s="1" t="s">
        <v>74</v>
      </c>
      <c r="AA485" s="1" t="s">
        <v>74</v>
      </c>
      <c r="AB485" s="1" t="s">
        <v>74</v>
      </c>
      <c r="AC485" s="1" t="s">
        <v>74</v>
      </c>
      <c r="AD485" s="1" t="s">
        <v>74</v>
      </c>
      <c r="AE485" s="1" t="s">
        <v>74</v>
      </c>
      <c r="AF485" s="1" t="s">
        <v>74</v>
      </c>
      <c r="AG485" s="1" t="s">
        <v>74</v>
      </c>
      <c r="AH485" s="1" t="s">
        <v>74</v>
      </c>
      <c r="AI485" s="1" t="s">
        <v>74</v>
      </c>
      <c r="AJ485" s="1" t="s">
        <v>74</v>
      </c>
      <c r="AK485" s="1" t="s">
        <v>74</v>
      </c>
      <c r="AL485" s="1" t="s">
        <v>74</v>
      </c>
      <c r="AM485" s="1" t="s">
        <v>74</v>
      </c>
      <c r="AN485" s="1" t="s">
        <v>74</v>
      </c>
      <c r="AO485" s="1" t="s">
        <v>2564</v>
      </c>
      <c r="AP485" s="1" t="s">
        <v>74</v>
      </c>
      <c r="AQ485" s="1" t="s">
        <v>74</v>
      </c>
      <c r="AR485" s="1" t="s">
        <v>74</v>
      </c>
      <c r="AS485" s="1" t="s">
        <v>74</v>
      </c>
      <c r="AT485" s="1" t="s">
        <v>74</v>
      </c>
      <c r="AU485" s="1">
        <v>1996.0</v>
      </c>
      <c r="AV485" s="1">
        <v>52.0</v>
      </c>
      <c r="AW485" s="1" t="s">
        <v>74</v>
      </c>
      <c r="AX485" s="1" t="s">
        <v>74</v>
      </c>
      <c r="AY485" s="1" t="s">
        <v>162</v>
      </c>
      <c r="AZ485" s="1" t="s">
        <v>74</v>
      </c>
      <c r="BA485" s="1" t="s">
        <v>4250</v>
      </c>
      <c r="BB485" s="1" t="s">
        <v>4251</v>
      </c>
      <c r="BC485" s="1" t="s">
        <v>4251</v>
      </c>
      <c r="BD485" s="1" t="s">
        <v>74</v>
      </c>
      <c r="BE485" s="1" t="s">
        <v>4252</v>
      </c>
      <c r="BF485" s="2" t="str">
        <f>HYPERLINK("http://dx.doi.org/10.1107/S0108767396084711","http://dx.doi.org/10.1107/S0108767396084711")</f>
        <v>http://dx.doi.org/10.1107/S0108767396084711</v>
      </c>
      <c r="BG485" s="1" t="s">
        <v>74</v>
      </c>
      <c r="BH485" s="1" t="s">
        <v>74</v>
      </c>
      <c r="BI485" s="1" t="s">
        <v>74</v>
      </c>
      <c r="BJ485" s="1" t="s">
        <v>74</v>
      </c>
      <c r="BK485" s="1" t="s">
        <v>74</v>
      </c>
      <c r="BL485" s="1" t="s">
        <v>74</v>
      </c>
      <c r="BM485" s="1" t="s">
        <v>74</v>
      </c>
      <c r="BN485" s="1" t="s">
        <v>74</v>
      </c>
      <c r="BO485" s="1" t="s">
        <v>74</v>
      </c>
      <c r="BP485" s="1" t="s">
        <v>74</v>
      </c>
      <c r="BQ485" s="1" t="s">
        <v>74</v>
      </c>
      <c r="BR485" s="1" t="s">
        <v>74</v>
      </c>
      <c r="BS485" s="1" t="s">
        <v>4253</v>
      </c>
      <c r="BT485" s="1" t="str">
        <f>HYPERLINK("https%3A%2F%2Fwww.webofscience.com%2Fwos%2Fwoscc%2Ffull-record%2FWOS:000410483200661","View Full Record in Web of Science")</f>
        <v>View Full Record in Web of Science</v>
      </c>
    </row>
    <row r="486" ht="12.75" customHeight="1">
      <c r="A486" s="1" t="s">
        <v>72</v>
      </c>
      <c r="B486" s="1" t="s">
        <v>4254</v>
      </c>
      <c r="C486" s="1" t="s">
        <v>74</v>
      </c>
      <c r="D486" s="1" t="s">
        <v>74</v>
      </c>
      <c r="E486" s="1" t="s">
        <v>74</v>
      </c>
      <c r="F486" s="1" t="s">
        <v>4254</v>
      </c>
      <c r="G486" s="1" t="s">
        <v>74</v>
      </c>
      <c r="H486" s="1" t="s">
        <v>74</v>
      </c>
      <c r="I486" s="1" t="s">
        <v>4255</v>
      </c>
      <c r="J486" s="1" t="s">
        <v>1888</v>
      </c>
      <c r="K486" s="1" t="s">
        <v>74</v>
      </c>
      <c r="L486" s="1" t="s">
        <v>74</v>
      </c>
      <c r="M486" s="1" t="s">
        <v>74</v>
      </c>
      <c r="N486" s="1" t="s">
        <v>74</v>
      </c>
      <c r="O486" s="1" t="s">
        <v>74</v>
      </c>
      <c r="P486" s="1" t="s">
        <v>74</v>
      </c>
      <c r="Q486" s="1" t="s">
        <v>74</v>
      </c>
      <c r="R486" s="1" t="s">
        <v>74</v>
      </c>
      <c r="S486" s="1" t="s">
        <v>74</v>
      </c>
      <c r="T486" s="1" t="s">
        <v>74</v>
      </c>
      <c r="U486" s="1" t="s">
        <v>74</v>
      </c>
      <c r="V486" s="1" t="s">
        <v>4256</v>
      </c>
      <c r="W486" s="1" t="s">
        <v>74</v>
      </c>
      <c r="X486" s="1" t="s">
        <v>74</v>
      </c>
      <c r="Y486" s="1" t="s">
        <v>74</v>
      </c>
      <c r="Z486" s="1" t="s">
        <v>74</v>
      </c>
      <c r="AA486" s="1" t="s">
        <v>74</v>
      </c>
      <c r="AB486" s="1" t="s">
        <v>74</v>
      </c>
      <c r="AC486" s="1" t="s">
        <v>74</v>
      </c>
      <c r="AD486" s="1" t="s">
        <v>74</v>
      </c>
      <c r="AE486" s="1" t="s">
        <v>74</v>
      </c>
      <c r="AF486" s="1" t="s">
        <v>74</v>
      </c>
      <c r="AG486" s="1" t="s">
        <v>74</v>
      </c>
      <c r="AH486" s="1" t="s">
        <v>74</v>
      </c>
      <c r="AI486" s="1" t="s">
        <v>74</v>
      </c>
      <c r="AJ486" s="1" t="s">
        <v>74</v>
      </c>
      <c r="AK486" s="1" t="s">
        <v>74</v>
      </c>
      <c r="AL486" s="1" t="s">
        <v>74</v>
      </c>
      <c r="AM486" s="1" t="s">
        <v>74</v>
      </c>
      <c r="AN486" s="1" t="s">
        <v>74</v>
      </c>
      <c r="AO486" s="1" t="s">
        <v>1889</v>
      </c>
      <c r="AP486" s="1" t="s">
        <v>74</v>
      </c>
      <c r="AQ486" s="1" t="s">
        <v>74</v>
      </c>
      <c r="AR486" s="1" t="s">
        <v>74</v>
      </c>
      <c r="AS486" s="1" t="s">
        <v>74</v>
      </c>
      <c r="AT486" s="1" t="s">
        <v>755</v>
      </c>
      <c r="AU486" s="1">
        <v>1995.0</v>
      </c>
      <c r="AV486" s="1">
        <v>193.0</v>
      </c>
      <c r="AW486" s="1">
        <v>2.0</v>
      </c>
      <c r="AX486" s="1" t="s">
        <v>74</v>
      </c>
      <c r="AY486" s="1" t="s">
        <v>74</v>
      </c>
      <c r="AZ486" s="1" t="s">
        <v>74</v>
      </c>
      <c r="BA486" s="1" t="s">
        <v>74</v>
      </c>
      <c r="BB486" s="1">
        <v>573.0</v>
      </c>
      <c r="BC486" s="1">
        <v>587.0</v>
      </c>
      <c r="BD486" s="1" t="s">
        <v>74</v>
      </c>
      <c r="BE486" s="1" t="s">
        <v>4257</v>
      </c>
      <c r="BF486" s="2" t="str">
        <f>HYPERLINK("http://dx.doi.org/10.1006/jmaa.1995.1254","http://dx.doi.org/10.1006/jmaa.1995.1254")</f>
        <v>http://dx.doi.org/10.1006/jmaa.1995.1254</v>
      </c>
      <c r="BG486" s="1" t="s">
        <v>74</v>
      </c>
      <c r="BH486" s="1" t="s">
        <v>74</v>
      </c>
      <c r="BI486" s="1" t="s">
        <v>74</v>
      </c>
      <c r="BJ486" s="1" t="s">
        <v>74</v>
      </c>
      <c r="BK486" s="1" t="s">
        <v>74</v>
      </c>
      <c r="BL486" s="1" t="s">
        <v>74</v>
      </c>
      <c r="BM486" s="1" t="s">
        <v>74</v>
      </c>
      <c r="BN486" s="1" t="s">
        <v>74</v>
      </c>
      <c r="BO486" s="1" t="s">
        <v>74</v>
      </c>
      <c r="BP486" s="1" t="s">
        <v>74</v>
      </c>
      <c r="BQ486" s="1" t="s">
        <v>74</v>
      </c>
      <c r="BR486" s="1" t="s">
        <v>74</v>
      </c>
      <c r="BS486" s="1" t="s">
        <v>4258</v>
      </c>
      <c r="BT486" s="1" t="str">
        <f>HYPERLINK("https%3A%2F%2Fwww.webofscience.com%2Fwos%2Fwoscc%2Ffull-record%2FWOS:A1995RH90100014","View Full Record in Web of Science")</f>
        <v>View Full Record in Web of Science</v>
      </c>
    </row>
    <row r="487" ht="12.75" customHeight="1">
      <c r="A487" s="1" t="s">
        <v>72</v>
      </c>
      <c r="B487" s="1" t="s">
        <v>1213</v>
      </c>
      <c r="C487" s="1" t="s">
        <v>74</v>
      </c>
      <c r="D487" s="1" t="s">
        <v>74</v>
      </c>
      <c r="E487" s="1" t="s">
        <v>74</v>
      </c>
      <c r="F487" s="1" t="s">
        <v>1213</v>
      </c>
      <c r="G487" s="1" t="s">
        <v>74</v>
      </c>
      <c r="H487" s="1" t="s">
        <v>74</v>
      </c>
      <c r="I487" s="1" t="s">
        <v>4259</v>
      </c>
      <c r="J487" s="1" t="s">
        <v>1117</v>
      </c>
      <c r="K487" s="1" t="s">
        <v>74</v>
      </c>
      <c r="L487" s="1" t="s">
        <v>74</v>
      </c>
      <c r="M487" s="1" t="s">
        <v>74</v>
      </c>
      <c r="N487" s="1" t="s">
        <v>74</v>
      </c>
      <c r="O487" s="1" t="s">
        <v>74</v>
      </c>
      <c r="P487" s="1" t="s">
        <v>74</v>
      </c>
      <c r="Q487" s="1" t="s">
        <v>74</v>
      </c>
      <c r="R487" s="1" t="s">
        <v>74</v>
      </c>
      <c r="S487" s="1" t="s">
        <v>74</v>
      </c>
      <c r="T487" s="1" t="s">
        <v>74</v>
      </c>
      <c r="U487" s="1" t="s">
        <v>74</v>
      </c>
      <c r="V487" s="1" t="s">
        <v>4260</v>
      </c>
      <c r="W487" s="1" t="s">
        <v>74</v>
      </c>
      <c r="X487" s="1" t="s">
        <v>74</v>
      </c>
      <c r="Y487" s="1" t="s">
        <v>74</v>
      </c>
      <c r="Z487" s="1" t="s">
        <v>74</v>
      </c>
      <c r="AA487" s="1" t="s">
        <v>74</v>
      </c>
      <c r="AB487" s="1" t="s">
        <v>74</v>
      </c>
      <c r="AC487" s="1" t="s">
        <v>74</v>
      </c>
      <c r="AD487" s="1" t="s">
        <v>74</v>
      </c>
      <c r="AE487" s="1" t="s">
        <v>74</v>
      </c>
      <c r="AF487" s="1" t="s">
        <v>74</v>
      </c>
      <c r="AG487" s="1" t="s">
        <v>74</v>
      </c>
      <c r="AH487" s="1" t="s">
        <v>74</v>
      </c>
      <c r="AI487" s="1" t="s">
        <v>74</v>
      </c>
      <c r="AJ487" s="1" t="s">
        <v>74</v>
      </c>
      <c r="AK487" s="1" t="s">
        <v>74</v>
      </c>
      <c r="AL487" s="1" t="s">
        <v>74</v>
      </c>
      <c r="AM487" s="1" t="s">
        <v>74</v>
      </c>
      <c r="AN487" s="1" t="s">
        <v>74</v>
      </c>
      <c r="AO487" s="1" t="s">
        <v>1120</v>
      </c>
      <c r="AP487" s="1" t="s">
        <v>74</v>
      </c>
      <c r="AQ487" s="1" t="s">
        <v>74</v>
      </c>
      <c r="AR487" s="1" t="s">
        <v>74</v>
      </c>
      <c r="AS487" s="1" t="s">
        <v>74</v>
      </c>
      <c r="AT487" s="1" t="s">
        <v>429</v>
      </c>
      <c r="AU487" s="1">
        <v>1995.0</v>
      </c>
      <c r="AV487" s="1">
        <v>123.0</v>
      </c>
      <c r="AW487" s="1">
        <v>5.0</v>
      </c>
      <c r="AX487" s="1" t="s">
        <v>74</v>
      </c>
      <c r="AY487" s="1" t="s">
        <v>74</v>
      </c>
      <c r="AZ487" s="1" t="s">
        <v>74</v>
      </c>
      <c r="BA487" s="1" t="s">
        <v>74</v>
      </c>
      <c r="BB487" s="1">
        <v>1417.0</v>
      </c>
      <c r="BC487" s="1">
        <v>1424.0</v>
      </c>
      <c r="BD487" s="1" t="s">
        <v>74</v>
      </c>
      <c r="BE487" s="1" t="s">
        <v>4261</v>
      </c>
      <c r="BF487" s="2" t="str">
        <f>HYPERLINK("http://dx.doi.org/10.2307/2161129","http://dx.doi.org/10.2307/2161129")</f>
        <v>http://dx.doi.org/10.2307/2161129</v>
      </c>
      <c r="BG487" s="1" t="s">
        <v>74</v>
      </c>
      <c r="BH487" s="1" t="s">
        <v>74</v>
      </c>
      <c r="BI487" s="1" t="s">
        <v>74</v>
      </c>
      <c r="BJ487" s="1" t="s">
        <v>74</v>
      </c>
      <c r="BK487" s="1" t="s">
        <v>74</v>
      </c>
      <c r="BL487" s="1" t="s">
        <v>74</v>
      </c>
      <c r="BM487" s="1" t="s">
        <v>74</v>
      </c>
      <c r="BN487" s="1" t="s">
        <v>74</v>
      </c>
      <c r="BO487" s="1" t="s">
        <v>74</v>
      </c>
      <c r="BP487" s="1" t="s">
        <v>74</v>
      </c>
      <c r="BQ487" s="1" t="s">
        <v>74</v>
      </c>
      <c r="BR487" s="1" t="s">
        <v>74</v>
      </c>
      <c r="BS487" s="1" t="s">
        <v>4262</v>
      </c>
      <c r="BT487" s="1" t="str">
        <f>HYPERLINK("https%3A%2F%2Fwww.webofscience.com%2Fwos%2Fwoscc%2Ffull-record%2FWOS:A1995QV36300016","View Full Record in Web of Science")</f>
        <v>View Full Record in Web of Science</v>
      </c>
    </row>
    <row r="488" ht="12.75" customHeight="1">
      <c r="A488" s="1" t="s">
        <v>91</v>
      </c>
      <c r="B488" s="1" t="s">
        <v>4263</v>
      </c>
      <c r="C488" s="1" t="s">
        <v>74</v>
      </c>
      <c r="D488" s="1" t="s">
        <v>74</v>
      </c>
      <c r="E488" s="1" t="s">
        <v>442</v>
      </c>
      <c r="F488" s="1" t="s">
        <v>4263</v>
      </c>
      <c r="G488" s="1" t="s">
        <v>74</v>
      </c>
      <c r="H488" s="1" t="s">
        <v>74</v>
      </c>
      <c r="I488" s="1" t="s">
        <v>4264</v>
      </c>
      <c r="J488" s="1" t="s">
        <v>4265</v>
      </c>
      <c r="K488" s="1" t="s">
        <v>4266</v>
      </c>
      <c r="L488" s="1" t="s">
        <v>74</v>
      </c>
      <c r="M488" s="1" t="s">
        <v>74</v>
      </c>
      <c r="N488" s="1" t="s">
        <v>74</v>
      </c>
      <c r="O488" s="1" t="s">
        <v>4267</v>
      </c>
      <c r="P488" s="1" t="s">
        <v>4268</v>
      </c>
      <c r="Q488" s="1" t="s">
        <v>4269</v>
      </c>
      <c r="R488" s="1" t="s">
        <v>4270</v>
      </c>
      <c r="S488" s="1" t="s">
        <v>74</v>
      </c>
      <c r="T488" s="1" t="s">
        <v>74</v>
      </c>
      <c r="U488" s="1" t="s">
        <v>74</v>
      </c>
      <c r="V488" s="1" t="s">
        <v>74</v>
      </c>
      <c r="W488" s="1" t="s">
        <v>74</v>
      </c>
      <c r="X488" s="1" t="s">
        <v>74</v>
      </c>
      <c r="Y488" s="1" t="s">
        <v>74</v>
      </c>
      <c r="Z488" s="1" t="s">
        <v>74</v>
      </c>
      <c r="AA488" s="1" t="s">
        <v>4271</v>
      </c>
      <c r="AB488" s="1" t="s">
        <v>4272</v>
      </c>
      <c r="AC488" s="1" t="s">
        <v>74</v>
      </c>
      <c r="AD488" s="1" t="s">
        <v>74</v>
      </c>
      <c r="AE488" s="1" t="s">
        <v>74</v>
      </c>
      <c r="AF488" s="1" t="s">
        <v>74</v>
      </c>
      <c r="AG488" s="1" t="s">
        <v>74</v>
      </c>
      <c r="AH488" s="1" t="s">
        <v>74</v>
      </c>
      <c r="AI488" s="1" t="s">
        <v>74</v>
      </c>
      <c r="AJ488" s="1" t="s">
        <v>74</v>
      </c>
      <c r="AK488" s="1" t="s">
        <v>74</v>
      </c>
      <c r="AL488" s="1" t="s">
        <v>74</v>
      </c>
      <c r="AM488" s="1" t="s">
        <v>74</v>
      </c>
      <c r="AN488" s="1" t="s">
        <v>74</v>
      </c>
      <c r="AO488" s="1" t="s">
        <v>4273</v>
      </c>
      <c r="AP488" s="1" t="s">
        <v>74</v>
      </c>
      <c r="AQ488" s="1" t="s">
        <v>4274</v>
      </c>
      <c r="AR488" s="1" t="s">
        <v>74</v>
      </c>
      <c r="AS488" s="1" t="s">
        <v>74</v>
      </c>
      <c r="AT488" s="1" t="s">
        <v>74</v>
      </c>
      <c r="AU488" s="1">
        <v>1994.0</v>
      </c>
      <c r="AV488" s="1" t="s">
        <v>74</v>
      </c>
      <c r="AW488" s="1" t="s">
        <v>74</v>
      </c>
      <c r="AX488" s="1" t="s">
        <v>74</v>
      </c>
      <c r="AY488" s="1" t="s">
        <v>74</v>
      </c>
      <c r="AZ488" s="1" t="s">
        <v>74</v>
      </c>
      <c r="BA488" s="1" t="s">
        <v>74</v>
      </c>
      <c r="BB488" s="1">
        <v>1409.0</v>
      </c>
      <c r="BC488" s="1">
        <v>1414.0</v>
      </c>
      <c r="BD488" s="1" t="s">
        <v>74</v>
      </c>
      <c r="BE488" s="1" t="s">
        <v>4275</v>
      </c>
      <c r="BF488" s="2" t="str">
        <f>HYPERLINK("http://dx.doi.org/10.1109/ROBOT.1994.351292","http://dx.doi.org/10.1109/ROBOT.1994.351292")</f>
        <v>http://dx.doi.org/10.1109/ROBOT.1994.351292</v>
      </c>
      <c r="BG488" s="1" t="s">
        <v>74</v>
      </c>
      <c r="BH488" s="1" t="s">
        <v>74</v>
      </c>
      <c r="BI488" s="1" t="s">
        <v>74</v>
      </c>
      <c r="BJ488" s="1" t="s">
        <v>74</v>
      </c>
      <c r="BK488" s="1" t="s">
        <v>74</v>
      </c>
      <c r="BL488" s="1" t="s">
        <v>74</v>
      </c>
      <c r="BM488" s="1" t="s">
        <v>74</v>
      </c>
      <c r="BN488" s="1" t="s">
        <v>74</v>
      </c>
      <c r="BO488" s="1" t="s">
        <v>74</v>
      </c>
      <c r="BP488" s="1" t="s">
        <v>74</v>
      </c>
      <c r="BQ488" s="1" t="s">
        <v>74</v>
      </c>
      <c r="BR488" s="1" t="s">
        <v>74</v>
      </c>
      <c r="BS488" s="1" t="s">
        <v>4276</v>
      </c>
      <c r="BT488" s="1" t="str">
        <f>HYPERLINK("https%3A%2F%2Fwww.webofscience.com%2Fwos%2Fwoscc%2Ffull-record%2FWOS:A1994BA72M00207","View Full Record in Web of Science")</f>
        <v>View Full Record in Web of Science</v>
      </c>
    </row>
    <row r="489" ht="12.75" customHeight="1">
      <c r="A489" s="1" t="s">
        <v>72</v>
      </c>
      <c r="B489" s="1" t="s">
        <v>4277</v>
      </c>
      <c r="C489" s="1" t="s">
        <v>74</v>
      </c>
      <c r="D489" s="1" t="s">
        <v>74</v>
      </c>
      <c r="E489" s="1" t="s">
        <v>74</v>
      </c>
      <c r="F489" s="1" t="s">
        <v>4277</v>
      </c>
      <c r="G489" s="1" t="s">
        <v>74</v>
      </c>
      <c r="H489" s="1" t="s">
        <v>74</v>
      </c>
      <c r="I489" s="1" t="s">
        <v>4278</v>
      </c>
      <c r="J489" s="1" t="s">
        <v>2829</v>
      </c>
      <c r="K489" s="1" t="s">
        <v>74</v>
      </c>
      <c r="L489" s="1" t="s">
        <v>74</v>
      </c>
      <c r="M489" s="1" t="s">
        <v>74</v>
      </c>
      <c r="N489" s="1" t="s">
        <v>74</v>
      </c>
      <c r="O489" s="1" t="s">
        <v>74</v>
      </c>
      <c r="P489" s="1" t="s">
        <v>74</v>
      </c>
      <c r="Q489" s="1" t="s">
        <v>74</v>
      </c>
      <c r="R489" s="1" t="s">
        <v>74</v>
      </c>
      <c r="S489" s="1" t="s">
        <v>74</v>
      </c>
      <c r="T489" s="1" t="s">
        <v>74</v>
      </c>
      <c r="U489" s="1" t="s">
        <v>74</v>
      </c>
      <c r="V489" s="1" t="s">
        <v>4279</v>
      </c>
      <c r="W489" s="1" t="s">
        <v>74</v>
      </c>
      <c r="X489" s="1" t="s">
        <v>74</v>
      </c>
      <c r="Y489" s="1" t="s">
        <v>74</v>
      </c>
      <c r="Z489" s="1" t="s">
        <v>74</v>
      </c>
      <c r="AA489" s="1" t="s">
        <v>4280</v>
      </c>
      <c r="AB489" s="1" t="s">
        <v>74</v>
      </c>
      <c r="AC489" s="1" t="s">
        <v>74</v>
      </c>
      <c r="AD489" s="1" t="s">
        <v>74</v>
      </c>
      <c r="AE489" s="1" t="s">
        <v>74</v>
      </c>
      <c r="AF489" s="1" t="s">
        <v>74</v>
      </c>
      <c r="AG489" s="1" t="s">
        <v>74</v>
      </c>
      <c r="AH489" s="1" t="s">
        <v>74</v>
      </c>
      <c r="AI489" s="1" t="s">
        <v>74</v>
      </c>
      <c r="AJ489" s="1" t="s">
        <v>74</v>
      </c>
      <c r="AK489" s="1" t="s">
        <v>74</v>
      </c>
      <c r="AL489" s="1" t="s">
        <v>74</v>
      </c>
      <c r="AM489" s="1" t="s">
        <v>74</v>
      </c>
      <c r="AN489" s="1" t="s">
        <v>74</v>
      </c>
      <c r="AO489" s="1" t="s">
        <v>2831</v>
      </c>
      <c r="AP489" s="1" t="s">
        <v>74</v>
      </c>
      <c r="AQ489" s="1" t="s">
        <v>74</v>
      </c>
      <c r="AR489" s="1" t="s">
        <v>74</v>
      </c>
      <c r="AS489" s="1" t="s">
        <v>74</v>
      </c>
      <c r="AT489" s="1" t="s">
        <v>88</v>
      </c>
      <c r="AU489" s="1">
        <v>1993.0</v>
      </c>
      <c r="AV489" s="1">
        <v>13.0</v>
      </c>
      <c r="AW489" s="1" t="s">
        <v>74</v>
      </c>
      <c r="AX489" s="1">
        <v>4.0</v>
      </c>
      <c r="AY489" s="1" t="s">
        <v>74</v>
      </c>
      <c r="AZ489" s="1" t="s">
        <v>74</v>
      </c>
      <c r="BA489" s="1" t="s">
        <v>74</v>
      </c>
      <c r="BB489" s="1">
        <v>737.0</v>
      </c>
      <c r="BC489" s="1">
        <v>766.0</v>
      </c>
      <c r="BD489" s="1" t="s">
        <v>74</v>
      </c>
      <c r="BE489" s="1" t="s">
        <v>4281</v>
      </c>
      <c r="BF489" s="2" t="str">
        <f>HYPERLINK("http://dx.doi.org/10.1017/S0143385700007641","http://dx.doi.org/10.1017/S0143385700007641")</f>
        <v>http://dx.doi.org/10.1017/S0143385700007641</v>
      </c>
      <c r="BG489" s="1" t="s">
        <v>74</v>
      </c>
      <c r="BH489" s="1" t="s">
        <v>74</v>
      </c>
      <c r="BI489" s="1" t="s">
        <v>74</v>
      </c>
      <c r="BJ489" s="1" t="s">
        <v>74</v>
      </c>
      <c r="BK489" s="1" t="s">
        <v>74</v>
      </c>
      <c r="BL489" s="1" t="s">
        <v>74</v>
      </c>
      <c r="BM489" s="1" t="s">
        <v>74</v>
      </c>
      <c r="BN489" s="1" t="s">
        <v>74</v>
      </c>
      <c r="BO489" s="1" t="s">
        <v>74</v>
      </c>
      <c r="BP489" s="1" t="s">
        <v>74</v>
      </c>
      <c r="BQ489" s="1" t="s">
        <v>74</v>
      </c>
      <c r="BR489" s="1" t="s">
        <v>74</v>
      </c>
      <c r="BS489" s="1" t="s">
        <v>4282</v>
      </c>
      <c r="BT489" s="1" t="str">
        <f>HYPERLINK("https%3A%2F%2Fwww.webofscience.com%2Fwos%2Fwoscc%2Ffull-record%2FWOS:A1993MZ23000009","View Full Record in Web of Science")</f>
        <v>View Full Record in Web of Science</v>
      </c>
    </row>
    <row r="490" ht="12.75" customHeight="1">
      <c r="A490" s="1" t="s">
        <v>91</v>
      </c>
      <c r="B490" s="1" t="s">
        <v>4283</v>
      </c>
      <c r="C490" s="1" t="s">
        <v>74</v>
      </c>
      <c r="D490" s="1" t="s">
        <v>74</v>
      </c>
      <c r="E490" s="1" t="s">
        <v>4284</v>
      </c>
      <c r="F490" s="1" t="s">
        <v>4283</v>
      </c>
      <c r="G490" s="1" t="s">
        <v>74</v>
      </c>
      <c r="H490" s="1" t="s">
        <v>74</v>
      </c>
      <c r="I490" s="1" t="s">
        <v>4285</v>
      </c>
      <c r="J490" s="1" t="s">
        <v>4286</v>
      </c>
      <c r="K490" s="1" t="s">
        <v>74</v>
      </c>
      <c r="L490" s="1" t="s">
        <v>74</v>
      </c>
      <c r="M490" s="1" t="s">
        <v>74</v>
      </c>
      <c r="N490" s="1" t="s">
        <v>74</v>
      </c>
      <c r="O490" s="1" t="s">
        <v>4287</v>
      </c>
      <c r="P490" s="1" t="s">
        <v>4288</v>
      </c>
      <c r="Q490" s="1" t="s">
        <v>4289</v>
      </c>
      <c r="R490" s="1" t="s">
        <v>2579</v>
      </c>
      <c r="S490" s="1" t="s">
        <v>74</v>
      </c>
      <c r="T490" s="1" t="s">
        <v>74</v>
      </c>
      <c r="U490" s="1" t="s">
        <v>74</v>
      </c>
      <c r="V490" s="1" t="s">
        <v>74</v>
      </c>
      <c r="W490" s="1" t="s">
        <v>74</v>
      </c>
      <c r="X490" s="1" t="s">
        <v>74</v>
      </c>
      <c r="Y490" s="1" t="s">
        <v>74</v>
      </c>
      <c r="Z490" s="1" t="s">
        <v>74</v>
      </c>
      <c r="AA490" s="1" t="s">
        <v>74</v>
      </c>
      <c r="AB490" s="1" t="s">
        <v>74</v>
      </c>
      <c r="AC490" s="1" t="s">
        <v>74</v>
      </c>
      <c r="AD490" s="1" t="s">
        <v>74</v>
      </c>
      <c r="AE490" s="1" t="s">
        <v>74</v>
      </c>
      <c r="AF490" s="1" t="s">
        <v>74</v>
      </c>
      <c r="AG490" s="1" t="s">
        <v>74</v>
      </c>
      <c r="AH490" s="1" t="s">
        <v>74</v>
      </c>
      <c r="AI490" s="1" t="s">
        <v>74</v>
      </c>
      <c r="AJ490" s="1" t="s">
        <v>74</v>
      </c>
      <c r="AK490" s="1" t="s">
        <v>74</v>
      </c>
      <c r="AL490" s="1" t="s">
        <v>74</v>
      </c>
      <c r="AM490" s="1" t="s">
        <v>74</v>
      </c>
      <c r="AN490" s="1" t="s">
        <v>74</v>
      </c>
      <c r="AO490" s="1" t="s">
        <v>74</v>
      </c>
      <c r="AP490" s="1" t="s">
        <v>74</v>
      </c>
      <c r="AQ490" s="1" t="s">
        <v>4290</v>
      </c>
      <c r="AR490" s="1" t="s">
        <v>74</v>
      </c>
      <c r="AS490" s="1" t="s">
        <v>74</v>
      </c>
      <c r="AT490" s="1" t="s">
        <v>74</v>
      </c>
      <c r="AU490" s="1">
        <v>1993.0</v>
      </c>
      <c r="AV490" s="1" t="s">
        <v>74</v>
      </c>
      <c r="AW490" s="1" t="s">
        <v>74</v>
      </c>
      <c r="AX490" s="1" t="s">
        <v>74</v>
      </c>
      <c r="AY490" s="1" t="s">
        <v>74</v>
      </c>
      <c r="AZ490" s="1" t="s">
        <v>74</v>
      </c>
      <c r="BA490" s="1" t="s">
        <v>74</v>
      </c>
      <c r="BB490" s="1">
        <v>735.0</v>
      </c>
      <c r="BC490" s="1">
        <v>738.0</v>
      </c>
      <c r="BD490" s="1" t="s">
        <v>74</v>
      </c>
      <c r="BE490" s="1" t="s">
        <v>74</v>
      </c>
      <c r="BF490" s="1" t="s">
        <v>74</v>
      </c>
      <c r="BG490" s="1" t="s">
        <v>74</v>
      </c>
      <c r="BH490" s="1" t="s">
        <v>74</v>
      </c>
      <c r="BI490" s="1" t="s">
        <v>74</v>
      </c>
      <c r="BJ490" s="1" t="s">
        <v>74</v>
      </c>
      <c r="BK490" s="1" t="s">
        <v>74</v>
      </c>
      <c r="BL490" s="1" t="s">
        <v>74</v>
      </c>
      <c r="BM490" s="1" t="s">
        <v>74</v>
      </c>
      <c r="BN490" s="1" t="s">
        <v>74</v>
      </c>
      <c r="BO490" s="1" t="s">
        <v>74</v>
      </c>
      <c r="BP490" s="1" t="s">
        <v>74</v>
      </c>
      <c r="BQ490" s="1" t="s">
        <v>74</v>
      </c>
      <c r="BR490" s="1" t="s">
        <v>74</v>
      </c>
      <c r="BS490" s="1" t="s">
        <v>4291</v>
      </c>
      <c r="BT490" s="1" t="str">
        <f>HYPERLINK("https%3A%2F%2Fwww.webofscience.com%2Fwos%2Fwoscc%2Ffull-record%2FWOS:A1993BA27D00176","View Full Record in Web of Science")</f>
        <v>View Full Record in Web of Science</v>
      </c>
    </row>
    <row r="491" ht="12.75" customHeight="1">
      <c r="A491" s="1" t="s">
        <v>72</v>
      </c>
      <c r="B491" s="1" t="s">
        <v>4292</v>
      </c>
      <c r="C491" s="1" t="s">
        <v>74</v>
      </c>
      <c r="D491" s="1" t="s">
        <v>74</v>
      </c>
      <c r="E491" s="1" t="s">
        <v>74</v>
      </c>
      <c r="F491" s="1" t="s">
        <v>4292</v>
      </c>
      <c r="G491" s="1" t="s">
        <v>74</v>
      </c>
      <c r="H491" s="1" t="s">
        <v>74</v>
      </c>
      <c r="I491" s="1" t="s">
        <v>4293</v>
      </c>
      <c r="J491" s="1" t="s">
        <v>177</v>
      </c>
      <c r="K491" s="1" t="s">
        <v>74</v>
      </c>
      <c r="L491" s="1" t="s">
        <v>74</v>
      </c>
      <c r="M491" s="1" t="s">
        <v>74</v>
      </c>
      <c r="N491" s="1" t="s">
        <v>74</v>
      </c>
      <c r="O491" s="1" t="s">
        <v>74</v>
      </c>
      <c r="P491" s="1" t="s">
        <v>74</v>
      </c>
      <c r="Q491" s="1" t="s">
        <v>74</v>
      </c>
      <c r="R491" s="1" t="s">
        <v>74</v>
      </c>
      <c r="S491" s="1" t="s">
        <v>74</v>
      </c>
      <c r="T491" s="1" t="s">
        <v>74</v>
      </c>
      <c r="U491" s="1" t="s">
        <v>74</v>
      </c>
      <c r="V491" s="1" t="s">
        <v>4294</v>
      </c>
      <c r="W491" s="1" t="s">
        <v>74</v>
      </c>
      <c r="X491" s="1" t="s">
        <v>74</v>
      </c>
      <c r="Y491" s="1" t="s">
        <v>74</v>
      </c>
      <c r="Z491" s="1" t="s">
        <v>74</v>
      </c>
      <c r="AA491" s="1" t="s">
        <v>74</v>
      </c>
      <c r="AB491" s="1" t="s">
        <v>74</v>
      </c>
      <c r="AC491" s="1" t="s">
        <v>74</v>
      </c>
      <c r="AD491" s="1" t="s">
        <v>74</v>
      </c>
      <c r="AE491" s="1" t="s">
        <v>74</v>
      </c>
      <c r="AF491" s="1" t="s">
        <v>74</v>
      </c>
      <c r="AG491" s="1" t="s">
        <v>74</v>
      </c>
      <c r="AH491" s="1" t="s">
        <v>74</v>
      </c>
      <c r="AI491" s="1" t="s">
        <v>74</v>
      </c>
      <c r="AJ491" s="1" t="s">
        <v>74</v>
      </c>
      <c r="AK491" s="1" t="s">
        <v>74</v>
      </c>
      <c r="AL491" s="1" t="s">
        <v>74</v>
      </c>
      <c r="AM491" s="1" t="s">
        <v>74</v>
      </c>
      <c r="AN491" s="1" t="s">
        <v>74</v>
      </c>
      <c r="AO491" s="1" t="s">
        <v>179</v>
      </c>
      <c r="AP491" s="1" t="s">
        <v>74</v>
      </c>
      <c r="AQ491" s="1" t="s">
        <v>74</v>
      </c>
      <c r="AR491" s="1" t="s">
        <v>74</v>
      </c>
      <c r="AS491" s="1" t="s">
        <v>74</v>
      </c>
      <c r="AT491" s="1" t="s">
        <v>88</v>
      </c>
      <c r="AU491" s="1">
        <v>1992.0</v>
      </c>
      <c r="AV491" s="1">
        <v>37.0</v>
      </c>
      <c r="AW491" s="1">
        <v>4.0</v>
      </c>
      <c r="AX491" s="1" t="s">
        <v>74</v>
      </c>
      <c r="AY491" s="1" t="s">
        <v>74</v>
      </c>
      <c r="AZ491" s="1" t="s">
        <v>74</v>
      </c>
      <c r="BA491" s="1" t="s">
        <v>74</v>
      </c>
      <c r="BB491" s="1">
        <v>315.0</v>
      </c>
      <c r="BC491" s="1">
        <v>322.0</v>
      </c>
      <c r="BD491" s="1" t="s">
        <v>74</v>
      </c>
      <c r="BE491" s="1" t="s">
        <v>74</v>
      </c>
      <c r="BF491" s="1" t="s">
        <v>74</v>
      </c>
      <c r="BG491" s="1" t="s">
        <v>74</v>
      </c>
      <c r="BH491" s="1" t="s">
        <v>74</v>
      </c>
      <c r="BI491" s="1" t="s">
        <v>74</v>
      </c>
      <c r="BJ491" s="1" t="s">
        <v>74</v>
      </c>
      <c r="BK491" s="1" t="s">
        <v>74</v>
      </c>
      <c r="BL491" s="1" t="s">
        <v>74</v>
      </c>
      <c r="BM491" s="1" t="s">
        <v>74</v>
      </c>
      <c r="BN491" s="1" t="s">
        <v>74</v>
      </c>
      <c r="BO491" s="1" t="s">
        <v>74</v>
      </c>
      <c r="BP491" s="1" t="s">
        <v>74</v>
      </c>
      <c r="BQ491" s="1" t="s">
        <v>74</v>
      </c>
      <c r="BR491" s="1" t="s">
        <v>74</v>
      </c>
      <c r="BS491" s="1" t="s">
        <v>4295</v>
      </c>
      <c r="BT491" s="1" t="str">
        <f>HYPERLINK("https%3A%2F%2Fwww.webofscience.com%2Fwos%2Fwoscc%2Ffull-record%2FWOS:A1992KH70700011","View Full Record in Web of Science")</f>
        <v>View Full Record in Web of Science</v>
      </c>
    </row>
    <row r="492" ht="12.75" customHeight="1">
      <c r="A492" s="1" t="s">
        <v>72</v>
      </c>
      <c r="B492" s="1" t="s">
        <v>4296</v>
      </c>
      <c r="C492" s="1" t="s">
        <v>74</v>
      </c>
      <c r="D492" s="1" t="s">
        <v>74</v>
      </c>
      <c r="E492" s="1" t="s">
        <v>74</v>
      </c>
      <c r="F492" s="1" t="s">
        <v>4296</v>
      </c>
      <c r="G492" s="1" t="s">
        <v>74</v>
      </c>
      <c r="H492" s="1" t="s">
        <v>74</v>
      </c>
      <c r="I492" s="1" t="s">
        <v>4297</v>
      </c>
      <c r="J492" s="1" t="s">
        <v>4298</v>
      </c>
      <c r="K492" s="1" t="s">
        <v>74</v>
      </c>
      <c r="L492" s="1" t="s">
        <v>74</v>
      </c>
      <c r="M492" s="1" t="s">
        <v>74</v>
      </c>
      <c r="N492" s="1" t="s">
        <v>74</v>
      </c>
      <c r="O492" s="1" t="s">
        <v>74</v>
      </c>
      <c r="P492" s="1" t="s">
        <v>74</v>
      </c>
      <c r="Q492" s="1" t="s">
        <v>74</v>
      </c>
      <c r="R492" s="1" t="s">
        <v>74</v>
      </c>
      <c r="S492" s="1" t="s">
        <v>74</v>
      </c>
      <c r="T492" s="1" t="s">
        <v>74</v>
      </c>
      <c r="U492" s="1" t="s">
        <v>74</v>
      </c>
      <c r="V492" s="1" t="s">
        <v>74</v>
      </c>
      <c r="W492" s="1" t="s">
        <v>74</v>
      </c>
      <c r="X492" s="1" t="s">
        <v>74</v>
      </c>
      <c r="Y492" s="1" t="s">
        <v>74</v>
      </c>
      <c r="Z492" s="1" t="s">
        <v>74</v>
      </c>
      <c r="AA492" s="1" t="s">
        <v>74</v>
      </c>
      <c r="AB492" s="1" t="s">
        <v>74</v>
      </c>
      <c r="AC492" s="1" t="s">
        <v>74</v>
      </c>
      <c r="AD492" s="1" t="s">
        <v>74</v>
      </c>
      <c r="AE492" s="1" t="s">
        <v>74</v>
      </c>
      <c r="AF492" s="1" t="s">
        <v>74</v>
      </c>
      <c r="AG492" s="1" t="s">
        <v>74</v>
      </c>
      <c r="AH492" s="1" t="s">
        <v>74</v>
      </c>
      <c r="AI492" s="1" t="s">
        <v>74</v>
      </c>
      <c r="AJ492" s="1" t="s">
        <v>74</v>
      </c>
      <c r="AK492" s="1" t="s">
        <v>74</v>
      </c>
      <c r="AL492" s="1" t="s">
        <v>74</v>
      </c>
      <c r="AM492" s="1" t="s">
        <v>74</v>
      </c>
      <c r="AN492" s="1" t="s">
        <v>74</v>
      </c>
      <c r="AO492" s="1" t="s">
        <v>4299</v>
      </c>
      <c r="AP492" s="1" t="s">
        <v>74</v>
      </c>
      <c r="AQ492" s="1" t="s">
        <v>74</v>
      </c>
      <c r="AR492" s="1" t="s">
        <v>74</v>
      </c>
      <c r="AS492" s="1" t="s">
        <v>74</v>
      </c>
      <c r="AT492" s="1" t="s">
        <v>2183</v>
      </c>
      <c r="AU492" s="1">
        <v>1989.0</v>
      </c>
      <c r="AV492" s="1">
        <v>2.0</v>
      </c>
      <c r="AW492" s="1">
        <v>1.0</v>
      </c>
      <c r="AX492" s="1" t="s">
        <v>74</v>
      </c>
      <c r="AY492" s="1" t="s">
        <v>74</v>
      </c>
      <c r="AZ492" s="1" t="s">
        <v>74</v>
      </c>
      <c r="BA492" s="1" t="s">
        <v>74</v>
      </c>
      <c r="BB492" s="1">
        <v>79.0</v>
      </c>
      <c r="BC492" s="1">
        <v>92.0</v>
      </c>
      <c r="BD492" s="1" t="s">
        <v>74</v>
      </c>
      <c r="BE492" s="1" t="s">
        <v>74</v>
      </c>
      <c r="BF492" s="1" t="s">
        <v>74</v>
      </c>
      <c r="BG492" s="1" t="s">
        <v>74</v>
      </c>
      <c r="BH492" s="1" t="s">
        <v>74</v>
      </c>
      <c r="BI492" s="1" t="s">
        <v>74</v>
      </c>
      <c r="BJ492" s="1" t="s">
        <v>74</v>
      </c>
      <c r="BK492" s="1" t="s">
        <v>74</v>
      </c>
      <c r="BL492" s="1" t="s">
        <v>74</v>
      </c>
      <c r="BM492" s="1" t="s">
        <v>74</v>
      </c>
      <c r="BN492" s="1" t="s">
        <v>74</v>
      </c>
      <c r="BO492" s="1" t="s">
        <v>74</v>
      </c>
      <c r="BP492" s="1" t="s">
        <v>74</v>
      </c>
      <c r="BQ492" s="1" t="s">
        <v>74</v>
      </c>
      <c r="BR492" s="1" t="s">
        <v>74</v>
      </c>
      <c r="BS492" s="1" t="s">
        <v>4300</v>
      </c>
      <c r="BT492" s="1" t="str">
        <f>HYPERLINK("https%3A%2F%2Fwww.webofscience.com%2Fwos%2Fwoscc%2Ffull-record%2FWOS:A1989T821400005","View Full Record in Web of Science")</f>
        <v>View Full Record in Web of Science</v>
      </c>
    </row>
    <row r="493" ht="12.75" customHeight="1">
      <c r="A493" s="1" t="s">
        <v>72</v>
      </c>
      <c r="B493" s="1" t="s">
        <v>4301</v>
      </c>
      <c r="C493" s="1" t="s">
        <v>74</v>
      </c>
      <c r="D493" s="1" t="s">
        <v>74</v>
      </c>
      <c r="E493" s="1" t="s">
        <v>74</v>
      </c>
      <c r="F493" s="1" t="s">
        <v>4301</v>
      </c>
      <c r="G493" s="1" t="s">
        <v>74</v>
      </c>
      <c r="H493" s="1" t="s">
        <v>74</v>
      </c>
      <c r="I493" s="1" t="s">
        <v>4302</v>
      </c>
      <c r="J493" s="1" t="s">
        <v>4303</v>
      </c>
      <c r="K493" s="1" t="s">
        <v>74</v>
      </c>
      <c r="L493" s="1" t="s">
        <v>74</v>
      </c>
      <c r="M493" s="1" t="s">
        <v>74</v>
      </c>
      <c r="N493" s="1" t="s">
        <v>74</v>
      </c>
      <c r="O493" s="1" t="s">
        <v>74</v>
      </c>
      <c r="P493" s="1" t="s">
        <v>74</v>
      </c>
      <c r="Q493" s="1" t="s">
        <v>74</v>
      </c>
      <c r="R493" s="1" t="s">
        <v>74</v>
      </c>
      <c r="S493" s="1" t="s">
        <v>74</v>
      </c>
      <c r="T493" s="1" t="s">
        <v>74</v>
      </c>
      <c r="U493" s="1" t="s">
        <v>74</v>
      </c>
      <c r="V493" s="1" t="s">
        <v>74</v>
      </c>
      <c r="W493" s="1" t="s">
        <v>74</v>
      </c>
      <c r="X493" s="1" t="s">
        <v>74</v>
      </c>
      <c r="Y493" s="1" t="s">
        <v>74</v>
      </c>
      <c r="Z493" s="1" t="s">
        <v>74</v>
      </c>
      <c r="AA493" s="1" t="s">
        <v>74</v>
      </c>
      <c r="AB493" s="1" t="s">
        <v>74</v>
      </c>
      <c r="AC493" s="1" t="s">
        <v>74</v>
      </c>
      <c r="AD493" s="1" t="s">
        <v>74</v>
      </c>
      <c r="AE493" s="1" t="s">
        <v>74</v>
      </c>
      <c r="AF493" s="1" t="s">
        <v>74</v>
      </c>
      <c r="AG493" s="1" t="s">
        <v>74</v>
      </c>
      <c r="AH493" s="1" t="s">
        <v>74</v>
      </c>
      <c r="AI493" s="1" t="s">
        <v>74</v>
      </c>
      <c r="AJ493" s="1" t="s">
        <v>74</v>
      </c>
      <c r="AK493" s="1" t="s">
        <v>74</v>
      </c>
      <c r="AL493" s="1" t="s">
        <v>74</v>
      </c>
      <c r="AM493" s="1" t="s">
        <v>74</v>
      </c>
      <c r="AN493" s="1" t="s">
        <v>74</v>
      </c>
      <c r="AO493" s="1" t="s">
        <v>4304</v>
      </c>
      <c r="AP493" s="1" t="s">
        <v>74</v>
      </c>
      <c r="AQ493" s="1" t="s">
        <v>74</v>
      </c>
      <c r="AR493" s="1" t="s">
        <v>74</v>
      </c>
      <c r="AS493" s="1" t="s">
        <v>74</v>
      </c>
      <c r="AT493" s="1" t="s">
        <v>74</v>
      </c>
      <c r="AU493" s="1">
        <v>1989.0</v>
      </c>
      <c r="AV493" s="1">
        <v>18.0</v>
      </c>
      <c r="AW493" s="1">
        <v>2.0</v>
      </c>
      <c r="AX493" s="1" t="s">
        <v>74</v>
      </c>
      <c r="AY493" s="1" t="s">
        <v>74</v>
      </c>
      <c r="AZ493" s="1" t="s">
        <v>74</v>
      </c>
      <c r="BA493" s="1" t="s">
        <v>74</v>
      </c>
      <c r="BB493" s="1">
        <v>673.0</v>
      </c>
      <c r="BC493" s="1">
        <v>702.0</v>
      </c>
      <c r="BD493" s="1" t="s">
        <v>74</v>
      </c>
      <c r="BE493" s="1" t="s">
        <v>4305</v>
      </c>
      <c r="BF493" s="2" t="str">
        <f>HYPERLINK("http://dx.doi.org/10.1080/03610918908812784","http://dx.doi.org/10.1080/03610918908812784")</f>
        <v>http://dx.doi.org/10.1080/03610918908812784</v>
      </c>
      <c r="BG493" s="1" t="s">
        <v>74</v>
      </c>
      <c r="BH493" s="1" t="s">
        <v>74</v>
      </c>
      <c r="BI493" s="1" t="s">
        <v>74</v>
      </c>
      <c r="BJ493" s="1" t="s">
        <v>74</v>
      </c>
      <c r="BK493" s="1" t="s">
        <v>74</v>
      </c>
      <c r="BL493" s="1" t="s">
        <v>74</v>
      </c>
      <c r="BM493" s="1" t="s">
        <v>74</v>
      </c>
      <c r="BN493" s="1" t="s">
        <v>74</v>
      </c>
      <c r="BO493" s="1" t="s">
        <v>74</v>
      </c>
      <c r="BP493" s="1" t="s">
        <v>74</v>
      </c>
      <c r="BQ493" s="1" t="s">
        <v>74</v>
      </c>
      <c r="BR493" s="1" t="s">
        <v>74</v>
      </c>
      <c r="BS493" s="1" t="s">
        <v>4306</v>
      </c>
      <c r="BT493" s="1" t="str">
        <f>HYPERLINK("https%3A%2F%2Fwww.webofscience.com%2Fwos%2Fwoscc%2Ffull-record%2FWOS:A1989AM14600017","View Full Record in Web of Science")</f>
        <v>View Full Record in Web of Science</v>
      </c>
    </row>
    <row r="494" ht="12.75" customHeight="1">
      <c r="A494" s="1" t="s">
        <v>72</v>
      </c>
      <c r="B494" s="1" t="s">
        <v>4307</v>
      </c>
      <c r="C494" s="1" t="s">
        <v>74</v>
      </c>
      <c r="D494" s="1" t="s">
        <v>74</v>
      </c>
      <c r="E494" s="1" t="s">
        <v>74</v>
      </c>
      <c r="F494" s="1" t="s">
        <v>4307</v>
      </c>
      <c r="G494" s="1" t="s">
        <v>74</v>
      </c>
      <c r="H494" s="1" t="s">
        <v>74</v>
      </c>
      <c r="I494" s="1" t="s">
        <v>4308</v>
      </c>
      <c r="J494" s="1" t="s">
        <v>4309</v>
      </c>
      <c r="K494" s="1" t="s">
        <v>74</v>
      </c>
      <c r="L494" s="1" t="s">
        <v>74</v>
      </c>
      <c r="M494" s="1" t="s">
        <v>74</v>
      </c>
      <c r="N494" s="1" t="s">
        <v>74</v>
      </c>
      <c r="O494" s="1" t="s">
        <v>74</v>
      </c>
      <c r="P494" s="1" t="s">
        <v>74</v>
      </c>
      <c r="Q494" s="1" t="s">
        <v>74</v>
      </c>
      <c r="R494" s="1" t="s">
        <v>74</v>
      </c>
      <c r="S494" s="1" t="s">
        <v>74</v>
      </c>
      <c r="T494" s="1" t="s">
        <v>74</v>
      </c>
      <c r="U494" s="1" t="s">
        <v>74</v>
      </c>
      <c r="V494" s="1" t="s">
        <v>74</v>
      </c>
      <c r="W494" s="1" t="s">
        <v>74</v>
      </c>
      <c r="X494" s="1" t="s">
        <v>74</v>
      </c>
      <c r="Y494" s="1" t="s">
        <v>74</v>
      </c>
      <c r="Z494" s="1" t="s">
        <v>74</v>
      </c>
      <c r="AA494" s="1" t="s">
        <v>74</v>
      </c>
      <c r="AB494" s="1" t="s">
        <v>74</v>
      </c>
      <c r="AC494" s="1" t="s">
        <v>74</v>
      </c>
      <c r="AD494" s="1" t="s">
        <v>74</v>
      </c>
      <c r="AE494" s="1" t="s">
        <v>74</v>
      </c>
      <c r="AF494" s="1" t="s">
        <v>74</v>
      </c>
      <c r="AG494" s="1" t="s">
        <v>74</v>
      </c>
      <c r="AH494" s="1" t="s">
        <v>74</v>
      </c>
      <c r="AI494" s="1" t="s">
        <v>74</v>
      </c>
      <c r="AJ494" s="1" t="s">
        <v>74</v>
      </c>
      <c r="AK494" s="1" t="s">
        <v>74</v>
      </c>
      <c r="AL494" s="1" t="s">
        <v>74</v>
      </c>
      <c r="AM494" s="1" t="s">
        <v>74</v>
      </c>
      <c r="AN494" s="1" t="s">
        <v>74</v>
      </c>
      <c r="AO494" s="1" t="s">
        <v>4310</v>
      </c>
      <c r="AP494" s="1" t="s">
        <v>74</v>
      </c>
      <c r="AQ494" s="1" t="s">
        <v>74</v>
      </c>
      <c r="AR494" s="1" t="s">
        <v>74</v>
      </c>
      <c r="AS494" s="1" t="s">
        <v>74</v>
      </c>
      <c r="AT494" s="1" t="s">
        <v>205</v>
      </c>
      <c r="AU494" s="1">
        <v>1988.0</v>
      </c>
      <c r="AV494" s="1">
        <v>26.0</v>
      </c>
      <c r="AW494" s="1">
        <v>12.0</v>
      </c>
      <c r="AX494" s="1" t="s">
        <v>74</v>
      </c>
      <c r="AY494" s="1" t="s">
        <v>74</v>
      </c>
      <c r="AZ494" s="1" t="s">
        <v>74</v>
      </c>
      <c r="BA494" s="1" t="s">
        <v>74</v>
      </c>
      <c r="BB494" s="1">
        <v>501.0</v>
      </c>
      <c r="BC494" s="1">
        <v>503.0</v>
      </c>
      <c r="BD494" s="1" t="s">
        <v>74</v>
      </c>
      <c r="BE494" s="1" t="s">
        <v>4311</v>
      </c>
      <c r="BF494" s="2" t="str">
        <f>HYPERLINK("http://dx.doi.org/10.1002/pol.1988.140261202","http://dx.doi.org/10.1002/pol.1988.140261202")</f>
        <v>http://dx.doi.org/10.1002/pol.1988.140261202</v>
      </c>
      <c r="BG494" s="1" t="s">
        <v>74</v>
      </c>
      <c r="BH494" s="1" t="s">
        <v>74</v>
      </c>
      <c r="BI494" s="1" t="s">
        <v>74</v>
      </c>
      <c r="BJ494" s="1" t="s">
        <v>74</v>
      </c>
      <c r="BK494" s="1" t="s">
        <v>74</v>
      </c>
      <c r="BL494" s="1" t="s">
        <v>74</v>
      </c>
      <c r="BM494" s="1" t="s">
        <v>74</v>
      </c>
      <c r="BN494" s="1" t="s">
        <v>74</v>
      </c>
      <c r="BO494" s="1" t="s">
        <v>74</v>
      </c>
      <c r="BP494" s="1" t="s">
        <v>74</v>
      </c>
      <c r="BQ494" s="1" t="s">
        <v>74</v>
      </c>
      <c r="BR494" s="1" t="s">
        <v>74</v>
      </c>
      <c r="BS494" s="1" t="s">
        <v>4312</v>
      </c>
      <c r="BT494" s="1" t="str">
        <f>HYPERLINK("https%3A%2F%2Fwww.webofscience.com%2Fwos%2Fwoscc%2Ffull-record%2FWOS:A1988Q825100002","View Full Record in Web of Science")</f>
        <v>View Full Record in Web of Science</v>
      </c>
    </row>
    <row r="495" ht="12.75" customHeight="1">
      <c r="A495" s="1" t="s">
        <v>72</v>
      </c>
      <c r="B495" s="1" t="s">
        <v>4313</v>
      </c>
      <c r="C495" s="1" t="s">
        <v>74</v>
      </c>
      <c r="D495" s="1" t="s">
        <v>74</v>
      </c>
      <c r="E495" s="1" t="s">
        <v>74</v>
      </c>
      <c r="F495" s="1" t="s">
        <v>4313</v>
      </c>
      <c r="G495" s="1" t="s">
        <v>74</v>
      </c>
      <c r="H495" s="1" t="s">
        <v>74</v>
      </c>
      <c r="I495" s="1" t="s">
        <v>4314</v>
      </c>
      <c r="J495" s="1" t="s">
        <v>203</v>
      </c>
      <c r="K495" s="1" t="s">
        <v>74</v>
      </c>
      <c r="L495" s="1" t="s">
        <v>74</v>
      </c>
      <c r="M495" s="1" t="s">
        <v>74</v>
      </c>
      <c r="N495" s="1" t="s">
        <v>74</v>
      </c>
      <c r="O495" s="1" t="s">
        <v>74</v>
      </c>
      <c r="P495" s="1" t="s">
        <v>74</v>
      </c>
      <c r="Q495" s="1" t="s">
        <v>74</v>
      </c>
      <c r="R495" s="1" t="s">
        <v>74</v>
      </c>
      <c r="S495" s="1" t="s">
        <v>74</v>
      </c>
      <c r="T495" s="1" t="s">
        <v>74</v>
      </c>
      <c r="U495" s="1" t="s">
        <v>74</v>
      </c>
      <c r="V495" s="1" t="s">
        <v>74</v>
      </c>
      <c r="W495" s="1" t="s">
        <v>74</v>
      </c>
      <c r="X495" s="1" t="s">
        <v>74</v>
      </c>
      <c r="Y495" s="1" t="s">
        <v>74</v>
      </c>
      <c r="Z495" s="1" t="s">
        <v>74</v>
      </c>
      <c r="AA495" s="1" t="s">
        <v>74</v>
      </c>
      <c r="AB495" s="1" t="s">
        <v>74</v>
      </c>
      <c r="AC495" s="1" t="s">
        <v>74</v>
      </c>
      <c r="AD495" s="1" t="s">
        <v>74</v>
      </c>
      <c r="AE495" s="1" t="s">
        <v>74</v>
      </c>
      <c r="AF495" s="1" t="s">
        <v>74</v>
      </c>
      <c r="AG495" s="1" t="s">
        <v>74</v>
      </c>
      <c r="AH495" s="1" t="s">
        <v>74</v>
      </c>
      <c r="AI495" s="1" t="s">
        <v>74</v>
      </c>
      <c r="AJ495" s="1" t="s">
        <v>74</v>
      </c>
      <c r="AK495" s="1" t="s">
        <v>74</v>
      </c>
      <c r="AL495" s="1" t="s">
        <v>74</v>
      </c>
      <c r="AM495" s="1" t="s">
        <v>74</v>
      </c>
      <c r="AN495" s="1" t="s">
        <v>74</v>
      </c>
      <c r="AO495" s="1" t="s">
        <v>204</v>
      </c>
      <c r="AP495" s="1" t="s">
        <v>74</v>
      </c>
      <c r="AQ495" s="1" t="s">
        <v>74</v>
      </c>
      <c r="AR495" s="1" t="s">
        <v>74</v>
      </c>
      <c r="AS495" s="1" t="s">
        <v>74</v>
      </c>
      <c r="AT495" s="1" t="s">
        <v>205</v>
      </c>
      <c r="AU495" s="1">
        <v>1987.0</v>
      </c>
      <c r="AV495" s="1">
        <v>20.0</v>
      </c>
      <c r="AW495" s="1">
        <v>2.0</v>
      </c>
      <c r="AX495" s="1" t="s">
        <v>74</v>
      </c>
      <c r="AY495" s="1" t="s">
        <v>74</v>
      </c>
      <c r="AZ495" s="1" t="s">
        <v>74</v>
      </c>
      <c r="BA495" s="1" t="s">
        <v>74</v>
      </c>
      <c r="BB495" s="1" t="s">
        <v>4315</v>
      </c>
      <c r="BC495" s="1" t="s">
        <v>4315</v>
      </c>
      <c r="BD495" s="1" t="s">
        <v>74</v>
      </c>
      <c r="BE495" s="1" t="s">
        <v>74</v>
      </c>
      <c r="BF495" s="1" t="s">
        <v>74</v>
      </c>
      <c r="BG495" s="1" t="s">
        <v>74</v>
      </c>
      <c r="BH495" s="1" t="s">
        <v>74</v>
      </c>
      <c r="BI495" s="1" t="s">
        <v>74</v>
      </c>
      <c r="BJ495" s="1" t="s">
        <v>74</v>
      </c>
      <c r="BK495" s="1" t="s">
        <v>74</v>
      </c>
      <c r="BL495" s="1" t="s">
        <v>74</v>
      </c>
      <c r="BM495" s="1" t="s">
        <v>74</v>
      </c>
      <c r="BN495" s="1" t="s">
        <v>74</v>
      </c>
      <c r="BO495" s="1" t="s">
        <v>74</v>
      </c>
      <c r="BP495" s="1" t="s">
        <v>74</v>
      </c>
      <c r="BQ495" s="1" t="s">
        <v>74</v>
      </c>
      <c r="BR495" s="1" t="s">
        <v>74</v>
      </c>
      <c r="BS495" s="1" t="s">
        <v>4316</v>
      </c>
      <c r="BT495" s="1" t="str">
        <f>HYPERLINK("https%3A%2F%2Fwww.webofscience.com%2Fwos%2Fwoscc%2Ffull-record%2FWOS:A1987L151200246","View Full Record in Web of Science")</f>
        <v>View Full Record in Web of Science</v>
      </c>
    </row>
    <row r="496" ht="12.75" customHeight="1">
      <c r="A496" s="1" t="s">
        <v>72</v>
      </c>
      <c r="B496" s="1" t="s">
        <v>4317</v>
      </c>
      <c r="C496" s="1" t="s">
        <v>74</v>
      </c>
      <c r="D496" s="1" t="s">
        <v>74</v>
      </c>
      <c r="E496" s="1" t="s">
        <v>74</v>
      </c>
      <c r="F496" s="1" t="s">
        <v>4317</v>
      </c>
      <c r="G496" s="1" t="s">
        <v>74</v>
      </c>
      <c r="H496" s="1" t="s">
        <v>74</v>
      </c>
      <c r="I496" s="1" t="s">
        <v>4318</v>
      </c>
      <c r="J496" s="1" t="s">
        <v>1226</v>
      </c>
      <c r="K496" s="1" t="s">
        <v>74</v>
      </c>
      <c r="L496" s="1" t="s">
        <v>74</v>
      </c>
      <c r="M496" s="1" t="s">
        <v>74</v>
      </c>
      <c r="N496" s="1" t="s">
        <v>74</v>
      </c>
      <c r="O496" s="1" t="s">
        <v>74</v>
      </c>
      <c r="P496" s="1" t="s">
        <v>74</v>
      </c>
      <c r="Q496" s="1" t="s">
        <v>74</v>
      </c>
      <c r="R496" s="1" t="s">
        <v>74</v>
      </c>
      <c r="S496" s="1" t="s">
        <v>74</v>
      </c>
      <c r="T496" s="1" t="s">
        <v>74</v>
      </c>
      <c r="U496" s="1" t="s">
        <v>74</v>
      </c>
      <c r="V496" s="1" t="s">
        <v>74</v>
      </c>
      <c r="W496" s="1" t="s">
        <v>74</v>
      </c>
      <c r="X496" s="1" t="s">
        <v>74</v>
      </c>
      <c r="Y496" s="1" t="s">
        <v>74</v>
      </c>
      <c r="Z496" s="1" t="s">
        <v>74</v>
      </c>
      <c r="AA496" s="1" t="s">
        <v>74</v>
      </c>
      <c r="AB496" s="1" t="s">
        <v>74</v>
      </c>
      <c r="AC496" s="1" t="s">
        <v>74</v>
      </c>
      <c r="AD496" s="1" t="s">
        <v>74</v>
      </c>
      <c r="AE496" s="1" t="s">
        <v>74</v>
      </c>
      <c r="AF496" s="1" t="s">
        <v>74</v>
      </c>
      <c r="AG496" s="1" t="s">
        <v>74</v>
      </c>
      <c r="AH496" s="1" t="s">
        <v>74</v>
      </c>
      <c r="AI496" s="1" t="s">
        <v>74</v>
      </c>
      <c r="AJ496" s="1" t="s">
        <v>74</v>
      </c>
      <c r="AK496" s="1" t="s">
        <v>74</v>
      </c>
      <c r="AL496" s="1" t="s">
        <v>74</v>
      </c>
      <c r="AM496" s="1" t="s">
        <v>74</v>
      </c>
      <c r="AN496" s="1" t="s">
        <v>74</v>
      </c>
      <c r="AO496" s="1" t="s">
        <v>1228</v>
      </c>
      <c r="AP496" s="1" t="s">
        <v>4319</v>
      </c>
      <c r="AQ496" s="1" t="s">
        <v>74</v>
      </c>
      <c r="AR496" s="1" t="s">
        <v>74</v>
      </c>
      <c r="AS496" s="1" t="s">
        <v>74</v>
      </c>
      <c r="AT496" s="1" t="s">
        <v>148</v>
      </c>
      <c r="AU496" s="1">
        <v>1987.0</v>
      </c>
      <c r="AV496" s="1">
        <v>134.0</v>
      </c>
      <c r="AW496" s="1">
        <v>3.0</v>
      </c>
      <c r="AX496" s="1" t="s">
        <v>74</v>
      </c>
      <c r="AY496" s="1" t="s">
        <v>74</v>
      </c>
      <c r="AZ496" s="1" t="s">
        <v>74</v>
      </c>
      <c r="BA496" s="1" t="s">
        <v>74</v>
      </c>
      <c r="BB496" s="1" t="s">
        <v>4320</v>
      </c>
      <c r="BC496" s="1" t="s">
        <v>4320</v>
      </c>
      <c r="BD496" s="1" t="s">
        <v>74</v>
      </c>
      <c r="BE496" s="1" t="s">
        <v>74</v>
      </c>
      <c r="BF496" s="1" t="s">
        <v>74</v>
      </c>
      <c r="BG496" s="1" t="s">
        <v>74</v>
      </c>
      <c r="BH496" s="1" t="s">
        <v>74</v>
      </c>
      <c r="BI496" s="1" t="s">
        <v>74</v>
      </c>
      <c r="BJ496" s="1" t="s">
        <v>74</v>
      </c>
      <c r="BK496" s="1" t="s">
        <v>74</v>
      </c>
      <c r="BL496" s="1" t="s">
        <v>74</v>
      </c>
      <c r="BM496" s="1" t="s">
        <v>74</v>
      </c>
      <c r="BN496" s="1" t="s">
        <v>74</v>
      </c>
      <c r="BO496" s="1" t="s">
        <v>74</v>
      </c>
      <c r="BP496" s="1" t="s">
        <v>74</v>
      </c>
      <c r="BQ496" s="1" t="s">
        <v>74</v>
      </c>
      <c r="BR496" s="1" t="s">
        <v>74</v>
      </c>
      <c r="BS496" s="1" t="s">
        <v>4321</v>
      </c>
      <c r="BT496" s="1" t="str">
        <f>HYPERLINK("https%3A%2F%2Fwww.webofscience.com%2Fwos%2Fwoscc%2Ffull-record%2FWOS:A1987G410200579","View Full Record in Web of Science")</f>
        <v>View Full Record in Web of Science</v>
      </c>
    </row>
    <row r="497" ht="12.75" customHeight="1">
      <c r="A497" s="1" t="s">
        <v>72</v>
      </c>
      <c r="B497" s="1" t="s">
        <v>4322</v>
      </c>
      <c r="C497" s="1" t="s">
        <v>74</v>
      </c>
      <c r="D497" s="1" t="s">
        <v>74</v>
      </c>
      <c r="E497" s="1" t="s">
        <v>74</v>
      </c>
      <c r="F497" s="1" t="s">
        <v>4322</v>
      </c>
      <c r="G497" s="1" t="s">
        <v>74</v>
      </c>
      <c r="H497" s="1" t="s">
        <v>74</v>
      </c>
      <c r="I497" s="1" t="s">
        <v>4323</v>
      </c>
      <c r="J497" s="1" t="s">
        <v>1226</v>
      </c>
      <c r="K497" s="1" t="s">
        <v>74</v>
      </c>
      <c r="L497" s="1" t="s">
        <v>74</v>
      </c>
      <c r="M497" s="1" t="s">
        <v>74</v>
      </c>
      <c r="N497" s="1" t="s">
        <v>74</v>
      </c>
      <c r="O497" s="1" t="s">
        <v>74</v>
      </c>
      <c r="P497" s="1" t="s">
        <v>74</v>
      </c>
      <c r="Q497" s="1" t="s">
        <v>74</v>
      </c>
      <c r="R497" s="1" t="s">
        <v>74</v>
      </c>
      <c r="S497" s="1" t="s">
        <v>74</v>
      </c>
      <c r="T497" s="1" t="s">
        <v>74</v>
      </c>
      <c r="U497" s="1" t="s">
        <v>74</v>
      </c>
      <c r="V497" s="1" t="s">
        <v>74</v>
      </c>
      <c r="W497" s="1" t="s">
        <v>74</v>
      </c>
      <c r="X497" s="1" t="s">
        <v>74</v>
      </c>
      <c r="Y497" s="1" t="s">
        <v>74</v>
      </c>
      <c r="Z497" s="1" t="s">
        <v>74</v>
      </c>
      <c r="AA497" s="1" t="s">
        <v>1227</v>
      </c>
      <c r="AB497" s="1" t="s">
        <v>74</v>
      </c>
      <c r="AC497" s="1" t="s">
        <v>74</v>
      </c>
      <c r="AD497" s="1" t="s">
        <v>74</v>
      </c>
      <c r="AE497" s="1" t="s">
        <v>74</v>
      </c>
      <c r="AF497" s="1" t="s">
        <v>74</v>
      </c>
      <c r="AG497" s="1" t="s">
        <v>74</v>
      </c>
      <c r="AH497" s="1" t="s">
        <v>74</v>
      </c>
      <c r="AI497" s="1" t="s">
        <v>74</v>
      </c>
      <c r="AJ497" s="1" t="s">
        <v>74</v>
      </c>
      <c r="AK497" s="1" t="s">
        <v>74</v>
      </c>
      <c r="AL497" s="1" t="s">
        <v>74</v>
      </c>
      <c r="AM497" s="1" t="s">
        <v>74</v>
      </c>
      <c r="AN497" s="1" t="s">
        <v>74</v>
      </c>
      <c r="AO497" s="1" t="s">
        <v>1228</v>
      </c>
      <c r="AP497" s="1" t="s">
        <v>4319</v>
      </c>
      <c r="AQ497" s="1" t="s">
        <v>74</v>
      </c>
      <c r="AR497" s="1" t="s">
        <v>74</v>
      </c>
      <c r="AS497" s="1" t="s">
        <v>74</v>
      </c>
      <c r="AT497" s="1" t="s">
        <v>148</v>
      </c>
      <c r="AU497" s="1">
        <v>1987.0</v>
      </c>
      <c r="AV497" s="1">
        <v>134.0</v>
      </c>
      <c r="AW497" s="1">
        <v>3.0</v>
      </c>
      <c r="AX497" s="1" t="s">
        <v>74</v>
      </c>
      <c r="AY497" s="1" t="s">
        <v>74</v>
      </c>
      <c r="AZ497" s="1" t="s">
        <v>74</v>
      </c>
      <c r="BA497" s="1" t="s">
        <v>74</v>
      </c>
      <c r="BB497" s="1" t="s">
        <v>4320</v>
      </c>
      <c r="BC497" s="1" t="s">
        <v>4320</v>
      </c>
      <c r="BD497" s="1" t="s">
        <v>74</v>
      </c>
      <c r="BE497" s="1" t="s">
        <v>74</v>
      </c>
      <c r="BF497" s="1" t="s">
        <v>74</v>
      </c>
      <c r="BG497" s="1" t="s">
        <v>74</v>
      </c>
      <c r="BH497" s="1" t="s">
        <v>74</v>
      </c>
      <c r="BI497" s="1" t="s">
        <v>74</v>
      </c>
      <c r="BJ497" s="1" t="s">
        <v>74</v>
      </c>
      <c r="BK497" s="1" t="s">
        <v>74</v>
      </c>
      <c r="BL497" s="1" t="s">
        <v>74</v>
      </c>
      <c r="BM497" s="1" t="s">
        <v>74</v>
      </c>
      <c r="BN497" s="1" t="s">
        <v>74</v>
      </c>
      <c r="BO497" s="1" t="s">
        <v>74</v>
      </c>
      <c r="BP497" s="1" t="s">
        <v>74</v>
      </c>
      <c r="BQ497" s="1" t="s">
        <v>74</v>
      </c>
      <c r="BR497" s="1" t="s">
        <v>74</v>
      </c>
      <c r="BS497" s="1" t="s">
        <v>4324</v>
      </c>
      <c r="BT497" s="1" t="str">
        <f>HYPERLINK("https%3A%2F%2Fwww.webofscience.com%2Fwos%2Fwoscc%2Ffull-record%2FWOS:A1987G410200578","View Full Record in Web of Science")</f>
        <v>View Full Record in Web of Science</v>
      </c>
    </row>
    <row r="498" ht="12.75" customHeight="1">
      <c r="A498" s="1" t="s">
        <v>72</v>
      </c>
      <c r="B498" s="1" t="s">
        <v>4325</v>
      </c>
      <c r="C498" s="1" t="s">
        <v>74</v>
      </c>
      <c r="D498" s="1" t="s">
        <v>74</v>
      </c>
      <c r="E498" s="1" t="s">
        <v>74</v>
      </c>
      <c r="F498" s="1" t="s">
        <v>4325</v>
      </c>
      <c r="G498" s="1" t="s">
        <v>74</v>
      </c>
      <c r="H498" s="1" t="s">
        <v>74</v>
      </c>
      <c r="I498" s="1" t="s">
        <v>4326</v>
      </c>
      <c r="J498" s="1" t="s">
        <v>1856</v>
      </c>
      <c r="K498" s="1" t="s">
        <v>74</v>
      </c>
      <c r="L498" s="1" t="s">
        <v>74</v>
      </c>
      <c r="M498" s="1" t="s">
        <v>74</v>
      </c>
      <c r="N498" s="1" t="s">
        <v>74</v>
      </c>
      <c r="O498" s="1" t="s">
        <v>74</v>
      </c>
      <c r="P498" s="1" t="s">
        <v>74</v>
      </c>
      <c r="Q498" s="1" t="s">
        <v>74</v>
      </c>
      <c r="R498" s="1" t="s">
        <v>74</v>
      </c>
      <c r="S498" s="1" t="s">
        <v>74</v>
      </c>
      <c r="T498" s="1" t="s">
        <v>74</v>
      </c>
      <c r="U498" s="1" t="s">
        <v>74</v>
      </c>
      <c r="V498" s="1" t="s">
        <v>74</v>
      </c>
      <c r="W498" s="1" t="s">
        <v>74</v>
      </c>
      <c r="X498" s="1" t="s">
        <v>74</v>
      </c>
      <c r="Y498" s="1" t="s">
        <v>74</v>
      </c>
      <c r="Z498" s="1" t="s">
        <v>74</v>
      </c>
      <c r="AA498" s="1" t="s">
        <v>4327</v>
      </c>
      <c r="AB498" s="1" t="s">
        <v>4328</v>
      </c>
      <c r="AC498" s="1" t="s">
        <v>74</v>
      </c>
      <c r="AD498" s="1" t="s">
        <v>74</v>
      </c>
      <c r="AE498" s="1" t="s">
        <v>74</v>
      </c>
      <c r="AF498" s="1" t="s">
        <v>74</v>
      </c>
      <c r="AG498" s="1" t="s">
        <v>74</v>
      </c>
      <c r="AH498" s="1" t="s">
        <v>74</v>
      </c>
      <c r="AI498" s="1" t="s">
        <v>74</v>
      </c>
      <c r="AJ498" s="1" t="s">
        <v>74</v>
      </c>
      <c r="AK498" s="1" t="s">
        <v>74</v>
      </c>
      <c r="AL498" s="1" t="s">
        <v>74</v>
      </c>
      <c r="AM498" s="1" t="s">
        <v>74</v>
      </c>
      <c r="AN498" s="1" t="s">
        <v>74</v>
      </c>
      <c r="AO498" s="1" t="s">
        <v>1860</v>
      </c>
      <c r="AP498" s="1" t="s">
        <v>74</v>
      </c>
      <c r="AQ498" s="1" t="s">
        <v>74</v>
      </c>
      <c r="AR498" s="1" t="s">
        <v>74</v>
      </c>
      <c r="AS498" s="1" t="s">
        <v>74</v>
      </c>
      <c r="AT498" s="1" t="s">
        <v>180</v>
      </c>
      <c r="AU498" s="1">
        <v>1986.0</v>
      </c>
      <c r="AV498" s="1" t="s">
        <v>74</v>
      </c>
      <c r="AW498" s="1">
        <v>6.0</v>
      </c>
      <c r="AX498" s="1" t="s">
        <v>74</v>
      </c>
      <c r="AY498" s="1" t="s">
        <v>74</v>
      </c>
      <c r="AZ498" s="1" t="s">
        <v>74</v>
      </c>
      <c r="BA498" s="1" t="s">
        <v>74</v>
      </c>
      <c r="BB498" s="1">
        <v>819.0</v>
      </c>
      <c r="BC498" s="1">
        <v>821.0</v>
      </c>
      <c r="BD498" s="1" t="s">
        <v>74</v>
      </c>
      <c r="BE498" s="1" t="s">
        <v>4329</v>
      </c>
      <c r="BF498" s="2" t="str">
        <f>HYPERLINK("http://dx.doi.org/10.1039/p29860000819","http://dx.doi.org/10.1039/p29860000819")</f>
        <v>http://dx.doi.org/10.1039/p29860000819</v>
      </c>
      <c r="BG498" s="1" t="s">
        <v>74</v>
      </c>
      <c r="BH498" s="1" t="s">
        <v>74</v>
      </c>
      <c r="BI498" s="1" t="s">
        <v>74</v>
      </c>
      <c r="BJ498" s="1" t="s">
        <v>74</v>
      </c>
      <c r="BK498" s="1" t="s">
        <v>74</v>
      </c>
      <c r="BL498" s="1" t="s">
        <v>74</v>
      </c>
      <c r="BM498" s="1" t="s">
        <v>74</v>
      </c>
      <c r="BN498" s="1" t="s">
        <v>74</v>
      </c>
      <c r="BO498" s="1" t="s">
        <v>74</v>
      </c>
      <c r="BP498" s="1" t="s">
        <v>74</v>
      </c>
      <c r="BQ498" s="1" t="s">
        <v>74</v>
      </c>
      <c r="BR498" s="1" t="s">
        <v>74</v>
      </c>
      <c r="BS498" s="1" t="s">
        <v>4330</v>
      </c>
      <c r="BT498" s="1" t="str">
        <f>HYPERLINK("https%3A%2F%2Fwww.webofscience.com%2Fwos%2Fwoscc%2Ffull-record%2FWOS:A1986C942300007","View Full Record in Web of Science")</f>
        <v>View Full Record in Web of Science</v>
      </c>
    </row>
    <row r="499" ht="12.75" customHeight="1">
      <c r="A499" s="1" t="s">
        <v>72</v>
      </c>
      <c r="B499" s="1" t="s">
        <v>4331</v>
      </c>
      <c r="C499" s="1" t="s">
        <v>74</v>
      </c>
      <c r="D499" s="1" t="s">
        <v>74</v>
      </c>
      <c r="E499" s="1" t="s">
        <v>74</v>
      </c>
      <c r="F499" s="1" t="s">
        <v>4331</v>
      </c>
      <c r="G499" s="1" t="s">
        <v>74</v>
      </c>
      <c r="H499" s="1" t="s">
        <v>74</v>
      </c>
      <c r="I499" s="1" t="s">
        <v>4332</v>
      </c>
      <c r="J499" s="1" t="s">
        <v>4333</v>
      </c>
      <c r="K499" s="1" t="s">
        <v>74</v>
      </c>
      <c r="L499" s="1" t="s">
        <v>74</v>
      </c>
      <c r="M499" s="1" t="s">
        <v>74</v>
      </c>
      <c r="N499" s="1" t="s">
        <v>74</v>
      </c>
      <c r="O499" s="1" t="s">
        <v>74</v>
      </c>
      <c r="P499" s="1" t="s">
        <v>74</v>
      </c>
      <c r="Q499" s="1" t="s">
        <v>74</v>
      </c>
      <c r="R499" s="1" t="s">
        <v>74</v>
      </c>
      <c r="S499" s="1" t="s">
        <v>74</v>
      </c>
      <c r="T499" s="1" t="s">
        <v>74</v>
      </c>
      <c r="U499" s="1" t="s">
        <v>74</v>
      </c>
      <c r="V499" s="1" t="s">
        <v>74</v>
      </c>
      <c r="W499" s="1" t="s">
        <v>74</v>
      </c>
      <c r="X499" s="1" t="s">
        <v>74</v>
      </c>
      <c r="Y499" s="1" t="s">
        <v>74</v>
      </c>
      <c r="Z499" s="1" t="s">
        <v>74</v>
      </c>
      <c r="AA499" s="1" t="s">
        <v>74</v>
      </c>
      <c r="AB499" s="1" t="s">
        <v>1015</v>
      </c>
      <c r="AC499" s="1" t="s">
        <v>74</v>
      </c>
      <c r="AD499" s="1" t="s">
        <v>74</v>
      </c>
      <c r="AE499" s="1" t="s">
        <v>74</v>
      </c>
      <c r="AF499" s="1" t="s">
        <v>74</v>
      </c>
      <c r="AG499" s="1" t="s">
        <v>74</v>
      </c>
      <c r="AH499" s="1" t="s">
        <v>74</v>
      </c>
      <c r="AI499" s="1" t="s">
        <v>74</v>
      </c>
      <c r="AJ499" s="1" t="s">
        <v>74</v>
      </c>
      <c r="AK499" s="1" t="s">
        <v>74</v>
      </c>
      <c r="AL499" s="1" t="s">
        <v>74</v>
      </c>
      <c r="AM499" s="1" t="s">
        <v>74</v>
      </c>
      <c r="AN499" s="1" t="s">
        <v>74</v>
      </c>
      <c r="AO499" s="1" t="s">
        <v>4334</v>
      </c>
      <c r="AP499" s="1" t="s">
        <v>74</v>
      </c>
      <c r="AQ499" s="1" t="s">
        <v>74</v>
      </c>
      <c r="AR499" s="1" t="s">
        <v>74</v>
      </c>
      <c r="AS499" s="1" t="s">
        <v>74</v>
      </c>
      <c r="AT499" s="1" t="s">
        <v>74</v>
      </c>
      <c r="AU499" s="1">
        <v>1984.0</v>
      </c>
      <c r="AV499" s="1">
        <v>47.0</v>
      </c>
      <c r="AW499" s="1">
        <v>3.0</v>
      </c>
      <c r="AX499" s="1" t="s">
        <v>74</v>
      </c>
      <c r="AY499" s="1" t="s">
        <v>74</v>
      </c>
      <c r="AZ499" s="1" t="s">
        <v>74</v>
      </c>
      <c r="BA499" s="1" t="s">
        <v>74</v>
      </c>
      <c r="BB499" s="1">
        <v>525.0</v>
      </c>
      <c r="BC499" s="1">
        <v>526.0</v>
      </c>
      <c r="BD499" s="1" t="s">
        <v>74</v>
      </c>
      <c r="BE499" s="1" t="s">
        <v>4335</v>
      </c>
      <c r="BF499" s="2" t="str">
        <f>HYPERLINK("http://dx.doi.org/10.1021/np50033a021","http://dx.doi.org/10.1021/np50033a021")</f>
        <v>http://dx.doi.org/10.1021/np50033a021</v>
      </c>
      <c r="BG499" s="1" t="s">
        <v>74</v>
      </c>
      <c r="BH499" s="1" t="s">
        <v>74</v>
      </c>
      <c r="BI499" s="1" t="s">
        <v>74</v>
      </c>
      <c r="BJ499" s="1" t="s">
        <v>74</v>
      </c>
      <c r="BK499" s="1" t="s">
        <v>74</v>
      </c>
      <c r="BL499" s="1" t="s">
        <v>74</v>
      </c>
      <c r="BM499" s="1" t="s">
        <v>74</v>
      </c>
      <c r="BN499" s="1" t="s">
        <v>74</v>
      </c>
      <c r="BO499" s="1" t="s">
        <v>74</v>
      </c>
      <c r="BP499" s="1" t="s">
        <v>74</v>
      </c>
      <c r="BQ499" s="1" t="s">
        <v>74</v>
      </c>
      <c r="BR499" s="1" t="s">
        <v>74</v>
      </c>
      <c r="BS499" s="1" t="s">
        <v>4336</v>
      </c>
      <c r="BT499" s="1" t="str">
        <f>HYPERLINK("https%3A%2F%2Fwww.webofscience.com%2Fwos%2Fwoscc%2Ffull-record%2FWOS:A1984TB86900021","View Full Record in Web of Science")</f>
        <v>View Full Record in Web of Science</v>
      </c>
    </row>
    <row r="500" ht="12.75" customHeight="1">
      <c r="A500" s="1" t="s">
        <v>72</v>
      </c>
      <c r="B500" s="1" t="s">
        <v>4337</v>
      </c>
      <c r="C500" s="1" t="s">
        <v>74</v>
      </c>
      <c r="D500" s="1" t="s">
        <v>74</v>
      </c>
      <c r="E500" s="1" t="s">
        <v>74</v>
      </c>
      <c r="F500" s="1" t="s">
        <v>4337</v>
      </c>
      <c r="G500" s="1" t="s">
        <v>74</v>
      </c>
      <c r="H500" s="1" t="s">
        <v>74</v>
      </c>
      <c r="I500" s="1" t="s">
        <v>4338</v>
      </c>
      <c r="J500" s="1" t="s">
        <v>1207</v>
      </c>
      <c r="K500" s="1" t="s">
        <v>74</v>
      </c>
      <c r="L500" s="1" t="s">
        <v>74</v>
      </c>
      <c r="M500" s="1" t="s">
        <v>74</v>
      </c>
      <c r="N500" s="1" t="s">
        <v>74</v>
      </c>
      <c r="O500" s="1" t="s">
        <v>74</v>
      </c>
      <c r="P500" s="1" t="s">
        <v>74</v>
      </c>
      <c r="Q500" s="1" t="s">
        <v>74</v>
      </c>
      <c r="R500" s="1" t="s">
        <v>74</v>
      </c>
      <c r="S500" s="1" t="s">
        <v>74</v>
      </c>
      <c r="T500" s="1" t="s">
        <v>74</v>
      </c>
      <c r="U500" s="1" t="s">
        <v>74</v>
      </c>
      <c r="V500" s="1" t="s">
        <v>74</v>
      </c>
      <c r="W500" s="1" t="s">
        <v>74</v>
      </c>
      <c r="X500" s="1" t="s">
        <v>74</v>
      </c>
      <c r="Y500" s="1" t="s">
        <v>74</v>
      </c>
      <c r="Z500" s="1" t="s">
        <v>74</v>
      </c>
      <c r="AA500" s="1" t="s">
        <v>74</v>
      </c>
      <c r="AB500" s="1" t="s">
        <v>74</v>
      </c>
      <c r="AC500" s="1" t="s">
        <v>74</v>
      </c>
      <c r="AD500" s="1" t="s">
        <v>74</v>
      </c>
      <c r="AE500" s="1" t="s">
        <v>74</v>
      </c>
      <c r="AF500" s="1" t="s">
        <v>74</v>
      </c>
      <c r="AG500" s="1" t="s">
        <v>74</v>
      </c>
      <c r="AH500" s="1" t="s">
        <v>74</v>
      </c>
      <c r="AI500" s="1" t="s">
        <v>74</v>
      </c>
      <c r="AJ500" s="1" t="s">
        <v>74</v>
      </c>
      <c r="AK500" s="1" t="s">
        <v>74</v>
      </c>
      <c r="AL500" s="1" t="s">
        <v>74</v>
      </c>
      <c r="AM500" s="1" t="s">
        <v>74</v>
      </c>
      <c r="AN500" s="1" t="s">
        <v>74</v>
      </c>
      <c r="AO500" s="1" t="s">
        <v>1209</v>
      </c>
      <c r="AP500" s="1" t="s">
        <v>74</v>
      </c>
      <c r="AQ500" s="1" t="s">
        <v>74</v>
      </c>
      <c r="AR500" s="1" t="s">
        <v>74</v>
      </c>
      <c r="AS500" s="1" t="s">
        <v>74</v>
      </c>
      <c r="AT500" s="1" t="s">
        <v>74</v>
      </c>
      <c r="AU500" s="1">
        <v>1983.0</v>
      </c>
      <c r="AV500" s="1">
        <v>159.0</v>
      </c>
      <c r="AW500" s="1">
        <v>1.0</v>
      </c>
      <c r="AX500" s="1" t="s">
        <v>74</v>
      </c>
      <c r="AY500" s="1" t="s">
        <v>74</v>
      </c>
      <c r="AZ500" s="1" t="s">
        <v>74</v>
      </c>
      <c r="BA500" s="1" t="s">
        <v>74</v>
      </c>
      <c r="BB500" s="1">
        <v>137.0</v>
      </c>
      <c r="BC500" s="1">
        <v>153.0</v>
      </c>
      <c r="BD500" s="1" t="s">
        <v>74</v>
      </c>
      <c r="BE500" s="1" t="s">
        <v>4339</v>
      </c>
      <c r="BF500" s="2" t="str">
        <f>HYPERLINK("http://dx.doi.org/10.1016/S0022-0728(83)80320-9","http://dx.doi.org/10.1016/S0022-0728(83)80320-9")</f>
        <v>http://dx.doi.org/10.1016/S0022-0728(83)80320-9</v>
      </c>
      <c r="BG500" s="1" t="s">
        <v>74</v>
      </c>
      <c r="BH500" s="1" t="s">
        <v>74</v>
      </c>
      <c r="BI500" s="1" t="s">
        <v>74</v>
      </c>
      <c r="BJ500" s="1" t="s">
        <v>74</v>
      </c>
      <c r="BK500" s="1" t="s">
        <v>74</v>
      </c>
      <c r="BL500" s="1" t="s">
        <v>74</v>
      </c>
      <c r="BM500" s="1" t="s">
        <v>74</v>
      </c>
      <c r="BN500" s="1" t="s">
        <v>74</v>
      </c>
      <c r="BO500" s="1" t="s">
        <v>74</v>
      </c>
      <c r="BP500" s="1" t="s">
        <v>74</v>
      </c>
      <c r="BQ500" s="1" t="s">
        <v>74</v>
      </c>
      <c r="BR500" s="1" t="s">
        <v>74</v>
      </c>
      <c r="BS500" s="1" t="s">
        <v>4340</v>
      </c>
      <c r="BT500" s="1" t="str">
        <f>HYPERLINK("https%3A%2F%2Fwww.webofscience.com%2Fwos%2Fwoscc%2Ffull-record%2FWOS:A1983RV92100011","View Full Record in Web of Science")</f>
        <v>View Full Record in Web of Science</v>
      </c>
    </row>
    <row r="501" ht="12.75" customHeight="1">
      <c r="A501" s="1" t="s">
        <v>72</v>
      </c>
      <c r="B501" s="1" t="s">
        <v>4341</v>
      </c>
      <c r="C501" s="1" t="s">
        <v>74</v>
      </c>
      <c r="D501" s="1" t="s">
        <v>74</v>
      </c>
      <c r="E501" s="1" t="s">
        <v>74</v>
      </c>
      <c r="F501" s="1" t="s">
        <v>4341</v>
      </c>
      <c r="G501" s="1" t="s">
        <v>74</v>
      </c>
      <c r="H501" s="1" t="s">
        <v>74</v>
      </c>
      <c r="I501" s="1" t="s">
        <v>4342</v>
      </c>
      <c r="J501" s="1" t="s">
        <v>4343</v>
      </c>
      <c r="K501" s="1" t="s">
        <v>74</v>
      </c>
      <c r="L501" s="1" t="s">
        <v>74</v>
      </c>
      <c r="M501" s="1" t="s">
        <v>74</v>
      </c>
      <c r="N501" s="1" t="s">
        <v>74</v>
      </c>
      <c r="O501" s="1" t="s">
        <v>74</v>
      </c>
      <c r="P501" s="1" t="s">
        <v>74</v>
      </c>
      <c r="Q501" s="1" t="s">
        <v>74</v>
      </c>
      <c r="R501" s="1" t="s">
        <v>74</v>
      </c>
      <c r="S501" s="1" t="s">
        <v>74</v>
      </c>
      <c r="T501" s="1" t="s">
        <v>74</v>
      </c>
      <c r="U501" s="1" t="s">
        <v>74</v>
      </c>
      <c r="V501" s="1" t="s">
        <v>74</v>
      </c>
      <c r="W501" s="1" t="s">
        <v>74</v>
      </c>
      <c r="X501" s="1" t="s">
        <v>74</v>
      </c>
      <c r="Y501" s="1" t="s">
        <v>74</v>
      </c>
      <c r="Z501" s="1" t="s">
        <v>74</v>
      </c>
      <c r="AA501" s="1" t="s">
        <v>4155</v>
      </c>
      <c r="AB501" s="1" t="s">
        <v>74</v>
      </c>
      <c r="AC501" s="1" t="s">
        <v>74</v>
      </c>
      <c r="AD501" s="1" t="s">
        <v>74</v>
      </c>
      <c r="AE501" s="1" t="s">
        <v>74</v>
      </c>
      <c r="AF501" s="1" t="s">
        <v>74</v>
      </c>
      <c r="AG501" s="1" t="s">
        <v>74</v>
      </c>
      <c r="AH501" s="1" t="s">
        <v>74</v>
      </c>
      <c r="AI501" s="1" t="s">
        <v>74</v>
      </c>
      <c r="AJ501" s="1" t="s">
        <v>74</v>
      </c>
      <c r="AK501" s="1" t="s">
        <v>74</v>
      </c>
      <c r="AL501" s="1" t="s">
        <v>74</v>
      </c>
      <c r="AM501" s="1" t="s">
        <v>74</v>
      </c>
      <c r="AN501" s="1" t="s">
        <v>74</v>
      </c>
      <c r="AO501" s="1" t="s">
        <v>4344</v>
      </c>
      <c r="AP501" s="1" t="s">
        <v>74</v>
      </c>
      <c r="AQ501" s="1" t="s">
        <v>74</v>
      </c>
      <c r="AR501" s="1" t="s">
        <v>74</v>
      </c>
      <c r="AS501" s="1" t="s">
        <v>74</v>
      </c>
      <c r="AT501" s="1" t="s">
        <v>74</v>
      </c>
      <c r="AU501" s="1">
        <v>1982.0</v>
      </c>
      <c r="AV501" s="1">
        <v>70.0</v>
      </c>
      <c r="AW501" s="1">
        <v>2.0</v>
      </c>
      <c r="AX501" s="1" t="s">
        <v>74</v>
      </c>
      <c r="AY501" s="1" t="s">
        <v>74</v>
      </c>
      <c r="AZ501" s="1" t="s">
        <v>74</v>
      </c>
      <c r="BA501" s="1" t="s">
        <v>74</v>
      </c>
      <c r="BB501" s="1">
        <v>283.0</v>
      </c>
      <c r="BC501" s="1">
        <v>288.0</v>
      </c>
      <c r="BD501" s="1" t="s">
        <v>74</v>
      </c>
      <c r="BE501" s="1" t="s">
        <v>74</v>
      </c>
      <c r="BF501" s="1" t="s">
        <v>74</v>
      </c>
      <c r="BG501" s="1" t="s">
        <v>74</v>
      </c>
      <c r="BH501" s="1" t="s">
        <v>74</v>
      </c>
      <c r="BI501" s="1" t="s">
        <v>74</v>
      </c>
      <c r="BJ501" s="1" t="s">
        <v>74</v>
      </c>
      <c r="BK501" s="1" t="s">
        <v>74</v>
      </c>
      <c r="BL501" s="1" t="s">
        <v>74</v>
      </c>
      <c r="BM501" s="1" t="s">
        <v>74</v>
      </c>
      <c r="BN501" s="1" t="s">
        <v>74</v>
      </c>
      <c r="BO501" s="1" t="s">
        <v>74</v>
      </c>
      <c r="BP501" s="1" t="s">
        <v>74</v>
      </c>
      <c r="BQ501" s="1" t="s">
        <v>74</v>
      </c>
      <c r="BR501" s="1" t="s">
        <v>74</v>
      </c>
      <c r="BS501" s="1" t="s">
        <v>4345</v>
      </c>
      <c r="BT501" s="1" t="str">
        <f>HYPERLINK("https%3A%2F%2Fwww.webofscience.com%2Fwos%2Fwoscc%2Ffull-record%2FWOS:A1982NL92300013","View Full Record in Web of Science")</f>
        <v>View Full Record in Web of Science</v>
      </c>
    </row>
    <row r="502" ht="12.75" customHeight="1">
      <c r="A502" s="1" t="s">
        <v>72</v>
      </c>
      <c r="B502" s="1" t="s">
        <v>4346</v>
      </c>
      <c r="C502" s="1" t="s">
        <v>74</v>
      </c>
      <c r="D502" s="1" t="s">
        <v>74</v>
      </c>
      <c r="E502" s="1" t="s">
        <v>74</v>
      </c>
      <c r="F502" s="1" t="s">
        <v>4346</v>
      </c>
      <c r="G502" s="1" t="s">
        <v>74</v>
      </c>
      <c r="H502" s="1" t="s">
        <v>74</v>
      </c>
      <c r="I502" s="1" t="s">
        <v>4347</v>
      </c>
      <c r="J502" s="1" t="s">
        <v>4348</v>
      </c>
      <c r="K502" s="1" t="s">
        <v>74</v>
      </c>
      <c r="L502" s="1" t="s">
        <v>74</v>
      </c>
      <c r="M502" s="1" t="s">
        <v>74</v>
      </c>
      <c r="N502" s="1" t="s">
        <v>74</v>
      </c>
      <c r="O502" s="1" t="s">
        <v>74</v>
      </c>
      <c r="P502" s="1" t="s">
        <v>74</v>
      </c>
      <c r="Q502" s="1" t="s">
        <v>74</v>
      </c>
      <c r="R502" s="1" t="s">
        <v>74</v>
      </c>
      <c r="S502" s="1" t="s">
        <v>74</v>
      </c>
      <c r="T502" s="1" t="s">
        <v>74</v>
      </c>
      <c r="U502" s="1" t="s">
        <v>74</v>
      </c>
      <c r="V502" s="1" t="s">
        <v>74</v>
      </c>
      <c r="W502" s="1" t="s">
        <v>74</v>
      </c>
      <c r="X502" s="1" t="s">
        <v>74</v>
      </c>
      <c r="Y502" s="1" t="s">
        <v>74</v>
      </c>
      <c r="Z502" s="1" t="s">
        <v>74</v>
      </c>
      <c r="AA502" s="1" t="s">
        <v>1227</v>
      </c>
      <c r="AB502" s="1" t="s">
        <v>74</v>
      </c>
      <c r="AC502" s="1" t="s">
        <v>74</v>
      </c>
      <c r="AD502" s="1" t="s">
        <v>74</v>
      </c>
      <c r="AE502" s="1" t="s">
        <v>74</v>
      </c>
      <c r="AF502" s="1" t="s">
        <v>74</v>
      </c>
      <c r="AG502" s="1" t="s">
        <v>74</v>
      </c>
      <c r="AH502" s="1" t="s">
        <v>74</v>
      </c>
      <c r="AI502" s="1" t="s">
        <v>74</v>
      </c>
      <c r="AJ502" s="1" t="s">
        <v>74</v>
      </c>
      <c r="AK502" s="1" t="s">
        <v>74</v>
      </c>
      <c r="AL502" s="1" t="s">
        <v>74</v>
      </c>
      <c r="AM502" s="1" t="s">
        <v>74</v>
      </c>
      <c r="AN502" s="1" t="s">
        <v>74</v>
      </c>
      <c r="AO502" s="1" t="s">
        <v>4349</v>
      </c>
      <c r="AP502" s="1" t="s">
        <v>74</v>
      </c>
      <c r="AQ502" s="1" t="s">
        <v>74</v>
      </c>
      <c r="AR502" s="1" t="s">
        <v>74</v>
      </c>
      <c r="AS502" s="1" t="s">
        <v>74</v>
      </c>
      <c r="AT502" s="1" t="s">
        <v>74</v>
      </c>
      <c r="AU502" s="1">
        <v>1977.0</v>
      </c>
      <c r="AV502" s="1">
        <v>13.0</v>
      </c>
      <c r="AW502" s="1">
        <v>9.0</v>
      </c>
      <c r="AX502" s="1" t="s">
        <v>74</v>
      </c>
      <c r="AY502" s="1" t="s">
        <v>74</v>
      </c>
      <c r="AZ502" s="1" t="s">
        <v>74</v>
      </c>
      <c r="BA502" s="1" t="s">
        <v>74</v>
      </c>
      <c r="BB502" s="1">
        <v>411.0</v>
      </c>
      <c r="BC502" s="1">
        <v>416.0</v>
      </c>
      <c r="BD502" s="1" t="s">
        <v>74</v>
      </c>
      <c r="BE502" s="1" t="s">
        <v>4350</v>
      </c>
      <c r="BF502" s="2" t="str">
        <f>HYPERLINK("http://dx.doi.org/10.1016/0020-1650(77)80030-5","http://dx.doi.org/10.1016/0020-1650(77)80030-5")</f>
        <v>http://dx.doi.org/10.1016/0020-1650(77)80030-5</v>
      </c>
      <c r="BG502" s="1" t="s">
        <v>74</v>
      </c>
      <c r="BH502" s="1" t="s">
        <v>74</v>
      </c>
      <c r="BI502" s="1" t="s">
        <v>74</v>
      </c>
      <c r="BJ502" s="1" t="s">
        <v>74</v>
      </c>
      <c r="BK502" s="1" t="s">
        <v>74</v>
      </c>
      <c r="BL502" s="1" t="s">
        <v>74</v>
      </c>
      <c r="BM502" s="1" t="s">
        <v>74</v>
      </c>
      <c r="BN502" s="1" t="s">
        <v>74</v>
      </c>
      <c r="BO502" s="1" t="s">
        <v>74</v>
      </c>
      <c r="BP502" s="1" t="s">
        <v>74</v>
      </c>
      <c r="BQ502" s="1" t="s">
        <v>74</v>
      </c>
      <c r="BR502" s="1" t="s">
        <v>74</v>
      </c>
      <c r="BS502" s="1" t="s">
        <v>4351</v>
      </c>
      <c r="BT502" s="1" t="str">
        <f>HYPERLINK("https%3A%2F%2Fwww.webofscience.com%2Fwos%2Fwoscc%2Ffull-record%2FWOS:A1977DS58000002","View Full Record in Web of Science")</f>
        <v>View Full Record in Web of Science</v>
      </c>
    </row>
    <row r="503" ht="12.75" customHeight="1">
      <c r="A503" s="1" t="s">
        <v>72</v>
      </c>
      <c r="B503" s="1" t="s">
        <v>4352</v>
      </c>
      <c r="C503" s="1" t="s">
        <v>74</v>
      </c>
      <c r="D503" s="1" t="s">
        <v>74</v>
      </c>
      <c r="E503" s="1" t="s">
        <v>74</v>
      </c>
      <c r="F503" s="1" t="s">
        <v>4352</v>
      </c>
      <c r="G503" s="1" t="s">
        <v>74</v>
      </c>
      <c r="H503" s="1" t="s">
        <v>74</v>
      </c>
      <c r="I503" s="1" t="s">
        <v>4353</v>
      </c>
      <c r="J503" s="1" t="s">
        <v>4354</v>
      </c>
      <c r="K503" s="1" t="s">
        <v>74</v>
      </c>
      <c r="L503" s="1" t="s">
        <v>74</v>
      </c>
      <c r="M503" s="1" t="s">
        <v>74</v>
      </c>
      <c r="N503" s="1" t="s">
        <v>74</v>
      </c>
      <c r="O503" s="1" t="s">
        <v>74</v>
      </c>
      <c r="P503" s="1" t="s">
        <v>74</v>
      </c>
      <c r="Q503" s="1" t="s">
        <v>74</v>
      </c>
      <c r="R503" s="1" t="s">
        <v>74</v>
      </c>
      <c r="S503" s="1" t="s">
        <v>74</v>
      </c>
      <c r="T503" s="1" t="s">
        <v>74</v>
      </c>
      <c r="U503" s="1" t="s">
        <v>74</v>
      </c>
      <c r="V503" s="1" t="s">
        <v>74</v>
      </c>
      <c r="W503" s="1" t="s">
        <v>74</v>
      </c>
      <c r="X503" s="1" t="s">
        <v>74</v>
      </c>
      <c r="Y503" s="1" t="s">
        <v>74</v>
      </c>
      <c r="Z503" s="1" t="s">
        <v>74</v>
      </c>
      <c r="AA503" s="1" t="s">
        <v>74</v>
      </c>
      <c r="AB503" s="1" t="s">
        <v>74</v>
      </c>
      <c r="AC503" s="1" t="s">
        <v>74</v>
      </c>
      <c r="AD503" s="1" t="s">
        <v>74</v>
      </c>
      <c r="AE503" s="1" t="s">
        <v>74</v>
      </c>
      <c r="AF503" s="1" t="s">
        <v>74</v>
      </c>
      <c r="AG503" s="1" t="s">
        <v>74</v>
      </c>
      <c r="AH503" s="1" t="s">
        <v>74</v>
      </c>
      <c r="AI503" s="1" t="s">
        <v>74</v>
      </c>
      <c r="AJ503" s="1" t="s">
        <v>74</v>
      </c>
      <c r="AK503" s="1" t="s">
        <v>74</v>
      </c>
      <c r="AL503" s="1" t="s">
        <v>74</v>
      </c>
      <c r="AM503" s="1" t="s">
        <v>74</v>
      </c>
      <c r="AN503" s="1" t="s">
        <v>74</v>
      </c>
      <c r="AO503" s="1" t="s">
        <v>4355</v>
      </c>
      <c r="AP503" s="1" t="s">
        <v>74</v>
      </c>
      <c r="AQ503" s="1" t="s">
        <v>74</v>
      </c>
      <c r="AR503" s="1" t="s">
        <v>74</v>
      </c>
      <c r="AS503" s="1" t="s">
        <v>74</v>
      </c>
      <c r="AT503" s="1" t="s">
        <v>74</v>
      </c>
      <c r="AU503" s="1">
        <v>1975.0</v>
      </c>
      <c r="AV503" s="1">
        <v>2.0</v>
      </c>
      <c r="AW503" s="1">
        <v>1.0</v>
      </c>
      <c r="AX503" s="1" t="s">
        <v>74</v>
      </c>
      <c r="AY503" s="1" t="s">
        <v>74</v>
      </c>
      <c r="AZ503" s="1" t="s">
        <v>74</v>
      </c>
      <c r="BA503" s="1" t="s">
        <v>74</v>
      </c>
      <c r="BB503" s="1">
        <v>82.0</v>
      </c>
      <c r="BC503" s="1">
        <v>83.0</v>
      </c>
      <c r="BD503" s="1" t="s">
        <v>74</v>
      </c>
      <c r="BE503" s="1" t="s">
        <v>74</v>
      </c>
      <c r="BF503" s="1" t="s">
        <v>74</v>
      </c>
      <c r="BG503" s="1" t="s">
        <v>74</v>
      </c>
      <c r="BH503" s="1" t="s">
        <v>74</v>
      </c>
      <c r="BI503" s="1" t="s">
        <v>74</v>
      </c>
      <c r="BJ503" s="1" t="s">
        <v>74</v>
      </c>
      <c r="BK503" s="1" t="s">
        <v>74</v>
      </c>
      <c r="BL503" s="1" t="s">
        <v>74</v>
      </c>
      <c r="BM503" s="1" t="s">
        <v>74</v>
      </c>
      <c r="BN503" s="1" t="s">
        <v>74</v>
      </c>
      <c r="BO503" s="1" t="s">
        <v>74</v>
      </c>
      <c r="BP503" s="1" t="s">
        <v>74</v>
      </c>
      <c r="BQ503" s="1" t="s">
        <v>74</v>
      </c>
      <c r="BR503" s="1" t="s">
        <v>74</v>
      </c>
      <c r="BS503" s="1" t="s">
        <v>4356</v>
      </c>
      <c r="BT503" s="1" t="str">
        <f>HYPERLINK("https%3A%2F%2Fwww.webofscience.com%2Fwos%2Fwoscc%2Ffull-record%2FWOS:A1975AT72100057","View Full Record in Web of Science")</f>
        <v>View Full Record in Web of Science</v>
      </c>
    </row>
    <row r="504" ht="12.75" customHeight="1">
      <c r="A504" s="1" t="s">
        <v>72</v>
      </c>
      <c r="B504" s="1" t="s">
        <v>4357</v>
      </c>
      <c r="C504" s="1" t="s">
        <v>74</v>
      </c>
      <c r="D504" s="1" t="s">
        <v>74</v>
      </c>
      <c r="E504" s="1" t="s">
        <v>74</v>
      </c>
      <c r="F504" s="1" t="s">
        <v>4358</v>
      </c>
      <c r="G504" s="1" t="s">
        <v>74</v>
      </c>
      <c r="H504" s="1" t="s">
        <v>74</v>
      </c>
      <c r="I504" s="1" t="s">
        <v>4359</v>
      </c>
      <c r="J504" s="1" t="s">
        <v>3765</v>
      </c>
      <c r="K504" s="1" t="s">
        <v>74</v>
      </c>
      <c r="L504" s="1" t="s">
        <v>74</v>
      </c>
      <c r="M504" s="1" t="s">
        <v>74</v>
      </c>
      <c r="N504" s="1" t="s">
        <v>74</v>
      </c>
      <c r="O504" s="1" t="s">
        <v>74</v>
      </c>
      <c r="P504" s="1" t="s">
        <v>74</v>
      </c>
      <c r="Q504" s="1" t="s">
        <v>74</v>
      </c>
      <c r="R504" s="1" t="s">
        <v>74</v>
      </c>
      <c r="S504" s="1" t="s">
        <v>74</v>
      </c>
      <c r="T504" s="1" t="s">
        <v>74</v>
      </c>
      <c r="U504" s="1" t="s">
        <v>74</v>
      </c>
      <c r="V504" s="1" t="s">
        <v>4360</v>
      </c>
      <c r="W504" s="1" t="s">
        <v>74</v>
      </c>
      <c r="X504" s="1" t="s">
        <v>74</v>
      </c>
      <c r="Y504" s="1" t="s">
        <v>74</v>
      </c>
      <c r="Z504" s="1" t="s">
        <v>74</v>
      </c>
      <c r="AA504" s="1" t="s">
        <v>74</v>
      </c>
      <c r="AB504" s="1" t="s">
        <v>74</v>
      </c>
      <c r="AC504" s="1" t="s">
        <v>74</v>
      </c>
      <c r="AD504" s="1" t="s">
        <v>74</v>
      </c>
      <c r="AE504" s="1" t="s">
        <v>74</v>
      </c>
      <c r="AF504" s="1" t="s">
        <v>74</v>
      </c>
      <c r="AG504" s="1" t="s">
        <v>74</v>
      </c>
      <c r="AH504" s="1" t="s">
        <v>74</v>
      </c>
      <c r="AI504" s="1" t="s">
        <v>74</v>
      </c>
      <c r="AJ504" s="1" t="s">
        <v>74</v>
      </c>
      <c r="AK504" s="1" t="s">
        <v>74</v>
      </c>
      <c r="AL504" s="1" t="s">
        <v>74</v>
      </c>
      <c r="AM504" s="1" t="s">
        <v>74</v>
      </c>
      <c r="AN504" s="1" t="s">
        <v>74</v>
      </c>
      <c r="AO504" s="1" t="s">
        <v>3769</v>
      </c>
      <c r="AP504" s="1" t="s">
        <v>3770</v>
      </c>
      <c r="AQ504" s="1" t="s">
        <v>74</v>
      </c>
      <c r="AR504" s="1" t="s">
        <v>74</v>
      </c>
      <c r="AS504" s="1" t="s">
        <v>74</v>
      </c>
      <c r="AT504" s="1" t="s">
        <v>1176</v>
      </c>
      <c r="AU504" s="1">
        <v>2025.0</v>
      </c>
      <c r="AV504" s="1">
        <v>214.0</v>
      </c>
      <c r="AW504" s="1" t="s">
        <v>74</v>
      </c>
      <c r="AX504" s="1" t="s">
        <v>74</v>
      </c>
      <c r="AY504" s="1" t="s">
        <v>74</v>
      </c>
      <c r="AZ504" s="1" t="s">
        <v>74</v>
      </c>
      <c r="BA504" s="1" t="s">
        <v>74</v>
      </c>
      <c r="BB504" s="1" t="s">
        <v>74</v>
      </c>
      <c r="BC504" s="1" t="s">
        <v>74</v>
      </c>
      <c r="BD504" s="1">
        <v>109873.0</v>
      </c>
      <c r="BE504" s="1" t="s">
        <v>4361</v>
      </c>
      <c r="BF504" s="2" t="str">
        <f>HYPERLINK("http://dx.doi.org/10.1016/j.ijthermalsci.2025.109873","http://dx.doi.org/10.1016/j.ijthermalsci.2025.109873")</f>
        <v>http://dx.doi.org/10.1016/j.ijthermalsci.2025.109873</v>
      </c>
      <c r="BG504" s="1" t="s">
        <v>74</v>
      </c>
      <c r="BH504" s="1" t="s">
        <v>4362</v>
      </c>
      <c r="BI504" s="1" t="s">
        <v>74</v>
      </c>
      <c r="BJ504" s="1" t="s">
        <v>74</v>
      </c>
      <c r="BK504" s="1" t="s">
        <v>74</v>
      </c>
      <c r="BL504" s="1" t="s">
        <v>74</v>
      </c>
      <c r="BM504" s="1" t="s">
        <v>74</v>
      </c>
      <c r="BN504" s="1" t="s">
        <v>74</v>
      </c>
      <c r="BO504" s="1" t="s">
        <v>74</v>
      </c>
      <c r="BP504" s="1" t="s">
        <v>74</v>
      </c>
      <c r="BQ504" s="1" t="s">
        <v>74</v>
      </c>
      <c r="BR504" s="1" t="s">
        <v>74</v>
      </c>
      <c r="BS504" s="1" t="s">
        <v>4363</v>
      </c>
      <c r="BT504" s="1" t="str">
        <f>HYPERLINK("https%3A%2F%2Fwww.webofscience.com%2Fwos%2Fwoscc%2Ffull-record%2FWOS:001458119400001","View Full Record in Web of Science")</f>
        <v>View Full Record in Web of Science</v>
      </c>
    </row>
    <row r="505" ht="12.75" customHeight="1">
      <c r="A505" s="1" t="s">
        <v>72</v>
      </c>
      <c r="B505" s="1" t="s">
        <v>4364</v>
      </c>
      <c r="C505" s="1" t="s">
        <v>74</v>
      </c>
      <c r="D505" s="1" t="s">
        <v>74</v>
      </c>
      <c r="E505" s="1" t="s">
        <v>74</v>
      </c>
      <c r="F505" s="1" t="s">
        <v>4365</v>
      </c>
      <c r="G505" s="1" t="s">
        <v>74</v>
      </c>
      <c r="H505" s="1" t="s">
        <v>74</v>
      </c>
      <c r="I505" s="1" t="s">
        <v>4366</v>
      </c>
      <c r="J505" s="1" t="s">
        <v>4367</v>
      </c>
      <c r="K505" s="1" t="s">
        <v>74</v>
      </c>
      <c r="L505" s="1" t="s">
        <v>74</v>
      </c>
      <c r="M505" s="1" t="s">
        <v>74</v>
      </c>
      <c r="N505" s="1" t="s">
        <v>74</v>
      </c>
      <c r="O505" s="1" t="s">
        <v>74</v>
      </c>
      <c r="P505" s="1" t="s">
        <v>74</v>
      </c>
      <c r="Q505" s="1" t="s">
        <v>74</v>
      </c>
      <c r="R505" s="1" t="s">
        <v>74</v>
      </c>
      <c r="S505" s="1" t="s">
        <v>74</v>
      </c>
      <c r="T505" s="1" t="s">
        <v>74</v>
      </c>
      <c r="U505" s="1" t="s">
        <v>74</v>
      </c>
      <c r="V505" s="1" t="s">
        <v>4368</v>
      </c>
      <c r="W505" s="1" t="s">
        <v>74</v>
      </c>
      <c r="X505" s="1" t="s">
        <v>74</v>
      </c>
      <c r="Y505" s="1" t="s">
        <v>74</v>
      </c>
      <c r="Z505" s="1" t="s">
        <v>74</v>
      </c>
      <c r="AA505" s="1" t="s">
        <v>4369</v>
      </c>
      <c r="AB505" s="1" t="s">
        <v>74</v>
      </c>
      <c r="AC505" s="1" t="s">
        <v>74</v>
      </c>
      <c r="AD505" s="1" t="s">
        <v>74</v>
      </c>
      <c r="AE505" s="1" t="s">
        <v>74</v>
      </c>
      <c r="AF505" s="1" t="s">
        <v>74</v>
      </c>
      <c r="AG505" s="1" t="s">
        <v>74</v>
      </c>
      <c r="AH505" s="1" t="s">
        <v>74</v>
      </c>
      <c r="AI505" s="1" t="s">
        <v>74</v>
      </c>
      <c r="AJ505" s="1" t="s">
        <v>74</v>
      </c>
      <c r="AK505" s="1" t="s">
        <v>74</v>
      </c>
      <c r="AL505" s="1" t="s">
        <v>74</v>
      </c>
      <c r="AM505" s="1" t="s">
        <v>74</v>
      </c>
      <c r="AN505" s="1" t="s">
        <v>74</v>
      </c>
      <c r="AO505" s="1" t="s">
        <v>4370</v>
      </c>
      <c r="AP505" s="1" t="s">
        <v>4371</v>
      </c>
      <c r="AQ505" s="1" t="s">
        <v>74</v>
      </c>
      <c r="AR505" s="1" t="s">
        <v>74</v>
      </c>
      <c r="AS505" s="1" t="s">
        <v>74</v>
      </c>
      <c r="AT505" s="1" t="s">
        <v>288</v>
      </c>
      <c r="AU505" s="1">
        <v>2025.0</v>
      </c>
      <c r="AV505" s="1">
        <v>26.0</v>
      </c>
      <c r="AW505" s="1">
        <v>3.0</v>
      </c>
      <c r="AX505" s="1" t="s">
        <v>74</v>
      </c>
      <c r="AY505" s="1" t="s">
        <v>74</v>
      </c>
      <c r="AZ505" s="1" t="s">
        <v>74</v>
      </c>
      <c r="BA505" s="1" t="s">
        <v>74</v>
      </c>
      <c r="BB505" s="1" t="s">
        <v>74</v>
      </c>
      <c r="BC505" s="1" t="s">
        <v>74</v>
      </c>
      <c r="BD505" s="1">
        <v>1184.0</v>
      </c>
      <c r="BE505" s="1" t="s">
        <v>4372</v>
      </c>
      <c r="BF505" s="2" t="str">
        <f>HYPERLINK("http://dx.doi.org/10.3390/ijms26031184","http://dx.doi.org/10.3390/ijms26031184")</f>
        <v>http://dx.doi.org/10.3390/ijms26031184</v>
      </c>
      <c r="BG505" s="1" t="s">
        <v>74</v>
      </c>
      <c r="BH505" s="1" t="s">
        <v>74</v>
      </c>
      <c r="BI505" s="1" t="s">
        <v>74</v>
      </c>
      <c r="BJ505" s="1" t="s">
        <v>74</v>
      </c>
      <c r="BK505" s="1" t="s">
        <v>74</v>
      </c>
      <c r="BL505" s="1" t="s">
        <v>74</v>
      </c>
      <c r="BM505" s="1" t="s">
        <v>74</v>
      </c>
      <c r="BN505" s="1">
        <v>3.9940952E7</v>
      </c>
      <c r="BO505" s="1" t="s">
        <v>74</v>
      </c>
      <c r="BP505" s="1" t="s">
        <v>74</v>
      </c>
      <c r="BQ505" s="1" t="s">
        <v>74</v>
      </c>
      <c r="BR505" s="1" t="s">
        <v>74</v>
      </c>
      <c r="BS505" s="1" t="s">
        <v>4373</v>
      </c>
      <c r="BT505" s="1" t="str">
        <f>HYPERLINK("https%3A%2F%2Fwww.webofscience.com%2Fwos%2Fwoscc%2Ffull-record%2FWOS:001418612000001","View Full Record in Web of Science")</f>
        <v>View Full Record in Web of Science</v>
      </c>
    </row>
    <row r="506" ht="12.75" customHeight="1">
      <c r="A506" s="1" t="s">
        <v>72</v>
      </c>
      <c r="B506" s="1" t="s">
        <v>500</v>
      </c>
      <c r="C506" s="1" t="s">
        <v>74</v>
      </c>
      <c r="D506" s="1" t="s">
        <v>74</v>
      </c>
      <c r="E506" s="1" t="s">
        <v>74</v>
      </c>
      <c r="F506" s="1" t="s">
        <v>502</v>
      </c>
      <c r="G506" s="1" t="s">
        <v>74</v>
      </c>
      <c r="H506" s="1" t="s">
        <v>74</v>
      </c>
      <c r="I506" s="1" t="s">
        <v>4374</v>
      </c>
      <c r="J506" s="1" t="s">
        <v>4375</v>
      </c>
      <c r="K506" s="1" t="s">
        <v>74</v>
      </c>
      <c r="L506" s="1" t="s">
        <v>74</v>
      </c>
      <c r="M506" s="1" t="s">
        <v>74</v>
      </c>
      <c r="N506" s="1" t="s">
        <v>74</v>
      </c>
      <c r="O506" s="1" t="s">
        <v>74</v>
      </c>
      <c r="P506" s="1" t="s">
        <v>74</v>
      </c>
      <c r="Q506" s="1" t="s">
        <v>74</v>
      </c>
      <c r="R506" s="1" t="s">
        <v>74</v>
      </c>
      <c r="S506" s="1" t="s">
        <v>74</v>
      </c>
      <c r="T506" s="1" t="s">
        <v>74</v>
      </c>
      <c r="U506" s="1" t="s">
        <v>74</v>
      </c>
      <c r="V506" s="1" t="s">
        <v>4376</v>
      </c>
      <c r="W506" s="1" t="s">
        <v>74</v>
      </c>
      <c r="X506" s="1" t="s">
        <v>74</v>
      </c>
      <c r="Y506" s="1" t="s">
        <v>74</v>
      </c>
      <c r="Z506" s="1" t="s">
        <v>74</v>
      </c>
      <c r="AA506" s="1" t="s">
        <v>74</v>
      </c>
      <c r="AB506" s="1" t="s">
        <v>74</v>
      </c>
      <c r="AC506" s="1" t="s">
        <v>74</v>
      </c>
      <c r="AD506" s="1" t="s">
        <v>74</v>
      </c>
      <c r="AE506" s="1" t="s">
        <v>74</v>
      </c>
      <c r="AF506" s="1" t="s">
        <v>74</v>
      </c>
      <c r="AG506" s="1" t="s">
        <v>74</v>
      </c>
      <c r="AH506" s="1" t="s">
        <v>74</v>
      </c>
      <c r="AI506" s="1" t="s">
        <v>74</v>
      </c>
      <c r="AJ506" s="1" t="s">
        <v>74</v>
      </c>
      <c r="AK506" s="1" t="s">
        <v>74</v>
      </c>
      <c r="AL506" s="1" t="s">
        <v>74</v>
      </c>
      <c r="AM506" s="1" t="s">
        <v>74</v>
      </c>
      <c r="AN506" s="1" t="s">
        <v>74</v>
      </c>
      <c r="AO506" s="1" t="s">
        <v>4377</v>
      </c>
      <c r="AP506" s="1" t="s">
        <v>4378</v>
      </c>
      <c r="AQ506" s="1" t="s">
        <v>74</v>
      </c>
      <c r="AR506" s="1" t="s">
        <v>74</v>
      </c>
      <c r="AS506" s="1" t="s">
        <v>74</v>
      </c>
      <c r="AT506" s="1" t="s">
        <v>4379</v>
      </c>
      <c r="AU506" s="1">
        <v>2025.0</v>
      </c>
      <c r="AV506" s="1">
        <v>51.0</v>
      </c>
      <c r="AW506" s="1">
        <v>1.0</v>
      </c>
      <c r="AX506" s="1" t="s">
        <v>74</v>
      </c>
      <c r="AY506" s="1" t="s">
        <v>74</v>
      </c>
      <c r="AZ506" s="1" t="s">
        <v>74</v>
      </c>
      <c r="BA506" s="1" t="s">
        <v>74</v>
      </c>
      <c r="BB506" s="1" t="s">
        <v>74</v>
      </c>
      <c r="BC506" s="1" t="s">
        <v>74</v>
      </c>
      <c r="BD506" s="1" t="s">
        <v>4380</v>
      </c>
      <c r="BE506" s="1" t="s">
        <v>4381</v>
      </c>
      <c r="BF506" s="2" t="str">
        <f>HYPERLINK("http://dx.doi.org/10.15448/1980-864X.2025.1.45287","http://dx.doi.org/10.15448/1980-864X.2025.1.45287")</f>
        <v>http://dx.doi.org/10.15448/1980-864X.2025.1.45287</v>
      </c>
      <c r="BG506" s="1" t="s">
        <v>74</v>
      </c>
      <c r="BH506" s="1" t="s">
        <v>74</v>
      </c>
      <c r="BI506" s="1" t="s">
        <v>74</v>
      </c>
      <c r="BJ506" s="1" t="s">
        <v>74</v>
      </c>
      <c r="BK506" s="1" t="s">
        <v>74</v>
      </c>
      <c r="BL506" s="1" t="s">
        <v>74</v>
      </c>
      <c r="BM506" s="1" t="s">
        <v>74</v>
      </c>
      <c r="BN506" s="1" t="s">
        <v>74</v>
      </c>
      <c r="BO506" s="1" t="s">
        <v>74</v>
      </c>
      <c r="BP506" s="1" t="s">
        <v>74</v>
      </c>
      <c r="BQ506" s="1" t="s">
        <v>74</v>
      </c>
      <c r="BR506" s="1" t="s">
        <v>74</v>
      </c>
      <c r="BS506" s="1" t="s">
        <v>4382</v>
      </c>
      <c r="BT506" s="1" t="str">
        <f>HYPERLINK("https%3A%2F%2Fwww.webofscience.com%2Fwos%2Fwoscc%2Ffull-record%2FWOS:001426672600003","View Full Record in Web of Science")</f>
        <v>View Full Record in Web of Science</v>
      </c>
    </row>
    <row r="507" ht="12.75" customHeight="1">
      <c r="A507" s="1" t="s">
        <v>72</v>
      </c>
      <c r="B507" s="1" t="s">
        <v>4383</v>
      </c>
      <c r="C507" s="1" t="s">
        <v>74</v>
      </c>
      <c r="D507" s="1" t="s">
        <v>74</v>
      </c>
      <c r="E507" s="1" t="s">
        <v>74</v>
      </c>
      <c r="F507" s="1" t="s">
        <v>4384</v>
      </c>
      <c r="G507" s="1" t="s">
        <v>74</v>
      </c>
      <c r="H507" s="1" t="s">
        <v>74</v>
      </c>
      <c r="I507" s="1" t="s">
        <v>4385</v>
      </c>
      <c r="J507" s="1" t="s">
        <v>2845</v>
      </c>
      <c r="K507" s="1" t="s">
        <v>74</v>
      </c>
      <c r="L507" s="1" t="s">
        <v>74</v>
      </c>
      <c r="M507" s="1" t="s">
        <v>74</v>
      </c>
      <c r="N507" s="1" t="s">
        <v>74</v>
      </c>
      <c r="O507" s="1" t="s">
        <v>74</v>
      </c>
      <c r="P507" s="1" t="s">
        <v>74</v>
      </c>
      <c r="Q507" s="1" t="s">
        <v>74</v>
      </c>
      <c r="R507" s="1" t="s">
        <v>74</v>
      </c>
      <c r="S507" s="1" t="s">
        <v>74</v>
      </c>
      <c r="T507" s="1" t="s">
        <v>74</v>
      </c>
      <c r="U507" s="1" t="s">
        <v>74</v>
      </c>
      <c r="V507" s="1" t="s">
        <v>4386</v>
      </c>
      <c r="W507" s="1" t="s">
        <v>74</v>
      </c>
      <c r="X507" s="1" t="s">
        <v>74</v>
      </c>
      <c r="Y507" s="1" t="s">
        <v>74</v>
      </c>
      <c r="Z507" s="1" t="s">
        <v>74</v>
      </c>
      <c r="AA507" s="1" t="s">
        <v>74</v>
      </c>
      <c r="AB507" s="1" t="s">
        <v>74</v>
      </c>
      <c r="AC507" s="1" t="s">
        <v>74</v>
      </c>
      <c r="AD507" s="1" t="s">
        <v>74</v>
      </c>
      <c r="AE507" s="1" t="s">
        <v>74</v>
      </c>
      <c r="AF507" s="1" t="s">
        <v>74</v>
      </c>
      <c r="AG507" s="1" t="s">
        <v>74</v>
      </c>
      <c r="AH507" s="1" t="s">
        <v>74</v>
      </c>
      <c r="AI507" s="1" t="s">
        <v>74</v>
      </c>
      <c r="AJ507" s="1" t="s">
        <v>74</v>
      </c>
      <c r="AK507" s="1" t="s">
        <v>74</v>
      </c>
      <c r="AL507" s="1" t="s">
        <v>74</v>
      </c>
      <c r="AM507" s="1" t="s">
        <v>74</v>
      </c>
      <c r="AN507" s="1" t="s">
        <v>74</v>
      </c>
      <c r="AO507" s="1" t="s">
        <v>2847</v>
      </c>
      <c r="AP507" s="1" t="s">
        <v>2848</v>
      </c>
      <c r="AQ507" s="1" t="s">
        <v>74</v>
      </c>
      <c r="AR507" s="1" t="s">
        <v>74</v>
      </c>
      <c r="AS507" s="1" t="s">
        <v>74</v>
      </c>
      <c r="AT507" s="1" t="s">
        <v>1493</v>
      </c>
      <c r="AU507" s="1">
        <v>2024.0</v>
      </c>
      <c r="AV507" s="1">
        <v>14.0</v>
      </c>
      <c r="AW507" s="1">
        <v>1.0</v>
      </c>
      <c r="AX507" s="1" t="s">
        <v>74</v>
      </c>
      <c r="AY507" s="1" t="s">
        <v>74</v>
      </c>
      <c r="AZ507" s="1" t="s">
        <v>74</v>
      </c>
      <c r="BA507" s="1" t="s">
        <v>74</v>
      </c>
      <c r="BB507" s="1">
        <v>311.0</v>
      </c>
      <c r="BC507" s="1">
        <v>334.0</v>
      </c>
      <c r="BD507" s="1" t="s">
        <v>74</v>
      </c>
      <c r="BE507" s="1" t="s">
        <v>74</v>
      </c>
      <c r="BF507" s="1" t="s">
        <v>74</v>
      </c>
      <c r="BG507" s="1" t="s">
        <v>74</v>
      </c>
      <c r="BH507" s="1" t="s">
        <v>74</v>
      </c>
      <c r="BI507" s="1" t="s">
        <v>74</v>
      </c>
      <c r="BJ507" s="1" t="s">
        <v>74</v>
      </c>
      <c r="BK507" s="1" t="s">
        <v>74</v>
      </c>
      <c r="BL507" s="1" t="s">
        <v>74</v>
      </c>
      <c r="BM507" s="1" t="s">
        <v>74</v>
      </c>
      <c r="BN507" s="1" t="s">
        <v>74</v>
      </c>
      <c r="BO507" s="1" t="s">
        <v>74</v>
      </c>
      <c r="BP507" s="1" t="s">
        <v>74</v>
      </c>
      <c r="BQ507" s="1" t="s">
        <v>74</v>
      </c>
      <c r="BR507" s="1" t="s">
        <v>74</v>
      </c>
      <c r="BS507" s="1" t="s">
        <v>4387</v>
      </c>
      <c r="BT507" s="1" t="str">
        <f>HYPERLINK("https%3A%2F%2Fwww.webofscience.com%2Fwos%2Fwoscc%2Ffull-record%2FWOS:001282337500006","View Full Record in Web of Science")</f>
        <v>View Full Record in Web of Science</v>
      </c>
    </row>
    <row r="508" ht="12.75" customHeight="1">
      <c r="A508" s="1" t="s">
        <v>72</v>
      </c>
      <c r="B508" s="1" t="s">
        <v>4388</v>
      </c>
      <c r="C508" s="1" t="s">
        <v>74</v>
      </c>
      <c r="D508" s="1" t="s">
        <v>74</v>
      </c>
      <c r="E508" s="1" t="s">
        <v>74</v>
      </c>
      <c r="F508" s="1" t="s">
        <v>4389</v>
      </c>
      <c r="G508" s="1" t="s">
        <v>74</v>
      </c>
      <c r="H508" s="1" t="s">
        <v>74</v>
      </c>
      <c r="I508" s="1" t="s">
        <v>4390</v>
      </c>
      <c r="J508" s="1" t="s">
        <v>4391</v>
      </c>
      <c r="K508" s="1" t="s">
        <v>74</v>
      </c>
      <c r="L508" s="1" t="s">
        <v>74</v>
      </c>
      <c r="M508" s="1" t="s">
        <v>74</v>
      </c>
      <c r="N508" s="1" t="s">
        <v>74</v>
      </c>
      <c r="O508" s="1" t="s">
        <v>74</v>
      </c>
      <c r="P508" s="1" t="s">
        <v>74</v>
      </c>
      <c r="Q508" s="1" t="s">
        <v>74</v>
      </c>
      <c r="R508" s="1" t="s">
        <v>74</v>
      </c>
      <c r="S508" s="1" t="s">
        <v>74</v>
      </c>
      <c r="T508" s="1" t="s">
        <v>74</v>
      </c>
      <c r="U508" s="1" t="s">
        <v>74</v>
      </c>
      <c r="V508" s="1" t="s">
        <v>4392</v>
      </c>
      <c r="W508" s="1" t="s">
        <v>74</v>
      </c>
      <c r="X508" s="1" t="s">
        <v>74</v>
      </c>
      <c r="Y508" s="1" t="s">
        <v>74</v>
      </c>
      <c r="Z508" s="1" t="s">
        <v>74</v>
      </c>
      <c r="AA508" s="1" t="s">
        <v>74</v>
      </c>
      <c r="AB508" s="1" t="s">
        <v>74</v>
      </c>
      <c r="AC508" s="1" t="s">
        <v>74</v>
      </c>
      <c r="AD508" s="1" t="s">
        <v>74</v>
      </c>
      <c r="AE508" s="1" t="s">
        <v>74</v>
      </c>
      <c r="AF508" s="1" t="s">
        <v>74</v>
      </c>
      <c r="AG508" s="1" t="s">
        <v>74</v>
      </c>
      <c r="AH508" s="1" t="s">
        <v>74</v>
      </c>
      <c r="AI508" s="1" t="s">
        <v>74</v>
      </c>
      <c r="AJ508" s="1" t="s">
        <v>74</v>
      </c>
      <c r="AK508" s="1" t="s">
        <v>74</v>
      </c>
      <c r="AL508" s="1" t="s">
        <v>74</v>
      </c>
      <c r="AM508" s="1" t="s">
        <v>74</v>
      </c>
      <c r="AN508" s="1" t="s">
        <v>74</v>
      </c>
      <c r="AO508" s="1" t="s">
        <v>4393</v>
      </c>
      <c r="AP508" s="1" t="s">
        <v>4394</v>
      </c>
      <c r="AQ508" s="1" t="s">
        <v>74</v>
      </c>
      <c r="AR508" s="1" t="s">
        <v>74</v>
      </c>
      <c r="AS508" s="1" t="s">
        <v>74</v>
      </c>
      <c r="AT508" s="1" t="s">
        <v>915</v>
      </c>
      <c r="AU508" s="1">
        <v>2023.0</v>
      </c>
      <c r="AV508" s="1">
        <v>21.0</v>
      </c>
      <c r="AW508" s="1">
        <v>2.0</v>
      </c>
      <c r="AX508" s="1" t="s">
        <v>74</v>
      </c>
      <c r="AY508" s="1" t="s">
        <v>74</v>
      </c>
      <c r="AZ508" s="1" t="s">
        <v>74</v>
      </c>
      <c r="BA508" s="1" t="s">
        <v>74</v>
      </c>
      <c r="BB508" s="1">
        <v>23.0</v>
      </c>
      <c r="BC508" s="1">
        <v>44.0</v>
      </c>
      <c r="BD508" s="1" t="s">
        <v>74</v>
      </c>
      <c r="BE508" s="1" t="s">
        <v>4395</v>
      </c>
      <c r="BF508" s="2" t="str">
        <f>HYPERLINK("http://dx.doi.org/10.14516/fde.971","http://dx.doi.org/10.14516/fde.971")</f>
        <v>http://dx.doi.org/10.14516/fde.971</v>
      </c>
      <c r="BG508" s="1" t="s">
        <v>74</v>
      </c>
      <c r="BH508" s="1" t="s">
        <v>74</v>
      </c>
      <c r="BI508" s="1" t="s">
        <v>74</v>
      </c>
      <c r="BJ508" s="1" t="s">
        <v>74</v>
      </c>
      <c r="BK508" s="1" t="s">
        <v>74</v>
      </c>
      <c r="BL508" s="1" t="s">
        <v>74</v>
      </c>
      <c r="BM508" s="1" t="s">
        <v>74</v>
      </c>
      <c r="BN508" s="1" t="s">
        <v>74</v>
      </c>
      <c r="BO508" s="1" t="s">
        <v>74</v>
      </c>
      <c r="BP508" s="1" t="s">
        <v>74</v>
      </c>
      <c r="BQ508" s="1" t="s">
        <v>74</v>
      </c>
      <c r="BR508" s="1" t="s">
        <v>74</v>
      </c>
      <c r="BS508" s="1" t="s">
        <v>4396</v>
      </c>
      <c r="BT508" s="1" t="str">
        <f>HYPERLINK("https%3A%2F%2Fwww.webofscience.com%2Fwos%2Fwoscc%2Ffull-record%2FWOS:001137429300001","View Full Record in Web of Science")</f>
        <v>View Full Record in Web of Science</v>
      </c>
    </row>
    <row r="509" ht="12.75" customHeight="1">
      <c r="A509" s="1" t="s">
        <v>72</v>
      </c>
      <c r="B509" s="1" t="s">
        <v>4397</v>
      </c>
      <c r="C509" s="1" t="s">
        <v>74</v>
      </c>
      <c r="D509" s="1" t="s">
        <v>74</v>
      </c>
      <c r="E509" s="1" t="s">
        <v>74</v>
      </c>
      <c r="F509" s="1" t="s">
        <v>4398</v>
      </c>
      <c r="G509" s="1" t="s">
        <v>74</v>
      </c>
      <c r="H509" s="1" t="s">
        <v>74</v>
      </c>
      <c r="I509" s="1" t="s">
        <v>4399</v>
      </c>
      <c r="J509" s="1" t="s">
        <v>4400</v>
      </c>
      <c r="K509" s="1" t="s">
        <v>74</v>
      </c>
      <c r="L509" s="1" t="s">
        <v>74</v>
      </c>
      <c r="M509" s="1" t="s">
        <v>74</v>
      </c>
      <c r="N509" s="1" t="s">
        <v>74</v>
      </c>
      <c r="O509" s="1" t="s">
        <v>74</v>
      </c>
      <c r="P509" s="1" t="s">
        <v>74</v>
      </c>
      <c r="Q509" s="1" t="s">
        <v>74</v>
      </c>
      <c r="R509" s="1" t="s">
        <v>74</v>
      </c>
      <c r="S509" s="1" t="s">
        <v>74</v>
      </c>
      <c r="T509" s="1" t="s">
        <v>74</v>
      </c>
      <c r="U509" s="1" t="s">
        <v>74</v>
      </c>
      <c r="V509" s="1" t="s">
        <v>4401</v>
      </c>
      <c r="W509" s="1" t="s">
        <v>74</v>
      </c>
      <c r="X509" s="1" t="s">
        <v>74</v>
      </c>
      <c r="Y509" s="1" t="s">
        <v>74</v>
      </c>
      <c r="Z509" s="1" t="s">
        <v>74</v>
      </c>
      <c r="AA509" s="1" t="s">
        <v>4402</v>
      </c>
      <c r="AB509" s="1" t="s">
        <v>74</v>
      </c>
      <c r="AC509" s="1" t="s">
        <v>74</v>
      </c>
      <c r="AD509" s="1" t="s">
        <v>74</v>
      </c>
      <c r="AE509" s="1" t="s">
        <v>74</v>
      </c>
      <c r="AF509" s="1" t="s">
        <v>74</v>
      </c>
      <c r="AG509" s="1" t="s">
        <v>74</v>
      </c>
      <c r="AH509" s="1" t="s">
        <v>74</v>
      </c>
      <c r="AI509" s="1" t="s">
        <v>74</v>
      </c>
      <c r="AJ509" s="1" t="s">
        <v>74</v>
      </c>
      <c r="AK509" s="1" t="s">
        <v>74</v>
      </c>
      <c r="AL509" s="1" t="s">
        <v>74</v>
      </c>
      <c r="AM509" s="1" t="s">
        <v>74</v>
      </c>
      <c r="AN509" s="1" t="s">
        <v>74</v>
      </c>
      <c r="AO509" s="1" t="s">
        <v>4403</v>
      </c>
      <c r="AP509" s="1" t="s">
        <v>4404</v>
      </c>
      <c r="AQ509" s="1" t="s">
        <v>74</v>
      </c>
      <c r="AR509" s="1" t="s">
        <v>74</v>
      </c>
      <c r="AS509" s="1" t="s">
        <v>74</v>
      </c>
      <c r="AT509" s="1" t="s">
        <v>358</v>
      </c>
      <c r="AU509" s="1">
        <v>2023.0</v>
      </c>
      <c r="AV509" s="1">
        <v>20.0</v>
      </c>
      <c r="AW509" s="1">
        <v>51.0</v>
      </c>
      <c r="AX509" s="1" t="s">
        <v>74</v>
      </c>
      <c r="AY509" s="1" t="s">
        <v>74</v>
      </c>
      <c r="AZ509" s="1" t="s">
        <v>74</v>
      </c>
      <c r="BA509" s="1" t="s">
        <v>74</v>
      </c>
      <c r="BB509" s="1">
        <v>333.0</v>
      </c>
      <c r="BC509" s="1">
        <v>353.0</v>
      </c>
      <c r="BD509" s="1" t="s">
        <v>74</v>
      </c>
      <c r="BE509" s="1" t="s">
        <v>4405</v>
      </c>
      <c r="BF509" s="2" t="str">
        <f>HYPERLINK("http://dx.doi.org/10.29092/uacm.v20i51.1009","http://dx.doi.org/10.29092/uacm.v20i51.1009")</f>
        <v>http://dx.doi.org/10.29092/uacm.v20i51.1009</v>
      </c>
      <c r="BG509" s="1" t="s">
        <v>74</v>
      </c>
      <c r="BH509" s="1" t="s">
        <v>74</v>
      </c>
      <c r="BI509" s="1" t="s">
        <v>74</v>
      </c>
      <c r="BJ509" s="1" t="s">
        <v>74</v>
      </c>
      <c r="BK509" s="1" t="s">
        <v>74</v>
      </c>
      <c r="BL509" s="1" t="s">
        <v>74</v>
      </c>
      <c r="BM509" s="1" t="s">
        <v>74</v>
      </c>
      <c r="BN509" s="1" t="s">
        <v>74</v>
      </c>
      <c r="BO509" s="1" t="s">
        <v>74</v>
      </c>
      <c r="BP509" s="1" t="s">
        <v>74</v>
      </c>
      <c r="BQ509" s="1" t="s">
        <v>74</v>
      </c>
      <c r="BR509" s="1" t="s">
        <v>74</v>
      </c>
      <c r="BS509" s="1" t="s">
        <v>4406</v>
      </c>
      <c r="BT509" s="1" t="str">
        <f>HYPERLINK("https%3A%2F%2Fwww.webofscience.com%2Fwos%2Fwoscc%2Ffull-record%2FWOS:001067748900001","View Full Record in Web of Science")</f>
        <v>View Full Record in Web of Science</v>
      </c>
    </row>
    <row r="510" ht="12.75" customHeight="1">
      <c r="A510" s="1" t="s">
        <v>72</v>
      </c>
      <c r="B510" s="1" t="s">
        <v>4407</v>
      </c>
      <c r="C510" s="1" t="s">
        <v>74</v>
      </c>
      <c r="D510" s="1" t="s">
        <v>74</v>
      </c>
      <c r="E510" s="1" t="s">
        <v>74</v>
      </c>
      <c r="F510" s="1" t="s">
        <v>4408</v>
      </c>
      <c r="G510" s="1" t="s">
        <v>74</v>
      </c>
      <c r="H510" s="1" t="s">
        <v>74</v>
      </c>
      <c r="I510" s="1" t="s">
        <v>4409</v>
      </c>
      <c r="J510" s="1" t="s">
        <v>4410</v>
      </c>
      <c r="K510" s="1" t="s">
        <v>74</v>
      </c>
      <c r="L510" s="1" t="s">
        <v>74</v>
      </c>
      <c r="M510" s="1" t="s">
        <v>74</v>
      </c>
      <c r="N510" s="1" t="s">
        <v>74</v>
      </c>
      <c r="O510" s="1" t="s">
        <v>74</v>
      </c>
      <c r="P510" s="1" t="s">
        <v>74</v>
      </c>
      <c r="Q510" s="1" t="s">
        <v>74</v>
      </c>
      <c r="R510" s="1" t="s">
        <v>74</v>
      </c>
      <c r="S510" s="1" t="s">
        <v>74</v>
      </c>
      <c r="T510" s="1" t="s">
        <v>74</v>
      </c>
      <c r="U510" s="1" t="s">
        <v>74</v>
      </c>
      <c r="V510" s="1" t="s">
        <v>4411</v>
      </c>
      <c r="W510" s="1" t="s">
        <v>74</v>
      </c>
      <c r="X510" s="1" t="s">
        <v>74</v>
      </c>
      <c r="Y510" s="1" t="s">
        <v>74</v>
      </c>
      <c r="Z510" s="1" t="s">
        <v>74</v>
      </c>
      <c r="AA510" s="1" t="s">
        <v>4412</v>
      </c>
      <c r="AB510" s="1" t="s">
        <v>4413</v>
      </c>
      <c r="AC510" s="1" t="s">
        <v>74</v>
      </c>
      <c r="AD510" s="1" t="s">
        <v>74</v>
      </c>
      <c r="AE510" s="1" t="s">
        <v>74</v>
      </c>
      <c r="AF510" s="1" t="s">
        <v>74</v>
      </c>
      <c r="AG510" s="1" t="s">
        <v>74</v>
      </c>
      <c r="AH510" s="1" t="s">
        <v>74</v>
      </c>
      <c r="AI510" s="1" t="s">
        <v>74</v>
      </c>
      <c r="AJ510" s="1" t="s">
        <v>74</v>
      </c>
      <c r="AK510" s="1" t="s">
        <v>74</v>
      </c>
      <c r="AL510" s="1" t="s">
        <v>74</v>
      </c>
      <c r="AM510" s="1" t="s">
        <v>74</v>
      </c>
      <c r="AN510" s="1" t="s">
        <v>74</v>
      </c>
      <c r="AO510" s="1" t="s">
        <v>4414</v>
      </c>
      <c r="AP510" s="1" t="s">
        <v>74</v>
      </c>
      <c r="AQ510" s="1" t="s">
        <v>74</v>
      </c>
      <c r="AR510" s="1" t="s">
        <v>74</v>
      </c>
      <c r="AS510" s="1" t="s">
        <v>74</v>
      </c>
      <c r="AT510" s="1" t="s">
        <v>4415</v>
      </c>
      <c r="AU510" s="1">
        <v>2022.0</v>
      </c>
      <c r="AV510" s="1">
        <v>9.0</v>
      </c>
      <c r="AW510" s="1" t="s">
        <v>74</v>
      </c>
      <c r="AX510" s="1" t="s">
        <v>74</v>
      </c>
      <c r="AY510" s="1" t="s">
        <v>74</v>
      </c>
      <c r="AZ510" s="1" t="s">
        <v>74</v>
      </c>
      <c r="BA510" s="1" t="s">
        <v>74</v>
      </c>
      <c r="BB510" s="1" t="s">
        <v>74</v>
      </c>
      <c r="BC510" s="1" t="s">
        <v>74</v>
      </c>
      <c r="BD510" s="1">
        <v>794604.0</v>
      </c>
      <c r="BE510" s="1" t="s">
        <v>4416</v>
      </c>
      <c r="BF510" s="2" t="str">
        <f>HYPERLINK("http://dx.doi.org/10.3389/fenrg.2021.794604","http://dx.doi.org/10.3389/fenrg.2021.794604")</f>
        <v>http://dx.doi.org/10.3389/fenrg.2021.794604</v>
      </c>
      <c r="BG510" s="1" t="s">
        <v>74</v>
      </c>
      <c r="BH510" s="1" t="s">
        <v>74</v>
      </c>
      <c r="BI510" s="1" t="s">
        <v>74</v>
      </c>
      <c r="BJ510" s="1" t="s">
        <v>74</v>
      </c>
      <c r="BK510" s="1" t="s">
        <v>74</v>
      </c>
      <c r="BL510" s="1" t="s">
        <v>74</v>
      </c>
      <c r="BM510" s="1" t="s">
        <v>74</v>
      </c>
      <c r="BN510" s="1" t="s">
        <v>74</v>
      </c>
      <c r="BO510" s="1" t="s">
        <v>74</v>
      </c>
      <c r="BP510" s="1" t="s">
        <v>74</v>
      </c>
      <c r="BQ510" s="1" t="s">
        <v>74</v>
      </c>
      <c r="BR510" s="1" t="s">
        <v>74</v>
      </c>
      <c r="BS510" s="1" t="s">
        <v>4417</v>
      </c>
      <c r="BT510" s="1" t="str">
        <f>HYPERLINK("https%3A%2F%2Fwww.webofscience.com%2Fwos%2Fwoscc%2Ffull-record%2FWOS:000748047600001","View Full Record in Web of Science")</f>
        <v>View Full Record in Web of Science</v>
      </c>
    </row>
    <row r="511" ht="12.75" customHeight="1">
      <c r="A511" s="1" t="s">
        <v>72</v>
      </c>
      <c r="B511" s="1" t="s">
        <v>4418</v>
      </c>
      <c r="C511" s="1" t="s">
        <v>74</v>
      </c>
      <c r="D511" s="1" t="s">
        <v>74</v>
      </c>
      <c r="E511" s="1" t="s">
        <v>74</v>
      </c>
      <c r="F511" s="1" t="s">
        <v>4419</v>
      </c>
      <c r="G511" s="1" t="s">
        <v>74</v>
      </c>
      <c r="H511" s="1" t="s">
        <v>74</v>
      </c>
      <c r="I511" s="1" t="s">
        <v>4420</v>
      </c>
      <c r="J511" s="1" t="s">
        <v>4421</v>
      </c>
      <c r="K511" s="1" t="s">
        <v>74</v>
      </c>
      <c r="L511" s="1" t="s">
        <v>74</v>
      </c>
      <c r="M511" s="1" t="s">
        <v>74</v>
      </c>
      <c r="N511" s="1" t="s">
        <v>74</v>
      </c>
      <c r="O511" s="1" t="s">
        <v>74</v>
      </c>
      <c r="P511" s="1" t="s">
        <v>74</v>
      </c>
      <c r="Q511" s="1" t="s">
        <v>74</v>
      </c>
      <c r="R511" s="1" t="s">
        <v>74</v>
      </c>
      <c r="S511" s="1" t="s">
        <v>74</v>
      </c>
      <c r="T511" s="1" t="s">
        <v>74</v>
      </c>
      <c r="U511" s="1" t="s">
        <v>74</v>
      </c>
      <c r="V511" s="1" t="s">
        <v>4422</v>
      </c>
      <c r="W511" s="1" t="s">
        <v>74</v>
      </c>
      <c r="X511" s="1" t="s">
        <v>74</v>
      </c>
      <c r="Y511" s="1" t="s">
        <v>74</v>
      </c>
      <c r="Z511" s="1" t="s">
        <v>74</v>
      </c>
      <c r="AA511" s="1" t="s">
        <v>74</v>
      </c>
      <c r="AB511" s="1" t="s">
        <v>74</v>
      </c>
      <c r="AC511" s="1" t="s">
        <v>74</v>
      </c>
      <c r="AD511" s="1" t="s">
        <v>74</v>
      </c>
      <c r="AE511" s="1" t="s">
        <v>74</v>
      </c>
      <c r="AF511" s="1" t="s">
        <v>74</v>
      </c>
      <c r="AG511" s="1" t="s">
        <v>74</v>
      </c>
      <c r="AH511" s="1" t="s">
        <v>74</v>
      </c>
      <c r="AI511" s="1" t="s">
        <v>74</v>
      </c>
      <c r="AJ511" s="1" t="s">
        <v>74</v>
      </c>
      <c r="AK511" s="1" t="s">
        <v>74</v>
      </c>
      <c r="AL511" s="1" t="s">
        <v>74</v>
      </c>
      <c r="AM511" s="1" t="s">
        <v>74</v>
      </c>
      <c r="AN511" s="1" t="s">
        <v>74</v>
      </c>
      <c r="AO511" s="1" t="s">
        <v>4423</v>
      </c>
      <c r="AP511" s="1" t="s">
        <v>74</v>
      </c>
      <c r="AQ511" s="1" t="s">
        <v>74</v>
      </c>
      <c r="AR511" s="1" t="s">
        <v>74</v>
      </c>
      <c r="AS511" s="1" t="s">
        <v>74</v>
      </c>
      <c r="AT511" s="1" t="s">
        <v>74</v>
      </c>
      <c r="AU511" s="1">
        <v>2022.0</v>
      </c>
      <c r="AV511" s="1" t="s">
        <v>74</v>
      </c>
      <c r="AW511" s="1">
        <v>68.0</v>
      </c>
      <c r="AX511" s="1" t="s">
        <v>74</v>
      </c>
      <c r="AY511" s="1" t="s">
        <v>74</v>
      </c>
      <c r="AZ511" s="1" t="s">
        <v>74</v>
      </c>
      <c r="BA511" s="1" t="s">
        <v>74</v>
      </c>
      <c r="BB511" s="1" t="s">
        <v>74</v>
      </c>
      <c r="BC511" s="1" t="s">
        <v>74</v>
      </c>
      <c r="BD511" s="1" t="s">
        <v>4424</v>
      </c>
      <c r="BE511" s="1" t="s">
        <v>4425</v>
      </c>
      <c r="BF511" s="2" t="str">
        <f>HYPERLINK("http://dx.doi.org/10.22199/issn.0718-1043-2022-0014","http://dx.doi.org/10.22199/issn.0718-1043-2022-0014")</f>
        <v>http://dx.doi.org/10.22199/issn.0718-1043-2022-0014</v>
      </c>
      <c r="BG511" s="1" t="s">
        <v>74</v>
      </c>
      <c r="BH511" s="1" t="s">
        <v>74</v>
      </c>
      <c r="BI511" s="1" t="s">
        <v>74</v>
      </c>
      <c r="BJ511" s="1" t="s">
        <v>74</v>
      </c>
      <c r="BK511" s="1" t="s">
        <v>74</v>
      </c>
      <c r="BL511" s="1" t="s">
        <v>74</v>
      </c>
      <c r="BM511" s="1" t="s">
        <v>74</v>
      </c>
      <c r="BN511" s="1" t="s">
        <v>74</v>
      </c>
      <c r="BO511" s="1" t="s">
        <v>74</v>
      </c>
      <c r="BP511" s="1" t="s">
        <v>74</v>
      </c>
      <c r="BQ511" s="1" t="s">
        <v>74</v>
      </c>
      <c r="BR511" s="1" t="s">
        <v>74</v>
      </c>
      <c r="BS511" s="1" t="s">
        <v>4426</v>
      </c>
      <c r="BT511" s="1" t="str">
        <f>HYPERLINK("https%3A%2F%2Fwww.webofscience.com%2Fwos%2Fwoscc%2Ffull-record%2FWOS:000879860600001","View Full Record in Web of Science")</f>
        <v>View Full Record in Web of Science</v>
      </c>
    </row>
    <row r="512" ht="12.75" customHeight="1">
      <c r="A512" s="1" t="s">
        <v>91</v>
      </c>
      <c r="B512" s="1" t="s">
        <v>4427</v>
      </c>
      <c r="C512" s="1" t="s">
        <v>74</v>
      </c>
      <c r="D512" s="1" t="s">
        <v>74</v>
      </c>
      <c r="E512" s="1" t="s">
        <v>442</v>
      </c>
      <c r="F512" s="1" t="s">
        <v>4428</v>
      </c>
      <c r="G512" s="1" t="s">
        <v>74</v>
      </c>
      <c r="H512" s="1" t="s">
        <v>74</v>
      </c>
      <c r="I512" s="1" t="s">
        <v>4429</v>
      </c>
      <c r="J512" s="1" t="s">
        <v>4430</v>
      </c>
      <c r="K512" s="1" t="s">
        <v>74</v>
      </c>
      <c r="L512" s="1" t="s">
        <v>74</v>
      </c>
      <c r="M512" s="1" t="s">
        <v>74</v>
      </c>
      <c r="N512" s="1" t="s">
        <v>74</v>
      </c>
      <c r="O512" s="1" t="s">
        <v>4431</v>
      </c>
      <c r="P512" s="1" t="s">
        <v>4432</v>
      </c>
      <c r="Q512" s="1" t="s">
        <v>4433</v>
      </c>
      <c r="R512" s="1" t="s">
        <v>74</v>
      </c>
      <c r="S512" s="1" t="s">
        <v>74</v>
      </c>
      <c r="T512" s="1" t="s">
        <v>74</v>
      </c>
      <c r="U512" s="1" t="s">
        <v>74</v>
      </c>
      <c r="V512" s="1" t="s">
        <v>4434</v>
      </c>
      <c r="W512" s="1" t="s">
        <v>74</v>
      </c>
      <c r="X512" s="1" t="s">
        <v>74</v>
      </c>
      <c r="Y512" s="1" t="s">
        <v>74</v>
      </c>
      <c r="Z512" s="1" t="s">
        <v>74</v>
      </c>
      <c r="AA512" s="1" t="s">
        <v>4435</v>
      </c>
      <c r="AB512" s="1" t="s">
        <v>4436</v>
      </c>
      <c r="AC512" s="1" t="s">
        <v>74</v>
      </c>
      <c r="AD512" s="1" t="s">
        <v>74</v>
      </c>
      <c r="AE512" s="1" t="s">
        <v>74</v>
      </c>
      <c r="AF512" s="1" t="s">
        <v>74</v>
      </c>
      <c r="AG512" s="1" t="s">
        <v>74</v>
      </c>
      <c r="AH512" s="1" t="s">
        <v>74</v>
      </c>
      <c r="AI512" s="1" t="s">
        <v>74</v>
      </c>
      <c r="AJ512" s="1" t="s">
        <v>74</v>
      </c>
      <c r="AK512" s="1" t="s">
        <v>74</v>
      </c>
      <c r="AL512" s="1" t="s">
        <v>74</v>
      </c>
      <c r="AM512" s="1" t="s">
        <v>74</v>
      </c>
      <c r="AN512" s="1" t="s">
        <v>74</v>
      </c>
      <c r="AO512" s="1" t="s">
        <v>74</v>
      </c>
      <c r="AP512" s="1" t="s">
        <v>74</v>
      </c>
      <c r="AQ512" s="1" t="s">
        <v>4437</v>
      </c>
      <c r="AR512" s="1" t="s">
        <v>74</v>
      </c>
      <c r="AS512" s="1" t="s">
        <v>74</v>
      </c>
      <c r="AT512" s="1" t="s">
        <v>74</v>
      </c>
      <c r="AU512" s="1">
        <v>2022.0</v>
      </c>
      <c r="AV512" s="1" t="s">
        <v>74</v>
      </c>
      <c r="AW512" s="1" t="s">
        <v>74</v>
      </c>
      <c r="AX512" s="1" t="s">
        <v>74</v>
      </c>
      <c r="AY512" s="1" t="s">
        <v>74</v>
      </c>
      <c r="AZ512" s="1" t="s">
        <v>74</v>
      </c>
      <c r="BA512" s="1" t="s">
        <v>74</v>
      </c>
      <c r="BB512" s="1">
        <v>395.0</v>
      </c>
      <c r="BC512" s="1">
        <v>400.0</v>
      </c>
      <c r="BD512" s="1" t="s">
        <v>74</v>
      </c>
      <c r="BE512" s="1" t="s">
        <v>4438</v>
      </c>
      <c r="BF512" s="2" t="str">
        <f>HYPERLINK("http://dx.doi.org/10.1109/CSNDSP54353.2022.9907995","http://dx.doi.org/10.1109/CSNDSP54353.2022.9907995")</f>
        <v>http://dx.doi.org/10.1109/CSNDSP54353.2022.9907995</v>
      </c>
      <c r="BG512" s="1" t="s">
        <v>74</v>
      </c>
      <c r="BH512" s="1" t="s">
        <v>74</v>
      </c>
      <c r="BI512" s="1" t="s">
        <v>74</v>
      </c>
      <c r="BJ512" s="1" t="s">
        <v>74</v>
      </c>
      <c r="BK512" s="1" t="s">
        <v>74</v>
      </c>
      <c r="BL512" s="1" t="s">
        <v>74</v>
      </c>
      <c r="BM512" s="1" t="s">
        <v>74</v>
      </c>
      <c r="BN512" s="1" t="s">
        <v>74</v>
      </c>
      <c r="BO512" s="1" t="s">
        <v>74</v>
      </c>
      <c r="BP512" s="1" t="s">
        <v>74</v>
      </c>
      <c r="BQ512" s="1" t="s">
        <v>74</v>
      </c>
      <c r="BR512" s="1" t="s">
        <v>74</v>
      </c>
      <c r="BS512" s="1" t="s">
        <v>4439</v>
      </c>
      <c r="BT512" s="1" t="str">
        <f>HYPERLINK("https%3A%2F%2Fwww.webofscience.com%2Fwos%2Fwoscc%2Ffull-record%2FWOS:001331792600074","View Full Record in Web of Science")</f>
        <v>View Full Record in Web of Science</v>
      </c>
    </row>
    <row r="513" ht="12.75" customHeight="1">
      <c r="A513" s="1" t="s">
        <v>72</v>
      </c>
      <c r="B513" s="1" t="s">
        <v>4440</v>
      </c>
      <c r="C513" s="1" t="s">
        <v>74</v>
      </c>
      <c r="D513" s="1" t="s">
        <v>74</v>
      </c>
      <c r="E513" s="1" t="s">
        <v>74</v>
      </c>
      <c r="F513" s="1" t="s">
        <v>4441</v>
      </c>
      <c r="G513" s="1" t="s">
        <v>74</v>
      </c>
      <c r="H513" s="1" t="s">
        <v>74</v>
      </c>
      <c r="I513" s="1" t="s">
        <v>4442</v>
      </c>
      <c r="J513" s="1" t="s">
        <v>4443</v>
      </c>
      <c r="K513" s="1" t="s">
        <v>74</v>
      </c>
      <c r="L513" s="1" t="s">
        <v>74</v>
      </c>
      <c r="M513" s="1" t="s">
        <v>74</v>
      </c>
      <c r="N513" s="1" t="s">
        <v>74</v>
      </c>
      <c r="O513" s="1" t="s">
        <v>74</v>
      </c>
      <c r="P513" s="1" t="s">
        <v>74</v>
      </c>
      <c r="Q513" s="1" t="s">
        <v>74</v>
      </c>
      <c r="R513" s="1" t="s">
        <v>74</v>
      </c>
      <c r="S513" s="1" t="s">
        <v>74</v>
      </c>
      <c r="T513" s="1" t="s">
        <v>74</v>
      </c>
      <c r="U513" s="1" t="s">
        <v>74</v>
      </c>
      <c r="V513" s="1" t="s">
        <v>4444</v>
      </c>
      <c r="W513" s="1" t="s">
        <v>74</v>
      </c>
      <c r="X513" s="1" t="s">
        <v>74</v>
      </c>
      <c r="Y513" s="1" t="s">
        <v>74</v>
      </c>
      <c r="Z513" s="1" t="s">
        <v>74</v>
      </c>
      <c r="AA513" s="1" t="s">
        <v>4445</v>
      </c>
      <c r="AB513" s="1" t="s">
        <v>4446</v>
      </c>
      <c r="AC513" s="1" t="s">
        <v>74</v>
      </c>
      <c r="AD513" s="1" t="s">
        <v>74</v>
      </c>
      <c r="AE513" s="1" t="s">
        <v>74</v>
      </c>
      <c r="AF513" s="1" t="s">
        <v>74</v>
      </c>
      <c r="AG513" s="1" t="s">
        <v>74</v>
      </c>
      <c r="AH513" s="1" t="s">
        <v>74</v>
      </c>
      <c r="AI513" s="1" t="s">
        <v>74</v>
      </c>
      <c r="AJ513" s="1" t="s">
        <v>74</v>
      </c>
      <c r="AK513" s="1" t="s">
        <v>74</v>
      </c>
      <c r="AL513" s="1" t="s">
        <v>74</v>
      </c>
      <c r="AM513" s="1" t="s">
        <v>74</v>
      </c>
      <c r="AN513" s="1" t="s">
        <v>74</v>
      </c>
      <c r="AO513" s="1" t="s">
        <v>4447</v>
      </c>
      <c r="AP513" s="1" t="s">
        <v>74</v>
      </c>
      <c r="AQ513" s="1" t="s">
        <v>74</v>
      </c>
      <c r="AR513" s="1" t="s">
        <v>74</v>
      </c>
      <c r="AS513" s="1" t="s">
        <v>74</v>
      </c>
      <c r="AT513" s="1" t="s">
        <v>180</v>
      </c>
      <c r="AU513" s="1">
        <v>2021.0</v>
      </c>
      <c r="AV513" s="1">
        <v>27.0</v>
      </c>
      <c r="AW513" s="1">
        <v>1.0</v>
      </c>
      <c r="AX513" s="1" t="s">
        <v>74</v>
      </c>
      <c r="AY513" s="1" t="s">
        <v>74</v>
      </c>
      <c r="AZ513" s="1" t="s">
        <v>74</v>
      </c>
      <c r="BA513" s="1" t="s">
        <v>74</v>
      </c>
      <c r="BB513" s="1">
        <v>119.0</v>
      </c>
      <c r="BC513" s="1">
        <v>126.0</v>
      </c>
      <c r="BD513" s="1" t="s">
        <v>74</v>
      </c>
      <c r="BE513" s="1" t="s">
        <v>74</v>
      </c>
      <c r="BF513" s="1" t="s">
        <v>74</v>
      </c>
      <c r="BG513" s="1" t="s">
        <v>74</v>
      </c>
      <c r="BH513" s="1" t="s">
        <v>74</v>
      </c>
      <c r="BI513" s="1" t="s">
        <v>74</v>
      </c>
      <c r="BJ513" s="1" t="s">
        <v>74</v>
      </c>
      <c r="BK513" s="1" t="s">
        <v>74</v>
      </c>
      <c r="BL513" s="1" t="s">
        <v>74</v>
      </c>
      <c r="BM513" s="1" t="s">
        <v>74</v>
      </c>
      <c r="BN513" s="1" t="s">
        <v>74</v>
      </c>
      <c r="BO513" s="1" t="s">
        <v>74</v>
      </c>
      <c r="BP513" s="1" t="s">
        <v>74</v>
      </c>
      <c r="BQ513" s="1" t="s">
        <v>74</v>
      </c>
      <c r="BR513" s="1" t="s">
        <v>74</v>
      </c>
      <c r="BS513" s="1" t="s">
        <v>4448</v>
      </c>
      <c r="BT513" s="1" t="str">
        <f>HYPERLINK("https%3A%2F%2Fwww.webofscience.com%2Fwos%2Fwoscc%2Ffull-record%2FWOS:000661299600012","View Full Record in Web of Science")</f>
        <v>View Full Record in Web of Science</v>
      </c>
    </row>
    <row r="514" ht="12.75" customHeight="1">
      <c r="A514" s="1" t="s">
        <v>72</v>
      </c>
      <c r="B514" s="1" t="s">
        <v>4449</v>
      </c>
      <c r="C514" s="1" t="s">
        <v>74</v>
      </c>
      <c r="D514" s="1" t="s">
        <v>74</v>
      </c>
      <c r="E514" s="1" t="s">
        <v>74</v>
      </c>
      <c r="F514" s="1" t="s">
        <v>4450</v>
      </c>
      <c r="G514" s="1" t="s">
        <v>74</v>
      </c>
      <c r="H514" s="1" t="s">
        <v>74</v>
      </c>
      <c r="I514" s="1" t="s">
        <v>4451</v>
      </c>
      <c r="J514" s="1" t="s">
        <v>4452</v>
      </c>
      <c r="K514" s="1" t="s">
        <v>74</v>
      </c>
      <c r="L514" s="1" t="s">
        <v>74</v>
      </c>
      <c r="M514" s="1" t="s">
        <v>74</v>
      </c>
      <c r="N514" s="1" t="s">
        <v>74</v>
      </c>
      <c r="O514" s="1" t="s">
        <v>74</v>
      </c>
      <c r="P514" s="1" t="s">
        <v>74</v>
      </c>
      <c r="Q514" s="1" t="s">
        <v>74</v>
      </c>
      <c r="R514" s="1" t="s">
        <v>74</v>
      </c>
      <c r="S514" s="1" t="s">
        <v>74</v>
      </c>
      <c r="T514" s="1" t="s">
        <v>74</v>
      </c>
      <c r="U514" s="1" t="s">
        <v>74</v>
      </c>
      <c r="V514" s="1" t="s">
        <v>4453</v>
      </c>
      <c r="W514" s="1" t="s">
        <v>74</v>
      </c>
      <c r="X514" s="1" t="s">
        <v>74</v>
      </c>
      <c r="Y514" s="1" t="s">
        <v>74</v>
      </c>
      <c r="Z514" s="1" t="s">
        <v>74</v>
      </c>
      <c r="AA514" s="1" t="s">
        <v>4454</v>
      </c>
      <c r="AB514" s="1" t="s">
        <v>4455</v>
      </c>
      <c r="AC514" s="1" t="s">
        <v>74</v>
      </c>
      <c r="AD514" s="1" t="s">
        <v>74</v>
      </c>
      <c r="AE514" s="1" t="s">
        <v>74</v>
      </c>
      <c r="AF514" s="1" t="s">
        <v>74</v>
      </c>
      <c r="AG514" s="1" t="s">
        <v>74</v>
      </c>
      <c r="AH514" s="1" t="s">
        <v>74</v>
      </c>
      <c r="AI514" s="1" t="s">
        <v>74</v>
      </c>
      <c r="AJ514" s="1" t="s">
        <v>74</v>
      </c>
      <c r="AK514" s="1" t="s">
        <v>74</v>
      </c>
      <c r="AL514" s="1" t="s">
        <v>74</v>
      </c>
      <c r="AM514" s="1" t="s">
        <v>74</v>
      </c>
      <c r="AN514" s="1" t="s">
        <v>74</v>
      </c>
      <c r="AO514" s="1" t="s">
        <v>4456</v>
      </c>
      <c r="AP514" s="1" t="s">
        <v>4457</v>
      </c>
      <c r="AQ514" s="1" t="s">
        <v>74</v>
      </c>
      <c r="AR514" s="1" t="s">
        <v>74</v>
      </c>
      <c r="AS514" s="1" t="s">
        <v>74</v>
      </c>
      <c r="AT514" s="1" t="s">
        <v>4458</v>
      </c>
      <c r="AU514" s="1">
        <v>2021.0</v>
      </c>
      <c r="AV514" s="1">
        <v>261.0</v>
      </c>
      <c r="AW514" s="1" t="s">
        <v>74</v>
      </c>
      <c r="AX514" s="1" t="s">
        <v>74</v>
      </c>
      <c r="AY514" s="1" t="s">
        <v>74</v>
      </c>
      <c r="AZ514" s="1" t="s">
        <v>74</v>
      </c>
      <c r="BA514" s="1" t="s">
        <v>74</v>
      </c>
      <c r="BB514" s="1" t="s">
        <v>74</v>
      </c>
      <c r="BC514" s="1" t="s">
        <v>74</v>
      </c>
      <c r="BD514" s="1">
        <v>117849.0</v>
      </c>
      <c r="BE514" s="1" t="s">
        <v>4459</v>
      </c>
      <c r="BF514" s="2" t="str">
        <f>HYPERLINK("http://dx.doi.org/10.1016/j.carbpol.2021.117849","http://dx.doi.org/10.1016/j.carbpol.2021.117849")</f>
        <v>http://dx.doi.org/10.1016/j.carbpol.2021.117849</v>
      </c>
      <c r="BG514" s="1" t="s">
        <v>74</v>
      </c>
      <c r="BH514" s="1" t="s">
        <v>4460</v>
      </c>
      <c r="BI514" s="1" t="s">
        <v>74</v>
      </c>
      <c r="BJ514" s="1" t="s">
        <v>74</v>
      </c>
      <c r="BK514" s="1" t="s">
        <v>74</v>
      </c>
      <c r="BL514" s="1" t="s">
        <v>74</v>
      </c>
      <c r="BM514" s="1" t="s">
        <v>74</v>
      </c>
      <c r="BN514" s="1">
        <v>3.3766345E7</v>
      </c>
      <c r="BO514" s="1" t="s">
        <v>74</v>
      </c>
      <c r="BP514" s="1" t="s">
        <v>74</v>
      </c>
      <c r="BQ514" s="1" t="s">
        <v>74</v>
      </c>
      <c r="BR514" s="1" t="s">
        <v>74</v>
      </c>
      <c r="BS514" s="1" t="s">
        <v>4461</v>
      </c>
      <c r="BT514" s="1" t="str">
        <f>HYPERLINK("https%3A%2F%2Fwww.webofscience.com%2Fwos%2Fwoscc%2Ffull-record%2FWOS:000634107300002","View Full Record in Web of Science")</f>
        <v>View Full Record in Web of Science</v>
      </c>
    </row>
    <row r="515" ht="12.75" customHeight="1">
      <c r="A515" s="1" t="s">
        <v>454</v>
      </c>
      <c r="B515" s="1" t="s">
        <v>2108</v>
      </c>
      <c r="C515" s="1" t="s">
        <v>2108</v>
      </c>
      <c r="D515" s="1" t="s">
        <v>74</v>
      </c>
      <c r="E515" s="1" t="s">
        <v>74</v>
      </c>
      <c r="F515" s="1" t="s">
        <v>2109</v>
      </c>
      <c r="G515" s="1" t="s">
        <v>2108</v>
      </c>
      <c r="H515" s="1" t="s">
        <v>74</v>
      </c>
      <c r="I515" s="1" t="s">
        <v>4462</v>
      </c>
      <c r="J515" s="1" t="s">
        <v>2111</v>
      </c>
      <c r="K515" s="1" t="s">
        <v>2112</v>
      </c>
      <c r="L515" s="1" t="s">
        <v>74</v>
      </c>
      <c r="M515" s="1" t="s">
        <v>74</v>
      </c>
      <c r="N515" s="1" t="s">
        <v>74</v>
      </c>
      <c r="O515" s="1" t="s">
        <v>74</v>
      </c>
      <c r="P515" s="1" t="s">
        <v>74</v>
      </c>
      <c r="Q515" s="1" t="s">
        <v>74</v>
      </c>
      <c r="R515" s="1" t="s">
        <v>74</v>
      </c>
      <c r="S515" s="1" t="s">
        <v>74</v>
      </c>
      <c r="T515" s="1" t="s">
        <v>74</v>
      </c>
      <c r="U515" s="1" t="s">
        <v>74</v>
      </c>
      <c r="V515" s="1" t="s">
        <v>74</v>
      </c>
      <c r="W515" s="1" t="s">
        <v>74</v>
      </c>
      <c r="X515" s="1" t="s">
        <v>74</v>
      </c>
      <c r="Y515" s="1" t="s">
        <v>74</v>
      </c>
      <c r="Z515" s="1" t="s">
        <v>74</v>
      </c>
      <c r="AA515" s="1" t="s">
        <v>74</v>
      </c>
      <c r="AB515" s="1" t="s">
        <v>74</v>
      </c>
      <c r="AC515" s="1" t="s">
        <v>74</v>
      </c>
      <c r="AD515" s="1" t="s">
        <v>74</v>
      </c>
      <c r="AE515" s="1" t="s">
        <v>74</v>
      </c>
      <c r="AF515" s="1" t="s">
        <v>74</v>
      </c>
      <c r="AG515" s="1" t="s">
        <v>74</v>
      </c>
      <c r="AH515" s="1" t="s">
        <v>74</v>
      </c>
      <c r="AI515" s="1" t="s">
        <v>74</v>
      </c>
      <c r="AJ515" s="1" t="s">
        <v>74</v>
      </c>
      <c r="AK515" s="1" t="s">
        <v>74</v>
      </c>
      <c r="AL515" s="1" t="s">
        <v>74</v>
      </c>
      <c r="AM515" s="1" t="s">
        <v>74</v>
      </c>
      <c r="AN515" s="1" t="s">
        <v>74</v>
      </c>
      <c r="AO515" s="1" t="s">
        <v>74</v>
      </c>
      <c r="AP515" s="1" t="s">
        <v>74</v>
      </c>
      <c r="AQ515" s="1" t="s">
        <v>2113</v>
      </c>
      <c r="AR515" s="1" t="s">
        <v>74</v>
      </c>
      <c r="AS515" s="1" t="s">
        <v>74</v>
      </c>
      <c r="AT515" s="1" t="s">
        <v>74</v>
      </c>
      <c r="AU515" s="1">
        <v>2021.0</v>
      </c>
      <c r="AV515" s="1" t="s">
        <v>74</v>
      </c>
      <c r="AW515" s="1" t="s">
        <v>74</v>
      </c>
      <c r="AX515" s="1" t="s">
        <v>74</v>
      </c>
      <c r="AY515" s="1" t="s">
        <v>74</v>
      </c>
      <c r="AZ515" s="1" t="s">
        <v>74</v>
      </c>
      <c r="BA515" s="1" t="s">
        <v>74</v>
      </c>
      <c r="BB515" s="1">
        <v>1.0</v>
      </c>
      <c r="BC515" s="1">
        <v>23.0</v>
      </c>
      <c r="BD515" s="1" t="s">
        <v>74</v>
      </c>
      <c r="BE515" s="1" t="s">
        <v>74</v>
      </c>
      <c r="BF515" s="1" t="s">
        <v>74</v>
      </c>
      <c r="BG515" s="1" t="s">
        <v>2114</v>
      </c>
      <c r="BH515" s="1" t="s">
        <v>74</v>
      </c>
      <c r="BI515" s="1" t="s">
        <v>74</v>
      </c>
      <c r="BJ515" s="1" t="s">
        <v>74</v>
      </c>
      <c r="BK515" s="1" t="s">
        <v>74</v>
      </c>
      <c r="BL515" s="1" t="s">
        <v>74</v>
      </c>
      <c r="BM515" s="1" t="s">
        <v>74</v>
      </c>
      <c r="BN515" s="1" t="s">
        <v>74</v>
      </c>
      <c r="BO515" s="1" t="s">
        <v>74</v>
      </c>
      <c r="BP515" s="1" t="s">
        <v>74</v>
      </c>
      <c r="BQ515" s="1" t="s">
        <v>74</v>
      </c>
      <c r="BR515" s="1" t="s">
        <v>74</v>
      </c>
      <c r="BS515" s="1" t="s">
        <v>4463</v>
      </c>
      <c r="BT515" s="1" t="str">
        <f>HYPERLINK("https%3A%2F%2Fwww.webofscience.com%2Fwos%2Fwoscc%2Ffull-record%2FWOS:000807304300001","View Full Record in Web of Science")</f>
        <v>View Full Record in Web of Science</v>
      </c>
    </row>
    <row r="516" ht="12.75" customHeight="1">
      <c r="A516" s="1" t="s">
        <v>454</v>
      </c>
      <c r="B516" s="1" t="s">
        <v>2108</v>
      </c>
      <c r="C516" s="1" t="s">
        <v>2108</v>
      </c>
      <c r="D516" s="1" t="s">
        <v>74</v>
      </c>
      <c r="E516" s="1" t="s">
        <v>74</v>
      </c>
      <c r="F516" s="1" t="s">
        <v>2109</v>
      </c>
      <c r="G516" s="1" t="s">
        <v>2108</v>
      </c>
      <c r="H516" s="1" t="s">
        <v>74</v>
      </c>
      <c r="I516" s="1" t="s">
        <v>4464</v>
      </c>
      <c r="J516" s="1" t="s">
        <v>2111</v>
      </c>
      <c r="K516" s="1" t="s">
        <v>2112</v>
      </c>
      <c r="L516" s="1" t="s">
        <v>74</v>
      </c>
      <c r="M516" s="1" t="s">
        <v>74</v>
      </c>
      <c r="N516" s="1" t="s">
        <v>74</v>
      </c>
      <c r="O516" s="1" t="s">
        <v>74</v>
      </c>
      <c r="P516" s="1" t="s">
        <v>74</v>
      </c>
      <c r="Q516" s="1" t="s">
        <v>74</v>
      </c>
      <c r="R516" s="1" t="s">
        <v>74</v>
      </c>
      <c r="S516" s="1" t="s">
        <v>74</v>
      </c>
      <c r="T516" s="1" t="s">
        <v>74</v>
      </c>
      <c r="U516" s="1" t="s">
        <v>74</v>
      </c>
      <c r="V516" s="1" t="s">
        <v>74</v>
      </c>
      <c r="W516" s="1" t="s">
        <v>74</v>
      </c>
      <c r="X516" s="1" t="s">
        <v>74</v>
      </c>
      <c r="Y516" s="1" t="s">
        <v>74</v>
      </c>
      <c r="Z516" s="1" t="s">
        <v>74</v>
      </c>
      <c r="AA516" s="1" t="s">
        <v>74</v>
      </c>
      <c r="AB516" s="1" t="s">
        <v>74</v>
      </c>
      <c r="AC516" s="1" t="s">
        <v>74</v>
      </c>
      <c r="AD516" s="1" t="s">
        <v>74</v>
      </c>
      <c r="AE516" s="1" t="s">
        <v>74</v>
      </c>
      <c r="AF516" s="1" t="s">
        <v>74</v>
      </c>
      <c r="AG516" s="1" t="s">
        <v>74</v>
      </c>
      <c r="AH516" s="1" t="s">
        <v>74</v>
      </c>
      <c r="AI516" s="1" t="s">
        <v>74</v>
      </c>
      <c r="AJ516" s="1" t="s">
        <v>74</v>
      </c>
      <c r="AK516" s="1" t="s">
        <v>74</v>
      </c>
      <c r="AL516" s="1" t="s">
        <v>74</v>
      </c>
      <c r="AM516" s="1" t="s">
        <v>74</v>
      </c>
      <c r="AN516" s="1" t="s">
        <v>74</v>
      </c>
      <c r="AO516" s="1" t="s">
        <v>74</v>
      </c>
      <c r="AP516" s="1" t="s">
        <v>74</v>
      </c>
      <c r="AQ516" s="1" t="s">
        <v>2113</v>
      </c>
      <c r="AR516" s="1" t="s">
        <v>74</v>
      </c>
      <c r="AS516" s="1" t="s">
        <v>74</v>
      </c>
      <c r="AT516" s="1" t="s">
        <v>74</v>
      </c>
      <c r="AU516" s="1">
        <v>2021.0</v>
      </c>
      <c r="AV516" s="1" t="s">
        <v>74</v>
      </c>
      <c r="AW516" s="1" t="s">
        <v>74</v>
      </c>
      <c r="AX516" s="1" t="s">
        <v>74</v>
      </c>
      <c r="AY516" s="1" t="s">
        <v>74</v>
      </c>
      <c r="AZ516" s="1" t="s">
        <v>74</v>
      </c>
      <c r="BA516" s="1" t="s">
        <v>74</v>
      </c>
      <c r="BB516" s="1">
        <v>57.0</v>
      </c>
      <c r="BC516" s="1">
        <v>85.0</v>
      </c>
      <c r="BD516" s="1" t="s">
        <v>74</v>
      </c>
      <c r="BE516" s="1" t="s">
        <v>74</v>
      </c>
      <c r="BF516" s="1" t="s">
        <v>74</v>
      </c>
      <c r="BG516" s="1" t="s">
        <v>2114</v>
      </c>
      <c r="BH516" s="1" t="s">
        <v>74</v>
      </c>
      <c r="BI516" s="1" t="s">
        <v>74</v>
      </c>
      <c r="BJ516" s="1" t="s">
        <v>74</v>
      </c>
      <c r="BK516" s="1" t="s">
        <v>74</v>
      </c>
      <c r="BL516" s="1" t="s">
        <v>74</v>
      </c>
      <c r="BM516" s="1" t="s">
        <v>74</v>
      </c>
      <c r="BN516" s="1" t="s">
        <v>74</v>
      </c>
      <c r="BO516" s="1" t="s">
        <v>74</v>
      </c>
      <c r="BP516" s="1" t="s">
        <v>74</v>
      </c>
      <c r="BQ516" s="1" t="s">
        <v>74</v>
      </c>
      <c r="BR516" s="1" t="s">
        <v>74</v>
      </c>
      <c r="BS516" s="1" t="s">
        <v>4465</v>
      </c>
      <c r="BT516" s="1" t="str">
        <f>HYPERLINK("https%3A%2F%2Fwww.webofscience.com%2Fwos%2Fwoscc%2Ffull-record%2FWOS:000807304300003","View Full Record in Web of Science")</f>
        <v>View Full Record in Web of Science</v>
      </c>
    </row>
    <row r="517" ht="12.75" customHeight="1">
      <c r="A517" s="1" t="s">
        <v>91</v>
      </c>
      <c r="B517" s="1" t="s">
        <v>4466</v>
      </c>
      <c r="C517" s="1" t="s">
        <v>74</v>
      </c>
      <c r="D517" s="1" t="s">
        <v>74</v>
      </c>
      <c r="E517" s="1" t="s">
        <v>442</v>
      </c>
      <c r="F517" s="1" t="s">
        <v>4467</v>
      </c>
      <c r="G517" s="1" t="s">
        <v>74</v>
      </c>
      <c r="H517" s="1" t="s">
        <v>74</v>
      </c>
      <c r="I517" s="1" t="s">
        <v>4468</v>
      </c>
      <c r="J517" s="1" t="s">
        <v>2874</v>
      </c>
      <c r="K517" s="1" t="s">
        <v>74</v>
      </c>
      <c r="L517" s="1" t="s">
        <v>74</v>
      </c>
      <c r="M517" s="1" t="s">
        <v>74</v>
      </c>
      <c r="N517" s="1" t="s">
        <v>74</v>
      </c>
      <c r="O517" s="1" t="s">
        <v>2875</v>
      </c>
      <c r="P517" s="1" t="s">
        <v>2876</v>
      </c>
      <c r="Q517" s="1" t="s">
        <v>448</v>
      </c>
      <c r="R517" s="1" t="s">
        <v>2877</v>
      </c>
      <c r="S517" s="1" t="s">
        <v>74</v>
      </c>
      <c r="T517" s="1" t="s">
        <v>74</v>
      </c>
      <c r="U517" s="1" t="s">
        <v>74</v>
      </c>
      <c r="V517" s="1" t="s">
        <v>4469</v>
      </c>
      <c r="W517" s="1" t="s">
        <v>74</v>
      </c>
      <c r="X517" s="1" t="s">
        <v>74</v>
      </c>
      <c r="Y517" s="1" t="s">
        <v>74</v>
      </c>
      <c r="Z517" s="1" t="s">
        <v>74</v>
      </c>
      <c r="AA517" s="1" t="s">
        <v>4470</v>
      </c>
      <c r="AB517" s="1" t="s">
        <v>74</v>
      </c>
      <c r="AC517" s="1" t="s">
        <v>74</v>
      </c>
      <c r="AD517" s="1" t="s">
        <v>74</v>
      </c>
      <c r="AE517" s="1" t="s">
        <v>74</v>
      </c>
      <c r="AF517" s="1" t="s">
        <v>74</v>
      </c>
      <c r="AG517" s="1" t="s">
        <v>74</v>
      </c>
      <c r="AH517" s="1" t="s">
        <v>74</v>
      </c>
      <c r="AI517" s="1" t="s">
        <v>74</v>
      </c>
      <c r="AJ517" s="1" t="s">
        <v>74</v>
      </c>
      <c r="AK517" s="1" t="s">
        <v>74</v>
      </c>
      <c r="AL517" s="1" t="s">
        <v>74</v>
      </c>
      <c r="AM517" s="1" t="s">
        <v>74</v>
      </c>
      <c r="AN517" s="1" t="s">
        <v>74</v>
      </c>
      <c r="AO517" s="1" t="s">
        <v>74</v>
      </c>
      <c r="AP517" s="1" t="s">
        <v>74</v>
      </c>
      <c r="AQ517" s="1" t="s">
        <v>2880</v>
      </c>
      <c r="AR517" s="1" t="s">
        <v>74</v>
      </c>
      <c r="AS517" s="1" t="s">
        <v>74</v>
      </c>
      <c r="AT517" s="1" t="s">
        <v>74</v>
      </c>
      <c r="AU517" s="1">
        <v>2021.0</v>
      </c>
      <c r="AV517" s="1" t="s">
        <v>74</v>
      </c>
      <c r="AW517" s="1" t="s">
        <v>74</v>
      </c>
      <c r="AX517" s="1" t="s">
        <v>74</v>
      </c>
      <c r="AY517" s="1" t="s">
        <v>74</v>
      </c>
      <c r="AZ517" s="1" t="s">
        <v>74</v>
      </c>
      <c r="BA517" s="1" t="s">
        <v>74</v>
      </c>
      <c r="BB517" s="1">
        <v>547.0</v>
      </c>
      <c r="BC517" s="1">
        <v>552.0</v>
      </c>
      <c r="BD517" s="1" t="s">
        <v>74</v>
      </c>
      <c r="BE517" s="1" t="s">
        <v>4471</v>
      </c>
      <c r="BF517" s="2" t="str">
        <f>HYPERLINK("http://dx.doi.org/10.1109/CHILECON54041.2021.9703058","http://dx.doi.org/10.1109/CHILECON54041.2021.9703058")</f>
        <v>http://dx.doi.org/10.1109/CHILECON54041.2021.9703058</v>
      </c>
      <c r="BG517" s="1" t="s">
        <v>74</v>
      </c>
      <c r="BH517" s="1" t="s">
        <v>74</v>
      </c>
      <c r="BI517" s="1" t="s">
        <v>74</v>
      </c>
      <c r="BJ517" s="1" t="s">
        <v>74</v>
      </c>
      <c r="BK517" s="1" t="s">
        <v>74</v>
      </c>
      <c r="BL517" s="1" t="s">
        <v>74</v>
      </c>
      <c r="BM517" s="1" t="s">
        <v>74</v>
      </c>
      <c r="BN517" s="1" t="s">
        <v>74</v>
      </c>
      <c r="BO517" s="1" t="s">
        <v>74</v>
      </c>
      <c r="BP517" s="1" t="s">
        <v>74</v>
      </c>
      <c r="BQ517" s="1" t="s">
        <v>74</v>
      </c>
      <c r="BR517" s="1" t="s">
        <v>74</v>
      </c>
      <c r="BS517" s="1" t="s">
        <v>4472</v>
      </c>
      <c r="BT517" s="1" t="str">
        <f>HYPERLINK("https%3A%2F%2Fwww.webofscience.com%2Fwos%2Fwoscc%2Ffull-record%2FWOS:000788072700089","View Full Record in Web of Science")</f>
        <v>View Full Record in Web of Science</v>
      </c>
    </row>
    <row r="518" ht="12.75" customHeight="1">
      <c r="A518" s="1" t="s">
        <v>91</v>
      </c>
      <c r="B518" s="1" t="s">
        <v>4473</v>
      </c>
      <c r="C518" s="1" t="s">
        <v>74</v>
      </c>
      <c r="D518" s="1" t="s">
        <v>74</v>
      </c>
      <c r="E518" s="1" t="s">
        <v>442</v>
      </c>
      <c r="F518" s="1" t="s">
        <v>4474</v>
      </c>
      <c r="G518" s="1" t="s">
        <v>74</v>
      </c>
      <c r="H518" s="1" t="s">
        <v>74</v>
      </c>
      <c r="I518" s="1" t="s">
        <v>4475</v>
      </c>
      <c r="J518" s="1" t="s">
        <v>2874</v>
      </c>
      <c r="K518" s="1" t="s">
        <v>74</v>
      </c>
      <c r="L518" s="1" t="s">
        <v>74</v>
      </c>
      <c r="M518" s="1" t="s">
        <v>74</v>
      </c>
      <c r="N518" s="1" t="s">
        <v>74</v>
      </c>
      <c r="O518" s="1" t="s">
        <v>2875</v>
      </c>
      <c r="P518" s="1" t="s">
        <v>2876</v>
      </c>
      <c r="Q518" s="1" t="s">
        <v>448</v>
      </c>
      <c r="R518" s="1" t="s">
        <v>2877</v>
      </c>
      <c r="S518" s="1" t="s">
        <v>74</v>
      </c>
      <c r="T518" s="1" t="s">
        <v>74</v>
      </c>
      <c r="U518" s="1" t="s">
        <v>74</v>
      </c>
      <c r="V518" s="1" t="s">
        <v>4476</v>
      </c>
      <c r="W518" s="1" t="s">
        <v>74</v>
      </c>
      <c r="X518" s="1" t="s">
        <v>74</v>
      </c>
      <c r="Y518" s="1" t="s">
        <v>74</v>
      </c>
      <c r="Z518" s="1" t="s">
        <v>74</v>
      </c>
      <c r="AA518" s="1" t="s">
        <v>4477</v>
      </c>
      <c r="AB518" s="1" t="s">
        <v>4478</v>
      </c>
      <c r="AC518" s="1" t="s">
        <v>74</v>
      </c>
      <c r="AD518" s="1" t="s">
        <v>74</v>
      </c>
      <c r="AE518" s="1" t="s">
        <v>74</v>
      </c>
      <c r="AF518" s="1" t="s">
        <v>74</v>
      </c>
      <c r="AG518" s="1" t="s">
        <v>74</v>
      </c>
      <c r="AH518" s="1" t="s">
        <v>74</v>
      </c>
      <c r="AI518" s="1" t="s">
        <v>74</v>
      </c>
      <c r="AJ518" s="1" t="s">
        <v>74</v>
      </c>
      <c r="AK518" s="1" t="s">
        <v>74</v>
      </c>
      <c r="AL518" s="1" t="s">
        <v>74</v>
      </c>
      <c r="AM518" s="1" t="s">
        <v>74</v>
      </c>
      <c r="AN518" s="1" t="s">
        <v>74</v>
      </c>
      <c r="AO518" s="1" t="s">
        <v>74</v>
      </c>
      <c r="AP518" s="1" t="s">
        <v>74</v>
      </c>
      <c r="AQ518" s="1" t="s">
        <v>2880</v>
      </c>
      <c r="AR518" s="1" t="s">
        <v>74</v>
      </c>
      <c r="AS518" s="1" t="s">
        <v>74</v>
      </c>
      <c r="AT518" s="1" t="s">
        <v>74</v>
      </c>
      <c r="AU518" s="1">
        <v>2021.0</v>
      </c>
      <c r="AV518" s="1" t="s">
        <v>74</v>
      </c>
      <c r="AW518" s="1" t="s">
        <v>74</v>
      </c>
      <c r="AX518" s="1" t="s">
        <v>74</v>
      </c>
      <c r="AY518" s="1" t="s">
        <v>74</v>
      </c>
      <c r="AZ518" s="1" t="s">
        <v>74</v>
      </c>
      <c r="BA518" s="1" t="s">
        <v>74</v>
      </c>
      <c r="BB518" s="1">
        <v>220.0</v>
      </c>
      <c r="BC518" s="1">
        <v>225.0</v>
      </c>
      <c r="BD518" s="1" t="s">
        <v>74</v>
      </c>
      <c r="BE518" s="1" t="s">
        <v>4479</v>
      </c>
      <c r="BF518" s="2" t="str">
        <f>HYPERLINK("http://dx.doi.org/10.1109/CHILECON54041.2021.9702977","http://dx.doi.org/10.1109/CHILECON54041.2021.9702977")</f>
        <v>http://dx.doi.org/10.1109/CHILECON54041.2021.9702977</v>
      </c>
      <c r="BG518" s="1" t="s">
        <v>74</v>
      </c>
      <c r="BH518" s="1" t="s">
        <v>74</v>
      </c>
      <c r="BI518" s="1" t="s">
        <v>74</v>
      </c>
      <c r="BJ518" s="1" t="s">
        <v>74</v>
      </c>
      <c r="BK518" s="1" t="s">
        <v>74</v>
      </c>
      <c r="BL518" s="1" t="s">
        <v>74</v>
      </c>
      <c r="BM518" s="1" t="s">
        <v>74</v>
      </c>
      <c r="BN518" s="1" t="s">
        <v>74</v>
      </c>
      <c r="BO518" s="1" t="s">
        <v>74</v>
      </c>
      <c r="BP518" s="1" t="s">
        <v>74</v>
      </c>
      <c r="BQ518" s="1" t="s">
        <v>74</v>
      </c>
      <c r="BR518" s="1" t="s">
        <v>74</v>
      </c>
      <c r="BS518" s="1" t="s">
        <v>4480</v>
      </c>
      <c r="BT518" s="1" t="str">
        <f>HYPERLINK("https%3A%2F%2Fwww.webofscience.com%2Fwos%2Fwoscc%2Ffull-record%2FWOS:000788072700038","View Full Record in Web of Science")</f>
        <v>View Full Record in Web of Science</v>
      </c>
    </row>
    <row r="519" ht="12.75" customHeight="1">
      <c r="A519" s="1" t="s">
        <v>72</v>
      </c>
      <c r="B519" s="1" t="s">
        <v>4481</v>
      </c>
      <c r="C519" s="1" t="s">
        <v>74</v>
      </c>
      <c r="D519" s="1" t="s">
        <v>74</v>
      </c>
      <c r="E519" s="1" t="s">
        <v>74</v>
      </c>
      <c r="F519" s="1" t="s">
        <v>4482</v>
      </c>
      <c r="G519" s="1" t="s">
        <v>74</v>
      </c>
      <c r="H519" s="1" t="s">
        <v>74</v>
      </c>
      <c r="I519" s="1" t="s">
        <v>4483</v>
      </c>
      <c r="J519" s="1" t="s">
        <v>4484</v>
      </c>
      <c r="K519" s="1" t="s">
        <v>74</v>
      </c>
      <c r="L519" s="1" t="s">
        <v>74</v>
      </c>
      <c r="M519" s="1" t="s">
        <v>74</v>
      </c>
      <c r="N519" s="1" t="s">
        <v>74</v>
      </c>
      <c r="O519" s="1" t="s">
        <v>74</v>
      </c>
      <c r="P519" s="1" t="s">
        <v>74</v>
      </c>
      <c r="Q519" s="1" t="s">
        <v>74</v>
      </c>
      <c r="R519" s="1" t="s">
        <v>74</v>
      </c>
      <c r="S519" s="1" t="s">
        <v>74</v>
      </c>
      <c r="T519" s="1" t="s">
        <v>74</v>
      </c>
      <c r="U519" s="1" t="s">
        <v>74</v>
      </c>
      <c r="V519" s="1" t="s">
        <v>4485</v>
      </c>
      <c r="W519" s="1" t="s">
        <v>74</v>
      </c>
      <c r="X519" s="1" t="s">
        <v>74</v>
      </c>
      <c r="Y519" s="1" t="s">
        <v>74</v>
      </c>
      <c r="Z519" s="1" t="s">
        <v>74</v>
      </c>
      <c r="AA519" s="1" t="s">
        <v>4486</v>
      </c>
      <c r="AB519" s="1" t="s">
        <v>4487</v>
      </c>
      <c r="AC519" s="1" t="s">
        <v>74</v>
      </c>
      <c r="AD519" s="1" t="s">
        <v>74</v>
      </c>
      <c r="AE519" s="1" t="s">
        <v>74</v>
      </c>
      <c r="AF519" s="1" t="s">
        <v>74</v>
      </c>
      <c r="AG519" s="1" t="s">
        <v>74</v>
      </c>
      <c r="AH519" s="1" t="s">
        <v>74</v>
      </c>
      <c r="AI519" s="1" t="s">
        <v>74</v>
      </c>
      <c r="AJ519" s="1" t="s">
        <v>74</v>
      </c>
      <c r="AK519" s="1" t="s">
        <v>74</v>
      </c>
      <c r="AL519" s="1" t="s">
        <v>74</v>
      </c>
      <c r="AM519" s="1" t="s">
        <v>74</v>
      </c>
      <c r="AN519" s="1" t="s">
        <v>74</v>
      </c>
      <c r="AO519" s="1" t="s">
        <v>74</v>
      </c>
      <c r="AP519" s="1" t="s">
        <v>4488</v>
      </c>
      <c r="AQ519" s="1" t="s">
        <v>74</v>
      </c>
      <c r="AR519" s="1" t="s">
        <v>74</v>
      </c>
      <c r="AS519" s="1" t="s">
        <v>74</v>
      </c>
      <c r="AT519" s="1" t="s">
        <v>276</v>
      </c>
      <c r="AU519" s="1">
        <v>2020.0</v>
      </c>
      <c r="AV519" s="1">
        <v>17.0</v>
      </c>
      <c r="AW519" s="1" t="s">
        <v>74</v>
      </c>
      <c r="AX519" s="1" t="s">
        <v>74</v>
      </c>
      <c r="AY519" s="1" t="s">
        <v>74</v>
      </c>
      <c r="AZ519" s="1" t="s">
        <v>74</v>
      </c>
      <c r="BA519" s="1" t="s">
        <v>74</v>
      </c>
      <c r="BB519" s="1" t="s">
        <v>74</v>
      </c>
      <c r="BC519" s="1" t="s">
        <v>74</v>
      </c>
      <c r="BD519" s="1">
        <v>100285.0</v>
      </c>
      <c r="BE519" s="1" t="s">
        <v>4489</v>
      </c>
      <c r="BF519" s="2" t="str">
        <f>HYPERLINK("http://dx.doi.org/10.1016/j.scp.2020.100285","http://dx.doi.org/10.1016/j.scp.2020.100285")</f>
        <v>http://dx.doi.org/10.1016/j.scp.2020.100285</v>
      </c>
      <c r="BG519" s="1" t="s">
        <v>74</v>
      </c>
      <c r="BH519" s="1" t="s">
        <v>74</v>
      </c>
      <c r="BI519" s="1" t="s">
        <v>74</v>
      </c>
      <c r="BJ519" s="1" t="s">
        <v>74</v>
      </c>
      <c r="BK519" s="1" t="s">
        <v>74</v>
      </c>
      <c r="BL519" s="1" t="s">
        <v>74</v>
      </c>
      <c r="BM519" s="1" t="s">
        <v>74</v>
      </c>
      <c r="BN519" s="1" t="s">
        <v>74</v>
      </c>
      <c r="BO519" s="1" t="s">
        <v>74</v>
      </c>
      <c r="BP519" s="1" t="s">
        <v>74</v>
      </c>
      <c r="BQ519" s="1" t="s">
        <v>74</v>
      </c>
      <c r="BR519" s="1" t="s">
        <v>74</v>
      </c>
      <c r="BS519" s="1" t="s">
        <v>4490</v>
      </c>
      <c r="BT519" s="1" t="str">
        <f>HYPERLINK("https%3A%2F%2Fwww.webofscience.com%2Fwos%2Fwoscc%2Ffull-record%2FWOS:000573856500005","View Full Record in Web of Science")</f>
        <v>View Full Record in Web of Science</v>
      </c>
    </row>
    <row r="520" ht="12.75" customHeight="1">
      <c r="A520" s="1" t="s">
        <v>72</v>
      </c>
      <c r="B520" s="1" t="s">
        <v>4491</v>
      </c>
      <c r="C520" s="1" t="s">
        <v>74</v>
      </c>
      <c r="D520" s="1" t="s">
        <v>74</v>
      </c>
      <c r="E520" s="1" t="s">
        <v>74</v>
      </c>
      <c r="F520" s="1" t="s">
        <v>4492</v>
      </c>
      <c r="G520" s="1" t="s">
        <v>74</v>
      </c>
      <c r="H520" s="1" t="s">
        <v>74</v>
      </c>
      <c r="I520" s="1" t="s">
        <v>4493</v>
      </c>
      <c r="J520" s="1" t="s">
        <v>4494</v>
      </c>
      <c r="K520" s="1" t="s">
        <v>74</v>
      </c>
      <c r="L520" s="1" t="s">
        <v>74</v>
      </c>
      <c r="M520" s="1" t="s">
        <v>74</v>
      </c>
      <c r="N520" s="1" t="s">
        <v>74</v>
      </c>
      <c r="O520" s="1" t="s">
        <v>74</v>
      </c>
      <c r="P520" s="1" t="s">
        <v>74</v>
      </c>
      <c r="Q520" s="1" t="s">
        <v>74</v>
      </c>
      <c r="R520" s="1" t="s">
        <v>74</v>
      </c>
      <c r="S520" s="1" t="s">
        <v>74</v>
      </c>
      <c r="T520" s="1" t="s">
        <v>74</v>
      </c>
      <c r="U520" s="1" t="s">
        <v>74</v>
      </c>
      <c r="V520" s="1" t="s">
        <v>74</v>
      </c>
      <c r="W520" s="1" t="s">
        <v>74</v>
      </c>
      <c r="X520" s="1" t="s">
        <v>74</v>
      </c>
      <c r="Y520" s="1" t="s">
        <v>74</v>
      </c>
      <c r="Z520" s="1" t="s">
        <v>74</v>
      </c>
      <c r="AA520" s="1" t="s">
        <v>74</v>
      </c>
      <c r="AB520" s="1" t="s">
        <v>74</v>
      </c>
      <c r="AC520" s="1" t="s">
        <v>74</v>
      </c>
      <c r="AD520" s="1" t="s">
        <v>74</v>
      </c>
      <c r="AE520" s="1" t="s">
        <v>74</v>
      </c>
      <c r="AF520" s="1" t="s">
        <v>74</v>
      </c>
      <c r="AG520" s="1" t="s">
        <v>74</v>
      </c>
      <c r="AH520" s="1" t="s">
        <v>74</v>
      </c>
      <c r="AI520" s="1" t="s">
        <v>74</v>
      </c>
      <c r="AJ520" s="1" t="s">
        <v>74</v>
      </c>
      <c r="AK520" s="1" t="s">
        <v>74</v>
      </c>
      <c r="AL520" s="1" t="s">
        <v>74</v>
      </c>
      <c r="AM520" s="1" t="s">
        <v>74</v>
      </c>
      <c r="AN520" s="1" t="s">
        <v>74</v>
      </c>
      <c r="AO520" s="1" t="s">
        <v>4495</v>
      </c>
      <c r="AP520" s="1" t="s">
        <v>4496</v>
      </c>
      <c r="AQ520" s="1" t="s">
        <v>74</v>
      </c>
      <c r="AR520" s="1" t="s">
        <v>74</v>
      </c>
      <c r="AS520" s="1" t="s">
        <v>74</v>
      </c>
      <c r="AT520" s="1" t="s">
        <v>347</v>
      </c>
      <c r="AU520" s="1">
        <v>2020.0</v>
      </c>
      <c r="AV520" s="1">
        <v>125.0</v>
      </c>
      <c r="AW520" s="1">
        <v>2.0</v>
      </c>
      <c r="AX520" s="1" t="s">
        <v>74</v>
      </c>
      <c r="AY520" s="1" t="s">
        <v>74</v>
      </c>
      <c r="AZ520" s="1" t="s">
        <v>74</v>
      </c>
      <c r="BA520" s="1" t="s">
        <v>74</v>
      </c>
      <c r="BB520" s="1">
        <v>701.0</v>
      </c>
      <c r="BC520" s="1">
        <v>702.0</v>
      </c>
      <c r="BD520" s="1" t="s">
        <v>74</v>
      </c>
      <c r="BE520" s="1" t="s">
        <v>4497</v>
      </c>
      <c r="BF520" s="2" t="str">
        <f>HYPERLINK("http://dx.doi.org/10.1093/ahr/rhaa173","http://dx.doi.org/10.1093/ahr/rhaa173")</f>
        <v>http://dx.doi.org/10.1093/ahr/rhaa173</v>
      </c>
      <c r="BG520" s="1" t="s">
        <v>74</v>
      </c>
      <c r="BH520" s="1" t="s">
        <v>74</v>
      </c>
      <c r="BI520" s="1" t="s">
        <v>74</v>
      </c>
      <c r="BJ520" s="1" t="s">
        <v>74</v>
      </c>
      <c r="BK520" s="1" t="s">
        <v>74</v>
      </c>
      <c r="BL520" s="1" t="s">
        <v>74</v>
      </c>
      <c r="BM520" s="1" t="s">
        <v>74</v>
      </c>
      <c r="BN520" s="1" t="s">
        <v>74</v>
      </c>
      <c r="BO520" s="1" t="s">
        <v>74</v>
      </c>
      <c r="BP520" s="1" t="s">
        <v>74</v>
      </c>
      <c r="BQ520" s="1" t="s">
        <v>74</v>
      </c>
      <c r="BR520" s="1" t="s">
        <v>74</v>
      </c>
      <c r="BS520" s="1" t="s">
        <v>4498</v>
      </c>
      <c r="BT520" s="1" t="str">
        <f>HYPERLINK("https%3A%2F%2Fwww.webofscience.com%2Fwos%2Fwoscc%2Ffull-record%2FWOS:000536528800116","View Full Record in Web of Science")</f>
        <v>View Full Record in Web of Science</v>
      </c>
    </row>
    <row r="521" ht="12.75" customHeight="1">
      <c r="A521" s="1" t="s">
        <v>72</v>
      </c>
      <c r="B521" s="1" t="s">
        <v>4499</v>
      </c>
      <c r="C521" s="1" t="s">
        <v>74</v>
      </c>
      <c r="D521" s="1" t="s">
        <v>74</v>
      </c>
      <c r="E521" s="1" t="s">
        <v>74</v>
      </c>
      <c r="F521" s="1" t="s">
        <v>4500</v>
      </c>
      <c r="G521" s="1" t="s">
        <v>74</v>
      </c>
      <c r="H521" s="1" t="s">
        <v>74</v>
      </c>
      <c r="I521" s="1" t="s">
        <v>4501</v>
      </c>
      <c r="J521" s="1" t="s">
        <v>4502</v>
      </c>
      <c r="K521" s="1" t="s">
        <v>74</v>
      </c>
      <c r="L521" s="1" t="s">
        <v>74</v>
      </c>
      <c r="M521" s="1" t="s">
        <v>74</v>
      </c>
      <c r="N521" s="1" t="s">
        <v>74</v>
      </c>
      <c r="O521" s="1" t="s">
        <v>74</v>
      </c>
      <c r="P521" s="1" t="s">
        <v>74</v>
      </c>
      <c r="Q521" s="1" t="s">
        <v>74</v>
      </c>
      <c r="R521" s="1" t="s">
        <v>74</v>
      </c>
      <c r="S521" s="1" t="s">
        <v>74</v>
      </c>
      <c r="T521" s="1" t="s">
        <v>74</v>
      </c>
      <c r="U521" s="1" t="s">
        <v>74</v>
      </c>
      <c r="V521" s="1" t="s">
        <v>4503</v>
      </c>
      <c r="W521" s="1" t="s">
        <v>74</v>
      </c>
      <c r="X521" s="1" t="s">
        <v>74</v>
      </c>
      <c r="Y521" s="1" t="s">
        <v>74</v>
      </c>
      <c r="Z521" s="1" t="s">
        <v>74</v>
      </c>
      <c r="AA521" s="1" t="s">
        <v>4504</v>
      </c>
      <c r="AB521" s="1" t="s">
        <v>4505</v>
      </c>
      <c r="AC521" s="1" t="s">
        <v>74</v>
      </c>
      <c r="AD521" s="1" t="s">
        <v>74</v>
      </c>
      <c r="AE521" s="1" t="s">
        <v>74</v>
      </c>
      <c r="AF521" s="1" t="s">
        <v>74</v>
      </c>
      <c r="AG521" s="1" t="s">
        <v>74</v>
      </c>
      <c r="AH521" s="1" t="s">
        <v>74</v>
      </c>
      <c r="AI521" s="1" t="s">
        <v>74</v>
      </c>
      <c r="AJ521" s="1" t="s">
        <v>74</v>
      </c>
      <c r="AK521" s="1" t="s">
        <v>74</v>
      </c>
      <c r="AL521" s="1" t="s">
        <v>74</v>
      </c>
      <c r="AM521" s="1" t="s">
        <v>74</v>
      </c>
      <c r="AN521" s="1" t="s">
        <v>74</v>
      </c>
      <c r="AO521" s="1" t="s">
        <v>4506</v>
      </c>
      <c r="AP521" s="1" t="s">
        <v>4507</v>
      </c>
      <c r="AQ521" s="1" t="s">
        <v>74</v>
      </c>
      <c r="AR521" s="1" t="s">
        <v>74</v>
      </c>
      <c r="AS521" s="1" t="s">
        <v>74</v>
      </c>
      <c r="AT521" s="1" t="s">
        <v>4508</v>
      </c>
      <c r="AU521" s="1">
        <v>2020.0</v>
      </c>
      <c r="AV521" s="1">
        <v>77.0</v>
      </c>
      <c r="AW521" s="1">
        <v>5.0</v>
      </c>
      <c r="AX521" s="1" t="s">
        <v>74</v>
      </c>
      <c r="AY521" s="1" t="s">
        <v>74</v>
      </c>
      <c r="AZ521" s="1" t="s">
        <v>74</v>
      </c>
      <c r="BA521" s="1" t="s">
        <v>74</v>
      </c>
      <c r="BB521" s="1">
        <v>443.0</v>
      </c>
      <c r="BC521" s="1">
        <v>459.0</v>
      </c>
      <c r="BD521" s="1" t="s">
        <v>74</v>
      </c>
      <c r="BE521" s="1" t="s">
        <v>4509</v>
      </c>
      <c r="BF521" s="2" t="str">
        <f>HYPERLINK("http://dx.doi.org/10.1080/10407782.2020.1713633","http://dx.doi.org/10.1080/10407782.2020.1713633")</f>
        <v>http://dx.doi.org/10.1080/10407782.2020.1713633</v>
      </c>
      <c r="BG521" s="1" t="s">
        <v>74</v>
      </c>
      <c r="BH521" s="1" t="s">
        <v>2942</v>
      </c>
      <c r="BI521" s="1" t="s">
        <v>74</v>
      </c>
      <c r="BJ521" s="1" t="s">
        <v>74</v>
      </c>
      <c r="BK521" s="1" t="s">
        <v>74</v>
      </c>
      <c r="BL521" s="1" t="s">
        <v>74</v>
      </c>
      <c r="BM521" s="1" t="s">
        <v>74</v>
      </c>
      <c r="BN521" s="1" t="s">
        <v>74</v>
      </c>
      <c r="BO521" s="1" t="s">
        <v>74</v>
      </c>
      <c r="BP521" s="1" t="s">
        <v>74</v>
      </c>
      <c r="BQ521" s="1" t="s">
        <v>74</v>
      </c>
      <c r="BR521" s="1" t="s">
        <v>74</v>
      </c>
      <c r="BS521" s="1" t="s">
        <v>4510</v>
      </c>
      <c r="BT521" s="1" t="str">
        <f>HYPERLINK("https%3A%2F%2Fwww.webofscience.com%2Fwos%2Fwoscc%2Ffull-record%2FWOS:000508500900001","View Full Record in Web of Science")</f>
        <v>View Full Record in Web of Science</v>
      </c>
    </row>
    <row r="522" ht="12.75" customHeight="1">
      <c r="A522" s="1" t="s">
        <v>91</v>
      </c>
      <c r="B522" s="1" t="s">
        <v>4511</v>
      </c>
      <c r="C522" s="1" t="s">
        <v>74</v>
      </c>
      <c r="D522" s="1" t="s">
        <v>74</v>
      </c>
      <c r="E522" s="1" t="s">
        <v>442</v>
      </c>
      <c r="F522" s="1" t="s">
        <v>4512</v>
      </c>
      <c r="G522" s="1" t="s">
        <v>74</v>
      </c>
      <c r="H522" s="1" t="s">
        <v>74</v>
      </c>
      <c r="I522" s="1" t="s">
        <v>4513</v>
      </c>
      <c r="J522" s="1" t="s">
        <v>4514</v>
      </c>
      <c r="K522" s="1" t="s">
        <v>74</v>
      </c>
      <c r="L522" s="1" t="s">
        <v>74</v>
      </c>
      <c r="M522" s="1" t="s">
        <v>74</v>
      </c>
      <c r="N522" s="1" t="s">
        <v>74</v>
      </c>
      <c r="O522" s="1" t="s">
        <v>4515</v>
      </c>
      <c r="P522" s="1" t="s">
        <v>4516</v>
      </c>
      <c r="Q522" s="1" t="s">
        <v>3042</v>
      </c>
      <c r="R522" s="1" t="s">
        <v>4517</v>
      </c>
      <c r="S522" s="1" t="s">
        <v>74</v>
      </c>
      <c r="T522" s="1" t="s">
        <v>74</v>
      </c>
      <c r="U522" s="1" t="s">
        <v>74</v>
      </c>
      <c r="V522" s="1" t="s">
        <v>4518</v>
      </c>
      <c r="W522" s="1" t="s">
        <v>74</v>
      </c>
      <c r="X522" s="1" t="s">
        <v>74</v>
      </c>
      <c r="Y522" s="1" t="s">
        <v>74</v>
      </c>
      <c r="Z522" s="1" t="s">
        <v>74</v>
      </c>
      <c r="AA522" s="1" t="s">
        <v>4519</v>
      </c>
      <c r="AB522" s="1" t="s">
        <v>4520</v>
      </c>
      <c r="AC522" s="1" t="s">
        <v>74</v>
      </c>
      <c r="AD522" s="1" t="s">
        <v>74</v>
      </c>
      <c r="AE522" s="1" t="s">
        <v>74</v>
      </c>
      <c r="AF522" s="1" t="s">
        <v>74</v>
      </c>
      <c r="AG522" s="1" t="s">
        <v>74</v>
      </c>
      <c r="AH522" s="1" t="s">
        <v>74</v>
      </c>
      <c r="AI522" s="1" t="s">
        <v>74</v>
      </c>
      <c r="AJ522" s="1" t="s">
        <v>74</v>
      </c>
      <c r="AK522" s="1" t="s">
        <v>74</v>
      </c>
      <c r="AL522" s="1" t="s">
        <v>74</v>
      </c>
      <c r="AM522" s="1" t="s">
        <v>74</v>
      </c>
      <c r="AN522" s="1" t="s">
        <v>74</v>
      </c>
      <c r="AO522" s="1" t="s">
        <v>74</v>
      </c>
      <c r="AP522" s="1" t="s">
        <v>74</v>
      </c>
      <c r="AQ522" s="1" t="s">
        <v>4521</v>
      </c>
      <c r="AR522" s="1" t="s">
        <v>74</v>
      </c>
      <c r="AS522" s="1" t="s">
        <v>74</v>
      </c>
      <c r="AT522" s="1" t="s">
        <v>74</v>
      </c>
      <c r="AU522" s="1">
        <v>2020.0</v>
      </c>
      <c r="AV522" s="1" t="s">
        <v>74</v>
      </c>
      <c r="AW522" s="1" t="s">
        <v>74</v>
      </c>
      <c r="AX522" s="1" t="s">
        <v>74</v>
      </c>
      <c r="AY522" s="1" t="s">
        <v>74</v>
      </c>
      <c r="AZ522" s="1" t="s">
        <v>74</v>
      </c>
      <c r="BA522" s="1" t="s">
        <v>74</v>
      </c>
      <c r="BB522" s="1">
        <v>33.0</v>
      </c>
      <c r="BC522" s="1">
        <v>37.0</v>
      </c>
      <c r="BD522" s="1" t="s">
        <v>74</v>
      </c>
      <c r="BE522" s="1" t="s">
        <v>4522</v>
      </c>
      <c r="BF522" s="2" t="str">
        <f>HYPERLINK("http://dx.doi.org/10.1109/sacvlc50805.2020.9129859","http://dx.doi.org/10.1109/sacvlc50805.2020.9129859")</f>
        <v>http://dx.doi.org/10.1109/sacvlc50805.2020.9129859</v>
      </c>
      <c r="BG522" s="1" t="s">
        <v>74</v>
      </c>
      <c r="BH522" s="1" t="s">
        <v>74</v>
      </c>
      <c r="BI522" s="1" t="s">
        <v>74</v>
      </c>
      <c r="BJ522" s="1" t="s">
        <v>74</v>
      </c>
      <c r="BK522" s="1" t="s">
        <v>74</v>
      </c>
      <c r="BL522" s="1" t="s">
        <v>74</v>
      </c>
      <c r="BM522" s="1" t="s">
        <v>74</v>
      </c>
      <c r="BN522" s="1" t="s">
        <v>74</v>
      </c>
      <c r="BO522" s="1" t="s">
        <v>74</v>
      </c>
      <c r="BP522" s="1" t="s">
        <v>74</v>
      </c>
      <c r="BQ522" s="1" t="s">
        <v>74</v>
      </c>
      <c r="BR522" s="1" t="s">
        <v>74</v>
      </c>
      <c r="BS522" s="1" t="s">
        <v>4523</v>
      </c>
      <c r="BT522" s="1" t="str">
        <f>HYPERLINK("https%3A%2F%2Fwww.webofscience.com%2Fwos%2Fwoscc%2Ffull-record%2FWOS:000856038700007","View Full Record in Web of Science")</f>
        <v>View Full Record in Web of Science</v>
      </c>
    </row>
    <row r="523" ht="12.75" customHeight="1">
      <c r="A523" s="1" t="s">
        <v>454</v>
      </c>
      <c r="B523" s="1" t="s">
        <v>4524</v>
      </c>
      <c r="C523" s="1" t="s">
        <v>74</v>
      </c>
      <c r="D523" s="1" t="s">
        <v>74</v>
      </c>
      <c r="E523" s="1" t="s">
        <v>601</v>
      </c>
      <c r="F523" s="1" t="s">
        <v>4525</v>
      </c>
      <c r="G523" s="1" t="s">
        <v>74</v>
      </c>
      <c r="H523" s="1" t="s">
        <v>74</v>
      </c>
      <c r="I523" s="1" t="s">
        <v>4526</v>
      </c>
      <c r="J523" s="1" t="s">
        <v>2947</v>
      </c>
      <c r="K523" s="1" t="s">
        <v>74</v>
      </c>
      <c r="L523" s="1" t="s">
        <v>74</v>
      </c>
      <c r="M523" s="1" t="s">
        <v>74</v>
      </c>
      <c r="N523" s="1" t="s">
        <v>74</v>
      </c>
      <c r="O523" s="1" t="s">
        <v>74</v>
      </c>
      <c r="P523" s="1" t="s">
        <v>74</v>
      </c>
      <c r="Q523" s="1" t="s">
        <v>74</v>
      </c>
      <c r="R523" s="1" t="s">
        <v>74</v>
      </c>
      <c r="S523" s="1" t="s">
        <v>74</v>
      </c>
      <c r="T523" s="1" t="s">
        <v>74</v>
      </c>
      <c r="U523" s="1" t="s">
        <v>74</v>
      </c>
      <c r="V523" s="1" t="s">
        <v>4527</v>
      </c>
      <c r="W523" s="1" t="s">
        <v>74</v>
      </c>
      <c r="X523" s="1" t="s">
        <v>74</v>
      </c>
      <c r="Y523" s="1" t="s">
        <v>74</v>
      </c>
      <c r="Z523" s="1" t="s">
        <v>74</v>
      </c>
      <c r="AA523" s="1" t="s">
        <v>74</v>
      </c>
      <c r="AB523" s="1" t="s">
        <v>74</v>
      </c>
      <c r="AC523" s="1" t="s">
        <v>74</v>
      </c>
      <c r="AD523" s="1" t="s">
        <v>74</v>
      </c>
      <c r="AE523" s="1" t="s">
        <v>74</v>
      </c>
      <c r="AF523" s="1" t="s">
        <v>74</v>
      </c>
      <c r="AG523" s="1" t="s">
        <v>74</v>
      </c>
      <c r="AH523" s="1" t="s">
        <v>74</v>
      </c>
      <c r="AI523" s="1" t="s">
        <v>74</v>
      </c>
      <c r="AJ523" s="1" t="s">
        <v>74</v>
      </c>
      <c r="AK523" s="1" t="s">
        <v>74</v>
      </c>
      <c r="AL523" s="1" t="s">
        <v>74</v>
      </c>
      <c r="AM523" s="1" t="s">
        <v>74</v>
      </c>
      <c r="AN523" s="1" t="s">
        <v>74</v>
      </c>
      <c r="AO523" s="1" t="s">
        <v>74</v>
      </c>
      <c r="AP523" s="1" t="s">
        <v>74</v>
      </c>
      <c r="AQ523" s="1" t="s">
        <v>2949</v>
      </c>
      <c r="AR523" s="1" t="s">
        <v>74</v>
      </c>
      <c r="AS523" s="1" t="s">
        <v>74</v>
      </c>
      <c r="AT523" s="1" t="s">
        <v>74</v>
      </c>
      <c r="AU523" s="1">
        <v>2020.0</v>
      </c>
      <c r="AV523" s="1" t="s">
        <v>74</v>
      </c>
      <c r="AW523" s="1" t="s">
        <v>74</v>
      </c>
      <c r="AX523" s="1" t="s">
        <v>74</v>
      </c>
      <c r="AY523" s="1" t="s">
        <v>74</v>
      </c>
      <c r="AZ523" s="1" t="s">
        <v>74</v>
      </c>
      <c r="BA523" s="1" t="s">
        <v>74</v>
      </c>
      <c r="BB523" s="1">
        <v>125.0</v>
      </c>
      <c r="BC523" s="1">
        <v>131.0</v>
      </c>
      <c r="BD523" s="1" t="s">
        <v>74</v>
      </c>
      <c r="BE523" s="1" t="s">
        <v>74</v>
      </c>
      <c r="BF523" s="1" t="s">
        <v>74</v>
      </c>
      <c r="BG523" s="1" t="s">
        <v>74</v>
      </c>
      <c r="BH523" s="1" t="s">
        <v>74</v>
      </c>
      <c r="BI523" s="1" t="s">
        <v>74</v>
      </c>
      <c r="BJ523" s="1" t="s">
        <v>74</v>
      </c>
      <c r="BK523" s="1" t="s">
        <v>74</v>
      </c>
      <c r="BL523" s="1" t="s">
        <v>74</v>
      </c>
      <c r="BM523" s="1" t="s">
        <v>74</v>
      </c>
      <c r="BN523" s="1" t="s">
        <v>74</v>
      </c>
      <c r="BO523" s="1" t="s">
        <v>74</v>
      </c>
      <c r="BP523" s="1" t="s">
        <v>74</v>
      </c>
      <c r="BQ523" s="1" t="s">
        <v>74</v>
      </c>
      <c r="BR523" s="1" t="s">
        <v>74</v>
      </c>
      <c r="BS523" s="1" t="s">
        <v>4528</v>
      </c>
      <c r="BT523" s="1" t="str">
        <f>HYPERLINK("https%3A%2F%2Fwww.webofscience.com%2Fwos%2Fwoscc%2Ffull-record%2FWOS:000608874800008","View Full Record in Web of Science")</f>
        <v>View Full Record in Web of Science</v>
      </c>
    </row>
    <row r="524" ht="12.75" customHeight="1">
      <c r="A524" s="1" t="s">
        <v>72</v>
      </c>
      <c r="B524" s="1" t="s">
        <v>4529</v>
      </c>
      <c r="C524" s="1" t="s">
        <v>74</v>
      </c>
      <c r="D524" s="1" t="s">
        <v>74</v>
      </c>
      <c r="E524" s="1" t="s">
        <v>74</v>
      </c>
      <c r="F524" s="1" t="s">
        <v>4530</v>
      </c>
      <c r="G524" s="1" t="s">
        <v>74</v>
      </c>
      <c r="H524" s="1" t="s">
        <v>74</v>
      </c>
      <c r="I524" s="1" t="s">
        <v>4531</v>
      </c>
      <c r="J524" s="1" t="s">
        <v>3508</v>
      </c>
      <c r="K524" s="1" t="s">
        <v>74</v>
      </c>
      <c r="L524" s="1" t="s">
        <v>74</v>
      </c>
      <c r="M524" s="1" t="s">
        <v>74</v>
      </c>
      <c r="N524" s="1" t="s">
        <v>74</v>
      </c>
      <c r="O524" s="1" t="s">
        <v>74</v>
      </c>
      <c r="P524" s="1" t="s">
        <v>74</v>
      </c>
      <c r="Q524" s="1" t="s">
        <v>74</v>
      </c>
      <c r="R524" s="1" t="s">
        <v>74</v>
      </c>
      <c r="S524" s="1" t="s">
        <v>74</v>
      </c>
      <c r="T524" s="1" t="s">
        <v>74</v>
      </c>
      <c r="U524" s="1" t="s">
        <v>74</v>
      </c>
      <c r="V524" s="1" t="s">
        <v>4532</v>
      </c>
      <c r="W524" s="1" t="s">
        <v>74</v>
      </c>
      <c r="X524" s="1" t="s">
        <v>74</v>
      </c>
      <c r="Y524" s="1" t="s">
        <v>74</v>
      </c>
      <c r="Z524" s="1" t="s">
        <v>74</v>
      </c>
      <c r="AA524" s="1" t="s">
        <v>74</v>
      </c>
      <c r="AB524" s="1" t="s">
        <v>74</v>
      </c>
      <c r="AC524" s="1" t="s">
        <v>74</v>
      </c>
      <c r="AD524" s="1" t="s">
        <v>74</v>
      </c>
      <c r="AE524" s="1" t="s">
        <v>74</v>
      </c>
      <c r="AF524" s="1" t="s">
        <v>74</v>
      </c>
      <c r="AG524" s="1" t="s">
        <v>74</v>
      </c>
      <c r="AH524" s="1" t="s">
        <v>74</v>
      </c>
      <c r="AI524" s="1" t="s">
        <v>74</v>
      </c>
      <c r="AJ524" s="1" t="s">
        <v>74</v>
      </c>
      <c r="AK524" s="1" t="s">
        <v>74</v>
      </c>
      <c r="AL524" s="1" t="s">
        <v>74</v>
      </c>
      <c r="AM524" s="1" t="s">
        <v>74</v>
      </c>
      <c r="AN524" s="1" t="s">
        <v>74</v>
      </c>
      <c r="AO524" s="1" t="s">
        <v>3510</v>
      </c>
      <c r="AP524" s="1" t="s">
        <v>3511</v>
      </c>
      <c r="AQ524" s="1" t="s">
        <v>74</v>
      </c>
      <c r="AR524" s="1" t="s">
        <v>74</v>
      </c>
      <c r="AS524" s="1" t="s">
        <v>74</v>
      </c>
      <c r="AT524" s="1" t="s">
        <v>1493</v>
      </c>
      <c r="AU524" s="1">
        <v>2020.0</v>
      </c>
      <c r="AV524" s="1" t="s">
        <v>74</v>
      </c>
      <c r="AW524" s="1">
        <v>24.0</v>
      </c>
      <c r="AX524" s="1" t="s">
        <v>74</v>
      </c>
      <c r="AY524" s="1" t="s">
        <v>74</v>
      </c>
      <c r="AZ524" s="1" t="s">
        <v>74</v>
      </c>
      <c r="BA524" s="1" t="s">
        <v>74</v>
      </c>
      <c r="BB524" s="1">
        <v>54.0</v>
      </c>
      <c r="BC524" s="1">
        <v>97.0</v>
      </c>
      <c r="BD524" s="1" t="s">
        <v>74</v>
      </c>
      <c r="BE524" s="1" t="s">
        <v>74</v>
      </c>
      <c r="BF524" s="1" t="s">
        <v>74</v>
      </c>
      <c r="BG524" s="1" t="s">
        <v>74</v>
      </c>
      <c r="BH524" s="1" t="s">
        <v>74</v>
      </c>
      <c r="BI524" s="1" t="s">
        <v>74</v>
      </c>
      <c r="BJ524" s="1" t="s">
        <v>74</v>
      </c>
      <c r="BK524" s="1" t="s">
        <v>74</v>
      </c>
      <c r="BL524" s="1" t="s">
        <v>74</v>
      </c>
      <c r="BM524" s="1" t="s">
        <v>74</v>
      </c>
      <c r="BN524" s="1" t="s">
        <v>74</v>
      </c>
      <c r="BO524" s="1" t="s">
        <v>74</v>
      </c>
      <c r="BP524" s="1" t="s">
        <v>74</v>
      </c>
      <c r="BQ524" s="1" t="s">
        <v>74</v>
      </c>
      <c r="BR524" s="1" t="s">
        <v>74</v>
      </c>
      <c r="BS524" s="1" t="s">
        <v>4533</v>
      </c>
      <c r="BT524" s="1" t="str">
        <f>HYPERLINK("https%3A%2F%2Fwww.webofscience.com%2Fwos%2Fwoscc%2Ffull-record%2FWOS:000538050700004","View Full Record in Web of Science")</f>
        <v>View Full Record in Web of Science</v>
      </c>
    </row>
    <row r="525" ht="12.75" customHeight="1">
      <c r="A525" s="1" t="s">
        <v>72</v>
      </c>
      <c r="B525" s="1" t="s">
        <v>4534</v>
      </c>
      <c r="C525" s="1" t="s">
        <v>74</v>
      </c>
      <c r="D525" s="1" t="s">
        <v>74</v>
      </c>
      <c r="E525" s="1" t="s">
        <v>74</v>
      </c>
      <c r="F525" s="1" t="s">
        <v>4535</v>
      </c>
      <c r="G525" s="1" t="s">
        <v>74</v>
      </c>
      <c r="H525" s="1" t="s">
        <v>74</v>
      </c>
      <c r="I525" s="1" t="s">
        <v>4536</v>
      </c>
      <c r="J525" s="1" t="s">
        <v>4537</v>
      </c>
      <c r="K525" s="1" t="s">
        <v>74</v>
      </c>
      <c r="L525" s="1" t="s">
        <v>74</v>
      </c>
      <c r="M525" s="1" t="s">
        <v>74</v>
      </c>
      <c r="N525" s="1" t="s">
        <v>74</v>
      </c>
      <c r="O525" s="1" t="s">
        <v>74</v>
      </c>
      <c r="P525" s="1" t="s">
        <v>74</v>
      </c>
      <c r="Q525" s="1" t="s">
        <v>74</v>
      </c>
      <c r="R525" s="1" t="s">
        <v>74</v>
      </c>
      <c r="S525" s="1" t="s">
        <v>74</v>
      </c>
      <c r="T525" s="1" t="s">
        <v>74</v>
      </c>
      <c r="U525" s="1" t="s">
        <v>74</v>
      </c>
      <c r="V525" s="1" t="s">
        <v>4538</v>
      </c>
      <c r="W525" s="1" t="s">
        <v>74</v>
      </c>
      <c r="X525" s="1" t="s">
        <v>74</v>
      </c>
      <c r="Y525" s="1" t="s">
        <v>74</v>
      </c>
      <c r="Z525" s="1" t="s">
        <v>74</v>
      </c>
      <c r="AA525" s="1" t="s">
        <v>74</v>
      </c>
      <c r="AB525" s="1" t="s">
        <v>74</v>
      </c>
      <c r="AC525" s="1" t="s">
        <v>74</v>
      </c>
      <c r="AD525" s="1" t="s">
        <v>74</v>
      </c>
      <c r="AE525" s="1" t="s">
        <v>74</v>
      </c>
      <c r="AF525" s="1" t="s">
        <v>74</v>
      </c>
      <c r="AG525" s="1" t="s">
        <v>74</v>
      </c>
      <c r="AH525" s="1" t="s">
        <v>74</v>
      </c>
      <c r="AI525" s="1" t="s">
        <v>74</v>
      </c>
      <c r="AJ525" s="1" t="s">
        <v>74</v>
      </c>
      <c r="AK525" s="1" t="s">
        <v>74</v>
      </c>
      <c r="AL525" s="1" t="s">
        <v>74</v>
      </c>
      <c r="AM525" s="1" t="s">
        <v>74</v>
      </c>
      <c r="AN525" s="1" t="s">
        <v>74</v>
      </c>
      <c r="AO525" s="1" t="s">
        <v>4539</v>
      </c>
      <c r="AP525" s="1" t="s">
        <v>74</v>
      </c>
      <c r="AQ525" s="1" t="s">
        <v>74</v>
      </c>
      <c r="AR525" s="1" t="s">
        <v>74</v>
      </c>
      <c r="AS525" s="1" t="s">
        <v>74</v>
      </c>
      <c r="AT525" s="1" t="s">
        <v>1997</v>
      </c>
      <c r="AU525" s="1">
        <v>2019.0</v>
      </c>
      <c r="AV525" s="1" t="s">
        <v>74</v>
      </c>
      <c r="AW525" s="1">
        <v>74.0</v>
      </c>
      <c r="AX525" s="1" t="s">
        <v>74</v>
      </c>
      <c r="AY525" s="1" t="s">
        <v>74</v>
      </c>
      <c r="AZ525" s="1" t="s">
        <v>74</v>
      </c>
      <c r="BA525" s="1" t="s">
        <v>74</v>
      </c>
      <c r="BB525" s="1">
        <v>41.0</v>
      </c>
      <c r="BC525" s="1">
        <v>64.0</v>
      </c>
      <c r="BD525" s="1" t="s">
        <v>74</v>
      </c>
      <c r="BE525" s="1" t="s">
        <v>4540</v>
      </c>
      <c r="BF525" s="2" t="str">
        <f>HYPERLINK("http://dx.doi.org/10.7440/histcrit74.2019.03","http://dx.doi.org/10.7440/histcrit74.2019.03")</f>
        <v>http://dx.doi.org/10.7440/histcrit74.2019.03</v>
      </c>
      <c r="BG525" s="1" t="s">
        <v>74</v>
      </c>
      <c r="BH525" s="1" t="s">
        <v>74</v>
      </c>
      <c r="BI525" s="1" t="s">
        <v>74</v>
      </c>
      <c r="BJ525" s="1" t="s">
        <v>74</v>
      </c>
      <c r="BK525" s="1" t="s">
        <v>74</v>
      </c>
      <c r="BL525" s="1" t="s">
        <v>74</v>
      </c>
      <c r="BM525" s="1" t="s">
        <v>74</v>
      </c>
      <c r="BN525" s="1" t="s">
        <v>74</v>
      </c>
      <c r="BO525" s="1" t="s">
        <v>74</v>
      </c>
      <c r="BP525" s="1" t="s">
        <v>74</v>
      </c>
      <c r="BQ525" s="1" t="s">
        <v>74</v>
      </c>
      <c r="BR525" s="1" t="s">
        <v>74</v>
      </c>
      <c r="BS525" s="1" t="s">
        <v>4541</v>
      </c>
      <c r="BT525" s="1" t="str">
        <f>HYPERLINK("https%3A%2F%2Fwww.webofscience.com%2Fwos%2Fwoscc%2Ffull-record%2FWOS:000489059300003","View Full Record in Web of Science")</f>
        <v>View Full Record in Web of Science</v>
      </c>
    </row>
    <row r="526" ht="12.75" customHeight="1">
      <c r="A526" s="1" t="s">
        <v>72</v>
      </c>
      <c r="B526" s="1" t="s">
        <v>4542</v>
      </c>
      <c r="C526" s="1" t="s">
        <v>74</v>
      </c>
      <c r="D526" s="1" t="s">
        <v>74</v>
      </c>
      <c r="E526" s="1" t="s">
        <v>74</v>
      </c>
      <c r="F526" s="1" t="s">
        <v>4543</v>
      </c>
      <c r="G526" s="1" t="s">
        <v>74</v>
      </c>
      <c r="H526" s="1" t="s">
        <v>74</v>
      </c>
      <c r="I526" s="1" t="s">
        <v>4544</v>
      </c>
      <c r="J526" s="1" t="s">
        <v>842</v>
      </c>
      <c r="K526" s="1" t="s">
        <v>74</v>
      </c>
      <c r="L526" s="1" t="s">
        <v>74</v>
      </c>
      <c r="M526" s="1" t="s">
        <v>74</v>
      </c>
      <c r="N526" s="1" t="s">
        <v>74</v>
      </c>
      <c r="O526" s="1" t="s">
        <v>74</v>
      </c>
      <c r="P526" s="1" t="s">
        <v>74</v>
      </c>
      <c r="Q526" s="1" t="s">
        <v>74</v>
      </c>
      <c r="R526" s="1" t="s">
        <v>74</v>
      </c>
      <c r="S526" s="1" t="s">
        <v>74</v>
      </c>
      <c r="T526" s="1" t="s">
        <v>74</v>
      </c>
      <c r="U526" s="1" t="s">
        <v>74</v>
      </c>
      <c r="V526" s="1" t="s">
        <v>74</v>
      </c>
      <c r="W526" s="1" t="s">
        <v>74</v>
      </c>
      <c r="X526" s="1" t="s">
        <v>74</v>
      </c>
      <c r="Y526" s="1" t="s">
        <v>74</v>
      </c>
      <c r="Z526" s="1" t="s">
        <v>74</v>
      </c>
      <c r="AA526" s="1" t="s">
        <v>74</v>
      </c>
      <c r="AB526" s="1" t="s">
        <v>74</v>
      </c>
      <c r="AC526" s="1" t="s">
        <v>74</v>
      </c>
      <c r="AD526" s="1" t="s">
        <v>74</v>
      </c>
      <c r="AE526" s="1" t="s">
        <v>74</v>
      </c>
      <c r="AF526" s="1" t="s">
        <v>74</v>
      </c>
      <c r="AG526" s="1" t="s">
        <v>74</v>
      </c>
      <c r="AH526" s="1" t="s">
        <v>74</v>
      </c>
      <c r="AI526" s="1" t="s">
        <v>74</v>
      </c>
      <c r="AJ526" s="1" t="s">
        <v>74</v>
      </c>
      <c r="AK526" s="1" t="s">
        <v>74</v>
      </c>
      <c r="AL526" s="1" t="s">
        <v>74</v>
      </c>
      <c r="AM526" s="1" t="s">
        <v>74</v>
      </c>
      <c r="AN526" s="1" t="s">
        <v>74</v>
      </c>
      <c r="AO526" s="1" t="s">
        <v>846</v>
      </c>
      <c r="AP526" s="1" t="s">
        <v>4545</v>
      </c>
      <c r="AQ526" s="1" t="s">
        <v>74</v>
      </c>
      <c r="AR526" s="1" t="s">
        <v>74</v>
      </c>
      <c r="AS526" s="1" t="s">
        <v>74</v>
      </c>
      <c r="AT526" s="1" t="s">
        <v>1176</v>
      </c>
      <c r="AU526" s="1">
        <v>2019.0</v>
      </c>
      <c r="AV526" s="1">
        <v>91.0</v>
      </c>
      <c r="AW526" s="1" t="s">
        <v>74</v>
      </c>
      <c r="AX526" s="1" t="s">
        <v>74</v>
      </c>
      <c r="AY526" s="1" t="s">
        <v>74</v>
      </c>
      <c r="AZ526" s="1" t="s">
        <v>74</v>
      </c>
      <c r="BA526" s="1" t="s">
        <v>4546</v>
      </c>
      <c r="BB526" s="1">
        <v>407.0</v>
      </c>
      <c r="BC526" s="1">
        <v>407.0</v>
      </c>
      <c r="BD526" s="1" t="s">
        <v>74</v>
      </c>
      <c r="BE526" s="1" t="s">
        <v>4547</v>
      </c>
      <c r="BF526" s="2" t="str">
        <f>HYPERLINK("http://dx.doi.org/10.1016/j.fsi.2019.04.118","http://dx.doi.org/10.1016/j.fsi.2019.04.118")</f>
        <v>http://dx.doi.org/10.1016/j.fsi.2019.04.118</v>
      </c>
      <c r="BG526" s="1" t="s">
        <v>74</v>
      </c>
      <c r="BH526" s="1" t="s">
        <v>74</v>
      </c>
      <c r="BI526" s="1" t="s">
        <v>74</v>
      </c>
      <c r="BJ526" s="1" t="s">
        <v>74</v>
      </c>
      <c r="BK526" s="1" t="s">
        <v>74</v>
      </c>
      <c r="BL526" s="1" t="s">
        <v>74</v>
      </c>
      <c r="BM526" s="1" t="s">
        <v>74</v>
      </c>
      <c r="BN526" s="1" t="s">
        <v>74</v>
      </c>
      <c r="BO526" s="1" t="s">
        <v>74</v>
      </c>
      <c r="BP526" s="1" t="s">
        <v>74</v>
      </c>
      <c r="BQ526" s="1" t="s">
        <v>74</v>
      </c>
      <c r="BR526" s="1" t="s">
        <v>74</v>
      </c>
      <c r="BS526" s="1" t="s">
        <v>4548</v>
      </c>
      <c r="BT526" s="1" t="str">
        <f>HYPERLINK("https%3A%2F%2Fwww.webofscience.com%2Fwos%2Fwoscc%2Ffull-record%2FWOS:000474676700091","View Full Record in Web of Science")</f>
        <v>View Full Record in Web of Science</v>
      </c>
    </row>
    <row r="527" ht="12.75" customHeight="1">
      <c r="A527" s="1" t="s">
        <v>72</v>
      </c>
      <c r="B527" s="1" t="s">
        <v>2777</v>
      </c>
      <c r="C527" s="1" t="s">
        <v>74</v>
      </c>
      <c r="D527" s="1" t="s">
        <v>74</v>
      </c>
      <c r="E527" s="1" t="s">
        <v>74</v>
      </c>
      <c r="F527" s="1" t="s">
        <v>2778</v>
      </c>
      <c r="G527" s="1" t="s">
        <v>74</v>
      </c>
      <c r="H527" s="1" t="s">
        <v>74</v>
      </c>
      <c r="I527" s="1" t="s">
        <v>4549</v>
      </c>
      <c r="J527" s="1" t="s">
        <v>2466</v>
      </c>
      <c r="K527" s="1" t="s">
        <v>74</v>
      </c>
      <c r="L527" s="1" t="s">
        <v>74</v>
      </c>
      <c r="M527" s="1" t="s">
        <v>74</v>
      </c>
      <c r="N527" s="1" t="s">
        <v>74</v>
      </c>
      <c r="O527" s="1" t="s">
        <v>74</v>
      </c>
      <c r="P527" s="1" t="s">
        <v>74</v>
      </c>
      <c r="Q527" s="1" t="s">
        <v>74</v>
      </c>
      <c r="R527" s="1" t="s">
        <v>74</v>
      </c>
      <c r="S527" s="1" t="s">
        <v>74</v>
      </c>
      <c r="T527" s="1" t="s">
        <v>74</v>
      </c>
      <c r="U527" s="1" t="s">
        <v>74</v>
      </c>
      <c r="V527" s="1" t="s">
        <v>4550</v>
      </c>
      <c r="W527" s="1" t="s">
        <v>74</v>
      </c>
      <c r="X527" s="1" t="s">
        <v>74</v>
      </c>
      <c r="Y527" s="1" t="s">
        <v>74</v>
      </c>
      <c r="Z527" s="1" t="s">
        <v>74</v>
      </c>
      <c r="AA527" s="1" t="s">
        <v>2782</v>
      </c>
      <c r="AB527" s="1" t="s">
        <v>2783</v>
      </c>
      <c r="AC527" s="1" t="s">
        <v>74</v>
      </c>
      <c r="AD527" s="1" t="s">
        <v>74</v>
      </c>
      <c r="AE527" s="1" t="s">
        <v>74</v>
      </c>
      <c r="AF527" s="1" t="s">
        <v>74</v>
      </c>
      <c r="AG527" s="1" t="s">
        <v>74</v>
      </c>
      <c r="AH527" s="1" t="s">
        <v>74</v>
      </c>
      <c r="AI527" s="1" t="s">
        <v>74</v>
      </c>
      <c r="AJ527" s="1" t="s">
        <v>74</v>
      </c>
      <c r="AK527" s="1" t="s">
        <v>74</v>
      </c>
      <c r="AL527" s="1" t="s">
        <v>74</v>
      </c>
      <c r="AM527" s="1" t="s">
        <v>74</v>
      </c>
      <c r="AN527" s="1" t="s">
        <v>74</v>
      </c>
      <c r="AO527" s="1" t="s">
        <v>2470</v>
      </c>
      <c r="AP527" s="1" t="s">
        <v>2471</v>
      </c>
      <c r="AQ527" s="1" t="s">
        <v>74</v>
      </c>
      <c r="AR527" s="1" t="s">
        <v>74</v>
      </c>
      <c r="AS527" s="1" t="s">
        <v>74</v>
      </c>
      <c r="AT527" s="1" t="s">
        <v>4551</v>
      </c>
      <c r="AU527" s="1">
        <v>2019.0</v>
      </c>
      <c r="AV527" s="1">
        <v>99.0</v>
      </c>
      <c r="AW527" s="1">
        <v>12.0</v>
      </c>
      <c r="AX527" s="1" t="s">
        <v>74</v>
      </c>
      <c r="AY527" s="1" t="s">
        <v>74</v>
      </c>
      <c r="AZ527" s="1" t="s">
        <v>74</v>
      </c>
      <c r="BA527" s="1" t="s">
        <v>74</v>
      </c>
      <c r="BB527" s="1" t="s">
        <v>74</v>
      </c>
      <c r="BC527" s="1" t="s">
        <v>74</v>
      </c>
      <c r="BD527" s="1">
        <v>125016.0</v>
      </c>
      <c r="BE527" s="1" t="s">
        <v>4552</v>
      </c>
      <c r="BF527" s="2" t="str">
        <f>HYPERLINK("http://dx.doi.org/10.1103/PhysRevD.99.125016","http://dx.doi.org/10.1103/PhysRevD.99.125016")</f>
        <v>http://dx.doi.org/10.1103/PhysRevD.99.125016</v>
      </c>
      <c r="BG527" s="1" t="s">
        <v>74</v>
      </c>
      <c r="BH527" s="1" t="s">
        <v>74</v>
      </c>
      <c r="BI527" s="1" t="s">
        <v>74</v>
      </c>
      <c r="BJ527" s="1" t="s">
        <v>74</v>
      </c>
      <c r="BK527" s="1" t="s">
        <v>74</v>
      </c>
      <c r="BL527" s="1" t="s">
        <v>74</v>
      </c>
      <c r="BM527" s="1" t="s">
        <v>74</v>
      </c>
      <c r="BN527" s="1" t="s">
        <v>74</v>
      </c>
      <c r="BO527" s="1" t="s">
        <v>74</v>
      </c>
      <c r="BP527" s="1" t="s">
        <v>74</v>
      </c>
      <c r="BQ527" s="1" t="s">
        <v>74</v>
      </c>
      <c r="BR527" s="1" t="s">
        <v>74</v>
      </c>
      <c r="BS527" s="1" t="s">
        <v>4553</v>
      </c>
      <c r="BT527" s="1" t="str">
        <f>HYPERLINK("https%3A%2F%2Fwww.webofscience.com%2Fwos%2Fwoscc%2Ffull-record%2FWOS:000473028100007","View Full Record in Web of Science")</f>
        <v>View Full Record in Web of Science</v>
      </c>
    </row>
    <row r="528" ht="12.75" customHeight="1">
      <c r="A528" s="1" t="s">
        <v>72</v>
      </c>
      <c r="B528" s="1" t="s">
        <v>4554</v>
      </c>
      <c r="C528" s="1" t="s">
        <v>74</v>
      </c>
      <c r="D528" s="1" t="s">
        <v>74</v>
      </c>
      <c r="E528" s="1" t="s">
        <v>74</v>
      </c>
      <c r="F528" s="1" t="s">
        <v>4555</v>
      </c>
      <c r="G528" s="1" t="s">
        <v>74</v>
      </c>
      <c r="H528" s="1" t="s">
        <v>74</v>
      </c>
      <c r="I528" s="1" t="s">
        <v>4556</v>
      </c>
      <c r="J528" s="1" t="s">
        <v>4557</v>
      </c>
      <c r="K528" s="1" t="s">
        <v>74</v>
      </c>
      <c r="L528" s="1" t="s">
        <v>74</v>
      </c>
      <c r="M528" s="1" t="s">
        <v>74</v>
      </c>
      <c r="N528" s="1" t="s">
        <v>74</v>
      </c>
      <c r="O528" s="1" t="s">
        <v>74</v>
      </c>
      <c r="P528" s="1" t="s">
        <v>74</v>
      </c>
      <c r="Q528" s="1" t="s">
        <v>74</v>
      </c>
      <c r="R528" s="1" t="s">
        <v>74</v>
      </c>
      <c r="S528" s="1" t="s">
        <v>74</v>
      </c>
      <c r="T528" s="1" t="s">
        <v>74</v>
      </c>
      <c r="U528" s="1" t="s">
        <v>74</v>
      </c>
      <c r="V528" s="1" t="s">
        <v>4558</v>
      </c>
      <c r="W528" s="1" t="s">
        <v>74</v>
      </c>
      <c r="X528" s="1" t="s">
        <v>74</v>
      </c>
      <c r="Y528" s="1" t="s">
        <v>74</v>
      </c>
      <c r="Z528" s="1" t="s">
        <v>74</v>
      </c>
      <c r="AA528" s="1" t="s">
        <v>4559</v>
      </c>
      <c r="AB528" s="1" t="s">
        <v>4560</v>
      </c>
      <c r="AC528" s="1" t="s">
        <v>74</v>
      </c>
      <c r="AD528" s="1" t="s">
        <v>74</v>
      </c>
      <c r="AE528" s="1" t="s">
        <v>74</v>
      </c>
      <c r="AF528" s="1" t="s">
        <v>74</v>
      </c>
      <c r="AG528" s="1" t="s">
        <v>74</v>
      </c>
      <c r="AH528" s="1" t="s">
        <v>74</v>
      </c>
      <c r="AI528" s="1" t="s">
        <v>74</v>
      </c>
      <c r="AJ528" s="1" t="s">
        <v>74</v>
      </c>
      <c r="AK528" s="1" t="s">
        <v>74</v>
      </c>
      <c r="AL528" s="1" t="s">
        <v>74</v>
      </c>
      <c r="AM528" s="1" t="s">
        <v>74</v>
      </c>
      <c r="AN528" s="1" t="s">
        <v>74</v>
      </c>
      <c r="AO528" s="1" t="s">
        <v>4561</v>
      </c>
      <c r="AP528" s="1" t="s">
        <v>4562</v>
      </c>
      <c r="AQ528" s="1" t="s">
        <v>74</v>
      </c>
      <c r="AR528" s="1" t="s">
        <v>74</v>
      </c>
      <c r="AS528" s="1" t="s">
        <v>74</v>
      </c>
      <c r="AT528" s="1" t="s">
        <v>148</v>
      </c>
      <c r="AU528" s="1">
        <v>2019.0</v>
      </c>
      <c r="AV528" s="1">
        <v>31.0</v>
      </c>
      <c r="AW528" s="1">
        <v>4.0</v>
      </c>
      <c r="AX528" s="1" t="s">
        <v>74</v>
      </c>
      <c r="AY528" s="1" t="s">
        <v>74</v>
      </c>
      <c r="AZ528" s="1" t="s">
        <v>74</v>
      </c>
      <c r="BA528" s="1" t="s">
        <v>74</v>
      </c>
      <c r="BB528" s="1">
        <v>689.0</v>
      </c>
      <c r="BC528" s="1">
        <v>697.0</v>
      </c>
      <c r="BD528" s="1" t="s">
        <v>74</v>
      </c>
      <c r="BE528" s="1" t="s">
        <v>4563</v>
      </c>
      <c r="BF528" s="2" t="str">
        <f>HYPERLINK("http://dx.doi.org/10.1071/RD18114","http://dx.doi.org/10.1071/RD18114")</f>
        <v>http://dx.doi.org/10.1071/RD18114</v>
      </c>
      <c r="BG528" s="1" t="s">
        <v>74</v>
      </c>
      <c r="BH528" s="1" t="s">
        <v>74</v>
      </c>
      <c r="BI528" s="1" t="s">
        <v>74</v>
      </c>
      <c r="BJ528" s="1" t="s">
        <v>74</v>
      </c>
      <c r="BK528" s="1" t="s">
        <v>74</v>
      </c>
      <c r="BL528" s="1" t="s">
        <v>74</v>
      </c>
      <c r="BM528" s="1" t="s">
        <v>74</v>
      </c>
      <c r="BN528" s="1">
        <v>3.0449298E7</v>
      </c>
      <c r="BO528" s="1" t="s">
        <v>74</v>
      </c>
      <c r="BP528" s="1" t="s">
        <v>74</v>
      </c>
      <c r="BQ528" s="1" t="s">
        <v>74</v>
      </c>
      <c r="BR528" s="1" t="s">
        <v>74</v>
      </c>
      <c r="BS528" s="1" t="s">
        <v>4564</v>
      </c>
      <c r="BT528" s="1" t="str">
        <f>HYPERLINK("https%3A%2F%2Fwww.webofscience.com%2Fwos%2Fwoscc%2Ffull-record%2FWOS:000462339000006","View Full Record in Web of Science")</f>
        <v>View Full Record in Web of Science</v>
      </c>
    </row>
    <row r="529" ht="12.75" customHeight="1">
      <c r="A529" s="1" t="s">
        <v>72</v>
      </c>
      <c r="B529" s="1" t="s">
        <v>2777</v>
      </c>
      <c r="C529" s="1" t="s">
        <v>74</v>
      </c>
      <c r="D529" s="1" t="s">
        <v>74</v>
      </c>
      <c r="E529" s="1" t="s">
        <v>74</v>
      </c>
      <c r="F529" s="1" t="s">
        <v>2778</v>
      </c>
      <c r="G529" s="1" t="s">
        <v>74</v>
      </c>
      <c r="H529" s="1" t="s">
        <v>74</v>
      </c>
      <c r="I529" s="1" t="s">
        <v>4565</v>
      </c>
      <c r="J529" s="1" t="s">
        <v>2466</v>
      </c>
      <c r="K529" s="1" t="s">
        <v>74</v>
      </c>
      <c r="L529" s="1" t="s">
        <v>74</v>
      </c>
      <c r="M529" s="1" t="s">
        <v>74</v>
      </c>
      <c r="N529" s="1" t="s">
        <v>74</v>
      </c>
      <c r="O529" s="1" t="s">
        <v>74</v>
      </c>
      <c r="P529" s="1" t="s">
        <v>74</v>
      </c>
      <c r="Q529" s="1" t="s">
        <v>74</v>
      </c>
      <c r="R529" s="1" t="s">
        <v>74</v>
      </c>
      <c r="S529" s="1" t="s">
        <v>74</v>
      </c>
      <c r="T529" s="1" t="s">
        <v>74</v>
      </c>
      <c r="U529" s="1" t="s">
        <v>74</v>
      </c>
      <c r="V529" s="1" t="s">
        <v>4566</v>
      </c>
      <c r="W529" s="1" t="s">
        <v>74</v>
      </c>
      <c r="X529" s="1" t="s">
        <v>74</v>
      </c>
      <c r="Y529" s="1" t="s">
        <v>74</v>
      </c>
      <c r="Z529" s="1" t="s">
        <v>74</v>
      </c>
      <c r="AA529" s="1" t="s">
        <v>2782</v>
      </c>
      <c r="AB529" s="1" t="s">
        <v>2783</v>
      </c>
      <c r="AC529" s="1" t="s">
        <v>74</v>
      </c>
      <c r="AD529" s="1" t="s">
        <v>74</v>
      </c>
      <c r="AE529" s="1" t="s">
        <v>74</v>
      </c>
      <c r="AF529" s="1" t="s">
        <v>74</v>
      </c>
      <c r="AG529" s="1" t="s">
        <v>74</v>
      </c>
      <c r="AH529" s="1" t="s">
        <v>74</v>
      </c>
      <c r="AI529" s="1" t="s">
        <v>74</v>
      </c>
      <c r="AJ529" s="1" t="s">
        <v>74</v>
      </c>
      <c r="AK529" s="1" t="s">
        <v>74</v>
      </c>
      <c r="AL529" s="1" t="s">
        <v>74</v>
      </c>
      <c r="AM529" s="1" t="s">
        <v>74</v>
      </c>
      <c r="AN529" s="1" t="s">
        <v>74</v>
      </c>
      <c r="AO529" s="1" t="s">
        <v>2470</v>
      </c>
      <c r="AP529" s="1" t="s">
        <v>2471</v>
      </c>
      <c r="AQ529" s="1" t="s">
        <v>74</v>
      </c>
      <c r="AR529" s="1" t="s">
        <v>74</v>
      </c>
      <c r="AS529" s="1" t="s">
        <v>74</v>
      </c>
      <c r="AT529" s="1" t="s">
        <v>4567</v>
      </c>
      <c r="AU529" s="1">
        <v>2019.0</v>
      </c>
      <c r="AV529" s="1">
        <v>99.0</v>
      </c>
      <c r="AW529" s="1">
        <v>2.0</v>
      </c>
      <c r="AX529" s="1" t="s">
        <v>74</v>
      </c>
      <c r="AY529" s="1" t="s">
        <v>74</v>
      </c>
      <c r="AZ529" s="1" t="s">
        <v>74</v>
      </c>
      <c r="BA529" s="1" t="s">
        <v>74</v>
      </c>
      <c r="BB529" s="1" t="s">
        <v>74</v>
      </c>
      <c r="BC529" s="1" t="s">
        <v>74</v>
      </c>
      <c r="BD529" s="1">
        <v>25001.0</v>
      </c>
      <c r="BE529" s="1" t="s">
        <v>4568</v>
      </c>
      <c r="BF529" s="2" t="str">
        <f>HYPERLINK("http://dx.doi.org/10.1103/PhysRevD.99.025001","http://dx.doi.org/10.1103/PhysRevD.99.025001")</f>
        <v>http://dx.doi.org/10.1103/PhysRevD.99.025001</v>
      </c>
      <c r="BG529" s="1" t="s">
        <v>74</v>
      </c>
      <c r="BH529" s="1" t="s">
        <v>74</v>
      </c>
      <c r="BI529" s="1" t="s">
        <v>74</v>
      </c>
      <c r="BJ529" s="1" t="s">
        <v>74</v>
      </c>
      <c r="BK529" s="1" t="s">
        <v>74</v>
      </c>
      <c r="BL529" s="1" t="s">
        <v>74</v>
      </c>
      <c r="BM529" s="1" t="s">
        <v>74</v>
      </c>
      <c r="BN529" s="1" t="s">
        <v>74</v>
      </c>
      <c r="BO529" s="1" t="s">
        <v>74</v>
      </c>
      <c r="BP529" s="1" t="s">
        <v>74</v>
      </c>
      <c r="BQ529" s="1" t="s">
        <v>74</v>
      </c>
      <c r="BR529" s="1" t="s">
        <v>74</v>
      </c>
      <c r="BS529" s="1" t="s">
        <v>4569</v>
      </c>
      <c r="BT529" s="1" t="str">
        <f>HYPERLINK("https%3A%2F%2Fwww.webofscience.com%2Fwos%2Fwoscc%2Ffull-record%2FWOS:000454769300012","View Full Record in Web of Science")</f>
        <v>View Full Record in Web of Science</v>
      </c>
    </row>
    <row r="530" ht="12.75" customHeight="1">
      <c r="A530" s="1" t="s">
        <v>72</v>
      </c>
      <c r="B530" s="1" t="s">
        <v>4570</v>
      </c>
      <c r="C530" s="1" t="s">
        <v>74</v>
      </c>
      <c r="D530" s="1" t="s">
        <v>74</v>
      </c>
      <c r="E530" s="1" t="s">
        <v>74</v>
      </c>
      <c r="F530" s="1" t="s">
        <v>4571</v>
      </c>
      <c r="G530" s="1" t="s">
        <v>74</v>
      </c>
      <c r="H530" s="1" t="s">
        <v>74</v>
      </c>
      <c r="I530" s="1" t="s">
        <v>4572</v>
      </c>
      <c r="J530" s="1" t="s">
        <v>4573</v>
      </c>
      <c r="K530" s="1" t="s">
        <v>74</v>
      </c>
      <c r="L530" s="1" t="s">
        <v>74</v>
      </c>
      <c r="M530" s="1" t="s">
        <v>74</v>
      </c>
      <c r="N530" s="1" t="s">
        <v>74</v>
      </c>
      <c r="O530" s="1" t="s">
        <v>74</v>
      </c>
      <c r="P530" s="1" t="s">
        <v>74</v>
      </c>
      <c r="Q530" s="1" t="s">
        <v>74</v>
      </c>
      <c r="R530" s="1" t="s">
        <v>74</v>
      </c>
      <c r="S530" s="1" t="s">
        <v>74</v>
      </c>
      <c r="T530" s="1" t="s">
        <v>74</v>
      </c>
      <c r="U530" s="1" t="s">
        <v>74</v>
      </c>
      <c r="V530" s="1" t="s">
        <v>4574</v>
      </c>
      <c r="W530" s="1" t="s">
        <v>74</v>
      </c>
      <c r="X530" s="1" t="s">
        <v>74</v>
      </c>
      <c r="Y530" s="1" t="s">
        <v>74</v>
      </c>
      <c r="Z530" s="1" t="s">
        <v>74</v>
      </c>
      <c r="AA530" s="1" t="s">
        <v>4575</v>
      </c>
      <c r="AB530" s="1" t="s">
        <v>4576</v>
      </c>
      <c r="AC530" s="1" t="s">
        <v>74</v>
      </c>
      <c r="AD530" s="1" t="s">
        <v>74</v>
      </c>
      <c r="AE530" s="1" t="s">
        <v>74</v>
      </c>
      <c r="AF530" s="1" t="s">
        <v>74</v>
      </c>
      <c r="AG530" s="1" t="s">
        <v>74</v>
      </c>
      <c r="AH530" s="1" t="s">
        <v>74</v>
      </c>
      <c r="AI530" s="1" t="s">
        <v>74</v>
      </c>
      <c r="AJ530" s="1" t="s">
        <v>74</v>
      </c>
      <c r="AK530" s="1" t="s">
        <v>74</v>
      </c>
      <c r="AL530" s="1" t="s">
        <v>74</v>
      </c>
      <c r="AM530" s="1" t="s">
        <v>74</v>
      </c>
      <c r="AN530" s="1" t="s">
        <v>74</v>
      </c>
      <c r="AO530" s="1" t="s">
        <v>74</v>
      </c>
      <c r="AP530" s="1" t="s">
        <v>4577</v>
      </c>
      <c r="AQ530" s="1" t="s">
        <v>74</v>
      </c>
      <c r="AR530" s="1" t="s">
        <v>74</v>
      </c>
      <c r="AS530" s="1" t="s">
        <v>74</v>
      </c>
      <c r="AT530" s="1" t="s">
        <v>4578</v>
      </c>
      <c r="AU530" s="1">
        <v>2018.0</v>
      </c>
      <c r="AV530" s="1">
        <v>293.0</v>
      </c>
      <c r="AW530" s="1">
        <v>32.0</v>
      </c>
      <c r="AX530" s="1" t="s">
        <v>74</v>
      </c>
      <c r="AY530" s="1" t="s">
        <v>74</v>
      </c>
      <c r="AZ530" s="1" t="s">
        <v>74</v>
      </c>
      <c r="BA530" s="1" t="s">
        <v>74</v>
      </c>
      <c r="BB530" s="1">
        <v>12454.0</v>
      </c>
      <c r="BC530" s="1">
        <v>12471.0</v>
      </c>
      <c r="BD530" s="1" t="s">
        <v>74</v>
      </c>
      <c r="BE530" s="1" t="s">
        <v>4579</v>
      </c>
      <c r="BF530" s="2" t="str">
        <f>HYPERLINK("http://dx.doi.org/10.1074/jbc.RA118.002256","http://dx.doi.org/10.1074/jbc.RA118.002256")</f>
        <v>http://dx.doi.org/10.1074/jbc.RA118.002256</v>
      </c>
      <c r="BG530" s="1" t="s">
        <v>74</v>
      </c>
      <c r="BH530" s="1" t="s">
        <v>74</v>
      </c>
      <c r="BI530" s="1" t="s">
        <v>74</v>
      </c>
      <c r="BJ530" s="1" t="s">
        <v>74</v>
      </c>
      <c r="BK530" s="1" t="s">
        <v>74</v>
      </c>
      <c r="BL530" s="1" t="s">
        <v>74</v>
      </c>
      <c r="BM530" s="1" t="s">
        <v>74</v>
      </c>
      <c r="BN530" s="1">
        <v>2.9880642E7</v>
      </c>
      <c r="BO530" s="1" t="s">
        <v>74</v>
      </c>
      <c r="BP530" s="1" t="s">
        <v>74</v>
      </c>
      <c r="BQ530" s="1" t="s">
        <v>74</v>
      </c>
      <c r="BR530" s="1" t="s">
        <v>74</v>
      </c>
      <c r="BS530" s="1" t="s">
        <v>4580</v>
      </c>
      <c r="BT530" s="1" t="str">
        <f>HYPERLINK("https%3A%2F%2Fwww.webofscience.com%2Fwos%2Fwoscc%2Ffull-record%2FWOS:000441408500012","View Full Record in Web of Science")</f>
        <v>View Full Record in Web of Science</v>
      </c>
    </row>
    <row r="531" ht="12.75" customHeight="1">
      <c r="A531" s="1" t="s">
        <v>91</v>
      </c>
      <c r="B531" s="1" t="s">
        <v>4581</v>
      </c>
      <c r="C531" s="1" t="s">
        <v>74</v>
      </c>
      <c r="D531" s="1" t="s">
        <v>3842</v>
      </c>
      <c r="E531" s="1" t="s">
        <v>74</v>
      </c>
      <c r="F531" s="1" t="s">
        <v>4582</v>
      </c>
      <c r="G531" s="1" t="s">
        <v>74</v>
      </c>
      <c r="H531" s="1" t="s">
        <v>74</v>
      </c>
      <c r="I531" s="1" t="s">
        <v>4583</v>
      </c>
      <c r="J531" s="1" t="s">
        <v>3845</v>
      </c>
      <c r="K531" s="1" t="s">
        <v>74</v>
      </c>
      <c r="L531" s="1" t="s">
        <v>74</v>
      </c>
      <c r="M531" s="1" t="s">
        <v>74</v>
      </c>
      <c r="N531" s="1" t="s">
        <v>74</v>
      </c>
      <c r="O531" s="1" t="s">
        <v>3846</v>
      </c>
      <c r="P531" s="1" t="s">
        <v>3847</v>
      </c>
      <c r="Q531" s="1" t="s">
        <v>3848</v>
      </c>
      <c r="R531" s="1" t="s">
        <v>3849</v>
      </c>
      <c r="S531" s="1" t="s">
        <v>74</v>
      </c>
      <c r="T531" s="1" t="s">
        <v>74</v>
      </c>
      <c r="U531" s="1" t="s">
        <v>74</v>
      </c>
      <c r="V531" s="1" t="s">
        <v>4584</v>
      </c>
      <c r="W531" s="1" t="s">
        <v>74</v>
      </c>
      <c r="X531" s="1" t="s">
        <v>74</v>
      </c>
      <c r="Y531" s="1" t="s">
        <v>74</v>
      </c>
      <c r="Z531" s="1" t="s">
        <v>74</v>
      </c>
      <c r="AA531" s="1" t="s">
        <v>74</v>
      </c>
      <c r="AB531" s="1" t="s">
        <v>74</v>
      </c>
      <c r="AC531" s="1" t="s">
        <v>74</v>
      </c>
      <c r="AD531" s="1" t="s">
        <v>74</v>
      </c>
      <c r="AE531" s="1" t="s">
        <v>74</v>
      </c>
      <c r="AF531" s="1" t="s">
        <v>74</v>
      </c>
      <c r="AG531" s="1" t="s">
        <v>74</v>
      </c>
      <c r="AH531" s="1" t="s">
        <v>74</v>
      </c>
      <c r="AI531" s="1" t="s">
        <v>74</v>
      </c>
      <c r="AJ531" s="1" t="s">
        <v>74</v>
      </c>
      <c r="AK531" s="1" t="s">
        <v>74</v>
      </c>
      <c r="AL531" s="1" t="s">
        <v>74</v>
      </c>
      <c r="AM531" s="1" t="s">
        <v>74</v>
      </c>
      <c r="AN531" s="1" t="s">
        <v>74</v>
      </c>
      <c r="AO531" s="1" t="s">
        <v>74</v>
      </c>
      <c r="AP531" s="1" t="s">
        <v>74</v>
      </c>
      <c r="AQ531" s="1" t="s">
        <v>3852</v>
      </c>
      <c r="AR531" s="1" t="s">
        <v>74</v>
      </c>
      <c r="AS531" s="1" t="s">
        <v>74</v>
      </c>
      <c r="AT531" s="1" t="s">
        <v>74</v>
      </c>
      <c r="AU531" s="1">
        <v>2018.0</v>
      </c>
      <c r="AV531" s="1" t="s">
        <v>74</v>
      </c>
      <c r="AW531" s="1" t="s">
        <v>74</v>
      </c>
      <c r="AX531" s="1" t="s">
        <v>74</v>
      </c>
      <c r="AY531" s="1" t="s">
        <v>74</v>
      </c>
      <c r="AZ531" s="1" t="s">
        <v>74</v>
      </c>
      <c r="BA531" s="1" t="s">
        <v>74</v>
      </c>
      <c r="BB531" s="1" t="s">
        <v>74</v>
      </c>
      <c r="BC531" s="1" t="s">
        <v>74</v>
      </c>
      <c r="BD531" s="1" t="s">
        <v>74</v>
      </c>
      <c r="BE531" s="1" t="s">
        <v>74</v>
      </c>
      <c r="BF531" s="1" t="s">
        <v>74</v>
      </c>
      <c r="BG531" s="1" t="s">
        <v>74</v>
      </c>
      <c r="BH531" s="1" t="s">
        <v>74</v>
      </c>
      <c r="BI531" s="1" t="s">
        <v>74</v>
      </c>
      <c r="BJ531" s="1" t="s">
        <v>74</v>
      </c>
      <c r="BK531" s="1" t="s">
        <v>74</v>
      </c>
      <c r="BL531" s="1" t="s">
        <v>74</v>
      </c>
      <c r="BM531" s="1" t="s">
        <v>74</v>
      </c>
      <c r="BN531" s="1" t="s">
        <v>74</v>
      </c>
      <c r="BO531" s="1" t="s">
        <v>74</v>
      </c>
      <c r="BP531" s="1" t="s">
        <v>74</v>
      </c>
      <c r="BQ531" s="1" t="s">
        <v>74</v>
      </c>
      <c r="BR531" s="1" t="s">
        <v>74</v>
      </c>
      <c r="BS531" s="1" t="s">
        <v>4585</v>
      </c>
      <c r="BT531" s="1" t="str">
        <f>HYPERLINK("https%3A%2F%2Fwww.webofscience.com%2Fwos%2Fwoscc%2Ffull-record%2FWOS:000458417600001","View Full Record in Web of Science")</f>
        <v>View Full Record in Web of Science</v>
      </c>
    </row>
    <row r="532" ht="12.75" customHeight="1">
      <c r="A532" s="1" t="s">
        <v>91</v>
      </c>
      <c r="B532" s="1" t="s">
        <v>4586</v>
      </c>
      <c r="C532" s="1" t="s">
        <v>74</v>
      </c>
      <c r="D532" s="1" t="s">
        <v>3831</v>
      </c>
      <c r="E532" s="1" t="s">
        <v>74</v>
      </c>
      <c r="F532" s="1" t="s">
        <v>4587</v>
      </c>
      <c r="G532" s="1" t="s">
        <v>74</v>
      </c>
      <c r="H532" s="1" t="s">
        <v>74</v>
      </c>
      <c r="I532" s="1" t="s">
        <v>4588</v>
      </c>
      <c r="J532" s="1" t="s">
        <v>3834</v>
      </c>
      <c r="K532" s="1" t="s">
        <v>74</v>
      </c>
      <c r="L532" s="1" t="s">
        <v>74</v>
      </c>
      <c r="M532" s="1" t="s">
        <v>74</v>
      </c>
      <c r="N532" s="1" t="s">
        <v>74</v>
      </c>
      <c r="O532" s="1" t="s">
        <v>3835</v>
      </c>
      <c r="P532" s="1" t="s">
        <v>3836</v>
      </c>
      <c r="Q532" s="1" t="s">
        <v>691</v>
      </c>
      <c r="R532" s="1" t="s">
        <v>3837</v>
      </c>
      <c r="S532" s="1" t="s">
        <v>74</v>
      </c>
      <c r="T532" s="1" t="s">
        <v>74</v>
      </c>
      <c r="U532" s="1" t="s">
        <v>74</v>
      </c>
      <c r="V532" s="1" t="s">
        <v>4589</v>
      </c>
      <c r="W532" s="1" t="s">
        <v>74</v>
      </c>
      <c r="X532" s="1" t="s">
        <v>74</v>
      </c>
      <c r="Y532" s="1" t="s">
        <v>74</v>
      </c>
      <c r="Z532" s="1" t="s">
        <v>74</v>
      </c>
      <c r="AA532" s="1" t="s">
        <v>694</v>
      </c>
      <c r="AB532" s="1" t="s">
        <v>4590</v>
      </c>
      <c r="AC532" s="1" t="s">
        <v>74</v>
      </c>
      <c r="AD532" s="1" t="s">
        <v>74</v>
      </c>
      <c r="AE532" s="1" t="s">
        <v>74</v>
      </c>
      <c r="AF532" s="1" t="s">
        <v>74</v>
      </c>
      <c r="AG532" s="1" t="s">
        <v>74</v>
      </c>
      <c r="AH532" s="1" t="s">
        <v>74</v>
      </c>
      <c r="AI532" s="1" t="s">
        <v>74</v>
      </c>
      <c r="AJ532" s="1" t="s">
        <v>74</v>
      </c>
      <c r="AK532" s="1" t="s">
        <v>74</v>
      </c>
      <c r="AL532" s="1" t="s">
        <v>74</v>
      </c>
      <c r="AM532" s="1" t="s">
        <v>74</v>
      </c>
      <c r="AN532" s="1" t="s">
        <v>74</v>
      </c>
      <c r="AO532" s="1" t="s">
        <v>74</v>
      </c>
      <c r="AP532" s="1" t="s">
        <v>74</v>
      </c>
      <c r="AQ532" s="1" t="s">
        <v>3839</v>
      </c>
      <c r="AR532" s="1" t="s">
        <v>74</v>
      </c>
      <c r="AS532" s="1" t="s">
        <v>74</v>
      </c>
      <c r="AT532" s="1" t="s">
        <v>74</v>
      </c>
      <c r="AU532" s="1">
        <v>2018.0</v>
      </c>
      <c r="AV532" s="1" t="s">
        <v>74</v>
      </c>
      <c r="AW532" s="1" t="s">
        <v>74</v>
      </c>
      <c r="AX532" s="1" t="s">
        <v>74</v>
      </c>
      <c r="AY532" s="1" t="s">
        <v>74</v>
      </c>
      <c r="AZ532" s="1" t="s">
        <v>74</v>
      </c>
      <c r="BA532" s="1" t="s">
        <v>74</v>
      </c>
      <c r="BB532" s="1">
        <v>97.0</v>
      </c>
      <c r="BC532" s="1">
        <v>102.0</v>
      </c>
      <c r="BD532" s="1" t="s">
        <v>74</v>
      </c>
      <c r="BE532" s="1" t="s">
        <v>74</v>
      </c>
      <c r="BF532" s="1" t="s">
        <v>74</v>
      </c>
      <c r="BG532" s="1" t="s">
        <v>74</v>
      </c>
      <c r="BH532" s="1" t="s">
        <v>74</v>
      </c>
      <c r="BI532" s="1" t="s">
        <v>74</v>
      </c>
      <c r="BJ532" s="1" t="s">
        <v>74</v>
      </c>
      <c r="BK532" s="1" t="s">
        <v>74</v>
      </c>
      <c r="BL532" s="1" t="s">
        <v>74</v>
      </c>
      <c r="BM532" s="1" t="s">
        <v>74</v>
      </c>
      <c r="BN532" s="1" t="s">
        <v>74</v>
      </c>
      <c r="BO532" s="1" t="s">
        <v>74</v>
      </c>
      <c r="BP532" s="1" t="s">
        <v>74</v>
      </c>
      <c r="BQ532" s="1" t="s">
        <v>74</v>
      </c>
      <c r="BR532" s="1" t="s">
        <v>74</v>
      </c>
      <c r="BS532" s="1" t="s">
        <v>4591</v>
      </c>
      <c r="BT532" s="1" t="str">
        <f>HYPERLINK("https%3A%2F%2Fwww.webofscience.com%2Fwos%2Fwoscc%2Ffull-record%2FWOS:000437157500015","View Full Record in Web of Science")</f>
        <v>View Full Record in Web of Science</v>
      </c>
    </row>
    <row r="533" ht="12.75" customHeight="1">
      <c r="A533" s="1" t="s">
        <v>162</v>
      </c>
      <c r="B533" s="1" t="s">
        <v>500</v>
      </c>
      <c r="C533" s="1" t="s">
        <v>74</v>
      </c>
      <c r="D533" s="1" t="s">
        <v>4592</v>
      </c>
      <c r="E533" s="1" t="s">
        <v>74</v>
      </c>
      <c r="F533" s="1" t="s">
        <v>502</v>
      </c>
      <c r="G533" s="1" t="s">
        <v>74</v>
      </c>
      <c r="H533" s="1" t="s">
        <v>74</v>
      </c>
      <c r="I533" s="1" t="s">
        <v>4593</v>
      </c>
      <c r="J533" s="1" t="s">
        <v>4594</v>
      </c>
      <c r="K533" s="1" t="s">
        <v>4595</v>
      </c>
      <c r="L533" s="1" t="s">
        <v>74</v>
      </c>
      <c r="M533" s="1" t="s">
        <v>74</v>
      </c>
      <c r="N533" s="1" t="s">
        <v>74</v>
      </c>
      <c r="O533" s="1" t="s">
        <v>74</v>
      </c>
      <c r="P533" s="1" t="s">
        <v>74</v>
      </c>
      <c r="Q533" s="1" t="s">
        <v>74</v>
      </c>
      <c r="R533" s="1" t="s">
        <v>74</v>
      </c>
      <c r="S533" s="1" t="s">
        <v>74</v>
      </c>
      <c r="T533" s="1" t="s">
        <v>74</v>
      </c>
      <c r="U533" s="1" t="s">
        <v>74</v>
      </c>
      <c r="V533" s="1" t="s">
        <v>74</v>
      </c>
      <c r="W533" s="1" t="s">
        <v>74</v>
      </c>
      <c r="X533" s="1" t="s">
        <v>74</v>
      </c>
      <c r="Y533" s="1" t="s">
        <v>74</v>
      </c>
      <c r="Z533" s="1" t="s">
        <v>74</v>
      </c>
      <c r="AA533" s="1" t="s">
        <v>74</v>
      </c>
      <c r="AB533" s="1" t="s">
        <v>74</v>
      </c>
      <c r="AC533" s="1" t="s">
        <v>74</v>
      </c>
      <c r="AD533" s="1" t="s">
        <v>74</v>
      </c>
      <c r="AE533" s="1" t="s">
        <v>74</v>
      </c>
      <c r="AF533" s="1" t="s">
        <v>74</v>
      </c>
      <c r="AG533" s="1" t="s">
        <v>74</v>
      </c>
      <c r="AH533" s="1" t="s">
        <v>74</v>
      </c>
      <c r="AI533" s="1" t="s">
        <v>74</v>
      </c>
      <c r="AJ533" s="1" t="s">
        <v>74</v>
      </c>
      <c r="AK533" s="1" t="s">
        <v>74</v>
      </c>
      <c r="AL533" s="1" t="s">
        <v>74</v>
      </c>
      <c r="AM533" s="1" t="s">
        <v>74</v>
      </c>
      <c r="AN533" s="1" t="s">
        <v>74</v>
      </c>
      <c r="AO533" s="1" t="s">
        <v>4596</v>
      </c>
      <c r="AP533" s="1" t="s">
        <v>74</v>
      </c>
      <c r="AQ533" s="1" t="s">
        <v>4597</v>
      </c>
      <c r="AR533" s="1" t="s">
        <v>74</v>
      </c>
      <c r="AS533" s="1" t="s">
        <v>74</v>
      </c>
      <c r="AT533" s="1" t="s">
        <v>74</v>
      </c>
      <c r="AU533" s="1">
        <v>2018.0</v>
      </c>
      <c r="AV533" s="1" t="s">
        <v>74</v>
      </c>
      <c r="AW533" s="1" t="s">
        <v>74</v>
      </c>
      <c r="AX533" s="1" t="s">
        <v>74</v>
      </c>
      <c r="AY533" s="1" t="s">
        <v>74</v>
      </c>
      <c r="AZ533" s="1" t="s">
        <v>74</v>
      </c>
      <c r="BA533" s="1" t="s">
        <v>74</v>
      </c>
      <c r="BB533" s="1">
        <v>265.0</v>
      </c>
      <c r="BC533" s="1">
        <v>281.0</v>
      </c>
      <c r="BD533" s="1" t="s">
        <v>74</v>
      </c>
      <c r="BE533" s="1" t="s">
        <v>4598</v>
      </c>
      <c r="BF533" s="2" t="str">
        <f>HYPERLINK("http://dx.doi.org/10.1515/9783110549577-018","http://dx.doi.org/10.1515/9783110549577-018")</f>
        <v>http://dx.doi.org/10.1515/9783110549577-018</v>
      </c>
      <c r="BG533" s="1" t="s">
        <v>74</v>
      </c>
      <c r="BH533" s="1" t="s">
        <v>74</v>
      </c>
      <c r="BI533" s="1" t="s">
        <v>74</v>
      </c>
      <c r="BJ533" s="1" t="s">
        <v>74</v>
      </c>
      <c r="BK533" s="1" t="s">
        <v>74</v>
      </c>
      <c r="BL533" s="1" t="s">
        <v>74</v>
      </c>
      <c r="BM533" s="1" t="s">
        <v>74</v>
      </c>
      <c r="BN533" s="1" t="s">
        <v>74</v>
      </c>
      <c r="BO533" s="1" t="s">
        <v>74</v>
      </c>
      <c r="BP533" s="1" t="s">
        <v>74</v>
      </c>
      <c r="BQ533" s="1" t="s">
        <v>74</v>
      </c>
      <c r="BR533" s="1" t="s">
        <v>74</v>
      </c>
      <c r="BS533" s="1" t="s">
        <v>4599</v>
      </c>
      <c r="BT533" s="1" t="str">
        <f>HYPERLINK("https%3A%2F%2Fwww.webofscience.com%2Fwos%2Fwoscc%2Ffull-record%2FWOS:000474197000018","View Full Record in Web of Science")</f>
        <v>View Full Record in Web of Science</v>
      </c>
    </row>
    <row r="534" ht="12.75" customHeight="1">
      <c r="A534" s="1" t="s">
        <v>72</v>
      </c>
      <c r="B534" s="1" t="s">
        <v>4600</v>
      </c>
      <c r="C534" s="1" t="s">
        <v>74</v>
      </c>
      <c r="D534" s="1" t="s">
        <v>74</v>
      </c>
      <c r="E534" s="1" t="s">
        <v>74</v>
      </c>
      <c r="F534" s="1" t="s">
        <v>4601</v>
      </c>
      <c r="G534" s="1" t="s">
        <v>74</v>
      </c>
      <c r="H534" s="1" t="s">
        <v>74</v>
      </c>
      <c r="I534" s="1" t="s">
        <v>4602</v>
      </c>
      <c r="J534" s="1" t="s">
        <v>4603</v>
      </c>
      <c r="K534" s="1" t="s">
        <v>74</v>
      </c>
      <c r="L534" s="1" t="s">
        <v>74</v>
      </c>
      <c r="M534" s="1" t="s">
        <v>74</v>
      </c>
      <c r="N534" s="1" t="s">
        <v>74</v>
      </c>
      <c r="O534" s="1" t="s">
        <v>74</v>
      </c>
      <c r="P534" s="1" t="s">
        <v>74</v>
      </c>
      <c r="Q534" s="1" t="s">
        <v>74</v>
      </c>
      <c r="R534" s="1" t="s">
        <v>74</v>
      </c>
      <c r="S534" s="1" t="s">
        <v>74</v>
      </c>
      <c r="T534" s="1" t="s">
        <v>74</v>
      </c>
      <c r="U534" s="1" t="s">
        <v>74</v>
      </c>
      <c r="V534" s="1" t="s">
        <v>4604</v>
      </c>
      <c r="W534" s="1" t="s">
        <v>74</v>
      </c>
      <c r="X534" s="1" t="s">
        <v>74</v>
      </c>
      <c r="Y534" s="1" t="s">
        <v>74</v>
      </c>
      <c r="Z534" s="1" t="s">
        <v>74</v>
      </c>
      <c r="AA534" s="1" t="s">
        <v>3789</v>
      </c>
      <c r="AB534" s="1" t="s">
        <v>74</v>
      </c>
      <c r="AC534" s="1" t="s">
        <v>74</v>
      </c>
      <c r="AD534" s="1" t="s">
        <v>74</v>
      </c>
      <c r="AE534" s="1" t="s">
        <v>74</v>
      </c>
      <c r="AF534" s="1" t="s">
        <v>74</v>
      </c>
      <c r="AG534" s="1" t="s">
        <v>74</v>
      </c>
      <c r="AH534" s="1" t="s">
        <v>74</v>
      </c>
      <c r="AI534" s="1" t="s">
        <v>74</v>
      </c>
      <c r="AJ534" s="1" t="s">
        <v>74</v>
      </c>
      <c r="AK534" s="1" t="s">
        <v>74</v>
      </c>
      <c r="AL534" s="1" t="s">
        <v>74</v>
      </c>
      <c r="AM534" s="1" t="s">
        <v>74</v>
      </c>
      <c r="AN534" s="1" t="s">
        <v>74</v>
      </c>
      <c r="AO534" s="1" t="s">
        <v>4605</v>
      </c>
      <c r="AP534" s="1" t="s">
        <v>74</v>
      </c>
      <c r="AQ534" s="1" t="s">
        <v>74</v>
      </c>
      <c r="AR534" s="1" t="s">
        <v>74</v>
      </c>
      <c r="AS534" s="1" t="s">
        <v>74</v>
      </c>
      <c r="AT534" s="1" t="s">
        <v>74</v>
      </c>
      <c r="AU534" s="1">
        <v>2018.0</v>
      </c>
      <c r="AV534" s="1">
        <v>25.0</v>
      </c>
      <c r="AW534" s="1">
        <v>1.0</v>
      </c>
      <c r="AX534" s="1" t="s">
        <v>74</v>
      </c>
      <c r="AY534" s="1" t="s">
        <v>74</v>
      </c>
      <c r="AZ534" s="1" t="s">
        <v>74</v>
      </c>
      <c r="BA534" s="1" t="s">
        <v>74</v>
      </c>
      <c r="BB534" s="1">
        <v>31.0</v>
      </c>
      <c r="BC534" s="1">
        <v>64.0</v>
      </c>
      <c r="BD534" s="1" t="s">
        <v>74</v>
      </c>
      <c r="BE534" s="1" t="s">
        <v>74</v>
      </c>
      <c r="BF534" s="1" t="s">
        <v>74</v>
      </c>
      <c r="BG534" s="1" t="s">
        <v>74</v>
      </c>
      <c r="BH534" s="1" t="s">
        <v>74</v>
      </c>
      <c r="BI534" s="1" t="s">
        <v>74</v>
      </c>
      <c r="BJ534" s="1" t="s">
        <v>74</v>
      </c>
      <c r="BK534" s="1" t="s">
        <v>74</v>
      </c>
      <c r="BL534" s="1" t="s">
        <v>74</v>
      </c>
      <c r="BM534" s="1" t="s">
        <v>74</v>
      </c>
      <c r="BN534" s="1" t="s">
        <v>74</v>
      </c>
      <c r="BO534" s="1" t="s">
        <v>74</v>
      </c>
      <c r="BP534" s="1" t="s">
        <v>74</v>
      </c>
      <c r="BQ534" s="1" t="s">
        <v>74</v>
      </c>
      <c r="BR534" s="1" t="s">
        <v>74</v>
      </c>
      <c r="BS534" s="1" t="s">
        <v>4606</v>
      </c>
      <c r="BT534" s="1" t="str">
        <f>HYPERLINK("https%3A%2F%2Fwww.webofscience.com%2Fwos%2Fwoscc%2Ffull-record%2FWOS:000425180500002","View Full Record in Web of Science")</f>
        <v>View Full Record in Web of Science</v>
      </c>
    </row>
    <row r="535" ht="12.75" customHeight="1">
      <c r="A535" s="1" t="s">
        <v>454</v>
      </c>
      <c r="B535" s="1" t="s">
        <v>4607</v>
      </c>
      <c r="C535" s="1" t="s">
        <v>1480</v>
      </c>
      <c r="D535" s="1" t="s">
        <v>74</v>
      </c>
      <c r="E535" s="1" t="s">
        <v>74</v>
      </c>
      <c r="F535" s="1" t="s">
        <v>4608</v>
      </c>
      <c r="G535" s="1" t="s">
        <v>1480</v>
      </c>
      <c r="H535" s="1" t="s">
        <v>74</v>
      </c>
      <c r="I535" s="1" t="s">
        <v>4609</v>
      </c>
      <c r="J535" s="1" t="s">
        <v>1483</v>
      </c>
      <c r="K535" s="1" t="s">
        <v>74</v>
      </c>
      <c r="L535" s="1" t="s">
        <v>74</v>
      </c>
      <c r="M535" s="1" t="s">
        <v>74</v>
      </c>
      <c r="N535" s="1" t="s">
        <v>74</v>
      </c>
      <c r="O535" s="1" t="s">
        <v>74</v>
      </c>
      <c r="P535" s="1" t="s">
        <v>74</v>
      </c>
      <c r="Q535" s="1" t="s">
        <v>74</v>
      </c>
      <c r="R535" s="1" t="s">
        <v>74</v>
      </c>
      <c r="S535" s="1" t="s">
        <v>74</v>
      </c>
      <c r="T535" s="1" t="s">
        <v>74</v>
      </c>
      <c r="U535" s="1" t="s">
        <v>74</v>
      </c>
      <c r="V535" s="1" t="s">
        <v>4610</v>
      </c>
      <c r="W535" s="1" t="s">
        <v>74</v>
      </c>
      <c r="X535" s="1" t="s">
        <v>74</v>
      </c>
      <c r="Y535" s="1" t="s">
        <v>74</v>
      </c>
      <c r="Z535" s="1" t="s">
        <v>74</v>
      </c>
      <c r="AA535" s="1" t="s">
        <v>74</v>
      </c>
      <c r="AB535" s="1" t="s">
        <v>74</v>
      </c>
      <c r="AC535" s="1" t="s">
        <v>74</v>
      </c>
      <c r="AD535" s="1" t="s">
        <v>74</v>
      </c>
      <c r="AE535" s="1" t="s">
        <v>74</v>
      </c>
      <c r="AF535" s="1" t="s">
        <v>74</v>
      </c>
      <c r="AG535" s="1" t="s">
        <v>74</v>
      </c>
      <c r="AH535" s="1" t="s">
        <v>74</v>
      </c>
      <c r="AI535" s="1" t="s">
        <v>74</v>
      </c>
      <c r="AJ535" s="1" t="s">
        <v>74</v>
      </c>
      <c r="AK535" s="1" t="s">
        <v>74</v>
      </c>
      <c r="AL535" s="1" t="s">
        <v>74</v>
      </c>
      <c r="AM535" s="1" t="s">
        <v>74</v>
      </c>
      <c r="AN535" s="1" t="s">
        <v>74</v>
      </c>
      <c r="AO535" s="1" t="s">
        <v>74</v>
      </c>
      <c r="AP535" s="1" t="s">
        <v>74</v>
      </c>
      <c r="AQ535" s="1" t="s">
        <v>1485</v>
      </c>
      <c r="AR535" s="1" t="s">
        <v>74</v>
      </c>
      <c r="AS535" s="1" t="s">
        <v>74</v>
      </c>
      <c r="AT535" s="1" t="s">
        <v>74</v>
      </c>
      <c r="AU535" s="1">
        <v>2018.0</v>
      </c>
      <c r="AV535" s="1" t="s">
        <v>74</v>
      </c>
      <c r="AW535" s="1" t="s">
        <v>74</v>
      </c>
      <c r="AX535" s="1" t="s">
        <v>74</v>
      </c>
      <c r="AY535" s="1" t="s">
        <v>74</v>
      </c>
      <c r="AZ535" s="1" t="s">
        <v>74</v>
      </c>
      <c r="BA535" s="1" t="s">
        <v>74</v>
      </c>
      <c r="BB535" s="1">
        <v>67.0</v>
      </c>
      <c r="BC535" s="1">
        <v>82.0</v>
      </c>
      <c r="BD535" s="1" t="s">
        <v>74</v>
      </c>
      <c r="BE535" s="1" t="s">
        <v>74</v>
      </c>
      <c r="BF535" s="1" t="s">
        <v>74</v>
      </c>
      <c r="BG535" s="1" t="s">
        <v>74</v>
      </c>
      <c r="BH535" s="1" t="s">
        <v>74</v>
      </c>
      <c r="BI535" s="1" t="s">
        <v>74</v>
      </c>
      <c r="BJ535" s="1" t="s">
        <v>74</v>
      </c>
      <c r="BK535" s="1" t="s">
        <v>74</v>
      </c>
      <c r="BL535" s="1" t="s">
        <v>74</v>
      </c>
      <c r="BM535" s="1" t="s">
        <v>74</v>
      </c>
      <c r="BN535" s="1" t="s">
        <v>74</v>
      </c>
      <c r="BO535" s="1" t="s">
        <v>74</v>
      </c>
      <c r="BP535" s="1" t="s">
        <v>74</v>
      </c>
      <c r="BQ535" s="1" t="s">
        <v>74</v>
      </c>
      <c r="BR535" s="1" t="s">
        <v>74</v>
      </c>
      <c r="BS535" s="1" t="s">
        <v>4611</v>
      </c>
      <c r="BT535" s="1" t="str">
        <f>HYPERLINK("https%3A%2F%2Fwww.webofscience.com%2Fwos%2Fwoscc%2Ffull-record%2FWOS:000483366800006","View Full Record in Web of Science")</f>
        <v>View Full Record in Web of Science</v>
      </c>
    </row>
    <row r="536" ht="12.75" customHeight="1">
      <c r="A536" s="1" t="s">
        <v>72</v>
      </c>
      <c r="B536" s="1" t="s">
        <v>4612</v>
      </c>
      <c r="C536" s="1" t="s">
        <v>74</v>
      </c>
      <c r="D536" s="1" t="s">
        <v>74</v>
      </c>
      <c r="E536" s="1" t="s">
        <v>74</v>
      </c>
      <c r="F536" s="1" t="s">
        <v>4613</v>
      </c>
      <c r="G536" s="1" t="s">
        <v>74</v>
      </c>
      <c r="H536" s="1" t="s">
        <v>74</v>
      </c>
      <c r="I536" s="1" t="s">
        <v>4614</v>
      </c>
      <c r="J536" s="1" t="s">
        <v>4615</v>
      </c>
      <c r="K536" s="1" t="s">
        <v>74</v>
      </c>
      <c r="L536" s="1" t="s">
        <v>74</v>
      </c>
      <c r="M536" s="1" t="s">
        <v>74</v>
      </c>
      <c r="N536" s="1" t="s">
        <v>74</v>
      </c>
      <c r="O536" s="1" t="s">
        <v>74</v>
      </c>
      <c r="P536" s="1" t="s">
        <v>74</v>
      </c>
      <c r="Q536" s="1" t="s">
        <v>74</v>
      </c>
      <c r="R536" s="1" t="s">
        <v>74</v>
      </c>
      <c r="S536" s="1" t="s">
        <v>74</v>
      </c>
      <c r="T536" s="1" t="s">
        <v>74</v>
      </c>
      <c r="U536" s="1" t="s">
        <v>74</v>
      </c>
      <c r="V536" s="1" t="s">
        <v>74</v>
      </c>
      <c r="W536" s="1" t="s">
        <v>74</v>
      </c>
      <c r="X536" s="1" t="s">
        <v>74</v>
      </c>
      <c r="Y536" s="1" t="s">
        <v>74</v>
      </c>
      <c r="Z536" s="1" t="s">
        <v>74</v>
      </c>
      <c r="AA536" s="1" t="s">
        <v>627</v>
      </c>
      <c r="AB536" s="1" t="s">
        <v>74</v>
      </c>
      <c r="AC536" s="1" t="s">
        <v>74</v>
      </c>
      <c r="AD536" s="1" t="s">
        <v>74</v>
      </c>
      <c r="AE536" s="1" t="s">
        <v>74</v>
      </c>
      <c r="AF536" s="1" t="s">
        <v>74</v>
      </c>
      <c r="AG536" s="1" t="s">
        <v>74</v>
      </c>
      <c r="AH536" s="1" t="s">
        <v>74</v>
      </c>
      <c r="AI536" s="1" t="s">
        <v>74</v>
      </c>
      <c r="AJ536" s="1" t="s">
        <v>74</v>
      </c>
      <c r="AK536" s="1" t="s">
        <v>74</v>
      </c>
      <c r="AL536" s="1" t="s">
        <v>74</v>
      </c>
      <c r="AM536" s="1" t="s">
        <v>74</v>
      </c>
      <c r="AN536" s="1" t="s">
        <v>74</v>
      </c>
      <c r="AO536" s="1" t="s">
        <v>4616</v>
      </c>
      <c r="AP536" s="1" t="s">
        <v>74</v>
      </c>
      <c r="AQ536" s="1" t="s">
        <v>74</v>
      </c>
      <c r="AR536" s="1" t="s">
        <v>74</v>
      </c>
      <c r="AS536" s="1" t="s">
        <v>74</v>
      </c>
      <c r="AT536" s="1" t="s">
        <v>4617</v>
      </c>
      <c r="AU536" s="1">
        <v>2017.0</v>
      </c>
      <c r="AV536" s="1">
        <v>53.0</v>
      </c>
      <c r="AW536" s="1">
        <v>1.0</v>
      </c>
      <c r="AX536" s="1" t="s">
        <v>74</v>
      </c>
      <c r="AY536" s="1" t="s">
        <v>74</v>
      </c>
      <c r="AZ536" s="1" t="s">
        <v>74</v>
      </c>
      <c r="BA536" s="1" t="s">
        <v>74</v>
      </c>
      <c r="BB536" s="1">
        <v>83.0</v>
      </c>
      <c r="BC536" s="1">
        <v>84.0</v>
      </c>
      <c r="BD536" s="1" t="s">
        <v>74</v>
      </c>
      <c r="BE536" s="1" t="s">
        <v>74</v>
      </c>
      <c r="BF536" s="1" t="s">
        <v>74</v>
      </c>
      <c r="BG536" s="1" t="s">
        <v>74</v>
      </c>
      <c r="BH536" s="1" t="s">
        <v>74</v>
      </c>
      <c r="BI536" s="1" t="s">
        <v>74</v>
      </c>
      <c r="BJ536" s="1" t="s">
        <v>74</v>
      </c>
      <c r="BK536" s="1" t="s">
        <v>74</v>
      </c>
      <c r="BL536" s="1" t="s">
        <v>74</v>
      </c>
      <c r="BM536" s="1" t="s">
        <v>74</v>
      </c>
      <c r="BN536" s="1" t="s">
        <v>74</v>
      </c>
      <c r="BO536" s="1" t="s">
        <v>74</v>
      </c>
      <c r="BP536" s="1" t="s">
        <v>74</v>
      </c>
      <c r="BQ536" s="1" t="s">
        <v>74</v>
      </c>
      <c r="BR536" s="1" t="s">
        <v>74</v>
      </c>
      <c r="BS536" s="1" t="s">
        <v>4618</v>
      </c>
      <c r="BT536" s="1" t="str">
        <f>HYPERLINK("https%3A%2F%2Fwww.webofscience.com%2Fwos%2Fwoscc%2Ffull-record%2FWOS:000406255000060","View Full Record in Web of Science")</f>
        <v>View Full Record in Web of Science</v>
      </c>
    </row>
    <row r="537" ht="12.75" customHeight="1">
      <c r="A537" s="1" t="s">
        <v>72</v>
      </c>
      <c r="B537" s="1" t="s">
        <v>1565</v>
      </c>
      <c r="C537" s="1" t="s">
        <v>74</v>
      </c>
      <c r="D537" s="1" t="s">
        <v>74</v>
      </c>
      <c r="E537" s="1" t="s">
        <v>74</v>
      </c>
      <c r="F537" s="1" t="s">
        <v>1567</v>
      </c>
      <c r="G537" s="1" t="s">
        <v>74</v>
      </c>
      <c r="H537" s="1" t="s">
        <v>74</v>
      </c>
      <c r="I537" s="1" t="s">
        <v>4619</v>
      </c>
      <c r="J537" s="1" t="s">
        <v>4620</v>
      </c>
      <c r="K537" s="1" t="s">
        <v>74</v>
      </c>
      <c r="L537" s="1" t="s">
        <v>74</v>
      </c>
      <c r="M537" s="1" t="s">
        <v>74</v>
      </c>
      <c r="N537" s="1" t="s">
        <v>74</v>
      </c>
      <c r="O537" s="1" t="s">
        <v>74</v>
      </c>
      <c r="P537" s="1" t="s">
        <v>74</v>
      </c>
      <c r="Q537" s="1" t="s">
        <v>74</v>
      </c>
      <c r="R537" s="1" t="s">
        <v>74</v>
      </c>
      <c r="S537" s="1" t="s">
        <v>74</v>
      </c>
      <c r="T537" s="1" t="s">
        <v>74</v>
      </c>
      <c r="U537" s="1" t="s">
        <v>74</v>
      </c>
      <c r="V537" s="1" t="s">
        <v>74</v>
      </c>
      <c r="W537" s="1" t="s">
        <v>74</v>
      </c>
      <c r="X537" s="1" t="s">
        <v>74</v>
      </c>
      <c r="Y537" s="1" t="s">
        <v>74</v>
      </c>
      <c r="Z537" s="1" t="s">
        <v>74</v>
      </c>
      <c r="AA537" s="1" t="s">
        <v>1571</v>
      </c>
      <c r="AB537" s="1" t="s">
        <v>74</v>
      </c>
      <c r="AC537" s="1" t="s">
        <v>74</v>
      </c>
      <c r="AD537" s="1" t="s">
        <v>74</v>
      </c>
      <c r="AE537" s="1" t="s">
        <v>74</v>
      </c>
      <c r="AF537" s="1" t="s">
        <v>74</v>
      </c>
      <c r="AG537" s="1" t="s">
        <v>74</v>
      </c>
      <c r="AH537" s="1" t="s">
        <v>74</v>
      </c>
      <c r="AI537" s="1" t="s">
        <v>74</v>
      </c>
      <c r="AJ537" s="1" t="s">
        <v>74</v>
      </c>
      <c r="AK537" s="1" t="s">
        <v>74</v>
      </c>
      <c r="AL537" s="1" t="s">
        <v>74</v>
      </c>
      <c r="AM537" s="1" t="s">
        <v>74</v>
      </c>
      <c r="AN537" s="1" t="s">
        <v>74</v>
      </c>
      <c r="AO537" s="1" t="s">
        <v>4621</v>
      </c>
      <c r="AP537" s="1" t="s">
        <v>4622</v>
      </c>
      <c r="AQ537" s="1" t="s">
        <v>74</v>
      </c>
      <c r="AR537" s="1" t="s">
        <v>74</v>
      </c>
      <c r="AS537" s="1" t="s">
        <v>74</v>
      </c>
      <c r="AT537" s="1" t="s">
        <v>429</v>
      </c>
      <c r="AU537" s="1">
        <v>2017.0</v>
      </c>
      <c r="AV537" s="1">
        <v>49.0</v>
      </c>
      <c r="AW537" s="1">
        <v>2.0</v>
      </c>
      <c r="AX537" s="1" t="s">
        <v>74</v>
      </c>
      <c r="AY537" s="1" t="s">
        <v>74</v>
      </c>
      <c r="AZ537" s="1" t="s">
        <v>74</v>
      </c>
      <c r="BA537" s="1" t="s">
        <v>74</v>
      </c>
      <c r="BB537" s="1">
        <v>389.0</v>
      </c>
      <c r="BC537" s="1">
        <v>390.0</v>
      </c>
      <c r="BD537" s="1" t="s">
        <v>74</v>
      </c>
      <c r="BE537" s="1" t="s">
        <v>4623</v>
      </c>
      <c r="BF537" s="2" t="str">
        <f>HYPERLINK("http://dx.doi.org/10.1017/S0022216X1700013X","http://dx.doi.org/10.1017/S0022216X1700013X")</f>
        <v>http://dx.doi.org/10.1017/S0022216X1700013X</v>
      </c>
      <c r="BG537" s="1" t="s">
        <v>74</v>
      </c>
      <c r="BH537" s="1" t="s">
        <v>74</v>
      </c>
      <c r="BI537" s="1" t="s">
        <v>74</v>
      </c>
      <c r="BJ537" s="1" t="s">
        <v>74</v>
      </c>
      <c r="BK537" s="1" t="s">
        <v>74</v>
      </c>
      <c r="BL537" s="1" t="s">
        <v>74</v>
      </c>
      <c r="BM537" s="1" t="s">
        <v>74</v>
      </c>
      <c r="BN537" s="1" t="s">
        <v>74</v>
      </c>
      <c r="BO537" s="1" t="s">
        <v>74</v>
      </c>
      <c r="BP537" s="1" t="s">
        <v>74</v>
      </c>
      <c r="BQ537" s="1" t="s">
        <v>74</v>
      </c>
      <c r="BR537" s="1" t="s">
        <v>74</v>
      </c>
      <c r="BS537" s="1" t="s">
        <v>4624</v>
      </c>
      <c r="BT537" s="1" t="str">
        <f>HYPERLINK("https%3A%2F%2Fwww.webofscience.com%2Fwos%2Fwoscc%2Ffull-record%2FWOS:000406073300010","View Full Record in Web of Science")</f>
        <v>View Full Record in Web of Science</v>
      </c>
    </row>
    <row r="538" ht="12.75" customHeight="1">
      <c r="A538" s="1" t="s">
        <v>72</v>
      </c>
      <c r="B538" s="1" t="s">
        <v>4625</v>
      </c>
      <c r="C538" s="1" t="s">
        <v>74</v>
      </c>
      <c r="D538" s="1" t="s">
        <v>74</v>
      </c>
      <c r="E538" s="1" t="s">
        <v>74</v>
      </c>
      <c r="F538" s="1" t="s">
        <v>4626</v>
      </c>
      <c r="G538" s="1" t="s">
        <v>74</v>
      </c>
      <c r="H538" s="1" t="s">
        <v>74</v>
      </c>
      <c r="I538" s="1" t="s">
        <v>4627</v>
      </c>
      <c r="J538" s="1" t="s">
        <v>2009</v>
      </c>
      <c r="K538" s="1" t="s">
        <v>74</v>
      </c>
      <c r="L538" s="1" t="s">
        <v>74</v>
      </c>
      <c r="M538" s="1" t="s">
        <v>74</v>
      </c>
      <c r="N538" s="1" t="s">
        <v>74</v>
      </c>
      <c r="O538" s="1" t="s">
        <v>74</v>
      </c>
      <c r="P538" s="1" t="s">
        <v>74</v>
      </c>
      <c r="Q538" s="1" t="s">
        <v>74</v>
      </c>
      <c r="R538" s="1" t="s">
        <v>74</v>
      </c>
      <c r="S538" s="1" t="s">
        <v>74</v>
      </c>
      <c r="T538" s="1" t="s">
        <v>74</v>
      </c>
      <c r="U538" s="1" t="s">
        <v>74</v>
      </c>
      <c r="V538" s="1" t="s">
        <v>4628</v>
      </c>
      <c r="W538" s="1" t="s">
        <v>74</v>
      </c>
      <c r="X538" s="1" t="s">
        <v>74</v>
      </c>
      <c r="Y538" s="1" t="s">
        <v>74</v>
      </c>
      <c r="Z538" s="1" t="s">
        <v>74</v>
      </c>
      <c r="AA538" s="1" t="s">
        <v>4629</v>
      </c>
      <c r="AB538" s="1" t="s">
        <v>4630</v>
      </c>
      <c r="AC538" s="1" t="s">
        <v>74</v>
      </c>
      <c r="AD538" s="1" t="s">
        <v>74</v>
      </c>
      <c r="AE538" s="1" t="s">
        <v>74</v>
      </c>
      <c r="AF538" s="1" t="s">
        <v>74</v>
      </c>
      <c r="AG538" s="1" t="s">
        <v>74</v>
      </c>
      <c r="AH538" s="1" t="s">
        <v>74</v>
      </c>
      <c r="AI538" s="1" t="s">
        <v>74</v>
      </c>
      <c r="AJ538" s="1" t="s">
        <v>74</v>
      </c>
      <c r="AK538" s="1" t="s">
        <v>74</v>
      </c>
      <c r="AL538" s="1" t="s">
        <v>74</v>
      </c>
      <c r="AM538" s="1" t="s">
        <v>74</v>
      </c>
      <c r="AN538" s="1" t="s">
        <v>74</v>
      </c>
      <c r="AO538" s="1" t="s">
        <v>2013</v>
      </c>
      <c r="AP538" s="1" t="s">
        <v>74</v>
      </c>
      <c r="AQ538" s="1" t="s">
        <v>74</v>
      </c>
      <c r="AR538" s="1" t="s">
        <v>74</v>
      </c>
      <c r="AS538" s="1" t="s">
        <v>74</v>
      </c>
      <c r="AT538" s="1" t="s">
        <v>4631</v>
      </c>
      <c r="AU538" s="1">
        <v>2017.0</v>
      </c>
      <c r="AV538" s="1">
        <v>12.0</v>
      </c>
      <c r="AW538" s="1">
        <v>4.0</v>
      </c>
      <c r="AX538" s="1" t="s">
        <v>74</v>
      </c>
      <c r="AY538" s="1" t="s">
        <v>74</v>
      </c>
      <c r="AZ538" s="1" t="s">
        <v>74</v>
      </c>
      <c r="BA538" s="1" t="s">
        <v>74</v>
      </c>
      <c r="BB538" s="1" t="s">
        <v>74</v>
      </c>
      <c r="BC538" s="1" t="s">
        <v>74</v>
      </c>
      <c r="BD538" s="1" t="s">
        <v>4632</v>
      </c>
      <c r="BE538" s="1" t="s">
        <v>4633</v>
      </c>
      <c r="BF538" s="2" t="str">
        <f>HYPERLINK("http://dx.doi.org/10.1371/journal.pone.0175412","http://dx.doi.org/10.1371/journal.pone.0175412")</f>
        <v>http://dx.doi.org/10.1371/journal.pone.0175412</v>
      </c>
      <c r="BG538" s="1" t="s">
        <v>74</v>
      </c>
      <c r="BH538" s="1" t="s">
        <v>74</v>
      </c>
      <c r="BI538" s="1" t="s">
        <v>74</v>
      </c>
      <c r="BJ538" s="1" t="s">
        <v>74</v>
      </c>
      <c r="BK538" s="1" t="s">
        <v>74</v>
      </c>
      <c r="BL538" s="1" t="s">
        <v>74</v>
      </c>
      <c r="BM538" s="1" t="s">
        <v>74</v>
      </c>
      <c r="BN538" s="1">
        <v>2.8419123E7</v>
      </c>
      <c r="BO538" s="1" t="s">
        <v>74</v>
      </c>
      <c r="BP538" s="1" t="s">
        <v>74</v>
      </c>
      <c r="BQ538" s="1" t="s">
        <v>74</v>
      </c>
      <c r="BR538" s="1" t="s">
        <v>74</v>
      </c>
      <c r="BS538" s="1" t="s">
        <v>4634</v>
      </c>
      <c r="BT538" s="1" t="str">
        <f>HYPERLINK("https%3A%2F%2Fwww.webofscience.com%2Fwos%2Fwoscc%2Ffull-record%2FWOS:000399875200020","View Full Record in Web of Science")</f>
        <v>View Full Record in Web of Science</v>
      </c>
    </row>
    <row r="539" ht="12.75" customHeight="1">
      <c r="A539" s="1" t="s">
        <v>72</v>
      </c>
      <c r="B539" s="1" t="s">
        <v>4635</v>
      </c>
      <c r="C539" s="1" t="s">
        <v>74</v>
      </c>
      <c r="D539" s="1" t="s">
        <v>74</v>
      </c>
      <c r="E539" s="1" t="s">
        <v>74</v>
      </c>
      <c r="F539" s="1" t="s">
        <v>4636</v>
      </c>
      <c r="G539" s="1" t="s">
        <v>74</v>
      </c>
      <c r="H539" s="1" t="s">
        <v>74</v>
      </c>
      <c r="I539" s="1" t="s">
        <v>4637</v>
      </c>
      <c r="J539" s="1" t="s">
        <v>4638</v>
      </c>
      <c r="K539" s="1" t="s">
        <v>74</v>
      </c>
      <c r="L539" s="1" t="s">
        <v>74</v>
      </c>
      <c r="M539" s="1" t="s">
        <v>74</v>
      </c>
      <c r="N539" s="1" t="s">
        <v>74</v>
      </c>
      <c r="O539" s="1" t="s">
        <v>74</v>
      </c>
      <c r="P539" s="1" t="s">
        <v>74</v>
      </c>
      <c r="Q539" s="1" t="s">
        <v>74</v>
      </c>
      <c r="R539" s="1" t="s">
        <v>74</v>
      </c>
      <c r="S539" s="1" t="s">
        <v>74</v>
      </c>
      <c r="T539" s="1" t="s">
        <v>74</v>
      </c>
      <c r="U539" s="1" t="s">
        <v>74</v>
      </c>
      <c r="V539" s="1" t="s">
        <v>4639</v>
      </c>
      <c r="W539" s="1" t="s">
        <v>74</v>
      </c>
      <c r="X539" s="1" t="s">
        <v>74</v>
      </c>
      <c r="Y539" s="1" t="s">
        <v>74</v>
      </c>
      <c r="Z539" s="1" t="s">
        <v>74</v>
      </c>
      <c r="AA539" s="1" t="s">
        <v>4640</v>
      </c>
      <c r="AB539" s="1" t="s">
        <v>4641</v>
      </c>
      <c r="AC539" s="1" t="s">
        <v>74</v>
      </c>
      <c r="AD539" s="1" t="s">
        <v>74</v>
      </c>
      <c r="AE539" s="1" t="s">
        <v>74</v>
      </c>
      <c r="AF539" s="1" t="s">
        <v>74</v>
      </c>
      <c r="AG539" s="1" t="s">
        <v>74</v>
      </c>
      <c r="AH539" s="1" t="s">
        <v>74</v>
      </c>
      <c r="AI539" s="1" t="s">
        <v>74</v>
      </c>
      <c r="AJ539" s="1" t="s">
        <v>74</v>
      </c>
      <c r="AK539" s="1" t="s">
        <v>74</v>
      </c>
      <c r="AL539" s="1" t="s">
        <v>74</v>
      </c>
      <c r="AM539" s="1" t="s">
        <v>74</v>
      </c>
      <c r="AN539" s="1" t="s">
        <v>74</v>
      </c>
      <c r="AO539" s="1" t="s">
        <v>4642</v>
      </c>
      <c r="AP539" s="1" t="s">
        <v>4643</v>
      </c>
      <c r="AQ539" s="1" t="s">
        <v>74</v>
      </c>
      <c r="AR539" s="1" t="s">
        <v>74</v>
      </c>
      <c r="AS539" s="1" t="s">
        <v>74</v>
      </c>
      <c r="AT539" s="1" t="s">
        <v>88</v>
      </c>
      <c r="AU539" s="1">
        <v>2016.0</v>
      </c>
      <c r="AV539" s="1" t="s">
        <v>74</v>
      </c>
      <c r="AW539" s="1">
        <v>70.0</v>
      </c>
      <c r="AX539" s="1" t="s">
        <v>74</v>
      </c>
      <c r="AY539" s="1" t="s">
        <v>74</v>
      </c>
      <c r="AZ539" s="1" t="s">
        <v>74</v>
      </c>
      <c r="BA539" s="1" t="s">
        <v>74</v>
      </c>
      <c r="BB539" s="1">
        <v>131.0</v>
      </c>
      <c r="BC539" s="1" t="s">
        <v>631</v>
      </c>
      <c r="BD539" s="1" t="s">
        <v>74</v>
      </c>
      <c r="BE539" s="1" t="s">
        <v>74</v>
      </c>
      <c r="BF539" s="1" t="s">
        <v>74</v>
      </c>
      <c r="BG539" s="1" t="s">
        <v>74</v>
      </c>
      <c r="BH539" s="1" t="s">
        <v>74</v>
      </c>
      <c r="BI539" s="1" t="s">
        <v>74</v>
      </c>
      <c r="BJ539" s="1" t="s">
        <v>74</v>
      </c>
      <c r="BK539" s="1" t="s">
        <v>74</v>
      </c>
      <c r="BL539" s="1" t="s">
        <v>74</v>
      </c>
      <c r="BM539" s="1" t="s">
        <v>74</v>
      </c>
      <c r="BN539" s="1" t="s">
        <v>74</v>
      </c>
      <c r="BO539" s="1" t="s">
        <v>74</v>
      </c>
      <c r="BP539" s="1" t="s">
        <v>74</v>
      </c>
      <c r="BQ539" s="1" t="s">
        <v>74</v>
      </c>
      <c r="BR539" s="1" t="s">
        <v>74</v>
      </c>
      <c r="BS539" s="1" t="s">
        <v>4644</v>
      </c>
      <c r="BT539" s="1" t="str">
        <f>HYPERLINK("https%3A%2F%2Fwww.webofscience.com%2Fwos%2Fwoscc%2Ffull-record%2FWOS:000388910400005","View Full Record in Web of Science")</f>
        <v>View Full Record in Web of Science</v>
      </c>
    </row>
    <row r="540" ht="12.75" customHeight="1">
      <c r="A540" s="1" t="s">
        <v>72</v>
      </c>
      <c r="B540" s="1" t="s">
        <v>4645</v>
      </c>
      <c r="C540" s="1" t="s">
        <v>74</v>
      </c>
      <c r="D540" s="1" t="s">
        <v>74</v>
      </c>
      <c r="E540" s="1" t="s">
        <v>74</v>
      </c>
      <c r="F540" s="1" t="s">
        <v>4646</v>
      </c>
      <c r="G540" s="1" t="s">
        <v>74</v>
      </c>
      <c r="H540" s="1" t="s">
        <v>74</v>
      </c>
      <c r="I540" s="1" t="s">
        <v>4647</v>
      </c>
      <c r="J540" s="1" t="s">
        <v>4648</v>
      </c>
      <c r="K540" s="1" t="s">
        <v>74</v>
      </c>
      <c r="L540" s="1" t="s">
        <v>74</v>
      </c>
      <c r="M540" s="1" t="s">
        <v>74</v>
      </c>
      <c r="N540" s="1" t="s">
        <v>74</v>
      </c>
      <c r="O540" s="1" t="s">
        <v>74</v>
      </c>
      <c r="P540" s="1" t="s">
        <v>74</v>
      </c>
      <c r="Q540" s="1" t="s">
        <v>74</v>
      </c>
      <c r="R540" s="1" t="s">
        <v>74</v>
      </c>
      <c r="S540" s="1" t="s">
        <v>74</v>
      </c>
      <c r="T540" s="1" t="s">
        <v>74</v>
      </c>
      <c r="U540" s="1" t="s">
        <v>74</v>
      </c>
      <c r="V540" s="1" t="s">
        <v>4649</v>
      </c>
      <c r="W540" s="1" t="s">
        <v>74</v>
      </c>
      <c r="X540" s="1" t="s">
        <v>74</v>
      </c>
      <c r="Y540" s="1" t="s">
        <v>74</v>
      </c>
      <c r="Z540" s="1" t="s">
        <v>74</v>
      </c>
      <c r="AA540" s="1" t="s">
        <v>74</v>
      </c>
      <c r="AB540" s="1" t="s">
        <v>4650</v>
      </c>
      <c r="AC540" s="1" t="s">
        <v>74</v>
      </c>
      <c r="AD540" s="1" t="s">
        <v>74</v>
      </c>
      <c r="AE540" s="1" t="s">
        <v>74</v>
      </c>
      <c r="AF540" s="1" t="s">
        <v>74</v>
      </c>
      <c r="AG540" s="1" t="s">
        <v>74</v>
      </c>
      <c r="AH540" s="1" t="s">
        <v>74</v>
      </c>
      <c r="AI540" s="1" t="s">
        <v>74</v>
      </c>
      <c r="AJ540" s="1" t="s">
        <v>74</v>
      </c>
      <c r="AK540" s="1" t="s">
        <v>74</v>
      </c>
      <c r="AL540" s="1" t="s">
        <v>74</v>
      </c>
      <c r="AM540" s="1" t="s">
        <v>74</v>
      </c>
      <c r="AN540" s="1" t="s">
        <v>74</v>
      </c>
      <c r="AO540" s="1" t="s">
        <v>4651</v>
      </c>
      <c r="AP540" s="1" t="s">
        <v>4652</v>
      </c>
      <c r="AQ540" s="1" t="s">
        <v>74</v>
      </c>
      <c r="AR540" s="1" t="s">
        <v>74</v>
      </c>
      <c r="AS540" s="1" t="s">
        <v>74</v>
      </c>
      <c r="AT540" s="1" t="s">
        <v>205</v>
      </c>
      <c r="AU540" s="1">
        <v>2016.0</v>
      </c>
      <c r="AV540" s="1">
        <v>41.0</v>
      </c>
      <c r="AW540" s="1">
        <v>4.0</v>
      </c>
      <c r="AX540" s="1" t="s">
        <v>74</v>
      </c>
      <c r="AY540" s="1" t="s">
        <v>74</v>
      </c>
      <c r="AZ540" s="1" t="s">
        <v>74</v>
      </c>
      <c r="BA540" s="1" t="s">
        <v>74</v>
      </c>
      <c r="BB540" s="1">
        <v>1469.0</v>
      </c>
      <c r="BC540" s="1">
        <v>1483.0</v>
      </c>
      <c r="BD540" s="1" t="s">
        <v>74</v>
      </c>
      <c r="BE540" s="1" t="s">
        <v>4653</v>
      </c>
      <c r="BF540" s="2" t="str">
        <f>HYPERLINK("http://dx.doi.org/10.1287/moor.2016.0785","http://dx.doi.org/10.1287/moor.2016.0785")</f>
        <v>http://dx.doi.org/10.1287/moor.2016.0785</v>
      </c>
      <c r="BG540" s="1" t="s">
        <v>74</v>
      </c>
      <c r="BH540" s="1" t="s">
        <v>74</v>
      </c>
      <c r="BI540" s="1" t="s">
        <v>74</v>
      </c>
      <c r="BJ540" s="1" t="s">
        <v>74</v>
      </c>
      <c r="BK540" s="1" t="s">
        <v>74</v>
      </c>
      <c r="BL540" s="1" t="s">
        <v>74</v>
      </c>
      <c r="BM540" s="1" t="s">
        <v>74</v>
      </c>
      <c r="BN540" s="1" t="s">
        <v>74</v>
      </c>
      <c r="BO540" s="1" t="s">
        <v>74</v>
      </c>
      <c r="BP540" s="1" t="s">
        <v>74</v>
      </c>
      <c r="BQ540" s="1" t="s">
        <v>74</v>
      </c>
      <c r="BR540" s="1" t="s">
        <v>74</v>
      </c>
      <c r="BS540" s="1" t="s">
        <v>4654</v>
      </c>
      <c r="BT540" s="1" t="str">
        <f>HYPERLINK("https%3A%2F%2Fwww.webofscience.com%2Fwos%2Fwoscc%2Ffull-record%2FWOS:000393130800013","View Full Record in Web of Science")</f>
        <v>View Full Record in Web of Science</v>
      </c>
    </row>
    <row r="541" ht="12.75" customHeight="1">
      <c r="A541" s="1" t="s">
        <v>72</v>
      </c>
      <c r="B541" s="1" t="s">
        <v>4655</v>
      </c>
      <c r="C541" s="1" t="s">
        <v>74</v>
      </c>
      <c r="D541" s="1" t="s">
        <v>74</v>
      </c>
      <c r="E541" s="1" t="s">
        <v>74</v>
      </c>
      <c r="F541" s="1" t="s">
        <v>4656</v>
      </c>
      <c r="G541" s="1" t="s">
        <v>74</v>
      </c>
      <c r="H541" s="1" t="s">
        <v>74</v>
      </c>
      <c r="I541" s="1" t="s">
        <v>4657</v>
      </c>
      <c r="J541" s="1" t="s">
        <v>4658</v>
      </c>
      <c r="K541" s="1" t="s">
        <v>74</v>
      </c>
      <c r="L541" s="1" t="s">
        <v>74</v>
      </c>
      <c r="M541" s="1" t="s">
        <v>74</v>
      </c>
      <c r="N541" s="1" t="s">
        <v>74</v>
      </c>
      <c r="O541" s="1" t="s">
        <v>74</v>
      </c>
      <c r="P541" s="1" t="s">
        <v>74</v>
      </c>
      <c r="Q541" s="1" t="s">
        <v>74</v>
      </c>
      <c r="R541" s="1" t="s">
        <v>74</v>
      </c>
      <c r="S541" s="1" t="s">
        <v>74</v>
      </c>
      <c r="T541" s="1" t="s">
        <v>74</v>
      </c>
      <c r="U541" s="1" t="s">
        <v>74</v>
      </c>
      <c r="V541" s="1" t="s">
        <v>4659</v>
      </c>
      <c r="W541" s="1" t="s">
        <v>74</v>
      </c>
      <c r="X541" s="1" t="s">
        <v>74</v>
      </c>
      <c r="Y541" s="1" t="s">
        <v>74</v>
      </c>
      <c r="Z541" s="1" t="s">
        <v>74</v>
      </c>
      <c r="AA541" s="1" t="s">
        <v>4660</v>
      </c>
      <c r="AB541" s="1" t="s">
        <v>4661</v>
      </c>
      <c r="AC541" s="1" t="s">
        <v>74</v>
      </c>
      <c r="AD541" s="1" t="s">
        <v>74</v>
      </c>
      <c r="AE541" s="1" t="s">
        <v>74</v>
      </c>
      <c r="AF541" s="1" t="s">
        <v>74</v>
      </c>
      <c r="AG541" s="1" t="s">
        <v>74</v>
      </c>
      <c r="AH541" s="1" t="s">
        <v>74</v>
      </c>
      <c r="AI541" s="1" t="s">
        <v>74</v>
      </c>
      <c r="AJ541" s="1" t="s">
        <v>74</v>
      </c>
      <c r="AK541" s="1" t="s">
        <v>74</v>
      </c>
      <c r="AL541" s="1" t="s">
        <v>74</v>
      </c>
      <c r="AM541" s="1" t="s">
        <v>74</v>
      </c>
      <c r="AN541" s="1" t="s">
        <v>74</v>
      </c>
      <c r="AO541" s="1" t="s">
        <v>4662</v>
      </c>
      <c r="AP541" s="1" t="s">
        <v>74</v>
      </c>
      <c r="AQ541" s="1" t="s">
        <v>74</v>
      </c>
      <c r="AR541" s="1" t="s">
        <v>74</v>
      </c>
      <c r="AS541" s="1" t="s">
        <v>74</v>
      </c>
      <c r="AT541" s="1" t="s">
        <v>4663</v>
      </c>
      <c r="AU541" s="1">
        <v>2016.0</v>
      </c>
      <c r="AV541" s="1">
        <v>325.0</v>
      </c>
      <c r="AW541" s="1" t="s">
        <v>74</v>
      </c>
      <c r="AX541" s="1" t="s">
        <v>74</v>
      </c>
      <c r="AY541" s="1" t="s">
        <v>74</v>
      </c>
      <c r="AZ541" s="1" t="s">
        <v>74</v>
      </c>
      <c r="BA541" s="1" t="s">
        <v>74</v>
      </c>
      <c r="BB541" s="1">
        <v>9.0</v>
      </c>
      <c r="BC541" s="1">
        <v>12.0</v>
      </c>
      <c r="BD541" s="1" t="s">
        <v>74</v>
      </c>
      <c r="BE541" s="1" t="s">
        <v>4664</v>
      </c>
      <c r="BF541" s="2" t="str">
        <f>HYPERLINK("http://dx.doi.org/10.1016/j.jphotochem.2016.03.026","http://dx.doi.org/10.1016/j.jphotochem.2016.03.026")</f>
        <v>http://dx.doi.org/10.1016/j.jphotochem.2016.03.026</v>
      </c>
      <c r="BG541" s="1" t="s">
        <v>74</v>
      </c>
      <c r="BH541" s="1" t="s">
        <v>74</v>
      </c>
      <c r="BI541" s="1" t="s">
        <v>74</v>
      </c>
      <c r="BJ541" s="1" t="s">
        <v>74</v>
      </c>
      <c r="BK541" s="1" t="s">
        <v>74</v>
      </c>
      <c r="BL541" s="1" t="s">
        <v>74</v>
      </c>
      <c r="BM541" s="1" t="s">
        <v>74</v>
      </c>
      <c r="BN541" s="1" t="s">
        <v>74</v>
      </c>
      <c r="BO541" s="1" t="s">
        <v>74</v>
      </c>
      <c r="BP541" s="1" t="s">
        <v>74</v>
      </c>
      <c r="BQ541" s="1" t="s">
        <v>74</v>
      </c>
      <c r="BR541" s="1" t="s">
        <v>74</v>
      </c>
      <c r="BS541" s="1" t="s">
        <v>4665</v>
      </c>
      <c r="BT541" s="1" t="str">
        <f>HYPERLINK("https%3A%2F%2Fwww.webofscience.com%2Fwos%2Fwoscc%2Ffull-record%2FWOS:000376708700002","View Full Record in Web of Science")</f>
        <v>View Full Record in Web of Science</v>
      </c>
    </row>
    <row r="542" ht="12.75" customHeight="1">
      <c r="A542" s="1" t="s">
        <v>72</v>
      </c>
      <c r="B542" s="1" t="s">
        <v>4666</v>
      </c>
      <c r="C542" s="1" t="s">
        <v>74</v>
      </c>
      <c r="D542" s="1" t="s">
        <v>74</v>
      </c>
      <c r="E542" s="1" t="s">
        <v>74</v>
      </c>
      <c r="F542" s="1" t="s">
        <v>4667</v>
      </c>
      <c r="G542" s="1" t="s">
        <v>74</v>
      </c>
      <c r="H542" s="1" t="s">
        <v>74</v>
      </c>
      <c r="I542" s="1" t="s">
        <v>4668</v>
      </c>
      <c r="J542" s="1" t="s">
        <v>4669</v>
      </c>
      <c r="K542" s="1" t="s">
        <v>74</v>
      </c>
      <c r="L542" s="1" t="s">
        <v>74</v>
      </c>
      <c r="M542" s="1" t="s">
        <v>74</v>
      </c>
      <c r="N542" s="1" t="s">
        <v>74</v>
      </c>
      <c r="O542" s="1" t="s">
        <v>74</v>
      </c>
      <c r="P542" s="1" t="s">
        <v>74</v>
      </c>
      <c r="Q542" s="1" t="s">
        <v>74</v>
      </c>
      <c r="R542" s="1" t="s">
        <v>74</v>
      </c>
      <c r="S542" s="1" t="s">
        <v>74</v>
      </c>
      <c r="T542" s="1" t="s">
        <v>74</v>
      </c>
      <c r="U542" s="1" t="s">
        <v>74</v>
      </c>
      <c r="V542" s="1" t="s">
        <v>4670</v>
      </c>
      <c r="W542" s="1" t="s">
        <v>74</v>
      </c>
      <c r="X542" s="1" t="s">
        <v>74</v>
      </c>
      <c r="Y542" s="1" t="s">
        <v>74</v>
      </c>
      <c r="Z542" s="1" t="s">
        <v>74</v>
      </c>
      <c r="AA542" s="1" t="s">
        <v>74</v>
      </c>
      <c r="AB542" s="1" t="s">
        <v>4671</v>
      </c>
      <c r="AC542" s="1" t="s">
        <v>74</v>
      </c>
      <c r="AD542" s="1" t="s">
        <v>74</v>
      </c>
      <c r="AE542" s="1" t="s">
        <v>74</v>
      </c>
      <c r="AF542" s="1" t="s">
        <v>74</v>
      </c>
      <c r="AG542" s="1" t="s">
        <v>74</v>
      </c>
      <c r="AH542" s="1" t="s">
        <v>74</v>
      </c>
      <c r="AI542" s="1" t="s">
        <v>74</v>
      </c>
      <c r="AJ542" s="1" t="s">
        <v>74</v>
      </c>
      <c r="AK542" s="1" t="s">
        <v>74</v>
      </c>
      <c r="AL542" s="1" t="s">
        <v>74</v>
      </c>
      <c r="AM542" s="1" t="s">
        <v>74</v>
      </c>
      <c r="AN542" s="1" t="s">
        <v>74</v>
      </c>
      <c r="AO542" s="1" t="s">
        <v>4672</v>
      </c>
      <c r="AP542" s="1" t="s">
        <v>4673</v>
      </c>
      <c r="AQ542" s="1" t="s">
        <v>74</v>
      </c>
      <c r="AR542" s="1" t="s">
        <v>74</v>
      </c>
      <c r="AS542" s="1" t="s">
        <v>74</v>
      </c>
      <c r="AT542" s="1" t="s">
        <v>74</v>
      </c>
      <c r="AU542" s="1">
        <v>2016.0</v>
      </c>
      <c r="AV542" s="1">
        <v>20.0</v>
      </c>
      <c r="AW542" s="1">
        <v>4.0</v>
      </c>
      <c r="AX542" s="1" t="s">
        <v>74</v>
      </c>
      <c r="AY542" s="1" t="s">
        <v>74</v>
      </c>
      <c r="AZ542" s="1" t="s">
        <v>74</v>
      </c>
      <c r="BA542" s="1" t="s">
        <v>74</v>
      </c>
      <c r="BB542" s="1">
        <v>1909.0</v>
      </c>
      <c r="BC542" s="1">
        <v>1939.0</v>
      </c>
      <c r="BD542" s="1" t="s">
        <v>74</v>
      </c>
      <c r="BE542" s="1" t="s">
        <v>4674</v>
      </c>
      <c r="BF542" s="2" t="str">
        <f>HYPERLINK("http://dx.doi.org/10.2140/gt.2016.20.1909","http://dx.doi.org/10.2140/gt.2016.20.1909")</f>
        <v>http://dx.doi.org/10.2140/gt.2016.20.1909</v>
      </c>
      <c r="BG542" s="1" t="s">
        <v>74</v>
      </c>
      <c r="BH542" s="1" t="s">
        <v>74</v>
      </c>
      <c r="BI542" s="1" t="s">
        <v>74</v>
      </c>
      <c r="BJ542" s="1" t="s">
        <v>74</v>
      </c>
      <c r="BK542" s="1" t="s">
        <v>74</v>
      </c>
      <c r="BL542" s="1" t="s">
        <v>74</v>
      </c>
      <c r="BM542" s="1" t="s">
        <v>74</v>
      </c>
      <c r="BN542" s="1" t="s">
        <v>74</v>
      </c>
      <c r="BO542" s="1" t="s">
        <v>74</v>
      </c>
      <c r="BP542" s="1" t="s">
        <v>74</v>
      </c>
      <c r="BQ542" s="1" t="s">
        <v>74</v>
      </c>
      <c r="BR542" s="1" t="s">
        <v>74</v>
      </c>
      <c r="BS542" s="1" t="s">
        <v>4675</v>
      </c>
      <c r="BT542" s="1" t="str">
        <f>HYPERLINK("https%3A%2F%2Fwww.webofscience.com%2Fwos%2Fwoscc%2Ffull-record%2FWOS:000386278900003","View Full Record in Web of Science")</f>
        <v>View Full Record in Web of Science</v>
      </c>
    </row>
    <row r="543" ht="12.75" customHeight="1">
      <c r="A543" s="1" t="s">
        <v>91</v>
      </c>
      <c r="B543" s="1" t="s">
        <v>4676</v>
      </c>
      <c r="C543" s="1" t="s">
        <v>74</v>
      </c>
      <c r="D543" s="1" t="s">
        <v>74</v>
      </c>
      <c r="E543" s="1" t="s">
        <v>442</v>
      </c>
      <c r="F543" s="1" t="s">
        <v>4677</v>
      </c>
      <c r="G543" s="1" t="s">
        <v>74</v>
      </c>
      <c r="H543" s="1" t="s">
        <v>74</v>
      </c>
      <c r="I543" s="1" t="s">
        <v>4678</v>
      </c>
      <c r="J543" s="1" t="s">
        <v>674</v>
      </c>
      <c r="K543" s="1" t="s">
        <v>74</v>
      </c>
      <c r="L543" s="1" t="s">
        <v>74</v>
      </c>
      <c r="M543" s="1" t="s">
        <v>74</v>
      </c>
      <c r="N543" s="1" t="s">
        <v>74</v>
      </c>
      <c r="O543" s="1" t="s">
        <v>675</v>
      </c>
      <c r="P543" s="1" t="s">
        <v>676</v>
      </c>
      <c r="Q543" s="1" t="s">
        <v>677</v>
      </c>
      <c r="R543" s="1" t="s">
        <v>442</v>
      </c>
      <c r="S543" s="1" t="s">
        <v>678</v>
      </c>
      <c r="T543" s="1" t="s">
        <v>74</v>
      </c>
      <c r="U543" s="1" t="s">
        <v>74</v>
      </c>
      <c r="V543" s="1" t="s">
        <v>4679</v>
      </c>
      <c r="W543" s="1" t="s">
        <v>74</v>
      </c>
      <c r="X543" s="1" t="s">
        <v>74</v>
      </c>
      <c r="Y543" s="1" t="s">
        <v>74</v>
      </c>
      <c r="Z543" s="1" t="s">
        <v>74</v>
      </c>
      <c r="AA543" s="1" t="s">
        <v>74</v>
      </c>
      <c r="AB543" s="1" t="s">
        <v>74</v>
      </c>
      <c r="AC543" s="1" t="s">
        <v>74</v>
      </c>
      <c r="AD543" s="1" t="s">
        <v>74</v>
      </c>
      <c r="AE543" s="1" t="s">
        <v>74</v>
      </c>
      <c r="AF543" s="1" t="s">
        <v>74</v>
      </c>
      <c r="AG543" s="1" t="s">
        <v>74</v>
      </c>
      <c r="AH543" s="1" t="s">
        <v>74</v>
      </c>
      <c r="AI543" s="1" t="s">
        <v>74</v>
      </c>
      <c r="AJ543" s="1" t="s">
        <v>74</v>
      </c>
      <c r="AK543" s="1" t="s">
        <v>74</v>
      </c>
      <c r="AL543" s="1" t="s">
        <v>74</v>
      </c>
      <c r="AM543" s="1" t="s">
        <v>74</v>
      </c>
      <c r="AN543" s="1" t="s">
        <v>74</v>
      </c>
      <c r="AO543" s="1" t="s">
        <v>74</v>
      </c>
      <c r="AP543" s="1" t="s">
        <v>74</v>
      </c>
      <c r="AQ543" s="1" t="s">
        <v>682</v>
      </c>
      <c r="AR543" s="1" t="s">
        <v>74</v>
      </c>
      <c r="AS543" s="1" t="s">
        <v>74</v>
      </c>
      <c r="AT543" s="1" t="s">
        <v>74</v>
      </c>
      <c r="AU543" s="1">
        <v>2016.0</v>
      </c>
      <c r="AV543" s="1" t="s">
        <v>74</v>
      </c>
      <c r="AW543" s="1" t="s">
        <v>74</v>
      </c>
      <c r="AX543" s="1" t="s">
        <v>74</v>
      </c>
      <c r="AY543" s="1" t="s">
        <v>74</v>
      </c>
      <c r="AZ543" s="1" t="s">
        <v>74</v>
      </c>
      <c r="BA543" s="1" t="s">
        <v>74</v>
      </c>
      <c r="BB543" s="1" t="s">
        <v>74</v>
      </c>
      <c r="BC543" s="1" t="s">
        <v>74</v>
      </c>
      <c r="BD543" s="1" t="s">
        <v>74</v>
      </c>
      <c r="BE543" s="1" t="s">
        <v>74</v>
      </c>
      <c r="BF543" s="1" t="s">
        <v>74</v>
      </c>
      <c r="BG543" s="1" t="s">
        <v>74</v>
      </c>
      <c r="BH543" s="1" t="s">
        <v>74</v>
      </c>
      <c r="BI543" s="1" t="s">
        <v>74</v>
      </c>
      <c r="BJ543" s="1" t="s">
        <v>74</v>
      </c>
      <c r="BK543" s="1" t="s">
        <v>74</v>
      </c>
      <c r="BL543" s="1" t="s">
        <v>74</v>
      </c>
      <c r="BM543" s="1" t="s">
        <v>74</v>
      </c>
      <c r="BN543" s="1" t="s">
        <v>74</v>
      </c>
      <c r="BO543" s="1" t="s">
        <v>74</v>
      </c>
      <c r="BP543" s="1" t="s">
        <v>74</v>
      </c>
      <c r="BQ543" s="1" t="s">
        <v>74</v>
      </c>
      <c r="BR543" s="1" t="s">
        <v>74</v>
      </c>
      <c r="BS543" s="1" t="s">
        <v>4680</v>
      </c>
      <c r="BT543" s="1" t="str">
        <f>HYPERLINK("https%3A%2F%2Fwww.webofscience.com%2Fwos%2Fwoscc%2Ffull-record%2FWOS:000390556300018","View Full Record in Web of Science")</f>
        <v>View Full Record in Web of Science</v>
      </c>
    </row>
    <row r="544" ht="12.75" customHeight="1">
      <c r="A544" s="1" t="s">
        <v>91</v>
      </c>
      <c r="B544" s="1" t="s">
        <v>4681</v>
      </c>
      <c r="C544" s="1" t="s">
        <v>74</v>
      </c>
      <c r="D544" s="1" t="s">
        <v>74</v>
      </c>
      <c r="E544" s="1" t="s">
        <v>442</v>
      </c>
      <c r="F544" s="1" t="s">
        <v>4682</v>
      </c>
      <c r="G544" s="1" t="s">
        <v>74</v>
      </c>
      <c r="H544" s="1" t="s">
        <v>74</v>
      </c>
      <c r="I544" s="1" t="s">
        <v>4683</v>
      </c>
      <c r="J544" s="1" t="s">
        <v>674</v>
      </c>
      <c r="K544" s="1" t="s">
        <v>74</v>
      </c>
      <c r="L544" s="1" t="s">
        <v>74</v>
      </c>
      <c r="M544" s="1" t="s">
        <v>74</v>
      </c>
      <c r="N544" s="1" t="s">
        <v>74</v>
      </c>
      <c r="O544" s="1" t="s">
        <v>675</v>
      </c>
      <c r="P544" s="1" t="s">
        <v>676</v>
      </c>
      <c r="Q544" s="1" t="s">
        <v>677</v>
      </c>
      <c r="R544" s="1" t="s">
        <v>442</v>
      </c>
      <c r="S544" s="1" t="s">
        <v>678</v>
      </c>
      <c r="T544" s="1" t="s">
        <v>74</v>
      </c>
      <c r="U544" s="1" t="s">
        <v>74</v>
      </c>
      <c r="V544" s="1" t="s">
        <v>4684</v>
      </c>
      <c r="W544" s="1" t="s">
        <v>74</v>
      </c>
      <c r="X544" s="1" t="s">
        <v>74</v>
      </c>
      <c r="Y544" s="1" t="s">
        <v>74</v>
      </c>
      <c r="Z544" s="1" t="s">
        <v>74</v>
      </c>
      <c r="AA544" s="1" t="s">
        <v>74</v>
      </c>
      <c r="AB544" s="1" t="s">
        <v>74</v>
      </c>
      <c r="AC544" s="1" t="s">
        <v>74</v>
      </c>
      <c r="AD544" s="1" t="s">
        <v>74</v>
      </c>
      <c r="AE544" s="1" t="s">
        <v>74</v>
      </c>
      <c r="AF544" s="1" t="s">
        <v>74</v>
      </c>
      <c r="AG544" s="1" t="s">
        <v>74</v>
      </c>
      <c r="AH544" s="1" t="s">
        <v>74</v>
      </c>
      <c r="AI544" s="1" t="s">
        <v>74</v>
      </c>
      <c r="AJ544" s="1" t="s">
        <v>74</v>
      </c>
      <c r="AK544" s="1" t="s">
        <v>74</v>
      </c>
      <c r="AL544" s="1" t="s">
        <v>74</v>
      </c>
      <c r="AM544" s="1" t="s">
        <v>74</v>
      </c>
      <c r="AN544" s="1" t="s">
        <v>74</v>
      </c>
      <c r="AO544" s="1" t="s">
        <v>74</v>
      </c>
      <c r="AP544" s="1" t="s">
        <v>74</v>
      </c>
      <c r="AQ544" s="1" t="s">
        <v>682</v>
      </c>
      <c r="AR544" s="1" t="s">
        <v>74</v>
      </c>
      <c r="AS544" s="1" t="s">
        <v>74</v>
      </c>
      <c r="AT544" s="1" t="s">
        <v>74</v>
      </c>
      <c r="AU544" s="1">
        <v>2016.0</v>
      </c>
      <c r="AV544" s="1" t="s">
        <v>74</v>
      </c>
      <c r="AW544" s="1" t="s">
        <v>74</v>
      </c>
      <c r="AX544" s="1" t="s">
        <v>74</v>
      </c>
      <c r="AY544" s="1" t="s">
        <v>74</v>
      </c>
      <c r="AZ544" s="1" t="s">
        <v>74</v>
      </c>
      <c r="BA544" s="1" t="s">
        <v>74</v>
      </c>
      <c r="BB544" s="1" t="s">
        <v>74</v>
      </c>
      <c r="BC544" s="1" t="s">
        <v>74</v>
      </c>
      <c r="BD544" s="1" t="s">
        <v>74</v>
      </c>
      <c r="BE544" s="1" t="s">
        <v>74</v>
      </c>
      <c r="BF544" s="1" t="s">
        <v>74</v>
      </c>
      <c r="BG544" s="1" t="s">
        <v>74</v>
      </c>
      <c r="BH544" s="1" t="s">
        <v>74</v>
      </c>
      <c r="BI544" s="1" t="s">
        <v>74</v>
      </c>
      <c r="BJ544" s="1" t="s">
        <v>74</v>
      </c>
      <c r="BK544" s="1" t="s">
        <v>74</v>
      </c>
      <c r="BL544" s="1" t="s">
        <v>74</v>
      </c>
      <c r="BM544" s="1" t="s">
        <v>74</v>
      </c>
      <c r="BN544" s="1" t="s">
        <v>74</v>
      </c>
      <c r="BO544" s="1" t="s">
        <v>74</v>
      </c>
      <c r="BP544" s="1" t="s">
        <v>74</v>
      </c>
      <c r="BQ544" s="1" t="s">
        <v>74</v>
      </c>
      <c r="BR544" s="1" t="s">
        <v>74</v>
      </c>
      <c r="BS544" s="1" t="s">
        <v>4685</v>
      </c>
      <c r="BT544" s="1" t="str">
        <f>HYPERLINK("https%3A%2F%2Fwww.webofscience.com%2Fwos%2Fwoscc%2Ffull-record%2FWOS:000390556300079","View Full Record in Web of Science")</f>
        <v>View Full Record in Web of Science</v>
      </c>
    </row>
    <row r="545" ht="12.75" customHeight="1">
      <c r="A545" s="1" t="s">
        <v>72</v>
      </c>
      <c r="B545" s="1" t="s">
        <v>4686</v>
      </c>
      <c r="C545" s="1" t="s">
        <v>74</v>
      </c>
      <c r="D545" s="1" t="s">
        <v>74</v>
      </c>
      <c r="E545" s="1" t="s">
        <v>74</v>
      </c>
      <c r="F545" s="1" t="s">
        <v>4687</v>
      </c>
      <c r="G545" s="1" t="s">
        <v>74</v>
      </c>
      <c r="H545" s="1" t="s">
        <v>74</v>
      </c>
      <c r="I545" s="1" t="s">
        <v>4688</v>
      </c>
      <c r="J545" s="1" t="s">
        <v>954</v>
      </c>
      <c r="K545" s="1" t="s">
        <v>74</v>
      </c>
      <c r="L545" s="1" t="s">
        <v>74</v>
      </c>
      <c r="M545" s="1" t="s">
        <v>74</v>
      </c>
      <c r="N545" s="1" t="s">
        <v>74</v>
      </c>
      <c r="O545" s="1" t="s">
        <v>74</v>
      </c>
      <c r="P545" s="1" t="s">
        <v>74</v>
      </c>
      <c r="Q545" s="1" t="s">
        <v>74</v>
      </c>
      <c r="R545" s="1" t="s">
        <v>74</v>
      </c>
      <c r="S545" s="1" t="s">
        <v>74</v>
      </c>
      <c r="T545" s="1" t="s">
        <v>74</v>
      </c>
      <c r="U545" s="1" t="s">
        <v>74</v>
      </c>
      <c r="V545" s="1" t="s">
        <v>4689</v>
      </c>
      <c r="W545" s="1" t="s">
        <v>74</v>
      </c>
      <c r="X545" s="1" t="s">
        <v>74</v>
      </c>
      <c r="Y545" s="1" t="s">
        <v>74</v>
      </c>
      <c r="Z545" s="1" t="s">
        <v>74</v>
      </c>
      <c r="AA545" s="1" t="s">
        <v>74</v>
      </c>
      <c r="AB545" s="1" t="s">
        <v>2416</v>
      </c>
      <c r="AC545" s="1" t="s">
        <v>74</v>
      </c>
      <c r="AD545" s="1" t="s">
        <v>74</v>
      </c>
      <c r="AE545" s="1" t="s">
        <v>74</v>
      </c>
      <c r="AF545" s="1" t="s">
        <v>74</v>
      </c>
      <c r="AG545" s="1" t="s">
        <v>74</v>
      </c>
      <c r="AH545" s="1" t="s">
        <v>74</v>
      </c>
      <c r="AI545" s="1" t="s">
        <v>74</v>
      </c>
      <c r="AJ545" s="1" t="s">
        <v>74</v>
      </c>
      <c r="AK545" s="1" t="s">
        <v>74</v>
      </c>
      <c r="AL545" s="1" t="s">
        <v>74</v>
      </c>
      <c r="AM545" s="1" t="s">
        <v>74</v>
      </c>
      <c r="AN545" s="1" t="s">
        <v>74</v>
      </c>
      <c r="AO545" s="1" t="s">
        <v>956</v>
      </c>
      <c r="AP545" s="1" t="s">
        <v>1796</v>
      </c>
      <c r="AQ545" s="1" t="s">
        <v>74</v>
      </c>
      <c r="AR545" s="1" t="s">
        <v>74</v>
      </c>
      <c r="AS545" s="1" t="s">
        <v>74</v>
      </c>
      <c r="AT545" s="1" t="s">
        <v>74</v>
      </c>
      <c r="AU545" s="1">
        <v>2016.0</v>
      </c>
      <c r="AV545" s="1">
        <v>34.0</v>
      </c>
      <c r="AW545" s="1">
        <v>13.0</v>
      </c>
      <c r="AX545" s="1" t="s">
        <v>74</v>
      </c>
      <c r="AY545" s="1" t="s">
        <v>74</v>
      </c>
      <c r="AZ545" s="1" t="s">
        <v>74</v>
      </c>
      <c r="BA545" s="1" t="s">
        <v>74</v>
      </c>
      <c r="BB545" s="1">
        <v>1558.0</v>
      </c>
      <c r="BC545" s="1">
        <v>1566.0</v>
      </c>
      <c r="BD545" s="1" t="s">
        <v>74</v>
      </c>
      <c r="BE545" s="1" t="s">
        <v>4690</v>
      </c>
      <c r="BF545" s="2" t="str">
        <f>HYPERLINK("http://dx.doi.org/10.1080/07373937.2015.1137001","http://dx.doi.org/10.1080/07373937.2015.1137001")</f>
        <v>http://dx.doi.org/10.1080/07373937.2015.1137001</v>
      </c>
      <c r="BG545" s="1" t="s">
        <v>74</v>
      </c>
      <c r="BH545" s="1" t="s">
        <v>74</v>
      </c>
      <c r="BI545" s="1" t="s">
        <v>74</v>
      </c>
      <c r="BJ545" s="1" t="s">
        <v>74</v>
      </c>
      <c r="BK545" s="1" t="s">
        <v>74</v>
      </c>
      <c r="BL545" s="1" t="s">
        <v>74</v>
      </c>
      <c r="BM545" s="1" t="s">
        <v>74</v>
      </c>
      <c r="BN545" s="1" t="s">
        <v>74</v>
      </c>
      <c r="BO545" s="1" t="s">
        <v>74</v>
      </c>
      <c r="BP545" s="1" t="s">
        <v>74</v>
      </c>
      <c r="BQ545" s="1" t="s">
        <v>74</v>
      </c>
      <c r="BR545" s="1" t="s">
        <v>74</v>
      </c>
      <c r="BS545" s="1" t="s">
        <v>4691</v>
      </c>
      <c r="BT545" s="1" t="str">
        <f>HYPERLINK("https%3A%2F%2Fwww.webofscience.com%2Fwos%2Fwoscc%2Ffull-record%2FWOS:000385564200003","View Full Record in Web of Science")</f>
        <v>View Full Record in Web of Science</v>
      </c>
    </row>
    <row r="546" ht="12.75" customHeight="1">
      <c r="A546" s="1" t="s">
        <v>72</v>
      </c>
      <c r="B546" s="1" t="s">
        <v>4692</v>
      </c>
      <c r="C546" s="1" t="s">
        <v>74</v>
      </c>
      <c r="D546" s="1" t="s">
        <v>74</v>
      </c>
      <c r="E546" s="1" t="s">
        <v>74</v>
      </c>
      <c r="F546" s="1" t="s">
        <v>4693</v>
      </c>
      <c r="G546" s="1" t="s">
        <v>74</v>
      </c>
      <c r="H546" s="1" t="s">
        <v>74</v>
      </c>
      <c r="I546" s="1" t="s">
        <v>4694</v>
      </c>
      <c r="J546" s="1" t="s">
        <v>4695</v>
      </c>
      <c r="K546" s="1" t="s">
        <v>74</v>
      </c>
      <c r="L546" s="1" t="s">
        <v>74</v>
      </c>
      <c r="M546" s="1" t="s">
        <v>74</v>
      </c>
      <c r="N546" s="1" t="s">
        <v>74</v>
      </c>
      <c r="O546" s="1" t="s">
        <v>74</v>
      </c>
      <c r="P546" s="1" t="s">
        <v>74</v>
      </c>
      <c r="Q546" s="1" t="s">
        <v>74</v>
      </c>
      <c r="R546" s="1" t="s">
        <v>74</v>
      </c>
      <c r="S546" s="1" t="s">
        <v>74</v>
      </c>
      <c r="T546" s="1" t="s">
        <v>74</v>
      </c>
      <c r="U546" s="1" t="s">
        <v>74</v>
      </c>
      <c r="V546" s="1" t="s">
        <v>4696</v>
      </c>
      <c r="W546" s="1" t="s">
        <v>74</v>
      </c>
      <c r="X546" s="1" t="s">
        <v>74</v>
      </c>
      <c r="Y546" s="1" t="s">
        <v>74</v>
      </c>
      <c r="Z546" s="1" t="s">
        <v>74</v>
      </c>
      <c r="AA546" s="1" t="s">
        <v>74</v>
      </c>
      <c r="AB546" s="1" t="s">
        <v>74</v>
      </c>
      <c r="AC546" s="1" t="s">
        <v>74</v>
      </c>
      <c r="AD546" s="1" t="s">
        <v>74</v>
      </c>
      <c r="AE546" s="1" t="s">
        <v>74</v>
      </c>
      <c r="AF546" s="1" t="s">
        <v>74</v>
      </c>
      <c r="AG546" s="1" t="s">
        <v>74</v>
      </c>
      <c r="AH546" s="1" t="s">
        <v>74</v>
      </c>
      <c r="AI546" s="1" t="s">
        <v>74</v>
      </c>
      <c r="AJ546" s="1" t="s">
        <v>74</v>
      </c>
      <c r="AK546" s="1" t="s">
        <v>74</v>
      </c>
      <c r="AL546" s="1" t="s">
        <v>74</v>
      </c>
      <c r="AM546" s="1" t="s">
        <v>74</v>
      </c>
      <c r="AN546" s="1" t="s">
        <v>74</v>
      </c>
      <c r="AO546" s="1" t="s">
        <v>4697</v>
      </c>
      <c r="AP546" s="1" t="s">
        <v>4698</v>
      </c>
      <c r="AQ546" s="1" t="s">
        <v>74</v>
      </c>
      <c r="AR546" s="1" t="s">
        <v>74</v>
      </c>
      <c r="AS546" s="1" t="s">
        <v>74</v>
      </c>
      <c r="AT546" s="1" t="s">
        <v>4699</v>
      </c>
      <c r="AU546" s="1">
        <v>2015.0</v>
      </c>
      <c r="AV546" s="1">
        <v>36.0</v>
      </c>
      <c r="AW546" s="1">
        <v>15.0</v>
      </c>
      <c r="AX546" s="1" t="s">
        <v>74</v>
      </c>
      <c r="AY546" s="1" t="s">
        <v>74</v>
      </c>
      <c r="AZ546" s="1" t="s">
        <v>74</v>
      </c>
      <c r="BA546" s="1" t="s">
        <v>74</v>
      </c>
      <c r="BB546" s="1">
        <v>1913.0</v>
      </c>
      <c r="BC546" s="1">
        <v>1923.0</v>
      </c>
      <c r="BD546" s="1" t="s">
        <v>74</v>
      </c>
      <c r="BE546" s="1" t="s">
        <v>4700</v>
      </c>
      <c r="BF546" s="2" t="str">
        <f>HYPERLINK("http://dx.doi.org/10.1080/09593330.2015.1016119","http://dx.doi.org/10.1080/09593330.2015.1016119")</f>
        <v>http://dx.doi.org/10.1080/09593330.2015.1016119</v>
      </c>
      <c r="BG546" s="1" t="s">
        <v>74</v>
      </c>
      <c r="BH546" s="1" t="s">
        <v>74</v>
      </c>
      <c r="BI546" s="1" t="s">
        <v>74</v>
      </c>
      <c r="BJ546" s="1" t="s">
        <v>74</v>
      </c>
      <c r="BK546" s="1" t="s">
        <v>74</v>
      </c>
      <c r="BL546" s="1" t="s">
        <v>74</v>
      </c>
      <c r="BM546" s="1" t="s">
        <v>74</v>
      </c>
      <c r="BN546" s="1">
        <v>2.5655393E7</v>
      </c>
      <c r="BO546" s="1" t="s">
        <v>74</v>
      </c>
      <c r="BP546" s="1" t="s">
        <v>74</v>
      </c>
      <c r="BQ546" s="1" t="s">
        <v>74</v>
      </c>
      <c r="BR546" s="1" t="s">
        <v>74</v>
      </c>
      <c r="BS546" s="1" t="s">
        <v>4701</v>
      </c>
      <c r="BT546" s="1" t="str">
        <f>HYPERLINK("https%3A%2F%2Fwww.webofscience.com%2Fwos%2Fwoscc%2Ffull-record%2FWOS:000354452600006","View Full Record in Web of Science")</f>
        <v>View Full Record in Web of Science</v>
      </c>
    </row>
    <row r="547" ht="12.75" customHeight="1">
      <c r="A547" s="1" t="s">
        <v>91</v>
      </c>
      <c r="B547" s="1" t="s">
        <v>4702</v>
      </c>
      <c r="C547" s="1" t="s">
        <v>74</v>
      </c>
      <c r="D547" s="1" t="s">
        <v>74</v>
      </c>
      <c r="E547" s="1" t="s">
        <v>442</v>
      </c>
      <c r="F547" s="1" t="s">
        <v>4703</v>
      </c>
      <c r="G547" s="1" t="s">
        <v>74</v>
      </c>
      <c r="H547" s="1" t="s">
        <v>74</v>
      </c>
      <c r="I547" s="1" t="s">
        <v>4704</v>
      </c>
      <c r="J547" s="1" t="s">
        <v>4705</v>
      </c>
      <c r="K547" s="1" t="s">
        <v>74</v>
      </c>
      <c r="L547" s="1" t="s">
        <v>74</v>
      </c>
      <c r="M547" s="1" t="s">
        <v>74</v>
      </c>
      <c r="N547" s="1" t="s">
        <v>74</v>
      </c>
      <c r="O547" s="1" t="s">
        <v>4706</v>
      </c>
      <c r="P547" s="1" t="s">
        <v>4707</v>
      </c>
      <c r="Q547" s="1" t="s">
        <v>4708</v>
      </c>
      <c r="R547" s="1" t="s">
        <v>4709</v>
      </c>
      <c r="S547" s="1" t="s">
        <v>74</v>
      </c>
      <c r="T547" s="1" t="s">
        <v>74</v>
      </c>
      <c r="U547" s="1" t="s">
        <v>74</v>
      </c>
      <c r="V547" s="1" t="s">
        <v>4710</v>
      </c>
      <c r="W547" s="1" t="s">
        <v>74</v>
      </c>
      <c r="X547" s="1" t="s">
        <v>74</v>
      </c>
      <c r="Y547" s="1" t="s">
        <v>74</v>
      </c>
      <c r="Z547" s="1" t="s">
        <v>74</v>
      </c>
      <c r="AA547" s="1" t="s">
        <v>74</v>
      </c>
      <c r="AB547" s="1" t="s">
        <v>74</v>
      </c>
      <c r="AC547" s="1" t="s">
        <v>74</v>
      </c>
      <c r="AD547" s="1" t="s">
        <v>74</v>
      </c>
      <c r="AE547" s="1" t="s">
        <v>74</v>
      </c>
      <c r="AF547" s="1" t="s">
        <v>74</v>
      </c>
      <c r="AG547" s="1" t="s">
        <v>74</v>
      </c>
      <c r="AH547" s="1" t="s">
        <v>74</v>
      </c>
      <c r="AI547" s="1" t="s">
        <v>74</v>
      </c>
      <c r="AJ547" s="1" t="s">
        <v>74</v>
      </c>
      <c r="AK547" s="1" t="s">
        <v>74</v>
      </c>
      <c r="AL547" s="1" t="s">
        <v>74</v>
      </c>
      <c r="AM547" s="1" t="s">
        <v>74</v>
      </c>
      <c r="AN547" s="1" t="s">
        <v>74</v>
      </c>
      <c r="AO547" s="1" t="s">
        <v>74</v>
      </c>
      <c r="AP547" s="1" t="s">
        <v>74</v>
      </c>
      <c r="AQ547" s="1" t="s">
        <v>4711</v>
      </c>
      <c r="AR547" s="1" t="s">
        <v>74</v>
      </c>
      <c r="AS547" s="1" t="s">
        <v>74</v>
      </c>
      <c r="AT547" s="1" t="s">
        <v>74</v>
      </c>
      <c r="AU547" s="1">
        <v>2015.0</v>
      </c>
      <c r="AV547" s="1" t="s">
        <v>74</v>
      </c>
      <c r="AW547" s="1" t="s">
        <v>74</v>
      </c>
      <c r="AX547" s="1" t="s">
        <v>74</v>
      </c>
      <c r="AY547" s="1" t="s">
        <v>74</v>
      </c>
      <c r="AZ547" s="1" t="s">
        <v>74</v>
      </c>
      <c r="BA547" s="1" t="s">
        <v>74</v>
      </c>
      <c r="BB547" s="1">
        <v>875.0</v>
      </c>
      <c r="BC547" s="1">
        <v>880.0</v>
      </c>
      <c r="BD547" s="1" t="s">
        <v>74</v>
      </c>
      <c r="BE547" s="1" t="s">
        <v>74</v>
      </c>
      <c r="BF547" s="1" t="s">
        <v>74</v>
      </c>
      <c r="BG547" s="1" t="s">
        <v>74</v>
      </c>
      <c r="BH547" s="1" t="s">
        <v>74</v>
      </c>
      <c r="BI547" s="1" t="s">
        <v>74</v>
      </c>
      <c r="BJ547" s="1" t="s">
        <v>74</v>
      </c>
      <c r="BK547" s="1" t="s">
        <v>74</v>
      </c>
      <c r="BL547" s="1" t="s">
        <v>74</v>
      </c>
      <c r="BM547" s="1" t="s">
        <v>74</v>
      </c>
      <c r="BN547" s="1" t="s">
        <v>74</v>
      </c>
      <c r="BO547" s="1" t="s">
        <v>74</v>
      </c>
      <c r="BP547" s="1" t="s">
        <v>74</v>
      </c>
      <c r="BQ547" s="1" t="s">
        <v>74</v>
      </c>
      <c r="BR547" s="1" t="s">
        <v>74</v>
      </c>
      <c r="BS547" s="1" t="s">
        <v>4712</v>
      </c>
      <c r="BT547" s="1" t="str">
        <f>HYPERLINK("https%3A%2F%2Fwww.webofscience.com%2Fwos%2Fwoscc%2Ffull-record%2FWOS:000398603600153","View Full Record in Web of Science")</f>
        <v>View Full Record in Web of Science</v>
      </c>
    </row>
    <row r="548" ht="12.75" customHeight="1">
      <c r="A548" s="1" t="s">
        <v>72</v>
      </c>
      <c r="B548" s="1" t="s">
        <v>4713</v>
      </c>
      <c r="C548" s="1" t="s">
        <v>74</v>
      </c>
      <c r="D548" s="1" t="s">
        <v>74</v>
      </c>
      <c r="E548" s="1" t="s">
        <v>74</v>
      </c>
      <c r="F548" s="1" t="s">
        <v>4714</v>
      </c>
      <c r="G548" s="1" t="s">
        <v>74</v>
      </c>
      <c r="H548" s="1" t="s">
        <v>74</v>
      </c>
      <c r="I548" s="1" t="s">
        <v>4715</v>
      </c>
      <c r="J548" s="1" t="s">
        <v>4716</v>
      </c>
      <c r="K548" s="1" t="s">
        <v>74</v>
      </c>
      <c r="L548" s="1" t="s">
        <v>74</v>
      </c>
      <c r="M548" s="1" t="s">
        <v>74</v>
      </c>
      <c r="N548" s="1" t="s">
        <v>74</v>
      </c>
      <c r="O548" s="1" t="s">
        <v>74</v>
      </c>
      <c r="P548" s="1" t="s">
        <v>74</v>
      </c>
      <c r="Q548" s="1" t="s">
        <v>74</v>
      </c>
      <c r="R548" s="1" t="s">
        <v>74</v>
      </c>
      <c r="S548" s="1" t="s">
        <v>74</v>
      </c>
      <c r="T548" s="1" t="s">
        <v>74</v>
      </c>
      <c r="U548" s="1" t="s">
        <v>74</v>
      </c>
      <c r="V548" s="1" t="s">
        <v>4717</v>
      </c>
      <c r="W548" s="1" t="s">
        <v>74</v>
      </c>
      <c r="X548" s="1" t="s">
        <v>74</v>
      </c>
      <c r="Y548" s="1" t="s">
        <v>74</v>
      </c>
      <c r="Z548" s="1" t="s">
        <v>74</v>
      </c>
      <c r="AA548" s="1" t="s">
        <v>969</v>
      </c>
      <c r="AB548" s="1" t="s">
        <v>486</v>
      </c>
      <c r="AC548" s="1" t="s">
        <v>74</v>
      </c>
      <c r="AD548" s="1" t="s">
        <v>74</v>
      </c>
      <c r="AE548" s="1" t="s">
        <v>74</v>
      </c>
      <c r="AF548" s="1" t="s">
        <v>74</v>
      </c>
      <c r="AG548" s="1" t="s">
        <v>74</v>
      </c>
      <c r="AH548" s="1" t="s">
        <v>74</v>
      </c>
      <c r="AI548" s="1" t="s">
        <v>74</v>
      </c>
      <c r="AJ548" s="1" t="s">
        <v>74</v>
      </c>
      <c r="AK548" s="1" t="s">
        <v>74</v>
      </c>
      <c r="AL548" s="1" t="s">
        <v>74</v>
      </c>
      <c r="AM548" s="1" t="s">
        <v>74</v>
      </c>
      <c r="AN548" s="1" t="s">
        <v>74</v>
      </c>
      <c r="AO548" s="1" t="s">
        <v>4718</v>
      </c>
      <c r="AP548" s="1" t="s">
        <v>4719</v>
      </c>
      <c r="AQ548" s="1" t="s">
        <v>74</v>
      </c>
      <c r="AR548" s="1" t="s">
        <v>74</v>
      </c>
      <c r="AS548" s="1" t="s">
        <v>74</v>
      </c>
      <c r="AT548" s="1" t="s">
        <v>299</v>
      </c>
      <c r="AU548" s="1">
        <v>2015.0</v>
      </c>
      <c r="AV548" s="1">
        <v>42.0</v>
      </c>
      <c r="AW548" s="1">
        <v>1.0</v>
      </c>
      <c r="AX548" s="1" t="s">
        <v>74</v>
      </c>
      <c r="AY548" s="1" t="s">
        <v>74</v>
      </c>
      <c r="AZ548" s="1" t="s">
        <v>74</v>
      </c>
      <c r="BA548" s="1" t="s">
        <v>74</v>
      </c>
      <c r="BB548" s="1">
        <v>691.0</v>
      </c>
      <c r="BC548" s="1" t="s">
        <v>631</v>
      </c>
      <c r="BD548" s="1" t="s">
        <v>74</v>
      </c>
      <c r="BE548" s="1" t="s">
        <v>4720</v>
      </c>
      <c r="BF548" s="2" t="str">
        <f>HYPERLINK("http://dx.doi.org/10.1016/j.eswa.2014.08.017","http://dx.doi.org/10.1016/j.eswa.2014.08.017")</f>
        <v>http://dx.doi.org/10.1016/j.eswa.2014.08.017</v>
      </c>
      <c r="BG548" s="1" t="s">
        <v>74</v>
      </c>
      <c r="BH548" s="1" t="s">
        <v>74</v>
      </c>
      <c r="BI548" s="1" t="s">
        <v>74</v>
      </c>
      <c r="BJ548" s="1" t="s">
        <v>74</v>
      </c>
      <c r="BK548" s="1" t="s">
        <v>74</v>
      </c>
      <c r="BL548" s="1" t="s">
        <v>74</v>
      </c>
      <c r="BM548" s="1" t="s">
        <v>74</v>
      </c>
      <c r="BN548" s="1" t="s">
        <v>74</v>
      </c>
      <c r="BO548" s="1" t="s">
        <v>74</v>
      </c>
      <c r="BP548" s="1" t="s">
        <v>74</v>
      </c>
      <c r="BQ548" s="1" t="s">
        <v>74</v>
      </c>
      <c r="BR548" s="1" t="s">
        <v>74</v>
      </c>
      <c r="BS548" s="1" t="s">
        <v>4721</v>
      </c>
      <c r="BT548" s="1" t="str">
        <f>HYPERLINK("https%3A%2F%2Fwww.webofscience.com%2Fwos%2Fwoscc%2Ffull-record%2FWOS:000344034300058","View Full Record in Web of Science")</f>
        <v>View Full Record in Web of Science</v>
      </c>
    </row>
    <row r="549" ht="12.75" customHeight="1">
      <c r="A549" s="1" t="s">
        <v>72</v>
      </c>
      <c r="B549" s="1" t="s">
        <v>4722</v>
      </c>
      <c r="C549" s="1" t="s">
        <v>74</v>
      </c>
      <c r="D549" s="1" t="s">
        <v>74</v>
      </c>
      <c r="E549" s="1" t="s">
        <v>74</v>
      </c>
      <c r="F549" s="1" t="s">
        <v>4723</v>
      </c>
      <c r="G549" s="1" t="s">
        <v>74</v>
      </c>
      <c r="H549" s="1" t="s">
        <v>74</v>
      </c>
      <c r="I549" s="1" t="s">
        <v>4724</v>
      </c>
      <c r="J549" s="1" t="s">
        <v>4452</v>
      </c>
      <c r="K549" s="1" t="s">
        <v>74</v>
      </c>
      <c r="L549" s="1" t="s">
        <v>74</v>
      </c>
      <c r="M549" s="1" t="s">
        <v>74</v>
      </c>
      <c r="N549" s="1" t="s">
        <v>74</v>
      </c>
      <c r="O549" s="1" t="s">
        <v>74</v>
      </c>
      <c r="P549" s="1" t="s">
        <v>74</v>
      </c>
      <c r="Q549" s="1" t="s">
        <v>74</v>
      </c>
      <c r="R549" s="1" t="s">
        <v>74</v>
      </c>
      <c r="S549" s="1" t="s">
        <v>74</v>
      </c>
      <c r="T549" s="1" t="s">
        <v>74</v>
      </c>
      <c r="U549" s="1" t="s">
        <v>74</v>
      </c>
      <c r="V549" s="1" t="s">
        <v>4725</v>
      </c>
      <c r="W549" s="1" t="s">
        <v>74</v>
      </c>
      <c r="X549" s="1" t="s">
        <v>74</v>
      </c>
      <c r="Y549" s="1" t="s">
        <v>74</v>
      </c>
      <c r="Z549" s="1" t="s">
        <v>74</v>
      </c>
      <c r="AA549" s="1" t="s">
        <v>3105</v>
      </c>
      <c r="AB549" s="1" t="s">
        <v>3246</v>
      </c>
      <c r="AC549" s="1" t="s">
        <v>74</v>
      </c>
      <c r="AD549" s="1" t="s">
        <v>74</v>
      </c>
      <c r="AE549" s="1" t="s">
        <v>74</v>
      </c>
      <c r="AF549" s="1" t="s">
        <v>74</v>
      </c>
      <c r="AG549" s="1" t="s">
        <v>74</v>
      </c>
      <c r="AH549" s="1" t="s">
        <v>74</v>
      </c>
      <c r="AI549" s="1" t="s">
        <v>74</v>
      </c>
      <c r="AJ549" s="1" t="s">
        <v>74</v>
      </c>
      <c r="AK549" s="1" t="s">
        <v>74</v>
      </c>
      <c r="AL549" s="1" t="s">
        <v>74</v>
      </c>
      <c r="AM549" s="1" t="s">
        <v>74</v>
      </c>
      <c r="AN549" s="1" t="s">
        <v>74</v>
      </c>
      <c r="AO549" s="1" t="s">
        <v>4456</v>
      </c>
      <c r="AP549" s="1" t="s">
        <v>4457</v>
      </c>
      <c r="AQ549" s="1" t="s">
        <v>74</v>
      </c>
      <c r="AR549" s="1" t="s">
        <v>74</v>
      </c>
      <c r="AS549" s="1" t="s">
        <v>74</v>
      </c>
      <c r="AT549" s="1" t="s">
        <v>4726</v>
      </c>
      <c r="AU549" s="1">
        <v>2014.0</v>
      </c>
      <c r="AV549" s="1">
        <v>102.0</v>
      </c>
      <c r="AW549" s="1" t="s">
        <v>74</v>
      </c>
      <c r="AX549" s="1" t="s">
        <v>74</v>
      </c>
      <c r="AY549" s="1" t="s">
        <v>74</v>
      </c>
      <c r="AZ549" s="1" t="s">
        <v>74</v>
      </c>
      <c r="BA549" s="1" t="s">
        <v>74</v>
      </c>
      <c r="BB549" s="1">
        <v>317.0</v>
      </c>
      <c r="BC549" s="1">
        <v>323.0</v>
      </c>
      <c r="BD549" s="1" t="s">
        <v>74</v>
      </c>
      <c r="BE549" s="1" t="s">
        <v>4727</v>
      </c>
      <c r="BF549" s="2" t="str">
        <f>HYPERLINK("http://dx.doi.org/10.1016/j.carbpol.2013.11.038","http://dx.doi.org/10.1016/j.carbpol.2013.11.038")</f>
        <v>http://dx.doi.org/10.1016/j.carbpol.2013.11.038</v>
      </c>
      <c r="BG549" s="1" t="s">
        <v>74</v>
      </c>
      <c r="BH549" s="1" t="s">
        <v>74</v>
      </c>
      <c r="BI549" s="1" t="s">
        <v>74</v>
      </c>
      <c r="BJ549" s="1" t="s">
        <v>74</v>
      </c>
      <c r="BK549" s="1" t="s">
        <v>74</v>
      </c>
      <c r="BL549" s="1" t="s">
        <v>74</v>
      </c>
      <c r="BM549" s="1" t="s">
        <v>74</v>
      </c>
      <c r="BN549" s="1">
        <v>2.4507287E7</v>
      </c>
      <c r="BO549" s="1" t="s">
        <v>74</v>
      </c>
      <c r="BP549" s="1" t="s">
        <v>74</v>
      </c>
      <c r="BQ549" s="1" t="s">
        <v>74</v>
      </c>
      <c r="BR549" s="1" t="s">
        <v>74</v>
      </c>
      <c r="BS549" s="1" t="s">
        <v>4728</v>
      </c>
      <c r="BT549" s="1" t="str">
        <f>HYPERLINK("https%3A%2F%2Fwww.webofscience.com%2Fwos%2Fwoscc%2Ffull-record%2FWOS:000331779600040","View Full Record in Web of Science")</f>
        <v>View Full Record in Web of Science</v>
      </c>
    </row>
    <row r="550" ht="12.75" customHeight="1">
      <c r="A550" s="1" t="s">
        <v>72</v>
      </c>
      <c r="B550" s="1" t="s">
        <v>4729</v>
      </c>
      <c r="C550" s="1" t="s">
        <v>74</v>
      </c>
      <c r="D550" s="1" t="s">
        <v>74</v>
      </c>
      <c r="E550" s="1" t="s">
        <v>74</v>
      </c>
      <c r="F550" s="1" t="s">
        <v>4730</v>
      </c>
      <c r="G550" s="1" t="s">
        <v>74</v>
      </c>
      <c r="H550" s="1" t="s">
        <v>74</v>
      </c>
      <c r="I550" s="1" t="s">
        <v>4731</v>
      </c>
      <c r="J550" s="1" t="s">
        <v>4732</v>
      </c>
      <c r="K550" s="1" t="s">
        <v>74</v>
      </c>
      <c r="L550" s="1" t="s">
        <v>74</v>
      </c>
      <c r="M550" s="1" t="s">
        <v>74</v>
      </c>
      <c r="N550" s="1" t="s">
        <v>74</v>
      </c>
      <c r="O550" s="1" t="s">
        <v>74</v>
      </c>
      <c r="P550" s="1" t="s">
        <v>74</v>
      </c>
      <c r="Q550" s="1" t="s">
        <v>74</v>
      </c>
      <c r="R550" s="1" t="s">
        <v>74</v>
      </c>
      <c r="S550" s="1" t="s">
        <v>74</v>
      </c>
      <c r="T550" s="1" t="s">
        <v>74</v>
      </c>
      <c r="U550" s="1" t="s">
        <v>74</v>
      </c>
      <c r="V550" s="1" t="s">
        <v>4733</v>
      </c>
      <c r="W550" s="1" t="s">
        <v>74</v>
      </c>
      <c r="X550" s="1" t="s">
        <v>74</v>
      </c>
      <c r="Y550" s="1" t="s">
        <v>74</v>
      </c>
      <c r="Z550" s="1" t="s">
        <v>74</v>
      </c>
      <c r="AA550" s="1" t="s">
        <v>74</v>
      </c>
      <c r="AB550" s="1" t="s">
        <v>4734</v>
      </c>
      <c r="AC550" s="1" t="s">
        <v>74</v>
      </c>
      <c r="AD550" s="1" t="s">
        <v>74</v>
      </c>
      <c r="AE550" s="1" t="s">
        <v>74</v>
      </c>
      <c r="AF550" s="1" t="s">
        <v>74</v>
      </c>
      <c r="AG550" s="1" t="s">
        <v>74</v>
      </c>
      <c r="AH550" s="1" t="s">
        <v>74</v>
      </c>
      <c r="AI550" s="1" t="s">
        <v>74</v>
      </c>
      <c r="AJ550" s="1" t="s">
        <v>74</v>
      </c>
      <c r="AK550" s="1" t="s">
        <v>74</v>
      </c>
      <c r="AL550" s="1" t="s">
        <v>74</v>
      </c>
      <c r="AM550" s="1" t="s">
        <v>74</v>
      </c>
      <c r="AN550" s="1" t="s">
        <v>74</v>
      </c>
      <c r="AO550" s="1" t="s">
        <v>4735</v>
      </c>
      <c r="AP550" s="1" t="s">
        <v>74</v>
      </c>
      <c r="AQ550" s="1" t="s">
        <v>74</v>
      </c>
      <c r="AR550" s="1" t="s">
        <v>74</v>
      </c>
      <c r="AS550" s="1" t="s">
        <v>74</v>
      </c>
      <c r="AT550" s="1" t="s">
        <v>74</v>
      </c>
      <c r="AU550" s="1">
        <v>2013.0</v>
      </c>
      <c r="AV550" s="1">
        <v>19.0</v>
      </c>
      <c r="AW550" s="1">
        <v>35.0</v>
      </c>
      <c r="AX550" s="1" t="s">
        <v>74</v>
      </c>
      <c r="AY550" s="1" t="s">
        <v>74</v>
      </c>
      <c r="AZ550" s="1" t="s">
        <v>74</v>
      </c>
      <c r="BA550" s="1" t="s">
        <v>74</v>
      </c>
      <c r="BB550" s="1">
        <v>211.0</v>
      </c>
      <c r="BC550" s="1">
        <v>228.0</v>
      </c>
      <c r="BD550" s="1" t="s">
        <v>74</v>
      </c>
      <c r="BE550" s="1" t="s">
        <v>4736</v>
      </c>
      <c r="BF550" s="2" t="str">
        <f>HYPERLINK("http://dx.doi.org/10.5533/TEM-1980-542X-2013173512","http://dx.doi.org/10.5533/TEM-1980-542X-2013173512")</f>
        <v>http://dx.doi.org/10.5533/TEM-1980-542X-2013173512</v>
      </c>
      <c r="BG550" s="1" t="s">
        <v>74</v>
      </c>
      <c r="BH550" s="1" t="s">
        <v>74</v>
      </c>
      <c r="BI550" s="1" t="s">
        <v>74</v>
      </c>
      <c r="BJ550" s="1" t="s">
        <v>74</v>
      </c>
      <c r="BK550" s="1" t="s">
        <v>74</v>
      </c>
      <c r="BL550" s="1" t="s">
        <v>74</v>
      </c>
      <c r="BM550" s="1" t="s">
        <v>74</v>
      </c>
      <c r="BN550" s="1" t="s">
        <v>74</v>
      </c>
      <c r="BO550" s="1" t="s">
        <v>74</v>
      </c>
      <c r="BP550" s="1" t="s">
        <v>74</v>
      </c>
      <c r="BQ550" s="1" t="s">
        <v>74</v>
      </c>
      <c r="BR550" s="1" t="s">
        <v>74</v>
      </c>
      <c r="BS550" s="1" t="s">
        <v>4737</v>
      </c>
      <c r="BT550" s="1" t="str">
        <f>HYPERLINK("https%3A%2F%2Fwww.webofscience.com%2Fwos%2Fwoscc%2Ffull-record%2FWOS:000336524300012","View Full Record in Web of Science")</f>
        <v>View Full Record in Web of Science</v>
      </c>
    </row>
    <row r="551" ht="12.75" customHeight="1">
      <c r="A551" s="1" t="s">
        <v>72</v>
      </c>
      <c r="B551" s="1" t="s">
        <v>3249</v>
      </c>
      <c r="C551" s="1" t="s">
        <v>74</v>
      </c>
      <c r="D551" s="1" t="s">
        <v>74</v>
      </c>
      <c r="E551" s="1" t="s">
        <v>74</v>
      </c>
      <c r="F551" s="1" t="s">
        <v>3250</v>
      </c>
      <c r="G551" s="1" t="s">
        <v>74</v>
      </c>
      <c r="H551" s="1" t="s">
        <v>74</v>
      </c>
      <c r="I551" s="1" t="s">
        <v>4738</v>
      </c>
      <c r="J551" s="1" t="s">
        <v>4739</v>
      </c>
      <c r="K551" s="1" t="s">
        <v>74</v>
      </c>
      <c r="L551" s="1" t="s">
        <v>74</v>
      </c>
      <c r="M551" s="1" t="s">
        <v>74</v>
      </c>
      <c r="N551" s="1" t="s">
        <v>74</v>
      </c>
      <c r="O551" s="1" t="s">
        <v>74</v>
      </c>
      <c r="P551" s="1" t="s">
        <v>74</v>
      </c>
      <c r="Q551" s="1" t="s">
        <v>74</v>
      </c>
      <c r="R551" s="1" t="s">
        <v>74</v>
      </c>
      <c r="S551" s="1" t="s">
        <v>74</v>
      </c>
      <c r="T551" s="1" t="s">
        <v>74</v>
      </c>
      <c r="U551" s="1" t="s">
        <v>74</v>
      </c>
      <c r="V551" s="1" t="s">
        <v>4740</v>
      </c>
      <c r="W551" s="1" t="s">
        <v>74</v>
      </c>
      <c r="X551" s="1" t="s">
        <v>74</v>
      </c>
      <c r="Y551" s="1" t="s">
        <v>74</v>
      </c>
      <c r="Z551" s="1" t="s">
        <v>74</v>
      </c>
      <c r="AA551" s="1" t="s">
        <v>74</v>
      </c>
      <c r="AB551" s="1" t="s">
        <v>74</v>
      </c>
      <c r="AC551" s="1" t="s">
        <v>74</v>
      </c>
      <c r="AD551" s="1" t="s">
        <v>74</v>
      </c>
      <c r="AE551" s="1" t="s">
        <v>74</v>
      </c>
      <c r="AF551" s="1" t="s">
        <v>74</v>
      </c>
      <c r="AG551" s="1" t="s">
        <v>74</v>
      </c>
      <c r="AH551" s="1" t="s">
        <v>74</v>
      </c>
      <c r="AI551" s="1" t="s">
        <v>74</v>
      </c>
      <c r="AJ551" s="1" t="s">
        <v>74</v>
      </c>
      <c r="AK551" s="1" t="s">
        <v>74</v>
      </c>
      <c r="AL551" s="1" t="s">
        <v>74</v>
      </c>
      <c r="AM551" s="1" t="s">
        <v>74</v>
      </c>
      <c r="AN551" s="1" t="s">
        <v>74</v>
      </c>
      <c r="AO551" s="1" t="s">
        <v>4741</v>
      </c>
      <c r="AP551" s="1" t="s">
        <v>4742</v>
      </c>
      <c r="AQ551" s="1" t="s">
        <v>74</v>
      </c>
      <c r="AR551" s="1" t="s">
        <v>74</v>
      </c>
      <c r="AS551" s="1" t="s">
        <v>74</v>
      </c>
      <c r="AT551" s="1" t="s">
        <v>358</v>
      </c>
      <c r="AU551" s="1">
        <v>2013.0</v>
      </c>
      <c r="AV551" s="1">
        <v>17.0</v>
      </c>
      <c r="AW551" s="1">
        <v>1.0</v>
      </c>
      <c r="AX551" s="1" t="s">
        <v>74</v>
      </c>
      <c r="AY551" s="1" t="s">
        <v>74</v>
      </c>
      <c r="AZ551" s="1" t="s">
        <v>74</v>
      </c>
      <c r="BA551" s="1" t="s">
        <v>74</v>
      </c>
      <c r="BB551" s="1">
        <v>48.0</v>
      </c>
      <c r="BC551" s="1">
        <v>60.0</v>
      </c>
      <c r="BD551" s="1" t="s">
        <v>74</v>
      </c>
      <c r="BE551" s="1" t="s">
        <v>4743</v>
      </c>
      <c r="BF551" s="2" t="str">
        <f>HYPERLINK("http://dx.doi.org/10.4013/htu.2013.171.05","http://dx.doi.org/10.4013/htu.2013.171.05")</f>
        <v>http://dx.doi.org/10.4013/htu.2013.171.05</v>
      </c>
      <c r="BG551" s="1" t="s">
        <v>74</v>
      </c>
      <c r="BH551" s="1" t="s">
        <v>74</v>
      </c>
      <c r="BI551" s="1" t="s">
        <v>74</v>
      </c>
      <c r="BJ551" s="1" t="s">
        <v>74</v>
      </c>
      <c r="BK551" s="1" t="s">
        <v>74</v>
      </c>
      <c r="BL551" s="1" t="s">
        <v>74</v>
      </c>
      <c r="BM551" s="1" t="s">
        <v>74</v>
      </c>
      <c r="BN551" s="1" t="s">
        <v>74</v>
      </c>
      <c r="BO551" s="1" t="s">
        <v>74</v>
      </c>
      <c r="BP551" s="1" t="s">
        <v>74</v>
      </c>
      <c r="BQ551" s="1" t="s">
        <v>74</v>
      </c>
      <c r="BR551" s="1" t="s">
        <v>74</v>
      </c>
      <c r="BS551" s="1" t="s">
        <v>4744</v>
      </c>
      <c r="BT551" s="1" t="str">
        <f>HYPERLINK("https%3A%2F%2Fwww.webofscience.com%2Fwos%2Fwoscc%2Ffull-record%2FWOS:000318215400005","View Full Record in Web of Science")</f>
        <v>View Full Record in Web of Science</v>
      </c>
    </row>
    <row r="552" ht="12.75" customHeight="1">
      <c r="A552" s="1" t="s">
        <v>72</v>
      </c>
      <c r="B552" s="1" t="s">
        <v>4745</v>
      </c>
      <c r="C552" s="1" t="s">
        <v>74</v>
      </c>
      <c r="D552" s="1" t="s">
        <v>74</v>
      </c>
      <c r="E552" s="1" t="s">
        <v>74</v>
      </c>
      <c r="F552" s="1" t="s">
        <v>4746</v>
      </c>
      <c r="G552" s="1" t="s">
        <v>74</v>
      </c>
      <c r="H552" s="1" t="s">
        <v>74</v>
      </c>
      <c r="I552" s="1" t="s">
        <v>4747</v>
      </c>
      <c r="J552" s="1" t="s">
        <v>619</v>
      </c>
      <c r="K552" s="1" t="s">
        <v>74</v>
      </c>
      <c r="L552" s="1" t="s">
        <v>74</v>
      </c>
      <c r="M552" s="1" t="s">
        <v>74</v>
      </c>
      <c r="N552" s="1" t="s">
        <v>74</v>
      </c>
      <c r="O552" s="1" t="s">
        <v>74</v>
      </c>
      <c r="P552" s="1" t="s">
        <v>74</v>
      </c>
      <c r="Q552" s="1" t="s">
        <v>74</v>
      </c>
      <c r="R552" s="1" t="s">
        <v>74</v>
      </c>
      <c r="S552" s="1" t="s">
        <v>74</v>
      </c>
      <c r="T552" s="1" t="s">
        <v>74</v>
      </c>
      <c r="U552" s="1" t="s">
        <v>74</v>
      </c>
      <c r="V552" s="1" t="s">
        <v>74</v>
      </c>
      <c r="W552" s="1" t="s">
        <v>74</v>
      </c>
      <c r="X552" s="1" t="s">
        <v>74</v>
      </c>
      <c r="Y552" s="1" t="s">
        <v>74</v>
      </c>
      <c r="Z552" s="1" t="s">
        <v>74</v>
      </c>
      <c r="AA552" s="1" t="s">
        <v>74</v>
      </c>
      <c r="AB552" s="1" t="s">
        <v>74</v>
      </c>
      <c r="AC552" s="1" t="s">
        <v>74</v>
      </c>
      <c r="AD552" s="1" t="s">
        <v>74</v>
      </c>
      <c r="AE552" s="1" t="s">
        <v>74</v>
      </c>
      <c r="AF552" s="1" t="s">
        <v>74</v>
      </c>
      <c r="AG552" s="1" t="s">
        <v>74</v>
      </c>
      <c r="AH552" s="1" t="s">
        <v>74</v>
      </c>
      <c r="AI552" s="1" t="s">
        <v>74</v>
      </c>
      <c r="AJ552" s="1" t="s">
        <v>74</v>
      </c>
      <c r="AK552" s="1" t="s">
        <v>74</v>
      </c>
      <c r="AL552" s="1" t="s">
        <v>74</v>
      </c>
      <c r="AM552" s="1" t="s">
        <v>74</v>
      </c>
      <c r="AN552" s="1" t="s">
        <v>74</v>
      </c>
      <c r="AO552" s="1" t="s">
        <v>620</v>
      </c>
      <c r="AP552" s="1" t="s">
        <v>74</v>
      </c>
      <c r="AQ552" s="1" t="s">
        <v>74</v>
      </c>
      <c r="AR552" s="1" t="s">
        <v>74</v>
      </c>
      <c r="AS552" s="1" t="s">
        <v>74</v>
      </c>
      <c r="AT552" s="1" t="s">
        <v>74</v>
      </c>
      <c r="AU552" s="1">
        <v>2013.0</v>
      </c>
      <c r="AV552" s="1" t="s">
        <v>74</v>
      </c>
      <c r="AW552" s="1">
        <v>52.0</v>
      </c>
      <c r="AX552" s="1" t="s">
        <v>74</v>
      </c>
      <c r="AY552" s="1" t="s">
        <v>74</v>
      </c>
      <c r="AZ552" s="1" t="s">
        <v>74</v>
      </c>
      <c r="BA552" s="1" t="s">
        <v>74</v>
      </c>
      <c r="BB552" s="1">
        <v>195.0</v>
      </c>
      <c r="BC552" s="1">
        <v>198.0</v>
      </c>
      <c r="BD552" s="1" t="s">
        <v>74</v>
      </c>
      <c r="BE552" s="1" t="s">
        <v>74</v>
      </c>
      <c r="BF552" s="1" t="s">
        <v>74</v>
      </c>
      <c r="BG552" s="1" t="s">
        <v>74</v>
      </c>
      <c r="BH552" s="1" t="s">
        <v>74</v>
      </c>
      <c r="BI552" s="1" t="s">
        <v>74</v>
      </c>
      <c r="BJ552" s="1" t="s">
        <v>74</v>
      </c>
      <c r="BK552" s="1" t="s">
        <v>74</v>
      </c>
      <c r="BL552" s="1" t="s">
        <v>74</v>
      </c>
      <c r="BM552" s="1" t="s">
        <v>74</v>
      </c>
      <c r="BN552" s="1" t="s">
        <v>74</v>
      </c>
      <c r="BO552" s="1" t="s">
        <v>74</v>
      </c>
      <c r="BP552" s="1" t="s">
        <v>74</v>
      </c>
      <c r="BQ552" s="1" t="s">
        <v>74</v>
      </c>
      <c r="BR552" s="1" t="s">
        <v>74</v>
      </c>
      <c r="BS552" s="1" t="s">
        <v>4748</v>
      </c>
      <c r="BT552" s="1" t="str">
        <f>HYPERLINK("https%3A%2F%2Fwww.webofscience.com%2Fwos%2Fwoscc%2Ffull-record%2FWOS:000322050500012","View Full Record in Web of Science")</f>
        <v>View Full Record in Web of Science</v>
      </c>
    </row>
    <row r="553" ht="12.75" customHeight="1">
      <c r="A553" s="1" t="s">
        <v>72</v>
      </c>
      <c r="B553" s="1" t="s">
        <v>3230</v>
      </c>
      <c r="C553" s="1" t="s">
        <v>74</v>
      </c>
      <c r="D553" s="1" t="s">
        <v>74</v>
      </c>
      <c r="E553" s="1" t="s">
        <v>74</v>
      </c>
      <c r="F553" s="1" t="s">
        <v>3231</v>
      </c>
      <c r="G553" s="1" t="s">
        <v>74</v>
      </c>
      <c r="H553" s="1" t="s">
        <v>74</v>
      </c>
      <c r="I553" s="1" t="s">
        <v>4749</v>
      </c>
      <c r="J553" s="1" t="s">
        <v>912</v>
      </c>
      <c r="K553" s="1" t="s">
        <v>74</v>
      </c>
      <c r="L553" s="1" t="s">
        <v>74</v>
      </c>
      <c r="M553" s="1" t="s">
        <v>74</v>
      </c>
      <c r="N553" s="1" t="s">
        <v>74</v>
      </c>
      <c r="O553" s="1" t="s">
        <v>74</v>
      </c>
      <c r="P553" s="1" t="s">
        <v>74</v>
      </c>
      <c r="Q553" s="1" t="s">
        <v>74</v>
      </c>
      <c r="R553" s="1" t="s">
        <v>74</v>
      </c>
      <c r="S553" s="1" t="s">
        <v>74</v>
      </c>
      <c r="T553" s="1" t="s">
        <v>74</v>
      </c>
      <c r="U553" s="1" t="s">
        <v>74</v>
      </c>
      <c r="V553" s="1" t="s">
        <v>4750</v>
      </c>
      <c r="W553" s="1" t="s">
        <v>74</v>
      </c>
      <c r="X553" s="1" t="s">
        <v>74</v>
      </c>
      <c r="Y553" s="1" t="s">
        <v>74</v>
      </c>
      <c r="Z553" s="1" t="s">
        <v>74</v>
      </c>
      <c r="AA553" s="1" t="s">
        <v>74</v>
      </c>
      <c r="AB553" s="1" t="s">
        <v>74</v>
      </c>
      <c r="AC553" s="1" t="s">
        <v>74</v>
      </c>
      <c r="AD553" s="1" t="s">
        <v>74</v>
      </c>
      <c r="AE553" s="1" t="s">
        <v>74</v>
      </c>
      <c r="AF553" s="1" t="s">
        <v>74</v>
      </c>
      <c r="AG553" s="1" t="s">
        <v>74</v>
      </c>
      <c r="AH553" s="1" t="s">
        <v>74</v>
      </c>
      <c r="AI553" s="1" t="s">
        <v>74</v>
      </c>
      <c r="AJ553" s="1" t="s">
        <v>74</v>
      </c>
      <c r="AK553" s="1" t="s">
        <v>74</v>
      </c>
      <c r="AL553" s="1" t="s">
        <v>74</v>
      </c>
      <c r="AM553" s="1" t="s">
        <v>74</v>
      </c>
      <c r="AN553" s="1" t="s">
        <v>74</v>
      </c>
      <c r="AO553" s="1" t="s">
        <v>3995</v>
      </c>
      <c r="AP553" s="1" t="s">
        <v>74</v>
      </c>
      <c r="AQ553" s="1" t="s">
        <v>74</v>
      </c>
      <c r="AR553" s="1" t="s">
        <v>74</v>
      </c>
      <c r="AS553" s="1" t="s">
        <v>74</v>
      </c>
      <c r="AT553" s="1" t="s">
        <v>1493</v>
      </c>
      <c r="AU553" s="1">
        <v>2013.0</v>
      </c>
      <c r="AV553" s="1">
        <v>46.0</v>
      </c>
      <c r="AW553" s="1">
        <v>1.0</v>
      </c>
      <c r="AX553" s="1" t="s">
        <v>74</v>
      </c>
      <c r="AY553" s="1" t="s">
        <v>74</v>
      </c>
      <c r="AZ553" s="1" t="s">
        <v>74</v>
      </c>
      <c r="BA553" s="1" t="s">
        <v>74</v>
      </c>
      <c r="BB553" s="1">
        <v>153.0</v>
      </c>
      <c r="BC553" s="1">
        <v>176.0</v>
      </c>
      <c r="BD553" s="1" t="s">
        <v>74</v>
      </c>
      <c r="BE553" s="1" t="s">
        <v>74</v>
      </c>
      <c r="BF553" s="1" t="s">
        <v>74</v>
      </c>
      <c r="BG553" s="1" t="s">
        <v>74</v>
      </c>
      <c r="BH553" s="1" t="s">
        <v>74</v>
      </c>
      <c r="BI553" s="1" t="s">
        <v>74</v>
      </c>
      <c r="BJ553" s="1" t="s">
        <v>74</v>
      </c>
      <c r="BK553" s="1" t="s">
        <v>74</v>
      </c>
      <c r="BL553" s="1" t="s">
        <v>74</v>
      </c>
      <c r="BM553" s="1" t="s">
        <v>74</v>
      </c>
      <c r="BN553" s="1" t="s">
        <v>74</v>
      </c>
      <c r="BO553" s="1" t="s">
        <v>74</v>
      </c>
      <c r="BP553" s="1" t="s">
        <v>74</v>
      </c>
      <c r="BQ553" s="1" t="s">
        <v>74</v>
      </c>
      <c r="BR553" s="1" t="s">
        <v>74</v>
      </c>
      <c r="BS553" s="1" t="s">
        <v>4751</v>
      </c>
      <c r="BT553" s="1" t="str">
        <f>HYPERLINK("https%3A%2F%2Fwww.webofscience.com%2Fwos%2Fwoscc%2Ffull-record%2FWOS:000321934400005","View Full Record in Web of Science")</f>
        <v>View Full Record in Web of Science</v>
      </c>
    </row>
    <row r="554" ht="12.75" customHeight="1">
      <c r="A554" s="1" t="s">
        <v>72</v>
      </c>
      <c r="B554" s="1" t="s">
        <v>4752</v>
      </c>
      <c r="C554" s="1" t="s">
        <v>74</v>
      </c>
      <c r="D554" s="1" t="s">
        <v>74</v>
      </c>
      <c r="E554" s="1" t="s">
        <v>74</v>
      </c>
      <c r="F554" s="1" t="s">
        <v>4753</v>
      </c>
      <c r="G554" s="1" t="s">
        <v>74</v>
      </c>
      <c r="H554" s="1" t="s">
        <v>74</v>
      </c>
      <c r="I554" s="1" t="s">
        <v>4754</v>
      </c>
      <c r="J554" s="1" t="s">
        <v>4537</v>
      </c>
      <c r="K554" s="1" t="s">
        <v>74</v>
      </c>
      <c r="L554" s="1" t="s">
        <v>74</v>
      </c>
      <c r="M554" s="1" t="s">
        <v>74</v>
      </c>
      <c r="N554" s="1" t="s">
        <v>74</v>
      </c>
      <c r="O554" s="1" t="s">
        <v>74</v>
      </c>
      <c r="P554" s="1" t="s">
        <v>74</v>
      </c>
      <c r="Q554" s="1" t="s">
        <v>74</v>
      </c>
      <c r="R554" s="1" t="s">
        <v>74</v>
      </c>
      <c r="S554" s="1" t="s">
        <v>74</v>
      </c>
      <c r="T554" s="1" t="s">
        <v>74</v>
      </c>
      <c r="U554" s="1" t="s">
        <v>74</v>
      </c>
      <c r="V554" s="1" t="s">
        <v>4755</v>
      </c>
      <c r="W554" s="1" t="s">
        <v>74</v>
      </c>
      <c r="X554" s="1" t="s">
        <v>74</v>
      </c>
      <c r="Y554" s="1" t="s">
        <v>74</v>
      </c>
      <c r="Z554" s="1" t="s">
        <v>74</v>
      </c>
      <c r="AA554" s="1" t="s">
        <v>74</v>
      </c>
      <c r="AB554" s="1" t="s">
        <v>74</v>
      </c>
      <c r="AC554" s="1" t="s">
        <v>74</v>
      </c>
      <c r="AD554" s="1" t="s">
        <v>74</v>
      </c>
      <c r="AE554" s="1" t="s">
        <v>74</v>
      </c>
      <c r="AF554" s="1" t="s">
        <v>74</v>
      </c>
      <c r="AG554" s="1" t="s">
        <v>74</v>
      </c>
      <c r="AH554" s="1" t="s">
        <v>74</v>
      </c>
      <c r="AI554" s="1" t="s">
        <v>74</v>
      </c>
      <c r="AJ554" s="1" t="s">
        <v>74</v>
      </c>
      <c r="AK554" s="1" t="s">
        <v>74</v>
      </c>
      <c r="AL554" s="1" t="s">
        <v>74</v>
      </c>
      <c r="AM554" s="1" t="s">
        <v>74</v>
      </c>
      <c r="AN554" s="1" t="s">
        <v>74</v>
      </c>
      <c r="AO554" s="1" t="s">
        <v>4539</v>
      </c>
      <c r="AP554" s="1" t="s">
        <v>74</v>
      </c>
      <c r="AQ554" s="1" t="s">
        <v>74</v>
      </c>
      <c r="AR554" s="1" t="s">
        <v>74</v>
      </c>
      <c r="AS554" s="1" t="s">
        <v>74</v>
      </c>
      <c r="AT554" s="1" t="s">
        <v>810</v>
      </c>
      <c r="AU554" s="1">
        <v>2012.0</v>
      </c>
      <c r="AV554" s="1" t="s">
        <v>74</v>
      </c>
      <c r="AW554" s="1">
        <v>48.0</v>
      </c>
      <c r="AX554" s="1" t="s">
        <v>74</v>
      </c>
      <c r="AY554" s="1" t="s">
        <v>74</v>
      </c>
      <c r="AZ554" s="1" t="s">
        <v>74</v>
      </c>
      <c r="BA554" s="1" t="s">
        <v>74</v>
      </c>
      <c r="BB554" s="1">
        <v>39.0</v>
      </c>
      <c r="BC554" s="1">
        <v>57.0</v>
      </c>
      <c r="BD554" s="1" t="s">
        <v>74</v>
      </c>
      <c r="BE554" s="1" t="s">
        <v>4756</v>
      </c>
      <c r="BF554" s="2" t="str">
        <f>HYPERLINK("http://dx.doi.org/10.7440/histcrit48.2012.03","http://dx.doi.org/10.7440/histcrit48.2012.03")</f>
        <v>http://dx.doi.org/10.7440/histcrit48.2012.03</v>
      </c>
      <c r="BG554" s="1" t="s">
        <v>74</v>
      </c>
      <c r="BH554" s="1" t="s">
        <v>74</v>
      </c>
      <c r="BI554" s="1" t="s">
        <v>74</v>
      </c>
      <c r="BJ554" s="1" t="s">
        <v>74</v>
      </c>
      <c r="BK554" s="1" t="s">
        <v>74</v>
      </c>
      <c r="BL554" s="1" t="s">
        <v>74</v>
      </c>
      <c r="BM554" s="1" t="s">
        <v>74</v>
      </c>
      <c r="BN554" s="1" t="s">
        <v>74</v>
      </c>
      <c r="BO554" s="1" t="s">
        <v>74</v>
      </c>
      <c r="BP554" s="1" t="s">
        <v>74</v>
      </c>
      <c r="BQ554" s="1" t="s">
        <v>74</v>
      </c>
      <c r="BR554" s="1" t="s">
        <v>74</v>
      </c>
      <c r="BS554" s="1" t="s">
        <v>4757</v>
      </c>
      <c r="BT554" s="1" t="str">
        <f>HYPERLINK("https%3A%2F%2Fwww.webofscience.com%2Fwos%2Fwoscc%2Ffull-record%2FWOS:000311523500003","View Full Record in Web of Science")</f>
        <v>View Full Record in Web of Science</v>
      </c>
    </row>
    <row r="555" ht="12.75" customHeight="1">
      <c r="A555" s="1" t="s">
        <v>72</v>
      </c>
      <c r="B555" s="1" t="s">
        <v>4758</v>
      </c>
      <c r="C555" s="1" t="s">
        <v>74</v>
      </c>
      <c r="D555" s="1" t="s">
        <v>74</v>
      </c>
      <c r="E555" s="1" t="s">
        <v>74</v>
      </c>
      <c r="F555" s="1" t="s">
        <v>4759</v>
      </c>
      <c r="G555" s="1" t="s">
        <v>74</v>
      </c>
      <c r="H555" s="1" t="s">
        <v>74</v>
      </c>
      <c r="I555" s="1" t="s">
        <v>4760</v>
      </c>
      <c r="J555" s="1" t="s">
        <v>4761</v>
      </c>
      <c r="K555" s="1" t="s">
        <v>74</v>
      </c>
      <c r="L555" s="1" t="s">
        <v>74</v>
      </c>
      <c r="M555" s="1" t="s">
        <v>74</v>
      </c>
      <c r="N555" s="1" t="s">
        <v>74</v>
      </c>
      <c r="O555" s="1" t="s">
        <v>74</v>
      </c>
      <c r="P555" s="1" t="s">
        <v>74</v>
      </c>
      <c r="Q555" s="1" t="s">
        <v>74</v>
      </c>
      <c r="R555" s="1" t="s">
        <v>74</v>
      </c>
      <c r="S555" s="1" t="s">
        <v>74</v>
      </c>
      <c r="T555" s="1" t="s">
        <v>74</v>
      </c>
      <c r="U555" s="1" t="s">
        <v>74</v>
      </c>
      <c r="V555" s="1" t="s">
        <v>4762</v>
      </c>
      <c r="W555" s="1" t="s">
        <v>74</v>
      </c>
      <c r="X555" s="1" t="s">
        <v>74</v>
      </c>
      <c r="Y555" s="1" t="s">
        <v>74</v>
      </c>
      <c r="Z555" s="1" t="s">
        <v>74</v>
      </c>
      <c r="AA555" s="1" t="s">
        <v>4763</v>
      </c>
      <c r="AB555" s="1" t="s">
        <v>4764</v>
      </c>
      <c r="AC555" s="1" t="s">
        <v>74</v>
      </c>
      <c r="AD555" s="1" t="s">
        <v>74</v>
      </c>
      <c r="AE555" s="1" t="s">
        <v>74</v>
      </c>
      <c r="AF555" s="1" t="s">
        <v>74</v>
      </c>
      <c r="AG555" s="1" t="s">
        <v>74</v>
      </c>
      <c r="AH555" s="1" t="s">
        <v>74</v>
      </c>
      <c r="AI555" s="1" t="s">
        <v>74</v>
      </c>
      <c r="AJ555" s="1" t="s">
        <v>74</v>
      </c>
      <c r="AK555" s="1" t="s">
        <v>74</v>
      </c>
      <c r="AL555" s="1" t="s">
        <v>74</v>
      </c>
      <c r="AM555" s="1" t="s">
        <v>74</v>
      </c>
      <c r="AN555" s="1" t="s">
        <v>74</v>
      </c>
      <c r="AO555" s="1" t="s">
        <v>4765</v>
      </c>
      <c r="AP555" s="1" t="s">
        <v>4766</v>
      </c>
      <c r="AQ555" s="1" t="s">
        <v>74</v>
      </c>
      <c r="AR555" s="1" t="s">
        <v>74</v>
      </c>
      <c r="AS555" s="1" t="s">
        <v>74</v>
      </c>
      <c r="AT555" s="1" t="s">
        <v>347</v>
      </c>
      <c r="AU555" s="1">
        <v>2012.0</v>
      </c>
      <c r="AV555" s="1">
        <v>25.0</v>
      </c>
      <c r="AW555" s="1">
        <v>2.0</v>
      </c>
      <c r="AX555" s="1" t="s">
        <v>74</v>
      </c>
      <c r="AY555" s="1" t="s">
        <v>74</v>
      </c>
      <c r="AZ555" s="1" t="s">
        <v>74</v>
      </c>
      <c r="BA555" s="1" t="s">
        <v>74</v>
      </c>
      <c r="BB555" s="1">
        <v>451.0</v>
      </c>
      <c r="BC555" s="1">
        <v>458.0</v>
      </c>
      <c r="BD555" s="1" t="s">
        <v>74</v>
      </c>
      <c r="BE555" s="1" t="s">
        <v>4767</v>
      </c>
      <c r="BF555" s="2" t="str">
        <f>HYPERLINK("http://dx.doi.org/10.1007/s10534-012-9518-x","http://dx.doi.org/10.1007/s10534-012-9518-x")</f>
        <v>http://dx.doi.org/10.1007/s10534-012-9518-x</v>
      </c>
      <c r="BG555" s="1" t="s">
        <v>74</v>
      </c>
      <c r="BH555" s="1" t="s">
        <v>74</v>
      </c>
      <c r="BI555" s="1" t="s">
        <v>74</v>
      </c>
      <c r="BJ555" s="1" t="s">
        <v>74</v>
      </c>
      <c r="BK555" s="1" t="s">
        <v>74</v>
      </c>
      <c r="BL555" s="1" t="s">
        <v>74</v>
      </c>
      <c r="BM555" s="1" t="s">
        <v>74</v>
      </c>
      <c r="BN555" s="1">
        <v>2.2234496E7</v>
      </c>
      <c r="BO555" s="1" t="s">
        <v>74</v>
      </c>
      <c r="BP555" s="1" t="s">
        <v>74</v>
      </c>
      <c r="BQ555" s="1" t="s">
        <v>74</v>
      </c>
      <c r="BR555" s="1" t="s">
        <v>74</v>
      </c>
      <c r="BS555" s="1" t="s">
        <v>4768</v>
      </c>
      <c r="BT555" s="1" t="str">
        <f>HYPERLINK("https%3A%2F%2Fwww.webofscience.com%2Fwos%2Fwoscc%2Ffull-record%2FWOS:000301543900017","View Full Record in Web of Science")</f>
        <v>View Full Record in Web of Science</v>
      </c>
    </row>
    <row r="556" ht="12.75" customHeight="1">
      <c r="A556" s="1" t="s">
        <v>72</v>
      </c>
      <c r="B556" s="1" t="s">
        <v>4769</v>
      </c>
      <c r="C556" s="1" t="s">
        <v>74</v>
      </c>
      <c r="D556" s="1" t="s">
        <v>74</v>
      </c>
      <c r="E556" s="1" t="s">
        <v>74</v>
      </c>
      <c r="F556" s="1" t="s">
        <v>4770</v>
      </c>
      <c r="G556" s="1" t="s">
        <v>74</v>
      </c>
      <c r="H556" s="1" t="s">
        <v>74</v>
      </c>
      <c r="I556" s="1" t="s">
        <v>4771</v>
      </c>
      <c r="J556" s="1" t="s">
        <v>4772</v>
      </c>
      <c r="K556" s="1" t="s">
        <v>74</v>
      </c>
      <c r="L556" s="1" t="s">
        <v>74</v>
      </c>
      <c r="M556" s="1" t="s">
        <v>74</v>
      </c>
      <c r="N556" s="1" t="s">
        <v>74</v>
      </c>
      <c r="O556" s="1" t="s">
        <v>74</v>
      </c>
      <c r="P556" s="1" t="s">
        <v>74</v>
      </c>
      <c r="Q556" s="1" t="s">
        <v>74</v>
      </c>
      <c r="R556" s="1" t="s">
        <v>74</v>
      </c>
      <c r="S556" s="1" t="s">
        <v>74</v>
      </c>
      <c r="T556" s="1" t="s">
        <v>74</v>
      </c>
      <c r="U556" s="1" t="s">
        <v>74</v>
      </c>
      <c r="V556" s="1" t="s">
        <v>4773</v>
      </c>
      <c r="W556" s="1" t="s">
        <v>74</v>
      </c>
      <c r="X556" s="1" t="s">
        <v>74</v>
      </c>
      <c r="Y556" s="1" t="s">
        <v>74</v>
      </c>
      <c r="Z556" s="1" t="s">
        <v>74</v>
      </c>
      <c r="AA556" s="1" t="s">
        <v>4774</v>
      </c>
      <c r="AB556" s="1" t="s">
        <v>4775</v>
      </c>
      <c r="AC556" s="1" t="s">
        <v>74</v>
      </c>
      <c r="AD556" s="1" t="s">
        <v>74</v>
      </c>
      <c r="AE556" s="1" t="s">
        <v>74</v>
      </c>
      <c r="AF556" s="1" t="s">
        <v>74</v>
      </c>
      <c r="AG556" s="1" t="s">
        <v>74</v>
      </c>
      <c r="AH556" s="1" t="s">
        <v>74</v>
      </c>
      <c r="AI556" s="1" t="s">
        <v>74</v>
      </c>
      <c r="AJ556" s="1" t="s">
        <v>74</v>
      </c>
      <c r="AK556" s="1" t="s">
        <v>74</v>
      </c>
      <c r="AL556" s="1" t="s">
        <v>74</v>
      </c>
      <c r="AM556" s="1" t="s">
        <v>74</v>
      </c>
      <c r="AN556" s="1" t="s">
        <v>74</v>
      </c>
      <c r="AO556" s="1" t="s">
        <v>4776</v>
      </c>
      <c r="AP556" s="1" t="s">
        <v>74</v>
      </c>
      <c r="AQ556" s="1" t="s">
        <v>74</v>
      </c>
      <c r="AR556" s="1" t="s">
        <v>74</v>
      </c>
      <c r="AS556" s="1" t="s">
        <v>74</v>
      </c>
      <c r="AT556" s="1" t="s">
        <v>148</v>
      </c>
      <c r="AU556" s="1">
        <v>2012.0</v>
      </c>
      <c r="AV556" s="1">
        <v>158.0</v>
      </c>
      <c r="AW556" s="1">
        <v>3.0</v>
      </c>
      <c r="AX556" s="1" t="s">
        <v>74</v>
      </c>
      <c r="AY556" s="1" t="s">
        <v>74</v>
      </c>
      <c r="AZ556" s="1" t="s">
        <v>74</v>
      </c>
      <c r="BA556" s="1" t="s">
        <v>74</v>
      </c>
      <c r="BB556" s="1">
        <v>1451.0</v>
      </c>
      <c r="BC556" s="1">
        <v>1462.0</v>
      </c>
      <c r="BD556" s="1" t="s">
        <v>74</v>
      </c>
      <c r="BE556" s="1" t="s">
        <v>4777</v>
      </c>
      <c r="BF556" s="2" t="str">
        <f>HYPERLINK("http://dx.doi.org/10.1104/pp.111.191759","http://dx.doi.org/10.1104/pp.111.191759")</f>
        <v>http://dx.doi.org/10.1104/pp.111.191759</v>
      </c>
      <c r="BG556" s="1" t="s">
        <v>74</v>
      </c>
      <c r="BH556" s="1" t="s">
        <v>74</v>
      </c>
      <c r="BI556" s="1" t="s">
        <v>74</v>
      </c>
      <c r="BJ556" s="1" t="s">
        <v>74</v>
      </c>
      <c r="BK556" s="1" t="s">
        <v>74</v>
      </c>
      <c r="BL556" s="1" t="s">
        <v>74</v>
      </c>
      <c r="BM556" s="1" t="s">
        <v>74</v>
      </c>
      <c r="BN556" s="1">
        <v>2.2234999E7</v>
      </c>
      <c r="BO556" s="1" t="s">
        <v>74</v>
      </c>
      <c r="BP556" s="1" t="s">
        <v>74</v>
      </c>
      <c r="BQ556" s="1" t="s">
        <v>74</v>
      </c>
      <c r="BR556" s="1" t="s">
        <v>74</v>
      </c>
      <c r="BS556" s="1" t="s">
        <v>4778</v>
      </c>
      <c r="BT556" s="1" t="str">
        <f>HYPERLINK("https%3A%2F%2Fwww.webofscience.com%2Fwos%2Fwoscc%2Ffull-record%2FWOS:000301280500029","View Full Record in Web of Science")</f>
        <v>View Full Record in Web of Science</v>
      </c>
    </row>
    <row r="557" ht="12.75" customHeight="1">
      <c r="A557" s="1" t="s">
        <v>91</v>
      </c>
      <c r="B557" s="1" t="s">
        <v>4779</v>
      </c>
      <c r="C557" s="1" t="s">
        <v>74</v>
      </c>
      <c r="D557" s="1" t="s">
        <v>74</v>
      </c>
      <c r="E557" s="1" t="s">
        <v>997</v>
      </c>
      <c r="F557" s="1" t="s">
        <v>4780</v>
      </c>
      <c r="G557" s="1" t="s">
        <v>74</v>
      </c>
      <c r="H557" s="1" t="s">
        <v>74</v>
      </c>
      <c r="I557" s="1" t="s">
        <v>4781</v>
      </c>
      <c r="J557" s="1" t="s">
        <v>4782</v>
      </c>
      <c r="K557" s="1" t="s">
        <v>74</v>
      </c>
      <c r="L557" s="1" t="s">
        <v>74</v>
      </c>
      <c r="M557" s="1" t="s">
        <v>74</v>
      </c>
      <c r="N557" s="1" t="s">
        <v>74</v>
      </c>
      <c r="O557" s="1" t="s">
        <v>4783</v>
      </c>
      <c r="P557" s="1" t="s">
        <v>4784</v>
      </c>
      <c r="Q557" s="1" t="s">
        <v>4785</v>
      </c>
      <c r="R557" s="1" t="s">
        <v>4786</v>
      </c>
      <c r="S557" s="1" t="s">
        <v>4787</v>
      </c>
      <c r="T557" s="1" t="s">
        <v>74</v>
      </c>
      <c r="U557" s="1" t="s">
        <v>74</v>
      </c>
      <c r="V557" s="1" t="s">
        <v>4788</v>
      </c>
      <c r="W557" s="1" t="s">
        <v>74</v>
      </c>
      <c r="X557" s="1" t="s">
        <v>74</v>
      </c>
      <c r="Y557" s="1" t="s">
        <v>74</v>
      </c>
      <c r="Z557" s="1" t="s">
        <v>74</v>
      </c>
      <c r="AA557" s="1" t="s">
        <v>1761</v>
      </c>
      <c r="AB557" s="1" t="s">
        <v>4789</v>
      </c>
      <c r="AC557" s="1" t="s">
        <v>74</v>
      </c>
      <c r="AD557" s="1" t="s">
        <v>74</v>
      </c>
      <c r="AE557" s="1" t="s">
        <v>74</v>
      </c>
      <c r="AF557" s="1" t="s">
        <v>74</v>
      </c>
      <c r="AG557" s="1" t="s">
        <v>74</v>
      </c>
      <c r="AH557" s="1" t="s">
        <v>74</v>
      </c>
      <c r="AI557" s="1" t="s">
        <v>74</v>
      </c>
      <c r="AJ557" s="1" t="s">
        <v>74</v>
      </c>
      <c r="AK557" s="1" t="s">
        <v>74</v>
      </c>
      <c r="AL557" s="1" t="s">
        <v>74</v>
      </c>
      <c r="AM557" s="1" t="s">
        <v>74</v>
      </c>
      <c r="AN557" s="1" t="s">
        <v>74</v>
      </c>
      <c r="AO557" s="1" t="s">
        <v>74</v>
      </c>
      <c r="AP557" s="1" t="s">
        <v>74</v>
      </c>
      <c r="AQ557" s="1" t="s">
        <v>4790</v>
      </c>
      <c r="AR557" s="1" t="s">
        <v>74</v>
      </c>
      <c r="AS557" s="1" t="s">
        <v>74</v>
      </c>
      <c r="AT557" s="1" t="s">
        <v>74</v>
      </c>
      <c r="AU557" s="1">
        <v>2012.0</v>
      </c>
      <c r="AV557" s="1" t="s">
        <v>74</v>
      </c>
      <c r="AW557" s="1" t="s">
        <v>74</v>
      </c>
      <c r="AX557" s="1" t="s">
        <v>74</v>
      </c>
      <c r="AY557" s="1" t="s">
        <v>74</v>
      </c>
      <c r="AZ557" s="1" t="s">
        <v>74</v>
      </c>
      <c r="BA557" s="1" t="s">
        <v>74</v>
      </c>
      <c r="BB557" s="1">
        <v>533.0</v>
      </c>
      <c r="BC557" s="1">
        <v>538.0</v>
      </c>
      <c r="BD557" s="1" t="s">
        <v>74</v>
      </c>
      <c r="BE557" s="1" t="s">
        <v>74</v>
      </c>
      <c r="BF557" s="1" t="s">
        <v>74</v>
      </c>
      <c r="BG557" s="1" t="s">
        <v>74</v>
      </c>
      <c r="BH557" s="1" t="s">
        <v>74</v>
      </c>
      <c r="BI557" s="1" t="s">
        <v>74</v>
      </c>
      <c r="BJ557" s="1" t="s">
        <v>74</v>
      </c>
      <c r="BK557" s="1" t="s">
        <v>74</v>
      </c>
      <c r="BL557" s="1" t="s">
        <v>74</v>
      </c>
      <c r="BM557" s="1" t="s">
        <v>74</v>
      </c>
      <c r="BN557" s="1" t="s">
        <v>74</v>
      </c>
      <c r="BO557" s="1" t="s">
        <v>74</v>
      </c>
      <c r="BP557" s="1" t="s">
        <v>74</v>
      </c>
      <c r="BQ557" s="1" t="s">
        <v>74</v>
      </c>
      <c r="BR557" s="1" t="s">
        <v>74</v>
      </c>
      <c r="BS557" s="1" t="s">
        <v>4791</v>
      </c>
      <c r="BT557" s="1" t="str">
        <f>HYPERLINK("https%3A%2F%2Fwww.webofscience.com%2Fwos%2Fwoscc%2Ffull-record%2FWOS:000324346800066","View Full Record in Web of Science")</f>
        <v>View Full Record in Web of Science</v>
      </c>
    </row>
    <row r="558" ht="12.75" customHeight="1">
      <c r="A558" s="1" t="s">
        <v>72</v>
      </c>
      <c r="B558" s="1" t="s">
        <v>4792</v>
      </c>
      <c r="C558" s="1" t="s">
        <v>74</v>
      </c>
      <c r="D558" s="1" t="s">
        <v>74</v>
      </c>
      <c r="E558" s="1" t="s">
        <v>74</v>
      </c>
      <c r="F558" s="1" t="s">
        <v>4793</v>
      </c>
      <c r="G558" s="1" t="s">
        <v>74</v>
      </c>
      <c r="H558" s="1" t="s">
        <v>74</v>
      </c>
      <c r="I558" s="1" t="s">
        <v>4794</v>
      </c>
      <c r="J558" s="1" t="s">
        <v>2009</v>
      </c>
      <c r="K558" s="1" t="s">
        <v>74</v>
      </c>
      <c r="L558" s="1" t="s">
        <v>74</v>
      </c>
      <c r="M558" s="1" t="s">
        <v>74</v>
      </c>
      <c r="N558" s="1" t="s">
        <v>74</v>
      </c>
      <c r="O558" s="1" t="s">
        <v>74</v>
      </c>
      <c r="P558" s="1" t="s">
        <v>74</v>
      </c>
      <c r="Q558" s="1" t="s">
        <v>74</v>
      </c>
      <c r="R558" s="1" t="s">
        <v>74</v>
      </c>
      <c r="S558" s="1" t="s">
        <v>74</v>
      </c>
      <c r="T558" s="1" t="s">
        <v>74</v>
      </c>
      <c r="U558" s="1" t="s">
        <v>74</v>
      </c>
      <c r="V558" s="1" t="s">
        <v>4795</v>
      </c>
      <c r="W558" s="1" t="s">
        <v>74</v>
      </c>
      <c r="X558" s="1" t="s">
        <v>74</v>
      </c>
      <c r="Y558" s="1" t="s">
        <v>74</v>
      </c>
      <c r="Z558" s="1" t="s">
        <v>74</v>
      </c>
      <c r="AA558" s="1" t="s">
        <v>74</v>
      </c>
      <c r="AB558" s="1" t="s">
        <v>4796</v>
      </c>
      <c r="AC558" s="1" t="s">
        <v>74</v>
      </c>
      <c r="AD558" s="1" t="s">
        <v>74</v>
      </c>
      <c r="AE558" s="1" t="s">
        <v>74</v>
      </c>
      <c r="AF558" s="1" t="s">
        <v>74</v>
      </c>
      <c r="AG558" s="1" t="s">
        <v>74</v>
      </c>
      <c r="AH558" s="1" t="s">
        <v>74</v>
      </c>
      <c r="AI558" s="1" t="s">
        <v>74</v>
      </c>
      <c r="AJ558" s="1" t="s">
        <v>74</v>
      </c>
      <c r="AK558" s="1" t="s">
        <v>74</v>
      </c>
      <c r="AL558" s="1" t="s">
        <v>74</v>
      </c>
      <c r="AM558" s="1" t="s">
        <v>74</v>
      </c>
      <c r="AN558" s="1" t="s">
        <v>74</v>
      </c>
      <c r="AO558" s="1" t="s">
        <v>2013</v>
      </c>
      <c r="AP558" s="1" t="s">
        <v>74</v>
      </c>
      <c r="AQ558" s="1" t="s">
        <v>74</v>
      </c>
      <c r="AR558" s="1" t="s">
        <v>74</v>
      </c>
      <c r="AS558" s="1" t="s">
        <v>74</v>
      </c>
      <c r="AT558" s="1" t="s">
        <v>4797</v>
      </c>
      <c r="AU558" s="1">
        <v>2011.0</v>
      </c>
      <c r="AV558" s="1">
        <v>6.0</v>
      </c>
      <c r="AW558" s="1">
        <v>9.0</v>
      </c>
      <c r="AX558" s="1" t="s">
        <v>74</v>
      </c>
      <c r="AY558" s="1" t="s">
        <v>74</v>
      </c>
      <c r="AZ558" s="1" t="s">
        <v>74</v>
      </c>
      <c r="BA558" s="1" t="s">
        <v>74</v>
      </c>
      <c r="BB558" s="1" t="s">
        <v>74</v>
      </c>
      <c r="BC558" s="1" t="s">
        <v>74</v>
      </c>
      <c r="BD558" s="1" t="s">
        <v>4798</v>
      </c>
      <c r="BE558" s="1" t="s">
        <v>4799</v>
      </c>
      <c r="BF558" s="2" t="str">
        <f>HYPERLINK("http://dx.doi.org/10.1371/journal.pone.0025573","http://dx.doi.org/10.1371/journal.pone.0025573")</f>
        <v>http://dx.doi.org/10.1371/journal.pone.0025573</v>
      </c>
      <c r="BG558" s="1" t="s">
        <v>74</v>
      </c>
      <c r="BH558" s="1" t="s">
        <v>74</v>
      </c>
      <c r="BI558" s="1" t="s">
        <v>74</v>
      </c>
      <c r="BJ558" s="1" t="s">
        <v>74</v>
      </c>
      <c r="BK558" s="1" t="s">
        <v>74</v>
      </c>
      <c r="BL558" s="1" t="s">
        <v>74</v>
      </c>
      <c r="BM558" s="1" t="s">
        <v>74</v>
      </c>
      <c r="BN558" s="1">
        <v>2.1984934E7</v>
      </c>
      <c r="BO558" s="1" t="s">
        <v>74</v>
      </c>
      <c r="BP558" s="1" t="s">
        <v>74</v>
      </c>
      <c r="BQ558" s="1" t="s">
        <v>74</v>
      </c>
      <c r="BR558" s="1" t="s">
        <v>74</v>
      </c>
      <c r="BS558" s="1" t="s">
        <v>4800</v>
      </c>
      <c r="BT558" s="1" t="str">
        <f>HYPERLINK("https%3A%2F%2Fwww.webofscience.com%2Fwos%2Fwoscc%2Ffull-record%2FWOS:000295941300044","View Full Record in Web of Science")</f>
        <v>View Full Record in Web of Science</v>
      </c>
    </row>
    <row r="559" ht="12.75" customHeight="1">
      <c r="A559" s="1" t="s">
        <v>72</v>
      </c>
      <c r="B559" s="1" t="s">
        <v>4801</v>
      </c>
      <c r="C559" s="1" t="s">
        <v>74</v>
      </c>
      <c r="D559" s="1" t="s">
        <v>74</v>
      </c>
      <c r="E559" s="1" t="s">
        <v>74</v>
      </c>
      <c r="F559" s="1" t="s">
        <v>4802</v>
      </c>
      <c r="G559" s="1" t="s">
        <v>74</v>
      </c>
      <c r="H559" s="1" t="s">
        <v>74</v>
      </c>
      <c r="I559" s="1" t="s">
        <v>4803</v>
      </c>
      <c r="J559" s="1" t="s">
        <v>900</v>
      </c>
      <c r="K559" s="1" t="s">
        <v>74</v>
      </c>
      <c r="L559" s="1" t="s">
        <v>74</v>
      </c>
      <c r="M559" s="1" t="s">
        <v>74</v>
      </c>
      <c r="N559" s="1" t="s">
        <v>74</v>
      </c>
      <c r="O559" s="1" t="s">
        <v>74</v>
      </c>
      <c r="P559" s="1" t="s">
        <v>74</v>
      </c>
      <c r="Q559" s="1" t="s">
        <v>74</v>
      </c>
      <c r="R559" s="1" t="s">
        <v>74</v>
      </c>
      <c r="S559" s="1" t="s">
        <v>74</v>
      </c>
      <c r="T559" s="1" t="s">
        <v>74</v>
      </c>
      <c r="U559" s="1" t="s">
        <v>74</v>
      </c>
      <c r="V559" s="1" t="s">
        <v>4804</v>
      </c>
      <c r="W559" s="1" t="s">
        <v>74</v>
      </c>
      <c r="X559" s="1" t="s">
        <v>74</v>
      </c>
      <c r="Y559" s="1" t="s">
        <v>74</v>
      </c>
      <c r="Z559" s="1" t="s">
        <v>74</v>
      </c>
      <c r="AA559" s="1" t="s">
        <v>902</v>
      </c>
      <c r="AB559" s="1" t="s">
        <v>4805</v>
      </c>
      <c r="AC559" s="1" t="s">
        <v>74</v>
      </c>
      <c r="AD559" s="1" t="s">
        <v>74</v>
      </c>
      <c r="AE559" s="1" t="s">
        <v>74</v>
      </c>
      <c r="AF559" s="1" t="s">
        <v>74</v>
      </c>
      <c r="AG559" s="1" t="s">
        <v>74</v>
      </c>
      <c r="AH559" s="1" t="s">
        <v>74</v>
      </c>
      <c r="AI559" s="1" t="s">
        <v>74</v>
      </c>
      <c r="AJ559" s="1" t="s">
        <v>74</v>
      </c>
      <c r="AK559" s="1" t="s">
        <v>74</v>
      </c>
      <c r="AL559" s="1" t="s">
        <v>74</v>
      </c>
      <c r="AM559" s="1" t="s">
        <v>74</v>
      </c>
      <c r="AN559" s="1" t="s">
        <v>74</v>
      </c>
      <c r="AO559" s="1" t="s">
        <v>904</v>
      </c>
      <c r="AP559" s="1" t="s">
        <v>905</v>
      </c>
      <c r="AQ559" s="1" t="s">
        <v>74</v>
      </c>
      <c r="AR559" s="1" t="s">
        <v>74</v>
      </c>
      <c r="AS559" s="1" t="s">
        <v>74</v>
      </c>
      <c r="AT559" s="1" t="s">
        <v>370</v>
      </c>
      <c r="AU559" s="1">
        <v>2011.0</v>
      </c>
      <c r="AV559" s="1">
        <v>74.0</v>
      </c>
      <c r="AW559" s="1">
        <v>10.0</v>
      </c>
      <c r="AX559" s="1" t="s">
        <v>74</v>
      </c>
      <c r="AY559" s="1" t="s">
        <v>74</v>
      </c>
      <c r="AZ559" s="1" t="s">
        <v>74</v>
      </c>
      <c r="BA559" s="1" t="s">
        <v>74</v>
      </c>
      <c r="BB559" s="1">
        <v>3397.0</v>
      </c>
      <c r="BC559" s="1">
        <v>3406.0</v>
      </c>
      <c r="BD559" s="1" t="s">
        <v>74</v>
      </c>
      <c r="BE559" s="1" t="s">
        <v>4806</v>
      </c>
      <c r="BF559" s="2" t="str">
        <f>HYPERLINK("http://dx.doi.org/10.1016/j.na.2011.02.018","http://dx.doi.org/10.1016/j.na.2011.02.018")</f>
        <v>http://dx.doi.org/10.1016/j.na.2011.02.018</v>
      </c>
      <c r="BG559" s="1" t="s">
        <v>74</v>
      </c>
      <c r="BH559" s="1" t="s">
        <v>74</v>
      </c>
      <c r="BI559" s="1" t="s">
        <v>74</v>
      </c>
      <c r="BJ559" s="1" t="s">
        <v>74</v>
      </c>
      <c r="BK559" s="1" t="s">
        <v>74</v>
      </c>
      <c r="BL559" s="1" t="s">
        <v>74</v>
      </c>
      <c r="BM559" s="1" t="s">
        <v>74</v>
      </c>
      <c r="BN559" s="1" t="s">
        <v>74</v>
      </c>
      <c r="BO559" s="1" t="s">
        <v>74</v>
      </c>
      <c r="BP559" s="1" t="s">
        <v>74</v>
      </c>
      <c r="BQ559" s="1" t="s">
        <v>74</v>
      </c>
      <c r="BR559" s="1" t="s">
        <v>74</v>
      </c>
      <c r="BS559" s="1" t="s">
        <v>4807</v>
      </c>
      <c r="BT559" s="1" t="str">
        <f>HYPERLINK("https%3A%2F%2Fwww.webofscience.com%2Fwos%2Fwoscc%2Ffull-record%2FWOS:000289191800027","View Full Record in Web of Science")</f>
        <v>View Full Record in Web of Science</v>
      </c>
    </row>
    <row r="560" ht="12.75" customHeight="1">
      <c r="A560" s="1" t="s">
        <v>72</v>
      </c>
      <c r="B560" s="1" t="s">
        <v>4808</v>
      </c>
      <c r="C560" s="1" t="s">
        <v>74</v>
      </c>
      <c r="D560" s="1" t="s">
        <v>74</v>
      </c>
      <c r="E560" s="1" t="s">
        <v>74</v>
      </c>
      <c r="F560" s="1" t="s">
        <v>4809</v>
      </c>
      <c r="G560" s="1" t="s">
        <v>74</v>
      </c>
      <c r="H560" s="1" t="s">
        <v>74</v>
      </c>
      <c r="I560" s="1" t="s">
        <v>4810</v>
      </c>
      <c r="J560" s="1" t="s">
        <v>4811</v>
      </c>
      <c r="K560" s="1" t="s">
        <v>74</v>
      </c>
      <c r="L560" s="1" t="s">
        <v>74</v>
      </c>
      <c r="M560" s="1" t="s">
        <v>74</v>
      </c>
      <c r="N560" s="1" t="s">
        <v>74</v>
      </c>
      <c r="O560" s="1" t="s">
        <v>74</v>
      </c>
      <c r="P560" s="1" t="s">
        <v>74</v>
      </c>
      <c r="Q560" s="1" t="s">
        <v>74</v>
      </c>
      <c r="R560" s="1" t="s">
        <v>74</v>
      </c>
      <c r="S560" s="1" t="s">
        <v>74</v>
      </c>
      <c r="T560" s="1" t="s">
        <v>74</v>
      </c>
      <c r="U560" s="1" t="s">
        <v>74</v>
      </c>
      <c r="V560" s="1" t="s">
        <v>4812</v>
      </c>
      <c r="W560" s="1" t="s">
        <v>74</v>
      </c>
      <c r="X560" s="1" t="s">
        <v>74</v>
      </c>
      <c r="Y560" s="1" t="s">
        <v>74</v>
      </c>
      <c r="Z560" s="1" t="s">
        <v>74</v>
      </c>
      <c r="AA560" s="1" t="s">
        <v>4813</v>
      </c>
      <c r="AB560" s="1" t="s">
        <v>74</v>
      </c>
      <c r="AC560" s="1" t="s">
        <v>74</v>
      </c>
      <c r="AD560" s="1" t="s">
        <v>74</v>
      </c>
      <c r="AE560" s="1" t="s">
        <v>74</v>
      </c>
      <c r="AF560" s="1" t="s">
        <v>74</v>
      </c>
      <c r="AG560" s="1" t="s">
        <v>74</v>
      </c>
      <c r="AH560" s="1" t="s">
        <v>74</v>
      </c>
      <c r="AI560" s="1" t="s">
        <v>74</v>
      </c>
      <c r="AJ560" s="1" t="s">
        <v>74</v>
      </c>
      <c r="AK560" s="1" t="s">
        <v>74</v>
      </c>
      <c r="AL560" s="1" t="s">
        <v>74</v>
      </c>
      <c r="AM560" s="1" t="s">
        <v>74</v>
      </c>
      <c r="AN560" s="1" t="s">
        <v>74</v>
      </c>
      <c r="AO560" s="1" t="s">
        <v>4814</v>
      </c>
      <c r="AP560" s="1" t="s">
        <v>74</v>
      </c>
      <c r="AQ560" s="1" t="s">
        <v>74</v>
      </c>
      <c r="AR560" s="1" t="s">
        <v>74</v>
      </c>
      <c r="AS560" s="1" t="s">
        <v>74</v>
      </c>
      <c r="AT560" s="1" t="s">
        <v>3000</v>
      </c>
      <c r="AU560" s="1">
        <v>2011.0</v>
      </c>
      <c r="AV560" s="1">
        <v>16.0</v>
      </c>
      <c r="AW560" s="1">
        <v>55.0</v>
      </c>
      <c r="AX560" s="1" t="s">
        <v>74</v>
      </c>
      <c r="AY560" s="1" t="s">
        <v>74</v>
      </c>
      <c r="AZ560" s="1" t="s">
        <v>74</v>
      </c>
      <c r="BA560" s="1" t="s">
        <v>74</v>
      </c>
      <c r="BB560" s="1">
        <v>353.0</v>
      </c>
      <c r="BC560" s="1">
        <v>374.0</v>
      </c>
      <c r="BD560" s="1" t="s">
        <v>74</v>
      </c>
      <c r="BE560" s="1" t="s">
        <v>74</v>
      </c>
      <c r="BF560" s="1" t="s">
        <v>74</v>
      </c>
      <c r="BG560" s="1" t="s">
        <v>74</v>
      </c>
      <c r="BH560" s="1" t="s">
        <v>74</v>
      </c>
      <c r="BI560" s="1" t="s">
        <v>74</v>
      </c>
      <c r="BJ560" s="1" t="s">
        <v>74</v>
      </c>
      <c r="BK560" s="1" t="s">
        <v>74</v>
      </c>
      <c r="BL560" s="1" t="s">
        <v>74</v>
      </c>
      <c r="BM560" s="1" t="s">
        <v>74</v>
      </c>
      <c r="BN560" s="1" t="s">
        <v>74</v>
      </c>
      <c r="BO560" s="1" t="s">
        <v>74</v>
      </c>
      <c r="BP560" s="1" t="s">
        <v>74</v>
      </c>
      <c r="BQ560" s="1" t="s">
        <v>74</v>
      </c>
      <c r="BR560" s="1" t="s">
        <v>74</v>
      </c>
      <c r="BS560" s="1" t="s">
        <v>4815</v>
      </c>
      <c r="BT560" s="1" t="str">
        <f>HYPERLINK("https%3A%2F%2Fwww.webofscience.com%2Fwos%2Fwoscc%2Ffull-record%2FWOS:000298453800002","View Full Record in Web of Science")</f>
        <v>View Full Record in Web of Science</v>
      </c>
    </row>
    <row r="561" ht="12.75" customHeight="1">
      <c r="A561" s="1" t="s">
        <v>72</v>
      </c>
      <c r="B561" s="1" t="s">
        <v>4816</v>
      </c>
      <c r="C561" s="1" t="s">
        <v>74</v>
      </c>
      <c r="D561" s="1" t="s">
        <v>74</v>
      </c>
      <c r="E561" s="1" t="s">
        <v>74</v>
      </c>
      <c r="F561" s="1" t="s">
        <v>4817</v>
      </c>
      <c r="G561" s="1" t="s">
        <v>74</v>
      </c>
      <c r="H561" s="1" t="s">
        <v>74</v>
      </c>
      <c r="I561" s="1" t="s">
        <v>4818</v>
      </c>
      <c r="J561" s="1" t="s">
        <v>4819</v>
      </c>
      <c r="K561" s="1" t="s">
        <v>74</v>
      </c>
      <c r="L561" s="1" t="s">
        <v>74</v>
      </c>
      <c r="M561" s="1" t="s">
        <v>74</v>
      </c>
      <c r="N561" s="1" t="s">
        <v>74</v>
      </c>
      <c r="O561" s="1" t="s">
        <v>74</v>
      </c>
      <c r="P561" s="1" t="s">
        <v>74</v>
      </c>
      <c r="Q561" s="1" t="s">
        <v>74</v>
      </c>
      <c r="R561" s="1" t="s">
        <v>74</v>
      </c>
      <c r="S561" s="1" t="s">
        <v>74</v>
      </c>
      <c r="T561" s="1" t="s">
        <v>74</v>
      </c>
      <c r="U561" s="1" t="s">
        <v>74</v>
      </c>
      <c r="V561" s="1" t="s">
        <v>4820</v>
      </c>
      <c r="W561" s="1" t="s">
        <v>74</v>
      </c>
      <c r="X561" s="1" t="s">
        <v>74</v>
      </c>
      <c r="Y561" s="1" t="s">
        <v>74</v>
      </c>
      <c r="Z561" s="1" t="s">
        <v>74</v>
      </c>
      <c r="AA561" s="1" t="s">
        <v>1174</v>
      </c>
      <c r="AB561" s="1" t="s">
        <v>74</v>
      </c>
      <c r="AC561" s="1" t="s">
        <v>74</v>
      </c>
      <c r="AD561" s="1" t="s">
        <v>74</v>
      </c>
      <c r="AE561" s="1" t="s">
        <v>74</v>
      </c>
      <c r="AF561" s="1" t="s">
        <v>74</v>
      </c>
      <c r="AG561" s="1" t="s">
        <v>74</v>
      </c>
      <c r="AH561" s="1" t="s">
        <v>74</v>
      </c>
      <c r="AI561" s="1" t="s">
        <v>74</v>
      </c>
      <c r="AJ561" s="1" t="s">
        <v>74</v>
      </c>
      <c r="AK561" s="1" t="s">
        <v>74</v>
      </c>
      <c r="AL561" s="1" t="s">
        <v>74</v>
      </c>
      <c r="AM561" s="1" t="s">
        <v>74</v>
      </c>
      <c r="AN561" s="1" t="s">
        <v>74</v>
      </c>
      <c r="AO561" s="1" t="s">
        <v>4821</v>
      </c>
      <c r="AP561" s="1" t="s">
        <v>4822</v>
      </c>
      <c r="AQ561" s="1" t="s">
        <v>74</v>
      </c>
      <c r="AR561" s="1" t="s">
        <v>74</v>
      </c>
      <c r="AS561" s="1" t="s">
        <v>74</v>
      </c>
      <c r="AT561" s="1" t="s">
        <v>4823</v>
      </c>
      <c r="AU561" s="1">
        <v>2010.0</v>
      </c>
      <c r="AV561" s="1">
        <v>51.0</v>
      </c>
      <c r="AW561" s="1">
        <v>12.0</v>
      </c>
      <c r="AX561" s="1" t="s">
        <v>74</v>
      </c>
      <c r="AY561" s="1" t="s">
        <v>74</v>
      </c>
      <c r="AZ561" s="1" t="s">
        <v>74</v>
      </c>
      <c r="BA561" s="1" t="s">
        <v>74</v>
      </c>
      <c r="BB561" s="1">
        <v>2503.0</v>
      </c>
      <c r="BC561" s="1">
        <v>2507.0</v>
      </c>
      <c r="BD561" s="1" t="s">
        <v>74</v>
      </c>
      <c r="BE561" s="1" t="s">
        <v>4824</v>
      </c>
      <c r="BF561" s="2" t="str">
        <f>HYPERLINK("http://dx.doi.org/10.1016/j.polymer.2010.04.015","http://dx.doi.org/10.1016/j.polymer.2010.04.015")</f>
        <v>http://dx.doi.org/10.1016/j.polymer.2010.04.015</v>
      </c>
      <c r="BG561" s="1" t="s">
        <v>74</v>
      </c>
      <c r="BH561" s="1" t="s">
        <v>74</v>
      </c>
      <c r="BI561" s="1" t="s">
        <v>74</v>
      </c>
      <c r="BJ561" s="1" t="s">
        <v>74</v>
      </c>
      <c r="BK561" s="1" t="s">
        <v>74</v>
      </c>
      <c r="BL561" s="1" t="s">
        <v>74</v>
      </c>
      <c r="BM561" s="1" t="s">
        <v>74</v>
      </c>
      <c r="BN561" s="1" t="s">
        <v>74</v>
      </c>
      <c r="BO561" s="1" t="s">
        <v>74</v>
      </c>
      <c r="BP561" s="1" t="s">
        <v>74</v>
      </c>
      <c r="BQ561" s="1" t="s">
        <v>74</v>
      </c>
      <c r="BR561" s="1" t="s">
        <v>74</v>
      </c>
      <c r="BS561" s="1" t="s">
        <v>4825</v>
      </c>
      <c r="BT561" s="1" t="str">
        <f>HYPERLINK("https%3A%2F%2Fwww.webofscience.com%2Fwos%2Fwoscc%2Ffull-record%2FWOS:000278188500009","View Full Record in Web of Science")</f>
        <v>View Full Record in Web of Science</v>
      </c>
    </row>
    <row r="562" ht="12.75" customHeight="1">
      <c r="A562" s="1" t="s">
        <v>72</v>
      </c>
      <c r="B562" s="1" t="s">
        <v>4826</v>
      </c>
      <c r="C562" s="1" t="s">
        <v>74</v>
      </c>
      <c r="D562" s="1" t="s">
        <v>74</v>
      </c>
      <c r="E562" s="1" t="s">
        <v>74</v>
      </c>
      <c r="F562" s="1" t="s">
        <v>4827</v>
      </c>
      <c r="G562" s="1" t="s">
        <v>74</v>
      </c>
      <c r="H562" s="1" t="s">
        <v>74</v>
      </c>
      <c r="I562" s="1" t="s">
        <v>4828</v>
      </c>
      <c r="J562" s="1" t="s">
        <v>4829</v>
      </c>
      <c r="K562" s="1" t="s">
        <v>74</v>
      </c>
      <c r="L562" s="1" t="s">
        <v>74</v>
      </c>
      <c r="M562" s="1" t="s">
        <v>74</v>
      </c>
      <c r="N562" s="1" t="s">
        <v>74</v>
      </c>
      <c r="O562" s="1" t="s">
        <v>74</v>
      </c>
      <c r="P562" s="1" t="s">
        <v>74</v>
      </c>
      <c r="Q562" s="1" t="s">
        <v>74</v>
      </c>
      <c r="R562" s="1" t="s">
        <v>74</v>
      </c>
      <c r="S562" s="1" t="s">
        <v>74</v>
      </c>
      <c r="T562" s="1" t="s">
        <v>74</v>
      </c>
      <c r="U562" s="1" t="s">
        <v>74</v>
      </c>
      <c r="V562" s="1" t="s">
        <v>4830</v>
      </c>
      <c r="W562" s="1" t="s">
        <v>74</v>
      </c>
      <c r="X562" s="1" t="s">
        <v>74</v>
      </c>
      <c r="Y562" s="1" t="s">
        <v>74</v>
      </c>
      <c r="Z562" s="1" t="s">
        <v>74</v>
      </c>
      <c r="AA562" s="1" t="s">
        <v>4831</v>
      </c>
      <c r="AB562" s="1" t="s">
        <v>74</v>
      </c>
      <c r="AC562" s="1" t="s">
        <v>74</v>
      </c>
      <c r="AD562" s="1" t="s">
        <v>74</v>
      </c>
      <c r="AE562" s="1" t="s">
        <v>74</v>
      </c>
      <c r="AF562" s="1" t="s">
        <v>74</v>
      </c>
      <c r="AG562" s="1" t="s">
        <v>74</v>
      </c>
      <c r="AH562" s="1" t="s">
        <v>74</v>
      </c>
      <c r="AI562" s="1" t="s">
        <v>74</v>
      </c>
      <c r="AJ562" s="1" t="s">
        <v>74</v>
      </c>
      <c r="AK562" s="1" t="s">
        <v>74</v>
      </c>
      <c r="AL562" s="1" t="s">
        <v>74</v>
      </c>
      <c r="AM562" s="1" t="s">
        <v>74</v>
      </c>
      <c r="AN562" s="1" t="s">
        <v>74</v>
      </c>
      <c r="AO562" s="1" t="s">
        <v>4832</v>
      </c>
      <c r="AP562" s="1" t="s">
        <v>74</v>
      </c>
      <c r="AQ562" s="1" t="s">
        <v>74</v>
      </c>
      <c r="AR562" s="1" t="s">
        <v>74</v>
      </c>
      <c r="AS562" s="1" t="s">
        <v>74</v>
      </c>
      <c r="AT562" s="1" t="s">
        <v>4135</v>
      </c>
      <c r="AU562" s="1">
        <v>2010.0</v>
      </c>
      <c r="AV562" s="1">
        <v>13.0</v>
      </c>
      <c r="AW562" s="1">
        <v>2.0</v>
      </c>
      <c r="AX562" s="1" t="s">
        <v>74</v>
      </c>
      <c r="AY562" s="1" t="s">
        <v>74</v>
      </c>
      <c r="AZ562" s="1" t="s">
        <v>74</v>
      </c>
      <c r="BA562" s="1" t="s">
        <v>74</v>
      </c>
      <c r="BB562" s="1">
        <v>95.0</v>
      </c>
      <c r="BC562" s="1">
        <v>100.0</v>
      </c>
      <c r="BD562" s="1" t="s">
        <v>74</v>
      </c>
      <c r="BE562" s="1" t="s">
        <v>4833</v>
      </c>
      <c r="BF562" s="2" t="str">
        <f>HYPERLINK("http://dx.doi.org/10.2350/08-02-0422.1","http://dx.doi.org/10.2350/08-02-0422.1")</f>
        <v>http://dx.doi.org/10.2350/08-02-0422.1</v>
      </c>
      <c r="BG562" s="1" t="s">
        <v>74</v>
      </c>
      <c r="BH562" s="1" t="s">
        <v>74</v>
      </c>
      <c r="BI562" s="1" t="s">
        <v>74</v>
      </c>
      <c r="BJ562" s="1" t="s">
        <v>74</v>
      </c>
      <c r="BK562" s="1" t="s">
        <v>74</v>
      </c>
      <c r="BL562" s="1" t="s">
        <v>74</v>
      </c>
      <c r="BM562" s="1" t="s">
        <v>74</v>
      </c>
      <c r="BN562" s="1">
        <v>1.9678719E7</v>
      </c>
      <c r="BO562" s="1" t="s">
        <v>74</v>
      </c>
      <c r="BP562" s="1" t="s">
        <v>74</v>
      </c>
      <c r="BQ562" s="1" t="s">
        <v>74</v>
      </c>
      <c r="BR562" s="1" t="s">
        <v>74</v>
      </c>
      <c r="BS562" s="1" t="s">
        <v>4834</v>
      </c>
      <c r="BT562" s="1" t="str">
        <f>HYPERLINK("https%3A%2F%2Fwww.webofscience.com%2Fwos%2Fwoscc%2Ffull-record%2FWOS:000277474300002","View Full Record in Web of Science")</f>
        <v>View Full Record in Web of Science</v>
      </c>
    </row>
    <row r="563" ht="12.75" customHeight="1">
      <c r="A563" s="1" t="s">
        <v>72</v>
      </c>
      <c r="B563" s="1" t="s">
        <v>4835</v>
      </c>
      <c r="C563" s="1" t="s">
        <v>74</v>
      </c>
      <c r="D563" s="1" t="s">
        <v>74</v>
      </c>
      <c r="E563" s="1" t="s">
        <v>74</v>
      </c>
      <c r="F563" s="1" t="s">
        <v>4836</v>
      </c>
      <c r="G563" s="1" t="s">
        <v>74</v>
      </c>
      <c r="H563" s="1" t="s">
        <v>74</v>
      </c>
      <c r="I563" s="1" t="s">
        <v>4837</v>
      </c>
      <c r="J563" s="1" t="s">
        <v>900</v>
      </c>
      <c r="K563" s="1" t="s">
        <v>74</v>
      </c>
      <c r="L563" s="1" t="s">
        <v>74</v>
      </c>
      <c r="M563" s="1" t="s">
        <v>74</v>
      </c>
      <c r="N563" s="1" t="s">
        <v>74</v>
      </c>
      <c r="O563" s="1" t="s">
        <v>74</v>
      </c>
      <c r="P563" s="1" t="s">
        <v>74</v>
      </c>
      <c r="Q563" s="1" t="s">
        <v>74</v>
      </c>
      <c r="R563" s="1" t="s">
        <v>74</v>
      </c>
      <c r="S563" s="1" t="s">
        <v>74</v>
      </c>
      <c r="T563" s="1" t="s">
        <v>74</v>
      </c>
      <c r="U563" s="1" t="s">
        <v>74</v>
      </c>
      <c r="V563" s="1" t="s">
        <v>4838</v>
      </c>
      <c r="W563" s="1" t="s">
        <v>74</v>
      </c>
      <c r="X563" s="1" t="s">
        <v>74</v>
      </c>
      <c r="Y563" s="1" t="s">
        <v>74</v>
      </c>
      <c r="Z563" s="1" t="s">
        <v>74</v>
      </c>
      <c r="AA563" s="1" t="s">
        <v>902</v>
      </c>
      <c r="AB563" s="1" t="s">
        <v>1119</v>
      </c>
      <c r="AC563" s="1" t="s">
        <v>74</v>
      </c>
      <c r="AD563" s="1" t="s">
        <v>74</v>
      </c>
      <c r="AE563" s="1" t="s">
        <v>74</v>
      </c>
      <c r="AF563" s="1" t="s">
        <v>74</v>
      </c>
      <c r="AG563" s="1" t="s">
        <v>74</v>
      </c>
      <c r="AH563" s="1" t="s">
        <v>74</v>
      </c>
      <c r="AI563" s="1" t="s">
        <v>74</v>
      </c>
      <c r="AJ563" s="1" t="s">
        <v>74</v>
      </c>
      <c r="AK563" s="1" t="s">
        <v>74</v>
      </c>
      <c r="AL563" s="1" t="s">
        <v>74</v>
      </c>
      <c r="AM563" s="1" t="s">
        <v>74</v>
      </c>
      <c r="AN563" s="1" t="s">
        <v>74</v>
      </c>
      <c r="AO563" s="1" t="s">
        <v>904</v>
      </c>
      <c r="AP563" s="1" t="s">
        <v>905</v>
      </c>
      <c r="AQ563" s="1" t="s">
        <v>74</v>
      </c>
      <c r="AR563" s="1" t="s">
        <v>74</v>
      </c>
      <c r="AS563" s="1" t="s">
        <v>74</v>
      </c>
      <c r="AT563" s="1" t="s">
        <v>1367</v>
      </c>
      <c r="AU563" s="1">
        <v>2009.0</v>
      </c>
      <c r="AV563" s="1">
        <v>71.0</v>
      </c>
      <c r="AW563" s="1">
        <v>12.0</v>
      </c>
      <c r="AX563" s="1" t="s">
        <v>74</v>
      </c>
      <c r="AY563" s="1" t="s">
        <v>74</v>
      </c>
      <c r="AZ563" s="1" t="s">
        <v>74</v>
      </c>
      <c r="BA563" s="1" t="s">
        <v>74</v>
      </c>
      <c r="BB563" s="1">
        <v>6029.0</v>
      </c>
      <c r="BC563" s="1">
        <v>6037.0</v>
      </c>
      <c r="BD563" s="1" t="s">
        <v>74</v>
      </c>
      <c r="BE563" s="1" t="s">
        <v>4839</v>
      </c>
      <c r="BF563" s="2" t="str">
        <f>HYPERLINK("http://dx.doi.org/10.1016/j.na.2009.05.042","http://dx.doi.org/10.1016/j.na.2009.05.042")</f>
        <v>http://dx.doi.org/10.1016/j.na.2009.05.042</v>
      </c>
      <c r="BG563" s="1" t="s">
        <v>74</v>
      </c>
      <c r="BH563" s="1" t="s">
        <v>74</v>
      </c>
      <c r="BI563" s="1" t="s">
        <v>74</v>
      </c>
      <c r="BJ563" s="1" t="s">
        <v>74</v>
      </c>
      <c r="BK563" s="1" t="s">
        <v>74</v>
      </c>
      <c r="BL563" s="1" t="s">
        <v>74</v>
      </c>
      <c r="BM563" s="1" t="s">
        <v>74</v>
      </c>
      <c r="BN563" s="1" t="s">
        <v>74</v>
      </c>
      <c r="BO563" s="1" t="s">
        <v>74</v>
      </c>
      <c r="BP563" s="1" t="s">
        <v>74</v>
      </c>
      <c r="BQ563" s="1" t="s">
        <v>74</v>
      </c>
      <c r="BR563" s="1" t="s">
        <v>74</v>
      </c>
      <c r="BS563" s="1" t="s">
        <v>4840</v>
      </c>
      <c r="BT563" s="1" t="str">
        <f>HYPERLINK("https%3A%2F%2Fwww.webofscience.com%2Fwos%2Fwoscc%2Ffull-record%2FWOS:000272606300012","View Full Record in Web of Science")</f>
        <v>View Full Record in Web of Science</v>
      </c>
    </row>
    <row r="564" ht="12.75" customHeight="1">
      <c r="A564" s="1" t="s">
        <v>72</v>
      </c>
      <c r="B564" s="1" t="s">
        <v>4841</v>
      </c>
      <c r="C564" s="1" t="s">
        <v>74</v>
      </c>
      <c r="D564" s="1" t="s">
        <v>74</v>
      </c>
      <c r="E564" s="1" t="s">
        <v>74</v>
      </c>
      <c r="F564" s="1" t="s">
        <v>4842</v>
      </c>
      <c r="G564" s="1" t="s">
        <v>74</v>
      </c>
      <c r="H564" s="1" t="s">
        <v>74</v>
      </c>
      <c r="I564" s="1" t="s">
        <v>4843</v>
      </c>
      <c r="J564" s="1" t="s">
        <v>4844</v>
      </c>
      <c r="K564" s="1" t="s">
        <v>74</v>
      </c>
      <c r="L564" s="1" t="s">
        <v>74</v>
      </c>
      <c r="M564" s="1" t="s">
        <v>74</v>
      </c>
      <c r="N564" s="1" t="s">
        <v>74</v>
      </c>
      <c r="O564" s="1" t="s">
        <v>4845</v>
      </c>
      <c r="P564" s="1">
        <v>2008.0</v>
      </c>
      <c r="Q564" s="1" t="s">
        <v>4846</v>
      </c>
      <c r="R564" s="1" t="s">
        <v>74</v>
      </c>
      <c r="S564" s="1" t="s">
        <v>4847</v>
      </c>
      <c r="T564" s="1" t="s">
        <v>74</v>
      </c>
      <c r="U564" s="1" t="s">
        <v>74</v>
      </c>
      <c r="V564" s="1" t="s">
        <v>4848</v>
      </c>
      <c r="W564" s="1" t="s">
        <v>74</v>
      </c>
      <c r="X564" s="1" t="s">
        <v>74</v>
      </c>
      <c r="Y564" s="1" t="s">
        <v>74</v>
      </c>
      <c r="Z564" s="1" t="s">
        <v>74</v>
      </c>
      <c r="AA564" s="1" t="s">
        <v>74</v>
      </c>
      <c r="AB564" s="1" t="s">
        <v>4849</v>
      </c>
      <c r="AC564" s="1" t="s">
        <v>74</v>
      </c>
      <c r="AD564" s="1" t="s">
        <v>74</v>
      </c>
      <c r="AE564" s="1" t="s">
        <v>74</v>
      </c>
      <c r="AF564" s="1" t="s">
        <v>74</v>
      </c>
      <c r="AG564" s="1" t="s">
        <v>74</v>
      </c>
      <c r="AH564" s="1" t="s">
        <v>74</v>
      </c>
      <c r="AI564" s="1" t="s">
        <v>74</v>
      </c>
      <c r="AJ564" s="1" t="s">
        <v>74</v>
      </c>
      <c r="AK564" s="1" t="s">
        <v>74</v>
      </c>
      <c r="AL564" s="1" t="s">
        <v>74</v>
      </c>
      <c r="AM564" s="1" t="s">
        <v>74</v>
      </c>
      <c r="AN564" s="1" t="s">
        <v>74</v>
      </c>
      <c r="AO564" s="1" t="s">
        <v>4850</v>
      </c>
      <c r="AP564" s="1" t="s">
        <v>4851</v>
      </c>
      <c r="AQ564" s="1" t="s">
        <v>74</v>
      </c>
      <c r="AR564" s="1" t="s">
        <v>74</v>
      </c>
      <c r="AS564" s="1" t="s">
        <v>74</v>
      </c>
      <c r="AT564" s="1" t="s">
        <v>139</v>
      </c>
      <c r="AU564" s="1">
        <v>2009.0</v>
      </c>
      <c r="AV564" s="1">
        <v>364.0</v>
      </c>
      <c r="AW564" s="1">
        <v>1529.0</v>
      </c>
      <c r="AX564" s="1" t="s">
        <v>74</v>
      </c>
      <c r="AY564" s="1" t="s">
        <v>74</v>
      </c>
      <c r="AZ564" s="1" t="s">
        <v>74</v>
      </c>
      <c r="BA564" s="1" t="s">
        <v>74</v>
      </c>
      <c r="BB564" s="1">
        <v>2527.0</v>
      </c>
      <c r="BC564" s="1">
        <v>2535.0</v>
      </c>
      <c r="BD564" s="1" t="s">
        <v>74</v>
      </c>
      <c r="BE564" s="1" t="s">
        <v>4852</v>
      </c>
      <c r="BF564" s="2" t="str">
        <f>HYPERLINK("http://dx.doi.org/10.1098/rstb.2009.0078","http://dx.doi.org/10.1098/rstb.2009.0078")</f>
        <v>http://dx.doi.org/10.1098/rstb.2009.0078</v>
      </c>
      <c r="BG564" s="1" t="s">
        <v>74</v>
      </c>
      <c r="BH564" s="1" t="s">
        <v>74</v>
      </c>
      <c r="BI564" s="1" t="s">
        <v>74</v>
      </c>
      <c r="BJ564" s="1" t="s">
        <v>74</v>
      </c>
      <c r="BK564" s="1" t="s">
        <v>74</v>
      </c>
      <c r="BL564" s="1" t="s">
        <v>74</v>
      </c>
      <c r="BM564" s="1" t="s">
        <v>74</v>
      </c>
      <c r="BN564" s="1">
        <v>1.9651654E7</v>
      </c>
      <c r="BO564" s="1" t="s">
        <v>74</v>
      </c>
      <c r="BP564" s="1" t="s">
        <v>74</v>
      </c>
      <c r="BQ564" s="1" t="s">
        <v>74</v>
      </c>
      <c r="BR564" s="1" t="s">
        <v>74</v>
      </c>
      <c r="BS564" s="1" t="s">
        <v>4853</v>
      </c>
      <c r="BT564" s="1" t="str">
        <f>HYPERLINK("https%3A%2F%2Fwww.webofscience.com%2Fwos%2Fwoscc%2Ffull-record%2FWOS:000268569000009","View Full Record in Web of Science")</f>
        <v>View Full Record in Web of Science</v>
      </c>
    </row>
    <row r="565" ht="12.75" customHeight="1">
      <c r="A565" s="1" t="s">
        <v>72</v>
      </c>
      <c r="B565" s="1" t="s">
        <v>4854</v>
      </c>
      <c r="C565" s="1" t="s">
        <v>74</v>
      </c>
      <c r="D565" s="1" t="s">
        <v>74</v>
      </c>
      <c r="E565" s="1" t="s">
        <v>74</v>
      </c>
      <c r="F565" s="1" t="s">
        <v>4855</v>
      </c>
      <c r="G565" s="1" t="s">
        <v>74</v>
      </c>
      <c r="H565" s="1" t="s">
        <v>74</v>
      </c>
      <c r="I565" s="1" t="s">
        <v>4856</v>
      </c>
      <c r="J565" s="1" t="s">
        <v>1087</v>
      </c>
      <c r="K565" s="1" t="s">
        <v>74</v>
      </c>
      <c r="L565" s="1" t="s">
        <v>74</v>
      </c>
      <c r="M565" s="1" t="s">
        <v>74</v>
      </c>
      <c r="N565" s="1" t="s">
        <v>74</v>
      </c>
      <c r="O565" s="1" t="s">
        <v>74</v>
      </c>
      <c r="P565" s="1" t="s">
        <v>74</v>
      </c>
      <c r="Q565" s="1" t="s">
        <v>74</v>
      </c>
      <c r="R565" s="1" t="s">
        <v>74</v>
      </c>
      <c r="S565" s="1" t="s">
        <v>74</v>
      </c>
      <c r="T565" s="1" t="s">
        <v>74</v>
      </c>
      <c r="U565" s="1" t="s">
        <v>74</v>
      </c>
      <c r="V565" s="1" t="s">
        <v>4857</v>
      </c>
      <c r="W565" s="1" t="s">
        <v>74</v>
      </c>
      <c r="X565" s="1" t="s">
        <v>74</v>
      </c>
      <c r="Y565" s="1" t="s">
        <v>74</v>
      </c>
      <c r="Z565" s="1" t="s">
        <v>74</v>
      </c>
      <c r="AA565" s="1" t="s">
        <v>4858</v>
      </c>
      <c r="AB565" s="1" t="s">
        <v>4859</v>
      </c>
      <c r="AC565" s="1" t="s">
        <v>74</v>
      </c>
      <c r="AD565" s="1" t="s">
        <v>74</v>
      </c>
      <c r="AE565" s="1" t="s">
        <v>74</v>
      </c>
      <c r="AF565" s="1" t="s">
        <v>74</v>
      </c>
      <c r="AG565" s="1" t="s">
        <v>74</v>
      </c>
      <c r="AH565" s="1" t="s">
        <v>74</v>
      </c>
      <c r="AI565" s="1" t="s">
        <v>74</v>
      </c>
      <c r="AJ565" s="1" t="s">
        <v>74</v>
      </c>
      <c r="AK565" s="1" t="s">
        <v>74</v>
      </c>
      <c r="AL565" s="1" t="s">
        <v>74</v>
      </c>
      <c r="AM565" s="1" t="s">
        <v>74</v>
      </c>
      <c r="AN565" s="1" t="s">
        <v>74</v>
      </c>
      <c r="AO565" s="1" t="s">
        <v>1091</v>
      </c>
      <c r="AP565" s="1" t="s">
        <v>1092</v>
      </c>
      <c r="AQ565" s="1" t="s">
        <v>74</v>
      </c>
      <c r="AR565" s="1" t="s">
        <v>74</v>
      </c>
      <c r="AS565" s="1" t="s">
        <v>74</v>
      </c>
      <c r="AT565" s="1" t="s">
        <v>4860</v>
      </c>
      <c r="AU565" s="1">
        <v>2006.0</v>
      </c>
      <c r="AV565" s="1">
        <v>59.0</v>
      </c>
      <c r="AW565" s="1">
        <v>13.0</v>
      </c>
      <c r="AX565" s="1" t="s">
        <v>74</v>
      </c>
      <c r="AY565" s="1" t="s">
        <v>74</v>
      </c>
      <c r="AZ565" s="1" t="s">
        <v>74</v>
      </c>
      <c r="BA565" s="1" t="s">
        <v>74</v>
      </c>
      <c r="BB565" s="1">
        <v>1467.0</v>
      </c>
      <c r="BC565" s="1">
        <v>1475.0</v>
      </c>
      <c r="BD565" s="1" t="s">
        <v>74</v>
      </c>
      <c r="BE565" s="1" t="s">
        <v>4861</v>
      </c>
      <c r="BF565" s="2" t="str">
        <f>HYPERLINK("http://dx.doi.org/10.1080/00958970600559484","http://dx.doi.org/10.1080/00958970600559484")</f>
        <v>http://dx.doi.org/10.1080/00958970600559484</v>
      </c>
      <c r="BG565" s="1" t="s">
        <v>74</v>
      </c>
      <c r="BH565" s="1" t="s">
        <v>74</v>
      </c>
      <c r="BI565" s="1" t="s">
        <v>74</v>
      </c>
      <c r="BJ565" s="1" t="s">
        <v>74</v>
      </c>
      <c r="BK565" s="1" t="s">
        <v>74</v>
      </c>
      <c r="BL565" s="1" t="s">
        <v>74</v>
      </c>
      <c r="BM565" s="1" t="s">
        <v>74</v>
      </c>
      <c r="BN565" s="1" t="s">
        <v>74</v>
      </c>
      <c r="BO565" s="1" t="s">
        <v>74</v>
      </c>
      <c r="BP565" s="1" t="s">
        <v>74</v>
      </c>
      <c r="BQ565" s="1" t="s">
        <v>74</v>
      </c>
      <c r="BR565" s="1" t="s">
        <v>74</v>
      </c>
      <c r="BS565" s="1" t="s">
        <v>4862</v>
      </c>
      <c r="BT565" s="1" t="str">
        <f>HYPERLINK("https%3A%2F%2Fwww.webofscience.com%2Fwos%2Fwoscc%2Ffull-record%2FWOS:000240824700005","View Full Record in Web of Science")</f>
        <v>View Full Record in Web of Science</v>
      </c>
    </row>
    <row r="566" ht="12.75" customHeight="1">
      <c r="A566" s="1" t="s">
        <v>72</v>
      </c>
      <c r="B566" s="1" t="s">
        <v>397</v>
      </c>
      <c r="C566" s="1" t="s">
        <v>74</v>
      </c>
      <c r="D566" s="1" t="s">
        <v>74</v>
      </c>
      <c r="E566" s="1" t="s">
        <v>74</v>
      </c>
      <c r="F566" s="1" t="s">
        <v>397</v>
      </c>
      <c r="G566" s="1" t="s">
        <v>74</v>
      </c>
      <c r="H566" s="1" t="s">
        <v>74</v>
      </c>
      <c r="I566" s="1" t="s">
        <v>4863</v>
      </c>
      <c r="J566" s="1" t="s">
        <v>2466</v>
      </c>
      <c r="K566" s="1" t="s">
        <v>74</v>
      </c>
      <c r="L566" s="1" t="s">
        <v>74</v>
      </c>
      <c r="M566" s="1" t="s">
        <v>74</v>
      </c>
      <c r="N566" s="1" t="s">
        <v>74</v>
      </c>
      <c r="O566" s="1" t="s">
        <v>74</v>
      </c>
      <c r="P566" s="1" t="s">
        <v>74</v>
      </c>
      <c r="Q566" s="1" t="s">
        <v>74</v>
      </c>
      <c r="R566" s="1" t="s">
        <v>74</v>
      </c>
      <c r="S566" s="1" t="s">
        <v>74</v>
      </c>
      <c r="T566" s="1" t="s">
        <v>74</v>
      </c>
      <c r="U566" s="1" t="s">
        <v>74</v>
      </c>
      <c r="V566" s="1" t="s">
        <v>4864</v>
      </c>
      <c r="W566" s="1" t="s">
        <v>74</v>
      </c>
      <c r="X566" s="1" t="s">
        <v>74</v>
      </c>
      <c r="Y566" s="1" t="s">
        <v>74</v>
      </c>
      <c r="Z566" s="1" t="s">
        <v>74</v>
      </c>
      <c r="AA566" s="1" t="s">
        <v>74</v>
      </c>
      <c r="AB566" s="1" t="s">
        <v>74</v>
      </c>
      <c r="AC566" s="1" t="s">
        <v>74</v>
      </c>
      <c r="AD566" s="1" t="s">
        <v>74</v>
      </c>
      <c r="AE566" s="1" t="s">
        <v>74</v>
      </c>
      <c r="AF566" s="1" t="s">
        <v>74</v>
      </c>
      <c r="AG566" s="1" t="s">
        <v>74</v>
      </c>
      <c r="AH566" s="1" t="s">
        <v>74</v>
      </c>
      <c r="AI566" s="1" t="s">
        <v>74</v>
      </c>
      <c r="AJ566" s="1" t="s">
        <v>74</v>
      </c>
      <c r="AK566" s="1" t="s">
        <v>74</v>
      </c>
      <c r="AL566" s="1" t="s">
        <v>74</v>
      </c>
      <c r="AM566" s="1" t="s">
        <v>74</v>
      </c>
      <c r="AN566" s="1" t="s">
        <v>74</v>
      </c>
      <c r="AO566" s="1" t="s">
        <v>2470</v>
      </c>
      <c r="AP566" s="1" t="s">
        <v>2471</v>
      </c>
      <c r="AQ566" s="1" t="s">
        <v>74</v>
      </c>
      <c r="AR566" s="1" t="s">
        <v>74</v>
      </c>
      <c r="AS566" s="1" t="s">
        <v>74</v>
      </c>
      <c r="AT566" s="1" t="s">
        <v>148</v>
      </c>
      <c r="AU566" s="1">
        <v>2006.0</v>
      </c>
      <c r="AV566" s="1">
        <v>73.0</v>
      </c>
      <c r="AW566" s="1">
        <v>5.0</v>
      </c>
      <c r="AX566" s="1" t="s">
        <v>74</v>
      </c>
      <c r="AY566" s="1" t="s">
        <v>74</v>
      </c>
      <c r="AZ566" s="1" t="s">
        <v>74</v>
      </c>
      <c r="BA566" s="1" t="s">
        <v>74</v>
      </c>
      <c r="BB566" s="1" t="s">
        <v>74</v>
      </c>
      <c r="BC566" s="1" t="s">
        <v>74</v>
      </c>
      <c r="BD566" s="1">
        <v>55008.0</v>
      </c>
      <c r="BE566" s="1" t="s">
        <v>4865</v>
      </c>
      <c r="BF566" s="2" t="str">
        <f>HYPERLINK("http://dx.doi.org/10.1103/PhysRevD.73.055008","http://dx.doi.org/10.1103/PhysRevD.73.055008")</f>
        <v>http://dx.doi.org/10.1103/PhysRevD.73.055008</v>
      </c>
      <c r="BG566" s="1" t="s">
        <v>74</v>
      </c>
      <c r="BH566" s="1" t="s">
        <v>74</v>
      </c>
      <c r="BI566" s="1" t="s">
        <v>74</v>
      </c>
      <c r="BJ566" s="1" t="s">
        <v>74</v>
      </c>
      <c r="BK566" s="1" t="s">
        <v>74</v>
      </c>
      <c r="BL566" s="1" t="s">
        <v>74</v>
      </c>
      <c r="BM566" s="1" t="s">
        <v>74</v>
      </c>
      <c r="BN566" s="1" t="s">
        <v>74</v>
      </c>
      <c r="BO566" s="1" t="s">
        <v>74</v>
      </c>
      <c r="BP566" s="1" t="s">
        <v>74</v>
      </c>
      <c r="BQ566" s="1" t="s">
        <v>74</v>
      </c>
      <c r="BR566" s="1" t="s">
        <v>74</v>
      </c>
      <c r="BS566" s="1" t="s">
        <v>4866</v>
      </c>
      <c r="BT566" s="1" t="str">
        <f>HYPERLINK("https%3A%2F%2Fwww.webofscience.com%2Fwos%2Fwoscc%2Ffull-record%2FWOS:000236465800079","View Full Record in Web of Science")</f>
        <v>View Full Record in Web of Science</v>
      </c>
    </row>
    <row r="567" ht="12.75" customHeight="1">
      <c r="A567" s="1" t="s">
        <v>72</v>
      </c>
      <c r="B567" s="1" t="s">
        <v>4867</v>
      </c>
      <c r="C567" s="1" t="s">
        <v>74</v>
      </c>
      <c r="D567" s="1" t="s">
        <v>74</v>
      </c>
      <c r="E567" s="1" t="s">
        <v>74</v>
      </c>
      <c r="F567" s="1" t="s">
        <v>4867</v>
      </c>
      <c r="G567" s="1" t="s">
        <v>74</v>
      </c>
      <c r="H567" s="1" t="s">
        <v>74</v>
      </c>
      <c r="I567" s="1" t="s">
        <v>4868</v>
      </c>
      <c r="J567" s="1" t="s">
        <v>4869</v>
      </c>
      <c r="K567" s="1" t="s">
        <v>74</v>
      </c>
      <c r="L567" s="1" t="s">
        <v>74</v>
      </c>
      <c r="M567" s="1" t="s">
        <v>74</v>
      </c>
      <c r="N567" s="1" t="s">
        <v>74</v>
      </c>
      <c r="O567" s="1" t="s">
        <v>74</v>
      </c>
      <c r="P567" s="1" t="s">
        <v>74</v>
      </c>
      <c r="Q567" s="1" t="s">
        <v>74</v>
      </c>
      <c r="R567" s="1" t="s">
        <v>74</v>
      </c>
      <c r="S567" s="1" t="s">
        <v>74</v>
      </c>
      <c r="T567" s="1" t="s">
        <v>74</v>
      </c>
      <c r="U567" s="1" t="s">
        <v>74</v>
      </c>
      <c r="V567" s="1" t="s">
        <v>4870</v>
      </c>
      <c r="W567" s="1" t="s">
        <v>74</v>
      </c>
      <c r="X567" s="1" t="s">
        <v>74</v>
      </c>
      <c r="Y567" s="1" t="s">
        <v>74</v>
      </c>
      <c r="Z567" s="1" t="s">
        <v>74</v>
      </c>
      <c r="AA567" s="1" t="s">
        <v>4871</v>
      </c>
      <c r="AB567" s="1" t="s">
        <v>74</v>
      </c>
      <c r="AC567" s="1" t="s">
        <v>74</v>
      </c>
      <c r="AD567" s="1" t="s">
        <v>74</v>
      </c>
      <c r="AE567" s="1" t="s">
        <v>74</v>
      </c>
      <c r="AF567" s="1" t="s">
        <v>74</v>
      </c>
      <c r="AG567" s="1" t="s">
        <v>74</v>
      </c>
      <c r="AH567" s="1" t="s">
        <v>74</v>
      </c>
      <c r="AI567" s="1" t="s">
        <v>74</v>
      </c>
      <c r="AJ567" s="1" t="s">
        <v>74</v>
      </c>
      <c r="AK567" s="1" t="s">
        <v>74</v>
      </c>
      <c r="AL567" s="1" t="s">
        <v>74</v>
      </c>
      <c r="AM567" s="1" t="s">
        <v>74</v>
      </c>
      <c r="AN567" s="1" t="s">
        <v>74</v>
      </c>
      <c r="AO567" s="1" t="s">
        <v>4872</v>
      </c>
      <c r="AP567" s="1" t="s">
        <v>74</v>
      </c>
      <c r="AQ567" s="1" t="s">
        <v>74</v>
      </c>
      <c r="AR567" s="1" t="s">
        <v>74</v>
      </c>
      <c r="AS567" s="1" t="s">
        <v>74</v>
      </c>
      <c r="AT567" s="1" t="s">
        <v>288</v>
      </c>
      <c r="AU567" s="1">
        <v>2005.0</v>
      </c>
      <c r="AV567" s="1">
        <v>152.0</v>
      </c>
      <c r="AW567" s="1">
        <v>1.0</v>
      </c>
      <c r="AX567" s="1" t="s">
        <v>74</v>
      </c>
      <c r="AY567" s="1" t="s">
        <v>74</v>
      </c>
      <c r="AZ567" s="1" t="s">
        <v>74</v>
      </c>
      <c r="BA567" s="1" t="s">
        <v>74</v>
      </c>
      <c r="BB567" s="1">
        <v>1.0</v>
      </c>
      <c r="BC567" s="1">
        <v>8.0</v>
      </c>
      <c r="BD567" s="1" t="s">
        <v>74</v>
      </c>
      <c r="BE567" s="1" t="s">
        <v>4873</v>
      </c>
      <c r="BF567" s="2" t="str">
        <f>HYPERLINK("http://dx.doi.org/10.1049/ip-vis:20050810","http://dx.doi.org/10.1049/ip-vis:20050810")</f>
        <v>http://dx.doi.org/10.1049/ip-vis:20050810</v>
      </c>
      <c r="BG567" s="1" t="s">
        <v>74</v>
      </c>
      <c r="BH567" s="1" t="s">
        <v>74</v>
      </c>
      <c r="BI567" s="1" t="s">
        <v>74</v>
      </c>
      <c r="BJ567" s="1" t="s">
        <v>74</v>
      </c>
      <c r="BK567" s="1" t="s">
        <v>74</v>
      </c>
      <c r="BL567" s="1" t="s">
        <v>74</v>
      </c>
      <c r="BM567" s="1" t="s">
        <v>74</v>
      </c>
      <c r="BN567" s="1" t="s">
        <v>74</v>
      </c>
      <c r="BO567" s="1" t="s">
        <v>74</v>
      </c>
      <c r="BP567" s="1" t="s">
        <v>74</v>
      </c>
      <c r="BQ567" s="1" t="s">
        <v>74</v>
      </c>
      <c r="BR567" s="1" t="s">
        <v>74</v>
      </c>
      <c r="BS567" s="1" t="s">
        <v>4874</v>
      </c>
      <c r="BT567" s="1" t="str">
        <f>HYPERLINK("https%3A%2F%2Fwww.webofscience.com%2Fwos%2Fwoscc%2Ffull-record%2FWOS:000227949100001","View Full Record in Web of Science")</f>
        <v>View Full Record in Web of Science</v>
      </c>
    </row>
    <row r="568" ht="12.75" customHeight="1">
      <c r="A568" s="1" t="s">
        <v>72</v>
      </c>
      <c r="B568" s="1" t="s">
        <v>92</v>
      </c>
      <c r="C568" s="1" t="s">
        <v>74</v>
      </c>
      <c r="D568" s="1" t="s">
        <v>74</v>
      </c>
      <c r="E568" s="1" t="s">
        <v>74</v>
      </c>
      <c r="F568" s="1" t="s">
        <v>92</v>
      </c>
      <c r="G568" s="1" t="s">
        <v>74</v>
      </c>
      <c r="H568" s="1" t="s">
        <v>74</v>
      </c>
      <c r="I568" s="1" t="s">
        <v>4875</v>
      </c>
      <c r="J568" s="1" t="s">
        <v>4876</v>
      </c>
      <c r="K568" s="1" t="s">
        <v>74</v>
      </c>
      <c r="L568" s="1" t="s">
        <v>74</v>
      </c>
      <c r="M568" s="1" t="s">
        <v>74</v>
      </c>
      <c r="N568" s="1" t="s">
        <v>74</v>
      </c>
      <c r="O568" s="1" t="s">
        <v>74</v>
      </c>
      <c r="P568" s="1" t="s">
        <v>74</v>
      </c>
      <c r="Q568" s="1" t="s">
        <v>74</v>
      </c>
      <c r="R568" s="1" t="s">
        <v>74</v>
      </c>
      <c r="S568" s="1" t="s">
        <v>74</v>
      </c>
      <c r="T568" s="1" t="s">
        <v>74</v>
      </c>
      <c r="U568" s="1" t="s">
        <v>74</v>
      </c>
      <c r="V568" s="1" t="s">
        <v>4877</v>
      </c>
      <c r="W568" s="1" t="s">
        <v>74</v>
      </c>
      <c r="X568" s="1" t="s">
        <v>74</v>
      </c>
      <c r="Y568" s="1" t="s">
        <v>74</v>
      </c>
      <c r="Z568" s="1" t="s">
        <v>74</v>
      </c>
      <c r="AA568" s="1" t="s">
        <v>1111</v>
      </c>
      <c r="AB568" s="1" t="s">
        <v>1112</v>
      </c>
      <c r="AC568" s="1" t="s">
        <v>74</v>
      </c>
      <c r="AD568" s="1" t="s">
        <v>74</v>
      </c>
      <c r="AE568" s="1" t="s">
        <v>74</v>
      </c>
      <c r="AF568" s="1" t="s">
        <v>74</v>
      </c>
      <c r="AG568" s="1" t="s">
        <v>74</v>
      </c>
      <c r="AH568" s="1" t="s">
        <v>74</v>
      </c>
      <c r="AI568" s="1" t="s">
        <v>74</v>
      </c>
      <c r="AJ568" s="1" t="s">
        <v>74</v>
      </c>
      <c r="AK568" s="1" t="s">
        <v>74</v>
      </c>
      <c r="AL568" s="1" t="s">
        <v>74</v>
      </c>
      <c r="AM568" s="1" t="s">
        <v>74</v>
      </c>
      <c r="AN568" s="1" t="s">
        <v>74</v>
      </c>
      <c r="AO568" s="1" t="s">
        <v>4878</v>
      </c>
      <c r="AP568" s="1" t="s">
        <v>74</v>
      </c>
      <c r="AQ568" s="1" t="s">
        <v>74</v>
      </c>
      <c r="AR568" s="1" t="s">
        <v>74</v>
      </c>
      <c r="AS568" s="1" t="s">
        <v>74</v>
      </c>
      <c r="AT568" s="1" t="s">
        <v>1176</v>
      </c>
      <c r="AU568" s="1">
        <v>2004.0</v>
      </c>
      <c r="AV568" s="1">
        <v>54.0</v>
      </c>
      <c r="AW568" s="1">
        <v>8.0</v>
      </c>
      <c r="AX568" s="1" t="s">
        <v>74</v>
      </c>
      <c r="AY568" s="1" t="s">
        <v>74</v>
      </c>
      <c r="AZ568" s="1" t="s">
        <v>74</v>
      </c>
      <c r="BA568" s="1" t="s">
        <v>74</v>
      </c>
      <c r="BB568" s="1">
        <v>908.0</v>
      </c>
      <c r="BC568" s="1">
        <v>913.0</v>
      </c>
      <c r="BD568" s="1" t="s">
        <v>74</v>
      </c>
      <c r="BE568" s="1" t="s">
        <v>4879</v>
      </c>
      <c r="BF568" s="2" t="str">
        <f>HYPERLINK("http://dx.doi.org/10.1080/10473289.2004.10470966","http://dx.doi.org/10.1080/10473289.2004.10470966")</f>
        <v>http://dx.doi.org/10.1080/10473289.2004.10470966</v>
      </c>
      <c r="BG568" s="1" t="s">
        <v>74</v>
      </c>
      <c r="BH568" s="1" t="s">
        <v>74</v>
      </c>
      <c r="BI568" s="1" t="s">
        <v>74</v>
      </c>
      <c r="BJ568" s="1" t="s">
        <v>74</v>
      </c>
      <c r="BK568" s="1" t="s">
        <v>74</v>
      </c>
      <c r="BL568" s="1" t="s">
        <v>74</v>
      </c>
      <c r="BM568" s="1" t="s">
        <v>74</v>
      </c>
      <c r="BN568" s="1">
        <v>1.5373358E7</v>
      </c>
      <c r="BO568" s="1" t="s">
        <v>74</v>
      </c>
      <c r="BP568" s="1" t="s">
        <v>74</v>
      </c>
      <c r="BQ568" s="1" t="s">
        <v>74</v>
      </c>
      <c r="BR568" s="1" t="s">
        <v>74</v>
      </c>
      <c r="BS568" s="1" t="s">
        <v>4880</v>
      </c>
      <c r="BT568" s="1" t="str">
        <f>HYPERLINK("https%3A%2F%2Fwww.webofscience.com%2Fwos%2Fwoscc%2Ffull-record%2FWOS:000223164000002","View Full Record in Web of Science")</f>
        <v>View Full Record in Web of Science</v>
      </c>
    </row>
    <row r="569" ht="12.75" customHeight="1">
      <c r="A569" s="1" t="s">
        <v>72</v>
      </c>
      <c r="B569" s="1" t="s">
        <v>4881</v>
      </c>
      <c r="C569" s="1" t="s">
        <v>74</v>
      </c>
      <c r="D569" s="1" t="s">
        <v>74</v>
      </c>
      <c r="E569" s="1" t="s">
        <v>74</v>
      </c>
      <c r="F569" s="1" t="s">
        <v>4881</v>
      </c>
      <c r="G569" s="1" t="s">
        <v>74</v>
      </c>
      <c r="H569" s="1" t="s">
        <v>74</v>
      </c>
      <c r="I569" s="1" t="s">
        <v>4882</v>
      </c>
      <c r="J569" s="1" t="s">
        <v>4883</v>
      </c>
      <c r="K569" s="1" t="s">
        <v>74</v>
      </c>
      <c r="L569" s="1" t="s">
        <v>74</v>
      </c>
      <c r="M569" s="1" t="s">
        <v>74</v>
      </c>
      <c r="N569" s="1" t="s">
        <v>74</v>
      </c>
      <c r="O569" s="1" t="s">
        <v>4884</v>
      </c>
      <c r="P569" s="1" t="s">
        <v>4885</v>
      </c>
      <c r="Q569" s="1" t="s">
        <v>4886</v>
      </c>
      <c r="R569" s="1" t="s">
        <v>2626</v>
      </c>
      <c r="S569" s="1" t="s">
        <v>74</v>
      </c>
      <c r="T569" s="1" t="s">
        <v>74</v>
      </c>
      <c r="U569" s="1" t="s">
        <v>74</v>
      </c>
      <c r="V569" s="1" t="s">
        <v>74</v>
      </c>
      <c r="W569" s="1" t="s">
        <v>74</v>
      </c>
      <c r="X569" s="1" t="s">
        <v>74</v>
      </c>
      <c r="Y569" s="1" t="s">
        <v>74</v>
      </c>
      <c r="Z569" s="1" t="s">
        <v>74</v>
      </c>
      <c r="AA569" s="1" t="s">
        <v>4887</v>
      </c>
      <c r="AB569" s="1" t="s">
        <v>74</v>
      </c>
      <c r="AC569" s="1" t="s">
        <v>74</v>
      </c>
      <c r="AD569" s="1" t="s">
        <v>74</v>
      </c>
      <c r="AE569" s="1" t="s">
        <v>74</v>
      </c>
      <c r="AF569" s="1" t="s">
        <v>74</v>
      </c>
      <c r="AG569" s="1" t="s">
        <v>74</v>
      </c>
      <c r="AH569" s="1" t="s">
        <v>74</v>
      </c>
      <c r="AI569" s="1" t="s">
        <v>74</v>
      </c>
      <c r="AJ569" s="1" t="s">
        <v>74</v>
      </c>
      <c r="AK569" s="1" t="s">
        <v>74</v>
      </c>
      <c r="AL569" s="1" t="s">
        <v>74</v>
      </c>
      <c r="AM569" s="1" t="s">
        <v>74</v>
      </c>
      <c r="AN569" s="1" t="s">
        <v>74</v>
      </c>
      <c r="AO569" s="1" t="s">
        <v>4888</v>
      </c>
      <c r="AP569" s="1" t="s">
        <v>74</v>
      </c>
      <c r="AQ569" s="1" t="s">
        <v>74</v>
      </c>
      <c r="AR569" s="1" t="s">
        <v>74</v>
      </c>
      <c r="AS569" s="1" t="s">
        <v>74</v>
      </c>
      <c r="AT569" s="1" t="s">
        <v>4889</v>
      </c>
      <c r="AU569" s="1">
        <v>2003.0</v>
      </c>
      <c r="AV569" s="1">
        <v>42.0</v>
      </c>
      <c r="AW569" s="1">
        <v>28.0</v>
      </c>
      <c r="AX569" s="1" t="s">
        <v>74</v>
      </c>
      <c r="AY569" s="1" t="s">
        <v>74</v>
      </c>
      <c r="AZ569" s="1" t="s">
        <v>74</v>
      </c>
      <c r="BA569" s="1">
        <v>91.0</v>
      </c>
      <c r="BB569" s="1">
        <v>8614.0</v>
      </c>
      <c r="BC569" s="1">
        <v>8614.0</v>
      </c>
      <c r="BD569" s="1" t="s">
        <v>74</v>
      </c>
      <c r="BE569" s="1" t="s">
        <v>74</v>
      </c>
      <c r="BF569" s="1" t="s">
        <v>74</v>
      </c>
      <c r="BG569" s="1" t="s">
        <v>74</v>
      </c>
      <c r="BH569" s="1" t="s">
        <v>74</v>
      </c>
      <c r="BI569" s="1" t="s">
        <v>74</v>
      </c>
      <c r="BJ569" s="1" t="s">
        <v>74</v>
      </c>
      <c r="BK569" s="1" t="s">
        <v>74</v>
      </c>
      <c r="BL569" s="1" t="s">
        <v>74</v>
      </c>
      <c r="BM569" s="1" t="s">
        <v>74</v>
      </c>
      <c r="BN569" s="1" t="s">
        <v>74</v>
      </c>
      <c r="BO569" s="1" t="s">
        <v>74</v>
      </c>
      <c r="BP569" s="1" t="s">
        <v>74</v>
      </c>
      <c r="BQ569" s="1" t="s">
        <v>74</v>
      </c>
      <c r="BR569" s="1" t="s">
        <v>74</v>
      </c>
      <c r="BS569" s="1" t="s">
        <v>4890</v>
      </c>
      <c r="BT569" s="1" t="str">
        <f>HYPERLINK("https%3A%2F%2Fwww.webofscience.com%2Fwos%2Fwoscc%2Ffull-record%2FWOS:000184249000116","View Full Record in Web of Science")</f>
        <v>View Full Record in Web of Science</v>
      </c>
    </row>
    <row r="570" ht="12.75" customHeight="1">
      <c r="A570" s="1" t="s">
        <v>72</v>
      </c>
      <c r="B570" s="1" t="s">
        <v>4891</v>
      </c>
      <c r="C570" s="1" t="s">
        <v>74</v>
      </c>
      <c r="D570" s="1" t="s">
        <v>74</v>
      </c>
      <c r="E570" s="1" t="s">
        <v>74</v>
      </c>
      <c r="F570" s="1" t="s">
        <v>4891</v>
      </c>
      <c r="G570" s="1" t="s">
        <v>74</v>
      </c>
      <c r="H570" s="1" t="s">
        <v>74</v>
      </c>
      <c r="I570" s="1" t="s">
        <v>4892</v>
      </c>
      <c r="J570" s="1" t="s">
        <v>1766</v>
      </c>
      <c r="K570" s="1" t="s">
        <v>74</v>
      </c>
      <c r="L570" s="1" t="s">
        <v>74</v>
      </c>
      <c r="M570" s="1" t="s">
        <v>74</v>
      </c>
      <c r="N570" s="1" t="s">
        <v>74</v>
      </c>
      <c r="O570" s="1" t="s">
        <v>74</v>
      </c>
      <c r="P570" s="1" t="s">
        <v>74</v>
      </c>
      <c r="Q570" s="1" t="s">
        <v>74</v>
      </c>
      <c r="R570" s="1" t="s">
        <v>74</v>
      </c>
      <c r="S570" s="1" t="s">
        <v>74</v>
      </c>
      <c r="T570" s="1" t="s">
        <v>74</v>
      </c>
      <c r="U570" s="1" t="s">
        <v>74</v>
      </c>
      <c r="V570" s="1" t="s">
        <v>4893</v>
      </c>
      <c r="W570" s="1" t="s">
        <v>74</v>
      </c>
      <c r="X570" s="1" t="s">
        <v>74</v>
      </c>
      <c r="Y570" s="1" t="s">
        <v>74</v>
      </c>
      <c r="Z570" s="1" t="s">
        <v>74</v>
      </c>
      <c r="AA570" s="1" t="s">
        <v>74</v>
      </c>
      <c r="AB570" s="1" t="s">
        <v>74</v>
      </c>
      <c r="AC570" s="1" t="s">
        <v>74</v>
      </c>
      <c r="AD570" s="1" t="s">
        <v>74</v>
      </c>
      <c r="AE570" s="1" t="s">
        <v>74</v>
      </c>
      <c r="AF570" s="1" t="s">
        <v>74</v>
      </c>
      <c r="AG570" s="1" t="s">
        <v>74</v>
      </c>
      <c r="AH570" s="1" t="s">
        <v>74</v>
      </c>
      <c r="AI570" s="1" t="s">
        <v>74</v>
      </c>
      <c r="AJ570" s="1" t="s">
        <v>74</v>
      </c>
      <c r="AK570" s="1" t="s">
        <v>74</v>
      </c>
      <c r="AL570" s="1" t="s">
        <v>74</v>
      </c>
      <c r="AM570" s="1" t="s">
        <v>74</v>
      </c>
      <c r="AN570" s="1" t="s">
        <v>74</v>
      </c>
      <c r="AO570" s="1" t="s">
        <v>1769</v>
      </c>
      <c r="AP570" s="1" t="s">
        <v>1770</v>
      </c>
      <c r="AQ570" s="1" t="s">
        <v>74</v>
      </c>
      <c r="AR570" s="1" t="s">
        <v>74</v>
      </c>
      <c r="AS570" s="1" t="s">
        <v>74</v>
      </c>
      <c r="AT570" s="1" t="s">
        <v>299</v>
      </c>
      <c r="AU570" s="1">
        <v>2003.0</v>
      </c>
      <c r="AV570" s="1">
        <v>56.0</v>
      </c>
      <c r="AW570" s="1">
        <v>1.0</v>
      </c>
      <c r="AX570" s="1" t="s">
        <v>74</v>
      </c>
      <c r="AY570" s="1" t="s">
        <v>74</v>
      </c>
      <c r="AZ570" s="1" t="s">
        <v>74</v>
      </c>
      <c r="BA570" s="1" t="s">
        <v>74</v>
      </c>
      <c r="BB570" s="1">
        <v>17.0</v>
      </c>
      <c r="BC570" s="1">
        <v>26.0</v>
      </c>
      <c r="BD570" s="1" t="s">
        <v>4894</v>
      </c>
      <c r="BE570" s="1" t="s">
        <v>4895</v>
      </c>
      <c r="BF570" s="2" t="str">
        <f>HYPERLINK("http://dx.doi.org/10.1016/S0260-8774(02)00135-8","http://dx.doi.org/10.1016/S0260-8774(02)00135-8")</f>
        <v>http://dx.doi.org/10.1016/S0260-8774(02)00135-8</v>
      </c>
      <c r="BG570" s="1" t="s">
        <v>74</v>
      </c>
      <c r="BH570" s="1" t="s">
        <v>74</v>
      </c>
      <c r="BI570" s="1" t="s">
        <v>74</v>
      </c>
      <c r="BJ570" s="1" t="s">
        <v>74</v>
      </c>
      <c r="BK570" s="1" t="s">
        <v>74</v>
      </c>
      <c r="BL570" s="1" t="s">
        <v>74</v>
      </c>
      <c r="BM570" s="1" t="s">
        <v>74</v>
      </c>
      <c r="BN570" s="1" t="s">
        <v>74</v>
      </c>
      <c r="BO570" s="1" t="s">
        <v>74</v>
      </c>
      <c r="BP570" s="1" t="s">
        <v>74</v>
      </c>
      <c r="BQ570" s="1" t="s">
        <v>74</v>
      </c>
      <c r="BR570" s="1" t="s">
        <v>74</v>
      </c>
      <c r="BS570" s="1" t="s">
        <v>4896</v>
      </c>
      <c r="BT570" s="1" t="str">
        <f>HYPERLINK("https%3A%2F%2Fwww.webofscience.com%2Fwos%2Fwoscc%2Ffull-record%2FWOS:000179270600002","View Full Record in Web of Science")</f>
        <v>View Full Record in Web of Science</v>
      </c>
    </row>
    <row r="571" ht="12.75" customHeight="1">
      <c r="A571" s="1" t="s">
        <v>72</v>
      </c>
      <c r="B571" s="1" t="s">
        <v>4897</v>
      </c>
      <c r="C571" s="1" t="s">
        <v>74</v>
      </c>
      <c r="D571" s="1" t="s">
        <v>74</v>
      </c>
      <c r="E571" s="1" t="s">
        <v>74</v>
      </c>
      <c r="F571" s="1" t="s">
        <v>4897</v>
      </c>
      <c r="G571" s="1" t="s">
        <v>74</v>
      </c>
      <c r="H571" s="1" t="s">
        <v>74</v>
      </c>
      <c r="I571" s="1" t="s">
        <v>4898</v>
      </c>
      <c r="J571" s="1" t="s">
        <v>1679</v>
      </c>
      <c r="K571" s="1" t="s">
        <v>74</v>
      </c>
      <c r="L571" s="1" t="s">
        <v>74</v>
      </c>
      <c r="M571" s="1" t="s">
        <v>74</v>
      </c>
      <c r="N571" s="1" t="s">
        <v>74</v>
      </c>
      <c r="O571" s="1" t="s">
        <v>74</v>
      </c>
      <c r="P571" s="1" t="s">
        <v>74</v>
      </c>
      <c r="Q571" s="1" t="s">
        <v>74</v>
      </c>
      <c r="R571" s="1" t="s">
        <v>74</v>
      </c>
      <c r="S571" s="1" t="s">
        <v>74</v>
      </c>
      <c r="T571" s="1" t="s">
        <v>74</v>
      </c>
      <c r="U571" s="1" t="s">
        <v>74</v>
      </c>
      <c r="V571" s="1" t="s">
        <v>4899</v>
      </c>
      <c r="W571" s="1" t="s">
        <v>74</v>
      </c>
      <c r="X571" s="1" t="s">
        <v>74</v>
      </c>
      <c r="Y571" s="1" t="s">
        <v>74</v>
      </c>
      <c r="Z571" s="1" t="s">
        <v>74</v>
      </c>
      <c r="AA571" s="1" t="s">
        <v>1208</v>
      </c>
      <c r="AB571" s="1" t="s">
        <v>4900</v>
      </c>
      <c r="AC571" s="1" t="s">
        <v>74</v>
      </c>
      <c r="AD571" s="1" t="s">
        <v>74</v>
      </c>
      <c r="AE571" s="1" t="s">
        <v>74</v>
      </c>
      <c r="AF571" s="1" t="s">
        <v>74</v>
      </c>
      <c r="AG571" s="1" t="s">
        <v>74</v>
      </c>
      <c r="AH571" s="1" t="s">
        <v>74</v>
      </c>
      <c r="AI571" s="1" t="s">
        <v>74</v>
      </c>
      <c r="AJ571" s="1" t="s">
        <v>74</v>
      </c>
      <c r="AK571" s="1" t="s">
        <v>74</v>
      </c>
      <c r="AL571" s="1" t="s">
        <v>74</v>
      </c>
      <c r="AM571" s="1" t="s">
        <v>74</v>
      </c>
      <c r="AN571" s="1" t="s">
        <v>74</v>
      </c>
      <c r="AO571" s="1" t="s">
        <v>1683</v>
      </c>
      <c r="AP571" s="1" t="s">
        <v>74</v>
      </c>
      <c r="AQ571" s="1" t="s">
        <v>74</v>
      </c>
      <c r="AR571" s="1" t="s">
        <v>74</v>
      </c>
      <c r="AS571" s="1" t="s">
        <v>74</v>
      </c>
      <c r="AT571" s="1" t="s">
        <v>288</v>
      </c>
      <c r="AU571" s="1">
        <v>2002.0</v>
      </c>
      <c r="AV571" s="1">
        <v>4.0</v>
      </c>
      <c r="AW571" s="1">
        <v>2.0</v>
      </c>
      <c r="AX571" s="1" t="s">
        <v>74</v>
      </c>
      <c r="AY571" s="1" t="s">
        <v>74</v>
      </c>
      <c r="AZ571" s="1" t="s">
        <v>74</v>
      </c>
      <c r="BA571" s="1" t="s">
        <v>74</v>
      </c>
      <c r="BB571" s="1">
        <v>182.0</v>
      </c>
      <c r="BC571" s="1">
        <v>187.0</v>
      </c>
      <c r="BD571" s="1" t="s">
        <v>4901</v>
      </c>
      <c r="BE571" s="1" t="s">
        <v>4902</v>
      </c>
      <c r="BF571" s="2" t="str">
        <f>HYPERLINK("http://dx.doi.org/10.1016/S1388-2481(01)00300-9","http://dx.doi.org/10.1016/S1388-2481(01)00300-9")</f>
        <v>http://dx.doi.org/10.1016/S1388-2481(01)00300-9</v>
      </c>
      <c r="BG571" s="1" t="s">
        <v>74</v>
      </c>
      <c r="BH571" s="1" t="s">
        <v>74</v>
      </c>
      <c r="BI571" s="1" t="s">
        <v>74</v>
      </c>
      <c r="BJ571" s="1" t="s">
        <v>74</v>
      </c>
      <c r="BK571" s="1" t="s">
        <v>74</v>
      </c>
      <c r="BL571" s="1" t="s">
        <v>74</v>
      </c>
      <c r="BM571" s="1" t="s">
        <v>74</v>
      </c>
      <c r="BN571" s="1" t="s">
        <v>74</v>
      </c>
      <c r="BO571" s="1" t="s">
        <v>74</v>
      </c>
      <c r="BP571" s="1" t="s">
        <v>74</v>
      </c>
      <c r="BQ571" s="1" t="s">
        <v>74</v>
      </c>
      <c r="BR571" s="1" t="s">
        <v>74</v>
      </c>
      <c r="BS571" s="1" t="s">
        <v>4903</v>
      </c>
      <c r="BT571" s="1" t="str">
        <f>HYPERLINK("https%3A%2F%2Fwww.webofscience.com%2Fwos%2Fwoscc%2Ffull-record%2FWOS:000176729200019","View Full Record in Web of Science")</f>
        <v>View Full Record in Web of Science</v>
      </c>
    </row>
    <row r="572" ht="12.75" customHeight="1">
      <c r="A572" s="1" t="s">
        <v>72</v>
      </c>
      <c r="B572" s="1" t="s">
        <v>4904</v>
      </c>
      <c r="C572" s="1" t="s">
        <v>74</v>
      </c>
      <c r="D572" s="1" t="s">
        <v>74</v>
      </c>
      <c r="E572" s="1" t="s">
        <v>74</v>
      </c>
      <c r="F572" s="1" t="s">
        <v>4904</v>
      </c>
      <c r="G572" s="1" t="s">
        <v>74</v>
      </c>
      <c r="H572" s="1" t="s">
        <v>74</v>
      </c>
      <c r="I572" s="1" t="s">
        <v>4905</v>
      </c>
      <c r="J572" s="1" t="s">
        <v>3431</v>
      </c>
      <c r="K572" s="1" t="s">
        <v>74</v>
      </c>
      <c r="L572" s="1" t="s">
        <v>74</v>
      </c>
      <c r="M572" s="1" t="s">
        <v>74</v>
      </c>
      <c r="N572" s="1" t="s">
        <v>74</v>
      </c>
      <c r="O572" s="1" t="s">
        <v>4906</v>
      </c>
      <c r="P572" s="1" t="s">
        <v>4907</v>
      </c>
      <c r="Q572" s="1" t="s">
        <v>4908</v>
      </c>
      <c r="R572" s="1" t="s">
        <v>4909</v>
      </c>
      <c r="S572" s="1" t="s">
        <v>74</v>
      </c>
      <c r="T572" s="1" t="s">
        <v>74</v>
      </c>
      <c r="U572" s="1" t="s">
        <v>74</v>
      </c>
      <c r="V572" s="1" t="s">
        <v>4910</v>
      </c>
      <c r="W572" s="1" t="s">
        <v>74</v>
      </c>
      <c r="X572" s="1" t="s">
        <v>74</v>
      </c>
      <c r="Y572" s="1" t="s">
        <v>74</v>
      </c>
      <c r="Z572" s="1" t="s">
        <v>74</v>
      </c>
      <c r="AA572" s="1" t="s">
        <v>4911</v>
      </c>
      <c r="AB572" s="1" t="s">
        <v>4912</v>
      </c>
      <c r="AC572" s="1" t="s">
        <v>74</v>
      </c>
      <c r="AD572" s="1" t="s">
        <v>74</v>
      </c>
      <c r="AE572" s="1" t="s">
        <v>74</v>
      </c>
      <c r="AF572" s="1" t="s">
        <v>74</v>
      </c>
      <c r="AG572" s="1" t="s">
        <v>74</v>
      </c>
      <c r="AH572" s="1" t="s">
        <v>74</v>
      </c>
      <c r="AI572" s="1" t="s">
        <v>74</v>
      </c>
      <c r="AJ572" s="1" t="s">
        <v>74</v>
      </c>
      <c r="AK572" s="1" t="s">
        <v>74</v>
      </c>
      <c r="AL572" s="1" t="s">
        <v>74</v>
      </c>
      <c r="AM572" s="1" t="s">
        <v>74</v>
      </c>
      <c r="AN572" s="1" t="s">
        <v>74</v>
      </c>
      <c r="AO572" s="1" t="s">
        <v>3434</v>
      </c>
      <c r="AP572" s="1" t="s">
        <v>74</v>
      </c>
      <c r="AQ572" s="1" t="s">
        <v>74</v>
      </c>
      <c r="AR572" s="1" t="s">
        <v>74</v>
      </c>
      <c r="AS572" s="1" t="s">
        <v>74</v>
      </c>
      <c r="AT572" s="1" t="s">
        <v>370</v>
      </c>
      <c r="AU572" s="1">
        <v>2001.0</v>
      </c>
      <c r="AV572" s="1">
        <v>46.0</v>
      </c>
      <c r="AW572" s="1">
        <v>6.0</v>
      </c>
      <c r="AX572" s="1" t="s">
        <v>74</v>
      </c>
      <c r="AY572" s="1" t="s">
        <v>74</v>
      </c>
      <c r="AZ572" s="1" t="s">
        <v>74</v>
      </c>
      <c r="BA572" s="1" t="s">
        <v>74</v>
      </c>
      <c r="BB572" s="1">
        <v>427.0</v>
      </c>
      <c r="BC572" s="1">
        <v>434.0</v>
      </c>
      <c r="BD572" s="1" t="s">
        <v>74</v>
      </c>
      <c r="BE572" s="1" t="s">
        <v>4913</v>
      </c>
      <c r="BF572" s="2" t="str">
        <f>HYPERLINK("http://dx.doi.org/10.1007/s002890170028","http://dx.doi.org/10.1007/s002890170028")</f>
        <v>http://dx.doi.org/10.1007/s002890170028</v>
      </c>
      <c r="BG572" s="1" t="s">
        <v>74</v>
      </c>
      <c r="BH572" s="1" t="s">
        <v>74</v>
      </c>
      <c r="BI572" s="1" t="s">
        <v>74</v>
      </c>
      <c r="BJ572" s="1" t="s">
        <v>74</v>
      </c>
      <c r="BK572" s="1" t="s">
        <v>74</v>
      </c>
      <c r="BL572" s="1" t="s">
        <v>74</v>
      </c>
      <c r="BM572" s="1" t="s">
        <v>74</v>
      </c>
      <c r="BN572" s="1" t="s">
        <v>74</v>
      </c>
      <c r="BO572" s="1" t="s">
        <v>74</v>
      </c>
      <c r="BP572" s="1" t="s">
        <v>74</v>
      </c>
      <c r="BQ572" s="1" t="s">
        <v>74</v>
      </c>
      <c r="BR572" s="1" t="s">
        <v>74</v>
      </c>
      <c r="BS572" s="1" t="s">
        <v>4914</v>
      </c>
      <c r="BT572" s="1" t="str">
        <f>HYPERLINK("https%3A%2F%2Fwww.webofscience.com%2Fwos%2Fwoscc%2Ffull-record%2FWOS:000170434900001","View Full Record in Web of Science")</f>
        <v>View Full Record in Web of Science</v>
      </c>
    </row>
    <row r="573" ht="12.75" customHeight="1">
      <c r="A573" s="1" t="s">
        <v>162</v>
      </c>
      <c r="B573" s="1" t="s">
        <v>1073</v>
      </c>
      <c r="C573" s="1" t="s">
        <v>74</v>
      </c>
      <c r="D573" s="1" t="s">
        <v>4915</v>
      </c>
      <c r="E573" s="1" t="s">
        <v>74</v>
      </c>
      <c r="F573" s="1" t="s">
        <v>1073</v>
      </c>
      <c r="G573" s="1" t="s">
        <v>74</v>
      </c>
      <c r="H573" s="1" t="s">
        <v>74</v>
      </c>
      <c r="I573" s="1" t="s">
        <v>4916</v>
      </c>
      <c r="J573" s="1" t="s">
        <v>4917</v>
      </c>
      <c r="K573" s="1" t="s">
        <v>4918</v>
      </c>
      <c r="L573" s="1" t="s">
        <v>74</v>
      </c>
      <c r="M573" s="1" t="s">
        <v>74</v>
      </c>
      <c r="N573" s="1" t="s">
        <v>74</v>
      </c>
      <c r="O573" s="1" t="s">
        <v>4919</v>
      </c>
      <c r="P573" s="1" t="s">
        <v>4920</v>
      </c>
      <c r="Q573" s="1" t="s">
        <v>4921</v>
      </c>
      <c r="R573" s="1" t="s">
        <v>4922</v>
      </c>
      <c r="S573" s="1" t="s">
        <v>74</v>
      </c>
      <c r="T573" s="1" t="s">
        <v>74</v>
      </c>
      <c r="U573" s="1" t="s">
        <v>74</v>
      </c>
      <c r="V573" s="1" t="s">
        <v>4923</v>
      </c>
      <c r="W573" s="1" t="s">
        <v>74</v>
      </c>
      <c r="X573" s="1" t="s">
        <v>74</v>
      </c>
      <c r="Y573" s="1" t="s">
        <v>74</v>
      </c>
      <c r="Z573" s="1" t="s">
        <v>74</v>
      </c>
      <c r="AA573" s="1" t="s">
        <v>74</v>
      </c>
      <c r="AB573" s="1" t="s">
        <v>74</v>
      </c>
      <c r="AC573" s="1" t="s">
        <v>74</v>
      </c>
      <c r="AD573" s="1" t="s">
        <v>74</v>
      </c>
      <c r="AE573" s="1" t="s">
        <v>74</v>
      </c>
      <c r="AF573" s="1" t="s">
        <v>74</v>
      </c>
      <c r="AG573" s="1" t="s">
        <v>74</v>
      </c>
      <c r="AH573" s="1" t="s">
        <v>74</v>
      </c>
      <c r="AI573" s="1" t="s">
        <v>74</v>
      </c>
      <c r="AJ573" s="1" t="s">
        <v>74</v>
      </c>
      <c r="AK573" s="1" t="s">
        <v>74</v>
      </c>
      <c r="AL573" s="1" t="s">
        <v>74</v>
      </c>
      <c r="AM573" s="1" t="s">
        <v>74</v>
      </c>
      <c r="AN573" s="1" t="s">
        <v>74</v>
      </c>
      <c r="AO573" s="1" t="s">
        <v>4924</v>
      </c>
      <c r="AP573" s="1" t="s">
        <v>74</v>
      </c>
      <c r="AQ573" s="1" t="s">
        <v>4925</v>
      </c>
      <c r="AR573" s="1" t="s">
        <v>74</v>
      </c>
      <c r="AS573" s="1" t="s">
        <v>74</v>
      </c>
      <c r="AT573" s="1" t="s">
        <v>74</v>
      </c>
      <c r="AU573" s="1">
        <v>2001.0</v>
      </c>
      <c r="AV573" s="1" t="s">
        <v>4926</v>
      </c>
      <c r="AW573" s="1" t="s">
        <v>74</v>
      </c>
      <c r="AX573" s="1" t="s">
        <v>74</v>
      </c>
      <c r="AY573" s="1" t="s">
        <v>74</v>
      </c>
      <c r="AZ573" s="1" t="s">
        <v>74</v>
      </c>
      <c r="BA573" s="1" t="s">
        <v>74</v>
      </c>
      <c r="BB573" s="1">
        <v>302.0</v>
      </c>
      <c r="BC573" s="1">
        <v>308.0</v>
      </c>
      <c r="BD573" s="1" t="s">
        <v>74</v>
      </c>
      <c r="BE573" s="1" t="s">
        <v>4927</v>
      </c>
      <c r="BF573" s="2" t="str">
        <f>HYPERLINK("http://dx.doi.org/10.4028/www.scientific.net/KEM.189-191.302","http://dx.doi.org/10.4028/www.scientific.net/KEM.189-191.302")</f>
        <v>http://dx.doi.org/10.4028/www.scientific.net/KEM.189-191.302</v>
      </c>
      <c r="BG573" s="1" t="s">
        <v>74</v>
      </c>
      <c r="BH573" s="1" t="s">
        <v>74</v>
      </c>
      <c r="BI573" s="1" t="s">
        <v>74</v>
      </c>
      <c r="BJ573" s="1" t="s">
        <v>74</v>
      </c>
      <c r="BK573" s="1" t="s">
        <v>74</v>
      </c>
      <c r="BL573" s="1" t="s">
        <v>74</v>
      </c>
      <c r="BM573" s="1" t="s">
        <v>74</v>
      </c>
      <c r="BN573" s="1" t="s">
        <v>74</v>
      </c>
      <c r="BO573" s="1" t="s">
        <v>74</v>
      </c>
      <c r="BP573" s="1" t="s">
        <v>74</v>
      </c>
      <c r="BQ573" s="1" t="s">
        <v>74</v>
      </c>
      <c r="BR573" s="1" t="s">
        <v>74</v>
      </c>
      <c r="BS573" s="1" t="s">
        <v>4928</v>
      </c>
      <c r="BT573" s="1" t="str">
        <f>HYPERLINK("https%3A%2F%2Fwww.webofscience.com%2Fwos%2Fwoscc%2Ffull-record%2FWOS:000168303300048","View Full Record in Web of Science")</f>
        <v>View Full Record in Web of Science</v>
      </c>
    </row>
    <row r="574" ht="12.75" customHeight="1">
      <c r="A574" s="1" t="s">
        <v>72</v>
      </c>
      <c r="B574" s="1" t="s">
        <v>4929</v>
      </c>
      <c r="C574" s="1" t="s">
        <v>74</v>
      </c>
      <c r="D574" s="1" t="s">
        <v>74</v>
      </c>
      <c r="E574" s="1" t="s">
        <v>74</v>
      </c>
      <c r="F574" s="1" t="s">
        <v>4929</v>
      </c>
      <c r="G574" s="1" t="s">
        <v>74</v>
      </c>
      <c r="H574" s="1" t="s">
        <v>74</v>
      </c>
      <c r="I574" s="1" t="s">
        <v>4930</v>
      </c>
      <c r="J574" s="1" t="s">
        <v>4931</v>
      </c>
      <c r="K574" s="1" t="s">
        <v>74</v>
      </c>
      <c r="L574" s="1" t="s">
        <v>74</v>
      </c>
      <c r="M574" s="1" t="s">
        <v>74</v>
      </c>
      <c r="N574" s="1" t="s">
        <v>74</v>
      </c>
      <c r="O574" s="1" t="s">
        <v>74</v>
      </c>
      <c r="P574" s="1" t="s">
        <v>74</v>
      </c>
      <c r="Q574" s="1" t="s">
        <v>74</v>
      </c>
      <c r="R574" s="1" t="s">
        <v>74</v>
      </c>
      <c r="S574" s="1" t="s">
        <v>74</v>
      </c>
      <c r="T574" s="1" t="s">
        <v>74</v>
      </c>
      <c r="U574" s="1" t="s">
        <v>74</v>
      </c>
      <c r="V574" s="1" t="s">
        <v>4932</v>
      </c>
      <c r="W574" s="1" t="s">
        <v>74</v>
      </c>
      <c r="X574" s="1" t="s">
        <v>74</v>
      </c>
      <c r="Y574" s="1" t="s">
        <v>74</v>
      </c>
      <c r="Z574" s="1" t="s">
        <v>74</v>
      </c>
      <c r="AA574" s="1" t="s">
        <v>4933</v>
      </c>
      <c r="AB574" s="1" t="s">
        <v>74</v>
      </c>
      <c r="AC574" s="1" t="s">
        <v>74</v>
      </c>
      <c r="AD574" s="1" t="s">
        <v>74</v>
      </c>
      <c r="AE574" s="1" t="s">
        <v>74</v>
      </c>
      <c r="AF574" s="1" t="s">
        <v>74</v>
      </c>
      <c r="AG574" s="1" t="s">
        <v>74</v>
      </c>
      <c r="AH574" s="1" t="s">
        <v>74</v>
      </c>
      <c r="AI574" s="1" t="s">
        <v>74</v>
      </c>
      <c r="AJ574" s="1" t="s">
        <v>74</v>
      </c>
      <c r="AK574" s="1" t="s">
        <v>74</v>
      </c>
      <c r="AL574" s="1" t="s">
        <v>74</v>
      </c>
      <c r="AM574" s="1" t="s">
        <v>74</v>
      </c>
      <c r="AN574" s="1" t="s">
        <v>74</v>
      </c>
      <c r="AO574" s="1" t="s">
        <v>4934</v>
      </c>
      <c r="AP574" s="1" t="s">
        <v>74</v>
      </c>
      <c r="AQ574" s="1" t="s">
        <v>74</v>
      </c>
      <c r="AR574" s="1" t="s">
        <v>74</v>
      </c>
      <c r="AS574" s="1" t="s">
        <v>74</v>
      </c>
      <c r="AT574" s="1" t="s">
        <v>276</v>
      </c>
      <c r="AU574" s="1">
        <v>2000.0</v>
      </c>
      <c r="AV574" s="1">
        <v>87.0</v>
      </c>
      <c r="AW574" s="1">
        <v>3.0</v>
      </c>
      <c r="AX574" s="1" t="s">
        <v>74</v>
      </c>
      <c r="AY574" s="1" t="s">
        <v>74</v>
      </c>
      <c r="AZ574" s="1" t="s">
        <v>74</v>
      </c>
      <c r="BA574" s="1" t="s">
        <v>74</v>
      </c>
      <c r="BB574" s="1">
        <v>116.0</v>
      </c>
      <c r="BC574" s="1">
        <v>119.0</v>
      </c>
      <c r="BD574" s="1" t="s">
        <v>74</v>
      </c>
      <c r="BE574" s="1" t="s">
        <v>4935</v>
      </c>
      <c r="BF574" s="2" t="str">
        <f>HYPERLINK("http://dx.doi.org/10.1111/j.0901-9928.2000.870303.x","http://dx.doi.org/10.1111/j.0901-9928.2000.870303.x")</f>
        <v>http://dx.doi.org/10.1111/j.0901-9928.2000.870303.x</v>
      </c>
      <c r="BG574" s="1" t="s">
        <v>74</v>
      </c>
      <c r="BH574" s="1" t="s">
        <v>74</v>
      </c>
      <c r="BI574" s="1" t="s">
        <v>74</v>
      </c>
      <c r="BJ574" s="1" t="s">
        <v>74</v>
      </c>
      <c r="BK574" s="1" t="s">
        <v>74</v>
      </c>
      <c r="BL574" s="1" t="s">
        <v>74</v>
      </c>
      <c r="BM574" s="1" t="s">
        <v>74</v>
      </c>
      <c r="BN574" s="1">
        <v>1.1068851E7</v>
      </c>
      <c r="BO574" s="1" t="s">
        <v>74</v>
      </c>
      <c r="BP574" s="1" t="s">
        <v>74</v>
      </c>
      <c r="BQ574" s="1" t="s">
        <v>74</v>
      </c>
      <c r="BR574" s="1" t="s">
        <v>74</v>
      </c>
      <c r="BS574" s="1" t="s">
        <v>4936</v>
      </c>
      <c r="BT574" s="1" t="str">
        <f>HYPERLINK("https%3A%2F%2Fwww.webofscience.com%2Fwos%2Fwoscc%2Ffull-record%2FWOS:000089615100003","View Full Record in Web of Science")</f>
        <v>View Full Record in Web of Science</v>
      </c>
    </row>
    <row r="575" ht="12.75" customHeight="1">
      <c r="A575" s="1" t="s">
        <v>72</v>
      </c>
      <c r="B575" s="1" t="s">
        <v>4937</v>
      </c>
      <c r="C575" s="1" t="s">
        <v>74</v>
      </c>
      <c r="D575" s="1" t="s">
        <v>74</v>
      </c>
      <c r="E575" s="1" t="s">
        <v>74</v>
      </c>
      <c r="F575" s="1" t="s">
        <v>4937</v>
      </c>
      <c r="G575" s="1" t="s">
        <v>74</v>
      </c>
      <c r="H575" s="1" t="s">
        <v>74</v>
      </c>
      <c r="I575" s="1" t="s">
        <v>4938</v>
      </c>
      <c r="J575" s="1" t="s">
        <v>145</v>
      </c>
      <c r="K575" s="1" t="s">
        <v>74</v>
      </c>
      <c r="L575" s="1" t="s">
        <v>74</v>
      </c>
      <c r="M575" s="1" t="s">
        <v>74</v>
      </c>
      <c r="N575" s="1" t="s">
        <v>74</v>
      </c>
      <c r="O575" s="1" t="s">
        <v>74</v>
      </c>
      <c r="P575" s="1" t="s">
        <v>74</v>
      </c>
      <c r="Q575" s="1" t="s">
        <v>74</v>
      </c>
      <c r="R575" s="1" t="s">
        <v>74</v>
      </c>
      <c r="S575" s="1" t="s">
        <v>74</v>
      </c>
      <c r="T575" s="1" t="s">
        <v>74</v>
      </c>
      <c r="U575" s="1" t="s">
        <v>74</v>
      </c>
      <c r="V575" s="1" t="s">
        <v>4939</v>
      </c>
      <c r="W575" s="1" t="s">
        <v>74</v>
      </c>
      <c r="X575" s="1" t="s">
        <v>74</v>
      </c>
      <c r="Y575" s="1" t="s">
        <v>74</v>
      </c>
      <c r="Z575" s="1" t="s">
        <v>74</v>
      </c>
      <c r="AA575" s="1" t="s">
        <v>4940</v>
      </c>
      <c r="AB575" s="1" t="s">
        <v>1112</v>
      </c>
      <c r="AC575" s="1" t="s">
        <v>74</v>
      </c>
      <c r="AD575" s="1" t="s">
        <v>74</v>
      </c>
      <c r="AE575" s="1" t="s">
        <v>74</v>
      </c>
      <c r="AF575" s="1" t="s">
        <v>74</v>
      </c>
      <c r="AG575" s="1" t="s">
        <v>74</v>
      </c>
      <c r="AH575" s="1" t="s">
        <v>74</v>
      </c>
      <c r="AI575" s="1" t="s">
        <v>74</v>
      </c>
      <c r="AJ575" s="1" t="s">
        <v>74</v>
      </c>
      <c r="AK575" s="1" t="s">
        <v>74</v>
      </c>
      <c r="AL575" s="1" t="s">
        <v>74</v>
      </c>
      <c r="AM575" s="1" t="s">
        <v>74</v>
      </c>
      <c r="AN575" s="1" t="s">
        <v>74</v>
      </c>
      <c r="AO575" s="1" t="s">
        <v>147</v>
      </c>
      <c r="AP575" s="1" t="s">
        <v>74</v>
      </c>
      <c r="AQ575" s="1" t="s">
        <v>74</v>
      </c>
      <c r="AR575" s="1" t="s">
        <v>74</v>
      </c>
      <c r="AS575" s="1" t="s">
        <v>74</v>
      </c>
      <c r="AT575" s="1" t="s">
        <v>74</v>
      </c>
      <c r="AU575" s="1">
        <v>2000.0</v>
      </c>
      <c r="AV575" s="1">
        <v>34.0</v>
      </c>
      <c r="AW575" s="1">
        <v>8.0</v>
      </c>
      <c r="AX575" s="1" t="s">
        <v>74</v>
      </c>
      <c r="AY575" s="1" t="s">
        <v>74</v>
      </c>
      <c r="AZ575" s="1" t="s">
        <v>74</v>
      </c>
      <c r="BA575" s="1" t="s">
        <v>74</v>
      </c>
      <c r="BB575" s="1">
        <v>1189.0</v>
      </c>
      <c r="BC575" s="1">
        <v>1196.0</v>
      </c>
      <c r="BD575" s="1" t="s">
        <v>74</v>
      </c>
      <c r="BE575" s="1" t="s">
        <v>4941</v>
      </c>
      <c r="BF575" s="2" t="str">
        <f>HYPERLINK("http://dx.doi.org/10.1016/S1352-2310(99)00316-7","http://dx.doi.org/10.1016/S1352-2310(99)00316-7")</f>
        <v>http://dx.doi.org/10.1016/S1352-2310(99)00316-7</v>
      </c>
      <c r="BG575" s="1" t="s">
        <v>74</v>
      </c>
      <c r="BH575" s="1" t="s">
        <v>74</v>
      </c>
      <c r="BI575" s="1" t="s">
        <v>74</v>
      </c>
      <c r="BJ575" s="1" t="s">
        <v>74</v>
      </c>
      <c r="BK575" s="1" t="s">
        <v>74</v>
      </c>
      <c r="BL575" s="1" t="s">
        <v>74</v>
      </c>
      <c r="BM575" s="1" t="s">
        <v>74</v>
      </c>
      <c r="BN575" s="1" t="s">
        <v>74</v>
      </c>
      <c r="BO575" s="1" t="s">
        <v>74</v>
      </c>
      <c r="BP575" s="1" t="s">
        <v>74</v>
      </c>
      <c r="BQ575" s="1" t="s">
        <v>74</v>
      </c>
      <c r="BR575" s="1" t="s">
        <v>74</v>
      </c>
      <c r="BS575" s="1" t="s">
        <v>4942</v>
      </c>
      <c r="BT575" s="1" t="str">
        <f>HYPERLINK("https%3A%2F%2Fwww.webofscience.com%2Fwos%2Fwoscc%2Ffull-record%2FWOS:000085908400004","View Full Record in Web of Science")</f>
        <v>View Full Record in Web of Science</v>
      </c>
    </row>
    <row r="576" ht="12.75" customHeight="1">
      <c r="A576" s="1" t="s">
        <v>72</v>
      </c>
      <c r="B576" s="1" t="s">
        <v>4943</v>
      </c>
      <c r="C576" s="1" t="s">
        <v>74</v>
      </c>
      <c r="D576" s="1" t="s">
        <v>74</v>
      </c>
      <c r="E576" s="1" t="s">
        <v>74</v>
      </c>
      <c r="F576" s="1" t="s">
        <v>4943</v>
      </c>
      <c r="G576" s="1" t="s">
        <v>74</v>
      </c>
      <c r="H576" s="1" t="s">
        <v>74</v>
      </c>
      <c r="I576" s="1" t="s">
        <v>4944</v>
      </c>
      <c r="J576" s="1" t="s">
        <v>900</v>
      </c>
      <c r="K576" s="1" t="s">
        <v>74</v>
      </c>
      <c r="L576" s="1" t="s">
        <v>74</v>
      </c>
      <c r="M576" s="1" t="s">
        <v>74</v>
      </c>
      <c r="N576" s="1" t="s">
        <v>74</v>
      </c>
      <c r="O576" s="1" t="s">
        <v>74</v>
      </c>
      <c r="P576" s="1" t="s">
        <v>74</v>
      </c>
      <c r="Q576" s="1" t="s">
        <v>74</v>
      </c>
      <c r="R576" s="1" t="s">
        <v>74</v>
      </c>
      <c r="S576" s="1" t="s">
        <v>74</v>
      </c>
      <c r="T576" s="1" t="s">
        <v>74</v>
      </c>
      <c r="U576" s="1" t="s">
        <v>74</v>
      </c>
      <c r="V576" s="1" t="s">
        <v>74</v>
      </c>
      <c r="W576" s="1" t="s">
        <v>74</v>
      </c>
      <c r="X576" s="1" t="s">
        <v>74</v>
      </c>
      <c r="Y576" s="1" t="s">
        <v>74</v>
      </c>
      <c r="Z576" s="1" t="s">
        <v>74</v>
      </c>
      <c r="AA576" s="1" t="s">
        <v>74</v>
      </c>
      <c r="AB576" s="1" t="s">
        <v>74</v>
      </c>
      <c r="AC576" s="1" t="s">
        <v>74</v>
      </c>
      <c r="AD576" s="1" t="s">
        <v>74</v>
      </c>
      <c r="AE576" s="1" t="s">
        <v>74</v>
      </c>
      <c r="AF576" s="1" t="s">
        <v>74</v>
      </c>
      <c r="AG576" s="1" t="s">
        <v>74</v>
      </c>
      <c r="AH576" s="1" t="s">
        <v>74</v>
      </c>
      <c r="AI576" s="1" t="s">
        <v>74</v>
      </c>
      <c r="AJ576" s="1" t="s">
        <v>74</v>
      </c>
      <c r="AK576" s="1" t="s">
        <v>74</v>
      </c>
      <c r="AL576" s="1" t="s">
        <v>74</v>
      </c>
      <c r="AM576" s="1" t="s">
        <v>74</v>
      </c>
      <c r="AN576" s="1" t="s">
        <v>74</v>
      </c>
      <c r="AO576" s="1" t="s">
        <v>904</v>
      </c>
      <c r="AP576" s="1" t="s">
        <v>74</v>
      </c>
      <c r="AQ576" s="1" t="s">
        <v>74</v>
      </c>
      <c r="AR576" s="1" t="s">
        <v>74</v>
      </c>
      <c r="AS576" s="1" t="s">
        <v>74</v>
      </c>
      <c r="AT576" s="1" t="s">
        <v>347</v>
      </c>
      <c r="AU576" s="1">
        <v>1999.0</v>
      </c>
      <c r="AV576" s="1">
        <v>36.0</v>
      </c>
      <c r="AW576" s="1">
        <v>1.0</v>
      </c>
      <c r="AX576" s="1" t="s">
        <v>74</v>
      </c>
      <c r="AY576" s="1" t="s">
        <v>74</v>
      </c>
      <c r="AZ576" s="1" t="s">
        <v>74</v>
      </c>
      <c r="BA576" s="1" t="s">
        <v>74</v>
      </c>
      <c r="BB576" s="1">
        <v>71.0</v>
      </c>
      <c r="BC576" s="1">
        <v>90.0</v>
      </c>
      <c r="BD576" s="1" t="s">
        <v>74</v>
      </c>
      <c r="BE576" s="1" t="s">
        <v>4945</v>
      </c>
      <c r="BF576" s="2" t="str">
        <f>HYPERLINK("http://dx.doi.org/10.1016/S0362-546X(97)00726-8","http://dx.doi.org/10.1016/S0362-546X(97)00726-8")</f>
        <v>http://dx.doi.org/10.1016/S0362-546X(97)00726-8</v>
      </c>
      <c r="BG576" s="1" t="s">
        <v>74</v>
      </c>
      <c r="BH576" s="1" t="s">
        <v>74</v>
      </c>
      <c r="BI576" s="1" t="s">
        <v>74</v>
      </c>
      <c r="BJ576" s="1" t="s">
        <v>74</v>
      </c>
      <c r="BK576" s="1" t="s">
        <v>74</v>
      </c>
      <c r="BL576" s="1" t="s">
        <v>74</v>
      </c>
      <c r="BM576" s="1" t="s">
        <v>74</v>
      </c>
      <c r="BN576" s="1" t="s">
        <v>74</v>
      </c>
      <c r="BO576" s="1" t="s">
        <v>74</v>
      </c>
      <c r="BP576" s="1" t="s">
        <v>74</v>
      </c>
      <c r="BQ576" s="1" t="s">
        <v>74</v>
      </c>
      <c r="BR576" s="1" t="s">
        <v>74</v>
      </c>
      <c r="BS576" s="1" t="s">
        <v>4946</v>
      </c>
      <c r="BT576" s="1" t="str">
        <f>HYPERLINK("https%3A%2F%2Fwww.webofscience.com%2Fwos%2Fwoscc%2Ffull-record%2FWOS:000078504100007","View Full Record in Web of Science")</f>
        <v>View Full Record in Web of Science</v>
      </c>
    </row>
    <row r="577" ht="12.75" customHeight="1">
      <c r="A577" s="1" t="s">
        <v>72</v>
      </c>
      <c r="B577" s="1" t="s">
        <v>4947</v>
      </c>
      <c r="C577" s="1" t="s">
        <v>74</v>
      </c>
      <c r="D577" s="1" t="s">
        <v>74</v>
      </c>
      <c r="E577" s="1" t="s">
        <v>74</v>
      </c>
      <c r="F577" s="1" t="s">
        <v>4947</v>
      </c>
      <c r="G577" s="1" t="s">
        <v>74</v>
      </c>
      <c r="H577" s="1" t="s">
        <v>74</v>
      </c>
      <c r="I577" s="1" t="s">
        <v>4948</v>
      </c>
      <c r="J577" s="1" t="s">
        <v>3259</v>
      </c>
      <c r="K577" s="1" t="s">
        <v>74</v>
      </c>
      <c r="L577" s="1" t="s">
        <v>74</v>
      </c>
      <c r="M577" s="1" t="s">
        <v>74</v>
      </c>
      <c r="N577" s="1" t="s">
        <v>74</v>
      </c>
      <c r="O577" s="1" t="s">
        <v>74</v>
      </c>
      <c r="P577" s="1" t="s">
        <v>74</v>
      </c>
      <c r="Q577" s="1" t="s">
        <v>74</v>
      </c>
      <c r="R577" s="1" t="s">
        <v>74</v>
      </c>
      <c r="S577" s="1" t="s">
        <v>74</v>
      </c>
      <c r="T577" s="1" t="s">
        <v>74</v>
      </c>
      <c r="U577" s="1" t="s">
        <v>74</v>
      </c>
      <c r="V577" s="1" t="s">
        <v>74</v>
      </c>
      <c r="W577" s="1" t="s">
        <v>74</v>
      </c>
      <c r="X577" s="1" t="s">
        <v>74</v>
      </c>
      <c r="Y577" s="1" t="s">
        <v>74</v>
      </c>
      <c r="Z577" s="1" t="s">
        <v>74</v>
      </c>
      <c r="AA577" s="1" t="s">
        <v>74</v>
      </c>
      <c r="AB577" s="1" t="s">
        <v>74</v>
      </c>
      <c r="AC577" s="1" t="s">
        <v>74</v>
      </c>
      <c r="AD577" s="1" t="s">
        <v>74</v>
      </c>
      <c r="AE577" s="1" t="s">
        <v>74</v>
      </c>
      <c r="AF577" s="1" t="s">
        <v>74</v>
      </c>
      <c r="AG577" s="1" t="s">
        <v>74</v>
      </c>
      <c r="AH577" s="1" t="s">
        <v>74</v>
      </c>
      <c r="AI577" s="1" t="s">
        <v>74</v>
      </c>
      <c r="AJ577" s="1" t="s">
        <v>74</v>
      </c>
      <c r="AK577" s="1" t="s">
        <v>74</v>
      </c>
      <c r="AL577" s="1" t="s">
        <v>74</v>
      </c>
      <c r="AM577" s="1" t="s">
        <v>74</v>
      </c>
      <c r="AN577" s="1" t="s">
        <v>74</v>
      </c>
      <c r="AO577" s="1" t="s">
        <v>3261</v>
      </c>
      <c r="AP577" s="1" t="s">
        <v>74</v>
      </c>
      <c r="AQ577" s="1" t="s">
        <v>74</v>
      </c>
      <c r="AR577" s="1" t="s">
        <v>74</v>
      </c>
      <c r="AS577" s="1" t="s">
        <v>74</v>
      </c>
      <c r="AT577" s="1" t="s">
        <v>161</v>
      </c>
      <c r="AU577" s="1">
        <v>1998.0</v>
      </c>
      <c r="AV577" s="1">
        <v>66.0</v>
      </c>
      <c r="AW577" s="1">
        <v>10.0</v>
      </c>
      <c r="AX577" s="1" t="s">
        <v>74</v>
      </c>
      <c r="AY577" s="1" t="s">
        <v>74</v>
      </c>
      <c r="AZ577" s="1" t="s">
        <v>74</v>
      </c>
      <c r="BA577" s="1" t="s">
        <v>74</v>
      </c>
      <c r="BB577" s="1">
        <v>927.0</v>
      </c>
      <c r="BC577" s="1">
        <v>927.0</v>
      </c>
      <c r="BD577" s="1" t="s">
        <v>74</v>
      </c>
      <c r="BE577" s="1" t="s">
        <v>4949</v>
      </c>
      <c r="BF577" s="2" t="str">
        <f>HYPERLINK("http://dx.doi.org/10.1119/1.19043","http://dx.doi.org/10.1119/1.19043")</f>
        <v>http://dx.doi.org/10.1119/1.19043</v>
      </c>
      <c r="BG577" s="1" t="s">
        <v>74</v>
      </c>
      <c r="BH577" s="1" t="s">
        <v>74</v>
      </c>
      <c r="BI577" s="1" t="s">
        <v>74</v>
      </c>
      <c r="BJ577" s="1" t="s">
        <v>74</v>
      </c>
      <c r="BK577" s="1" t="s">
        <v>74</v>
      </c>
      <c r="BL577" s="1" t="s">
        <v>74</v>
      </c>
      <c r="BM577" s="1" t="s">
        <v>74</v>
      </c>
      <c r="BN577" s="1" t="s">
        <v>74</v>
      </c>
      <c r="BO577" s="1" t="s">
        <v>74</v>
      </c>
      <c r="BP577" s="1" t="s">
        <v>74</v>
      </c>
      <c r="BQ577" s="1" t="s">
        <v>74</v>
      </c>
      <c r="BR577" s="1" t="s">
        <v>74</v>
      </c>
      <c r="BS577" s="1" t="s">
        <v>4950</v>
      </c>
      <c r="BT577" s="1" t="str">
        <f>HYPERLINK("https%3A%2F%2Fwww.webofscience.com%2Fwos%2Fwoscc%2Ffull-record%2FWOS:000076234500018","View Full Record in Web of Science")</f>
        <v>View Full Record in Web of Science</v>
      </c>
    </row>
    <row r="578" ht="12.75" customHeight="1">
      <c r="A578" s="1" t="s">
        <v>72</v>
      </c>
      <c r="B578" s="1" t="s">
        <v>4951</v>
      </c>
      <c r="C578" s="1" t="s">
        <v>74</v>
      </c>
      <c r="D578" s="1" t="s">
        <v>74</v>
      </c>
      <c r="E578" s="1" t="s">
        <v>74</v>
      </c>
      <c r="F578" s="1" t="s">
        <v>4951</v>
      </c>
      <c r="G578" s="1" t="s">
        <v>74</v>
      </c>
      <c r="H578" s="1" t="s">
        <v>74</v>
      </c>
      <c r="I578" s="1" t="s">
        <v>4952</v>
      </c>
      <c r="J578" s="1" t="s">
        <v>1872</v>
      </c>
      <c r="K578" s="1" t="s">
        <v>74</v>
      </c>
      <c r="L578" s="1" t="s">
        <v>74</v>
      </c>
      <c r="M578" s="1" t="s">
        <v>74</v>
      </c>
      <c r="N578" s="1" t="s">
        <v>74</v>
      </c>
      <c r="O578" s="1" t="s">
        <v>74</v>
      </c>
      <c r="P578" s="1" t="s">
        <v>74</v>
      </c>
      <c r="Q578" s="1" t="s">
        <v>74</v>
      </c>
      <c r="R578" s="1" t="s">
        <v>74</v>
      </c>
      <c r="S578" s="1" t="s">
        <v>74</v>
      </c>
      <c r="T578" s="1" t="s">
        <v>74</v>
      </c>
      <c r="U578" s="1" t="s">
        <v>74</v>
      </c>
      <c r="V578" s="1" t="s">
        <v>4953</v>
      </c>
      <c r="W578" s="1" t="s">
        <v>74</v>
      </c>
      <c r="X578" s="1" t="s">
        <v>74</v>
      </c>
      <c r="Y578" s="1" t="s">
        <v>74</v>
      </c>
      <c r="Z578" s="1" t="s">
        <v>74</v>
      </c>
      <c r="AA578" s="1" t="s">
        <v>74</v>
      </c>
      <c r="AB578" s="1" t="s">
        <v>74</v>
      </c>
      <c r="AC578" s="1" t="s">
        <v>74</v>
      </c>
      <c r="AD578" s="1" t="s">
        <v>74</v>
      </c>
      <c r="AE578" s="1" t="s">
        <v>74</v>
      </c>
      <c r="AF578" s="1" t="s">
        <v>74</v>
      </c>
      <c r="AG578" s="1" t="s">
        <v>74</v>
      </c>
      <c r="AH578" s="1" t="s">
        <v>74</v>
      </c>
      <c r="AI578" s="1" t="s">
        <v>74</v>
      </c>
      <c r="AJ578" s="1" t="s">
        <v>74</v>
      </c>
      <c r="AK578" s="1" t="s">
        <v>74</v>
      </c>
      <c r="AL578" s="1" t="s">
        <v>74</v>
      </c>
      <c r="AM578" s="1" t="s">
        <v>74</v>
      </c>
      <c r="AN578" s="1" t="s">
        <v>74</v>
      </c>
      <c r="AO578" s="1" t="s">
        <v>1874</v>
      </c>
      <c r="AP578" s="1" t="s">
        <v>74</v>
      </c>
      <c r="AQ578" s="1" t="s">
        <v>74</v>
      </c>
      <c r="AR578" s="1" t="s">
        <v>74</v>
      </c>
      <c r="AS578" s="1" t="s">
        <v>74</v>
      </c>
      <c r="AT578" s="1" t="s">
        <v>4954</v>
      </c>
      <c r="AU578" s="1">
        <v>1998.0</v>
      </c>
      <c r="AV578" s="1">
        <v>205.0</v>
      </c>
      <c r="AW578" s="1">
        <v>2.0</v>
      </c>
      <c r="AX578" s="1" t="s">
        <v>74</v>
      </c>
      <c r="AY578" s="1" t="s">
        <v>74</v>
      </c>
      <c r="AZ578" s="1" t="s">
        <v>74</v>
      </c>
      <c r="BA578" s="1" t="s">
        <v>74</v>
      </c>
      <c r="BB578" s="1">
        <v>482.0</v>
      </c>
      <c r="BC578" s="1">
        <v>488.0</v>
      </c>
      <c r="BD578" s="1" t="s">
        <v>74</v>
      </c>
      <c r="BE578" s="1" t="s">
        <v>4955</v>
      </c>
      <c r="BF578" s="2" t="str">
        <f>HYPERLINK("http://dx.doi.org/10.1006/jcis.1998.5580","http://dx.doi.org/10.1006/jcis.1998.5580")</f>
        <v>http://dx.doi.org/10.1006/jcis.1998.5580</v>
      </c>
      <c r="BG578" s="1" t="s">
        <v>74</v>
      </c>
      <c r="BH578" s="1" t="s">
        <v>74</v>
      </c>
      <c r="BI578" s="1" t="s">
        <v>74</v>
      </c>
      <c r="BJ578" s="1" t="s">
        <v>74</v>
      </c>
      <c r="BK578" s="1" t="s">
        <v>74</v>
      </c>
      <c r="BL578" s="1" t="s">
        <v>74</v>
      </c>
      <c r="BM578" s="1" t="s">
        <v>74</v>
      </c>
      <c r="BN578" s="1">
        <v>9735213.0</v>
      </c>
      <c r="BO578" s="1" t="s">
        <v>74</v>
      </c>
      <c r="BP578" s="1" t="s">
        <v>74</v>
      </c>
      <c r="BQ578" s="1" t="s">
        <v>74</v>
      </c>
      <c r="BR578" s="1" t="s">
        <v>74</v>
      </c>
      <c r="BS578" s="1" t="s">
        <v>4956</v>
      </c>
      <c r="BT578" s="1" t="str">
        <f>HYPERLINK("https%3A%2F%2Fwww.webofscience.com%2Fwos%2Fwoscc%2Ffull-record%2FWOS:000075911700031","View Full Record in Web of Science")</f>
        <v>View Full Record in Web of Science</v>
      </c>
    </row>
    <row r="579" ht="12.75" customHeight="1">
      <c r="A579" s="1" t="s">
        <v>72</v>
      </c>
      <c r="B579" s="1" t="s">
        <v>4957</v>
      </c>
      <c r="C579" s="1" t="s">
        <v>74</v>
      </c>
      <c r="D579" s="1" t="s">
        <v>74</v>
      </c>
      <c r="E579" s="1" t="s">
        <v>74</v>
      </c>
      <c r="F579" s="1" t="s">
        <v>4957</v>
      </c>
      <c r="G579" s="1" t="s">
        <v>74</v>
      </c>
      <c r="H579" s="1" t="s">
        <v>74</v>
      </c>
      <c r="I579" s="1" t="s">
        <v>4958</v>
      </c>
      <c r="J579" s="1" t="s">
        <v>1173</v>
      </c>
      <c r="K579" s="1" t="s">
        <v>74</v>
      </c>
      <c r="L579" s="1" t="s">
        <v>74</v>
      </c>
      <c r="M579" s="1" t="s">
        <v>74</v>
      </c>
      <c r="N579" s="1" t="s">
        <v>74</v>
      </c>
      <c r="O579" s="1" t="s">
        <v>74</v>
      </c>
      <c r="P579" s="1" t="s">
        <v>74</v>
      </c>
      <c r="Q579" s="1" t="s">
        <v>74</v>
      </c>
      <c r="R579" s="1" t="s">
        <v>74</v>
      </c>
      <c r="S579" s="1" t="s">
        <v>74</v>
      </c>
      <c r="T579" s="1" t="s">
        <v>74</v>
      </c>
      <c r="U579" s="1" t="s">
        <v>74</v>
      </c>
      <c r="V579" s="1" t="s">
        <v>74</v>
      </c>
      <c r="W579" s="1" t="s">
        <v>74</v>
      </c>
      <c r="X579" s="1" t="s">
        <v>74</v>
      </c>
      <c r="Y579" s="1" t="s">
        <v>74</v>
      </c>
      <c r="Z579" s="1" t="s">
        <v>74</v>
      </c>
      <c r="AA579" s="1" t="s">
        <v>1174</v>
      </c>
      <c r="AB579" s="1" t="s">
        <v>74</v>
      </c>
      <c r="AC579" s="1" t="s">
        <v>74</v>
      </c>
      <c r="AD579" s="1" t="s">
        <v>74</v>
      </c>
      <c r="AE579" s="1" t="s">
        <v>74</v>
      </c>
      <c r="AF579" s="1" t="s">
        <v>74</v>
      </c>
      <c r="AG579" s="1" t="s">
        <v>74</v>
      </c>
      <c r="AH579" s="1" t="s">
        <v>74</v>
      </c>
      <c r="AI579" s="1" t="s">
        <v>74</v>
      </c>
      <c r="AJ579" s="1" t="s">
        <v>74</v>
      </c>
      <c r="AK579" s="1" t="s">
        <v>74</v>
      </c>
      <c r="AL579" s="1" t="s">
        <v>74</v>
      </c>
      <c r="AM579" s="1" t="s">
        <v>74</v>
      </c>
      <c r="AN579" s="1" t="s">
        <v>74</v>
      </c>
      <c r="AO579" s="1" t="s">
        <v>1175</v>
      </c>
      <c r="AP579" s="1" t="s">
        <v>74</v>
      </c>
      <c r="AQ579" s="1" t="s">
        <v>74</v>
      </c>
      <c r="AR579" s="1" t="s">
        <v>74</v>
      </c>
      <c r="AS579" s="1" t="s">
        <v>74</v>
      </c>
      <c r="AT579" s="1" t="s">
        <v>3446</v>
      </c>
      <c r="AU579" s="1">
        <v>1998.0</v>
      </c>
      <c r="AV579" s="1">
        <v>36.0</v>
      </c>
      <c r="AW579" s="1">
        <v>1.0</v>
      </c>
      <c r="AX579" s="1" t="s">
        <v>74</v>
      </c>
      <c r="AY579" s="1" t="s">
        <v>74</v>
      </c>
      <c r="AZ579" s="1" t="s">
        <v>74</v>
      </c>
      <c r="BA579" s="1" t="s">
        <v>74</v>
      </c>
      <c r="BB579" s="1">
        <v>207.0</v>
      </c>
      <c r="BC579" s="1">
        <v>208.0</v>
      </c>
      <c r="BD579" s="1" t="s">
        <v>74</v>
      </c>
      <c r="BE579" s="1" t="s">
        <v>4959</v>
      </c>
      <c r="BF579" s="2" t="str">
        <f>HYPERLINK("http://dx.doi.org/10.1002/(SICI)1099-0518(19980115)36:1&lt;207::AID-POLA25&gt;3.0.CO;2-M","http://dx.doi.org/10.1002/(SICI)1099-0518(19980115)36:1&lt;207::AID-POLA25&gt;3.0.CO;2-M")</f>
        <v>http://dx.doi.org/10.1002/(SICI)1099-0518(19980115)36:1&lt;207::AID-POLA25&gt;3.0.CO;2-M</v>
      </c>
      <c r="BG579" s="1" t="s">
        <v>74</v>
      </c>
      <c r="BH579" s="1" t="s">
        <v>74</v>
      </c>
      <c r="BI579" s="1" t="s">
        <v>74</v>
      </c>
      <c r="BJ579" s="1" t="s">
        <v>74</v>
      </c>
      <c r="BK579" s="1" t="s">
        <v>74</v>
      </c>
      <c r="BL579" s="1" t="s">
        <v>74</v>
      </c>
      <c r="BM579" s="1" t="s">
        <v>74</v>
      </c>
      <c r="BN579" s="1" t="s">
        <v>74</v>
      </c>
      <c r="BO579" s="1" t="s">
        <v>74</v>
      </c>
      <c r="BP579" s="1" t="s">
        <v>74</v>
      </c>
      <c r="BQ579" s="1" t="s">
        <v>74</v>
      </c>
      <c r="BR579" s="1" t="s">
        <v>74</v>
      </c>
      <c r="BS579" s="1" t="s">
        <v>4960</v>
      </c>
      <c r="BT579" s="1" t="str">
        <f>HYPERLINK("https%3A%2F%2Fwww.webofscience.com%2Fwos%2Fwoscc%2Ffull-record%2FWOS:000071294700024","View Full Record in Web of Science")</f>
        <v>View Full Record in Web of Science</v>
      </c>
    </row>
    <row r="580" ht="12.75" customHeight="1">
      <c r="A580" s="1" t="s">
        <v>91</v>
      </c>
      <c r="B580" s="1" t="s">
        <v>4961</v>
      </c>
      <c r="C580" s="1" t="s">
        <v>74</v>
      </c>
      <c r="D580" s="1" t="s">
        <v>4962</v>
      </c>
      <c r="E580" s="1" t="s">
        <v>74</v>
      </c>
      <c r="F580" s="1" t="s">
        <v>4961</v>
      </c>
      <c r="G580" s="1" t="s">
        <v>74</v>
      </c>
      <c r="H580" s="1" t="s">
        <v>74</v>
      </c>
      <c r="I580" s="1" t="s">
        <v>4963</v>
      </c>
      <c r="J580" s="1" t="s">
        <v>4964</v>
      </c>
      <c r="K580" s="1" t="s">
        <v>4965</v>
      </c>
      <c r="L580" s="1" t="s">
        <v>74</v>
      </c>
      <c r="M580" s="1" t="s">
        <v>74</v>
      </c>
      <c r="N580" s="1" t="s">
        <v>74</v>
      </c>
      <c r="O580" s="1" t="s">
        <v>4966</v>
      </c>
      <c r="P580" s="1" t="s">
        <v>4967</v>
      </c>
      <c r="Q580" s="1" t="s">
        <v>4968</v>
      </c>
      <c r="R580" s="1" t="s">
        <v>74</v>
      </c>
      <c r="S580" s="1" t="s">
        <v>74</v>
      </c>
      <c r="T580" s="1" t="s">
        <v>74</v>
      </c>
      <c r="U580" s="1" t="s">
        <v>74</v>
      </c>
      <c r="V580" s="1" t="s">
        <v>4969</v>
      </c>
      <c r="W580" s="1" t="s">
        <v>74</v>
      </c>
      <c r="X580" s="1" t="s">
        <v>74</v>
      </c>
      <c r="Y580" s="1" t="s">
        <v>74</v>
      </c>
      <c r="Z580" s="1" t="s">
        <v>74</v>
      </c>
      <c r="AA580" s="1" t="s">
        <v>4970</v>
      </c>
      <c r="AB580" s="1" t="s">
        <v>74</v>
      </c>
      <c r="AC580" s="1" t="s">
        <v>74</v>
      </c>
      <c r="AD580" s="1" t="s">
        <v>74</v>
      </c>
      <c r="AE580" s="1" t="s">
        <v>74</v>
      </c>
      <c r="AF580" s="1" t="s">
        <v>74</v>
      </c>
      <c r="AG580" s="1" t="s">
        <v>74</v>
      </c>
      <c r="AH580" s="1" t="s">
        <v>74</v>
      </c>
      <c r="AI580" s="1" t="s">
        <v>74</v>
      </c>
      <c r="AJ580" s="1" t="s">
        <v>74</v>
      </c>
      <c r="AK580" s="1" t="s">
        <v>74</v>
      </c>
      <c r="AL580" s="1" t="s">
        <v>74</v>
      </c>
      <c r="AM580" s="1" t="s">
        <v>74</v>
      </c>
      <c r="AN580" s="1" t="s">
        <v>74</v>
      </c>
      <c r="AO580" s="1" t="s">
        <v>74</v>
      </c>
      <c r="AP580" s="1" t="s">
        <v>74</v>
      </c>
      <c r="AQ580" s="1" t="s">
        <v>74</v>
      </c>
      <c r="AR580" s="1" t="s">
        <v>74</v>
      </c>
      <c r="AS580" s="1" t="s">
        <v>74</v>
      </c>
      <c r="AT580" s="1" t="s">
        <v>74</v>
      </c>
      <c r="AU580" s="1">
        <v>1998.0</v>
      </c>
      <c r="AV580" s="1">
        <v>6.0</v>
      </c>
      <c r="AW580" s="1" t="s">
        <v>74</v>
      </c>
      <c r="AX580" s="1" t="s">
        <v>74</v>
      </c>
      <c r="AY580" s="1" t="s">
        <v>74</v>
      </c>
      <c r="AZ580" s="1" t="s">
        <v>74</v>
      </c>
      <c r="BA580" s="1" t="s">
        <v>74</v>
      </c>
      <c r="BB580" s="1">
        <v>41.0</v>
      </c>
      <c r="BC580" s="1">
        <v>50.0</v>
      </c>
      <c r="BD580" s="1" t="s">
        <v>74</v>
      </c>
      <c r="BE580" s="1" t="s">
        <v>74</v>
      </c>
      <c r="BF580" s="1" t="s">
        <v>74</v>
      </c>
      <c r="BG580" s="1" t="s">
        <v>74</v>
      </c>
      <c r="BH580" s="1" t="s">
        <v>74</v>
      </c>
      <c r="BI580" s="1" t="s">
        <v>74</v>
      </c>
      <c r="BJ580" s="1" t="s">
        <v>74</v>
      </c>
      <c r="BK580" s="1" t="s">
        <v>74</v>
      </c>
      <c r="BL580" s="1" t="s">
        <v>74</v>
      </c>
      <c r="BM580" s="1" t="s">
        <v>74</v>
      </c>
      <c r="BN580" s="1">
        <v>1.1315967E7</v>
      </c>
      <c r="BO580" s="1" t="s">
        <v>74</v>
      </c>
      <c r="BP580" s="1" t="s">
        <v>74</v>
      </c>
      <c r="BQ580" s="1" t="s">
        <v>74</v>
      </c>
      <c r="BR580" s="1" t="s">
        <v>74</v>
      </c>
      <c r="BS580" s="1" t="s">
        <v>4971</v>
      </c>
      <c r="BT580" s="1" t="str">
        <f>HYPERLINK("https%3A%2F%2Fwww.webofscience.com%2Fwos%2Fwoscc%2Ffull-record%2FWOS:000083909900004","View Full Record in Web of Science")</f>
        <v>View Full Record in Web of Science</v>
      </c>
    </row>
    <row r="581" ht="12.75" customHeight="1">
      <c r="A581" s="1" t="s">
        <v>72</v>
      </c>
      <c r="B581" s="1" t="s">
        <v>4972</v>
      </c>
      <c r="C581" s="1" t="s">
        <v>74</v>
      </c>
      <c r="D581" s="1" t="s">
        <v>74</v>
      </c>
      <c r="E581" s="1" t="s">
        <v>74</v>
      </c>
      <c r="F581" s="1" t="s">
        <v>4972</v>
      </c>
      <c r="G581" s="1" t="s">
        <v>74</v>
      </c>
      <c r="H581" s="1" t="s">
        <v>74</v>
      </c>
      <c r="I581" s="1" t="s">
        <v>4973</v>
      </c>
      <c r="J581" s="1" t="s">
        <v>4974</v>
      </c>
      <c r="K581" s="1" t="s">
        <v>74</v>
      </c>
      <c r="L581" s="1" t="s">
        <v>74</v>
      </c>
      <c r="M581" s="1" t="s">
        <v>74</v>
      </c>
      <c r="N581" s="1" t="s">
        <v>74</v>
      </c>
      <c r="O581" s="1" t="s">
        <v>74</v>
      </c>
      <c r="P581" s="1" t="s">
        <v>74</v>
      </c>
      <c r="Q581" s="1" t="s">
        <v>74</v>
      </c>
      <c r="R581" s="1" t="s">
        <v>74</v>
      </c>
      <c r="S581" s="1" t="s">
        <v>74</v>
      </c>
      <c r="T581" s="1" t="s">
        <v>74</v>
      </c>
      <c r="U581" s="1" t="s">
        <v>74</v>
      </c>
      <c r="V581" s="1" t="s">
        <v>4975</v>
      </c>
      <c r="W581" s="1" t="s">
        <v>74</v>
      </c>
      <c r="X581" s="1" t="s">
        <v>74</v>
      </c>
      <c r="Y581" s="1" t="s">
        <v>74</v>
      </c>
      <c r="Z581" s="1" t="s">
        <v>74</v>
      </c>
      <c r="AA581" s="1" t="s">
        <v>74</v>
      </c>
      <c r="AB581" s="1" t="s">
        <v>74</v>
      </c>
      <c r="AC581" s="1" t="s">
        <v>74</v>
      </c>
      <c r="AD581" s="1" t="s">
        <v>74</v>
      </c>
      <c r="AE581" s="1" t="s">
        <v>74</v>
      </c>
      <c r="AF581" s="1" t="s">
        <v>74</v>
      </c>
      <c r="AG581" s="1" t="s">
        <v>74</v>
      </c>
      <c r="AH581" s="1" t="s">
        <v>74</v>
      </c>
      <c r="AI581" s="1" t="s">
        <v>74</v>
      </c>
      <c r="AJ581" s="1" t="s">
        <v>74</v>
      </c>
      <c r="AK581" s="1" t="s">
        <v>74</v>
      </c>
      <c r="AL581" s="1" t="s">
        <v>74</v>
      </c>
      <c r="AM581" s="1" t="s">
        <v>74</v>
      </c>
      <c r="AN581" s="1" t="s">
        <v>74</v>
      </c>
      <c r="AO581" s="1" t="s">
        <v>4976</v>
      </c>
      <c r="AP581" s="1" t="s">
        <v>74</v>
      </c>
      <c r="AQ581" s="1" t="s">
        <v>74</v>
      </c>
      <c r="AR581" s="1" t="s">
        <v>74</v>
      </c>
      <c r="AS581" s="1" t="s">
        <v>74</v>
      </c>
      <c r="AT581" s="1" t="s">
        <v>288</v>
      </c>
      <c r="AU581" s="1">
        <v>1997.0</v>
      </c>
      <c r="AV581" s="1">
        <v>22.0</v>
      </c>
      <c r="AW581" s="1">
        <v>1.0</v>
      </c>
      <c r="AX581" s="1" t="s">
        <v>74</v>
      </c>
      <c r="AY581" s="1" t="s">
        <v>74</v>
      </c>
      <c r="AZ581" s="1" t="s">
        <v>74</v>
      </c>
      <c r="BA581" s="1" t="s">
        <v>74</v>
      </c>
      <c r="BB581" s="1">
        <v>22.0</v>
      </c>
      <c r="BC581" s="1">
        <v>26.0</v>
      </c>
      <c r="BD581" s="1" t="s">
        <v>74</v>
      </c>
      <c r="BE581" s="1" t="s">
        <v>4977</v>
      </c>
      <c r="BF581" s="2" t="str">
        <f>HYPERLINK("http://dx.doi.org/10.1023/A:1018409501327","http://dx.doi.org/10.1023/A:1018409501327")</f>
        <v>http://dx.doi.org/10.1023/A:1018409501327</v>
      </c>
      <c r="BG581" s="1" t="s">
        <v>74</v>
      </c>
      <c r="BH581" s="1" t="s">
        <v>74</v>
      </c>
      <c r="BI581" s="1" t="s">
        <v>74</v>
      </c>
      <c r="BJ581" s="1" t="s">
        <v>74</v>
      </c>
      <c r="BK581" s="1" t="s">
        <v>74</v>
      </c>
      <c r="BL581" s="1" t="s">
        <v>74</v>
      </c>
      <c r="BM581" s="1" t="s">
        <v>74</v>
      </c>
      <c r="BN581" s="1" t="s">
        <v>74</v>
      </c>
      <c r="BO581" s="1" t="s">
        <v>74</v>
      </c>
      <c r="BP581" s="1" t="s">
        <v>74</v>
      </c>
      <c r="BQ581" s="1" t="s">
        <v>74</v>
      </c>
      <c r="BR581" s="1" t="s">
        <v>74</v>
      </c>
      <c r="BS581" s="1" t="s">
        <v>4978</v>
      </c>
      <c r="BT581" s="1" t="str">
        <f>HYPERLINK("https%3A%2F%2Fwww.webofscience.com%2Fwos%2Fwoscc%2Ffull-record%2FWOS:A1997WJ60200006","View Full Record in Web of Science")</f>
        <v>View Full Record in Web of Science</v>
      </c>
    </row>
    <row r="582" ht="12.75" customHeight="1">
      <c r="A582" s="1" t="s">
        <v>72</v>
      </c>
      <c r="B582" s="1" t="s">
        <v>4979</v>
      </c>
      <c r="C582" s="1" t="s">
        <v>74</v>
      </c>
      <c r="D582" s="1" t="s">
        <v>74</v>
      </c>
      <c r="E582" s="1" t="s">
        <v>74</v>
      </c>
      <c r="F582" s="1" t="s">
        <v>4979</v>
      </c>
      <c r="G582" s="1" t="s">
        <v>74</v>
      </c>
      <c r="H582" s="1" t="s">
        <v>74</v>
      </c>
      <c r="I582" s="1" t="s">
        <v>4980</v>
      </c>
      <c r="J582" s="1" t="s">
        <v>4981</v>
      </c>
      <c r="K582" s="1" t="s">
        <v>74</v>
      </c>
      <c r="L582" s="1" t="s">
        <v>74</v>
      </c>
      <c r="M582" s="1" t="s">
        <v>74</v>
      </c>
      <c r="N582" s="1" t="s">
        <v>74</v>
      </c>
      <c r="O582" s="1" t="s">
        <v>74</v>
      </c>
      <c r="P582" s="1" t="s">
        <v>74</v>
      </c>
      <c r="Q582" s="1" t="s">
        <v>74</v>
      </c>
      <c r="R582" s="1" t="s">
        <v>74</v>
      </c>
      <c r="S582" s="1" t="s">
        <v>74</v>
      </c>
      <c r="T582" s="1" t="s">
        <v>74</v>
      </c>
      <c r="U582" s="1" t="s">
        <v>74</v>
      </c>
      <c r="V582" s="1" t="s">
        <v>4982</v>
      </c>
      <c r="W582" s="1" t="s">
        <v>74</v>
      </c>
      <c r="X582" s="1" t="s">
        <v>74</v>
      </c>
      <c r="Y582" s="1" t="s">
        <v>74</v>
      </c>
      <c r="Z582" s="1" t="s">
        <v>74</v>
      </c>
      <c r="AA582" s="1" t="s">
        <v>74</v>
      </c>
      <c r="AB582" s="1" t="s">
        <v>74</v>
      </c>
      <c r="AC582" s="1" t="s">
        <v>74</v>
      </c>
      <c r="AD582" s="1" t="s">
        <v>74</v>
      </c>
      <c r="AE582" s="1" t="s">
        <v>74</v>
      </c>
      <c r="AF582" s="1" t="s">
        <v>74</v>
      </c>
      <c r="AG582" s="1" t="s">
        <v>74</v>
      </c>
      <c r="AH582" s="1" t="s">
        <v>74</v>
      </c>
      <c r="AI582" s="1" t="s">
        <v>74</v>
      </c>
      <c r="AJ582" s="1" t="s">
        <v>74</v>
      </c>
      <c r="AK582" s="1" t="s">
        <v>74</v>
      </c>
      <c r="AL582" s="1" t="s">
        <v>74</v>
      </c>
      <c r="AM582" s="1" t="s">
        <v>74</v>
      </c>
      <c r="AN582" s="1" t="s">
        <v>74</v>
      </c>
      <c r="AO582" s="1" t="s">
        <v>4983</v>
      </c>
      <c r="AP582" s="1" t="s">
        <v>4984</v>
      </c>
      <c r="AQ582" s="1" t="s">
        <v>74</v>
      </c>
      <c r="AR582" s="1" t="s">
        <v>74</v>
      </c>
      <c r="AS582" s="1" t="s">
        <v>74</v>
      </c>
      <c r="AT582" s="1" t="s">
        <v>74</v>
      </c>
      <c r="AU582" s="1">
        <v>1997.0</v>
      </c>
      <c r="AV582" s="1">
        <v>35.0</v>
      </c>
      <c r="AW582" s="1">
        <v>1.0</v>
      </c>
      <c r="AX582" s="1" t="s">
        <v>74</v>
      </c>
      <c r="AY582" s="1" t="s">
        <v>74</v>
      </c>
      <c r="AZ582" s="1" t="s">
        <v>74</v>
      </c>
      <c r="BA582" s="1" t="s">
        <v>74</v>
      </c>
      <c r="BB582" s="1">
        <v>123.0</v>
      </c>
      <c r="BC582" s="1">
        <v>130.0</v>
      </c>
      <c r="BD582" s="1" t="s">
        <v>74</v>
      </c>
      <c r="BE582" s="1" t="s">
        <v>4985</v>
      </c>
      <c r="BF582" s="2" t="str">
        <f>HYPERLINK("http://dx.doi.org/10.1071/S96051","http://dx.doi.org/10.1071/S96051")</f>
        <v>http://dx.doi.org/10.1071/S96051</v>
      </c>
      <c r="BG582" s="1" t="s">
        <v>74</v>
      </c>
      <c r="BH582" s="1" t="s">
        <v>74</v>
      </c>
      <c r="BI582" s="1" t="s">
        <v>74</v>
      </c>
      <c r="BJ582" s="1" t="s">
        <v>74</v>
      </c>
      <c r="BK582" s="1" t="s">
        <v>74</v>
      </c>
      <c r="BL582" s="1" t="s">
        <v>74</v>
      </c>
      <c r="BM582" s="1" t="s">
        <v>74</v>
      </c>
      <c r="BN582" s="1" t="s">
        <v>74</v>
      </c>
      <c r="BO582" s="1" t="s">
        <v>74</v>
      </c>
      <c r="BP582" s="1" t="s">
        <v>74</v>
      </c>
      <c r="BQ582" s="1" t="s">
        <v>74</v>
      </c>
      <c r="BR582" s="1" t="s">
        <v>74</v>
      </c>
      <c r="BS582" s="1" t="s">
        <v>4986</v>
      </c>
      <c r="BT582" s="1" t="str">
        <f>HYPERLINK("https%3A%2F%2Fwww.webofscience.com%2Fwos%2Fwoscc%2Ffull-record%2FWOS:A1997WD00500011","View Full Record in Web of Science")</f>
        <v>View Full Record in Web of Science</v>
      </c>
    </row>
    <row r="583" ht="12.75" customHeight="1">
      <c r="A583" s="1" t="s">
        <v>91</v>
      </c>
      <c r="B583" s="1" t="s">
        <v>4987</v>
      </c>
      <c r="C583" s="1" t="s">
        <v>74</v>
      </c>
      <c r="D583" s="1" t="s">
        <v>4988</v>
      </c>
      <c r="E583" s="1" t="s">
        <v>74</v>
      </c>
      <c r="F583" s="1" t="s">
        <v>4987</v>
      </c>
      <c r="G583" s="1" t="s">
        <v>74</v>
      </c>
      <c r="H583" s="1" t="s">
        <v>74</v>
      </c>
      <c r="I583" s="1" t="s">
        <v>4989</v>
      </c>
      <c r="J583" s="1" t="s">
        <v>4990</v>
      </c>
      <c r="K583" s="1" t="s">
        <v>4991</v>
      </c>
      <c r="L583" s="1" t="s">
        <v>74</v>
      </c>
      <c r="M583" s="1" t="s">
        <v>74</v>
      </c>
      <c r="N583" s="1" t="s">
        <v>74</v>
      </c>
      <c r="O583" s="1" t="s">
        <v>4992</v>
      </c>
      <c r="P583" s="1" t="s">
        <v>4993</v>
      </c>
      <c r="Q583" s="1" t="s">
        <v>4994</v>
      </c>
      <c r="R583" s="1" t="s">
        <v>4995</v>
      </c>
      <c r="S583" s="1" t="s">
        <v>74</v>
      </c>
      <c r="T583" s="1" t="s">
        <v>74</v>
      </c>
      <c r="U583" s="1" t="s">
        <v>74</v>
      </c>
      <c r="V583" s="1" t="s">
        <v>74</v>
      </c>
      <c r="W583" s="1" t="s">
        <v>74</v>
      </c>
      <c r="X583" s="1" t="s">
        <v>74</v>
      </c>
      <c r="Y583" s="1" t="s">
        <v>74</v>
      </c>
      <c r="Z583" s="1" t="s">
        <v>74</v>
      </c>
      <c r="AA583" s="1" t="s">
        <v>74</v>
      </c>
      <c r="AB583" s="1" t="s">
        <v>74</v>
      </c>
      <c r="AC583" s="1" t="s">
        <v>74</v>
      </c>
      <c r="AD583" s="1" t="s">
        <v>74</v>
      </c>
      <c r="AE583" s="1" t="s">
        <v>74</v>
      </c>
      <c r="AF583" s="1" t="s">
        <v>74</v>
      </c>
      <c r="AG583" s="1" t="s">
        <v>74</v>
      </c>
      <c r="AH583" s="1" t="s">
        <v>74</v>
      </c>
      <c r="AI583" s="1" t="s">
        <v>74</v>
      </c>
      <c r="AJ583" s="1" t="s">
        <v>74</v>
      </c>
      <c r="AK583" s="1" t="s">
        <v>74</v>
      </c>
      <c r="AL583" s="1" t="s">
        <v>74</v>
      </c>
      <c r="AM583" s="1" t="s">
        <v>74</v>
      </c>
      <c r="AN583" s="1" t="s">
        <v>74</v>
      </c>
      <c r="AO583" s="1" t="s">
        <v>74</v>
      </c>
      <c r="AP583" s="1" t="s">
        <v>74</v>
      </c>
      <c r="AQ583" s="1" t="s">
        <v>4996</v>
      </c>
      <c r="AR583" s="1" t="s">
        <v>74</v>
      </c>
      <c r="AS583" s="1" t="s">
        <v>74</v>
      </c>
      <c r="AT583" s="1" t="s">
        <v>74</v>
      </c>
      <c r="AU583" s="1">
        <v>1996.0</v>
      </c>
      <c r="AV583" s="1" t="s">
        <v>74</v>
      </c>
      <c r="AW583" s="1" t="s">
        <v>74</v>
      </c>
      <c r="AX583" s="1" t="s">
        <v>74</v>
      </c>
      <c r="AY583" s="1" t="s">
        <v>74</v>
      </c>
      <c r="AZ583" s="1" t="s">
        <v>74</v>
      </c>
      <c r="BA583" s="1" t="s">
        <v>74</v>
      </c>
      <c r="BB583" s="1">
        <v>1227.0</v>
      </c>
      <c r="BC583" s="1">
        <v>1229.0</v>
      </c>
      <c r="BD583" s="1" t="s">
        <v>74</v>
      </c>
      <c r="BE583" s="1" t="s">
        <v>74</v>
      </c>
      <c r="BF583" s="1" t="s">
        <v>74</v>
      </c>
      <c r="BG583" s="1" t="s">
        <v>74</v>
      </c>
      <c r="BH583" s="1" t="s">
        <v>74</v>
      </c>
      <c r="BI583" s="1" t="s">
        <v>74</v>
      </c>
      <c r="BJ583" s="1" t="s">
        <v>74</v>
      </c>
      <c r="BK583" s="1" t="s">
        <v>74</v>
      </c>
      <c r="BL583" s="1" t="s">
        <v>74</v>
      </c>
      <c r="BM583" s="1" t="s">
        <v>74</v>
      </c>
      <c r="BN583" s="1" t="s">
        <v>74</v>
      </c>
      <c r="BO583" s="1" t="s">
        <v>74</v>
      </c>
      <c r="BP583" s="1" t="s">
        <v>74</v>
      </c>
      <c r="BQ583" s="1" t="s">
        <v>74</v>
      </c>
      <c r="BR583" s="1" t="s">
        <v>74</v>
      </c>
      <c r="BS583" s="1" t="s">
        <v>4997</v>
      </c>
      <c r="BT583" s="1" t="str">
        <f>HYPERLINK("https%3A%2F%2Fwww.webofscience.com%2Fwos%2Fwoscc%2Ffull-record%2FWOS:A1996BG35R00261","View Full Record in Web of Science")</f>
        <v>View Full Record in Web of Science</v>
      </c>
    </row>
    <row r="584" ht="12.75" customHeight="1">
      <c r="A584" s="1" t="s">
        <v>91</v>
      </c>
      <c r="B584" s="1" t="s">
        <v>4998</v>
      </c>
      <c r="C584" s="1" t="s">
        <v>74</v>
      </c>
      <c r="D584" s="1" t="s">
        <v>4999</v>
      </c>
      <c r="E584" s="1" t="s">
        <v>74</v>
      </c>
      <c r="F584" s="1" t="s">
        <v>4998</v>
      </c>
      <c r="G584" s="1" t="s">
        <v>74</v>
      </c>
      <c r="H584" s="1" t="s">
        <v>74</v>
      </c>
      <c r="I584" s="1" t="s">
        <v>5000</v>
      </c>
      <c r="J584" s="1" t="s">
        <v>5001</v>
      </c>
      <c r="K584" s="1" t="s">
        <v>3417</v>
      </c>
      <c r="L584" s="1" t="s">
        <v>74</v>
      </c>
      <c r="M584" s="1" t="s">
        <v>74</v>
      </c>
      <c r="N584" s="1" t="s">
        <v>74</v>
      </c>
      <c r="O584" s="1" t="s">
        <v>5002</v>
      </c>
      <c r="P584" s="1" t="s">
        <v>5003</v>
      </c>
      <c r="Q584" s="1" t="s">
        <v>5004</v>
      </c>
      <c r="R584" s="1" t="s">
        <v>5005</v>
      </c>
      <c r="S584" s="1" t="s">
        <v>5006</v>
      </c>
      <c r="T584" s="1" t="s">
        <v>74</v>
      </c>
      <c r="U584" s="1" t="s">
        <v>74</v>
      </c>
      <c r="V584" s="1" t="s">
        <v>74</v>
      </c>
      <c r="W584" s="1" t="s">
        <v>74</v>
      </c>
      <c r="X584" s="1" t="s">
        <v>74</v>
      </c>
      <c r="Y584" s="1" t="s">
        <v>74</v>
      </c>
      <c r="Z584" s="1" t="s">
        <v>74</v>
      </c>
      <c r="AA584" s="1" t="s">
        <v>74</v>
      </c>
      <c r="AB584" s="1" t="s">
        <v>74</v>
      </c>
      <c r="AC584" s="1" t="s">
        <v>74</v>
      </c>
      <c r="AD584" s="1" t="s">
        <v>74</v>
      </c>
      <c r="AE584" s="1" t="s">
        <v>74</v>
      </c>
      <c r="AF584" s="1" t="s">
        <v>74</v>
      </c>
      <c r="AG584" s="1" t="s">
        <v>74</v>
      </c>
      <c r="AH584" s="1" t="s">
        <v>74</v>
      </c>
      <c r="AI584" s="1" t="s">
        <v>74</v>
      </c>
      <c r="AJ584" s="1" t="s">
        <v>74</v>
      </c>
      <c r="AK584" s="1" t="s">
        <v>74</v>
      </c>
      <c r="AL584" s="1" t="s">
        <v>74</v>
      </c>
      <c r="AM584" s="1" t="s">
        <v>74</v>
      </c>
      <c r="AN584" s="1" t="s">
        <v>74</v>
      </c>
      <c r="AO584" s="1" t="s">
        <v>3422</v>
      </c>
      <c r="AP584" s="1" t="s">
        <v>74</v>
      </c>
      <c r="AQ584" s="1" t="s">
        <v>5007</v>
      </c>
      <c r="AR584" s="1" t="s">
        <v>74</v>
      </c>
      <c r="AS584" s="1" t="s">
        <v>74</v>
      </c>
      <c r="AT584" s="1" t="s">
        <v>74</v>
      </c>
      <c r="AU584" s="1">
        <v>1996.0</v>
      </c>
      <c r="AV584" s="1">
        <v>410.0</v>
      </c>
      <c r="AW584" s="1" t="s">
        <v>74</v>
      </c>
      <c r="AX584" s="1" t="s">
        <v>74</v>
      </c>
      <c r="AY584" s="1" t="s">
        <v>74</v>
      </c>
      <c r="AZ584" s="1" t="s">
        <v>74</v>
      </c>
      <c r="BA584" s="1" t="s">
        <v>74</v>
      </c>
      <c r="BB584" s="1">
        <v>405.0</v>
      </c>
      <c r="BC584" s="1">
        <v>410.0</v>
      </c>
      <c r="BD584" s="1" t="s">
        <v>74</v>
      </c>
      <c r="BE584" s="1" t="s">
        <v>74</v>
      </c>
      <c r="BF584" s="1" t="s">
        <v>74</v>
      </c>
      <c r="BG584" s="1" t="s">
        <v>74</v>
      </c>
      <c r="BH584" s="1" t="s">
        <v>74</v>
      </c>
      <c r="BI584" s="1" t="s">
        <v>74</v>
      </c>
      <c r="BJ584" s="1" t="s">
        <v>74</v>
      </c>
      <c r="BK584" s="1" t="s">
        <v>74</v>
      </c>
      <c r="BL584" s="1" t="s">
        <v>74</v>
      </c>
      <c r="BM584" s="1" t="s">
        <v>74</v>
      </c>
      <c r="BN584" s="1">
        <v>9030333.0</v>
      </c>
      <c r="BO584" s="1" t="s">
        <v>74</v>
      </c>
      <c r="BP584" s="1" t="s">
        <v>74</v>
      </c>
      <c r="BQ584" s="1" t="s">
        <v>74</v>
      </c>
      <c r="BR584" s="1" t="s">
        <v>74</v>
      </c>
      <c r="BS584" s="1" t="s">
        <v>5008</v>
      </c>
      <c r="BT584" s="1" t="str">
        <f>HYPERLINK("https%3A%2F%2Fwww.webofscience.com%2Fwos%2Fwoscc%2Ffull-record%2FWOS:A1996BH18J00063","View Full Record in Web of Science")</f>
        <v>View Full Record in Web of Science</v>
      </c>
    </row>
    <row r="585" ht="12.75" customHeight="1">
      <c r="A585" s="1" t="s">
        <v>72</v>
      </c>
      <c r="B585" s="1" t="s">
        <v>5009</v>
      </c>
      <c r="C585" s="1" t="s">
        <v>74</v>
      </c>
      <c r="D585" s="1" t="s">
        <v>74</v>
      </c>
      <c r="E585" s="1" t="s">
        <v>74</v>
      </c>
      <c r="F585" s="1" t="s">
        <v>5009</v>
      </c>
      <c r="G585" s="1" t="s">
        <v>74</v>
      </c>
      <c r="H585" s="1" t="s">
        <v>74</v>
      </c>
      <c r="I585" s="1" t="s">
        <v>5010</v>
      </c>
      <c r="J585" s="1" t="s">
        <v>5011</v>
      </c>
      <c r="K585" s="1" t="s">
        <v>74</v>
      </c>
      <c r="L585" s="1" t="s">
        <v>74</v>
      </c>
      <c r="M585" s="1" t="s">
        <v>74</v>
      </c>
      <c r="N585" s="1" t="s">
        <v>74</v>
      </c>
      <c r="O585" s="1" t="s">
        <v>5012</v>
      </c>
      <c r="P585" s="1" t="s">
        <v>5013</v>
      </c>
      <c r="Q585" s="1" t="s">
        <v>5014</v>
      </c>
      <c r="R585" s="1" t="s">
        <v>5015</v>
      </c>
      <c r="S585" s="1" t="s">
        <v>74</v>
      </c>
      <c r="T585" s="1" t="s">
        <v>74</v>
      </c>
      <c r="U585" s="1" t="s">
        <v>74</v>
      </c>
      <c r="V585" s="1" t="s">
        <v>74</v>
      </c>
      <c r="W585" s="1" t="s">
        <v>74</v>
      </c>
      <c r="X585" s="1" t="s">
        <v>74</v>
      </c>
      <c r="Y585" s="1" t="s">
        <v>74</v>
      </c>
      <c r="Z585" s="1" t="s">
        <v>74</v>
      </c>
      <c r="AA585" s="1" t="s">
        <v>74</v>
      </c>
      <c r="AB585" s="1" t="s">
        <v>74</v>
      </c>
      <c r="AC585" s="1" t="s">
        <v>74</v>
      </c>
      <c r="AD585" s="1" t="s">
        <v>74</v>
      </c>
      <c r="AE585" s="1" t="s">
        <v>74</v>
      </c>
      <c r="AF585" s="1" t="s">
        <v>74</v>
      </c>
      <c r="AG585" s="1" t="s">
        <v>74</v>
      </c>
      <c r="AH585" s="1" t="s">
        <v>74</v>
      </c>
      <c r="AI585" s="1" t="s">
        <v>74</v>
      </c>
      <c r="AJ585" s="1" t="s">
        <v>74</v>
      </c>
      <c r="AK585" s="1" t="s">
        <v>74</v>
      </c>
      <c r="AL585" s="1" t="s">
        <v>74</v>
      </c>
      <c r="AM585" s="1" t="s">
        <v>74</v>
      </c>
      <c r="AN585" s="1" t="s">
        <v>74</v>
      </c>
      <c r="AO585" s="1" t="s">
        <v>5016</v>
      </c>
      <c r="AP585" s="1" t="s">
        <v>74</v>
      </c>
      <c r="AQ585" s="1" t="s">
        <v>74</v>
      </c>
      <c r="AR585" s="1" t="s">
        <v>74</v>
      </c>
      <c r="AS585" s="1" t="s">
        <v>74</v>
      </c>
      <c r="AT585" s="1" t="s">
        <v>1293</v>
      </c>
      <c r="AU585" s="1">
        <v>1996.0</v>
      </c>
      <c r="AV585" s="1">
        <v>82.0</v>
      </c>
      <c r="AW585" s="1" t="s">
        <v>74</v>
      </c>
      <c r="AX585" s="1" t="s">
        <v>74</v>
      </c>
      <c r="AY585" s="1">
        <v>1.0</v>
      </c>
      <c r="AZ585" s="1" t="s">
        <v>74</v>
      </c>
      <c r="BA585" s="1" t="s">
        <v>74</v>
      </c>
      <c r="BB585" s="1" t="s">
        <v>5017</v>
      </c>
      <c r="BC585" s="1" t="s">
        <v>5017</v>
      </c>
      <c r="BD585" s="1" t="s">
        <v>74</v>
      </c>
      <c r="BE585" s="1" t="s">
        <v>74</v>
      </c>
      <c r="BF585" s="1" t="s">
        <v>74</v>
      </c>
      <c r="BG585" s="1" t="s">
        <v>74</v>
      </c>
      <c r="BH585" s="1" t="s">
        <v>74</v>
      </c>
      <c r="BI585" s="1" t="s">
        <v>74</v>
      </c>
      <c r="BJ585" s="1" t="s">
        <v>74</v>
      </c>
      <c r="BK585" s="1" t="s">
        <v>74</v>
      </c>
      <c r="BL585" s="1" t="s">
        <v>74</v>
      </c>
      <c r="BM585" s="1" t="s">
        <v>74</v>
      </c>
      <c r="BN585" s="1" t="s">
        <v>74</v>
      </c>
      <c r="BO585" s="1" t="s">
        <v>74</v>
      </c>
      <c r="BP585" s="1" t="s">
        <v>74</v>
      </c>
      <c r="BQ585" s="1" t="s">
        <v>74</v>
      </c>
      <c r="BR585" s="1" t="s">
        <v>74</v>
      </c>
      <c r="BS585" s="1" t="s">
        <v>5018</v>
      </c>
      <c r="BT585" s="1" t="str">
        <f>HYPERLINK("https%3A%2F%2Fwww.webofscience.com%2Fwos%2Fwoscc%2Ffull-record%2FWOS:A1996UN02500133","View Full Record in Web of Science")</f>
        <v>View Full Record in Web of Science</v>
      </c>
    </row>
    <row r="586" ht="12.75" customHeight="1">
      <c r="A586" s="1" t="s">
        <v>91</v>
      </c>
      <c r="B586" s="1" t="s">
        <v>5019</v>
      </c>
      <c r="C586" s="1" t="s">
        <v>74</v>
      </c>
      <c r="D586" s="1" t="s">
        <v>5020</v>
      </c>
      <c r="E586" s="1" t="s">
        <v>74</v>
      </c>
      <c r="F586" s="1" t="s">
        <v>5019</v>
      </c>
      <c r="G586" s="1" t="s">
        <v>74</v>
      </c>
      <c r="H586" s="1" t="s">
        <v>74</v>
      </c>
      <c r="I586" s="1" t="s">
        <v>5021</v>
      </c>
      <c r="J586" s="1" t="s">
        <v>5022</v>
      </c>
      <c r="K586" s="1" t="s">
        <v>74</v>
      </c>
      <c r="L586" s="1" t="s">
        <v>74</v>
      </c>
      <c r="M586" s="1" t="s">
        <v>74</v>
      </c>
      <c r="N586" s="1" t="s">
        <v>74</v>
      </c>
      <c r="O586" s="1" t="s">
        <v>5023</v>
      </c>
      <c r="P586" s="1" t="s">
        <v>5024</v>
      </c>
      <c r="Q586" s="1" t="s">
        <v>5025</v>
      </c>
      <c r="R586" s="1" t="s">
        <v>5026</v>
      </c>
      <c r="S586" s="1" t="s">
        <v>74</v>
      </c>
      <c r="T586" s="1" t="s">
        <v>74</v>
      </c>
      <c r="U586" s="1" t="s">
        <v>74</v>
      </c>
      <c r="V586" s="1" t="s">
        <v>74</v>
      </c>
      <c r="W586" s="1" t="s">
        <v>74</v>
      </c>
      <c r="X586" s="1" t="s">
        <v>74</v>
      </c>
      <c r="Y586" s="1" t="s">
        <v>74</v>
      </c>
      <c r="Z586" s="1" t="s">
        <v>74</v>
      </c>
      <c r="AA586" s="1" t="s">
        <v>74</v>
      </c>
      <c r="AB586" s="1" t="s">
        <v>74</v>
      </c>
      <c r="AC586" s="1" t="s">
        <v>74</v>
      </c>
      <c r="AD586" s="1" t="s">
        <v>74</v>
      </c>
      <c r="AE586" s="1" t="s">
        <v>74</v>
      </c>
      <c r="AF586" s="1" t="s">
        <v>74</v>
      </c>
      <c r="AG586" s="1" t="s">
        <v>74</v>
      </c>
      <c r="AH586" s="1" t="s">
        <v>74</v>
      </c>
      <c r="AI586" s="1" t="s">
        <v>74</v>
      </c>
      <c r="AJ586" s="1" t="s">
        <v>74</v>
      </c>
      <c r="AK586" s="1" t="s">
        <v>74</v>
      </c>
      <c r="AL586" s="1" t="s">
        <v>74</v>
      </c>
      <c r="AM586" s="1" t="s">
        <v>74</v>
      </c>
      <c r="AN586" s="1" t="s">
        <v>74</v>
      </c>
      <c r="AO586" s="1" t="s">
        <v>74</v>
      </c>
      <c r="AP586" s="1" t="s">
        <v>74</v>
      </c>
      <c r="AQ586" s="1" t="s">
        <v>5027</v>
      </c>
      <c r="AR586" s="1" t="s">
        <v>74</v>
      </c>
      <c r="AS586" s="1" t="s">
        <v>74</v>
      </c>
      <c r="AT586" s="1" t="s">
        <v>74</v>
      </c>
      <c r="AU586" s="1">
        <v>1996.0</v>
      </c>
      <c r="AV586" s="1" t="s">
        <v>74</v>
      </c>
      <c r="AW586" s="1" t="s">
        <v>74</v>
      </c>
      <c r="AX586" s="1" t="s">
        <v>74</v>
      </c>
      <c r="AY586" s="1" t="s">
        <v>74</v>
      </c>
      <c r="AZ586" s="1" t="s">
        <v>74</v>
      </c>
      <c r="BA586" s="1" t="s">
        <v>74</v>
      </c>
      <c r="BB586" s="1">
        <v>605.0</v>
      </c>
      <c r="BC586" s="1">
        <v>612.0</v>
      </c>
      <c r="BD586" s="1" t="s">
        <v>74</v>
      </c>
      <c r="BE586" s="1" t="s">
        <v>74</v>
      </c>
      <c r="BF586" s="1" t="s">
        <v>74</v>
      </c>
      <c r="BG586" s="1" t="s">
        <v>74</v>
      </c>
      <c r="BH586" s="1" t="s">
        <v>74</v>
      </c>
      <c r="BI586" s="1" t="s">
        <v>74</v>
      </c>
      <c r="BJ586" s="1" t="s">
        <v>74</v>
      </c>
      <c r="BK586" s="1" t="s">
        <v>74</v>
      </c>
      <c r="BL586" s="1" t="s">
        <v>74</v>
      </c>
      <c r="BM586" s="1" t="s">
        <v>74</v>
      </c>
      <c r="BN586" s="1" t="s">
        <v>74</v>
      </c>
      <c r="BO586" s="1" t="s">
        <v>74</v>
      </c>
      <c r="BP586" s="1" t="s">
        <v>74</v>
      </c>
      <c r="BQ586" s="1" t="s">
        <v>74</v>
      </c>
      <c r="BR586" s="1" t="s">
        <v>74</v>
      </c>
      <c r="BS586" s="1" t="s">
        <v>5028</v>
      </c>
      <c r="BT586" s="1" t="str">
        <f>HYPERLINK("https%3A%2F%2Fwww.webofscience.com%2Fwos%2Fwoscc%2Ffull-record%2FWOS:A1996BG33W00073","View Full Record in Web of Science")</f>
        <v>View Full Record in Web of Science</v>
      </c>
    </row>
    <row r="587" ht="12.75" customHeight="1">
      <c r="A587" s="1" t="s">
        <v>72</v>
      </c>
      <c r="B587" s="1" t="s">
        <v>5029</v>
      </c>
      <c r="C587" s="1" t="s">
        <v>74</v>
      </c>
      <c r="D587" s="1" t="s">
        <v>74</v>
      </c>
      <c r="E587" s="1" t="s">
        <v>74</v>
      </c>
      <c r="F587" s="1" t="s">
        <v>5029</v>
      </c>
      <c r="G587" s="1" t="s">
        <v>74</v>
      </c>
      <c r="H587" s="1" t="s">
        <v>74</v>
      </c>
      <c r="I587" s="1" t="s">
        <v>5030</v>
      </c>
      <c r="J587" s="1" t="s">
        <v>2622</v>
      </c>
      <c r="K587" s="1" t="s">
        <v>74</v>
      </c>
      <c r="L587" s="1" t="s">
        <v>74</v>
      </c>
      <c r="M587" s="1" t="s">
        <v>74</v>
      </c>
      <c r="N587" s="1" t="s">
        <v>74</v>
      </c>
      <c r="O587" s="1" t="s">
        <v>5031</v>
      </c>
      <c r="P587" s="1" t="s">
        <v>5032</v>
      </c>
      <c r="Q587" s="1" t="s">
        <v>5033</v>
      </c>
      <c r="R587" s="1" t="s">
        <v>5034</v>
      </c>
      <c r="S587" s="1" t="s">
        <v>74</v>
      </c>
      <c r="T587" s="1" t="s">
        <v>74</v>
      </c>
      <c r="U587" s="1" t="s">
        <v>74</v>
      </c>
      <c r="V587" s="1" t="s">
        <v>5035</v>
      </c>
      <c r="W587" s="1" t="s">
        <v>74</v>
      </c>
      <c r="X587" s="1" t="s">
        <v>74</v>
      </c>
      <c r="Y587" s="1" t="s">
        <v>74</v>
      </c>
      <c r="Z587" s="1" t="s">
        <v>74</v>
      </c>
      <c r="AA587" s="1" t="s">
        <v>74</v>
      </c>
      <c r="AB587" s="1" t="s">
        <v>74</v>
      </c>
      <c r="AC587" s="1" t="s">
        <v>74</v>
      </c>
      <c r="AD587" s="1" t="s">
        <v>74</v>
      </c>
      <c r="AE587" s="1" t="s">
        <v>74</v>
      </c>
      <c r="AF587" s="1" t="s">
        <v>74</v>
      </c>
      <c r="AG587" s="1" t="s">
        <v>74</v>
      </c>
      <c r="AH587" s="1" t="s">
        <v>74</v>
      </c>
      <c r="AI587" s="1" t="s">
        <v>74</v>
      </c>
      <c r="AJ587" s="1" t="s">
        <v>74</v>
      </c>
      <c r="AK587" s="1" t="s">
        <v>74</v>
      </c>
      <c r="AL587" s="1" t="s">
        <v>74</v>
      </c>
      <c r="AM587" s="1" t="s">
        <v>74</v>
      </c>
      <c r="AN587" s="1" t="s">
        <v>74</v>
      </c>
      <c r="AO587" s="1" t="s">
        <v>2628</v>
      </c>
      <c r="AP587" s="1" t="s">
        <v>74</v>
      </c>
      <c r="AQ587" s="1" t="s">
        <v>74</v>
      </c>
      <c r="AR587" s="1" t="s">
        <v>74</v>
      </c>
      <c r="AS587" s="1" t="s">
        <v>74</v>
      </c>
      <c r="AT587" s="1" t="s">
        <v>5036</v>
      </c>
      <c r="AU587" s="1">
        <v>1995.0</v>
      </c>
      <c r="AV587" s="1">
        <v>100.0</v>
      </c>
      <c r="AW587" s="1" t="s">
        <v>74</v>
      </c>
      <c r="AX587" s="1" t="s">
        <v>74</v>
      </c>
      <c r="AY587" s="1" t="s">
        <v>74</v>
      </c>
      <c r="AZ587" s="1" t="s">
        <v>74</v>
      </c>
      <c r="BA587" s="1" t="s">
        <v>74</v>
      </c>
      <c r="BB587" s="1">
        <v>155.0</v>
      </c>
      <c r="BC587" s="1">
        <v>163.0</v>
      </c>
      <c r="BD587" s="1" t="s">
        <v>74</v>
      </c>
      <c r="BE587" s="1" t="s">
        <v>5037</v>
      </c>
      <c r="BF587" s="2" t="str">
        <f>HYPERLINK("http://dx.doi.org/10.1016/0927-7757(95)03160-F","http://dx.doi.org/10.1016/0927-7757(95)03160-F")</f>
        <v>http://dx.doi.org/10.1016/0927-7757(95)03160-F</v>
      </c>
      <c r="BG587" s="1" t="s">
        <v>74</v>
      </c>
      <c r="BH587" s="1" t="s">
        <v>74</v>
      </c>
      <c r="BI587" s="1" t="s">
        <v>74</v>
      </c>
      <c r="BJ587" s="1" t="s">
        <v>74</v>
      </c>
      <c r="BK587" s="1" t="s">
        <v>74</v>
      </c>
      <c r="BL587" s="1" t="s">
        <v>74</v>
      </c>
      <c r="BM587" s="1" t="s">
        <v>74</v>
      </c>
      <c r="BN587" s="1" t="s">
        <v>74</v>
      </c>
      <c r="BO587" s="1" t="s">
        <v>74</v>
      </c>
      <c r="BP587" s="1" t="s">
        <v>74</v>
      </c>
      <c r="BQ587" s="1" t="s">
        <v>74</v>
      </c>
      <c r="BR587" s="1" t="s">
        <v>74</v>
      </c>
      <c r="BS587" s="1" t="s">
        <v>5038</v>
      </c>
      <c r="BT587" s="1" t="str">
        <f>HYPERLINK("https%3A%2F%2Fwww.webofscience.com%2Fwos%2Fwoscc%2Ffull-record%2FWOS:A1995RM74100011","View Full Record in Web of Science")</f>
        <v>View Full Record in Web of Science</v>
      </c>
    </row>
    <row r="588" ht="12.75" customHeight="1">
      <c r="A588" s="1" t="s">
        <v>72</v>
      </c>
      <c r="B588" s="1" t="s">
        <v>5039</v>
      </c>
      <c r="C588" s="1" t="s">
        <v>74</v>
      </c>
      <c r="D588" s="1" t="s">
        <v>74</v>
      </c>
      <c r="E588" s="1" t="s">
        <v>74</v>
      </c>
      <c r="F588" s="1" t="s">
        <v>5039</v>
      </c>
      <c r="G588" s="1" t="s">
        <v>74</v>
      </c>
      <c r="H588" s="1" t="s">
        <v>74</v>
      </c>
      <c r="I588" s="1" t="s">
        <v>5040</v>
      </c>
      <c r="J588" s="1" t="s">
        <v>3431</v>
      </c>
      <c r="K588" s="1" t="s">
        <v>74</v>
      </c>
      <c r="L588" s="1" t="s">
        <v>74</v>
      </c>
      <c r="M588" s="1" t="s">
        <v>74</v>
      </c>
      <c r="N588" s="1" t="s">
        <v>74</v>
      </c>
      <c r="O588" s="1" t="s">
        <v>74</v>
      </c>
      <c r="P588" s="1" t="s">
        <v>74</v>
      </c>
      <c r="Q588" s="1" t="s">
        <v>74</v>
      </c>
      <c r="R588" s="1" t="s">
        <v>74</v>
      </c>
      <c r="S588" s="1" t="s">
        <v>74</v>
      </c>
      <c r="T588" s="1" t="s">
        <v>74</v>
      </c>
      <c r="U588" s="1" t="s">
        <v>74</v>
      </c>
      <c r="V588" s="1" t="s">
        <v>5041</v>
      </c>
      <c r="W588" s="1" t="s">
        <v>74</v>
      </c>
      <c r="X588" s="1" t="s">
        <v>74</v>
      </c>
      <c r="Y588" s="1" t="s">
        <v>74</v>
      </c>
      <c r="Z588" s="1" t="s">
        <v>74</v>
      </c>
      <c r="AA588" s="1" t="s">
        <v>74</v>
      </c>
      <c r="AB588" s="1" t="s">
        <v>5042</v>
      </c>
      <c r="AC588" s="1" t="s">
        <v>74</v>
      </c>
      <c r="AD588" s="1" t="s">
        <v>74</v>
      </c>
      <c r="AE588" s="1" t="s">
        <v>74</v>
      </c>
      <c r="AF588" s="1" t="s">
        <v>74</v>
      </c>
      <c r="AG588" s="1" t="s">
        <v>74</v>
      </c>
      <c r="AH588" s="1" t="s">
        <v>74</v>
      </c>
      <c r="AI588" s="1" t="s">
        <v>74</v>
      </c>
      <c r="AJ588" s="1" t="s">
        <v>74</v>
      </c>
      <c r="AK588" s="1" t="s">
        <v>74</v>
      </c>
      <c r="AL588" s="1" t="s">
        <v>74</v>
      </c>
      <c r="AM588" s="1" t="s">
        <v>74</v>
      </c>
      <c r="AN588" s="1" t="s">
        <v>74</v>
      </c>
      <c r="AO588" s="1" t="s">
        <v>3434</v>
      </c>
      <c r="AP588" s="1" t="s">
        <v>74</v>
      </c>
      <c r="AQ588" s="1" t="s">
        <v>74</v>
      </c>
      <c r="AR588" s="1" t="s">
        <v>74</v>
      </c>
      <c r="AS588" s="1" t="s">
        <v>74</v>
      </c>
      <c r="AT588" s="1" t="s">
        <v>370</v>
      </c>
      <c r="AU588" s="1">
        <v>1992.0</v>
      </c>
      <c r="AV588" s="1">
        <v>28.0</v>
      </c>
      <c r="AW588" s="1">
        <v>5.0</v>
      </c>
      <c r="AX588" s="1" t="s">
        <v>74</v>
      </c>
      <c r="AY588" s="1" t="s">
        <v>74</v>
      </c>
      <c r="AZ588" s="1" t="s">
        <v>74</v>
      </c>
      <c r="BA588" s="1" t="s">
        <v>74</v>
      </c>
      <c r="BB588" s="1">
        <v>511.0</v>
      </c>
      <c r="BC588" s="1">
        <v>516.0</v>
      </c>
      <c r="BD588" s="1" t="s">
        <v>74</v>
      </c>
      <c r="BE588" s="1" t="s">
        <v>5043</v>
      </c>
      <c r="BF588" s="2" t="str">
        <f>HYPERLINK("http://dx.doi.org/10.1007/BF00296040","http://dx.doi.org/10.1007/BF00296040")</f>
        <v>http://dx.doi.org/10.1007/BF00296040</v>
      </c>
      <c r="BG588" s="1" t="s">
        <v>74</v>
      </c>
      <c r="BH588" s="1" t="s">
        <v>74</v>
      </c>
      <c r="BI588" s="1" t="s">
        <v>74</v>
      </c>
      <c r="BJ588" s="1" t="s">
        <v>74</v>
      </c>
      <c r="BK588" s="1" t="s">
        <v>74</v>
      </c>
      <c r="BL588" s="1" t="s">
        <v>74</v>
      </c>
      <c r="BM588" s="1" t="s">
        <v>74</v>
      </c>
      <c r="BN588" s="1" t="s">
        <v>74</v>
      </c>
      <c r="BO588" s="1" t="s">
        <v>74</v>
      </c>
      <c r="BP588" s="1" t="s">
        <v>74</v>
      </c>
      <c r="BQ588" s="1" t="s">
        <v>74</v>
      </c>
      <c r="BR588" s="1" t="s">
        <v>74</v>
      </c>
      <c r="BS588" s="1" t="s">
        <v>5044</v>
      </c>
      <c r="BT588" s="1" t="str">
        <f>HYPERLINK("https%3A%2F%2Fwww.webofscience.com%2Fwos%2Fwoscc%2Ffull-record%2FWOS:A1992JC42900004","View Full Record in Web of Science")</f>
        <v>View Full Record in Web of Science</v>
      </c>
    </row>
    <row r="589" ht="12.75" customHeight="1">
      <c r="A589" s="1" t="s">
        <v>72</v>
      </c>
      <c r="B589" s="1" t="s">
        <v>5045</v>
      </c>
      <c r="C589" s="1" t="s">
        <v>74</v>
      </c>
      <c r="D589" s="1" t="s">
        <v>74</v>
      </c>
      <c r="E589" s="1" t="s">
        <v>74</v>
      </c>
      <c r="F589" s="1" t="s">
        <v>5045</v>
      </c>
      <c r="G589" s="1" t="s">
        <v>74</v>
      </c>
      <c r="H589" s="1" t="s">
        <v>74</v>
      </c>
      <c r="I589" s="1" t="s">
        <v>5046</v>
      </c>
      <c r="J589" s="1" t="s">
        <v>5047</v>
      </c>
      <c r="K589" s="1" t="s">
        <v>74</v>
      </c>
      <c r="L589" s="1" t="s">
        <v>74</v>
      </c>
      <c r="M589" s="1" t="s">
        <v>74</v>
      </c>
      <c r="N589" s="1" t="s">
        <v>74</v>
      </c>
      <c r="O589" s="1" t="s">
        <v>74</v>
      </c>
      <c r="P589" s="1" t="s">
        <v>74</v>
      </c>
      <c r="Q589" s="1" t="s">
        <v>74</v>
      </c>
      <c r="R589" s="1" t="s">
        <v>74</v>
      </c>
      <c r="S589" s="1" t="s">
        <v>74</v>
      </c>
      <c r="T589" s="1" t="s">
        <v>74</v>
      </c>
      <c r="U589" s="1" t="s">
        <v>74</v>
      </c>
      <c r="V589" s="1" t="s">
        <v>74</v>
      </c>
      <c r="W589" s="1" t="s">
        <v>74</v>
      </c>
      <c r="X589" s="1" t="s">
        <v>74</v>
      </c>
      <c r="Y589" s="1" t="s">
        <v>74</v>
      </c>
      <c r="Z589" s="1" t="s">
        <v>74</v>
      </c>
      <c r="AA589" s="1" t="s">
        <v>74</v>
      </c>
      <c r="AB589" s="1" t="s">
        <v>74</v>
      </c>
      <c r="AC589" s="1" t="s">
        <v>74</v>
      </c>
      <c r="AD589" s="1" t="s">
        <v>74</v>
      </c>
      <c r="AE589" s="1" t="s">
        <v>74</v>
      </c>
      <c r="AF589" s="1" t="s">
        <v>74</v>
      </c>
      <c r="AG589" s="1" t="s">
        <v>74</v>
      </c>
      <c r="AH589" s="1" t="s">
        <v>74</v>
      </c>
      <c r="AI589" s="1" t="s">
        <v>74</v>
      </c>
      <c r="AJ589" s="1" t="s">
        <v>74</v>
      </c>
      <c r="AK589" s="1" t="s">
        <v>74</v>
      </c>
      <c r="AL589" s="1" t="s">
        <v>74</v>
      </c>
      <c r="AM589" s="1" t="s">
        <v>74</v>
      </c>
      <c r="AN589" s="1" t="s">
        <v>74</v>
      </c>
      <c r="AO589" s="1" t="s">
        <v>5048</v>
      </c>
      <c r="AP589" s="1" t="s">
        <v>74</v>
      </c>
      <c r="AQ589" s="1" t="s">
        <v>74</v>
      </c>
      <c r="AR589" s="1" t="s">
        <v>74</v>
      </c>
      <c r="AS589" s="1" t="s">
        <v>74</v>
      </c>
      <c r="AT589" s="1" t="s">
        <v>74</v>
      </c>
      <c r="AU589" s="1">
        <v>1990.0</v>
      </c>
      <c r="AV589" s="1">
        <v>15.0</v>
      </c>
      <c r="AW589" s="1">
        <v>10.0</v>
      </c>
      <c r="AX589" s="1" t="s">
        <v>74</v>
      </c>
      <c r="AY589" s="1" t="s">
        <v>74</v>
      </c>
      <c r="AZ589" s="1" t="s">
        <v>74</v>
      </c>
      <c r="BA589" s="1" t="s">
        <v>74</v>
      </c>
      <c r="BB589" s="1">
        <v>1361.0</v>
      </c>
      <c r="BC589" s="1">
        <v>1379.0</v>
      </c>
      <c r="BD589" s="1" t="s">
        <v>74</v>
      </c>
      <c r="BE589" s="1" t="s">
        <v>5049</v>
      </c>
      <c r="BF589" s="2" t="str">
        <f>HYPERLINK("http://dx.doi.org/10.1080/03605309908820729","http://dx.doi.org/10.1080/03605309908820729")</f>
        <v>http://dx.doi.org/10.1080/03605309908820729</v>
      </c>
      <c r="BG589" s="1" t="s">
        <v>74</v>
      </c>
      <c r="BH589" s="1" t="s">
        <v>74</v>
      </c>
      <c r="BI589" s="1" t="s">
        <v>74</v>
      </c>
      <c r="BJ589" s="1" t="s">
        <v>74</v>
      </c>
      <c r="BK589" s="1" t="s">
        <v>74</v>
      </c>
      <c r="BL589" s="1" t="s">
        <v>74</v>
      </c>
      <c r="BM589" s="1" t="s">
        <v>74</v>
      </c>
      <c r="BN589" s="1" t="s">
        <v>74</v>
      </c>
      <c r="BO589" s="1" t="s">
        <v>74</v>
      </c>
      <c r="BP589" s="1" t="s">
        <v>74</v>
      </c>
      <c r="BQ589" s="1" t="s">
        <v>74</v>
      </c>
      <c r="BR589" s="1" t="s">
        <v>74</v>
      </c>
      <c r="BS589" s="1" t="s">
        <v>5050</v>
      </c>
      <c r="BT589" s="1" t="str">
        <f>HYPERLINK("https%3A%2F%2Fwww.webofscience.com%2Fwos%2Fwoscc%2Ffull-record%2FWOS:A1990EG75600001","View Full Record in Web of Science")</f>
        <v>View Full Record in Web of Science</v>
      </c>
    </row>
    <row r="590" ht="12.75" customHeight="1">
      <c r="A590" s="1" t="s">
        <v>72</v>
      </c>
      <c r="B590" s="1" t="s">
        <v>1201</v>
      </c>
      <c r="C590" s="1" t="s">
        <v>74</v>
      </c>
      <c r="D590" s="1" t="s">
        <v>74</v>
      </c>
      <c r="E590" s="1" t="s">
        <v>74</v>
      </c>
      <c r="F590" s="1" t="s">
        <v>1201</v>
      </c>
      <c r="G590" s="1" t="s">
        <v>74</v>
      </c>
      <c r="H590" s="1" t="s">
        <v>74</v>
      </c>
      <c r="I590" s="1" t="s">
        <v>5051</v>
      </c>
      <c r="J590" s="1" t="s">
        <v>2657</v>
      </c>
      <c r="K590" s="1" t="s">
        <v>74</v>
      </c>
      <c r="L590" s="1" t="s">
        <v>74</v>
      </c>
      <c r="M590" s="1" t="s">
        <v>74</v>
      </c>
      <c r="N590" s="1" t="s">
        <v>74</v>
      </c>
      <c r="O590" s="1" t="s">
        <v>74</v>
      </c>
      <c r="P590" s="1" t="s">
        <v>74</v>
      </c>
      <c r="Q590" s="1" t="s">
        <v>74</v>
      </c>
      <c r="R590" s="1" t="s">
        <v>74</v>
      </c>
      <c r="S590" s="1" t="s">
        <v>74</v>
      </c>
      <c r="T590" s="1" t="s">
        <v>74</v>
      </c>
      <c r="U590" s="1" t="s">
        <v>74</v>
      </c>
      <c r="V590" s="1" t="s">
        <v>5052</v>
      </c>
      <c r="W590" s="1" t="s">
        <v>74</v>
      </c>
      <c r="X590" s="1" t="s">
        <v>74</v>
      </c>
      <c r="Y590" s="1" t="s">
        <v>74</v>
      </c>
      <c r="Z590" s="1" t="s">
        <v>74</v>
      </c>
      <c r="AA590" s="1" t="s">
        <v>74</v>
      </c>
      <c r="AB590" s="1" t="s">
        <v>74</v>
      </c>
      <c r="AC590" s="1" t="s">
        <v>74</v>
      </c>
      <c r="AD590" s="1" t="s">
        <v>74</v>
      </c>
      <c r="AE590" s="1" t="s">
        <v>74</v>
      </c>
      <c r="AF590" s="1" t="s">
        <v>74</v>
      </c>
      <c r="AG590" s="1" t="s">
        <v>74</v>
      </c>
      <c r="AH590" s="1" t="s">
        <v>74</v>
      </c>
      <c r="AI590" s="1" t="s">
        <v>74</v>
      </c>
      <c r="AJ590" s="1" t="s">
        <v>74</v>
      </c>
      <c r="AK590" s="1" t="s">
        <v>74</v>
      </c>
      <c r="AL590" s="1" t="s">
        <v>74</v>
      </c>
      <c r="AM590" s="1" t="s">
        <v>74</v>
      </c>
      <c r="AN590" s="1" t="s">
        <v>74</v>
      </c>
      <c r="AO590" s="1" t="s">
        <v>2659</v>
      </c>
      <c r="AP590" s="1" t="s">
        <v>74</v>
      </c>
      <c r="AQ590" s="1" t="s">
        <v>74</v>
      </c>
      <c r="AR590" s="1" t="s">
        <v>74</v>
      </c>
      <c r="AS590" s="1" t="s">
        <v>74</v>
      </c>
      <c r="AT590" s="1" t="s">
        <v>5053</v>
      </c>
      <c r="AU590" s="1">
        <v>1989.0</v>
      </c>
      <c r="AV590" s="1">
        <v>994.0</v>
      </c>
      <c r="AW590" s="1">
        <v>1.0</v>
      </c>
      <c r="AX590" s="1" t="s">
        <v>74</v>
      </c>
      <c r="AY590" s="1" t="s">
        <v>74</v>
      </c>
      <c r="AZ590" s="1" t="s">
        <v>74</v>
      </c>
      <c r="BA590" s="1" t="s">
        <v>74</v>
      </c>
      <c r="BB590" s="1">
        <v>7.0</v>
      </c>
      <c r="BC590" s="1">
        <v>11.0</v>
      </c>
      <c r="BD590" s="1" t="s">
        <v>74</v>
      </c>
      <c r="BE590" s="1" t="s">
        <v>5054</v>
      </c>
      <c r="BF590" s="2" t="str">
        <f>HYPERLINK("http://dx.doi.org/10.1016/0167-4838(89)90055-1","http://dx.doi.org/10.1016/0167-4838(89)90055-1")</f>
        <v>http://dx.doi.org/10.1016/0167-4838(89)90055-1</v>
      </c>
      <c r="BG590" s="1" t="s">
        <v>74</v>
      </c>
      <c r="BH590" s="1" t="s">
        <v>74</v>
      </c>
      <c r="BI590" s="1" t="s">
        <v>74</v>
      </c>
      <c r="BJ590" s="1" t="s">
        <v>74</v>
      </c>
      <c r="BK590" s="1" t="s">
        <v>74</v>
      </c>
      <c r="BL590" s="1" t="s">
        <v>74</v>
      </c>
      <c r="BM590" s="1" t="s">
        <v>74</v>
      </c>
      <c r="BN590" s="1">
        <v>2909257.0</v>
      </c>
      <c r="BO590" s="1" t="s">
        <v>74</v>
      </c>
      <c r="BP590" s="1" t="s">
        <v>74</v>
      </c>
      <c r="BQ590" s="1" t="s">
        <v>74</v>
      </c>
      <c r="BR590" s="1" t="s">
        <v>74</v>
      </c>
      <c r="BS590" s="1" t="s">
        <v>5055</v>
      </c>
      <c r="BT590" s="1" t="str">
        <f>HYPERLINK("https%3A%2F%2Fwww.webofscience.com%2Fwos%2Fwoscc%2Ffull-record%2FWOS:A1989R836200002","View Full Record in Web of Science")</f>
        <v>View Full Record in Web of Science</v>
      </c>
    </row>
    <row r="591" ht="12.75" customHeight="1">
      <c r="A591" s="1" t="s">
        <v>72</v>
      </c>
      <c r="B591" s="1" t="s">
        <v>5056</v>
      </c>
      <c r="C591" s="1" t="s">
        <v>74</v>
      </c>
      <c r="D591" s="1" t="s">
        <v>74</v>
      </c>
      <c r="E591" s="1" t="s">
        <v>74</v>
      </c>
      <c r="F591" s="1" t="s">
        <v>5056</v>
      </c>
      <c r="G591" s="1" t="s">
        <v>74</v>
      </c>
      <c r="H591" s="1" t="s">
        <v>74</v>
      </c>
      <c r="I591" s="1" t="s">
        <v>5057</v>
      </c>
      <c r="J591" s="1" t="s">
        <v>1173</v>
      </c>
      <c r="K591" s="1" t="s">
        <v>74</v>
      </c>
      <c r="L591" s="1" t="s">
        <v>74</v>
      </c>
      <c r="M591" s="1" t="s">
        <v>74</v>
      </c>
      <c r="N591" s="1" t="s">
        <v>74</v>
      </c>
      <c r="O591" s="1" t="s">
        <v>74</v>
      </c>
      <c r="P591" s="1" t="s">
        <v>74</v>
      </c>
      <c r="Q591" s="1" t="s">
        <v>74</v>
      </c>
      <c r="R591" s="1" t="s">
        <v>74</v>
      </c>
      <c r="S591" s="1" t="s">
        <v>74</v>
      </c>
      <c r="T591" s="1" t="s">
        <v>74</v>
      </c>
      <c r="U591" s="1" t="s">
        <v>74</v>
      </c>
      <c r="V591" s="1" t="s">
        <v>74</v>
      </c>
      <c r="W591" s="1" t="s">
        <v>74</v>
      </c>
      <c r="X591" s="1" t="s">
        <v>74</v>
      </c>
      <c r="Y591" s="1" t="s">
        <v>74</v>
      </c>
      <c r="Z591" s="1" t="s">
        <v>74</v>
      </c>
      <c r="AA591" s="1" t="s">
        <v>1174</v>
      </c>
      <c r="AB591" s="1" t="s">
        <v>74</v>
      </c>
      <c r="AC591" s="1" t="s">
        <v>74</v>
      </c>
      <c r="AD591" s="1" t="s">
        <v>74</v>
      </c>
      <c r="AE591" s="1" t="s">
        <v>74</v>
      </c>
      <c r="AF591" s="1" t="s">
        <v>74</v>
      </c>
      <c r="AG591" s="1" t="s">
        <v>74</v>
      </c>
      <c r="AH591" s="1" t="s">
        <v>74</v>
      </c>
      <c r="AI591" s="1" t="s">
        <v>74</v>
      </c>
      <c r="AJ591" s="1" t="s">
        <v>74</v>
      </c>
      <c r="AK591" s="1" t="s">
        <v>74</v>
      </c>
      <c r="AL591" s="1" t="s">
        <v>74</v>
      </c>
      <c r="AM591" s="1" t="s">
        <v>74</v>
      </c>
      <c r="AN591" s="1" t="s">
        <v>74</v>
      </c>
      <c r="AO591" s="1" t="s">
        <v>1175</v>
      </c>
      <c r="AP591" s="1" t="s">
        <v>74</v>
      </c>
      <c r="AQ591" s="1" t="s">
        <v>74</v>
      </c>
      <c r="AR591" s="1" t="s">
        <v>74</v>
      </c>
      <c r="AS591" s="1" t="s">
        <v>74</v>
      </c>
      <c r="AT591" s="1" t="s">
        <v>3446</v>
      </c>
      <c r="AU591" s="1">
        <v>1989.0</v>
      </c>
      <c r="AV591" s="1">
        <v>27.0</v>
      </c>
      <c r="AW591" s="1">
        <v>1.0</v>
      </c>
      <c r="AX591" s="1" t="s">
        <v>74</v>
      </c>
      <c r="AY591" s="1" t="s">
        <v>74</v>
      </c>
      <c r="AZ591" s="1" t="s">
        <v>74</v>
      </c>
      <c r="BA591" s="1" t="s">
        <v>74</v>
      </c>
      <c r="BB591" s="1">
        <v>139.0</v>
      </c>
      <c r="BC591" s="1">
        <v>145.0</v>
      </c>
      <c r="BD591" s="1" t="s">
        <v>74</v>
      </c>
      <c r="BE591" s="1" t="s">
        <v>5058</v>
      </c>
      <c r="BF591" s="2" t="str">
        <f>HYPERLINK("http://dx.doi.org/10.1002/pola.1989.080270112","http://dx.doi.org/10.1002/pola.1989.080270112")</f>
        <v>http://dx.doi.org/10.1002/pola.1989.080270112</v>
      </c>
      <c r="BG591" s="1" t="s">
        <v>74</v>
      </c>
      <c r="BH591" s="1" t="s">
        <v>74</v>
      </c>
      <c r="BI591" s="1" t="s">
        <v>74</v>
      </c>
      <c r="BJ591" s="1" t="s">
        <v>74</v>
      </c>
      <c r="BK591" s="1" t="s">
        <v>74</v>
      </c>
      <c r="BL591" s="1" t="s">
        <v>74</v>
      </c>
      <c r="BM591" s="1" t="s">
        <v>74</v>
      </c>
      <c r="BN591" s="1" t="s">
        <v>74</v>
      </c>
      <c r="BO591" s="1" t="s">
        <v>74</v>
      </c>
      <c r="BP591" s="1" t="s">
        <v>74</v>
      </c>
      <c r="BQ591" s="1" t="s">
        <v>74</v>
      </c>
      <c r="BR591" s="1" t="s">
        <v>74</v>
      </c>
      <c r="BS591" s="1" t="s">
        <v>5059</v>
      </c>
      <c r="BT591" s="1" t="str">
        <f>HYPERLINK("https%3A%2F%2Fwww.webofscience.com%2Fwos%2Fwoscc%2Ffull-record%2FWOS:A1989R681000012","View Full Record in Web of Science")</f>
        <v>View Full Record in Web of Science</v>
      </c>
    </row>
    <row r="592" ht="12.75" customHeight="1">
      <c r="A592" s="1" t="s">
        <v>72</v>
      </c>
      <c r="B592" s="1" t="s">
        <v>3474</v>
      </c>
      <c r="C592" s="1" t="s">
        <v>74</v>
      </c>
      <c r="D592" s="1" t="s">
        <v>74</v>
      </c>
      <c r="E592" s="1" t="s">
        <v>74</v>
      </c>
      <c r="F592" s="1" t="s">
        <v>3474</v>
      </c>
      <c r="G592" s="1" t="s">
        <v>74</v>
      </c>
      <c r="H592" s="1" t="s">
        <v>74</v>
      </c>
      <c r="I592" s="1" t="s">
        <v>5060</v>
      </c>
      <c r="J592" s="1" t="s">
        <v>177</v>
      </c>
      <c r="K592" s="1" t="s">
        <v>74</v>
      </c>
      <c r="L592" s="1" t="s">
        <v>74</v>
      </c>
      <c r="M592" s="1" t="s">
        <v>74</v>
      </c>
      <c r="N592" s="1" t="s">
        <v>74</v>
      </c>
      <c r="O592" s="1" t="s">
        <v>74</v>
      </c>
      <c r="P592" s="1" t="s">
        <v>74</v>
      </c>
      <c r="Q592" s="1" t="s">
        <v>74</v>
      </c>
      <c r="R592" s="1" t="s">
        <v>74</v>
      </c>
      <c r="S592" s="1" t="s">
        <v>74</v>
      </c>
      <c r="T592" s="1" t="s">
        <v>74</v>
      </c>
      <c r="U592" s="1" t="s">
        <v>74</v>
      </c>
      <c r="V592" s="1" t="s">
        <v>74</v>
      </c>
      <c r="W592" s="1" t="s">
        <v>74</v>
      </c>
      <c r="X592" s="1" t="s">
        <v>74</v>
      </c>
      <c r="Y592" s="1" t="s">
        <v>74</v>
      </c>
      <c r="Z592" s="1" t="s">
        <v>74</v>
      </c>
      <c r="AA592" s="1" t="s">
        <v>74</v>
      </c>
      <c r="AB592" s="1" t="s">
        <v>74</v>
      </c>
      <c r="AC592" s="1" t="s">
        <v>74</v>
      </c>
      <c r="AD592" s="1" t="s">
        <v>74</v>
      </c>
      <c r="AE592" s="1" t="s">
        <v>74</v>
      </c>
      <c r="AF592" s="1" t="s">
        <v>74</v>
      </c>
      <c r="AG592" s="1" t="s">
        <v>74</v>
      </c>
      <c r="AH592" s="1" t="s">
        <v>74</v>
      </c>
      <c r="AI592" s="1" t="s">
        <v>74</v>
      </c>
      <c r="AJ592" s="1" t="s">
        <v>74</v>
      </c>
      <c r="AK592" s="1" t="s">
        <v>74</v>
      </c>
      <c r="AL592" s="1" t="s">
        <v>74</v>
      </c>
      <c r="AM592" s="1" t="s">
        <v>74</v>
      </c>
      <c r="AN592" s="1" t="s">
        <v>74</v>
      </c>
      <c r="AO592" s="1" t="s">
        <v>179</v>
      </c>
      <c r="AP592" s="1" t="s">
        <v>74</v>
      </c>
      <c r="AQ592" s="1" t="s">
        <v>74</v>
      </c>
      <c r="AR592" s="1" t="s">
        <v>74</v>
      </c>
      <c r="AS592" s="1" t="s">
        <v>74</v>
      </c>
      <c r="AT592" s="1" t="s">
        <v>276</v>
      </c>
      <c r="AU592" s="1">
        <v>1988.0</v>
      </c>
      <c r="AV592" s="1">
        <v>33.0</v>
      </c>
      <c r="AW592" s="1">
        <v>3.0</v>
      </c>
      <c r="AX592" s="1" t="s">
        <v>74</v>
      </c>
      <c r="AY592" s="1" t="s">
        <v>74</v>
      </c>
      <c r="AZ592" s="1" t="s">
        <v>74</v>
      </c>
      <c r="BA592" s="1" t="s">
        <v>74</v>
      </c>
      <c r="BB592" s="1">
        <v>147.0</v>
      </c>
      <c r="BC592" s="1">
        <v>150.0</v>
      </c>
      <c r="BD592" s="1" t="s">
        <v>74</v>
      </c>
      <c r="BE592" s="1" t="s">
        <v>74</v>
      </c>
      <c r="BF592" s="1" t="s">
        <v>74</v>
      </c>
      <c r="BG592" s="1" t="s">
        <v>74</v>
      </c>
      <c r="BH592" s="1" t="s">
        <v>74</v>
      </c>
      <c r="BI592" s="1" t="s">
        <v>74</v>
      </c>
      <c r="BJ592" s="1" t="s">
        <v>74</v>
      </c>
      <c r="BK592" s="1" t="s">
        <v>74</v>
      </c>
      <c r="BL592" s="1" t="s">
        <v>74</v>
      </c>
      <c r="BM592" s="1" t="s">
        <v>74</v>
      </c>
      <c r="BN592" s="1" t="s">
        <v>74</v>
      </c>
      <c r="BO592" s="1" t="s">
        <v>74</v>
      </c>
      <c r="BP592" s="1" t="s">
        <v>74</v>
      </c>
      <c r="BQ592" s="1" t="s">
        <v>74</v>
      </c>
      <c r="BR592" s="1" t="s">
        <v>74</v>
      </c>
      <c r="BS592" s="1" t="s">
        <v>5061</v>
      </c>
      <c r="BT592" s="1" t="str">
        <f>HYPERLINK("https%3A%2F%2Fwww.webofscience.com%2Fwos%2Fwoscc%2Ffull-record%2FWOS:A1988Q133800007","View Full Record in Web of Science")</f>
        <v>View Full Record in Web of Science</v>
      </c>
    </row>
    <row r="593" ht="12.75" customHeight="1">
      <c r="A593" s="1" t="s">
        <v>72</v>
      </c>
      <c r="B593" s="1" t="s">
        <v>5062</v>
      </c>
      <c r="C593" s="1" t="s">
        <v>74</v>
      </c>
      <c r="D593" s="1" t="s">
        <v>74</v>
      </c>
      <c r="E593" s="1" t="s">
        <v>74</v>
      </c>
      <c r="F593" s="1" t="s">
        <v>5062</v>
      </c>
      <c r="G593" s="1" t="s">
        <v>74</v>
      </c>
      <c r="H593" s="1" t="s">
        <v>74</v>
      </c>
      <c r="I593" s="1" t="s">
        <v>5063</v>
      </c>
      <c r="J593" s="1" t="s">
        <v>5064</v>
      </c>
      <c r="K593" s="1" t="s">
        <v>74</v>
      </c>
      <c r="L593" s="1" t="s">
        <v>74</v>
      </c>
      <c r="M593" s="1" t="s">
        <v>74</v>
      </c>
      <c r="N593" s="1" t="s">
        <v>74</v>
      </c>
      <c r="O593" s="1" t="s">
        <v>74</v>
      </c>
      <c r="P593" s="1" t="s">
        <v>74</v>
      </c>
      <c r="Q593" s="1" t="s">
        <v>74</v>
      </c>
      <c r="R593" s="1" t="s">
        <v>74</v>
      </c>
      <c r="S593" s="1" t="s">
        <v>74</v>
      </c>
      <c r="T593" s="1" t="s">
        <v>74</v>
      </c>
      <c r="U593" s="1" t="s">
        <v>74</v>
      </c>
      <c r="V593" s="1" t="s">
        <v>74</v>
      </c>
      <c r="W593" s="1" t="s">
        <v>74</v>
      </c>
      <c r="X593" s="1" t="s">
        <v>74</v>
      </c>
      <c r="Y593" s="1" t="s">
        <v>74</v>
      </c>
      <c r="Z593" s="1" t="s">
        <v>74</v>
      </c>
      <c r="AA593" s="1" t="s">
        <v>74</v>
      </c>
      <c r="AB593" s="1" t="s">
        <v>74</v>
      </c>
      <c r="AC593" s="1" t="s">
        <v>74</v>
      </c>
      <c r="AD593" s="1" t="s">
        <v>74</v>
      </c>
      <c r="AE593" s="1" t="s">
        <v>74</v>
      </c>
      <c r="AF593" s="1" t="s">
        <v>74</v>
      </c>
      <c r="AG593" s="1" t="s">
        <v>74</v>
      </c>
      <c r="AH593" s="1" t="s">
        <v>74</v>
      </c>
      <c r="AI593" s="1" t="s">
        <v>74</v>
      </c>
      <c r="AJ593" s="1" t="s">
        <v>74</v>
      </c>
      <c r="AK593" s="1" t="s">
        <v>74</v>
      </c>
      <c r="AL593" s="1" t="s">
        <v>74</v>
      </c>
      <c r="AM593" s="1" t="s">
        <v>74</v>
      </c>
      <c r="AN593" s="1" t="s">
        <v>74</v>
      </c>
      <c r="AO593" s="1" t="s">
        <v>5065</v>
      </c>
      <c r="AP593" s="1" t="s">
        <v>74</v>
      </c>
      <c r="AQ593" s="1" t="s">
        <v>74</v>
      </c>
      <c r="AR593" s="1" t="s">
        <v>74</v>
      </c>
      <c r="AS593" s="1" t="s">
        <v>74</v>
      </c>
      <c r="AT593" s="1" t="s">
        <v>74</v>
      </c>
      <c r="AU593" s="1">
        <v>1980.0</v>
      </c>
      <c r="AV593" s="1">
        <v>10.0</v>
      </c>
      <c r="AW593" s="1">
        <v>1.0</v>
      </c>
      <c r="AX593" s="1" t="s">
        <v>74</v>
      </c>
      <c r="AY593" s="1" t="s">
        <v>74</v>
      </c>
      <c r="AZ593" s="1" t="s">
        <v>74</v>
      </c>
      <c r="BA593" s="1" t="s">
        <v>74</v>
      </c>
      <c r="BB593" s="1">
        <v>53.0</v>
      </c>
      <c r="BC593" s="1">
        <v>64.0</v>
      </c>
      <c r="BD593" s="1" t="s">
        <v>74</v>
      </c>
      <c r="BE593" s="1" t="s">
        <v>5066</v>
      </c>
      <c r="BF593" s="2" t="str">
        <f>HYPERLINK("http://dx.doi.org/10.1007/BF00276395","http://dx.doi.org/10.1007/BF00276395")</f>
        <v>http://dx.doi.org/10.1007/BF00276395</v>
      </c>
      <c r="BG593" s="1" t="s">
        <v>74</v>
      </c>
      <c r="BH593" s="1" t="s">
        <v>74</v>
      </c>
      <c r="BI593" s="1" t="s">
        <v>74</v>
      </c>
      <c r="BJ593" s="1" t="s">
        <v>74</v>
      </c>
      <c r="BK593" s="1" t="s">
        <v>74</v>
      </c>
      <c r="BL593" s="1" t="s">
        <v>74</v>
      </c>
      <c r="BM593" s="1" t="s">
        <v>74</v>
      </c>
      <c r="BN593" s="1">
        <v>7205076.0</v>
      </c>
      <c r="BO593" s="1" t="s">
        <v>74</v>
      </c>
      <c r="BP593" s="1" t="s">
        <v>74</v>
      </c>
      <c r="BQ593" s="1" t="s">
        <v>74</v>
      </c>
      <c r="BR593" s="1" t="s">
        <v>74</v>
      </c>
      <c r="BS593" s="1" t="s">
        <v>5067</v>
      </c>
      <c r="BT593" s="1" t="str">
        <f>HYPERLINK("https%3A%2F%2Fwww.webofscience.com%2Fwos%2Fwoscc%2Ffull-record%2FWOS:A1980KF08900004","View Full Record in Web of Science")</f>
        <v>View Full Record in Web of Science</v>
      </c>
    </row>
    <row r="594" ht="12.75" customHeight="1">
      <c r="A594" s="1" t="s">
        <v>72</v>
      </c>
      <c r="B594" s="1" t="s">
        <v>5068</v>
      </c>
      <c r="C594" s="1" t="s">
        <v>74</v>
      </c>
      <c r="D594" s="1" t="s">
        <v>74</v>
      </c>
      <c r="E594" s="1" t="s">
        <v>74</v>
      </c>
      <c r="F594" s="1" t="s">
        <v>5068</v>
      </c>
      <c r="G594" s="1" t="s">
        <v>74</v>
      </c>
      <c r="H594" s="1" t="s">
        <v>74</v>
      </c>
      <c r="I594" s="1" t="s">
        <v>5069</v>
      </c>
      <c r="J594" s="1" t="s">
        <v>203</v>
      </c>
      <c r="K594" s="1" t="s">
        <v>74</v>
      </c>
      <c r="L594" s="1" t="s">
        <v>74</v>
      </c>
      <c r="M594" s="1" t="s">
        <v>74</v>
      </c>
      <c r="N594" s="1" t="s">
        <v>74</v>
      </c>
      <c r="O594" s="1" t="s">
        <v>74</v>
      </c>
      <c r="P594" s="1" t="s">
        <v>74</v>
      </c>
      <c r="Q594" s="1" t="s">
        <v>74</v>
      </c>
      <c r="R594" s="1" t="s">
        <v>74</v>
      </c>
      <c r="S594" s="1" t="s">
        <v>74</v>
      </c>
      <c r="T594" s="1" t="s">
        <v>74</v>
      </c>
      <c r="U594" s="1" t="s">
        <v>74</v>
      </c>
      <c r="V594" s="1" t="s">
        <v>74</v>
      </c>
      <c r="W594" s="1" t="s">
        <v>74</v>
      </c>
      <c r="X594" s="1" t="s">
        <v>74</v>
      </c>
      <c r="Y594" s="1" t="s">
        <v>74</v>
      </c>
      <c r="Z594" s="1" t="s">
        <v>74</v>
      </c>
      <c r="AA594" s="1" t="s">
        <v>74</v>
      </c>
      <c r="AB594" s="1" t="s">
        <v>74</v>
      </c>
      <c r="AC594" s="1" t="s">
        <v>74</v>
      </c>
      <c r="AD594" s="1" t="s">
        <v>74</v>
      </c>
      <c r="AE594" s="1" t="s">
        <v>74</v>
      </c>
      <c r="AF594" s="1" t="s">
        <v>74</v>
      </c>
      <c r="AG594" s="1" t="s">
        <v>74</v>
      </c>
      <c r="AH594" s="1" t="s">
        <v>74</v>
      </c>
      <c r="AI594" s="1" t="s">
        <v>74</v>
      </c>
      <c r="AJ594" s="1" t="s">
        <v>74</v>
      </c>
      <c r="AK594" s="1" t="s">
        <v>74</v>
      </c>
      <c r="AL594" s="1" t="s">
        <v>74</v>
      </c>
      <c r="AM594" s="1" t="s">
        <v>74</v>
      </c>
      <c r="AN594" s="1" t="s">
        <v>74</v>
      </c>
      <c r="AO594" s="1" t="s">
        <v>204</v>
      </c>
      <c r="AP594" s="1" t="s">
        <v>74</v>
      </c>
      <c r="AQ594" s="1" t="s">
        <v>74</v>
      </c>
      <c r="AR594" s="1" t="s">
        <v>74</v>
      </c>
      <c r="AS594" s="1" t="s">
        <v>74</v>
      </c>
      <c r="AT594" s="1" t="s">
        <v>74</v>
      </c>
      <c r="AU594" s="1">
        <v>1979.0</v>
      </c>
      <c r="AV594" s="1">
        <v>12.0</v>
      </c>
      <c r="AW594" s="1">
        <v>5.0</v>
      </c>
      <c r="AX594" s="1" t="s">
        <v>74</v>
      </c>
      <c r="AY594" s="1" t="s">
        <v>74</v>
      </c>
      <c r="AZ594" s="1" t="s">
        <v>74</v>
      </c>
      <c r="BA594" s="1" t="s">
        <v>74</v>
      </c>
      <c r="BB594" s="1">
        <v>640.0</v>
      </c>
      <c r="BC594" s="1">
        <v>640.0</v>
      </c>
      <c r="BD594" s="1" t="s">
        <v>74</v>
      </c>
      <c r="BE594" s="1" t="s">
        <v>74</v>
      </c>
      <c r="BF594" s="1" t="s">
        <v>74</v>
      </c>
      <c r="BG594" s="1" t="s">
        <v>74</v>
      </c>
      <c r="BH594" s="1" t="s">
        <v>74</v>
      </c>
      <c r="BI594" s="1" t="s">
        <v>74</v>
      </c>
      <c r="BJ594" s="1" t="s">
        <v>74</v>
      </c>
      <c r="BK594" s="1" t="s">
        <v>74</v>
      </c>
      <c r="BL594" s="1" t="s">
        <v>74</v>
      </c>
      <c r="BM594" s="1" t="s">
        <v>74</v>
      </c>
      <c r="BN594" s="1" t="s">
        <v>74</v>
      </c>
      <c r="BO594" s="1" t="s">
        <v>74</v>
      </c>
      <c r="BP594" s="1" t="s">
        <v>74</v>
      </c>
      <c r="BQ594" s="1" t="s">
        <v>74</v>
      </c>
      <c r="BR594" s="1" t="s">
        <v>74</v>
      </c>
      <c r="BS594" s="1" t="s">
        <v>5070</v>
      </c>
      <c r="BT594" s="1" t="str">
        <f>HYPERLINK("https%3A%2F%2Fwww.webofscience.com%2Fwos%2Fwoscc%2Ffull-record%2FWOS:A1979JP38800044","View Full Record in Web of Science")</f>
        <v>View Full Record in Web of Science</v>
      </c>
    </row>
    <row r="595" ht="12.75" customHeight="1">
      <c r="A595" s="1" t="s">
        <v>72</v>
      </c>
      <c r="B595" s="1" t="s">
        <v>5071</v>
      </c>
      <c r="C595" s="1" t="s">
        <v>74</v>
      </c>
      <c r="D595" s="1" t="s">
        <v>74</v>
      </c>
      <c r="E595" s="1" t="s">
        <v>74</v>
      </c>
      <c r="F595" s="1" t="s">
        <v>5071</v>
      </c>
      <c r="G595" s="1" t="s">
        <v>74</v>
      </c>
      <c r="H595" s="1" t="s">
        <v>74</v>
      </c>
      <c r="I595" s="1" t="s">
        <v>5072</v>
      </c>
      <c r="J595" s="1" t="s">
        <v>5073</v>
      </c>
      <c r="K595" s="1" t="s">
        <v>74</v>
      </c>
      <c r="L595" s="1" t="s">
        <v>74</v>
      </c>
      <c r="M595" s="1" t="s">
        <v>74</v>
      </c>
      <c r="N595" s="1" t="s">
        <v>74</v>
      </c>
      <c r="O595" s="1" t="s">
        <v>74</v>
      </c>
      <c r="P595" s="1" t="s">
        <v>74</v>
      </c>
      <c r="Q595" s="1" t="s">
        <v>74</v>
      </c>
      <c r="R595" s="1" t="s">
        <v>74</v>
      </c>
      <c r="S595" s="1" t="s">
        <v>74</v>
      </c>
      <c r="T595" s="1" t="s">
        <v>74</v>
      </c>
      <c r="U595" s="1" t="s">
        <v>74</v>
      </c>
      <c r="V595" s="1" t="s">
        <v>74</v>
      </c>
      <c r="W595" s="1" t="s">
        <v>74</v>
      </c>
      <c r="X595" s="1" t="s">
        <v>74</v>
      </c>
      <c r="Y595" s="1" t="s">
        <v>74</v>
      </c>
      <c r="Z595" s="1" t="s">
        <v>74</v>
      </c>
      <c r="AA595" s="1" t="s">
        <v>74</v>
      </c>
      <c r="AB595" s="1" t="s">
        <v>74</v>
      </c>
      <c r="AC595" s="1" t="s">
        <v>74</v>
      </c>
      <c r="AD595" s="1" t="s">
        <v>74</v>
      </c>
      <c r="AE595" s="1" t="s">
        <v>74</v>
      </c>
      <c r="AF595" s="1" t="s">
        <v>74</v>
      </c>
      <c r="AG595" s="1" t="s">
        <v>74</v>
      </c>
      <c r="AH595" s="1" t="s">
        <v>74</v>
      </c>
      <c r="AI595" s="1" t="s">
        <v>74</v>
      </c>
      <c r="AJ595" s="1" t="s">
        <v>74</v>
      </c>
      <c r="AK595" s="1" t="s">
        <v>74</v>
      </c>
      <c r="AL595" s="1" t="s">
        <v>74</v>
      </c>
      <c r="AM595" s="1" t="s">
        <v>74</v>
      </c>
      <c r="AN595" s="1" t="s">
        <v>74</v>
      </c>
      <c r="AO595" s="1" t="s">
        <v>5074</v>
      </c>
      <c r="AP595" s="1" t="s">
        <v>74</v>
      </c>
      <c r="AQ595" s="1" t="s">
        <v>74</v>
      </c>
      <c r="AR595" s="1" t="s">
        <v>74</v>
      </c>
      <c r="AS595" s="1" t="s">
        <v>74</v>
      </c>
      <c r="AT595" s="1" t="s">
        <v>74</v>
      </c>
      <c r="AU595" s="1">
        <v>1976.0</v>
      </c>
      <c r="AV595" s="1">
        <v>98.0</v>
      </c>
      <c r="AW595" s="1">
        <v>11.0</v>
      </c>
      <c r="AX595" s="1" t="s">
        <v>74</v>
      </c>
      <c r="AY595" s="1" t="s">
        <v>74</v>
      </c>
      <c r="AZ595" s="1" t="s">
        <v>74</v>
      </c>
      <c r="BA595" s="1" t="s">
        <v>74</v>
      </c>
      <c r="BB595" s="1">
        <v>3386.0</v>
      </c>
      <c r="BC595" s="1">
        <v>3387.0</v>
      </c>
      <c r="BD595" s="1" t="s">
        <v>74</v>
      </c>
      <c r="BE595" s="1" t="s">
        <v>5075</v>
      </c>
      <c r="BF595" s="2" t="str">
        <f>HYPERLINK("http://dx.doi.org/10.1021/ja00427a063","http://dx.doi.org/10.1021/ja00427a063")</f>
        <v>http://dx.doi.org/10.1021/ja00427a063</v>
      </c>
      <c r="BG595" s="1" t="s">
        <v>74</v>
      </c>
      <c r="BH595" s="1" t="s">
        <v>74</v>
      </c>
      <c r="BI595" s="1" t="s">
        <v>74</v>
      </c>
      <c r="BJ595" s="1" t="s">
        <v>74</v>
      </c>
      <c r="BK595" s="1" t="s">
        <v>74</v>
      </c>
      <c r="BL595" s="1" t="s">
        <v>74</v>
      </c>
      <c r="BM595" s="1" t="s">
        <v>74</v>
      </c>
      <c r="BN595" s="1" t="s">
        <v>74</v>
      </c>
      <c r="BO595" s="1" t="s">
        <v>74</v>
      </c>
      <c r="BP595" s="1" t="s">
        <v>74</v>
      </c>
      <c r="BQ595" s="1" t="s">
        <v>74</v>
      </c>
      <c r="BR595" s="1" t="s">
        <v>74</v>
      </c>
      <c r="BS595" s="1" t="s">
        <v>5076</v>
      </c>
      <c r="BT595" s="1" t="str">
        <f>HYPERLINK("https%3A%2F%2Fwww.webofscience.com%2Fwos%2Fwoscc%2Ffull-record%2FWOS:A1976BS45600063","View Full Record in Web of Science")</f>
        <v>View Full Record in Web of Science</v>
      </c>
    </row>
    <row r="596" ht="12.75" customHeight="1">
      <c r="A596" s="1" t="s">
        <v>91</v>
      </c>
      <c r="B596" s="1" t="s">
        <v>5077</v>
      </c>
      <c r="C596" s="1" t="s">
        <v>74</v>
      </c>
      <c r="D596" s="1" t="s">
        <v>5078</v>
      </c>
      <c r="E596" s="1" t="s">
        <v>74</v>
      </c>
      <c r="F596" s="1" t="s">
        <v>5079</v>
      </c>
      <c r="G596" s="1" t="s">
        <v>74</v>
      </c>
      <c r="H596" s="1" t="s">
        <v>74</v>
      </c>
      <c r="I596" s="1" t="s">
        <v>5080</v>
      </c>
      <c r="J596" s="1" t="s">
        <v>5081</v>
      </c>
      <c r="K596" s="1" t="s">
        <v>5082</v>
      </c>
      <c r="L596" s="1" t="s">
        <v>74</v>
      </c>
      <c r="M596" s="1" t="s">
        <v>74</v>
      </c>
      <c r="N596" s="1" t="s">
        <v>74</v>
      </c>
      <c r="O596" s="1" t="s">
        <v>5083</v>
      </c>
      <c r="P596" s="1" t="s">
        <v>5084</v>
      </c>
      <c r="Q596" s="1" t="s">
        <v>4433</v>
      </c>
      <c r="R596" s="1" t="s">
        <v>74</v>
      </c>
      <c r="S596" s="1" t="s">
        <v>74</v>
      </c>
      <c r="T596" s="1" t="s">
        <v>74</v>
      </c>
      <c r="U596" s="1" t="s">
        <v>74</v>
      </c>
      <c r="V596" s="1" t="s">
        <v>5085</v>
      </c>
      <c r="W596" s="1" t="s">
        <v>74</v>
      </c>
      <c r="X596" s="1" t="s">
        <v>74</v>
      </c>
      <c r="Y596" s="1" t="s">
        <v>74</v>
      </c>
      <c r="Z596" s="1" t="s">
        <v>74</v>
      </c>
      <c r="AA596" s="1" t="s">
        <v>74</v>
      </c>
      <c r="AB596" s="1" t="s">
        <v>74</v>
      </c>
      <c r="AC596" s="1" t="s">
        <v>74</v>
      </c>
      <c r="AD596" s="1" t="s">
        <v>74</v>
      </c>
      <c r="AE596" s="1" t="s">
        <v>74</v>
      </c>
      <c r="AF596" s="1" t="s">
        <v>74</v>
      </c>
      <c r="AG596" s="1" t="s">
        <v>74</v>
      </c>
      <c r="AH596" s="1" t="s">
        <v>74</v>
      </c>
      <c r="AI596" s="1" t="s">
        <v>74</v>
      </c>
      <c r="AJ596" s="1" t="s">
        <v>74</v>
      </c>
      <c r="AK596" s="1" t="s">
        <v>74</v>
      </c>
      <c r="AL596" s="1" t="s">
        <v>74</v>
      </c>
      <c r="AM596" s="1" t="s">
        <v>74</v>
      </c>
      <c r="AN596" s="1" t="s">
        <v>74</v>
      </c>
      <c r="AO596" s="1" t="s">
        <v>5086</v>
      </c>
      <c r="AP596" s="1" t="s">
        <v>5087</v>
      </c>
      <c r="AQ596" s="1" t="s">
        <v>5088</v>
      </c>
      <c r="AR596" s="1" t="s">
        <v>74</v>
      </c>
      <c r="AS596" s="1" t="s">
        <v>74</v>
      </c>
      <c r="AT596" s="1" t="s">
        <v>74</v>
      </c>
      <c r="AU596" s="1">
        <v>2025.0</v>
      </c>
      <c r="AV596" s="1" t="s">
        <v>74</v>
      </c>
      <c r="AW596" s="1" t="s">
        <v>74</v>
      </c>
      <c r="AX596" s="1" t="s">
        <v>74</v>
      </c>
      <c r="AY596" s="1" t="s">
        <v>74</v>
      </c>
      <c r="AZ596" s="1" t="s">
        <v>74</v>
      </c>
      <c r="BA596" s="1" t="s">
        <v>74</v>
      </c>
      <c r="BB596" s="1">
        <v>551.0</v>
      </c>
      <c r="BC596" s="1">
        <v>559.0</v>
      </c>
      <c r="BD596" s="1" t="s">
        <v>74</v>
      </c>
      <c r="BE596" s="1" t="s">
        <v>5089</v>
      </c>
      <c r="BF596" s="2" t="str">
        <f>HYPERLINK("http://dx.doi.org/10.1007/978-3-031-72490-9_55","http://dx.doi.org/10.1007/978-3-031-72490-9_55")</f>
        <v>http://dx.doi.org/10.1007/978-3-031-72490-9_55</v>
      </c>
      <c r="BG596" s="1" t="s">
        <v>74</v>
      </c>
      <c r="BH596" s="1" t="s">
        <v>74</v>
      </c>
      <c r="BI596" s="1" t="s">
        <v>74</v>
      </c>
      <c r="BJ596" s="1" t="s">
        <v>74</v>
      </c>
      <c r="BK596" s="1" t="s">
        <v>74</v>
      </c>
      <c r="BL596" s="1" t="s">
        <v>74</v>
      </c>
      <c r="BM596" s="1" t="s">
        <v>74</v>
      </c>
      <c r="BN596" s="1" t="s">
        <v>74</v>
      </c>
      <c r="BO596" s="1" t="s">
        <v>74</v>
      </c>
      <c r="BP596" s="1" t="s">
        <v>74</v>
      </c>
      <c r="BQ596" s="1" t="s">
        <v>74</v>
      </c>
      <c r="BR596" s="1" t="s">
        <v>74</v>
      </c>
      <c r="BS596" s="1" t="s">
        <v>5090</v>
      </c>
      <c r="BT596" s="1" t="str">
        <f>HYPERLINK("https%3A%2F%2Fwww.webofscience.com%2Fwos%2Fwoscc%2Ffull-record%2FWOS:001460827600055","View Full Record in Web of Science")</f>
        <v>View Full Record in Web of Science</v>
      </c>
    </row>
    <row r="597" ht="12.75" customHeight="1">
      <c r="A597" s="1" t="s">
        <v>72</v>
      </c>
      <c r="B597" s="1" t="s">
        <v>5091</v>
      </c>
      <c r="C597" s="1" t="s">
        <v>74</v>
      </c>
      <c r="D597" s="1" t="s">
        <v>74</v>
      </c>
      <c r="E597" s="1" t="s">
        <v>74</v>
      </c>
      <c r="F597" s="1" t="s">
        <v>5092</v>
      </c>
      <c r="G597" s="1" t="s">
        <v>74</v>
      </c>
      <c r="H597" s="1" t="s">
        <v>74</v>
      </c>
      <c r="I597" s="1" t="s">
        <v>5093</v>
      </c>
      <c r="J597" s="1" t="s">
        <v>5094</v>
      </c>
      <c r="K597" s="1" t="s">
        <v>74</v>
      </c>
      <c r="L597" s="1" t="s">
        <v>74</v>
      </c>
      <c r="M597" s="1" t="s">
        <v>74</v>
      </c>
      <c r="N597" s="1" t="s">
        <v>74</v>
      </c>
      <c r="O597" s="1" t="s">
        <v>74</v>
      </c>
      <c r="P597" s="1" t="s">
        <v>74</v>
      </c>
      <c r="Q597" s="1" t="s">
        <v>74</v>
      </c>
      <c r="R597" s="1" t="s">
        <v>74</v>
      </c>
      <c r="S597" s="1" t="s">
        <v>74</v>
      </c>
      <c r="T597" s="1" t="s">
        <v>74</v>
      </c>
      <c r="U597" s="1" t="s">
        <v>74</v>
      </c>
      <c r="V597" s="1" t="s">
        <v>5095</v>
      </c>
      <c r="W597" s="1" t="s">
        <v>74</v>
      </c>
      <c r="X597" s="1" t="s">
        <v>74</v>
      </c>
      <c r="Y597" s="1" t="s">
        <v>74</v>
      </c>
      <c r="Z597" s="1" t="s">
        <v>74</v>
      </c>
      <c r="AA597" s="1" t="s">
        <v>74</v>
      </c>
      <c r="AB597" s="1" t="s">
        <v>74</v>
      </c>
      <c r="AC597" s="1" t="s">
        <v>74</v>
      </c>
      <c r="AD597" s="1" t="s">
        <v>74</v>
      </c>
      <c r="AE597" s="1" t="s">
        <v>74</v>
      </c>
      <c r="AF597" s="1" t="s">
        <v>74</v>
      </c>
      <c r="AG597" s="1" t="s">
        <v>74</v>
      </c>
      <c r="AH597" s="1" t="s">
        <v>74</v>
      </c>
      <c r="AI597" s="1" t="s">
        <v>74</v>
      </c>
      <c r="AJ597" s="1" t="s">
        <v>74</v>
      </c>
      <c r="AK597" s="1" t="s">
        <v>74</v>
      </c>
      <c r="AL597" s="1" t="s">
        <v>74</v>
      </c>
      <c r="AM597" s="1" t="s">
        <v>74</v>
      </c>
      <c r="AN597" s="1" t="s">
        <v>74</v>
      </c>
      <c r="AO597" s="1" t="s">
        <v>5096</v>
      </c>
      <c r="AP597" s="1" t="s">
        <v>5097</v>
      </c>
      <c r="AQ597" s="1" t="s">
        <v>74</v>
      </c>
      <c r="AR597" s="1" t="s">
        <v>74</v>
      </c>
      <c r="AS597" s="1" t="s">
        <v>74</v>
      </c>
      <c r="AT597" s="1" t="s">
        <v>5098</v>
      </c>
      <c r="AU597" s="1">
        <v>2024.0</v>
      </c>
      <c r="AV597" s="1" t="s">
        <v>74</v>
      </c>
      <c r="AW597" s="1" t="s">
        <v>74</v>
      </c>
      <c r="AX597" s="1" t="s">
        <v>74</v>
      </c>
      <c r="AY597" s="1" t="s">
        <v>74</v>
      </c>
      <c r="AZ597" s="1" t="s">
        <v>74</v>
      </c>
      <c r="BA597" s="1" t="s">
        <v>74</v>
      </c>
      <c r="BB597" s="1" t="s">
        <v>74</v>
      </c>
      <c r="BC597" s="1" t="s">
        <v>74</v>
      </c>
      <c r="BD597" s="1" t="s">
        <v>74</v>
      </c>
      <c r="BE597" s="1" t="s">
        <v>5099</v>
      </c>
      <c r="BF597" s="2" t="str">
        <f>HYPERLINK("http://dx.doi.org/10.1177/0143831X241299034","http://dx.doi.org/10.1177/0143831X241299034")</f>
        <v>http://dx.doi.org/10.1177/0143831X241299034</v>
      </c>
      <c r="BG597" s="1" t="s">
        <v>74</v>
      </c>
      <c r="BH597" s="1" t="s">
        <v>254</v>
      </c>
      <c r="BI597" s="1" t="s">
        <v>74</v>
      </c>
      <c r="BJ597" s="1" t="s">
        <v>74</v>
      </c>
      <c r="BK597" s="1" t="s">
        <v>74</v>
      </c>
      <c r="BL597" s="1" t="s">
        <v>74</v>
      </c>
      <c r="BM597" s="1" t="s">
        <v>74</v>
      </c>
      <c r="BN597" s="1" t="s">
        <v>74</v>
      </c>
      <c r="BO597" s="1" t="s">
        <v>74</v>
      </c>
      <c r="BP597" s="1" t="s">
        <v>74</v>
      </c>
      <c r="BQ597" s="1" t="s">
        <v>74</v>
      </c>
      <c r="BR597" s="1" t="s">
        <v>74</v>
      </c>
      <c r="BS597" s="1" t="s">
        <v>5100</v>
      </c>
      <c r="BT597" s="1" t="str">
        <f>HYPERLINK("https%3A%2F%2Fwww.webofscience.com%2Fwos%2Fwoscc%2Ffull-record%2FWOS:001370465500001","View Full Record in Web of Science")</f>
        <v>View Full Record in Web of Science</v>
      </c>
    </row>
    <row r="598" ht="12.75" customHeight="1">
      <c r="A598" s="1" t="s">
        <v>72</v>
      </c>
      <c r="B598" s="1" t="s">
        <v>5101</v>
      </c>
      <c r="C598" s="1" t="s">
        <v>74</v>
      </c>
      <c r="D598" s="1" t="s">
        <v>74</v>
      </c>
      <c r="E598" s="1" t="s">
        <v>74</v>
      </c>
      <c r="F598" s="1" t="s">
        <v>5102</v>
      </c>
      <c r="G598" s="1" t="s">
        <v>74</v>
      </c>
      <c r="H598" s="1" t="s">
        <v>74</v>
      </c>
      <c r="I598" s="1" t="s">
        <v>5103</v>
      </c>
      <c r="J598" s="1" t="s">
        <v>2466</v>
      </c>
      <c r="K598" s="1" t="s">
        <v>74</v>
      </c>
      <c r="L598" s="1" t="s">
        <v>74</v>
      </c>
      <c r="M598" s="1" t="s">
        <v>74</v>
      </c>
      <c r="N598" s="1" t="s">
        <v>74</v>
      </c>
      <c r="O598" s="1" t="s">
        <v>74</v>
      </c>
      <c r="P598" s="1" t="s">
        <v>74</v>
      </c>
      <c r="Q598" s="1" t="s">
        <v>74</v>
      </c>
      <c r="R598" s="1" t="s">
        <v>74</v>
      </c>
      <c r="S598" s="1" t="s">
        <v>74</v>
      </c>
      <c r="T598" s="1" t="s">
        <v>74</v>
      </c>
      <c r="U598" s="1" t="s">
        <v>74</v>
      </c>
      <c r="V598" s="1" t="s">
        <v>5104</v>
      </c>
      <c r="W598" s="1" t="s">
        <v>74</v>
      </c>
      <c r="X598" s="1" t="s">
        <v>74</v>
      </c>
      <c r="Y598" s="1" t="s">
        <v>74</v>
      </c>
      <c r="Z598" s="1" t="s">
        <v>74</v>
      </c>
      <c r="AA598" s="1" t="s">
        <v>5105</v>
      </c>
      <c r="AB598" s="1" t="s">
        <v>5106</v>
      </c>
      <c r="AC598" s="1" t="s">
        <v>74</v>
      </c>
      <c r="AD598" s="1" t="s">
        <v>74</v>
      </c>
      <c r="AE598" s="1" t="s">
        <v>74</v>
      </c>
      <c r="AF598" s="1" t="s">
        <v>74</v>
      </c>
      <c r="AG598" s="1" t="s">
        <v>74</v>
      </c>
      <c r="AH598" s="1" t="s">
        <v>74</v>
      </c>
      <c r="AI598" s="1" t="s">
        <v>74</v>
      </c>
      <c r="AJ598" s="1" t="s">
        <v>74</v>
      </c>
      <c r="AK598" s="1" t="s">
        <v>74</v>
      </c>
      <c r="AL598" s="1" t="s">
        <v>74</v>
      </c>
      <c r="AM598" s="1" t="s">
        <v>74</v>
      </c>
      <c r="AN598" s="1" t="s">
        <v>74</v>
      </c>
      <c r="AO598" s="1" t="s">
        <v>2852</v>
      </c>
      <c r="AP598" s="1" t="s">
        <v>2853</v>
      </c>
      <c r="AQ598" s="1" t="s">
        <v>74</v>
      </c>
      <c r="AR598" s="1" t="s">
        <v>74</v>
      </c>
      <c r="AS598" s="1" t="s">
        <v>74</v>
      </c>
      <c r="AT598" s="1" t="s">
        <v>5107</v>
      </c>
      <c r="AU598" s="1">
        <v>2024.0</v>
      </c>
      <c r="AV598" s="1">
        <v>110.0</v>
      </c>
      <c r="AW598" s="1">
        <v>6.0</v>
      </c>
      <c r="AX598" s="1" t="s">
        <v>74</v>
      </c>
      <c r="AY598" s="1" t="s">
        <v>74</v>
      </c>
      <c r="AZ598" s="1" t="s">
        <v>74</v>
      </c>
      <c r="BA598" s="1" t="s">
        <v>74</v>
      </c>
      <c r="BB598" s="1" t="s">
        <v>74</v>
      </c>
      <c r="BC598" s="1" t="s">
        <v>74</v>
      </c>
      <c r="BD598" s="1">
        <v>63513.0</v>
      </c>
      <c r="BE598" s="1" t="s">
        <v>5108</v>
      </c>
      <c r="BF598" s="2" t="str">
        <f>HYPERLINK("http://dx.doi.org/10.1103/PhysRevD.110.063513","http://dx.doi.org/10.1103/PhysRevD.110.063513")</f>
        <v>http://dx.doi.org/10.1103/PhysRevD.110.063513</v>
      </c>
      <c r="BG598" s="1" t="s">
        <v>74</v>
      </c>
      <c r="BH598" s="1" t="s">
        <v>74</v>
      </c>
      <c r="BI598" s="1" t="s">
        <v>74</v>
      </c>
      <c r="BJ598" s="1" t="s">
        <v>74</v>
      </c>
      <c r="BK598" s="1" t="s">
        <v>74</v>
      </c>
      <c r="BL598" s="1" t="s">
        <v>74</v>
      </c>
      <c r="BM598" s="1" t="s">
        <v>74</v>
      </c>
      <c r="BN598" s="1" t="s">
        <v>74</v>
      </c>
      <c r="BO598" s="1" t="s">
        <v>74</v>
      </c>
      <c r="BP598" s="1" t="s">
        <v>74</v>
      </c>
      <c r="BQ598" s="1" t="s">
        <v>74</v>
      </c>
      <c r="BR598" s="1" t="s">
        <v>74</v>
      </c>
      <c r="BS598" s="1" t="s">
        <v>5109</v>
      </c>
      <c r="BT598" s="1" t="str">
        <f>HYPERLINK("https%3A%2F%2Fwww.webofscience.com%2Fwos%2Fwoscc%2Ffull-record%2FWOS:001381673800011","View Full Record in Web of Science")</f>
        <v>View Full Record in Web of Science</v>
      </c>
    </row>
    <row r="599" ht="12.75" customHeight="1">
      <c r="A599" s="1" t="s">
        <v>72</v>
      </c>
      <c r="B599" s="1" t="s">
        <v>5110</v>
      </c>
      <c r="C599" s="1" t="s">
        <v>74</v>
      </c>
      <c r="D599" s="1" t="s">
        <v>74</v>
      </c>
      <c r="E599" s="1" t="s">
        <v>74</v>
      </c>
      <c r="F599" s="1" t="s">
        <v>5111</v>
      </c>
      <c r="G599" s="1" t="s">
        <v>74</v>
      </c>
      <c r="H599" s="1" t="s">
        <v>74</v>
      </c>
      <c r="I599" s="1" t="s">
        <v>5112</v>
      </c>
      <c r="J599" s="1" t="s">
        <v>5113</v>
      </c>
      <c r="K599" s="1" t="s">
        <v>74</v>
      </c>
      <c r="L599" s="1" t="s">
        <v>74</v>
      </c>
      <c r="M599" s="1" t="s">
        <v>74</v>
      </c>
      <c r="N599" s="1" t="s">
        <v>74</v>
      </c>
      <c r="O599" s="1" t="s">
        <v>74</v>
      </c>
      <c r="P599" s="1" t="s">
        <v>74</v>
      </c>
      <c r="Q599" s="1" t="s">
        <v>74</v>
      </c>
      <c r="R599" s="1" t="s">
        <v>74</v>
      </c>
      <c r="S599" s="1" t="s">
        <v>74</v>
      </c>
      <c r="T599" s="1" t="s">
        <v>74</v>
      </c>
      <c r="U599" s="1" t="s">
        <v>74</v>
      </c>
      <c r="V599" s="1" t="s">
        <v>5114</v>
      </c>
      <c r="W599" s="1" t="s">
        <v>74</v>
      </c>
      <c r="X599" s="1" t="s">
        <v>74</v>
      </c>
      <c r="Y599" s="1" t="s">
        <v>74</v>
      </c>
      <c r="Z599" s="1" t="s">
        <v>74</v>
      </c>
      <c r="AA599" s="1" t="s">
        <v>74</v>
      </c>
      <c r="AB599" s="1" t="s">
        <v>74</v>
      </c>
      <c r="AC599" s="1" t="s">
        <v>74</v>
      </c>
      <c r="AD599" s="1" t="s">
        <v>74</v>
      </c>
      <c r="AE599" s="1" t="s">
        <v>74</v>
      </c>
      <c r="AF599" s="1" t="s">
        <v>74</v>
      </c>
      <c r="AG599" s="1" t="s">
        <v>74</v>
      </c>
      <c r="AH599" s="1" t="s">
        <v>74</v>
      </c>
      <c r="AI599" s="1" t="s">
        <v>74</v>
      </c>
      <c r="AJ599" s="1" t="s">
        <v>74</v>
      </c>
      <c r="AK599" s="1" t="s">
        <v>74</v>
      </c>
      <c r="AL599" s="1" t="s">
        <v>74</v>
      </c>
      <c r="AM599" s="1" t="s">
        <v>74</v>
      </c>
      <c r="AN599" s="1" t="s">
        <v>74</v>
      </c>
      <c r="AO599" s="1" t="s">
        <v>5115</v>
      </c>
      <c r="AP599" s="1" t="s">
        <v>5116</v>
      </c>
      <c r="AQ599" s="1" t="s">
        <v>74</v>
      </c>
      <c r="AR599" s="1" t="s">
        <v>74</v>
      </c>
      <c r="AS599" s="1" t="s">
        <v>74</v>
      </c>
      <c r="AT599" s="1" t="s">
        <v>5117</v>
      </c>
      <c r="AU599" s="1">
        <v>2024.0</v>
      </c>
      <c r="AV599" s="1">
        <v>26.0</v>
      </c>
      <c r="AW599" s="1">
        <v>7.0</v>
      </c>
      <c r="AX599" s="1" t="s">
        <v>74</v>
      </c>
      <c r="AY599" s="1" t="s">
        <v>74</v>
      </c>
      <c r="AZ599" s="1" t="s">
        <v>74</v>
      </c>
      <c r="BA599" s="1" t="s">
        <v>74</v>
      </c>
      <c r="BB599" s="1">
        <v>6164.0</v>
      </c>
      <c r="BC599" s="1">
        <v>6179.0</v>
      </c>
      <c r="BD599" s="1" t="s">
        <v>74</v>
      </c>
      <c r="BE599" s="1" t="s">
        <v>5118</v>
      </c>
      <c r="BF599" s="2" t="str">
        <f>HYPERLINK("http://dx.doi.org/10.1039/d3cp04417c","http://dx.doi.org/10.1039/d3cp04417c")</f>
        <v>http://dx.doi.org/10.1039/d3cp04417c</v>
      </c>
      <c r="BG599" s="1" t="s">
        <v>74</v>
      </c>
      <c r="BH599" s="1" t="s">
        <v>2722</v>
      </c>
      <c r="BI599" s="1" t="s">
        <v>74</v>
      </c>
      <c r="BJ599" s="1" t="s">
        <v>74</v>
      </c>
      <c r="BK599" s="1" t="s">
        <v>74</v>
      </c>
      <c r="BL599" s="1" t="s">
        <v>74</v>
      </c>
      <c r="BM599" s="1" t="s">
        <v>74</v>
      </c>
      <c r="BN599" s="1">
        <v>3.8300136E7</v>
      </c>
      <c r="BO599" s="1" t="s">
        <v>74</v>
      </c>
      <c r="BP599" s="1" t="s">
        <v>74</v>
      </c>
      <c r="BQ599" s="1" t="s">
        <v>74</v>
      </c>
      <c r="BR599" s="1" t="s">
        <v>74</v>
      </c>
      <c r="BS599" s="1" t="s">
        <v>5119</v>
      </c>
      <c r="BT599" s="1" t="str">
        <f>HYPERLINK("https%3A%2F%2Fwww.webofscience.com%2Fwos%2Fwoscc%2Ffull-record%2FWOS:001155678000001","View Full Record in Web of Science")</f>
        <v>View Full Record in Web of Science</v>
      </c>
    </row>
    <row r="600" ht="12.75" customHeight="1">
      <c r="A600" s="1" t="s">
        <v>91</v>
      </c>
      <c r="B600" s="1" t="s">
        <v>5120</v>
      </c>
      <c r="C600" s="1" t="s">
        <v>74</v>
      </c>
      <c r="D600" s="1" t="s">
        <v>5121</v>
      </c>
      <c r="E600" s="1" t="s">
        <v>74</v>
      </c>
      <c r="F600" s="1" t="s">
        <v>5122</v>
      </c>
      <c r="G600" s="1" t="s">
        <v>74</v>
      </c>
      <c r="H600" s="1" t="s">
        <v>74</v>
      </c>
      <c r="I600" s="1" t="s">
        <v>5123</v>
      </c>
      <c r="J600" s="1" t="s">
        <v>5124</v>
      </c>
      <c r="K600" s="1" t="s">
        <v>5125</v>
      </c>
      <c r="L600" s="1" t="s">
        <v>74</v>
      </c>
      <c r="M600" s="1" t="s">
        <v>74</v>
      </c>
      <c r="N600" s="1" t="s">
        <v>74</v>
      </c>
      <c r="O600" s="1" t="s">
        <v>5126</v>
      </c>
      <c r="P600" s="1" t="s">
        <v>5127</v>
      </c>
      <c r="Q600" s="1" t="s">
        <v>3042</v>
      </c>
      <c r="R600" s="1" t="s">
        <v>5128</v>
      </c>
      <c r="S600" s="1" t="s">
        <v>74</v>
      </c>
      <c r="T600" s="1" t="s">
        <v>74</v>
      </c>
      <c r="U600" s="1" t="s">
        <v>74</v>
      </c>
      <c r="V600" s="1" t="s">
        <v>5129</v>
      </c>
      <c r="W600" s="1" t="s">
        <v>74</v>
      </c>
      <c r="X600" s="1" t="s">
        <v>74</v>
      </c>
      <c r="Y600" s="1" t="s">
        <v>74</v>
      </c>
      <c r="Z600" s="1" t="s">
        <v>74</v>
      </c>
      <c r="AA600" s="1" t="s">
        <v>2709</v>
      </c>
      <c r="AB600" s="1" t="s">
        <v>74</v>
      </c>
      <c r="AC600" s="1" t="s">
        <v>74</v>
      </c>
      <c r="AD600" s="1" t="s">
        <v>74</v>
      </c>
      <c r="AE600" s="1" t="s">
        <v>74</v>
      </c>
      <c r="AF600" s="1" t="s">
        <v>74</v>
      </c>
      <c r="AG600" s="1" t="s">
        <v>74</v>
      </c>
      <c r="AH600" s="1" t="s">
        <v>74</v>
      </c>
      <c r="AI600" s="1" t="s">
        <v>74</v>
      </c>
      <c r="AJ600" s="1" t="s">
        <v>74</v>
      </c>
      <c r="AK600" s="1" t="s">
        <v>74</v>
      </c>
      <c r="AL600" s="1" t="s">
        <v>74</v>
      </c>
      <c r="AM600" s="1" t="s">
        <v>74</v>
      </c>
      <c r="AN600" s="1" t="s">
        <v>74</v>
      </c>
      <c r="AO600" s="1" t="s">
        <v>5130</v>
      </c>
      <c r="AP600" s="1" t="s">
        <v>5131</v>
      </c>
      <c r="AQ600" s="1" t="s">
        <v>5132</v>
      </c>
      <c r="AR600" s="1" t="s">
        <v>74</v>
      </c>
      <c r="AS600" s="1" t="s">
        <v>74</v>
      </c>
      <c r="AT600" s="1" t="s">
        <v>74</v>
      </c>
      <c r="AU600" s="1">
        <v>2024.0</v>
      </c>
      <c r="AV600" s="1">
        <v>462.0</v>
      </c>
      <c r="AW600" s="1" t="s">
        <v>74</v>
      </c>
      <c r="AX600" s="1" t="s">
        <v>74</v>
      </c>
      <c r="AY600" s="1" t="s">
        <v>74</v>
      </c>
      <c r="AZ600" s="1" t="s">
        <v>74</v>
      </c>
      <c r="BA600" s="1" t="s">
        <v>74</v>
      </c>
      <c r="BB600" s="1">
        <v>127.0</v>
      </c>
      <c r="BC600" s="1">
        <v>139.0</v>
      </c>
      <c r="BD600" s="1" t="s">
        <v>74</v>
      </c>
      <c r="BE600" s="1" t="s">
        <v>5133</v>
      </c>
      <c r="BF600" s="2" t="str">
        <f>HYPERLINK("http://dx.doi.org/10.1007/978-3-031-53375-4_9","http://dx.doi.org/10.1007/978-3-031-53375-4_9")</f>
        <v>http://dx.doi.org/10.1007/978-3-031-53375-4_9</v>
      </c>
      <c r="BG600" s="1" t="s">
        <v>74</v>
      </c>
      <c r="BH600" s="1" t="s">
        <v>74</v>
      </c>
      <c r="BI600" s="1" t="s">
        <v>74</v>
      </c>
      <c r="BJ600" s="1" t="s">
        <v>74</v>
      </c>
      <c r="BK600" s="1" t="s">
        <v>74</v>
      </c>
      <c r="BL600" s="1" t="s">
        <v>74</v>
      </c>
      <c r="BM600" s="1" t="s">
        <v>74</v>
      </c>
      <c r="BN600" s="1" t="s">
        <v>74</v>
      </c>
      <c r="BO600" s="1" t="s">
        <v>74</v>
      </c>
      <c r="BP600" s="1" t="s">
        <v>74</v>
      </c>
      <c r="BQ600" s="1" t="s">
        <v>74</v>
      </c>
      <c r="BR600" s="1" t="s">
        <v>74</v>
      </c>
      <c r="BS600" s="1" t="s">
        <v>5134</v>
      </c>
      <c r="BT600" s="1" t="str">
        <f>HYPERLINK("https%3A%2F%2Fwww.webofscience.com%2Fwos%2Fwoscc%2Ffull-record%2FWOS:001298122200009","View Full Record in Web of Science")</f>
        <v>View Full Record in Web of Science</v>
      </c>
    </row>
    <row r="601" ht="12.75" customHeight="1">
      <c r="A601" s="1" t="s">
        <v>72</v>
      </c>
      <c r="B601" s="1" t="s">
        <v>5135</v>
      </c>
      <c r="C601" s="1" t="s">
        <v>74</v>
      </c>
      <c r="D601" s="1" t="s">
        <v>74</v>
      </c>
      <c r="E601" s="1" t="s">
        <v>74</v>
      </c>
      <c r="F601" s="1" t="s">
        <v>5136</v>
      </c>
      <c r="G601" s="1" t="s">
        <v>74</v>
      </c>
      <c r="H601" s="1" t="s">
        <v>74</v>
      </c>
      <c r="I601" s="1" t="s">
        <v>5137</v>
      </c>
      <c r="J601" s="1" t="s">
        <v>5138</v>
      </c>
      <c r="K601" s="1" t="s">
        <v>74</v>
      </c>
      <c r="L601" s="1" t="s">
        <v>74</v>
      </c>
      <c r="M601" s="1" t="s">
        <v>74</v>
      </c>
      <c r="N601" s="1" t="s">
        <v>74</v>
      </c>
      <c r="O601" s="1" t="s">
        <v>74</v>
      </c>
      <c r="P601" s="1" t="s">
        <v>74</v>
      </c>
      <c r="Q601" s="1" t="s">
        <v>74</v>
      </c>
      <c r="R601" s="1" t="s">
        <v>74</v>
      </c>
      <c r="S601" s="1" t="s">
        <v>74</v>
      </c>
      <c r="T601" s="1" t="s">
        <v>74</v>
      </c>
      <c r="U601" s="1" t="s">
        <v>74</v>
      </c>
      <c r="V601" s="1" t="s">
        <v>5139</v>
      </c>
      <c r="W601" s="1" t="s">
        <v>74</v>
      </c>
      <c r="X601" s="1" t="s">
        <v>74</v>
      </c>
      <c r="Y601" s="1" t="s">
        <v>74</v>
      </c>
      <c r="Z601" s="1" t="s">
        <v>74</v>
      </c>
      <c r="AA601" s="1" t="s">
        <v>74</v>
      </c>
      <c r="AB601" s="1" t="s">
        <v>74</v>
      </c>
      <c r="AC601" s="1" t="s">
        <v>74</v>
      </c>
      <c r="AD601" s="1" t="s">
        <v>74</v>
      </c>
      <c r="AE601" s="1" t="s">
        <v>74</v>
      </c>
      <c r="AF601" s="1" t="s">
        <v>74</v>
      </c>
      <c r="AG601" s="1" t="s">
        <v>74</v>
      </c>
      <c r="AH601" s="1" t="s">
        <v>74</v>
      </c>
      <c r="AI601" s="1" t="s">
        <v>74</v>
      </c>
      <c r="AJ601" s="1" t="s">
        <v>74</v>
      </c>
      <c r="AK601" s="1" t="s">
        <v>74</v>
      </c>
      <c r="AL601" s="1" t="s">
        <v>74</v>
      </c>
      <c r="AM601" s="1" t="s">
        <v>74</v>
      </c>
      <c r="AN601" s="1" t="s">
        <v>74</v>
      </c>
      <c r="AO601" s="1" t="s">
        <v>5140</v>
      </c>
      <c r="AP601" s="1" t="s">
        <v>74</v>
      </c>
      <c r="AQ601" s="1" t="s">
        <v>74</v>
      </c>
      <c r="AR601" s="1" t="s">
        <v>74</v>
      </c>
      <c r="AS601" s="1" t="s">
        <v>74</v>
      </c>
      <c r="AT601" s="1" t="s">
        <v>74</v>
      </c>
      <c r="AU601" s="1">
        <v>2024.0</v>
      </c>
      <c r="AV601" s="1" t="s">
        <v>74</v>
      </c>
      <c r="AW601" s="1">
        <v>50.0</v>
      </c>
      <c r="AX601" s="1" t="s">
        <v>74</v>
      </c>
      <c r="AY601" s="1" t="s">
        <v>74</v>
      </c>
      <c r="AZ601" s="1" t="s">
        <v>74</v>
      </c>
      <c r="BA601" s="1" t="s">
        <v>74</v>
      </c>
      <c r="BB601" s="1">
        <v>37.0</v>
      </c>
      <c r="BC601" s="1">
        <v>62.0</v>
      </c>
      <c r="BD601" s="1" t="s">
        <v>74</v>
      </c>
      <c r="BE601" s="1" t="s">
        <v>74</v>
      </c>
      <c r="BF601" s="1" t="s">
        <v>74</v>
      </c>
      <c r="BG601" s="1" t="s">
        <v>74</v>
      </c>
      <c r="BH601" s="1" t="s">
        <v>74</v>
      </c>
      <c r="BI601" s="1" t="s">
        <v>74</v>
      </c>
      <c r="BJ601" s="1" t="s">
        <v>74</v>
      </c>
      <c r="BK601" s="1" t="s">
        <v>74</v>
      </c>
      <c r="BL601" s="1" t="s">
        <v>74</v>
      </c>
      <c r="BM601" s="1" t="s">
        <v>74</v>
      </c>
      <c r="BN601" s="1" t="s">
        <v>74</v>
      </c>
      <c r="BO601" s="1" t="s">
        <v>74</v>
      </c>
      <c r="BP601" s="1" t="s">
        <v>74</v>
      </c>
      <c r="BQ601" s="1" t="s">
        <v>74</v>
      </c>
      <c r="BR601" s="1" t="s">
        <v>74</v>
      </c>
      <c r="BS601" s="1" t="s">
        <v>5141</v>
      </c>
      <c r="BT601" s="1" t="str">
        <f>HYPERLINK("https%3A%2F%2Fwww.webofscience.com%2Fwos%2Fwoscc%2Ffull-record%2FWOS:001286019200003","View Full Record in Web of Science")</f>
        <v>View Full Record in Web of Science</v>
      </c>
    </row>
    <row r="602" ht="12.75" customHeight="1">
      <c r="A602" s="1" t="s">
        <v>72</v>
      </c>
      <c r="B602" s="1" t="s">
        <v>5142</v>
      </c>
      <c r="C602" s="1" t="s">
        <v>74</v>
      </c>
      <c r="D602" s="1" t="s">
        <v>74</v>
      </c>
      <c r="E602" s="1" t="s">
        <v>74</v>
      </c>
      <c r="F602" s="1" t="s">
        <v>5143</v>
      </c>
      <c r="G602" s="1" t="s">
        <v>74</v>
      </c>
      <c r="H602" s="1" t="s">
        <v>74</v>
      </c>
      <c r="I602" s="1" t="s">
        <v>5144</v>
      </c>
      <c r="J602" s="1" t="s">
        <v>5145</v>
      </c>
      <c r="K602" s="1" t="s">
        <v>74</v>
      </c>
      <c r="L602" s="1" t="s">
        <v>74</v>
      </c>
      <c r="M602" s="1" t="s">
        <v>74</v>
      </c>
      <c r="N602" s="1" t="s">
        <v>74</v>
      </c>
      <c r="O602" s="1" t="s">
        <v>74</v>
      </c>
      <c r="P602" s="1" t="s">
        <v>74</v>
      </c>
      <c r="Q602" s="1" t="s">
        <v>74</v>
      </c>
      <c r="R602" s="1" t="s">
        <v>74</v>
      </c>
      <c r="S602" s="1" t="s">
        <v>74</v>
      </c>
      <c r="T602" s="1" t="s">
        <v>74</v>
      </c>
      <c r="U602" s="1" t="s">
        <v>74</v>
      </c>
      <c r="V602" s="1" t="s">
        <v>74</v>
      </c>
      <c r="W602" s="1" t="s">
        <v>74</v>
      </c>
      <c r="X602" s="1" t="s">
        <v>74</v>
      </c>
      <c r="Y602" s="1" t="s">
        <v>74</v>
      </c>
      <c r="Z602" s="1" t="s">
        <v>74</v>
      </c>
      <c r="AA602" s="1" t="s">
        <v>74</v>
      </c>
      <c r="AB602" s="1" t="s">
        <v>74</v>
      </c>
      <c r="AC602" s="1" t="s">
        <v>74</v>
      </c>
      <c r="AD602" s="1" t="s">
        <v>74</v>
      </c>
      <c r="AE602" s="1" t="s">
        <v>74</v>
      </c>
      <c r="AF602" s="1" t="s">
        <v>74</v>
      </c>
      <c r="AG602" s="1" t="s">
        <v>74</v>
      </c>
      <c r="AH602" s="1" t="s">
        <v>74</v>
      </c>
      <c r="AI602" s="1" t="s">
        <v>74</v>
      </c>
      <c r="AJ602" s="1" t="s">
        <v>74</v>
      </c>
      <c r="AK602" s="1" t="s">
        <v>74</v>
      </c>
      <c r="AL602" s="1" t="s">
        <v>74</v>
      </c>
      <c r="AM602" s="1" t="s">
        <v>74</v>
      </c>
      <c r="AN602" s="1" t="s">
        <v>74</v>
      </c>
      <c r="AO602" s="1" t="s">
        <v>5146</v>
      </c>
      <c r="AP602" s="1" t="s">
        <v>5147</v>
      </c>
      <c r="AQ602" s="1" t="s">
        <v>74</v>
      </c>
      <c r="AR602" s="1" t="s">
        <v>74</v>
      </c>
      <c r="AS602" s="1" t="s">
        <v>74</v>
      </c>
      <c r="AT602" s="1" t="s">
        <v>810</v>
      </c>
      <c r="AU602" s="1">
        <v>2023.0</v>
      </c>
      <c r="AV602" s="1" t="s">
        <v>74</v>
      </c>
      <c r="AW602" s="1">
        <v>67.0</v>
      </c>
      <c r="AX602" s="1" t="s">
        <v>74</v>
      </c>
      <c r="AY602" s="1" t="s">
        <v>74</v>
      </c>
      <c r="AZ602" s="1" t="s">
        <v>74</v>
      </c>
      <c r="BA602" s="1" t="s">
        <v>74</v>
      </c>
      <c r="BB602" s="1">
        <v>481.0</v>
      </c>
      <c r="BC602" s="1">
        <v>484.0</v>
      </c>
      <c r="BD602" s="1" t="s">
        <v>74</v>
      </c>
      <c r="BE602" s="1" t="s">
        <v>74</v>
      </c>
      <c r="BF602" s="1" t="s">
        <v>74</v>
      </c>
      <c r="BG602" s="1" t="s">
        <v>74</v>
      </c>
      <c r="BH602" s="1" t="s">
        <v>74</v>
      </c>
      <c r="BI602" s="1" t="s">
        <v>74</v>
      </c>
      <c r="BJ602" s="1" t="s">
        <v>74</v>
      </c>
      <c r="BK602" s="1" t="s">
        <v>74</v>
      </c>
      <c r="BL602" s="1" t="s">
        <v>74</v>
      </c>
      <c r="BM602" s="1" t="s">
        <v>74</v>
      </c>
      <c r="BN602" s="1" t="s">
        <v>74</v>
      </c>
      <c r="BO602" s="1" t="s">
        <v>74</v>
      </c>
      <c r="BP602" s="1" t="s">
        <v>74</v>
      </c>
      <c r="BQ602" s="1" t="s">
        <v>74</v>
      </c>
      <c r="BR602" s="1" t="s">
        <v>74</v>
      </c>
      <c r="BS602" s="1" t="s">
        <v>5148</v>
      </c>
      <c r="BT602" s="1" t="str">
        <f>HYPERLINK("https%3A%2F%2Fwww.webofscience.com%2Fwos%2Fwoscc%2Ffull-record%2FWOS:001046666800016","View Full Record in Web of Science")</f>
        <v>View Full Record in Web of Science</v>
      </c>
    </row>
    <row r="603" ht="12.75" customHeight="1">
      <c r="A603" s="1" t="s">
        <v>72</v>
      </c>
      <c r="B603" s="1" t="s">
        <v>5149</v>
      </c>
      <c r="C603" s="1" t="s">
        <v>74</v>
      </c>
      <c r="D603" s="1" t="s">
        <v>74</v>
      </c>
      <c r="E603" s="1" t="s">
        <v>74</v>
      </c>
      <c r="F603" s="1" t="s">
        <v>5150</v>
      </c>
      <c r="G603" s="1" t="s">
        <v>74</v>
      </c>
      <c r="H603" s="1" t="s">
        <v>74</v>
      </c>
      <c r="I603" s="1" t="s">
        <v>5151</v>
      </c>
      <c r="J603" s="1" t="s">
        <v>2801</v>
      </c>
      <c r="K603" s="1" t="s">
        <v>74</v>
      </c>
      <c r="L603" s="1" t="s">
        <v>74</v>
      </c>
      <c r="M603" s="1" t="s">
        <v>74</v>
      </c>
      <c r="N603" s="1" t="s">
        <v>74</v>
      </c>
      <c r="O603" s="1" t="s">
        <v>74</v>
      </c>
      <c r="P603" s="1" t="s">
        <v>74</v>
      </c>
      <c r="Q603" s="1" t="s">
        <v>74</v>
      </c>
      <c r="R603" s="1" t="s">
        <v>74</v>
      </c>
      <c r="S603" s="1" t="s">
        <v>74</v>
      </c>
      <c r="T603" s="1" t="s">
        <v>74</v>
      </c>
      <c r="U603" s="1" t="s">
        <v>74</v>
      </c>
      <c r="V603" s="1" t="s">
        <v>5152</v>
      </c>
      <c r="W603" s="1" t="s">
        <v>74</v>
      </c>
      <c r="X603" s="1" t="s">
        <v>74</v>
      </c>
      <c r="Y603" s="1" t="s">
        <v>74</v>
      </c>
      <c r="Z603" s="1" t="s">
        <v>74</v>
      </c>
      <c r="AA603" s="1" t="s">
        <v>694</v>
      </c>
      <c r="AB603" s="1" t="s">
        <v>5153</v>
      </c>
      <c r="AC603" s="1" t="s">
        <v>74</v>
      </c>
      <c r="AD603" s="1" t="s">
        <v>74</v>
      </c>
      <c r="AE603" s="1" t="s">
        <v>74</v>
      </c>
      <c r="AF603" s="1" t="s">
        <v>74</v>
      </c>
      <c r="AG603" s="1" t="s">
        <v>74</v>
      </c>
      <c r="AH603" s="1" t="s">
        <v>74</v>
      </c>
      <c r="AI603" s="1" t="s">
        <v>74</v>
      </c>
      <c r="AJ603" s="1" t="s">
        <v>74</v>
      </c>
      <c r="AK603" s="1" t="s">
        <v>74</v>
      </c>
      <c r="AL603" s="1" t="s">
        <v>74</v>
      </c>
      <c r="AM603" s="1" t="s">
        <v>74</v>
      </c>
      <c r="AN603" s="1" t="s">
        <v>74</v>
      </c>
      <c r="AO603" s="1" t="s">
        <v>74</v>
      </c>
      <c r="AP603" s="1" t="s">
        <v>2805</v>
      </c>
      <c r="AQ603" s="1" t="s">
        <v>74</v>
      </c>
      <c r="AR603" s="1" t="s">
        <v>74</v>
      </c>
      <c r="AS603" s="1" t="s">
        <v>74</v>
      </c>
      <c r="AT603" s="1" t="s">
        <v>370</v>
      </c>
      <c r="AU603" s="1">
        <v>2023.0</v>
      </c>
      <c r="AV603" s="1">
        <v>11.0</v>
      </c>
      <c r="AW603" s="1">
        <v>13.0</v>
      </c>
      <c r="AX603" s="1" t="s">
        <v>74</v>
      </c>
      <c r="AY603" s="1" t="s">
        <v>74</v>
      </c>
      <c r="AZ603" s="1" t="s">
        <v>74</v>
      </c>
      <c r="BA603" s="1" t="s">
        <v>74</v>
      </c>
      <c r="BB603" s="1" t="s">
        <v>74</v>
      </c>
      <c r="BC603" s="1" t="s">
        <v>74</v>
      </c>
      <c r="BD603" s="1">
        <v>2794.0</v>
      </c>
      <c r="BE603" s="1" t="s">
        <v>5154</v>
      </c>
      <c r="BF603" s="2" t="str">
        <f>HYPERLINK("http://dx.doi.org/10.3390/math11132794","http://dx.doi.org/10.3390/math11132794")</f>
        <v>http://dx.doi.org/10.3390/math11132794</v>
      </c>
      <c r="BG603" s="1" t="s">
        <v>74</v>
      </c>
      <c r="BH603" s="1" t="s">
        <v>74</v>
      </c>
      <c r="BI603" s="1" t="s">
        <v>74</v>
      </c>
      <c r="BJ603" s="1" t="s">
        <v>74</v>
      </c>
      <c r="BK603" s="1" t="s">
        <v>74</v>
      </c>
      <c r="BL603" s="1" t="s">
        <v>74</v>
      </c>
      <c r="BM603" s="1" t="s">
        <v>74</v>
      </c>
      <c r="BN603" s="1" t="s">
        <v>74</v>
      </c>
      <c r="BO603" s="1" t="s">
        <v>74</v>
      </c>
      <c r="BP603" s="1" t="s">
        <v>74</v>
      </c>
      <c r="BQ603" s="1" t="s">
        <v>74</v>
      </c>
      <c r="BR603" s="1" t="s">
        <v>74</v>
      </c>
      <c r="BS603" s="1" t="s">
        <v>5155</v>
      </c>
      <c r="BT603" s="1" t="str">
        <f>HYPERLINK("https%3A%2F%2Fwww.webofscience.com%2Fwos%2Fwoscc%2Ffull-record%2FWOS:001033851700001","View Full Record in Web of Science")</f>
        <v>View Full Record in Web of Science</v>
      </c>
    </row>
    <row r="604" ht="12.75" customHeight="1">
      <c r="A604" s="1" t="s">
        <v>72</v>
      </c>
      <c r="B604" s="1" t="s">
        <v>5156</v>
      </c>
      <c r="C604" s="1" t="s">
        <v>74</v>
      </c>
      <c r="D604" s="1" t="s">
        <v>74</v>
      </c>
      <c r="E604" s="1" t="s">
        <v>74</v>
      </c>
      <c r="F604" s="1" t="s">
        <v>5157</v>
      </c>
      <c r="G604" s="1" t="s">
        <v>74</v>
      </c>
      <c r="H604" s="1" t="s">
        <v>74</v>
      </c>
      <c r="I604" s="1" t="s">
        <v>5158</v>
      </c>
      <c r="J604" s="1" t="s">
        <v>5159</v>
      </c>
      <c r="K604" s="1" t="s">
        <v>74</v>
      </c>
      <c r="L604" s="1" t="s">
        <v>74</v>
      </c>
      <c r="M604" s="1" t="s">
        <v>74</v>
      </c>
      <c r="N604" s="1" t="s">
        <v>74</v>
      </c>
      <c r="O604" s="1" t="s">
        <v>74</v>
      </c>
      <c r="P604" s="1" t="s">
        <v>74</v>
      </c>
      <c r="Q604" s="1" t="s">
        <v>74</v>
      </c>
      <c r="R604" s="1" t="s">
        <v>74</v>
      </c>
      <c r="S604" s="1" t="s">
        <v>74</v>
      </c>
      <c r="T604" s="1" t="s">
        <v>74</v>
      </c>
      <c r="U604" s="1" t="s">
        <v>74</v>
      </c>
      <c r="V604" s="1" t="s">
        <v>5160</v>
      </c>
      <c r="W604" s="1" t="s">
        <v>74</v>
      </c>
      <c r="X604" s="1" t="s">
        <v>74</v>
      </c>
      <c r="Y604" s="1" t="s">
        <v>74</v>
      </c>
      <c r="Z604" s="1" t="s">
        <v>74</v>
      </c>
      <c r="AA604" s="1" t="s">
        <v>5161</v>
      </c>
      <c r="AB604" s="1" t="s">
        <v>74</v>
      </c>
      <c r="AC604" s="1" t="s">
        <v>74</v>
      </c>
      <c r="AD604" s="1" t="s">
        <v>74</v>
      </c>
      <c r="AE604" s="1" t="s">
        <v>74</v>
      </c>
      <c r="AF604" s="1" t="s">
        <v>74</v>
      </c>
      <c r="AG604" s="1" t="s">
        <v>74</v>
      </c>
      <c r="AH604" s="1" t="s">
        <v>74</v>
      </c>
      <c r="AI604" s="1" t="s">
        <v>74</v>
      </c>
      <c r="AJ604" s="1" t="s">
        <v>74</v>
      </c>
      <c r="AK604" s="1" t="s">
        <v>74</v>
      </c>
      <c r="AL604" s="1" t="s">
        <v>74</v>
      </c>
      <c r="AM604" s="1" t="s">
        <v>74</v>
      </c>
      <c r="AN604" s="1" t="s">
        <v>74</v>
      </c>
      <c r="AO604" s="1" t="s">
        <v>5162</v>
      </c>
      <c r="AP604" s="1" t="s">
        <v>5163</v>
      </c>
      <c r="AQ604" s="1" t="s">
        <v>74</v>
      </c>
      <c r="AR604" s="1" t="s">
        <v>74</v>
      </c>
      <c r="AS604" s="1" t="s">
        <v>74</v>
      </c>
      <c r="AT604" s="1" t="s">
        <v>915</v>
      </c>
      <c r="AU604" s="1">
        <v>2023.0</v>
      </c>
      <c r="AV604" s="1">
        <v>46.0</v>
      </c>
      <c r="AW604" s="1">
        <v>2.0</v>
      </c>
      <c r="AX604" s="1" t="s">
        <v>74</v>
      </c>
      <c r="AY604" s="1" t="s">
        <v>74</v>
      </c>
      <c r="AZ604" s="1" t="s">
        <v>74</v>
      </c>
      <c r="BA604" s="1" t="s">
        <v>74</v>
      </c>
      <c r="BB604" s="1">
        <v>45.0</v>
      </c>
      <c r="BC604" s="1">
        <v>77.0</v>
      </c>
      <c r="BD604" s="1" t="s">
        <v>74</v>
      </c>
      <c r="BE604" s="1" t="s">
        <v>5164</v>
      </c>
      <c r="BF604" s="2" t="str">
        <f>HYPERLINK("http://dx.doi.org/10.15446/rcs.v46n1/99056","http://dx.doi.org/10.15446/rcs.v46n1/99056")</f>
        <v>http://dx.doi.org/10.15446/rcs.v46n1/99056</v>
      </c>
      <c r="BG604" s="1" t="s">
        <v>74</v>
      </c>
      <c r="BH604" s="1" t="s">
        <v>74</v>
      </c>
      <c r="BI604" s="1" t="s">
        <v>74</v>
      </c>
      <c r="BJ604" s="1" t="s">
        <v>74</v>
      </c>
      <c r="BK604" s="1" t="s">
        <v>74</v>
      </c>
      <c r="BL604" s="1" t="s">
        <v>74</v>
      </c>
      <c r="BM604" s="1" t="s">
        <v>74</v>
      </c>
      <c r="BN604" s="1" t="s">
        <v>74</v>
      </c>
      <c r="BO604" s="1" t="s">
        <v>74</v>
      </c>
      <c r="BP604" s="1" t="s">
        <v>74</v>
      </c>
      <c r="BQ604" s="1" t="s">
        <v>74</v>
      </c>
      <c r="BR604" s="1" t="s">
        <v>74</v>
      </c>
      <c r="BS604" s="1" t="s">
        <v>5165</v>
      </c>
      <c r="BT604" s="1" t="str">
        <f>HYPERLINK("https%3A%2F%2Fwww.webofscience.com%2Fwos%2Fwoscc%2Ffull-record%2FWOS:001230979900001","View Full Record in Web of Science")</f>
        <v>View Full Record in Web of Science</v>
      </c>
    </row>
    <row r="605" ht="12.75" customHeight="1">
      <c r="A605" s="1" t="s">
        <v>72</v>
      </c>
      <c r="B605" s="1" t="s">
        <v>5166</v>
      </c>
      <c r="C605" s="1" t="s">
        <v>74</v>
      </c>
      <c r="D605" s="1" t="s">
        <v>74</v>
      </c>
      <c r="E605" s="1" t="s">
        <v>74</v>
      </c>
      <c r="F605" s="1" t="s">
        <v>5167</v>
      </c>
      <c r="G605" s="1" t="s">
        <v>74</v>
      </c>
      <c r="H605" s="1" t="s">
        <v>74</v>
      </c>
      <c r="I605" s="1" t="s">
        <v>5168</v>
      </c>
      <c r="J605" s="1" t="s">
        <v>5169</v>
      </c>
      <c r="K605" s="1" t="s">
        <v>74</v>
      </c>
      <c r="L605" s="1" t="s">
        <v>74</v>
      </c>
      <c r="M605" s="1" t="s">
        <v>74</v>
      </c>
      <c r="N605" s="1" t="s">
        <v>74</v>
      </c>
      <c r="O605" s="1" t="s">
        <v>74</v>
      </c>
      <c r="P605" s="1" t="s">
        <v>74</v>
      </c>
      <c r="Q605" s="1" t="s">
        <v>74</v>
      </c>
      <c r="R605" s="1" t="s">
        <v>74</v>
      </c>
      <c r="S605" s="1" t="s">
        <v>74</v>
      </c>
      <c r="T605" s="1" t="s">
        <v>74</v>
      </c>
      <c r="U605" s="1" t="s">
        <v>74</v>
      </c>
      <c r="V605" s="1" t="s">
        <v>5170</v>
      </c>
      <c r="W605" s="1" t="s">
        <v>74</v>
      </c>
      <c r="X605" s="1" t="s">
        <v>74</v>
      </c>
      <c r="Y605" s="1" t="s">
        <v>74</v>
      </c>
      <c r="Z605" s="1" t="s">
        <v>74</v>
      </c>
      <c r="AA605" s="1" t="s">
        <v>74</v>
      </c>
      <c r="AB605" s="1" t="s">
        <v>74</v>
      </c>
      <c r="AC605" s="1" t="s">
        <v>74</v>
      </c>
      <c r="AD605" s="1" t="s">
        <v>74</v>
      </c>
      <c r="AE605" s="1" t="s">
        <v>74</v>
      </c>
      <c r="AF605" s="1" t="s">
        <v>74</v>
      </c>
      <c r="AG605" s="1" t="s">
        <v>74</v>
      </c>
      <c r="AH605" s="1" t="s">
        <v>74</v>
      </c>
      <c r="AI605" s="1" t="s">
        <v>74</v>
      </c>
      <c r="AJ605" s="1" t="s">
        <v>74</v>
      </c>
      <c r="AK605" s="1" t="s">
        <v>74</v>
      </c>
      <c r="AL605" s="1" t="s">
        <v>74</v>
      </c>
      <c r="AM605" s="1" t="s">
        <v>74</v>
      </c>
      <c r="AN605" s="1" t="s">
        <v>74</v>
      </c>
      <c r="AO605" s="1" t="s">
        <v>5171</v>
      </c>
      <c r="AP605" s="1" t="s">
        <v>5172</v>
      </c>
      <c r="AQ605" s="1" t="s">
        <v>74</v>
      </c>
      <c r="AR605" s="1" t="s">
        <v>74</v>
      </c>
      <c r="AS605" s="1" t="s">
        <v>74</v>
      </c>
      <c r="AT605" s="1" t="s">
        <v>3000</v>
      </c>
      <c r="AU605" s="1">
        <v>2023.0</v>
      </c>
      <c r="AV605" s="1" t="s">
        <v>74</v>
      </c>
      <c r="AW605" s="1">
        <v>201.0</v>
      </c>
      <c r="AX605" s="1" t="s">
        <v>74</v>
      </c>
      <c r="AY605" s="1" t="s">
        <v>74</v>
      </c>
      <c r="AZ605" s="1" t="s">
        <v>74</v>
      </c>
      <c r="BA605" s="1" t="s">
        <v>74</v>
      </c>
      <c r="BB605" s="1">
        <v>113.0</v>
      </c>
      <c r="BC605" s="1">
        <v>148.0</v>
      </c>
      <c r="BD605" s="1" t="s">
        <v>74</v>
      </c>
      <c r="BE605" s="1" t="s">
        <v>5173</v>
      </c>
      <c r="BF605" s="2" t="str">
        <f>HYPERLINK("http://dx.doi.org/10.18042/cepc/rep.201.04","http://dx.doi.org/10.18042/cepc/rep.201.04")</f>
        <v>http://dx.doi.org/10.18042/cepc/rep.201.04</v>
      </c>
      <c r="BG605" s="1" t="s">
        <v>74</v>
      </c>
      <c r="BH605" s="1" t="s">
        <v>74</v>
      </c>
      <c r="BI605" s="1" t="s">
        <v>74</v>
      </c>
      <c r="BJ605" s="1" t="s">
        <v>74</v>
      </c>
      <c r="BK605" s="1" t="s">
        <v>74</v>
      </c>
      <c r="BL605" s="1" t="s">
        <v>74</v>
      </c>
      <c r="BM605" s="1" t="s">
        <v>74</v>
      </c>
      <c r="BN605" s="1" t="s">
        <v>74</v>
      </c>
      <c r="BO605" s="1" t="s">
        <v>74</v>
      </c>
      <c r="BP605" s="1" t="s">
        <v>74</v>
      </c>
      <c r="BQ605" s="1" t="s">
        <v>74</v>
      </c>
      <c r="BR605" s="1" t="s">
        <v>74</v>
      </c>
      <c r="BS605" s="1" t="s">
        <v>5174</v>
      </c>
      <c r="BT605" s="1" t="str">
        <f>HYPERLINK("https%3A%2F%2Fwww.webofscience.com%2Fwos%2Fwoscc%2Ffull-record%2FWOS:001099956200004","View Full Record in Web of Science")</f>
        <v>View Full Record in Web of Science</v>
      </c>
    </row>
    <row r="606" ht="12.75" customHeight="1">
      <c r="A606" s="1" t="s">
        <v>72</v>
      </c>
      <c r="B606" s="1" t="s">
        <v>5175</v>
      </c>
      <c r="C606" s="1" t="s">
        <v>74</v>
      </c>
      <c r="D606" s="1" t="s">
        <v>74</v>
      </c>
      <c r="E606" s="1" t="s">
        <v>74</v>
      </c>
      <c r="F606" s="1" t="s">
        <v>5176</v>
      </c>
      <c r="G606" s="1" t="s">
        <v>74</v>
      </c>
      <c r="H606" s="1" t="s">
        <v>74</v>
      </c>
      <c r="I606" s="1" t="s">
        <v>5177</v>
      </c>
      <c r="J606" s="1" t="s">
        <v>2466</v>
      </c>
      <c r="K606" s="1" t="s">
        <v>74</v>
      </c>
      <c r="L606" s="1" t="s">
        <v>74</v>
      </c>
      <c r="M606" s="1" t="s">
        <v>74</v>
      </c>
      <c r="N606" s="1" t="s">
        <v>74</v>
      </c>
      <c r="O606" s="1" t="s">
        <v>74</v>
      </c>
      <c r="P606" s="1" t="s">
        <v>74</v>
      </c>
      <c r="Q606" s="1" t="s">
        <v>74</v>
      </c>
      <c r="R606" s="1" t="s">
        <v>74</v>
      </c>
      <c r="S606" s="1" t="s">
        <v>74</v>
      </c>
      <c r="T606" s="1" t="s">
        <v>74</v>
      </c>
      <c r="U606" s="1" t="s">
        <v>74</v>
      </c>
      <c r="V606" s="1" t="s">
        <v>5178</v>
      </c>
      <c r="W606" s="1" t="s">
        <v>74</v>
      </c>
      <c r="X606" s="1" t="s">
        <v>74</v>
      </c>
      <c r="Y606" s="1" t="s">
        <v>74</v>
      </c>
      <c r="Z606" s="1" t="s">
        <v>74</v>
      </c>
      <c r="AA606" s="1" t="s">
        <v>5105</v>
      </c>
      <c r="AB606" s="1" t="s">
        <v>5179</v>
      </c>
      <c r="AC606" s="1" t="s">
        <v>74</v>
      </c>
      <c r="AD606" s="1" t="s">
        <v>74</v>
      </c>
      <c r="AE606" s="1" t="s">
        <v>74</v>
      </c>
      <c r="AF606" s="1" t="s">
        <v>74</v>
      </c>
      <c r="AG606" s="1" t="s">
        <v>74</v>
      </c>
      <c r="AH606" s="1" t="s">
        <v>74</v>
      </c>
      <c r="AI606" s="1" t="s">
        <v>74</v>
      </c>
      <c r="AJ606" s="1" t="s">
        <v>74</v>
      </c>
      <c r="AK606" s="1" t="s">
        <v>74</v>
      </c>
      <c r="AL606" s="1" t="s">
        <v>74</v>
      </c>
      <c r="AM606" s="1" t="s">
        <v>74</v>
      </c>
      <c r="AN606" s="1" t="s">
        <v>74</v>
      </c>
      <c r="AO606" s="1" t="s">
        <v>2852</v>
      </c>
      <c r="AP606" s="1" t="s">
        <v>2853</v>
      </c>
      <c r="AQ606" s="1" t="s">
        <v>74</v>
      </c>
      <c r="AR606" s="1" t="s">
        <v>74</v>
      </c>
      <c r="AS606" s="1" t="s">
        <v>74</v>
      </c>
      <c r="AT606" s="1" t="s">
        <v>5180</v>
      </c>
      <c r="AU606" s="1">
        <v>2023.0</v>
      </c>
      <c r="AV606" s="1">
        <v>107.0</v>
      </c>
      <c r="AW606" s="1">
        <v>12.0</v>
      </c>
      <c r="AX606" s="1" t="s">
        <v>74</v>
      </c>
      <c r="AY606" s="1" t="s">
        <v>74</v>
      </c>
      <c r="AZ606" s="1" t="s">
        <v>74</v>
      </c>
      <c r="BA606" s="1" t="s">
        <v>74</v>
      </c>
      <c r="BB606" s="1" t="s">
        <v>74</v>
      </c>
      <c r="BC606" s="1" t="s">
        <v>74</v>
      </c>
      <c r="BD606" s="1">
        <v>123535.0</v>
      </c>
      <c r="BE606" s="1" t="s">
        <v>5181</v>
      </c>
      <c r="BF606" s="2" t="str">
        <f>HYPERLINK("http://dx.doi.org/10.1103/PhysRevD.107.123535","http://dx.doi.org/10.1103/PhysRevD.107.123535")</f>
        <v>http://dx.doi.org/10.1103/PhysRevD.107.123535</v>
      </c>
      <c r="BG606" s="1" t="s">
        <v>74</v>
      </c>
      <c r="BH606" s="1" t="s">
        <v>74</v>
      </c>
      <c r="BI606" s="1" t="s">
        <v>74</v>
      </c>
      <c r="BJ606" s="1" t="s">
        <v>74</v>
      </c>
      <c r="BK606" s="1" t="s">
        <v>74</v>
      </c>
      <c r="BL606" s="1" t="s">
        <v>74</v>
      </c>
      <c r="BM606" s="1" t="s">
        <v>74</v>
      </c>
      <c r="BN606" s="1" t="s">
        <v>74</v>
      </c>
      <c r="BO606" s="1" t="s">
        <v>74</v>
      </c>
      <c r="BP606" s="1" t="s">
        <v>74</v>
      </c>
      <c r="BQ606" s="1" t="s">
        <v>74</v>
      </c>
      <c r="BR606" s="1" t="s">
        <v>74</v>
      </c>
      <c r="BS606" s="1" t="s">
        <v>5182</v>
      </c>
      <c r="BT606" s="1" t="str">
        <f>HYPERLINK("https%3A%2F%2Fwww.webofscience.com%2Fwos%2Fwoscc%2Ffull-record%2FWOS:001054899300002","View Full Record in Web of Science")</f>
        <v>View Full Record in Web of Science</v>
      </c>
    </row>
    <row r="607" ht="12.75" customHeight="1">
      <c r="A607" s="1" t="s">
        <v>72</v>
      </c>
      <c r="B607" s="1" t="s">
        <v>4388</v>
      </c>
      <c r="C607" s="1" t="s">
        <v>74</v>
      </c>
      <c r="D607" s="1" t="s">
        <v>74</v>
      </c>
      <c r="E607" s="1" t="s">
        <v>74</v>
      </c>
      <c r="F607" s="1" t="s">
        <v>4389</v>
      </c>
      <c r="G607" s="1" t="s">
        <v>74</v>
      </c>
      <c r="H607" s="1" t="s">
        <v>74</v>
      </c>
      <c r="I607" s="1" t="s">
        <v>5183</v>
      </c>
      <c r="J607" s="1" t="s">
        <v>5184</v>
      </c>
      <c r="K607" s="1" t="s">
        <v>74</v>
      </c>
      <c r="L607" s="1" t="s">
        <v>74</v>
      </c>
      <c r="M607" s="1" t="s">
        <v>74</v>
      </c>
      <c r="N607" s="1" t="s">
        <v>74</v>
      </c>
      <c r="O607" s="1" t="s">
        <v>74</v>
      </c>
      <c r="P607" s="1" t="s">
        <v>74</v>
      </c>
      <c r="Q607" s="1" t="s">
        <v>74</v>
      </c>
      <c r="R607" s="1" t="s">
        <v>74</v>
      </c>
      <c r="S607" s="1" t="s">
        <v>74</v>
      </c>
      <c r="T607" s="1" t="s">
        <v>74</v>
      </c>
      <c r="U607" s="1" t="s">
        <v>74</v>
      </c>
      <c r="V607" s="1" t="s">
        <v>5185</v>
      </c>
      <c r="W607" s="1" t="s">
        <v>74</v>
      </c>
      <c r="X607" s="1" t="s">
        <v>74</v>
      </c>
      <c r="Y607" s="1" t="s">
        <v>74</v>
      </c>
      <c r="Z607" s="1" t="s">
        <v>74</v>
      </c>
      <c r="AA607" s="1" t="s">
        <v>74</v>
      </c>
      <c r="AB607" s="1" t="s">
        <v>74</v>
      </c>
      <c r="AC607" s="1" t="s">
        <v>74</v>
      </c>
      <c r="AD607" s="1" t="s">
        <v>74</v>
      </c>
      <c r="AE607" s="1" t="s">
        <v>74</v>
      </c>
      <c r="AF607" s="1" t="s">
        <v>74</v>
      </c>
      <c r="AG607" s="1" t="s">
        <v>74</v>
      </c>
      <c r="AH607" s="1" t="s">
        <v>74</v>
      </c>
      <c r="AI607" s="1" t="s">
        <v>74</v>
      </c>
      <c r="AJ607" s="1" t="s">
        <v>74</v>
      </c>
      <c r="AK607" s="1" t="s">
        <v>74</v>
      </c>
      <c r="AL607" s="1" t="s">
        <v>74</v>
      </c>
      <c r="AM607" s="1" t="s">
        <v>74</v>
      </c>
      <c r="AN607" s="1" t="s">
        <v>74</v>
      </c>
      <c r="AO607" s="1" t="s">
        <v>5186</v>
      </c>
      <c r="AP607" s="1" t="s">
        <v>5187</v>
      </c>
      <c r="AQ607" s="1" t="s">
        <v>74</v>
      </c>
      <c r="AR607" s="1" t="s">
        <v>74</v>
      </c>
      <c r="AS607" s="1" t="s">
        <v>74</v>
      </c>
      <c r="AT607" s="1" t="s">
        <v>161</v>
      </c>
      <c r="AU607" s="1">
        <v>2022.0</v>
      </c>
      <c r="AV607" s="1">
        <v>124.0</v>
      </c>
      <c r="AW607" s="1">
        <v>10.0</v>
      </c>
      <c r="AX607" s="1" t="s">
        <v>74</v>
      </c>
      <c r="AY607" s="1" t="s">
        <v>74</v>
      </c>
      <c r="AZ607" s="1" t="s">
        <v>74</v>
      </c>
      <c r="BA607" s="1" t="s">
        <v>74</v>
      </c>
      <c r="BB607" s="1">
        <v>134.0</v>
      </c>
      <c r="BC607" s="1">
        <v>154.0</v>
      </c>
      <c r="BD607" s="1" t="s">
        <v>74</v>
      </c>
      <c r="BE607" s="1" t="s">
        <v>5188</v>
      </c>
      <c r="BF607" s="2" t="str">
        <f>HYPERLINK("http://dx.doi.org/10.1177/01614681221137148","http://dx.doi.org/10.1177/01614681221137148")</f>
        <v>http://dx.doi.org/10.1177/01614681221137148</v>
      </c>
      <c r="BG607" s="1" t="s">
        <v>74</v>
      </c>
      <c r="BH607" s="1" t="s">
        <v>74</v>
      </c>
      <c r="BI607" s="1" t="s">
        <v>74</v>
      </c>
      <c r="BJ607" s="1" t="s">
        <v>74</v>
      </c>
      <c r="BK607" s="1" t="s">
        <v>74</v>
      </c>
      <c r="BL607" s="1" t="s">
        <v>74</v>
      </c>
      <c r="BM607" s="1" t="s">
        <v>74</v>
      </c>
      <c r="BN607" s="1" t="s">
        <v>74</v>
      </c>
      <c r="BO607" s="1" t="s">
        <v>74</v>
      </c>
      <c r="BP607" s="1" t="s">
        <v>74</v>
      </c>
      <c r="BQ607" s="1" t="s">
        <v>74</v>
      </c>
      <c r="BR607" s="1" t="s">
        <v>74</v>
      </c>
      <c r="BS607" s="1" t="s">
        <v>5189</v>
      </c>
      <c r="BT607" s="1" t="str">
        <f>HYPERLINK("https%3A%2F%2Fwww.webofscience.com%2Fwos%2Fwoscc%2Ffull-record%2FWOS:000886105600007","View Full Record in Web of Science")</f>
        <v>View Full Record in Web of Science</v>
      </c>
    </row>
    <row r="608" ht="12.75" customHeight="1">
      <c r="A608" s="1" t="s">
        <v>72</v>
      </c>
      <c r="B608" s="1" t="s">
        <v>5190</v>
      </c>
      <c r="C608" s="1" t="s">
        <v>74</v>
      </c>
      <c r="D608" s="1" t="s">
        <v>74</v>
      </c>
      <c r="E608" s="1" t="s">
        <v>74</v>
      </c>
      <c r="F608" s="1" t="s">
        <v>5191</v>
      </c>
      <c r="G608" s="1" t="s">
        <v>74</v>
      </c>
      <c r="H608" s="1" t="s">
        <v>74</v>
      </c>
      <c r="I608" s="1" t="s">
        <v>5192</v>
      </c>
      <c r="J608" s="1" t="s">
        <v>4638</v>
      </c>
      <c r="K608" s="1" t="s">
        <v>74</v>
      </c>
      <c r="L608" s="1" t="s">
        <v>74</v>
      </c>
      <c r="M608" s="1" t="s">
        <v>74</v>
      </c>
      <c r="N608" s="1" t="s">
        <v>74</v>
      </c>
      <c r="O608" s="1" t="s">
        <v>74</v>
      </c>
      <c r="P608" s="1" t="s">
        <v>74</v>
      </c>
      <c r="Q608" s="1" t="s">
        <v>74</v>
      </c>
      <c r="R608" s="1" t="s">
        <v>74</v>
      </c>
      <c r="S608" s="1" t="s">
        <v>74</v>
      </c>
      <c r="T608" s="1" t="s">
        <v>74</v>
      </c>
      <c r="U608" s="1" t="s">
        <v>74</v>
      </c>
      <c r="V608" s="1" t="s">
        <v>5193</v>
      </c>
      <c r="W608" s="1" t="s">
        <v>74</v>
      </c>
      <c r="X608" s="1" t="s">
        <v>74</v>
      </c>
      <c r="Y608" s="1" t="s">
        <v>74</v>
      </c>
      <c r="Z608" s="1" t="s">
        <v>74</v>
      </c>
      <c r="AA608" s="1" t="s">
        <v>2989</v>
      </c>
      <c r="AB608" s="1" t="s">
        <v>5194</v>
      </c>
      <c r="AC608" s="1" t="s">
        <v>74</v>
      </c>
      <c r="AD608" s="1" t="s">
        <v>74</v>
      </c>
      <c r="AE608" s="1" t="s">
        <v>74</v>
      </c>
      <c r="AF608" s="1" t="s">
        <v>74</v>
      </c>
      <c r="AG608" s="1" t="s">
        <v>74</v>
      </c>
      <c r="AH608" s="1" t="s">
        <v>74</v>
      </c>
      <c r="AI608" s="1" t="s">
        <v>74</v>
      </c>
      <c r="AJ608" s="1" t="s">
        <v>74</v>
      </c>
      <c r="AK608" s="1" t="s">
        <v>74</v>
      </c>
      <c r="AL608" s="1" t="s">
        <v>74</v>
      </c>
      <c r="AM608" s="1" t="s">
        <v>74</v>
      </c>
      <c r="AN608" s="1" t="s">
        <v>74</v>
      </c>
      <c r="AO608" s="1" t="s">
        <v>4642</v>
      </c>
      <c r="AP608" s="1" t="s">
        <v>4643</v>
      </c>
      <c r="AQ608" s="1" t="s">
        <v>74</v>
      </c>
      <c r="AR608" s="1" t="s">
        <v>74</v>
      </c>
      <c r="AS608" s="1" t="s">
        <v>74</v>
      </c>
      <c r="AT608" s="1" t="s">
        <v>347</v>
      </c>
      <c r="AU608" s="1">
        <v>2022.0</v>
      </c>
      <c r="AV608" s="1" t="s">
        <v>74</v>
      </c>
      <c r="AW608" s="1">
        <v>86.0</v>
      </c>
      <c r="AX608" s="1" t="s">
        <v>74</v>
      </c>
      <c r="AY608" s="1" t="s">
        <v>74</v>
      </c>
      <c r="AZ608" s="1" t="s">
        <v>74</v>
      </c>
      <c r="BA608" s="1" t="s">
        <v>74</v>
      </c>
      <c r="BB608" s="1">
        <v>239.0</v>
      </c>
      <c r="BC608" s="1">
        <v>272.0</v>
      </c>
      <c r="BD608" s="1" t="s">
        <v>74</v>
      </c>
      <c r="BE608" s="1" t="s">
        <v>5195</v>
      </c>
      <c r="BF608" s="2" t="str">
        <f>HYPERLINK("http://dx.doi.org/10.26882/histagrar.086e05g","http://dx.doi.org/10.26882/histagrar.086e05g")</f>
        <v>http://dx.doi.org/10.26882/histagrar.086e05g</v>
      </c>
      <c r="BG608" s="1" t="s">
        <v>74</v>
      </c>
      <c r="BH608" s="1" t="s">
        <v>74</v>
      </c>
      <c r="BI608" s="1" t="s">
        <v>74</v>
      </c>
      <c r="BJ608" s="1" t="s">
        <v>74</v>
      </c>
      <c r="BK608" s="1" t="s">
        <v>74</v>
      </c>
      <c r="BL608" s="1" t="s">
        <v>74</v>
      </c>
      <c r="BM608" s="1" t="s">
        <v>74</v>
      </c>
      <c r="BN608" s="1" t="s">
        <v>74</v>
      </c>
      <c r="BO608" s="1" t="s">
        <v>74</v>
      </c>
      <c r="BP608" s="1" t="s">
        <v>74</v>
      </c>
      <c r="BQ608" s="1" t="s">
        <v>74</v>
      </c>
      <c r="BR608" s="1" t="s">
        <v>74</v>
      </c>
      <c r="BS608" s="1" t="s">
        <v>5196</v>
      </c>
      <c r="BT608" s="1" t="str">
        <f>HYPERLINK("https%3A%2F%2Fwww.webofscience.com%2Fwos%2Fwoscc%2Ffull-record%2FWOS:000792300200009","View Full Record in Web of Science")</f>
        <v>View Full Record in Web of Science</v>
      </c>
    </row>
    <row r="609" ht="12.75" customHeight="1">
      <c r="A609" s="1" t="s">
        <v>72</v>
      </c>
      <c r="B609" s="1" t="s">
        <v>5197</v>
      </c>
      <c r="C609" s="1" t="s">
        <v>74</v>
      </c>
      <c r="D609" s="1" t="s">
        <v>74</v>
      </c>
      <c r="E609" s="1" t="s">
        <v>74</v>
      </c>
      <c r="F609" s="1" t="s">
        <v>5198</v>
      </c>
      <c r="G609" s="1" t="s">
        <v>74</v>
      </c>
      <c r="H609" s="1" t="s">
        <v>74</v>
      </c>
      <c r="I609" s="1" t="s">
        <v>5199</v>
      </c>
      <c r="J609" s="1" t="s">
        <v>1288</v>
      </c>
      <c r="K609" s="1" t="s">
        <v>74</v>
      </c>
      <c r="L609" s="1" t="s">
        <v>74</v>
      </c>
      <c r="M609" s="1" t="s">
        <v>74</v>
      </c>
      <c r="N609" s="1" t="s">
        <v>74</v>
      </c>
      <c r="O609" s="1" t="s">
        <v>74</v>
      </c>
      <c r="P609" s="1" t="s">
        <v>74</v>
      </c>
      <c r="Q609" s="1" t="s">
        <v>74</v>
      </c>
      <c r="R609" s="1" t="s">
        <v>74</v>
      </c>
      <c r="S609" s="1" t="s">
        <v>74</v>
      </c>
      <c r="T609" s="1" t="s">
        <v>74</v>
      </c>
      <c r="U609" s="1" t="s">
        <v>74</v>
      </c>
      <c r="V609" s="1" t="s">
        <v>5200</v>
      </c>
      <c r="W609" s="1" t="s">
        <v>74</v>
      </c>
      <c r="X609" s="1" t="s">
        <v>74</v>
      </c>
      <c r="Y609" s="1" t="s">
        <v>74</v>
      </c>
      <c r="Z609" s="1" t="s">
        <v>74</v>
      </c>
      <c r="AA609" s="1" t="s">
        <v>74</v>
      </c>
      <c r="AB609" s="1" t="s">
        <v>74</v>
      </c>
      <c r="AC609" s="1" t="s">
        <v>74</v>
      </c>
      <c r="AD609" s="1" t="s">
        <v>74</v>
      </c>
      <c r="AE609" s="1" t="s">
        <v>74</v>
      </c>
      <c r="AF609" s="1" t="s">
        <v>74</v>
      </c>
      <c r="AG609" s="1" t="s">
        <v>74</v>
      </c>
      <c r="AH609" s="1" t="s">
        <v>74</v>
      </c>
      <c r="AI609" s="1" t="s">
        <v>74</v>
      </c>
      <c r="AJ609" s="1" t="s">
        <v>74</v>
      </c>
      <c r="AK609" s="1" t="s">
        <v>74</v>
      </c>
      <c r="AL609" s="1" t="s">
        <v>74</v>
      </c>
      <c r="AM609" s="1" t="s">
        <v>74</v>
      </c>
      <c r="AN609" s="1" t="s">
        <v>74</v>
      </c>
      <c r="AO609" s="1" t="s">
        <v>74</v>
      </c>
      <c r="AP609" s="1" t="s">
        <v>1292</v>
      </c>
      <c r="AQ609" s="1" t="s">
        <v>74</v>
      </c>
      <c r="AR609" s="1" t="s">
        <v>74</v>
      </c>
      <c r="AS609" s="1" t="s">
        <v>74</v>
      </c>
      <c r="AT609" s="1" t="s">
        <v>4135</v>
      </c>
      <c r="AU609" s="1">
        <v>2022.0</v>
      </c>
      <c r="AV609" s="1">
        <v>93.0</v>
      </c>
      <c r="AW609" s="1">
        <v>2.0</v>
      </c>
      <c r="AX609" s="1" t="s">
        <v>74</v>
      </c>
      <c r="AY609" s="1" t="s">
        <v>74</v>
      </c>
      <c r="AZ609" s="1" t="s">
        <v>74</v>
      </c>
      <c r="BA609" s="1" t="s">
        <v>74</v>
      </c>
      <c r="BB609" s="1">
        <v>199.0</v>
      </c>
      <c r="BC609" s="1">
        <v>205.0</v>
      </c>
      <c r="BD609" s="1" t="s">
        <v>74</v>
      </c>
      <c r="BE609" s="1" t="s">
        <v>5201</v>
      </c>
      <c r="BF609" s="2" t="str">
        <f>HYPERLINK("http://dx.doi.org/10.32641/andespediatr.v93i2.3872","http://dx.doi.org/10.32641/andespediatr.v93i2.3872")</f>
        <v>http://dx.doi.org/10.32641/andespediatr.v93i2.3872</v>
      </c>
      <c r="BG609" s="1" t="s">
        <v>74</v>
      </c>
      <c r="BH609" s="1" t="s">
        <v>74</v>
      </c>
      <c r="BI609" s="1" t="s">
        <v>74</v>
      </c>
      <c r="BJ609" s="1" t="s">
        <v>74</v>
      </c>
      <c r="BK609" s="1" t="s">
        <v>74</v>
      </c>
      <c r="BL609" s="1" t="s">
        <v>74</v>
      </c>
      <c r="BM609" s="1" t="s">
        <v>74</v>
      </c>
      <c r="BN609" s="1">
        <v>3.5735298E7</v>
      </c>
      <c r="BO609" s="1" t="s">
        <v>74</v>
      </c>
      <c r="BP609" s="1" t="s">
        <v>74</v>
      </c>
      <c r="BQ609" s="1" t="s">
        <v>74</v>
      </c>
      <c r="BR609" s="1" t="s">
        <v>74</v>
      </c>
      <c r="BS609" s="1" t="s">
        <v>5202</v>
      </c>
      <c r="BT609" s="1" t="str">
        <f>HYPERLINK("https%3A%2F%2Fwww.webofscience.com%2Fwos%2Fwoscc%2Ffull-record%2FWOS:000812275800007","View Full Record in Web of Science")</f>
        <v>View Full Record in Web of Science</v>
      </c>
    </row>
    <row r="610" ht="12.75" customHeight="1">
      <c r="A610" s="1" t="s">
        <v>72</v>
      </c>
      <c r="B610" s="1" t="s">
        <v>5203</v>
      </c>
      <c r="C610" s="1" t="s">
        <v>74</v>
      </c>
      <c r="D610" s="1" t="s">
        <v>74</v>
      </c>
      <c r="E610" s="1" t="s">
        <v>74</v>
      </c>
      <c r="F610" s="1" t="s">
        <v>5204</v>
      </c>
      <c r="G610" s="1" t="s">
        <v>74</v>
      </c>
      <c r="H610" s="1" t="s">
        <v>74</v>
      </c>
      <c r="I610" s="1" t="s">
        <v>5205</v>
      </c>
      <c r="J610" s="1" t="s">
        <v>3508</v>
      </c>
      <c r="K610" s="1" t="s">
        <v>74</v>
      </c>
      <c r="L610" s="1" t="s">
        <v>74</v>
      </c>
      <c r="M610" s="1" t="s">
        <v>74</v>
      </c>
      <c r="N610" s="1" t="s">
        <v>74</v>
      </c>
      <c r="O610" s="1" t="s">
        <v>74</v>
      </c>
      <c r="P610" s="1" t="s">
        <v>74</v>
      </c>
      <c r="Q610" s="1" t="s">
        <v>74</v>
      </c>
      <c r="R610" s="1" t="s">
        <v>74</v>
      </c>
      <c r="S610" s="1" t="s">
        <v>74</v>
      </c>
      <c r="T610" s="1" t="s">
        <v>74</v>
      </c>
      <c r="U610" s="1" t="s">
        <v>74</v>
      </c>
      <c r="V610" s="1" t="s">
        <v>5206</v>
      </c>
      <c r="W610" s="1" t="s">
        <v>74</v>
      </c>
      <c r="X610" s="1" t="s">
        <v>74</v>
      </c>
      <c r="Y610" s="1" t="s">
        <v>74</v>
      </c>
      <c r="Z610" s="1" t="s">
        <v>74</v>
      </c>
      <c r="AA610" s="1" t="s">
        <v>1352</v>
      </c>
      <c r="AB610" s="1" t="s">
        <v>74</v>
      </c>
      <c r="AC610" s="1" t="s">
        <v>74</v>
      </c>
      <c r="AD610" s="1" t="s">
        <v>74</v>
      </c>
      <c r="AE610" s="1" t="s">
        <v>74</v>
      </c>
      <c r="AF610" s="1" t="s">
        <v>74</v>
      </c>
      <c r="AG610" s="1" t="s">
        <v>74</v>
      </c>
      <c r="AH610" s="1" t="s">
        <v>74</v>
      </c>
      <c r="AI610" s="1" t="s">
        <v>74</v>
      </c>
      <c r="AJ610" s="1" t="s">
        <v>74</v>
      </c>
      <c r="AK610" s="1" t="s">
        <v>74</v>
      </c>
      <c r="AL610" s="1" t="s">
        <v>74</v>
      </c>
      <c r="AM610" s="1" t="s">
        <v>74</v>
      </c>
      <c r="AN610" s="1" t="s">
        <v>74</v>
      </c>
      <c r="AO610" s="1" t="s">
        <v>3510</v>
      </c>
      <c r="AP610" s="1" t="s">
        <v>3511</v>
      </c>
      <c r="AQ610" s="1" t="s">
        <v>74</v>
      </c>
      <c r="AR610" s="1" t="s">
        <v>74</v>
      </c>
      <c r="AS610" s="1" t="s">
        <v>74</v>
      </c>
      <c r="AT610" s="1" t="s">
        <v>1493</v>
      </c>
      <c r="AU610" s="1">
        <v>2022.0</v>
      </c>
      <c r="AV610" s="1" t="s">
        <v>74</v>
      </c>
      <c r="AW610" s="1">
        <v>28.0</v>
      </c>
      <c r="AX610" s="1" t="s">
        <v>74</v>
      </c>
      <c r="AY610" s="1" t="s">
        <v>74</v>
      </c>
      <c r="AZ610" s="1" t="s">
        <v>74</v>
      </c>
      <c r="BA610" s="1" t="s">
        <v>74</v>
      </c>
      <c r="BB610" s="1">
        <v>47.0</v>
      </c>
      <c r="BC610" s="1">
        <v>69.0</v>
      </c>
      <c r="BD610" s="1" t="s">
        <v>74</v>
      </c>
      <c r="BE610" s="1" t="s">
        <v>74</v>
      </c>
      <c r="BF610" s="1" t="s">
        <v>74</v>
      </c>
      <c r="BG610" s="1" t="s">
        <v>74</v>
      </c>
      <c r="BH610" s="1" t="s">
        <v>74</v>
      </c>
      <c r="BI610" s="1" t="s">
        <v>74</v>
      </c>
      <c r="BJ610" s="1" t="s">
        <v>74</v>
      </c>
      <c r="BK610" s="1" t="s">
        <v>74</v>
      </c>
      <c r="BL610" s="1" t="s">
        <v>74</v>
      </c>
      <c r="BM610" s="1" t="s">
        <v>74</v>
      </c>
      <c r="BN610" s="1" t="s">
        <v>74</v>
      </c>
      <c r="BO610" s="1" t="s">
        <v>74</v>
      </c>
      <c r="BP610" s="1" t="s">
        <v>74</v>
      </c>
      <c r="BQ610" s="1" t="s">
        <v>74</v>
      </c>
      <c r="BR610" s="1" t="s">
        <v>74</v>
      </c>
      <c r="BS610" s="1" t="s">
        <v>5207</v>
      </c>
      <c r="BT610" s="1" t="str">
        <f>HYPERLINK("https%3A%2F%2Fwww.webofscience.com%2Fwos%2Fwoscc%2Ffull-record%2FWOS:000715741600004","View Full Record in Web of Science")</f>
        <v>View Full Record in Web of Science</v>
      </c>
    </row>
    <row r="611" ht="12.75" customHeight="1">
      <c r="A611" s="1" t="s">
        <v>72</v>
      </c>
      <c r="B611" s="1" t="s">
        <v>5208</v>
      </c>
      <c r="C611" s="1" t="s">
        <v>74</v>
      </c>
      <c r="D611" s="1" t="s">
        <v>74</v>
      </c>
      <c r="E611" s="1" t="s">
        <v>74</v>
      </c>
      <c r="F611" s="1" t="s">
        <v>5209</v>
      </c>
      <c r="G611" s="1" t="s">
        <v>74</v>
      </c>
      <c r="H611" s="1" t="s">
        <v>74</v>
      </c>
      <c r="I611" s="1" t="s">
        <v>5210</v>
      </c>
      <c r="J611" s="1" t="s">
        <v>1333</v>
      </c>
      <c r="K611" s="1" t="s">
        <v>74</v>
      </c>
      <c r="L611" s="1" t="s">
        <v>74</v>
      </c>
      <c r="M611" s="1" t="s">
        <v>74</v>
      </c>
      <c r="N611" s="1" t="s">
        <v>74</v>
      </c>
      <c r="O611" s="1" t="s">
        <v>74</v>
      </c>
      <c r="P611" s="1" t="s">
        <v>74</v>
      </c>
      <c r="Q611" s="1" t="s">
        <v>74</v>
      </c>
      <c r="R611" s="1" t="s">
        <v>74</v>
      </c>
      <c r="S611" s="1" t="s">
        <v>74</v>
      </c>
      <c r="T611" s="1" t="s">
        <v>74</v>
      </c>
      <c r="U611" s="1" t="s">
        <v>74</v>
      </c>
      <c r="V611" s="1" t="s">
        <v>5211</v>
      </c>
      <c r="W611" s="1" t="s">
        <v>74</v>
      </c>
      <c r="X611" s="1" t="s">
        <v>74</v>
      </c>
      <c r="Y611" s="1" t="s">
        <v>74</v>
      </c>
      <c r="Z611" s="1" t="s">
        <v>74</v>
      </c>
      <c r="AA611" s="1" t="s">
        <v>74</v>
      </c>
      <c r="AB611" s="1" t="s">
        <v>74</v>
      </c>
      <c r="AC611" s="1" t="s">
        <v>74</v>
      </c>
      <c r="AD611" s="1" t="s">
        <v>74</v>
      </c>
      <c r="AE611" s="1" t="s">
        <v>74</v>
      </c>
      <c r="AF611" s="1" t="s">
        <v>74</v>
      </c>
      <c r="AG611" s="1" t="s">
        <v>74</v>
      </c>
      <c r="AH611" s="1" t="s">
        <v>74</v>
      </c>
      <c r="AI611" s="1" t="s">
        <v>74</v>
      </c>
      <c r="AJ611" s="1" t="s">
        <v>74</v>
      </c>
      <c r="AK611" s="1" t="s">
        <v>74</v>
      </c>
      <c r="AL611" s="1" t="s">
        <v>74</v>
      </c>
      <c r="AM611" s="1" t="s">
        <v>74</v>
      </c>
      <c r="AN611" s="1" t="s">
        <v>74</v>
      </c>
      <c r="AO611" s="1" t="s">
        <v>1335</v>
      </c>
      <c r="AP611" s="1" t="s">
        <v>1336</v>
      </c>
      <c r="AQ611" s="1" t="s">
        <v>74</v>
      </c>
      <c r="AR611" s="1" t="s">
        <v>74</v>
      </c>
      <c r="AS611" s="1" t="s">
        <v>74</v>
      </c>
      <c r="AT611" s="1" t="s">
        <v>74</v>
      </c>
      <c r="AU611" s="1">
        <v>2022.0</v>
      </c>
      <c r="AV611" s="1" t="s">
        <v>74</v>
      </c>
      <c r="AW611" s="1">
        <v>37.0</v>
      </c>
      <c r="AX611" s="1" t="s">
        <v>74</v>
      </c>
      <c r="AY611" s="1" t="s">
        <v>74</v>
      </c>
      <c r="AZ611" s="1" t="s">
        <v>74</v>
      </c>
      <c r="BA611" s="1" t="s">
        <v>74</v>
      </c>
      <c r="BB611" s="1">
        <v>27.0</v>
      </c>
      <c r="BC611" s="1">
        <v>43.0</v>
      </c>
      <c r="BD611" s="1" t="s">
        <v>74</v>
      </c>
      <c r="BE611" s="1" t="s">
        <v>74</v>
      </c>
      <c r="BF611" s="1" t="s">
        <v>74</v>
      </c>
      <c r="BG611" s="1" t="s">
        <v>74</v>
      </c>
      <c r="BH611" s="1" t="s">
        <v>74</v>
      </c>
      <c r="BI611" s="1" t="s">
        <v>74</v>
      </c>
      <c r="BJ611" s="1" t="s">
        <v>74</v>
      </c>
      <c r="BK611" s="1" t="s">
        <v>74</v>
      </c>
      <c r="BL611" s="1" t="s">
        <v>74</v>
      </c>
      <c r="BM611" s="1" t="s">
        <v>74</v>
      </c>
      <c r="BN611" s="1" t="s">
        <v>74</v>
      </c>
      <c r="BO611" s="1" t="s">
        <v>74</v>
      </c>
      <c r="BP611" s="1" t="s">
        <v>74</v>
      </c>
      <c r="BQ611" s="1" t="s">
        <v>74</v>
      </c>
      <c r="BR611" s="1" t="s">
        <v>74</v>
      </c>
      <c r="BS611" s="1" t="s">
        <v>5212</v>
      </c>
      <c r="BT611" s="1" t="str">
        <f>HYPERLINK("https%3A%2F%2Fwww.webofscience.com%2Fwos%2Fwoscc%2Ffull-record%2FWOS:000933168400003","View Full Record in Web of Science")</f>
        <v>View Full Record in Web of Science</v>
      </c>
    </row>
    <row r="612" ht="12.75" customHeight="1">
      <c r="A612" s="1" t="s">
        <v>72</v>
      </c>
      <c r="B612" s="1" t="s">
        <v>5213</v>
      </c>
      <c r="C612" s="1" t="s">
        <v>74</v>
      </c>
      <c r="D612" s="1" t="s">
        <v>74</v>
      </c>
      <c r="E612" s="1" t="s">
        <v>74</v>
      </c>
      <c r="F612" s="1" t="s">
        <v>5214</v>
      </c>
      <c r="G612" s="1" t="s">
        <v>74</v>
      </c>
      <c r="H612" s="1" t="s">
        <v>74</v>
      </c>
      <c r="I612" s="1" t="s">
        <v>5215</v>
      </c>
      <c r="J612" s="1" t="s">
        <v>5216</v>
      </c>
      <c r="K612" s="1" t="s">
        <v>74</v>
      </c>
      <c r="L612" s="1" t="s">
        <v>74</v>
      </c>
      <c r="M612" s="1" t="s">
        <v>74</v>
      </c>
      <c r="N612" s="1" t="s">
        <v>74</v>
      </c>
      <c r="O612" s="1" t="s">
        <v>74</v>
      </c>
      <c r="P612" s="1" t="s">
        <v>74</v>
      </c>
      <c r="Q612" s="1" t="s">
        <v>74</v>
      </c>
      <c r="R612" s="1" t="s">
        <v>74</v>
      </c>
      <c r="S612" s="1" t="s">
        <v>74</v>
      </c>
      <c r="T612" s="1" t="s">
        <v>74</v>
      </c>
      <c r="U612" s="1" t="s">
        <v>74</v>
      </c>
      <c r="V612" s="1" t="s">
        <v>5217</v>
      </c>
      <c r="W612" s="1" t="s">
        <v>74</v>
      </c>
      <c r="X612" s="1" t="s">
        <v>74</v>
      </c>
      <c r="Y612" s="1" t="s">
        <v>74</v>
      </c>
      <c r="Z612" s="1" t="s">
        <v>74</v>
      </c>
      <c r="AA612" s="1" t="s">
        <v>5218</v>
      </c>
      <c r="AB612" s="1" t="s">
        <v>5219</v>
      </c>
      <c r="AC612" s="1" t="s">
        <v>74</v>
      </c>
      <c r="AD612" s="1" t="s">
        <v>74</v>
      </c>
      <c r="AE612" s="1" t="s">
        <v>74</v>
      </c>
      <c r="AF612" s="1" t="s">
        <v>74</v>
      </c>
      <c r="AG612" s="1" t="s">
        <v>74</v>
      </c>
      <c r="AH612" s="1" t="s">
        <v>74</v>
      </c>
      <c r="AI612" s="1" t="s">
        <v>74</v>
      </c>
      <c r="AJ612" s="1" t="s">
        <v>74</v>
      </c>
      <c r="AK612" s="1" t="s">
        <v>74</v>
      </c>
      <c r="AL612" s="1" t="s">
        <v>74</v>
      </c>
      <c r="AM612" s="1" t="s">
        <v>74</v>
      </c>
      <c r="AN612" s="1" t="s">
        <v>74</v>
      </c>
      <c r="AO612" s="1" t="s">
        <v>5220</v>
      </c>
      <c r="AP612" s="1" t="s">
        <v>74</v>
      </c>
      <c r="AQ612" s="1" t="s">
        <v>74</v>
      </c>
      <c r="AR612" s="1" t="s">
        <v>74</v>
      </c>
      <c r="AS612" s="1" t="s">
        <v>74</v>
      </c>
      <c r="AT612" s="1" t="s">
        <v>148</v>
      </c>
      <c r="AU612" s="1">
        <v>2022.0</v>
      </c>
      <c r="AV612" s="1">
        <v>31.0</v>
      </c>
      <c r="AW612" s="1" t="s">
        <v>74</v>
      </c>
      <c r="AX612" s="1" t="s">
        <v>74</v>
      </c>
      <c r="AY612" s="1" t="s">
        <v>74</v>
      </c>
      <c r="AZ612" s="1" t="s">
        <v>74</v>
      </c>
      <c r="BA612" s="1" t="s">
        <v>74</v>
      </c>
      <c r="BB612" s="1" t="s">
        <v>74</v>
      </c>
      <c r="BC612" s="1" t="s">
        <v>74</v>
      </c>
      <c r="BD612" s="1">
        <v>100802.0</v>
      </c>
      <c r="BE612" s="1" t="s">
        <v>5221</v>
      </c>
      <c r="BF612" s="2" t="str">
        <f>HYPERLINK("http://dx.doi.org/10.1016/j.fpsl.2021.100802","http://dx.doi.org/10.1016/j.fpsl.2021.100802")</f>
        <v>http://dx.doi.org/10.1016/j.fpsl.2021.100802</v>
      </c>
      <c r="BG612" s="1" t="s">
        <v>74</v>
      </c>
      <c r="BH612" s="1" t="s">
        <v>5222</v>
      </c>
      <c r="BI612" s="1" t="s">
        <v>74</v>
      </c>
      <c r="BJ612" s="1" t="s">
        <v>74</v>
      </c>
      <c r="BK612" s="1" t="s">
        <v>74</v>
      </c>
      <c r="BL612" s="1" t="s">
        <v>74</v>
      </c>
      <c r="BM612" s="1" t="s">
        <v>74</v>
      </c>
      <c r="BN612" s="1" t="s">
        <v>74</v>
      </c>
      <c r="BO612" s="1" t="s">
        <v>74</v>
      </c>
      <c r="BP612" s="1" t="s">
        <v>74</v>
      </c>
      <c r="BQ612" s="1" t="s">
        <v>74</v>
      </c>
      <c r="BR612" s="1" t="s">
        <v>74</v>
      </c>
      <c r="BS612" s="1" t="s">
        <v>5223</v>
      </c>
      <c r="BT612" s="1" t="str">
        <f>HYPERLINK("https%3A%2F%2Fwww.webofscience.com%2Fwos%2Fwoscc%2Ffull-record%2FWOS:000740514100005","View Full Record in Web of Science")</f>
        <v>View Full Record in Web of Science</v>
      </c>
    </row>
    <row r="613" ht="12.75" customHeight="1">
      <c r="A613" s="1" t="s">
        <v>72</v>
      </c>
      <c r="B613" s="1" t="s">
        <v>5224</v>
      </c>
      <c r="C613" s="1" t="s">
        <v>74</v>
      </c>
      <c r="D613" s="1" t="s">
        <v>74</v>
      </c>
      <c r="E613" s="1" t="s">
        <v>74</v>
      </c>
      <c r="F613" s="1" t="s">
        <v>5225</v>
      </c>
      <c r="G613" s="1" t="s">
        <v>74</v>
      </c>
      <c r="H613" s="1" t="s">
        <v>74</v>
      </c>
      <c r="I613" s="1" t="s">
        <v>5226</v>
      </c>
      <c r="J613" s="1" t="s">
        <v>5227</v>
      </c>
      <c r="K613" s="1" t="s">
        <v>74</v>
      </c>
      <c r="L613" s="1" t="s">
        <v>74</v>
      </c>
      <c r="M613" s="1" t="s">
        <v>74</v>
      </c>
      <c r="N613" s="1" t="s">
        <v>74</v>
      </c>
      <c r="O613" s="1" t="s">
        <v>74</v>
      </c>
      <c r="P613" s="1" t="s">
        <v>74</v>
      </c>
      <c r="Q613" s="1" t="s">
        <v>74</v>
      </c>
      <c r="R613" s="1" t="s">
        <v>74</v>
      </c>
      <c r="S613" s="1" t="s">
        <v>74</v>
      </c>
      <c r="T613" s="1" t="s">
        <v>74</v>
      </c>
      <c r="U613" s="1" t="s">
        <v>74</v>
      </c>
      <c r="V613" s="1" t="s">
        <v>5228</v>
      </c>
      <c r="W613" s="1" t="s">
        <v>74</v>
      </c>
      <c r="X613" s="1" t="s">
        <v>74</v>
      </c>
      <c r="Y613" s="1" t="s">
        <v>74</v>
      </c>
      <c r="Z613" s="1" t="s">
        <v>74</v>
      </c>
      <c r="AA613" s="1" t="s">
        <v>74</v>
      </c>
      <c r="AB613" s="1" t="s">
        <v>74</v>
      </c>
      <c r="AC613" s="1" t="s">
        <v>74</v>
      </c>
      <c r="AD613" s="1" t="s">
        <v>74</v>
      </c>
      <c r="AE613" s="1" t="s">
        <v>74</v>
      </c>
      <c r="AF613" s="1" t="s">
        <v>74</v>
      </c>
      <c r="AG613" s="1" t="s">
        <v>74</v>
      </c>
      <c r="AH613" s="1" t="s">
        <v>74</v>
      </c>
      <c r="AI613" s="1" t="s">
        <v>74</v>
      </c>
      <c r="AJ613" s="1" t="s">
        <v>74</v>
      </c>
      <c r="AK613" s="1" t="s">
        <v>74</v>
      </c>
      <c r="AL613" s="1" t="s">
        <v>74</v>
      </c>
      <c r="AM613" s="1" t="s">
        <v>74</v>
      </c>
      <c r="AN613" s="1" t="s">
        <v>74</v>
      </c>
      <c r="AO613" s="1" t="s">
        <v>5229</v>
      </c>
      <c r="AP613" s="1" t="s">
        <v>74</v>
      </c>
      <c r="AQ613" s="1" t="s">
        <v>74</v>
      </c>
      <c r="AR613" s="1" t="s">
        <v>74</v>
      </c>
      <c r="AS613" s="1" t="s">
        <v>74</v>
      </c>
      <c r="AT613" s="1" t="s">
        <v>276</v>
      </c>
      <c r="AU613" s="1">
        <v>2021.0</v>
      </c>
      <c r="AV613" s="1" t="s">
        <v>74</v>
      </c>
      <c r="AW613" s="1">
        <v>2.0</v>
      </c>
      <c r="AX613" s="1" t="s">
        <v>74</v>
      </c>
      <c r="AY613" s="1" t="s">
        <v>74</v>
      </c>
      <c r="AZ613" s="1" t="s">
        <v>74</v>
      </c>
      <c r="BA613" s="1" t="s">
        <v>74</v>
      </c>
      <c r="BB613" s="1" t="s">
        <v>74</v>
      </c>
      <c r="BC613" s="1" t="s">
        <v>74</v>
      </c>
      <c r="BD613" s="1">
        <v>250.0</v>
      </c>
      <c r="BE613" s="1" t="s">
        <v>5230</v>
      </c>
      <c r="BF613" s="2" t="str">
        <f>HYPERLINK("http://dx.doi.org/10.1387/pceic.22451","http://dx.doi.org/10.1387/pceic.22451")</f>
        <v>http://dx.doi.org/10.1387/pceic.22451</v>
      </c>
      <c r="BG613" s="1" t="s">
        <v>74</v>
      </c>
      <c r="BH613" s="1" t="s">
        <v>74</v>
      </c>
      <c r="BI613" s="1" t="s">
        <v>74</v>
      </c>
      <c r="BJ613" s="1" t="s">
        <v>74</v>
      </c>
      <c r="BK613" s="1" t="s">
        <v>74</v>
      </c>
      <c r="BL613" s="1" t="s">
        <v>74</v>
      </c>
      <c r="BM613" s="1" t="s">
        <v>74</v>
      </c>
      <c r="BN613" s="1" t="s">
        <v>74</v>
      </c>
      <c r="BO613" s="1" t="s">
        <v>74</v>
      </c>
      <c r="BP613" s="1" t="s">
        <v>74</v>
      </c>
      <c r="BQ613" s="1" t="s">
        <v>74</v>
      </c>
      <c r="BR613" s="1" t="s">
        <v>74</v>
      </c>
      <c r="BS613" s="1" t="s">
        <v>5231</v>
      </c>
      <c r="BT613" s="1" t="str">
        <f>HYPERLINK("https%3A%2F%2Fwww.webofscience.com%2Fwos%2Fwoscc%2Ffull-record%2FWOS:000753757400005","View Full Record in Web of Science")</f>
        <v>View Full Record in Web of Science</v>
      </c>
    </row>
    <row r="614" ht="12.75" customHeight="1">
      <c r="A614" s="1" t="s">
        <v>72</v>
      </c>
      <c r="B614" s="1" t="s">
        <v>5232</v>
      </c>
      <c r="C614" s="1" t="s">
        <v>74</v>
      </c>
      <c r="D614" s="1" t="s">
        <v>74</v>
      </c>
      <c r="E614" s="1" t="s">
        <v>74</v>
      </c>
      <c r="F614" s="1" t="s">
        <v>5233</v>
      </c>
      <c r="G614" s="1" t="s">
        <v>74</v>
      </c>
      <c r="H614" s="1" t="s">
        <v>74</v>
      </c>
      <c r="I614" s="1" t="s">
        <v>5234</v>
      </c>
      <c r="J614" s="1" t="s">
        <v>5235</v>
      </c>
      <c r="K614" s="1" t="s">
        <v>74</v>
      </c>
      <c r="L614" s="1" t="s">
        <v>74</v>
      </c>
      <c r="M614" s="1" t="s">
        <v>74</v>
      </c>
      <c r="N614" s="1" t="s">
        <v>74</v>
      </c>
      <c r="O614" s="1" t="s">
        <v>74</v>
      </c>
      <c r="P614" s="1" t="s">
        <v>74</v>
      </c>
      <c r="Q614" s="1" t="s">
        <v>74</v>
      </c>
      <c r="R614" s="1" t="s">
        <v>74</v>
      </c>
      <c r="S614" s="1" t="s">
        <v>74</v>
      </c>
      <c r="T614" s="1" t="s">
        <v>74</v>
      </c>
      <c r="U614" s="1" t="s">
        <v>74</v>
      </c>
      <c r="V614" s="1" t="s">
        <v>5236</v>
      </c>
      <c r="W614" s="1" t="s">
        <v>74</v>
      </c>
      <c r="X614" s="1" t="s">
        <v>74</v>
      </c>
      <c r="Y614" s="1" t="s">
        <v>74</v>
      </c>
      <c r="Z614" s="1" t="s">
        <v>74</v>
      </c>
      <c r="AA614" s="1" t="s">
        <v>74</v>
      </c>
      <c r="AB614" s="1" t="s">
        <v>74</v>
      </c>
      <c r="AC614" s="1" t="s">
        <v>74</v>
      </c>
      <c r="AD614" s="1" t="s">
        <v>74</v>
      </c>
      <c r="AE614" s="1" t="s">
        <v>74</v>
      </c>
      <c r="AF614" s="1" t="s">
        <v>74</v>
      </c>
      <c r="AG614" s="1" t="s">
        <v>74</v>
      </c>
      <c r="AH614" s="1" t="s">
        <v>74</v>
      </c>
      <c r="AI614" s="1" t="s">
        <v>74</v>
      </c>
      <c r="AJ614" s="1" t="s">
        <v>74</v>
      </c>
      <c r="AK614" s="1" t="s">
        <v>74</v>
      </c>
      <c r="AL614" s="1" t="s">
        <v>74</v>
      </c>
      <c r="AM614" s="1" t="s">
        <v>74</v>
      </c>
      <c r="AN614" s="1" t="s">
        <v>74</v>
      </c>
      <c r="AO614" s="1" t="s">
        <v>5237</v>
      </c>
      <c r="AP614" s="1" t="s">
        <v>5238</v>
      </c>
      <c r="AQ614" s="1" t="s">
        <v>74</v>
      </c>
      <c r="AR614" s="1" t="s">
        <v>74</v>
      </c>
      <c r="AS614" s="1" t="s">
        <v>74</v>
      </c>
      <c r="AT614" s="1" t="s">
        <v>74</v>
      </c>
      <c r="AU614" s="1">
        <v>2021.0</v>
      </c>
      <c r="AV614" s="1" t="s">
        <v>74</v>
      </c>
      <c r="AW614" s="1">
        <v>41.0</v>
      </c>
      <c r="AX614" s="1" t="s">
        <v>74</v>
      </c>
      <c r="AY614" s="1" t="s">
        <v>74</v>
      </c>
      <c r="AZ614" s="1" t="s">
        <v>74</v>
      </c>
      <c r="BA614" s="1" t="s">
        <v>74</v>
      </c>
      <c r="BB614" s="1">
        <v>71.0</v>
      </c>
      <c r="BC614" s="1">
        <v>84.0</v>
      </c>
      <c r="BD614" s="1" t="s">
        <v>74</v>
      </c>
      <c r="BE614" s="1" t="s">
        <v>5239</v>
      </c>
      <c r="BF614" s="2" t="str">
        <f>HYPERLINK("http://dx.doi.org/10.6018/arics.458911","http://dx.doi.org/10.6018/arics.458911")</f>
        <v>http://dx.doi.org/10.6018/arics.458911</v>
      </c>
      <c r="BG614" s="1" t="s">
        <v>74</v>
      </c>
      <c r="BH614" s="1" t="s">
        <v>74</v>
      </c>
      <c r="BI614" s="1" t="s">
        <v>74</v>
      </c>
      <c r="BJ614" s="1" t="s">
        <v>74</v>
      </c>
      <c r="BK614" s="1" t="s">
        <v>74</v>
      </c>
      <c r="BL614" s="1" t="s">
        <v>74</v>
      </c>
      <c r="BM614" s="1" t="s">
        <v>74</v>
      </c>
      <c r="BN614" s="1" t="s">
        <v>74</v>
      </c>
      <c r="BO614" s="1" t="s">
        <v>74</v>
      </c>
      <c r="BP614" s="1" t="s">
        <v>74</v>
      </c>
      <c r="BQ614" s="1" t="s">
        <v>74</v>
      </c>
      <c r="BR614" s="1" t="s">
        <v>74</v>
      </c>
      <c r="BS614" s="1" t="s">
        <v>5240</v>
      </c>
      <c r="BT614" s="1" t="str">
        <f>HYPERLINK("https%3A%2F%2Fwww.webofscience.com%2Fwos%2Fwoscc%2Ffull-record%2FWOS:000697118200005","View Full Record in Web of Science")</f>
        <v>View Full Record in Web of Science</v>
      </c>
    </row>
    <row r="615" ht="12.75" customHeight="1">
      <c r="A615" s="1" t="s">
        <v>91</v>
      </c>
      <c r="B615" s="1" t="s">
        <v>5241</v>
      </c>
      <c r="C615" s="1" t="s">
        <v>74</v>
      </c>
      <c r="D615" s="1" t="s">
        <v>74</v>
      </c>
      <c r="E615" s="1" t="s">
        <v>442</v>
      </c>
      <c r="F615" s="1" t="s">
        <v>5242</v>
      </c>
      <c r="G615" s="1" t="s">
        <v>74</v>
      </c>
      <c r="H615" s="1" t="s">
        <v>74</v>
      </c>
      <c r="I615" s="1" t="s">
        <v>5243</v>
      </c>
      <c r="J615" s="1" t="s">
        <v>2874</v>
      </c>
      <c r="K615" s="1" t="s">
        <v>74</v>
      </c>
      <c r="L615" s="1" t="s">
        <v>74</v>
      </c>
      <c r="M615" s="1" t="s">
        <v>74</v>
      </c>
      <c r="N615" s="1" t="s">
        <v>74</v>
      </c>
      <c r="O615" s="1" t="s">
        <v>2875</v>
      </c>
      <c r="P615" s="1" t="s">
        <v>2876</v>
      </c>
      <c r="Q615" s="1" t="s">
        <v>448</v>
      </c>
      <c r="R615" s="1" t="s">
        <v>2877</v>
      </c>
      <c r="S615" s="1" t="s">
        <v>74</v>
      </c>
      <c r="T615" s="1" t="s">
        <v>74</v>
      </c>
      <c r="U615" s="1" t="s">
        <v>74</v>
      </c>
      <c r="V615" s="1" t="s">
        <v>5244</v>
      </c>
      <c r="W615" s="1" t="s">
        <v>74</v>
      </c>
      <c r="X615" s="1" t="s">
        <v>74</v>
      </c>
      <c r="Y615" s="1" t="s">
        <v>74</v>
      </c>
      <c r="Z615" s="1" t="s">
        <v>74</v>
      </c>
      <c r="AA615" s="1" t="s">
        <v>74</v>
      </c>
      <c r="AB615" s="1" t="s">
        <v>74</v>
      </c>
      <c r="AC615" s="1" t="s">
        <v>74</v>
      </c>
      <c r="AD615" s="1" t="s">
        <v>74</v>
      </c>
      <c r="AE615" s="1" t="s">
        <v>74</v>
      </c>
      <c r="AF615" s="1" t="s">
        <v>74</v>
      </c>
      <c r="AG615" s="1" t="s">
        <v>74</v>
      </c>
      <c r="AH615" s="1" t="s">
        <v>74</v>
      </c>
      <c r="AI615" s="1" t="s">
        <v>74</v>
      </c>
      <c r="AJ615" s="1" t="s">
        <v>74</v>
      </c>
      <c r="AK615" s="1" t="s">
        <v>74</v>
      </c>
      <c r="AL615" s="1" t="s">
        <v>74</v>
      </c>
      <c r="AM615" s="1" t="s">
        <v>74</v>
      </c>
      <c r="AN615" s="1" t="s">
        <v>74</v>
      </c>
      <c r="AO615" s="1" t="s">
        <v>74</v>
      </c>
      <c r="AP615" s="1" t="s">
        <v>74</v>
      </c>
      <c r="AQ615" s="1" t="s">
        <v>2880</v>
      </c>
      <c r="AR615" s="1" t="s">
        <v>74</v>
      </c>
      <c r="AS615" s="1" t="s">
        <v>74</v>
      </c>
      <c r="AT615" s="1" t="s">
        <v>74</v>
      </c>
      <c r="AU615" s="1">
        <v>2021.0</v>
      </c>
      <c r="AV615" s="1" t="s">
        <v>74</v>
      </c>
      <c r="AW615" s="1" t="s">
        <v>74</v>
      </c>
      <c r="AX615" s="1" t="s">
        <v>74</v>
      </c>
      <c r="AY615" s="1" t="s">
        <v>74</v>
      </c>
      <c r="AZ615" s="1" t="s">
        <v>74</v>
      </c>
      <c r="BA615" s="1" t="s">
        <v>74</v>
      </c>
      <c r="BB615" s="1">
        <v>266.0</v>
      </c>
      <c r="BC615" s="1">
        <v>272.0</v>
      </c>
      <c r="BD615" s="1" t="s">
        <v>74</v>
      </c>
      <c r="BE615" s="1" t="s">
        <v>5245</v>
      </c>
      <c r="BF615" s="2" t="str">
        <f>HYPERLINK("http://dx.doi.org/10.1109/CHILECON54041.2021.9702996","http://dx.doi.org/10.1109/CHILECON54041.2021.9702996")</f>
        <v>http://dx.doi.org/10.1109/CHILECON54041.2021.9702996</v>
      </c>
      <c r="BG615" s="1" t="s">
        <v>74</v>
      </c>
      <c r="BH615" s="1" t="s">
        <v>74</v>
      </c>
      <c r="BI615" s="1" t="s">
        <v>74</v>
      </c>
      <c r="BJ615" s="1" t="s">
        <v>74</v>
      </c>
      <c r="BK615" s="1" t="s">
        <v>74</v>
      </c>
      <c r="BL615" s="1" t="s">
        <v>74</v>
      </c>
      <c r="BM615" s="1" t="s">
        <v>74</v>
      </c>
      <c r="BN615" s="1" t="s">
        <v>74</v>
      </c>
      <c r="BO615" s="1" t="s">
        <v>74</v>
      </c>
      <c r="BP615" s="1" t="s">
        <v>74</v>
      </c>
      <c r="BQ615" s="1" t="s">
        <v>74</v>
      </c>
      <c r="BR615" s="1" t="s">
        <v>74</v>
      </c>
      <c r="BS615" s="1" t="s">
        <v>5246</v>
      </c>
      <c r="BT615" s="1" t="str">
        <f>HYPERLINK("https%3A%2F%2Fwww.webofscience.com%2Fwos%2Fwoscc%2Ffull-record%2FWOS:000788072700046","View Full Record in Web of Science")</f>
        <v>View Full Record in Web of Science</v>
      </c>
    </row>
    <row r="616" ht="12.75" customHeight="1">
      <c r="A616" s="1" t="s">
        <v>91</v>
      </c>
      <c r="B616" s="1" t="s">
        <v>5247</v>
      </c>
      <c r="C616" s="1" t="s">
        <v>74</v>
      </c>
      <c r="D616" s="1" t="s">
        <v>74</v>
      </c>
      <c r="E616" s="1" t="s">
        <v>442</v>
      </c>
      <c r="F616" s="1" t="s">
        <v>5248</v>
      </c>
      <c r="G616" s="1" t="s">
        <v>74</v>
      </c>
      <c r="H616" s="1" t="s">
        <v>74</v>
      </c>
      <c r="I616" s="1" t="s">
        <v>5249</v>
      </c>
      <c r="J616" s="1" t="s">
        <v>2874</v>
      </c>
      <c r="K616" s="1" t="s">
        <v>74</v>
      </c>
      <c r="L616" s="1" t="s">
        <v>74</v>
      </c>
      <c r="M616" s="1" t="s">
        <v>74</v>
      </c>
      <c r="N616" s="1" t="s">
        <v>74</v>
      </c>
      <c r="O616" s="1" t="s">
        <v>2875</v>
      </c>
      <c r="P616" s="1" t="s">
        <v>2876</v>
      </c>
      <c r="Q616" s="1" t="s">
        <v>448</v>
      </c>
      <c r="R616" s="1" t="s">
        <v>2877</v>
      </c>
      <c r="S616" s="1" t="s">
        <v>74</v>
      </c>
      <c r="T616" s="1" t="s">
        <v>74</v>
      </c>
      <c r="U616" s="1" t="s">
        <v>74</v>
      </c>
      <c r="V616" s="1" t="s">
        <v>5250</v>
      </c>
      <c r="W616" s="1" t="s">
        <v>74</v>
      </c>
      <c r="X616" s="1" t="s">
        <v>74</v>
      </c>
      <c r="Y616" s="1" t="s">
        <v>74</v>
      </c>
      <c r="Z616" s="1" t="s">
        <v>74</v>
      </c>
      <c r="AA616" s="1" t="s">
        <v>74</v>
      </c>
      <c r="AB616" s="1" t="s">
        <v>2879</v>
      </c>
      <c r="AC616" s="1" t="s">
        <v>74</v>
      </c>
      <c r="AD616" s="1" t="s">
        <v>74</v>
      </c>
      <c r="AE616" s="1" t="s">
        <v>74</v>
      </c>
      <c r="AF616" s="1" t="s">
        <v>74</v>
      </c>
      <c r="AG616" s="1" t="s">
        <v>74</v>
      </c>
      <c r="AH616" s="1" t="s">
        <v>74</v>
      </c>
      <c r="AI616" s="1" t="s">
        <v>74</v>
      </c>
      <c r="AJ616" s="1" t="s">
        <v>74</v>
      </c>
      <c r="AK616" s="1" t="s">
        <v>74</v>
      </c>
      <c r="AL616" s="1" t="s">
        <v>74</v>
      </c>
      <c r="AM616" s="1" t="s">
        <v>74</v>
      </c>
      <c r="AN616" s="1" t="s">
        <v>74</v>
      </c>
      <c r="AO616" s="1" t="s">
        <v>74</v>
      </c>
      <c r="AP616" s="1" t="s">
        <v>74</v>
      </c>
      <c r="AQ616" s="1" t="s">
        <v>2880</v>
      </c>
      <c r="AR616" s="1" t="s">
        <v>74</v>
      </c>
      <c r="AS616" s="1" t="s">
        <v>74</v>
      </c>
      <c r="AT616" s="1" t="s">
        <v>74</v>
      </c>
      <c r="AU616" s="1">
        <v>2021.0</v>
      </c>
      <c r="AV616" s="1" t="s">
        <v>74</v>
      </c>
      <c r="AW616" s="1" t="s">
        <v>74</v>
      </c>
      <c r="AX616" s="1" t="s">
        <v>74</v>
      </c>
      <c r="AY616" s="1" t="s">
        <v>74</v>
      </c>
      <c r="AZ616" s="1" t="s">
        <v>74</v>
      </c>
      <c r="BA616" s="1" t="s">
        <v>74</v>
      </c>
      <c r="BB616" s="1">
        <v>330.0</v>
      </c>
      <c r="BC616" s="1">
        <v>336.0</v>
      </c>
      <c r="BD616" s="1" t="s">
        <v>74</v>
      </c>
      <c r="BE616" s="1" t="s">
        <v>5251</v>
      </c>
      <c r="BF616" s="2" t="str">
        <f>HYPERLINK("http://dx.doi.org/10.1109/CHILECON54041.2021.9702979","http://dx.doi.org/10.1109/CHILECON54041.2021.9702979")</f>
        <v>http://dx.doi.org/10.1109/CHILECON54041.2021.9702979</v>
      </c>
      <c r="BG616" s="1" t="s">
        <v>74</v>
      </c>
      <c r="BH616" s="1" t="s">
        <v>74</v>
      </c>
      <c r="BI616" s="1" t="s">
        <v>74</v>
      </c>
      <c r="BJ616" s="1" t="s">
        <v>74</v>
      </c>
      <c r="BK616" s="1" t="s">
        <v>74</v>
      </c>
      <c r="BL616" s="1" t="s">
        <v>74</v>
      </c>
      <c r="BM616" s="1" t="s">
        <v>74</v>
      </c>
      <c r="BN616" s="1" t="s">
        <v>74</v>
      </c>
      <c r="BO616" s="1" t="s">
        <v>74</v>
      </c>
      <c r="BP616" s="1" t="s">
        <v>74</v>
      </c>
      <c r="BQ616" s="1" t="s">
        <v>74</v>
      </c>
      <c r="BR616" s="1" t="s">
        <v>74</v>
      </c>
      <c r="BS616" s="1" t="s">
        <v>5252</v>
      </c>
      <c r="BT616" s="1" t="str">
        <f>HYPERLINK("https%3A%2F%2Fwww.webofscience.com%2Fwos%2Fwoscc%2Ffull-record%2FWOS:000788072700056","View Full Record in Web of Science")</f>
        <v>View Full Record in Web of Science</v>
      </c>
    </row>
    <row r="617" ht="12.75" customHeight="1">
      <c r="A617" s="1" t="s">
        <v>72</v>
      </c>
      <c r="B617" s="1" t="s">
        <v>5253</v>
      </c>
      <c r="C617" s="1" t="s">
        <v>74</v>
      </c>
      <c r="D617" s="1" t="s">
        <v>74</v>
      </c>
      <c r="E617" s="1" t="s">
        <v>74</v>
      </c>
      <c r="F617" s="1" t="s">
        <v>5254</v>
      </c>
      <c r="G617" s="1" t="s">
        <v>74</v>
      </c>
      <c r="H617" s="1" t="s">
        <v>74</v>
      </c>
      <c r="I617" s="1" t="s">
        <v>5255</v>
      </c>
      <c r="J617" s="1" t="s">
        <v>4603</v>
      </c>
      <c r="K617" s="1" t="s">
        <v>74</v>
      </c>
      <c r="L617" s="1" t="s">
        <v>74</v>
      </c>
      <c r="M617" s="1" t="s">
        <v>74</v>
      </c>
      <c r="N617" s="1" t="s">
        <v>74</v>
      </c>
      <c r="O617" s="1" t="s">
        <v>74</v>
      </c>
      <c r="P617" s="1" t="s">
        <v>74</v>
      </c>
      <c r="Q617" s="1" t="s">
        <v>74</v>
      </c>
      <c r="R617" s="1" t="s">
        <v>74</v>
      </c>
      <c r="S617" s="1" t="s">
        <v>74</v>
      </c>
      <c r="T617" s="1" t="s">
        <v>74</v>
      </c>
      <c r="U617" s="1" t="s">
        <v>74</v>
      </c>
      <c r="V617" s="1" t="s">
        <v>5256</v>
      </c>
      <c r="W617" s="1" t="s">
        <v>74</v>
      </c>
      <c r="X617" s="1" t="s">
        <v>74</v>
      </c>
      <c r="Y617" s="1" t="s">
        <v>74</v>
      </c>
      <c r="Z617" s="1" t="s">
        <v>74</v>
      </c>
      <c r="AA617" s="1" t="s">
        <v>5257</v>
      </c>
      <c r="AB617" s="1" t="s">
        <v>74</v>
      </c>
      <c r="AC617" s="1" t="s">
        <v>74</v>
      </c>
      <c r="AD617" s="1" t="s">
        <v>74</v>
      </c>
      <c r="AE617" s="1" t="s">
        <v>74</v>
      </c>
      <c r="AF617" s="1" t="s">
        <v>74</v>
      </c>
      <c r="AG617" s="1" t="s">
        <v>74</v>
      </c>
      <c r="AH617" s="1" t="s">
        <v>74</v>
      </c>
      <c r="AI617" s="1" t="s">
        <v>74</v>
      </c>
      <c r="AJ617" s="1" t="s">
        <v>74</v>
      </c>
      <c r="AK617" s="1" t="s">
        <v>74</v>
      </c>
      <c r="AL617" s="1" t="s">
        <v>74</v>
      </c>
      <c r="AM617" s="1" t="s">
        <v>74</v>
      </c>
      <c r="AN617" s="1" t="s">
        <v>74</v>
      </c>
      <c r="AO617" s="1" t="s">
        <v>4605</v>
      </c>
      <c r="AP617" s="1" t="s">
        <v>74</v>
      </c>
      <c r="AQ617" s="1" t="s">
        <v>74</v>
      </c>
      <c r="AR617" s="1" t="s">
        <v>74</v>
      </c>
      <c r="AS617" s="1" t="s">
        <v>74</v>
      </c>
      <c r="AT617" s="1" t="s">
        <v>74</v>
      </c>
      <c r="AU617" s="1">
        <v>2021.0</v>
      </c>
      <c r="AV617" s="1">
        <v>28.0</v>
      </c>
      <c r="AW617" s="1">
        <v>1.0</v>
      </c>
      <c r="AX617" s="1" t="s">
        <v>74</v>
      </c>
      <c r="AY617" s="1" t="s">
        <v>74</v>
      </c>
      <c r="AZ617" s="1" t="s">
        <v>74</v>
      </c>
      <c r="BA617" s="1" t="s">
        <v>74</v>
      </c>
      <c r="BB617" s="1" t="s">
        <v>74</v>
      </c>
      <c r="BC617" s="1" t="s">
        <v>74</v>
      </c>
      <c r="BD617" s="1" t="s">
        <v>5258</v>
      </c>
      <c r="BE617" s="1" t="s">
        <v>74</v>
      </c>
      <c r="BF617" s="1" t="s">
        <v>74</v>
      </c>
      <c r="BG617" s="1" t="s">
        <v>74</v>
      </c>
      <c r="BH617" s="1" t="s">
        <v>74</v>
      </c>
      <c r="BI617" s="1" t="s">
        <v>74</v>
      </c>
      <c r="BJ617" s="1" t="s">
        <v>74</v>
      </c>
      <c r="BK617" s="1" t="s">
        <v>74</v>
      </c>
      <c r="BL617" s="1" t="s">
        <v>74</v>
      </c>
      <c r="BM617" s="1" t="s">
        <v>74</v>
      </c>
      <c r="BN617" s="1" t="s">
        <v>74</v>
      </c>
      <c r="BO617" s="1" t="s">
        <v>74</v>
      </c>
      <c r="BP617" s="1" t="s">
        <v>74</v>
      </c>
      <c r="BQ617" s="1" t="s">
        <v>74</v>
      </c>
      <c r="BR617" s="1" t="s">
        <v>74</v>
      </c>
      <c r="BS617" s="1" t="s">
        <v>5259</v>
      </c>
      <c r="BT617" s="1" t="str">
        <f>HYPERLINK("https%3A%2F%2Fwww.webofscience.com%2Fwos%2Fwoscc%2Ffull-record%2FWOS:000728527200002","View Full Record in Web of Science")</f>
        <v>View Full Record in Web of Science</v>
      </c>
    </row>
    <row r="618" ht="12.75" customHeight="1">
      <c r="A618" s="1" t="s">
        <v>72</v>
      </c>
      <c r="B618" s="1" t="s">
        <v>5260</v>
      </c>
      <c r="C618" s="1" t="s">
        <v>74</v>
      </c>
      <c r="D618" s="1" t="s">
        <v>74</v>
      </c>
      <c r="E618" s="1" t="s">
        <v>74</v>
      </c>
      <c r="F618" s="1" t="s">
        <v>5261</v>
      </c>
      <c r="G618" s="1" t="s">
        <v>74</v>
      </c>
      <c r="H618" s="1" t="s">
        <v>74</v>
      </c>
      <c r="I618" s="1" t="s">
        <v>5262</v>
      </c>
      <c r="J618" s="1" t="s">
        <v>2457</v>
      </c>
      <c r="K618" s="1" t="s">
        <v>74</v>
      </c>
      <c r="L618" s="1" t="s">
        <v>74</v>
      </c>
      <c r="M618" s="1" t="s">
        <v>74</v>
      </c>
      <c r="N618" s="1" t="s">
        <v>74</v>
      </c>
      <c r="O618" s="1" t="s">
        <v>74</v>
      </c>
      <c r="P618" s="1" t="s">
        <v>74</v>
      </c>
      <c r="Q618" s="1" t="s">
        <v>74</v>
      </c>
      <c r="R618" s="1" t="s">
        <v>74</v>
      </c>
      <c r="S618" s="1" t="s">
        <v>74</v>
      </c>
      <c r="T618" s="1" t="s">
        <v>74</v>
      </c>
      <c r="U618" s="1" t="s">
        <v>74</v>
      </c>
      <c r="V618" s="1" t="s">
        <v>5263</v>
      </c>
      <c r="W618" s="1" t="s">
        <v>74</v>
      </c>
      <c r="X618" s="1" t="s">
        <v>74</v>
      </c>
      <c r="Y618" s="1" t="s">
        <v>74</v>
      </c>
      <c r="Z618" s="1" t="s">
        <v>74</v>
      </c>
      <c r="AA618" s="1" t="s">
        <v>74</v>
      </c>
      <c r="AB618" s="1" t="s">
        <v>5264</v>
      </c>
      <c r="AC618" s="1" t="s">
        <v>74</v>
      </c>
      <c r="AD618" s="1" t="s">
        <v>74</v>
      </c>
      <c r="AE618" s="1" t="s">
        <v>74</v>
      </c>
      <c r="AF618" s="1" t="s">
        <v>74</v>
      </c>
      <c r="AG618" s="1" t="s">
        <v>74</v>
      </c>
      <c r="AH618" s="1" t="s">
        <v>74</v>
      </c>
      <c r="AI618" s="1" t="s">
        <v>74</v>
      </c>
      <c r="AJ618" s="1" t="s">
        <v>74</v>
      </c>
      <c r="AK618" s="1" t="s">
        <v>74</v>
      </c>
      <c r="AL618" s="1" t="s">
        <v>74</v>
      </c>
      <c r="AM618" s="1" t="s">
        <v>74</v>
      </c>
      <c r="AN618" s="1" t="s">
        <v>74</v>
      </c>
      <c r="AO618" s="1" t="s">
        <v>2459</v>
      </c>
      <c r="AP618" s="1" t="s">
        <v>2460</v>
      </c>
      <c r="AQ618" s="1" t="s">
        <v>74</v>
      </c>
      <c r="AR618" s="1" t="s">
        <v>74</v>
      </c>
      <c r="AS618" s="1" t="s">
        <v>74</v>
      </c>
      <c r="AT618" s="1" t="s">
        <v>5107</v>
      </c>
      <c r="AU618" s="1">
        <v>2020.0</v>
      </c>
      <c r="AV618" s="1">
        <v>269.0</v>
      </c>
      <c r="AW618" s="1">
        <v>6.0</v>
      </c>
      <c r="AX618" s="1" t="s">
        <v>74</v>
      </c>
      <c r="AY618" s="1" t="s">
        <v>74</v>
      </c>
      <c r="AZ618" s="1" t="s">
        <v>74</v>
      </c>
      <c r="BA618" s="1" t="s">
        <v>74</v>
      </c>
      <c r="BB618" s="1">
        <v>4609.0</v>
      </c>
      <c r="BC618" s="1">
        <v>4642.0</v>
      </c>
      <c r="BD618" s="1" t="s">
        <v>74</v>
      </c>
      <c r="BE618" s="1" t="s">
        <v>5265</v>
      </c>
      <c r="BF618" s="2" t="str">
        <f>HYPERLINK("http://dx.doi.org/10.1016/j.jde.2020.03.029","http://dx.doi.org/10.1016/j.jde.2020.03.029")</f>
        <v>http://dx.doi.org/10.1016/j.jde.2020.03.029</v>
      </c>
      <c r="BG618" s="1" t="s">
        <v>74</v>
      </c>
      <c r="BH618" s="1" t="s">
        <v>74</v>
      </c>
      <c r="BI618" s="1" t="s">
        <v>74</v>
      </c>
      <c r="BJ618" s="1" t="s">
        <v>74</v>
      </c>
      <c r="BK618" s="1" t="s">
        <v>74</v>
      </c>
      <c r="BL618" s="1" t="s">
        <v>74</v>
      </c>
      <c r="BM618" s="1" t="s">
        <v>74</v>
      </c>
      <c r="BN618" s="1" t="s">
        <v>74</v>
      </c>
      <c r="BO618" s="1" t="s">
        <v>74</v>
      </c>
      <c r="BP618" s="1" t="s">
        <v>74</v>
      </c>
      <c r="BQ618" s="1" t="s">
        <v>74</v>
      </c>
      <c r="BR618" s="1" t="s">
        <v>74</v>
      </c>
      <c r="BS618" s="1" t="s">
        <v>5266</v>
      </c>
      <c r="BT618" s="1" t="str">
        <f>HYPERLINK("https%3A%2F%2Fwww.webofscience.com%2Fwos%2Fwoscc%2Ffull-record%2FWOS:000544899100001","View Full Record in Web of Science")</f>
        <v>View Full Record in Web of Science</v>
      </c>
    </row>
    <row r="619" ht="12.75" customHeight="1">
      <c r="A619" s="1" t="s">
        <v>72</v>
      </c>
      <c r="B619" s="1" t="s">
        <v>5267</v>
      </c>
      <c r="C619" s="1" t="s">
        <v>74</v>
      </c>
      <c r="D619" s="1" t="s">
        <v>74</v>
      </c>
      <c r="E619" s="1" t="s">
        <v>74</v>
      </c>
      <c r="F619" s="1" t="s">
        <v>5268</v>
      </c>
      <c r="G619" s="1" t="s">
        <v>74</v>
      </c>
      <c r="H619" s="1" t="s">
        <v>74</v>
      </c>
      <c r="I619" s="1" t="s">
        <v>5269</v>
      </c>
      <c r="J619" s="1" t="s">
        <v>5270</v>
      </c>
      <c r="K619" s="1" t="s">
        <v>74</v>
      </c>
      <c r="L619" s="1" t="s">
        <v>74</v>
      </c>
      <c r="M619" s="1" t="s">
        <v>74</v>
      </c>
      <c r="N619" s="1" t="s">
        <v>74</v>
      </c>
      <c r="O619" s="1" t="s">
        <v>74</v>
      </c>
      <c r="P619" s="1" t="s">
        <v>74</v>
      </c>
      <c r="Q619" s="1" t="s">
        <v>74</v>
      </c>
      <c r="R619" s="1" t="s">
        <v>74</v>
      </c>
      <c r="S619" s="1" t="s">
        <v>74</v>
      </c>
      <c r="T619" s="1" t="s">
        <v>74</v>
      </c>
      <c r="U619" s="1" t="s">
        <v>74</v>
      </c>
      <c r="V619" s="1" t="s">
        <v>5271</v>
      </c>
      <c r="W619" s="1" t="s">
        <v>74</v>
      </c>
      <c r="X619" s="1" t="s">
        <v>74</v>
      </c>
      <c r="Y619" s="1" t="s">
        <v>74</v>
      </c>
      <c r="Z619" s="1" t="s">
        <v>74</v>
      </c>
      <c r="AA619" s="1" t="s">
        <v>5272</v>
      </c>
      <c r="AB619" s="1" t="s">
        <v>5273</v>
      </c>
      <c r="AC619" s="1" t="s">
        <v>74</v>
      </c>
      <c r="AD619" s="1" t="s">
        <v>74</v>
      </c>
      <c r="AE619" s="1" t="s">
        <v>74</v>
      </c>
      <c r="AF619" s="1" t="s">
        <v>74</v>
      </c>
      <c r="AG619" s="1" t="s">
        <v>74</v>
      </c>
      <c r="AH619" s="1" t="s">
        <v>74</v>
      </c>
      <c r="AI619" s="1" t="s">
        <v>74</v>
      </c>
      <c r="AJ619" s="1" t="s">
        <v>74</v>
      </c>
      <c r="AK619" s="1" t="s">
        <v>74</v>
      </c>
      <c r="AL619" s="1" t="s">
        <v>74</v>
      </c>
      <c r="AM619" s="1" t="s">
        <v>74</v>
      </c>
      <c r="AN619" s="1" t="s">
        <v>74</v>
      </c>
      <c r="AO619" s="1" t="s">
        <v>5274</v>
      </c>
      <c r="AP619" s="1" t="s">
        <v>5275</v>
      </c>
      <c r="AQ619" s="1" t="s">
        <v>74</v>
      </c>
      <c r="AR619" s="1" t="s">
        <v>74</v>
      </c>
      <c r="AS619" s="1" t="s">
        <v>74</v>
      </c>
      <c r="AT619" s="1" t="s">
        <v>1890</v>
      </c>
      <c r="AU619" s="1">
        <v>2020.0</v>
      </c>
      <c r="AV619" s="1">
        <v>80.0</v>
      </c>
      <c r="AW619" s="1">
        <v>5.0</v>
      </c>
      <c r="AX619" s="1" t="s">
        <v>74</v>
      </c>
      <c r="AY619" s="1" t="s">
        <v>74</v>
      </c>
      <c r="AZ619" s="1" t="s">
        <v>74</v>
      </c>
      <c r="BA619" s="1" t="s">
        <v>74</v>
      </c>
      <c r="BB619" s="1">
        <v>1009.0</v>
      </c>
      <c r="BC619" s="1">
        <v>1028.0</v>
      </c>
      <c r="BD619" s="1" t="s">
        <v>74</v>
      </c>
      <c r="BE619" s="1" t="s">
        <v>5276</v>
      </c>
      <c r="BF619" s="2" t="str">
        <f>HYPERLINK("http://dx.doi.org/10.1016/j.camwa.2020.05.025","http://dx.doi.org/10.1016/j.camwa.2020.05.025")</f>
        <v>http://dx.doi.org/10.1016/j.camwa.2020.05.025</v>
      </c>
      <c r="BG619" s="1" t="s">
        <v>74</v>
      </c>
      <c r="BH619" s="1" t="s">
        <v>74</v>
      </c>
      <c r="BI619" s="1" t="s">
        <v>74</v>
      </c>
      <c r="BJ619" s="1" t="s">
        <v>74</v>
      </c>
      <c r="BK619" s="1" t="s">
        <v>74</v>
      </c>
      <c r="BL619" s="1" t="s">
        <v>74</v>
      </c>
      <c r="BM619" s="1" t="s">
        <v>74</v>
      </c>
      <c r="BN619" s="1" t="s">
        <v>74</v>
      </c>
      <c r="BO619" s="1" t="s">
        <v>74</v>
      </c>
      <c r="BP619" s="1" t="s">
        <v>74</v>
      </c>
      <c r="BQ619" s="1" t="s">
        <v>74</v>
      </c>
      <c r="BR619" s="1" t="s">
        <v>74</v>
      </c>
      <c r="BS619" s="1" t="s">
        <v>5277</v>
      </c>
      <c r="BT619" s="1" t="str">
        <f>HYPERLINK("https%3A%2F%2Fwww.webofscience.com%2Fwos%2Fwoscc%2Ffull-record%2FWOS:000557765800028","View Full Record in Web of Science")</f>
        <v>View Full Record in Web of Science</v>
      </c>
    </row>
    <row r="620" ht="12.75" customHeight="1">
      <c r="A620" s="1" t="s">
        <v>72</v>
      </c>
      <c r="B620" s="1" t="s">
        <v>5278</v>
      </c>
      <c r="C620" s="1" t="s">
        <v>74</v>
      </c>
      <c r="D620" s="1" t="s">
        <v>74</v>
      </c>
      <c r="E620" s="1" t="s">
        <v>74</v>
      </c>
      <c r="F620" s="1" t="s">
        <v>5279</v>
      </c>
      <c r="G620" s="1" t="s">
        <v>74</v>
      </c>
      <c r="H620" s="1" t="s">
        <v>74</v>
      </c>
      <c r="I620" s="1" t="s">
        <v>5280</v>
      </c>
      <c r="J620" s="1" t="s">
        <v>5281</v>
      </c>
      <c r="K620" s="1" t="s">
        <v>74</v>
      </c>
      <c r="L620" s="1" t="s">
        <v>74</v>
      </c>
      <c r="M620" s="1" t="s">
        <v>74</v>
      </c>
      <c r="N620" s="1" t="s">
        <v>74</v>
      </c>
      <c r="O620" s="1" t="s">
        <v>74</v>
      </c>
      <c r="P620" s="1" t="s">
        <v>74</v>
      </c>
      <c r="Q620" s="1" t="s">
        <v>74</v>
      </c>
      <c r="R620" s="1" t="s">
        <v>74</v>
      </c>
      <c r="S620" s="1" t="s">
        <v>74</v>
      </c>
      <c r="T620" s="1" t="s">
        <v>74</v>
      </c>
      <c r="U620" s="1" t="s">
        <v>74</v>
      </c>
      <c r="V620" s="1" t="s">
        <v>5282</v>
      </c>
      <c r="W620" s="1" t="s">
        <v>74</v>
      </c>
      <c r="X620" s="1" t="s">
        <v>74</v>
      </c>
      <c r="Y620" s="1" t="s">
        <v>74</v>
      </c>
      <c r="Z620" s="1" t="s">
        <v>74</v>
      </c>
      <c r="AA620" s="1" t="s">
        <v>5283</v>
      </c>
      <c r="AB620" s="1" t="s">
        <v>5284</v>
      </c>
      <c r="AC620" s="1" t="s">
        <v>74</v>
      </c>
      <c r="AD620" s="1" t="s">
        <v>74</v>
      </c>
      <c r="AE620" s="1" t="s">
        <v>74</v>
      </c>
      <c r="AF620" s="1" t="s">
        <v>74</v>
      </c>
      <c r="AG620" s="1" t="s">
        <v>74</v>
      </c>
      <c r="AH620" s="1" t="s">
        <v>74</v>
      </c>
      <c r="AI620" s="1" t="s">
        <v>74</v>
      </c>
      <c r="AJ620" s="1" t="s">
        <v>74</v>
      </c>
      <c r="AK620" s="1" t="s">
        <v>74</v>
      </c>
      <c r="AL620" s="1" t="s">
        <v>74</v>
      </c>
      <c r="AM620" s="1" t="s">
        <v>74</v>
      </c>
      <c r="AN620" s="1" t="s">
        <v>74</v>
      </c>
      <c r="AO620" s="1" t="s">
        <v>5285</v>
      </c>
      <c r="AP620" s="1" t="s">
        <v>5286</v>
      </c>
      <c r="AQ620" s="1" t="s">
        <v>74</v>
      </c>
      <c r="AR620" s="1" t="s">
        <v>74</v>
      </c>
      <c r="AS620" s="1" t="s">
        <v>74</v>
      </c>
      <c r="AT620" s="1" t="s">
        <v>5287</v>
      </c>
      <c r="AU620" s="1">
        <v>2020.0</v>
      </c>
      <c r="AV620" s="1">
        <v>40.0</v>
      </c>
      <c r="AW620" s="1">
        <v>7.0</v>
      </c>
      <c r="AX620" s="1" t="s">
        <v>74</v>
      </c>
      <c r="AY620" s="1" t="s">
        <v>74</v>
      </c>
      <c r="AZ620" s="1" t="s">
        <v>564</v>
      </c>
      <c r="BA620" s="1" t="s">
        <v>74</v>
      </c>
      <c r="BB620" s="1">
        <v>535.0</v>
      </c>
      <c r="BC620" s="1">
        <v>539.0</v>
      </c>
      <c r="BD620" s="1" t="s">
        <v>74</v>
      </c>
      <c r="BE620" s="1" t="s">
        <v>5288</v>
      </c>
      <c r="BF620" s="2" t="str">
        <f>HYPERLINK("http://dx.doi.org/10.1080/09540962.2020.1762382","http://dx.doi.org/10.1080/09540962.2020.1762382")</f>
        <v>http://dx.doi.org/10.1080/09540962.2020.1762382</v>
      </c>
      <c r="BG620" s="1" t="s">
        <v>74</v>
      </c>
      <c r="BH620" s="1" t="s">
        <v>5289</v>
      </c>
      <c r="BI620" s="1" t="s">
        <v>74</v>
      </c>
      <c r="BJ620" s="1" t="s">
        <v>74</v>
      </c>
      <c r="BK620" s="1" t="s">
        <v>74</v>
      </c>
      <c r="BL620" s="1" t="s">
        <v>74</v>
      </c>
      <c r="BM620" s="1" t="s">
        <v>74</v>
      </c>
      <c r="BN620" s="1" t="s">
        <v>74</v>
      </c>
      <c r="BO620" s="1" t="s">
        <v>74</v>
      </c>
      <c r="BP620" s="1" t="s">
        <v>74</v>
      </c>
      <c r="BQ620" s="1" t="s">
        <v>74</v>
      </c>
      <c r="BR620" s="1" t="s">
        <v>74</v>
      </c>
      <c r="BS620" s="1" t="s">
        <v>5290</v>
      </c>
      <c r="BT620" s="1" t="str">
        <f>HYPERLINK("https%3A%2F%2Fwww.webofscience.com%2Fwos%2Fwoscc%2Ffull-record%2FWOS:000535342200001","View Full Record in Web of Science")</f>
        <v>View Full Record in Web of Science</v>
      </c>
    </row>
    <row r="621" ht="12.75" customHeight="1">
      <c r="A621" s="1" t="s">
        <v>72</v>
      </c>
      <c r="B621" s="1" t="s">
        <v>491</v>
      </c>
      <c r="C621" s="1" t="s">
        <v>74</v>
      </c>
      <c r="D621" s="1" t="s">
        <v>74</v>
      </c>
      <c r="E621" s="1" t="s">
        <v>74</v>
      </c>
      <c r="F621" s="1" t="s">
        <v>493</v>
      </c>
      <c r="G621" s="1" t="s">
        <v>74</v>
      </c>
      <c r="H621" s="1" t="s">
        <v>74</v>
      </c>
      <c r="I621" s="1" t="s">
        <v>5291</v>
      </c>
      <c r="J621" s="1" t="s">
        <v>5292</v>
      </c>
      <c r="K621" s="1" t="s">
        <v>74</v>
      </c>
      <c r="L621" s="1" t="s">
        <v>74</v>
      </c>
      <c r="M621" s="1" t="s">
        <v>74</v>
      </c>
      <c r="N621" s="1" t="s">
        <v>74</v>
      </c>
      <c r="O621" s="1" t="s">
        <v>74</v>
      </c>
      <c r="P621" s="1" t="s">
        <v>74</v>
      </c>
      <c r="Q621" s="1" t="s">
        <v>74</v>
      </c>
      <c r="R621" s="1" t="s">
        <v>74</v>
      </c>
      <c r="S621" s="1" t="s">
        <v>74</v>
      </c>
      <c r="T621" s="1" t="s">
        <v>74</v>
      </c>
      <c r="U621" s="1" t="s">
        <v>74</v>
      </c>
      <c r="V621" s="1" t="s">
        <v>74</v>
      </c>
      <c r="W621" s="1" t="s">
        <v>74</v>
      </c>
      <c r="X621" s="1" t="s">
        <v>74</v>
      </c>
      <c r="Y621" s="1" t="s">
        <v>74</v>
      </c>
      <c r="Z621" s="1" t="s">
        <v>74</v>
      </c>
      <c r="AA621" s="1" t="s">
        <v>497</v>
      </c>
      <c r="AB621" s="1" t="s">
        <v>5293</v>
      </c>
      <c r="AC621" s="1" t="s">
        <v>74</v>
      </c>
      <c r="AD621" s="1" t="s">
        <v>74</v>
      </c>
      <c r="AE621" s="1" t="s">
        <v>74</v>
      </c>
      <c r="AF621" s="1" t="s">
        <v>74</v>
      </c>
      <c r="AG621" s="1" t="s">
        <v>74</v>
      </c>
      <c r="AH621" s="1" t="s">
        <v>74</v>
      </c>
      <c r="AI621" s="1" t="s">
        <v>74</v>
      </c>
      <c r="AJ621" s="1" t="s">
        <v>74</v>
      </c>
      <c r="AK621" s="1" t="s">
        <v>74</v>
      </c>
      <c r="AL621" s="1" t="s">
        <v>74</v>
      </c>
      <c r="AM621" s="1" t="s">
        <v>74</v>
      </c>
      <c r="AN621" s="1" t="s">
        <v>74</v>
      </c>
      <c r="AO621" s="1" t="s">
        <v>5294</v>
      </c>
      <c r="AP621" s="1" t="s">
        <v>5295</v>
      </c>
      <c r="AQ621" s="1" t="s">
        <v>74</v>
      </c>
      <c r="AR621" s="1" t="s">
        <v>74</v>
      </c>
      <c r="AS621" s="1" t="s">
        <v>74</v>
      </c>
      <c r="AT621" s="1" t="s">
        <v>180</v>
      </c>
      <c r="AU621" s="1">
        <v>2020.0</v>
      </c>
      <c r="AV621" s="1">
        <v>58.0</v>
      </c>
      <c r="AW621" s="1">
        <v>2.0</v>
      </c>
      <c r="AX621" s="1" t="s">
        <v>74</v>
      </c>
      <c r="AY621" s="1" t="s">
        <v>74</v>
      </c>
      <c r="AZ621" s="1" t="s">
        <v>74</v>
      </c>
      <c r="BA621" s="1" t="s">
        <v>74</v>
      </c>
      <c r="BB621" s="1">
        <v>175.0</v>
      </c>
      <c r="BC621" s="1">
        <v>177.0</v>
      </c>
      <c r="BD621" s="1" t="s">
        <v>74</v>
      </c>
      <c r="BE621" s="1" t="s">
        <v>5296</v>
      </c>
      <c r="BF621" s="2" t="str">
        <f>HYPERLINK("http://dx.doi.org/10.1111/deve.12227","http://dx.doi.org/10.1111/deve.12227")</f>
        <v>http://dx.doi.org/10.1111/deve.12227</v>
      </c>
      <c r="BG621" s="1" t="s">
        <v>74</v>
      </c>
      <c r="BH621" s="1" t="s">
        <v>5297</v>
      </c>
      <c r="BI621" s="1" t="s">
        <v>74</v>
      </c>
      <c r="BJ621" s="1" t="s">
        <v>74</v>
      </c>
      <c r="BK621" s="1" t="s">
        <v>74</v>
      </c>
      <c r="BL621" s="1" t="s">
        <v>74</v>
      </c>
      <c r="BM621" s="1" t="s">
        <v>74</v>
      </c>
      <c r="BN621" s="1" t="s">
        <v>74</v>
      </c>
      <c r="BO621" s="1" t="s">
        <v>74</v>
      </c>
      <c r="BP621" s="1" t="s">
        <v>74</v>
      </c>
      <c r="BQ621" s="1" t="s">
        <v>74</v>
      </c>
      <c r="BR621" s="1" t="s">
        <v>74</v>
      </c>
      <c r="BS621" s="1" t="s">
        <v>5298</v>
      </c>
      <c r="BT621" s="1" t="str">
        <f>HYPERLINK("https%3A%2F%2Fwww.webofscience.com%2Fwos%2Fwoscc%2Ffull-record%2FWOS:000513127300001","View Full Record in Web of Science")</f>
        <v>View Full Record in Web of Science</v>
      </c>
    </row>
    <row r="622" ht="12.75" customHeight="1">
      <c r="A622" s="1" t="s">
        <v>72</v>
      </c>
      <c r="B622" s="1" t="s">
        <v>5299</v>
      </c>
      <c r="C622" s="1" t="s">
        <v>74</v>
      </c>
      <c r="D622" s="1" t="s">
        <v>74</v>
      </c>
      <c r="E622" s="1" t="s">
        <v>74</v>
      </c>
      <c r="F622" s="1" t="s">
        <v>5300</v>
      </c>
      <c r="G622" s="1" t="s">
        <v>74</v>
      </c>
      <c r="H622" s="1" t="s">
        <v>74</v>
      </c>
      <c r="I622" s="1" t="s">
        <v>5301</v>
      </c>
      <c r="J622" s="1" t="s">
        <v>5302</v>
      </c>
      <c r="K622" s="1" t="s">
        <v>74</v>
      </c>
      <c r="L622" s="1" t="s">
        <v>74</v>
      </c>
      <c r="M622" s="1" t="s">
        <v>74</v>
      </c>
      <c r="N622" s="1" t="s">
        <v>74</v>
      </c>
      <c r="O622" s="1" t="s">
        <v>74</v>
      </c>
      <c r="P622" s="1" t="s">
        <v>74</v>
      </c>
      <c r="Q622" s="1" t="s">
        <v>74</v>
      </c>
      <c r="R622" s="1" t="s">
        <v>74</v>
      </c>
      <c r="S622" s="1" t="s">
        <v>74</v>
      </c>
      <c r="T622" s="1" t="s">
        <v>74</v>
      </c>
      <c r="U622" s="1" t="s">
        <v>74</v>
      </c>
      <c r="V622" s="1" t="s">
        <v>5303</v>
      </c>
      <c r="W622" s="1" t="s">
        <v>74</v>
      </c>
      <c r="X622" s="1" t="s">
        <v>74</v>
      </c>
      <c r="Y622" s="1" t="s">
        <v>74</v>
      </c>
      <c r="Z622" s="1" t="s">
        <v>74</v>
      </c>
      <c r="AA622" s="1" t="s">
        <v>1571</v>
      </c>
      <c r="AB622" s="1" t="s">
        <v>74</v>
      </c>
      <c r="AC622" s="1" t="s">
        <v>74</v>
      </c>
      <c r="AD622" s="1" t="s">
        <v>74</v>
      </c>
      <c r="AE622" s="1" t="s">
        <v>74</v>
      </c>
      <c r="AF622" s="1" t="s">
        <v>74</v>
      </c>
      <c r="AG622" s="1" t="s">
        <v>74</v>
      </c>
      <c r="AH622" s="1" t="s">
        <v>74</v>
      </c>
      <c r="AI622" s="1" t="s">
        <v>74</v>
      </c>
      <c r="AJ622" s="1" t="s">
        <v>74</v>
      </c>
      <c r="AK622" s="1" t="s">
        <v>74</v>
      </c>
      <c r="AL622" s="1" t="s">
        <v>74</v>
      </c>
      <c r="AM622" s="1" t="s">
        <v>74</v>
      </c>
      <c r="AN622" s="1" t="s">
        <v>74</v>
      </c>
      <c r="AO622" s="1" t="s">
        <v>5304</v>
      </c>
      <c r="AP622" s="1" t="s">
        <v>5305</v>
      </c>
      <c r="AQ622" s="1" t="s">
        <v>74</v>
      </c>
      <c r="AR622" s="1" t="s">
        <v>74</v>
      </c>
      <c r="AS622" s="1" t="s">
        <v>74</v>
      </c>
      <c r="AT622" s="1" t="s">
        <v>5306</v>
      </c>
      <c r="AU622" s="1">
        <v>2022.0</v>
      </c>
      <c r="AV622" s="1">
        <v>64.0</v>
      </c>
      <c r="AW622" s="1">
        <v>3.0</v>
      </c>
      <c r="AX622" s="1" t="s">
        <v>74</v>
      </c>
      <c r="AY622" s="1" t="s">
        <v>74</v>
      </c>
      <c r="AZ622" s="1" t="s">
        <v>74</v>
      </c>
      <c r="BA622" s="1" t="s">
        <v>74</v>
      </c>
      <c r="BB622" s="1">
        <v>511.0</v>
      </c>
      <c r="BC622" s="1">
        <v>536.0</v>
      </c>
      <c r="BD622" s="1" t="s">
        <v>74</v>
      </c>
      <c r="BE622" s="1" t="s">
        <v>5307</v>
      </c>
      <c r="BF622" s="2" t="str">
        <f>HYPERLINK("http://dx.doi.org/10.1080/00076791.2020.1717471","http://dx.doi.org/10.1080/00076791.2020.1717471")</f>
        <v>http://dx.doi.org/10.1080/00076791.2020.1717471</v>
      </c>
      <c r="BG622" s="1" t="s">
        <v>74</v>
      </c>
      <c r="BH622" s="1" t="s">
        <v>2942</v>
      </c>
      <c r="BI622" s="1" t="s">
        <v>74</v>
      </c>
      <c r="BJ622" s="1" t="s">
        <v>74</v>
      </c>
      <c r="BK622" s="1" t="s">
        <v>74</v>
      </c>
      <c r="BL622" s="1" t="s">
        <v>74</v>
      </c>
      <c r="BM622" s="1" t="s">
        <v>74</v>
      </c>
      <c r="BN622" s="1" t="s">
        <v>74</v>
      </c>
      <c r="BO622" s="1" t="s">
        <v>74</v>
      </c>
      <c r="BP622" s="1" t="s">
        <v>74</v>
      </c>
      <c r="BQ622" s="1" t="s">
        <v>74</v>
      </c>
      <c r="BR622" s="1" t="s">
        <v>74</v>
      </c>
      <c r="BS622" s="1" t="s">
        <v>5308</v>
      </c>
      <c r="BT622" s="1" t="str">
        <f>HYPERLINK("https%3A%2F%2Fwww.webofscience.com%2Fwos%2Fwoscc%2Ffull-record%2FWOS:000509432500001","View Full Record in Web of Science")</f>
        <v>View Full Record in Web of Science</v>
      </c>
    </row>
    <row r="623" ht="12.75" customHeight="1">
      <c r="A623" s="1" t="s">
        <v>72</v>
      </c>
      <c r="B623" s="1" t="s">
        <v>5309</v>
      </c>
      <c r="C623" s="1" t="s">
        <v>74</v>
      </c>
      <c r="D623" s="1" t="s">
        <v>74</v>
      </c>
      <c r="E623" s="1" t="s">
        <v>74</v>
      </c>
      <c r="F623" s="1" t="s">
        <v>5310</v>
      </c>
      <c r="G623" s="1" t="s">
        <v>74</v>
      </c>
      <c r="H623" s="1" t="s">
        <v>74</v>
      </c>
      <c r="I623" s="1" t="s">
        <v>5311</v>
      </c>
      <c r="J623" s="1" t="s">
        <v>5312</v>
      </c>
      <c r="K623" s="1" t="s">
        <v>74</v>
      </c>
      <c r="L623" s="1" t="s">
        <v>74</v>
      </c>
      <c r="M623" s="1" t="s">
        <v>74</v>
      </c>
      <c r="N623" s="1" t="s">
        <v>74</v>
      </c>
      <c r="O623" s="1" t="s">
        <v>74</v>
      </c>
      <c r="P623" s="1" t="s">
        <v>74</v>
      </c>
      <c r="Q623" s="1" t="s">
        <v>74</v>
      </c>
      <c r="R623" s="1" t="s">
        <v>74</v>
      </c>
      <c r="S623" s="1" t="s">
        <v>74</v>
      </c>
      <c r="T623" s="1" t="s">
        <v>74</v>
      </c>
      <c r="U623" s="1" t="s">
        <v>74</v>
      </c>
      <c r="V623" s="1" t="s">
        <v>5313</v>
      </c>
      <c r="W623" s="1" t="s">
        <v>74</v>
      </c>
      <c r="X623" s="1" t="s">
        <v>74</v>
      </c>
      <c r="Y623" s="1" t="s">
        <v>74</v>
      </c>
      <c r="Z623" s="1" t="s">
        <v>74</v>
      </c>
      <c r="AA623" s="1" t="s">
        <v>74</v>
      </c>
      <c r="AB623" s="1" t="s">
        <v>74</v>
      </c>
      <c r="AC623" s="1" t="s">
        <v>74</v>
      </c>
      <c r="AD623" s="1" t="s">
        <v>74</v>
      </c>
      <c r="AE623" s="1" t="s">
        <v>74</v>
      </c>
      <c r="AF623" s="1" t="s">
        <v>74</v>
      </c>
      <c r="AG623" s="1" t="s">
        <v>74</v>
      </c>
      <c r="AH623" s="1" t="s">
        <v>74</v>
      </c>
      <c r="AI623" s="1" t="s">
        <v>74</v>
      </c>
      <c r="AJ623" s="1" t="s">
        <v>74</v>
      </c>
      <c r="AK623" s="1" t="s">
        <v>74</v>
      </c>
      <c r="AL623" s="1" t="s">
        <v>74</v>
      </c>
      <c r="AM623" s="1" t="s">
        <v>74</v>
      </c>
      <c r="AN623" s="1" t="s">
        <v>74</v>
      </c>
      <c r="AO623" s="1" t="s">
        <v>74</v>
      </c>
      <c r="AP623" s="1" t="s">
        <v>5314</v>
      </c>
      <c r="AQ623" s="1" t="s">
        <v>74</v>
      </c>
      <c r="AR623" s="1" t="s">
        <v>74</v>
      </c>
      <c r="AS623" s="1" t="s">
        <v>74</v>
      </c>
      <c r="AT623" s="1" t="s">
        <v>74</v>
      </c>
      <c r="AU623" s="1">
        <v>2020.0</v>
      </c>
      <c r="AV623" s="1">
        <v>28.0</v>
      </c>
      <c r="AW623" s="1" t="s">
        <v>74</v>
      </c>
      <c r="AX623" s="1" t="s">
        <v>74</v>
      </c>
      <c r="AY623" s="1" t="s">
        <v>74</v>
      </c>
      <c r="AZ623" s="1" t="s">
        <v>74</v>
      </c>
      <c r="BA623" s="1" t="s">
        <v>74</v>
      </c>
      <c r="BB623" s="1" t="s">
        <v>74</v>
      </c>
      <c r="BC623" s="1" t="s">
        <v>74</v>
      </c>
      <c r="BD623" s="1" t="s">
        <v>74</v>
      </c>
      <c r="BE623" s="1" t="s">
        <v>5315</v>
      </c>
      <c r="BF623" s="2" t="str">
        <f>HYPERLINK("http://dx.doi.org/10.14507/epaa.28.5905","http://dx.doi.org/10.14507/epaa.28.5905")</f>
        <v>http://dx.doi.org/10.14507/epaa.28.5905</v>
      </c>
      <c r="BG623" s="1" t="s">
        <v>74</v>
      </c>
      <c r="BH623" s="1" t="s">
        <v>74</v>
      </c>
      <c r="BI623" s="1" t="s">
        <v>74</v>
      </c>
      <c r="BJ623" s="1" t="s">
        <v>74</v>
      </c>
      <c r="BK623" s="1" t="s">
        <v>74</v>
      </c>
      <c r="BL623" s="1" t="s">
        <v>74</v>
      </c>
      <c r="BM623" s="1" t="s">
        <v>74</v>
      </c>
      <c r="BN623" s="1" t="s">
        <v>74</v>
      </c>
      <c r="BO623" s="1" t="s">
        <v>74</v>
      </c>
      <c r="BP623" s="1" t="s">
        <v>74</v>
      </c>
      <c r="BQ623" s="1" t="s">
        <v>74</v>
      </c>
      <c r="BR623" s="1" t="s">
        <v>74</v>
      </c>
      <c r="BS623" s="1" t="s">
        <v>5316</v>
      </c>
      <c r="BT623" s="1" t="str">
        <f>HYPERLINK("https%3A%2F%2Fwww.webofscience.com%2Fwos%2Fwoscc%2Ffull-record%2FWOS:000569115800001","View Full Record in Web of Science")</f>
        <v>View Full Record in Web of Science</v>
      </c>
    </row>
    <row r="624" ht="12.75" customHeight="1">
      <c r="A624" s="1" t="s">
        <v>72</v>
      </c>
      <c r="B624" s="1" t="s">
        <v>5317</v>
      </c>
      <c r="C624" s="1" t="s">
        <v>74</v>
      </c>
      <c r="D624" s="1" t="s">
        <v>74</v>
      </c>
      <c r="E624" s="1" t="s">
        <v>74</v>
      </c>
      <c r="F624" s="1" t="s">
        <v>5318</v>
      </c>
      <c r="G624" s="1" t="s">
        <v>74</v>
      </c>
      <c r="H624" s="1" t="s">
        <v>74</v>
      </c>
      <c r="I624" s="1" t="s">
        <v>5319</v>
      </c>
      <c r="J624" s="1" t="s">
        <v>5320</v>
      </c>
      <c r="K624" s="1" t="s">
        <v>74</v>
      </c>
      <c r="L624" s="1" t="s">
        <v>74</v>
      </c>
      <c r="M624" s="1" t="s">
        <v>74</v>
      </c>
      <c r="N624" s="1" t="s">
        <v>74</v>
      </c>
      <c r="O624" s="1" t="s">
        <v>74</v>
      </c>
      <c r="P624" s="1" t="s">
        <v>74</v>
      </c>
      <c r="Q624" s="1" t="s">
        <v>74</v>
      </c>
      <c r="R624" s="1" t="s">
        <v>74</v>
      </c>
      <c r="S624" s="1" t="s">
        <v>74</v>
      </c>
      <c r="T624" s="1" t="s">
        <v>74</v>
      </c>
      <c r="U624" s="1" t="s">
        <v>74</v>
      </c>
      <c r="V624" s="1" t="s">
        <v>5321</v>
      </c>
      <c r="W624" s="1" t="s">
        <v>74</v>
      </c>
      <c r="X624" s="1" t="s">
        <v>74</v>
      </c>
      <c r="Y624" s="1" t="s">
        <v>74</v>
      </c>
      <c r="Z624" s="1" t="s">
        <v>74</v>
      </c>
      <c r="AA624" s="1" t="s">
        <v>902</v>
      </c>
      <c r="AB624" s="1" t="s">
        <v>5322</v>
      </c>
      <c r="AC624" s="1" t="s">
        <v>74</v>
      </c>
      <c r="AD624" s="1" t="s">
        <v>74</v>
      </c>
      <c r="AE624" s="1" t="s">
        <v>74</v>
      </c>
      <c r="AF624" s="1" t="s">
        <v>74</v>
      </c>
      <c r="AG624" s="1" t="s">
        <v>74</v>
      </c>
      <c r="AH624" s="1" t="s">
        <v>74</v>
      </c>
      <c r="AI624" s="1" t="s">
        <v>74</v>
      </c>
      <c r="AJ624" s="1" t="s">
        <v>74</v>
      </c>
      <c r="AK624" s="1" t="s">
        <v>74</v>
      </c>
      <c r="AL624" s="1" t="s">
        <v>74</v>
      </c>
      <c r="AM624" s="1" t="s">
        <v>74</v>
      </c>
      <c r="AN624" s="1" t="s">
        <v>74</v>
      </c>
      <c r="AO624" s="1" t="s">
        <v>5323</v>
      </c>
      <c r="AP624" s="1" t="s">
        <v>5324</v>
      </c>
      <c r="AQ624" s="1" t="s">
        <v>74</v>
      </c>
      <c r="AR624" s="1" t="s">
        <v>74</v>
      </c>
      <c r="AS624" s="1" t="s">
        <v>74</v>
      </c>
      <c r="AT624" s="1" t="s">
        <v>88</v>
      </c>
      <c r="AU624" s="1">
        <v>2019.0</v>
      </c>
      <c r="AV624" s="1">
        <v>164.0</v>
      </c>
      <c r="AW624" s="1">
        <v>1.0</v>
      </c>
      <c r="AX624" s="1" t="s">
        <v>74</v>
      </c>
      <c r="AY624" s="1" t="s">
        <v>74</v>
      </c>
      <c r="AZ624" s="1" t="s">
        <v>74</v>
      </c>
      <c r="BA624" s="1" t="s">
        <v>74</v>
      </c>
      <c r="BB624" s="1">
        <v>165.0</v>
      </c>
      <c r="BC624" s="1">
        <v>183.0</v>
      </c>
      <c r="BD624" s="1" t="s">
        <v>74</v>
      </c>
      <c r="BE624" s="1" t="s">
        <v>5325</v>
      </c>
      <c r="BF624" s="2" t="str">
        <f>HYPERLINK("http://dx.doi.org/10.1007/s10440-018-00231-3","http://dx.doi.org/10.1007/s10440-018-00231-3")</f>
        <v>http://dx.doi.org/10.1007/s10440-018-00231-3</v>
      </c>
      <c r="BG624" s="1" t="s">
        <v>74</v>
      </c>
      <c r="BH624" s="1" t="s">
        <v>74</v>
      </c>
      <c r="BI624" s="1" t="s">
        <v>74</v>
      </c>
      <c r="BJ624" s="1" t="s">
        <v>74</v>
      </c>
      <c r="BK624" s="1" t="s">
        <v>74</v>
      </c>
      <c r="BL624" s="1" t="s">
        <v>74</v>
      </c>
      <c r="BM624" s="1" t="s">
        <v>74</v>
      </c>
      <c r="BN624" s="1" t="s">
        <v>74</v>
      </c>
      <c r="BO624" s="1" t="s">
        <v>74</v>
      </c>
      <c r="BP624" s="1" t="s">
        <v>74</v>
      </c>
      <c r="BQ624" s="1" t="s">
        <v>74</v>
      </c>
      <c r="BR624" s="1" t="s">
        <v>74</v>
      </c>
      <c r="BS624" s="1" t="s">
        <v>5326</v>
      </c>
      <c r="BT624" s="1" t="str">
        <f>HYPERLINK("https%3A%2F%2Fwww.webofscience.com%2Fwos%2Fwoscc%2Ffull-record%2FWOS:000494042000009","View Full Record in Web of Science")</f>
        <v>View Full Record in Web of Science</v>
      </c>
    </row>
    <row r="625" ht="12.75" customHeight="1">
      <c r="A625" s="1" t="s">
        <v>72</v>
      </c>
      <c r="B625" s="1" t="s">
        <v>5327</v>
      </c>
      <c r="C625" s="1" t="s">
        <v>74</v>
      </c>
      <c r="D625" s="1" t="s">
        <v>74</v>
      </c>
      <c r="E625" s="1" t="s">
        <v>74</v>
      </c>
      <c r="F625" s="1" t="s">
        <v>5328</v>
      </c>
      <c r="G625" s="1" t="s">
        <v>74</v>
      </c>
      <c r="H625" s="1" t="s">
        <v>74</v>
      </c>
      <c r="I625" s="1" t="s">
        <v>5329</v>
      </c>
      <c r="J625" s="1" t="s">
        <v>5330</v>
      </c>
      <c r="K625" s="1" t="s">
        <v>74</v>
      </c>
      <c r="L625" s="1" t="s">
        <v>74</v>
      </c>
      <c r="M625" s="1" t="s">
        <v>74</v>
      </c>
      <c r="N625" s="1" t="s">
        <v>74</v>
      </c>
      <c r="O625" s="1" t="s">
        <v>74</v>
      </c>
      <c r="P625" s="1" t="s">
        <v>74</v>
      </c>
      <c r="Q625" s="1" t="s">
        <v>74</v>
      </c>
      <c r="R625" s="1" t="s">
        <v>74</v>
      </c>
      <c r="S625" s="1" t="s">
        <v>74</v>
      </c>
      <c r="T625" s="1" t="s">
        <v>74</v>
      </c>
      <c r="U625" s="1" t="s">
        <v>74</v>
      </c>
      <c r="V625" s="1" t="s">
        <v>5331</v>
      </c>
      <c r="W625" s="1" t="s">
        <v>74</v>
      </c>
      <c r="X625" s="1" t="s">
        <v>74</v>
      </c>
      <c r="Y625" s="1" t="s">
        <v>74</v>
      </c>
      <c r="Z625" s="1" t="s">
        <v>74</v>
      </c>
      <c r="AA625" s="1" t="s">
        <v>5332</v>
      </c>
      <c r="AB625" s="1" t="s">
        <v>5333</v>
      </c>
      <c r="AC625" s="1" t="s">
        <v>74</v>
      </c>
      <c r="AD625" s="1" t="s">
        <v>74</v>
      </c>
      <c r="AE625" s="1" t="s">
        <v>74</v>
      </c>
      <c r="AF625" s="1" t="s">
        <v>74</v>
      </c>
      <c r="AG625" s="1" t="s">
        <v>74</v>
      </c>
      <c r="AH625" s="1" t="s">
        <v>74</v>
      </c>
      <c r="AI625" s="1" t="s">
        <v>74</v>
      </c>
      <c r="AJ625" s="1" t="s">
        <v>74</v>
      </c>
      <c r="AK625" s="1" t="s">
        <v>74</v>
      </c>
      <c r="AL625" s="1" t="s">
        <v>74</v>
      </c>
      <c r="AM625" s="1" t="s">
        <v>74</v>
      </c>
      <c r="AN625" s="1" t="s">
        <v>74</v>
      </c>
      <c r="AO625" s="1" t="s">
        <v>5334</v>
      </c>
      <c r="AP625" s="1" t="s">
        <v>5335</v>
      </c>
      <c r="AQ625" s="1" t="s">
        <v>74</v>
      </c>
      <c r="AR625" s="1" t="s">
        <v>74</v>
      </c>
      <c r="AS625" s="1" t="s">
        <v>74</v>
      </c>
      <c r="AT625" s="1" t="s">
        <v>299</v>
      </c>
      <c r="AU625" s="1">
        <v>2020.0</v>
      </c>
      <c r="AV625" s="1">
        <v>95.0</v>
      </c>
      <c r="AW625" s="1">
        <v>1.0</v>
      </c>
      <c r="AX625" s="1" t="s">
        <v>74</v>
      </c>
      <c r="AY625" s="1" t="s">
        <v>74</v>
      </c>
      <c r="AZ625" s="1" t="s">
        <v>74</v>
      </c>
      <c r="BA625" s="1" t="s">
        <v>74</v>
      </c>
      <c r="BB625" s="1">
        <v>94.0</v>
      </c>
      <c r="BC625" s="1">
        <v>101.0</v>
      </c>
      <c r="BD625" s="1" t="s">
        <v>74</v>
      </c>
      <c r="BE625" s="1" t="s">
        <v>5336</v>
      </c>
      <c r="BF625" s="2" t="str">
        <f>HYPERLINK("http://dx.doi.org/10.1002/jctb.6210","http://dx.doi.org/10.1002/jctb.6210")</f>
        <v>http://dx.doi.org/10.1002/jctb.6210</v>
      </c>
      <c r="BG625" s="1" t="s">
        <v>74</v>
      </c>
      <c r="BH625" s="1" t="s">
        <v>5337</v>
      </c>
      <c r="BI625" s="1" t="s">
        <v>74</v>
      </c>
      <c r="BJ625" s="1" t="s">
        <v>74</v>
      </c>
      <c r="BK625" s="1" t="s">
        <v>74</v>
      </c>
      <c r="BL625" s="1" t="s">
        <v>74</v>
      </c>
      <c r="BM625" s="1" t="s">
        <v>74</v>
      </c>
      <c r="BN625" s="1" t="s">
        <v>74</v>
      </c>
      <c r="BO625" s="1" t="s">
        <v>74</v>
      </c>
      <c r="BP625" s="1" t="s">
        <v>74</v>
      </c>
      <c r="BQ625" s="1" t="s">
        <v>74</v>
      </c>
      <c r="BR625" s="1" t="s">
        <v>74</v>
      </c>
      <c r="BS625" s="1" t="s">
        <v>5338</v>
      </c>
      <c r="BT625" s="1" t="str">
        <f>HYPERLINK("https%3A%2F%2Fwww.webofscience.com%2Fwos%2Fwoscc%2Ffull-record%2FWOS:000491013600001","View Full Record in Web of Science")</f>
        <v>View Full Record in Web of Science</v>
      </c>
    </row>
    <row r="626" ht="12.75" customHeight="1">
      <c r="A626" s="1" t="s">
        <v>72</v>
      </c>
      <c r="B626" s="1" t="s">
        <v>5339</v>
      </c>
      <c r="C626" s="1" t="s">
        <v>74</v>
      </c>
      <c r="D626" s="1" t="s">
        <v>74</v>
      </c>
      <c r="E626" s="1" t="s">
        <v>74</v>
      </c>
      <c r="F626" s="1" t="s">
        <v>5340</v>
      </c>
      <c r="G626" s="1" t="s">
        <v>74</v>
      </c>
      <c r="H626" s="1" t="s">
        <v>74</v>
      </c>
      <c r="I626" s="1" t="s">
        <v>5341</v>
      </c>
      <c r="J626" s="1" t="s">
        <v>842</v>
      </c>
      <c r="K626" s="1" t="s">
        <v>74</v>
      </c>
      <c r="L626" s="1" t="s">
        <v>74</v>
      </c>
      <c r="M626" s="1" t="s">
        <v>74</v>
      </c>
      <c r="N626" s="1" t="s">
        <v>74</v>
      </c>
      <c r="O626" s="1" t="s">
        <v>74</v>
      </c>
      <c r="P626" s="1" t="s">
        <v>74</v>
      </c>
      <c r="Q626" s="1" t="s">
        <v>74</v>
      </c>
      <c r="R626" s="1" t="s">
        <v>74</v>
      </c>
      <c r="S626" s="1" t="s">
        <v>74</v>
      </c>
      <c r="T626" s="1" t="s">
        <v>74</v>
      </c>
      <c r="U626" s="1" t="s">
        <v>74</v>
      </c>
      <c r="V626" s="1" t="s">
        <v>74</v>
      </c>
      <c r="W626" s="1" t="s">
        <v>74</v>
      </c>
      <c r="X626" s="1" t="s">
        <v>74</v>
      </c>
      <c r="Y626" s="1" t="s">
        <v>74</v>
      </c>
      <c r="Z626" s="1" t="s">
        <v>74</v>
      </c>
      <c r="AA626" s="1" t="s">
        <v>5342</v>
      </c>
      <c r="AB626" s="1" t="s">
        <v>5343</v>
      </c>
      <c r="AC626" s="1" t="s">
        <v>74</v>
      </c>
      <c r="AD626" s="1" t="s">
        <v>74</v>
      </c>
      <c r="AE626" s="1" t="s">
        <v>74</v>
      </c>
      <c r="AF626" s="1" t="s">
        <v>74</v>
      </c>
      <c r="AG626" s="1" t="s">
        <v>74</v>
      </c>
      <c r="AH626" s="1" t="s">
        <v>74</v>
      </c>
      <c r="AI626" s="1" t="s">
        <v>74</v>
      </c>
      <c r="AJ626" s="1" t="s">
        <v>74</v>
      </c>
      <c r="AK626" s="1" t="s">
        <v>74</v>
      </c>
      <c r="AL626" s="1" t="s">
        <v>74</v>
      </c>
      <c r="AM626" s="1" t="s">
        <v>74</v>
      </c>
      <c r="AN626" s="1" t="s">
        <v>74</v>
      </c>
      <c r="AO626" s="1" t="s">
        <v>846</v>
      </c>
      <c r="AP626" s="1" t="s">
        <v>4545</v>
      </c>
      <c r="AQ626" s="1" t="s">
        <v>74</v>
      </c>
      <c r="AR626" s="1" t="s">
        <v>74</v>
      </c>
      <c r="AS626" s="1" t="s">
        <v>74</v>
      </c>
      <c r="AT626" s="1" t="s">
        <v>1176</v>
      </c>
      <c r="AU626" s="1">
        <v>2019.0</v>
      </c>
      <c r="AV626" s="1">
        <v>91.0</v>
      </c>
      <c r="AW626" s="1" t="s">
        <v>74</v>
      </c>
      <c r="AX626" s="1" t="s">
        <v>74</v>
      </c>
      <c r="AY626" s="1" t="s">
        <v>74</v>
      </c>
      <c r="AZ626" s="1" t="s">
        <v>74</v>
      </c>
      <c r="BA626" s="1" t="s">
        <v>5344</v>
      </c>
      <c r="BB626" s="1">
        <v>395.0</v>
      </c>
      <c r="BC626" s="1">
        <v>395.0</v>
      </c>
      <c r="BD626" s="1" t="s">
        <v>74</v>
      </c>
      <c r="BE626" s="1" t="s">
        <v>5345</v>
      </c>
      <c r="BF626" s="2" t="str">
        <f>HYPERLINK("http://dx.doi.org/10.1016/j.fsi.2019.04.085","http://dx.doi.org/10.1016/j.fsi.2019.04.085")</f>
        <v>http://dx.doi.org/10.1016/j.fsi.2019.04.085</v>
      </c>
      <c r="BG626" s="1" t="s">
        <v>74</v>
      </c>
      <c r="BH626" s="1" t="s">
        <v>74</v>
      </c>
      <c r="BI626" s="1" t="s">
        <v>74</v>
      </c>
      <c r="BJ626" s="1" t="s">
        <v>74</v>
      </c>
      <c r="BK626" s="1" t="s">
        <v>74</v>
      </c>
      <c r="BL626" s="1" t="s">
        <v>74</v>
      </c>
      <c r="BM626" s="1" t="s">
        <v>74</v>
      </c>
      <c r="BN626" s="1" t="s">
        <v>74</v>
      </c>
      <c r="BO626" s="1" t="s">
        <v>74</v>
      </c>
      <c r="BP626" s="1" t="s">
        <v>74</v>
      </c>
      <c r="BQ626" s="1" t="s">
        <v>74</v>
      </c>
      <c r="BR626" s="1" t="s">
        <v>74</v>
      </c>
      <c r="BS626" s="1" t="s">
        <v>5346</v>
      </c>
      <c r="BT626" s="1" t="str">
        <f>HYPERLINK("https%3A%2F%2Fwww.webofscience.com%2Fwos%2Fwoscc%2Ffull-record%2FWOS:000474676700058","View Full Record in Web of Science")</f>
        <v>View Full Record in Web of Science</v>
      </c>
    </row>
    <row r="627" ht="12.75" customHeight="1">
      <c r="A627" s="1" t="s">
        <v>91</v>
      </c>
      <c r="B627" s="1" t="s">
        <v>5347</v>
      </c>
      <c r="C627" s="1" t="s">
        <v>74</v>
      </c>
      <c r="D627" s="1" t="s">
        <v>74</v>
      </c>
      <c r="E627" s="1" t="s">
        <v>442</v>
      </c>
      <c r="F627" s="1" t="s">
        <v>5348</v>
      </c>
      <c r="G627" s="1" t="s">
        <v>74</v>
      </c>
      <c r="H627" s="1" t="s">
        <v>74</v>
      </c>
      <c r="I627" s="1" t="s">
        <v>5349</v>
      </c>
      <c r="J627" s="1" t="s">
        <v>5350</v>
      </c>
      <c r="K627" s="1" t="s">
        <v>74</v>
      </c>
      <c r="L627" s="1" t="s">
        <v>74</v>
      </c>
      <c r="M627" s="1" t="s">
        <v>74</v>
      </c>
      <c r="N627" s="1" t="s">
        <v>74</v>
      </c>
      <c r="O627" s="1" t="s">
        <v>5351</v>
      </c>
      <c r="P627" s="1" t="s">
        <v>5352</v>
      </c>
      <c r="Q627" s="1" t="s">
        <v>1581</v>
      </c>
      <c r="R627" s="1" t="s">
        <v>5353</v>
      </c>
      <c r="S627" s="1" t="s">
        <v>74</v>
      </c>
      <c r="T627" s="1" t="s">
        <v>74</v>
      </c>
      <c r="U627" s="1" t="s">
        <v>74</v>
      </c>
      <c r="V627" s="1" t="s">
        <v>5354</v>
      </c>
      <c r="W627" s="1" t="s">
        <v>74</v>
      </c>
      <c r="X627" s="1" t="s">
        <v>74</v>
      </c>
      <c r="Y627" s="1" t="s">
        <v>74</v>
      </c>
      <c r="Z627" s="1" t="s">
        <v>74</v>
      </c>
      <c r="AA627" s="1" t="s">
        <v>3917</v>
      </c>
      <c r="AB627" s="1" t="s">
        <v>74</v>
      </c>
      <c r="AC627" s="1" t="s">
        <v>74</v>
      </c>
      <c r="AD627" s="1" t="s">
        <v>74</v>
      </c>
      <c r="AE627" s="1" t="s">
        <v>74</v>
      </c>
      <c r="AF627" s="1" t="s">
        <v>74</v>
      </c>
      <c r="AG627" s="1" t="s">
        <v>74</v>
      </c>
      <c r="AH627" s="1" t="s">
        <v>74</v>
      </c>
      <c r="AI627" s="1" t="s">
        <v>74</v>
      </c>
      <c r="AJ627" s="1" t="s">
        <v>74</v>
      </c>
      <c r="AK627" s="1" t="s">
        <v>74</v>
      </c>
      <c r="AL627" s="1" t="s">
        <v>74</v>
      </c>
      <c r="AM627" s="1" t="s">
        <v>74</v>
      </c>
      <c r="AN627" s="1" t="s">
        <v>74</v>
      </c>
      <c r="AO627" s="1" t="s">
        <v>74</v>
      </c>
      <c r="AP627" s="1" t="s">
        <v>74</v>
      </c>
      <c r="AQ627" s="1" t="s">
        <v>5355</v>
      </c>
      <c r="AR627" s="1" t="s">
        <v>74</v>
      </c>
      <c r="AS627" s="1" t="s">
        <v>74</v>
      </c>
      <c r="AT627" s="1" t="s">
        <v>74</v>
      </c>
      <c r="AU627" s="1">
        <v>2019.0</v>
      </c>
      <c r="AV627" s="1" t="s">
        <v>74</v>
      </c>
      <c r="AW627" s="1" t="s">
        <v>74</v>
      </c>
      <c r="AX627" s="1" t="s">
        <v>74</v>
      </c>
      <c r="AY627" s="1" t="s">
        <v>74</v>
      </c>
      <c r="AZ627" s="1" t="s">
        <v>74</v>
      </c>
      <c r="BA627" s="1" t="s">
        <v>74</v>
      </c>
      <c r="BB627" s="1" t="s">
        <v>74</v>
      </c>
      <c r="BC627" s="1" t="s">
        <v>74</v>
      </c>
      <c r="BD627" s="1" t="s">
        <v>74</v>
      </c>
      <c r="BE627" s="1" t="s">
        <v>74</v>
      </c>
      <c r="BF627" s="1" t="s">
        <v>74</v>
      </c>
      <c r="BG627" s="1" t="s">
        <v>74</v>
      </c>
      <c r="BH627" s="1" t="s">
        <v>74</v>
      </c>
      <c r="BI627" s="1" t="s">
        <v>74</v>
      </c>
      <c r="BJ627" s="1" t="s">
        <v>74</v>
      </c>
      <c r="BK627" s="1" t="s">
        <v>74</v>
      </c>
      <c r="BL627" s="1" t="s">
        <v>74</v>
      </c>
      <c r="BM627" s="1" t="s">
        <v>74</v>
      </c>
      <c r="BN627" s="1" t="s">
        <v>74</v>
      </c>
      <c r="BO627" s="1" t="s">
        <v>74</v>
      </c>
      <c r="BP627" s="1" t="s">
        <v>74</v>
      </c>
      <c r="BQ627" s="1" t="s">
        <v>74</v>
      </c>
      <c r="BR627" s="1" t="s">
        <v>74</v>
      </c>
      <c r="BS627" s="1" t="s">
        <v>5356</v>
      </c>
      <c r="BT627" s="1" t="str">
        <f>HYPERLINK("https%3A%2F%2Fwww.webofscience.com%2Fwos%2Fwoscc%2Ffull-record%2FWOS:000542919100142","View Full Record in Web of Science")</f>
        <v>View Full Record in Web of Science</v>
      </c>
    </row>
    <row r="628" ht="12.75" customHeight="1">
      <c r="A628" s="1" t="s">
        <v>72</v>
      </c>
      <c r="B628" s="1" t="s">
        <v>5357</v>
      </c>
      <c r="C628" s="1" t="s">
        <v>74</v>
      </c>
      <c r="D628" s="1" t="s">
        <v>74</v>
      </c>
      <c r="E628" s="1" t="s">
        <v>74</v>
      </c>
      <c r="F628" s="1" t="s">
        <v>5358</v>
      </c>
      <c r="G628" s="1" t="s">
        <v>74</v>
      </c>
      <c r="H628" s="1" t="s">
        <v>74</v>
      </c>
      <c r="I628" s="1" t="s">
        <v>5359</v>
      </c>
      <c r="J628" s="1" t="s">
        <v>5360</v>
      </c>
      <c r="K628" s="1" t="s">
        <v>74</v>
      </c>
      <c r="L628" s="1" t="s">
        <v>74</v>
      </c>
      <c r="M628" s="1" t="s">
        <v>74</v>
      </c>
      <c r="N628" s="1" t="s">
        <v>74</v>
      </c>
      <c r="O628" s="1" t="s">
        <v>74</v>
      </c>
      <c r="P628" s="1" t="s">
        <v>74</v>
      </c>
      <c r="Q628" s="1" t="s">
        <v>74</v>
      </c>
      <c r="R628" s="1" t="s">
        <v>74</v>
      </c>
      <c r="S628" s="1" t="s">
        <v>74</v>
      </c>
      <c r="T628" s="1" t="s">
        <v>74</v>
      </c>
      <c r="U628" s="1" t="s">
        <v>74</v>
      </c>
      <c r="V628" s="1" t="s">
        <v>5361</v>
      </c>
      <c r="W628" s="1" t="s">
        <v>74</v>
      </c>
      <c r="X628" s="1" t="s">
        <v>74</v>
      </c>
      <c r="Y628" s="1" t="s">
        <v>74</v>
      </c>
      <c r="Z628" s="1" t="s">
        <v>74</v>
      </c>
      <c r="AA628" s="1" t="s">
        <v>4369</v>
      </c>
      <c r="AB628" s="1" t="s">
        <v>5362</v>
      </c>
      <c r="AC628" s="1" t="s">
        <v>74</v>
      </c>
      <c r="AD628" s="1" t="s">
        <v>74</v>
      </c>
      <c r="AE628" s="1" t="s">
        <v>74</v>
      </c>
      <c r="AF628" s="1" t="s">
        <v>74</v>
      </c>
      <c r="AG628" s="1" t="s">
        <v>74</v>
      </c>
      <c r="AH628" s="1" t="s">
        <v>74</v>
      </c>
      <c r="AI628" s="1" t="s">
        <v>74</v>
      </c>
      <c r="AJ628" s="1" t="s">
        <v>74</v>
      </c>
      <c r="AK628" s="1" t="s">
        <v>74</v>
      </c>
      <c r="AL628" s="1" t="s">
        <v>74</v>
      </c>
      <c r="AM628" s="1" t="s">
        <v>74</v>
      </c>
      <c r="AN628" s="1" t="s">
        <v>74</v>
      </c>
      <c r="AO628" s="1" t="s">
        <v>5363</v>
      </c>
      <c r="AP628" s="1" t="s">
        <v>5364</v>
      </c>
      <c r="AQ628" s="1" t="s">
        <v>74</v>
      </c>
      <c r="AR628" s="1" t="s">
        <v>74</v>
      </c>
      <c r="AS628" s="1" t="s">
        <v>74</v>
      </c>
      <c r="AT628" s="1" t="s">
        <v>2660</v>
      </c>
      <c r="AU628" s="1">
        <v>2018.0</v>
      </c>
      <c r="AV628" s="1">
        <v>493.0</v>
      </c>
      <c r="AW628" s="1" t="s">
        <v>74</v>
      </c>
      <c r="AX628" s="1" t="s">
        <v>74</v>
      </c>
      <c r="AY628" s="1" t="s">
        <v>74</v>
      </c>
      <c r="AZ628" s="1" t="s">
        <v>74</v>
      </c>
      <c r="BA628" s="1" t="s">
        <v>74</v>
      </c>
      <c r="BB628" s="1">
        <v>79.0</v>
      </c>
      <c r="BC628" s="1">
        <v>84.0</v>
      </c>
      <c r="BD628" s="1" t="s">
        <v>74</v>
      </c>
      <c r="BE628" s="1" t="s">
        <v>5365</v>
      </c>
      <c r="BF628" s="2" t="str">
        <f>HYPERLINK("http://dx.doi.org/10.1016/j.aquaculture.2018.04.044","http://dx.doi.org/10.1016/j.aquaculture.2018.04.044")</f>
        <v>http://dx.doi.org/10.1016/j.aquaculture.2018.04.044</v>
      </c>
      <c r="BG628" s="1" t="s">
        <v>74</v>
      </c>
      <c r="BH628" s="1" t="s">
        <v>74</v>
      </c>
      <c r="BI628" s="1" t="s">
        <v>74</v>
      </c>
      <c r="BJ628" s="1" t="s">
        <v>74</v>
      </c>
      <c r="BK628" s="1" t="s">
        <v>74</v>
      </c>
      <c r="BL628" s="1" t="s">
        <v>74</v>
      </c>
      <c r="BM628" s="1" t="s">
        <v>74</v>
      </c>
      <c r="BN628" s="1" t="s">
        <v>74</v>
      </c>
      <c r="BO628" s="1" t="s">
        <v>74</v>
      </c>
      <c r="BP628" s="1" t="s">
        <v>74</v>
      </c>
      <c r="BQ628" s="1" t="s">
        <v>74</v>
      </c>
      <c r="BR628" s="1" t="s">
        <v>74</v>
      </c>
      <c r="BS628" s="1" t="s">
        <v>5366</v>
      </c>
      <c r="BT628" s="1" t="str">
        <f>HYPERLINK("https%3A%2F%2Fwww.webofscience.com%2Fwos%2Fwoscc%2Ffull-record%2FWOS:000432906800009","View Full Record in Web of Science")</f>
        <v>View Full Record in Web of Science</v>
      </c>
    </row>
    <row r="629" ht="12.75" customHeight="1">
      <c r="A629" s="1" t="s">
        <v>72</v>
      </c>
      <c r="B629" s="1" t="s">
        <v>421</v>
      </c>
      <c r="C629" s="1" t="s">
        <v>74</v>
      </c>
      <c r="D629" s="1" t="s">
        <v>74</v>
      </c>
      <c r="E629" s="1" t="s">
        <v>74</v>
      </c>
      <c r="F629" s="1" t="s">
        <v>422</v>
      </c>
      <c r="G629" s="1" t="s">
        <v>74</v>
      </c>
      <c r="H629" s="1" t="s">
        <v>74</v>
      </c>
      <c r="I629" s="1" t="s">
        <v>5367</v>
      </c>
      <c r="J629" s="1" t="s">
        <v>5368</v>
      </c>
      <c r="K629" s="1" t="s">
        <v>74</v>
      </c>
      <c r="L629" s="1" t="s">
        <v>74</v>
      </c>
      <c r="M629" s="1" t="s">
        <v>74</v>
      </c>
      <c r="N629" s="1" t="s">
        <v>74</v>
      </c>
      <c r="O629" s="1" t="s">
        <v>74</v>
      </c>
      <c r="P629" s="1" t="s">
        <v>74</v>
      </c>
      <c r="Q629" s="1" t="s">
        <v>74</v>
      </c>
      <c r="R629" s="1" t="s">
        <v>74</v>
      </c>
      <c r="S629" s="1" t="s">
        <v>74</v>
      </c>
      <c r="T629" s="1" t="s">
        <v>74</v>
      </c>
      <c r="U629" s="1" t="s">
        <v>74</v>
      </c>
      <c r="V629" s="1" t="s">
        <v>5369</v>
      </c>
      <c r="W629" s="1" t="s">
        <v>74</v>
      </c>
      <c r="X629" s="1" t="s">
        <v>74</v>
      </c>
      <c r="Y629" s="1" t="s">
        <v>74</v>
      </c>
      <c r="Z629" s="1" t="s">
        <v>74</v>
      </c>
      <c r="AA629" s="1" t="s">
        <v>296</v>
      </c>
      <c r="AB629" s="1" t="s">
        <v>426</v>
      </c>
      <c r="AC629" s="1" t="s">
        <v>74</v>
      </c>
      <c r="AD629" s="1" t="s">
        <v>74</v>
      </c>
      <c r="AE629" s="1" t="s">
        <v>74</v>
      </c>
      <c r="AF629" s="1" t="s">
        <v>74</v>
      </c>
      <c r="AG629" s="1" t="s">
        <v>74</v>
      </c>
      <c r="AH629" s="1" t="s">
        <v>74</v>
      </c>
      <c r="AI629" s="1" t="s">
        <v>74</v>
      </c>
      <c r="AJ629" s="1" t="s">
        <v>74</v>
      </c>
      <c r="AK629" s="1" t="s">
        <v>74</v>
      </c>
      <c r="AL629" s="1" t="s">
        <v>74</v>
      </c>
      <c r="AM629" s="1" t="s">
        <v>74</v>
      </c>
      <c r="AN629" s="1" t="s">
        <v>74</v>
      </c>
      <c r="AO629" s="1" t="s">
        <v>5370</v>
      </c>
      <c r="AP629" s="1" t="s">
        <v>5371</v>
      </c>
      <c r="AQ629" s="1" t="s">
        <v>74</v>
      </c>
      <c r="AR629" s="1" t="s">
        <v>74</v>
      </c>
      <c r="AS629" s="1" t="s">
        <v>74</v>
      </c>
      <c r="AT629" s="1" t="s">
        <v>347</v>
      </c>
      <c r="AU629" s="1">
        <v>2018.0</v>
      </c>
      <c r="AV629" s="1">
        <v>67.0</v>
      </c>
      <c r="AW629" s="1" t="s">
        <v>74</v>
      </c>
      <c r="AX629" s="1" t="s">
        <v>74</v>
      </c>
      <c r="AY629" s="1" t="s">
        <v>74</v>
      </c>
      <c r="AZ629" s="1" t="s">
        <v>74</v>
      </c>
      <c r="BA629" s="1" t="s">
        <v>74</v>
      </c>
      <c r="BB629" s="1">
        <v>791.0</v>
      </c>
      <c r="BC629" s="1">
        <v>806.0</v>
      </c>
      <c r="BD629" s="1" t="s">
        <v>74</v>
      </c>
      <c r="BE629" s="1" t="s">
        <v>5372</v>
      </c>
      <c r="BF629" s="2" t="str">
        <f>HYPERLINK("http://dx.doi.org/10.1016/j.compeleceng.2016.09.004","http://dx.doi.org/10.1016/j.compeleceng.2016.09.004")</f>
        <v>http://dx.doi.org/10.1016/j.compeleceng.2016.09.004</v>
      </c>
      <c r="BG629" s="1" t="s">
        <v>74</v>
      </c>
      <c r="BH629" s="1" t="s">
        <v>74</v>
      </c>
      <c r="BI629" s="1" t="s">
        <v>74</v>
      </c>
      <c r="BJ629" s="1" t="s">
        <v>74</v>
      </c>
      <c r="BK629" s="1" t="s">
        <v>74</v>
      </c>
      <c r="BL629" s="1" t="s">
        <v>74</v>
      </c>
      <c r="BM629" s="1" t="s">
        <v>74</v>
      </c>
      <c r="BN629" s="1" t="s">
        <v>74</v>
      </c>
      <c r="BO629" s="1" t="s">
        <v>74</v>
      </c>
      <c r="BP629" s="1" t="s">
        <v>74</v>
      </c>
      <c r="BQ629" s="1" t="s">
        <v>74</v>
      </c>
      <c r="BR629" s="1" t="s">
        <v>74</v>
      </c>
      <c r="BS629" s="1" t="s">
        <v>5373</v>
      </c>
      <c r="BT629" s="1" t="str">
        <f>HYPERLINK("https%3A%2F%2Fwww.webofscience.com%2Fwos%2Fwoscc%2Ffull-record%2FWOS:000441483000057","View Full Record in Web of Science")</f>
        <v>View Full Record in Web of Science</v>
      </c>
    </row>
    <row r="630" ht="12.75" customHeight="1">
      <c r="A630" s="1" t="s">
        <v>72</v>
      </c>
      <c r="B630" s="1" t="s">
        <v>4625</v>
      </c>
      <c r="C630" s="1" t="s">
        <v>74</v>
      </c>
      <c r="D630" s="1" t="s">
        <v>74</v>
      </c>
      <c r="E630" s="1" t="s">
        <v>74</v>
      </c>
      <c r="F630" s="1" t="s">
        <v>4626</v>
      </c>
      <c r="G630" s="1" t="s">
        <v>74</v>
      </c>
      <c r="H630" s="1" t="s">
        <v>74</v>
      </c>
      <c r="I630" s="1" t="s">
        <v>5374</v>
      </c>
      <c r="J630" s="1" t="s">
        <v>5375</v>
      </c>
      <c r="K630" s="1" t="s">
        <v>74</v>
      </c>
      <c r="L630" s="1" t="s">
        <v>74</v>
      </c>
      <c r="M630" s="1" t="s">
        <v>74</v>
      </c>
      <c r="N630" s="1" t="s">
        <v>74</v>
      </c>
      <c r="O630" s="1" t="s">
        <v>74</v>
      </c>
      <c r="P630" s="1" t="s">
        <v>74</v>
      </c>
      <c r="Q630" s="1" t="s">
        <v>74</v>
      </c>
      <c r="R630" s="1" t="s">
        <v>74</v>
      </c>
      <c r="S630" s="1" t="s">
        <v>74</v>
      </c>
      <c r="T630" s="1" t="s">
        <v>74</v>
      </c>
      <c r="U630" s="1" t="s">
        <v>74</v>
      </c>
      <c r="V630" s="1" t="s">
        <v>5376</v>
      </c>
      <c r="W630" s="1" t="s">
        <v>74</v>
      </c>
      <c r="X630" s="1" t="s">
        <v>74</v>
      </c>
      <c r="Y630" s="1" t="s">
        <v>74</v>
      </c>
      <c r="Z630" s="1" t="s">
        <v>74</v>
      </c>
      <c r="AA630" s="1" t="s">
        <v>4629</v>
      </c>
      <c r="AB630" s="1" t="s">
        <v>4630</v>
      </c>
      <c r="AC630" s="1" t="s">
        <v>74</v>
      </c>
      <c r="AD630" s="1" t="s">
        <v>74</v>
      </c>
      <c r="AE630" s="1" t="s">
        <v>74</v>
      </c>
      <c r="AF630" s="1" t="s">
        <v>74</v>
      </c>
      <c r="AG630" s="1" t="s">
        <v>74</v>
      </c>
      <c r="AH630" s="1" t="s">
        <v>74</v>
      </c>
      <c r="AI630" s="1" t="s">
        <v>74</v>
      </c>
      <c r="AJ630" s="1" t="s">
        <v>74</v>
      </c>
      <c r="AK630" s="1" t="s">
        <v>74</v>
      </c>
      <c r="AL630" s="1" t="s">
        <v>74</v>
      </c>
      <c r="AM630" s="1" t="s">
        <v>74</v>
      </c>
      <c r="AN630" s="1" t="s">
        <v>74</v>
      </c>
      <c r="AO630" s="1" t="s">
        <v>5377</v>
      </c>
      <c r="AP630" s="1" t="s">
        <v>5378</v>
      </c>
      <c r="AQ630" s="1" t="s">
        <v>74</v>
      </c>
      <c r="AR630" s="1" t="s">
        <v>74</v>
      </c>
      <c r="AS630" s="1" t="s">
        <v>74</v>
      </c>
      <c r="AT630" s="1" t="s">
        <v>5379</v>
      </c>
      <c r="AU630" s="1">
        <v>2018.0</v>
      </c>
      <c r="AV630" s="1">
        <v>14.0</v>
      </c>
      <c r="AW630" s="1">
        <v>4.0</v>
      </c>
      <c r="AX630" s="1" t="s">
        <v>74</v>
      </c>
      <c r="AY630" s="1" t="s">
        <v>74</v>
      </c>
      <c r="AZ630" s="1" t="s">
        <v>74</v>
      </c>
      <c r="BA630" s="1" t="s">
        <v>74</v>
      </c>
      <c r="BB630" s="1">
        <v>635.0</v>
      </c>
      <c r="BC630" s="1">
        <v>642.0</v>
      </c>
      <c r="BD630" s="1" t="s">
        <v>74</v>
      </c>
      <c r="BE630" s="1" t="s">
        <v>5380</v>
      </c>
      <c r="BF630" s="2" t="str">
        <f>HYPERLINK("http://dx.doi.org/10.1039/c7sm01545c","http://dx.doi.org/10.1039/c7sm01545c")</f>
        <v>http://dx.doi.org/10.1039/c7sm01545c</v>
      </c>
      <c r="BG630" s="1" t="s">
        <v>74</v>
      </c>
      <c r="BH630" s="1" t="s">
        <v>74</v>
      </c>
      <c r="BI630" s="1" t="s">
        <v>74</v>
      </c>
      <c r="BJ630" s="1" t="s">
        <v>74</v>
      </c>
      <c r="BK630" s="1" t="s">
        <v>74</v>
      </c>
      <c r="BL630" s="1" t="s">
        <v>74</v>
      </c>
      <c r="BM630" s="1" t="s">
        <v>74</v>
      </c>
      <c r="BN630" s="1">
        <v>2.9266154E7</v>
      </c>
      <c r="BO630" s="1" t="s">
        <v>74</v>
      </c>
      <c r="BP630" s="1" t="s">
        <v>74</v>
      </c>
      <c r="BQ630" s="1" t="s">
        <v>74</v>
      </c>
      <c r="BR630" s="1" t="s">
        <v>74</v>
      </c>
      <c r="BS630" s="1" t="s">
        <v>5381</v>
      </c>
      <c r="BT630" s="1" t="str">
        <f>HYPERLINK("https%3A%2F%2Fwww.webofscience.com%2Fwos%2Fwoscc%2Ffull-record%2FWOS:000423402100016","View Full Record in Web of Science")</f>
        <v>View Full Record in Web of Science</v>
      </c>
    </row>
    <row r="631" ht="12.75" customHeight="1">
      <c r="A631" s="1" t="s">
        <v>454</v>
      </c>
      <c r="B631" s="1" t="s">
        <v>5382</v>
      </c>
      <c r="C631" s="1" t="s">
        <v>1480</v>
      </c>
      <c r="D631" s="1" t="s">
        <v>74</v>
      </c>
      <c r="E631" s="1" t="s">
        <v>74</v>
      </c>
      <c r="F631" s="1" t="s">
        <v>5383</v>
      </c>
      <c r="G631" s="1" t="s">
        <v>1480</v>
      </c>
      <c r="H631" s="1" t="s">
        <v>74</v>
      </c>
      <c r="I631" s="1" t="s">
        <v>5384</v>
      </c>
      <c r="J631" s="1" t="s">
        <v>1483</v>
      </c>
      <c r="K631" s="1" t="s">
        <v>74</v>
      </c>
      <c r="L631" s="1" t="s">
        <v>74</v>
      </c>
      <c r="M631" s="1" t="s">
        <v>74</v>
      </c>
      <c r="N631" s="1" t="s">
        <v>74</v>
      </c>
      <c r="O631" s="1" t="s">
        <v>74</v>
      </c>
      <c r="P631" s="1" t="s">
        <v>74</v>
      </c>
      <c r="Q631" s="1" t="s">
        <v>74</v>
      </c>
      <c r="R631" s="1" t="s">
        <v>74</v>
      </c>
      <c r="S631" s="1" t="s">
        <v>74</v>
      </c>
      <c r="T631" s="1" t="s">
        <v>74</v>
      </c>
      <c r="U631" s="1" t="s">
        <v>74</v>
      </c>
      <c r="V631" s="1" t="s">
        <v>5385</v>
      </c>
      <c r="W631" s="1" t="s">
        <v>74</v>
      </c>
      <c r="X631" s="1" t="s">
        <v>74</v>
      </c>
      <c r="Y631" s="1" t="s">
        <v>74</v>
      </c>
      <c r="Z631" s="1" t="s">
        <v>74</v>
      </c>
      <c r="AA631" s="1" t="s">
        <v>5386</v>
      </c>
      <c r="AB631" s="1" t="s">
        <v>74</v>
      </c>
      <c r="AC631" s="1" t="s">
        <v>74</v>
      </c>
      <c r="AD631" s="1" t="s">
        <v>74</v>
      </c>
      <c r="AE631" s="1" t="s">
        <v>74</v>
      </c>
      <c r="AF631" s="1" t="s">
        <v>74</v>
      </c>
      <c r="AG631" s="1" t="s">
        <v>74</v>
      </c>
      <c r="AH631" s="1" t="s">
        <v>74</v>
      </c>
      <c r="AI631" s="1" t="s">
        <v>74</v>
      </c>
      <c r="AJ631" s="1" t="s">
        <v>74</v>
      </c>
      <c r="AK631" s="1" t="s">
        <v>74</v>
      </c>
      <c r="AL631" s="1" t="s">
        <v>74</v>
      </c>
      <c r="AM631" s="1" t="s">
        <v>74</v>
      </c>
      <c r="AN631" s="1" t="s">
        <v>74</v>
      </c>
      <c r="AO631" s="1" t="s">
        <v>74</v>
      </c>
      <c r="AP631" s="1" t="s">
        <v>74</v>
      </c>
      <c r="AQ631" s="1" t="s">
        <v>1485</v>
      </c>
      <c r="AR631" s="1" t="s">
        <v>74</v>
      </c>
      <c r="AS631" s="1" t="s">
        <v>74</v>
      </c>
      <c r="AT631" s="1" t="s">
        <v>74</v>
      </c>
      <c r="AU631" s="1">
        <v>2018.0</v>
      </c>
      <c r="AV631" s="1" t="s">
        <v>74</v>
      </c>
      <c r="AW631" s="1" t="s">
        <v>74</v>
      </c>
      <c r="AX631" s="1" t="s">
        <v>74</v>
      </c>
      <c r="AY631" s="1" t="s">
        <v>74</v>
      </c>
      <c r="AZ631" s="1" t="s">
        <v>74</v>
      </c>
      <c r="BA631" s="1" t="s">
        <v>74</v>
      </c>
      <c r="BB631" s="1">
        <v>35.0</v>
      </c>
      <c r="BC631" s="1">
        <v>40.0</v>
      </c>
      <c r="BD631" s="1" t="s">
        <v>74</v>
      </c>
      <c r="BE631" s="1" t="s">
        <v>74</v>
      </c>
      <c r="BF631" s="1" t="s">
        <v>74</v>
      </c>
      <c r="BG631" s="1" t="s">
        <v>74</v>
      </c>
      <c r="BH631" s="1" t="s">
        <v>74</v>
      </c>
      <c r="BI631" s="1" t="s">
        <v>74</v>
      </c>
      <c r="BJ631" s="1" t="s">
        <v>74</v>
      </c>
      <c r="BK631" s="1" t="s">
        <v>74</v>
      </c>
      <c r="BL631" s="1" t="s">
        <v>74</v>
      </c>
      <c r="BM631" s="1" t="s">
        <v>74</v>
      </c>
      <c r="BN631" s="1" t="s">
        <v>74</v>
      </c>
      <c r="BO631" s="1" t="s">
        <v>74</v>
      </c>
      <c r="BP631" s="1" t="s">
        <v>74</v>
      </c>
      <c r="BQ631" s="1" t="s">
        <v>74</v>
      </c>
      <c r="BR631" s="1" t="s">
        <v>74</v>
      </c>
      <c r="BS631" s="1" t="s">
        <v>5387</v>
      </c>
      <c r="BT631" s="1" t="str">
        <f>HYPERLINK("https%3A%2F%2Fwww.webofscience.com%2Fwos%2Fwoscc%2Ffull-record%2FWOS:000483366800003","View Full Record in Web of Science")</f>
        <v>View Full Record in Web of Science</v>
      </c>
    </row>
    <row r="632" ht="12.75" customHeight="1">
      <c r="A632" s="1" t="s">
        <v>454</v>
      </c>
      <c r="B632" s="1" t="s">
        <v>1672</v>
      </c>
      <c r="C632" s="1" t="s">
        <v>3868</v>
      </c>
      <c r="D632" s="1" t="s">
        <v>74</v>
      </c>
      <c r="E632" s="1" t="s">
        <v>74</v>
      </c>
      <c r="F632" s="1" t="s">
        <v>1673</v>
      </c>
      <c r="G632" s="1" t="s">
        <v>3868</v>
      </c>
      <c r="H632" s="1" t="s">
        <v>74</v>
      </c>
      <c r="I632" s="1" t="s">
        <v>5388</v>
      </c>
      <c r="J632" s="1" t="s">
        <v>3871</v>
      </c>
      <c r="K632" s="1" t="s">
        <v>74</v>
      </c>
      <c r="L632" s="1" t="s">
        <v>74</v>
      </c>
      <c r="M632" s="1" t="s">
        <v>74</v>
      </c>
      <c r="N632" s="1" t="s">
        <v>74</v>
      </c>
      <c r="O632" s="1" t="s">
        <v>74</v>
      </c>
      <c r="P632" s="1" t="s">
        <v>74</v>
      </c>
      <c r="Q632" s="1" t="s">
        <v>74</v>
      </c>
      <c r="R632" s="1" t="s">
        <v>74</v>
      </c>
      <c r="S632" s="1" t="s">
        <v>74</v>
      </c>
      <c r="T632" s="1" t="s">
        <v>74</v>
      </c>
      <c r="U632" s="1" t="s">
        <v>74</v>
      </c>
      <c r="V632" s="1" t="s">
        <v>74</v>
      </c>
      <c r="W632" s="1" t="s">
        <v>74</v>
      </c>
      <c r="X632" s="1" t="s">
        <v>74</v>
      </c>
      <c r="Y632" s="1" t="s">
        <v>74</v>
      </c>
      <c r="Z632" s="1" t="s">
        <v>74</v>
      </c>
      <c r="AA632" s="1" t="s">
        <v>74</v>
      </c>
      <c r="AB632" s="1" t="s">
        <v>74</v>
      </c>
      <c r="AC632" s="1" t="s">
        <v>74</v>
      </c>
      <c r="AD632" s="1" t="s">
        <v>74</v>
      </c>
      <c r="AE632" s="1" t="s">
        <v>74</v>
      </c>
      <c r="AF632" s="1" t="s">
        <v>74</v>
      </c>
      <c r="AG632" s="1" t="s">
        <v>74</v>
      </c>
      <c r="AH632" s="1" t="s">
        <v>74</v>
      </c>
      <c r="AI632" s="1" t="s">
        <v>74</v>
      </c>
      <c r="AJ632" s="1" t="s">
        <v>74</v>
      </c>
      <c r="AK632" s="1" t="s">
        <v>74</v>
      </c>
      <c r="AL632" s="1" t="s">
        <v>74</v>
      </c>
      <c r="AM632" s="1" t="s">
        <v>74</v>
      </c>
      <c r="AN632" s="1" t="s">
        <v>74</v>
      </c>
      <c r="AO632" s="1" t="s">
        <v>74</v>
      </c>
      <c r="AP632" s="1" t="s">
        <v>74</v>
      </c>
      <c r="AQ632" s="1" t="s">
        <v>3872</v>
      </c>
      <c r="AR632" s="1" t="s">
        <v>74</v>
      </c>
      <c r="AS632" s="1" t="s">
        <v>74</v>
      </c>
      <c r="AT632" s="1" t="s">
        <v>74</v>
      </c>
      <c r="AU632" s="1">
        <v>2018.0</v>
      </c>
      <c r="AV632" s="1" t="s">
        <v>74</v>
      </c>
      <c r="AW632" s="1" t="s">
        <v>74</v>
      </c>
      <c r="AX632" s="1" t="s">
        <v>74</v>
      </c>
      <c r="AY632" s="1" t="s">
        <v>74</v>
      </c>
      <c r="AZ632" s="1" t="s">
        <v>74</v>
      </c>
      <c r="BA632" s="1" t="s">
        <v>74</v>
      </c>
      <c r="BB632" s="1">
        <v>9.0</v>
      </c>
      <c r="BC632" s="1" t="s">
        <v>631</v>
      </c>
      <c r="BD632" s="1" t="s">
        <v>74</v>
      </c>
      <c r="BE632" s="1" t="s">
        <v>74</v>
      </c>
      <c r="BF632" s="1" t="s">
        <v>74</v>
      </c>
      <c r="BG632" s="1" t="s">
        <v>74</v>
      </c>
      <c r="BH632" s="1" t="s">
        <v>74</v>
      </c>
      <c r="BI632" s="1" t="s">
        <v>74</v>
      </c>
      <c r="BJ632" s="1" t="s">
        <v>74</v>
      </c>
      <c r="BK632" s="1" t="s">
        <v>74</v>
      </c>
      <c r="BL632" s="1" t="s">
        <v>74</v>
      </c>
      <c r="BM632" s="1" t="s">
        <v>74</v>
      </c>
      <c r="BN632" s="1" t="s">
        <v>74</v>
      </c>
      <c r="BO632" s="1" t="s">
        <v>74</v>
      </c>
      <c r="BP632" s="1" t="s">
        <v>74</v>
      </c>
      <c r="BQ632" s="1" t="s">
        <v>74</v>
      </c>
      <c r="BR632" s="1" t="s">
        <v>74</v>
      </c>
      <c r="BS632" s="1" t="s">
        <v>5389</v>
      </c>
      <c r="BT632" s="1" t="str">
        <f>HYPERLINK("https%3A%2F%2Fwww.webofscience.com%2Fwos%2Fwoscc%2Ffull-record%2FWOS:000608876200001","View Full Record in Web of Science")</f>
        <v>View Full Record in Web of Science</v>
      </c>
    </row>
    <row r="633" ht="12.75" customHeight="1">
      <c r="A633" s="1" t="s">
        <v>454</v>
      </c>
      <c r="B633" s="1" t="s">
        <v>3868</v>
      </c>
      <c r="C633" s="1" t="s">
        <v>3868</v>
      </c>
      <c r="D633" s="1" t="s">
        <v>74</v>
      </c>
      <c r="E633" s="1" t="s">
        <v>74</v>
      </c>
      <c r="F633" s="1" t="s">
        <v>3869</v>
      </c>
      <c r="G633" s="1" t="s">
        <v>3868</v>
      </c>
      <c r="H633" s="1" t="s">
        <v>74</v>
      </c>
      <c r="I633" s="1" t="s">
        <v>5390</v>
      </c>
      <c r="J633" s="1" t="s">
        <v>3871</v>
      </c>
      <c r="K633" s="1" t="s">
        <v>74</v>
      </c>
      <c r="L633" s="1" t="s">
        <v>74</v>
      </c>
      <c r="M633" s="1" t="s">
        <v>74</v>
      </c>
      <c r="N633" s="1" t="s">
        <v>74</v>
      </c>
      <c r="O633" s="1" t="s">
        <v>74</v>
      </c>
      <c r="P633" s="1" t="s">
        <v>74</v>
      </c>
      <c r="Q633" s="1" t="s">
        <v>74</v>
      </c>
      <c r="R633" s="1" t="s">
        <v>74</v>
      </c>
      <c r="S633" s="1" t="s">
        <v>74</v>
      </c>
      <c r="T633" s="1" t="s">
        <v>74</v>
      </c>
      <c r="U633" s="1" t="s">
        <v>74</v>
      </c>
      <c r="V633" s="1" t="s">
        <v>74</v>
      </c>
      <c r="W633" s="1" t="s">
        <v>74</v>
      </c>
      <c r="X633" s="1" t="s">
        <v>74</v>
      </c>
      <c r="Y633" s="1" t="s">
        <v>74</v>
      </c>
      <c r="Z633" s="1" t="s">
        <v>74</v>
      </c>
      <c r="AA633" s="1" t="s">
        <v>74</v>
      </c>
      <c r="AB633" s="1" t="s">
        <v>74</v>
      </c>
      <c r="AC633" s="1" t="s">
        <v>74</v>
      </c>
      <c r="AD633" s="1" t="s">
        <v>74</v>
      </c>
      <c r="AE633" s="1" t="s">
        <v>74</v>
      </c>
      <c r="AF633" s="1" t="s">
        <v>74</v>
      </c>
      <c r="AG633" s="1" t="s">
        <v>74</v>
      </c>
      <c r="AH633" s="1" t="s">
        <v>74</v>
      </c>
      <c r="AI633" s="1" t="s">
        <v>74</v>
      </c>
      <c r="AJ633" s="1" t="s">
        <v>74</v>
      </c>
      <c r="AK633" s="1" t="s">
        <v>74</v>
      </c>
      <c r="AL633" s="1" t="s">
        <v>74</v>
      </c>
      <c r="AM633" s="1" t="s">
        <v>74</v>
      </c>
      <c r="AN633" s="1" t="s">
        <v>74</v>
      </c>
      <c r="AO633" s="1" t="s">
        <v>74</v>
      </c>
      <c r="AP633" s="1" t="s">
        <v>74</v>
      </c>
      <c r="AQ633" s="1" t="s">
        <v>3872</v>
      </c>
      <c r="AR633" s="1" t="s">
        <v>74</v>
      </c>
      <c r="AS633" s="1" t="s">
        <v>74</v>
      </c>
      <c r="AT633" s="1" t="s">
        <v>74</v>
      </c>
      <c r="AU633" s="1">
        <v>2018.0</v>
      </c>
      <c r="AV633" s="1" t="s">
        <v>74</v>
      </c>
      <c r="AW633" s="1" t="s">
        <v>74</v>
      </c>
      <c r="AX633" s="1" t="s">
        <v>74</v>
      </c>
      <c r="AY633" s="1" t="s">
        <v>74</v>
      </c>
      <c r="AZ633" s="1" t="s">
        <v>74</v>
      </c>
      <c r="BA633" s="1" t="s">
        <v>74</v>
      </c>
      <c r="BB633" s="1">
        <v>13.0</v>
      </c>
      <c r="BC633" s="1">
        <v>26.0</v>
      </c>
      <c r="BD633" s="1" t="s">
        <v>74</v>
      </c>
      <c r="BE633" s="1" t="s">
        <v>74</v>
      </c>
      <c r="BF633" s="1" t="s">
        <v>74</v>
      </c>
      <c r="BG633" s="1" t="s">
        <v>74</v>
      </c>
      <c r="BH633" s="1" t="s">
        <v>74</v>
      </c>
      <c r="BI633" s="1" t="s">
        <v>74</v>
      </c>
      <c r="BJ633" s="1" t="s">
        <v>74</v>
      </c>
      <c r="BK633" s="1" t="s">
        <v>74</v>
      </c>
      <c r="BL633" s="1" t="s">
        <v>74</v>
      </c>
      <c r="BM633" s="1" t="s">
        <v>74</v>
      </c>
      <c r="BN633" s="1" t="s">
        <v>74</v>
      </c>
      <c r="BO633" s="1" t="s">
        <v>74</v>
      </c>
      <c r="BP633" s="1" t="s">
        <v>74</v>
      </c>
      <c r="BQ633" s="1" t="s">
        <v>74</v>
      </c>
      <c r="BR633" s="1" t="s">
        <v>74</v>
      </c>
      <c r="BS633" s="1" t="s">
        <v>5391</v>
      </c>
      <c r="BT633" s="1" t="str">
        <f>HYPERLINK("https%3A%2F%2Fwww.webofscience.com%2Fwos%2Fwoscc%2Ffull-record%2FWOS:000608876200002","View Full Record in Web of Science")</f>
        <v>View Full Record in Web of Science</v>
      </c>
    </row>
    <row r="634" ht="12.75" customHeight="1">
      <c r="A634" s="1" t="s">
        <v>454</v>
      </c>
      <c r="B634" s="1" t="s">
        <v>3868</v>
      </c>
      <c r="C634" s="1" t="s">
        <v>3868</v>
      </c>
      <c r="D634" s="1" t="s">
        <v>74</v>
      </c>
      <c r="E634" s="1" t="s">
        <v>74</v>
      </c>
      <c r="F634" s="1" t="s">
        <v>3869</v>
      </c>
      <c r="G634" s="1" t="s">
        <v>3868</v>
      </c>
      <c r="H634" s="1" t="s">
        <v>74</v>
      </c>
      <c r="I634" s="1" t="s">
        <v>5392</v>
      </c>
      <c r="J634" s="1" t="s">
        <v>3871</v>
      </c>
      <c r="K634" s="1" t="s">
        <v>74</v>
      </c>
      <c r="L634" s="1" t="s">
        <v>74</v>
      </c>
      <c r="M634" s="1" t="s">
        <v>74</v>
      </c>
      <c r="N634" s="1" t="s">
        <v>74</v>
      </c>
      <c r="O634" s="1" t="s">
        <v>74</v>
      </c>
      <c r="P634" s="1" t="s">
        <v>74</v>
      </c>
      <c r="Q634" s="1" t="s">
        <v>74</v>
      </c>
      <c r="R634" s="1" t="s">
        <v>74</v>
      </c>
      <c r="S634" s="1" t="s">
        <v>74</v>
      </c>
      <c r="T634" s="1" t="s">
        <v>74</v>
      </c>
      <c r="U634" s="1" t="s">
        <v>74</v>
      </c>
      <c r="V634" s="1" t="s">
        <v>74</v>
      </c>
      <c r="W634" s="1" t="s">
        <v>74</v>
      </c>
      <c r="X634" s="1" t="s">
        <v>74</v>
      </c>
      <c r="Y634" s="1" t="s">
        <v>74</v>
      </c>
      <c r="Z634" s="1" t="s">
        <v>74</v>
      </c>
      <c r="AA634" s="1" t="s">
        <v>74</v>
      </c>
      <c r="AB634" s="1" t="s">
        <v>74</v>
      </c>
      <c r="AC634" s="1" t="s">
        <v>74</v>
      </c>
      <c r="AD634" s="1" t="s">
        <v>74</v>
      </c>
      <c r="AE634" s="1" t="s">
        <v>74</v>
      </c>
      <c r="AF634" s="1" t="s">
        <v>74</v>
      </c>
      <c r="AG634" s="1" t="s">
        <v>74</v>
      </c>
      <c r="AH634" s="1" t="s">
        <v>74</v>
      </c>
      <c r="AI634" s="1" t="s">
        <v>74</v>
      </c>
      <c r="AJ634" s="1" t="s">
        <v>74</v>
      </c>
      <c r="AK634" s="1" t="s">
        <v>74</v>
      </c>
      <c r="AL634" s="1" t="s">
        <v>74</v>
      </c>
      <c r="AM634" s="1" t="s">
        <v>74</v>
      </c>
      <c r="AN634" s="1" t="s">
        <v>74</v>
      </c>
      <c r="AO634" s="1" t="s">
        <v>74</v>
      </c>
      <c r="AP634" s="1" t="s">
        <v>74</v>
      </c>
      <c r="AQ634" s="1" t="s">
        <v>3872</v>
      </c>
      <c r="AR634" s="1" t="s">
        <v>74</v>
      </c>
      <c r="AS634" s="1" t="s">
        <v>74</v>
      </c>
      <c r="AT634" s="1" t="s">
        <v>74</v>
      </c>
      <c r="AU634" s="1">
        <v>2018.0</v>
      </c>
      <c r="AV634" s="1" t="s">
        <v>74</v>
      </c>
      <c r="AW634" s="1" t="s">
        <v>74</v>
      </c>
      <c r="AX634" s="1" t="s">
        <v>74</v>
      </c>
      <c r="AY634" s="1" t="s">
        <v>74</v>
      </c>
      <c r="AZ634" s="1" t="s">
        <v>74</v>
      </c>
      <c r="BA634" s="1" t="s">
        <v>74</v>
      </c>
      <c r="BB634" s="1">
        <v>109.0</v>
      </c>
      <c r="BC634" s="1">
        <v>162.0</v>
      </c>
      <c r="BD634" s="1" t="s">
        <v>74</v>
      </c>
      <c r="BE634" s="1" t="s">
        <v>74</v>
      </c>
      <c r="BF634" s="1" t="s">
        <v>74</v>
      </c>
      <c r="BG634" s="1" t="s">
        <v>74</v>
      </c>
      <c r="BH634" s="1" t="s">
        <v>74</v>
      </c>
      <c r="BI634" s="1" t="s">
        <v>74</v>
      </c>
      <c r="BJ634" s="1" t="s">
        <v>74</v>
      </c>
      <c r="BK634" s="1" t="s">
        <v>74</v>
      </c>
      <c r="BL634" s="1" t="s">
        <v>74</v>
      </c>
      <c r="BM634" s="1" t="s">
        <v>74</v>
      </c>
      <c r="BN634" s="1" t="s">
        <v>74</v>
      </c>
      <c r="BO634" s="1" t="s">
        <v>74</v>
      </c>
      <c r="BP634" s="1" t="s">
        <v>74</v>
      </c>
      <c r="BQ634" s="1" t="s">
        <v>74</v>
      </c>
      <c r="BR634" s="1" t="s">
        <v>74</v>
      </c>
      <c r="BS634" s="1" t="s">
        <v>5393</v>
      </c>
      <c r="BT634" s="1" t="str">
        <f>HYPERLINK("https%3A%2F%2Fwww.webofscience.com%2Fwos%2Fwoscc%2Ffull-record%2FWOS:000608876200005","View Full Record in Web of Science")</f>
        <v>View Full Record in Web of Science</v>
      </c>
    </row>
    <row r="635" ht="12.75" customHeight="1">
      <c r="A635" s="1" t="s">
        <v>72</v>
      </c>
      <c r="B635" s="1" t="s">
        <v>5394</v>
      </c>
      <c r="C635" s="1" t="s">
        <v>74</v>
      </c>
      <c r="D635" s="1" t="s">
        <v>74</v>
      </c>
      <c r="E635" s="1" t="s">
        <v>74</v>
      </c>
      <c r="F635" s="1" t="s">
        <v>5395</v>
      </c>
      <c r="G635" s="1" t="s">
        <v>74</v>
      </c>
      <c r="H635" s="1" t="s">
        <v>74</v>
      </c>
      <c r="I635" s="1" t="s">
        <v>5396</v>
      </c>
      <c r="J635" s="1" t="s">
        <v>5397</v>
      </c>
      <c r="K635" s="1" t="s">
        <v>74</v>
      </c>
      <c r="L635" s="1" t="s">
        <v>74</v>
      </c>
      <c r="M635" s="1" t="s">
        <v>74</v>
      </c>
      <c r="N635" s="1" t="s">
        <v>74</v>
      </c>
      <c r="O635" s="1" t="s">
        <v>74</v>
      </c>
      <c r="P635" s="1" t="s">
        <v>74</v>
      </c>
      <c r="Q635" s="1" t="s">
        <v>74</v>
      </c>
      <c r="R635" s="1" t="s">
        <v>74</v>
      </c>
      <c r="S635" s="1" t="s">
        <v>74</v>
      </c>
      <c r="T635" s="1" t="s">
        <v>74</v>
      </c>
      <c r="U635" s="1" t="s">
        <v>74</v>
      </c>
      <c r="V635" s="1" t="s">
        <v>5398</v>
      </c>
      <c r="W635" s="1" t="s">
        <v>74</v>
      </c>
      <c r="X635" s="1" t="s">
        <v>74</v>
      </c>
      <c r="Y635" s="1" t="s">
        <v>74</v>
      </c>
      <c r="Z635" s="1" t="s">
        <v>74</v>
      </c>
      <c r="AA635" s="1" t="s">
        <v>74</v>
      </c>
      <c r="AB635" s="1" t="s">
        <v>74</v>
      </c>
      <c r="AC635" s="1" t="s">
        <v>74</v>
      </c>
      <c r="AD635" s="1" t="s">
        <v>74</v>
      </c>
      <c r="AE635" s="1" t="s">
        <v>74</v>
      </c>
      <c r="AF635" s="1" t="s">
        <v>74</v>
      </c>
      <c r="AG635" s="1" t="s">
        <v>74</v>
      </c>
      <c r="AH635" s="1" t="s">
        <v>74</v>
      </c>
      <c r="AI635" s="1" t="s">
        <v>74</v>
      </c>
      <c r="AJ635" s="1" t="s">
        <v>74</v>
      </c>
      <c r="AK635" s="1" t="s">
        <v>74</v>
      </c>
      <c r="AL635" s="1" t="s">
        <v>74</v>
      </c>
      <c r="AM635" s="1" t="s">
        <v>74</v>
      </c>
      <c r="AN635" s="1" t="s">
        <v>74</v>
      </c>
      <c r="AO635" s="1" t="s">
        <v>5399</v>
      </c>
      <c r="AP635" s="1" t="s">
        <v>74</v>
      </c>
      <c r="AQ635" s="1" t="s">
        <v>74</v>
      </c>
      <c r="AR635" s="1" t="s">
        <v>74</v>
      </c>
      <c r="AS635" s="1" t="s">
        <v>74</v>
      </c>
      <c r="AT635" s="1" t="s">
        <v>74</v>
      </c>
      <c r="AU635" s="1">
        <v>2017.0</v>
      </c>
      <c r="AV635" s="1">
        <v>58.0</v>
      </c>
      <c r="AW635" s="1">
        <v>1.0</v>
      </c>
      <c r="AX635" s="1" t="s">
        <v>74</v>
      </c>
      <c r="AY635" s="1" t="s">
        <v>74</v>
      </c>
      <c r="AZ635" s="1" t="s">
        <v>74</v>
      </c>
      <c r="BA635" s="1" t="s">
        <v>74</v>
      </c>
      <c r="BB635" s="1">
        <v>163.0</v>
      </c>
      <c r="BC635" s="1">
        <v>188.0</v>
      </c>
      <c r="BD635" s="1" t="s">
        <v>74</v>
      </c>
      <c r="BE635" s="1" t="s">
        <v>74</v>
      </c>
      <c r="BF635" s="1" t="s">
        <v>74</v>
      </c>
      <c r="BG635" s="1" t="s">
        <v>74</v>
      </c>
      <c r="BH635" s="1" t="s">
        <v>74</v>
      </c>
      <c r="BI635" s="1" t="s">
        <v>74</v>
      </c>
      <c r="BJ635" s="1" t="s">
        <v>74</v>
      </c>
      <c r="BK635" s="1" t="s">
        <v>74</v>
      </c>
      <c r="BL635" s="1" t="s">
        <v>74</v>
      </c>
      <c r="BM635" s="1" t="s">
        <v>74</v>
      </c>
      <c r="BN635" s="1" t="s">
        <v>74</v>
      </c>
      <c r="BO635" s="1" t="s">
        <v>74</v>
      </c>
      <c r="BP635" s="1" t="s">
        <v>74</v>
      </c>
      <c r="BQ635" s="1" t="s">
        <v>74</v>
      </c>
      <c r="BR635" s="1" t="s">
        <v>74</v>
      </c>
      <c r="BS635" s="1" t="s">
        <v>5400</v>
      </c>
      <c r="BT635" s="1" t="str">
        <f>HYPERLINK("https%3A%2F%2Fwww.webofscience.com%2Fwos%2Fwoscc%2Ffull-record%2FWOS:000405226900011","View Full Record in Web of Science")</f>
        <v>View Full Record in Web of Science</v>
      </c>
    </row>
    <row r="636" ht="12.75" customHeight="1">
      <c r="A636" s="1" t="s">
        <v>162</v>
      </c>
      <c r="B636" s="1" t="s">
        <v>5401</v>
      </c>
      <c r="C636" s="1" t="s">
        <v>74</v>
      </c>
      <c r="D636" s="1" t="s">
        <v>5402</v>
      </c>
      <c r="E636" s="1" t="s">
        <v>74</v>
      </c>
      <c r="F636" s="1" t="s">
        <v>5403</v>
      </c>
      <c r="G636" s="1" t="s">
        <v>74</v>
      </c>
      <c r="H636" s="1" t="s">
        <v>74</v>
      </c>
      <c r="I636" s="1" t="s">
        <v>5404</v>
      </c>
      <c r="J636" s="1" t="s">
        <v>5405</v>
      </c>
      <c r="K636" s="1" t="s">
        <v>5406</v>
      </c>
      <c r="L636" s="1" t="s">
        <v>74</v>
      </c>
      <c r="M636" s="1" t="s">
        <v>74</v>
      </c>
      <c r="N636" s="1" t="s">
        <v>74</v>
      </c>
      <c r="O636" s="1" t="s">
        <v>74</v>
      </c>
      <c r="P636" s="1" t="s">
        <v>74</v>
      </c>
      <c r="Q636" s="1" t="s">
        <v>74</v>
      </c>
      <c r="R636" s="1" t="s">
        <v>74</v>
      </c>
      <c r="S636" s="1" t="s">
        <v>74</v>
      </c>
      <c r="T636" s="1" t="s">
        <v>74</v>
      </c>
      <c r="U636" s="1" t="s">
        <v>74</v>
      </c>
      <c r="V636" s="1" t="s">
        <v>5407</v>
      </c>
      <c r="W636" s="1" t="s">
        <v>74</v>
      </c>
      <c r="X636" s="1" t="s">
        <v>74</v>
      </c>
      <c r="Y636" s="1" t="s">
        <v>74</v>
      </c>
      <c r="Z636" s="1" t="s">
        <v>74</v>
      </c>
      <c r="AA636" s="1" t="s">
        <v>74</v>
      </c>
      <c r="AB636" s="1" t="s">
        <v>5408</v>
      </c>
      <c r="AC636" s="1" t="s">
        <v>74</v>
      </c>
      <c r="AD636" s="1" t="s">
        <v>74</v>
      </c>
      <c r="AE636" s="1" t="s">
        <v>74</v>
      </c>
      <c r="AF636" s="1" t="s">
        <v>74</v>
      </c>
      <c r="AG636" s="1" t="s">
        <v>74</v>
      </c>
      <c r="AH636" s="1" t="s">
        <v>74</v>
      </c>
      <c r="AI636" s="1" t="s">
        <v>74</v>
      </c>
      <c r="AJ636" s="1" t="s">
        <v>74</v>
      </c>
      <c r="AK636" s="1" t="s">
        <v>74</v>
      </c>
      <c r="AL636" s="1" t="s">
        <v>74</v>
      </c>
      <c r="AM636" s="1" t="s">
        <v>74</v>
      </c>
      <c r="AN636" s="1" t="s">
        <v>74</v>
      </c>
      <c r="AO636" s="1" t="s">
        <v>3422</v>
      </c>
      <c r="AP636" s="1" t="s">
        <v>5409</v>
      </c>
      <c r="AQ636" s="1" t="s">
        <v>5410</v>
      </c>
      <c r="AR636" s="1" t="s">
        <v>74</v>
      </c>
      <c r="AS636" s="1" t="s">
        <v>74</v>
      </c>
      <c r="AT636" s="1" t="s">
        <v>74</v>
      </c>
      <c r="AU636" s="1">
        <v>2017.0</v>
      </c>
      <c r="AV636" s="1">
        <v>1015.0</v>
      </c>
      <c r="AW636" s="1" t="s">
        <v>74</v>
      </c>
      <c r="AX636" s="1" t="s">
        <v>74</v>
      </c>
      <c r="AY636" s="1" t="s">
        <v>74</v>
      </c>
      <c r="AZ636" s="1" t="s">
        <v>74</v>
      </c>
      <c r="BA636" s="1" t="s">
        <v>74</v>
      </c>
      <c r="BB636" s="1">
        <v>131.0</v>
      </c>
      <c r="BC636" s="1">
        <v>144.0</v>
      </c>
      <c r="BD636" s="1" t="s">
        <v>74</v>
      </c>
      <c r="BE636" s="1" t="s">
        <v>5411</v>
      </c>
      <c r="BF636" s="2" t="str">
        <f>HYPERLINK("http://dx.doi.org/10.1007/978-3-319-62817-2_8","http://dx.doi.org/10.1007/978-3-319-62817-2_8")</f>
        <v>http://dx.doi.org/10.1007/978-3-319-62817-2_8</v>
      </c>
      <c r="BG636" s="1" t="s">
        <v>5412</v>
      </c>
      <c r="BH636" s="1" t="s">
        <v>74</v>
      </c>
      <c r="BI636" s="1" t="s">
        <v>74</v>
      </c>
      <c r="BJ636" s="1" t="s">
        <v>74</v>
      </c>
      <c r="BK636" s="1" t="s">
        <v>74</v>
      </c>
      <c r="BL636" s="1" t="s">
        <v>74</v>
      </c>
      <c r="BM636" s="1" t="s">
        <v>74</v>
      </c>
      <c r="BN636" s="1">
        <v>2.9080025E7</v>
      </c>
      <c r="BO636" s="1" t="s">
        <v>74</v>
      </c>
      <c r="BP636" s="1" t="s">
        <v>74</v>
      </c>
      <c r="BQ636" s="1" t="s">
        <v>74</v>
      </c>
      <c r="BR636" s="1" t="s">
        <v>74</v>
      </c>
      <c r="BS636" s="1" t="s">
        <v>5413</v>
      </c>
      <c r="BT636" s="1" t="str">
        <f>HYPERLINK("https%3A%2F%2Fwww.webofscience.com%2Fwos%2Fwoscc%2Ffull-record%2FWOS:000438289100008","View Full Record in Web of Science")</f>
        <v>View Full Record in Web of Science</v>
      </c>
    </row>
    <row r="637" ht="12.75" customHeight="1">
      <c r="A637" s="1" t="s">
        <v>72</v>
      </c>
      <c r="B637" s="1" t="s">
        <v>5414</v>
      </c>
      <c r="C637" s="1" t="s">
        <v>74</v>
      </c>
      <c r="D637" s="1" t="s">
        <v>74</v>
      </c>
      <c r="E637" s="1" t="s">
        <v>74</v>
      </c>
      <c r="F637" s="1" t="s">
        <v>5415</v>
      </c>
      <c r="G637" s="1" t="s">
        <v>74</v>
      </c>
      <c r="H637" s="1" t="s">
        <v>74</v>
      </c>
      <c r="I637" s="1" t="s">
        <v>5416</v>
      </c>
      <c r="J637" s="1" t="s">
        <v>3808</v>
      </c>
      <c r="K637" s="1" t="s">
        <v>74</v>
      </c>
      <c r="L637" s="1" t="s">
        <v>74</v>
      </c>
      <c r="M637" s="1" t="s">
        <v>74</v>
      </c>
      <c r="N637" s="1" t="s">
        <v>74</v>
      </c>
      <c r="O637" s="1" t="s">
        <v>74</v>
      </c>
      <c r="P637" s="1" t="s">
        <v>74</v>
      </c>
      <c r="Q637" s="1" t="s">
        <v>74</v>
      </c>
      <c r="R637" s="1" t="s">
        <v>74</v>
      </c>
      <c r="S637" s="1" t="s">
        <v>74</v>
      </c>
      <c r="T637" s="1" t="s">
        <v>74</v>
      </c>
      <c r="U637" s="1" t="s">
        <v>74</v>
      </c>
      <c r="V637" s="1" t="s">
        <v>5417</v>
      </c>
      <c r="W637" s="1" t="s">
        <v>74</v>
      </c>
      <c r="X637" s="1" t="s">
        <v>74</v>
      </c>
      <c r="Y637" s="1" t="s">
        <v>74</v>
      </c>
      <c r="Z637" s="1" t="s">
        <v>74</v>
      </c>
      <c r="AA637" s="1" t="s">
        <v>74</v>
      </c>
      <c r="AB637" s="1" t="s">
        <v>74</v>
      </c>
      <c r="AC637" s="1" t="s">
        <v>74</v>
      </c>
      <c r="AD637" s="1" t="s">
        <v>74</v>
      </c>
      <c r="AE637" s="1" t="s">
        <v>74</v>
      </c>
      <c r="AF637" s="1" t="s">
        <v>74</v>
      </c>
      <c r="AG637" s="1" t="s">
        <v>74</v>
      </c>
      <c r="AH637" s="1" t="s">
        <v>74</v>
      </c>
      <c r="AI637" s="1" t="s">
        <v>74</v>
      </c>
      <c r="AJ637" s="1" t="s">
        <v>74</v>
      </c>
      <c r="AK637" s="1" t="s">
        <v>74</v>
      </c>
      <c r="AL637" s="1" t="s">
        <v>74</v>
      </c>
      <c r="AM637" s="1" t="s">
        <v>74</v>
      </c>
      <c r="AN637" s="1" t="s">
        <v>74</v>
      </c>
      <c r="AO637" s="1" t="s">
        <v>3810</v>
      </c>
      <c r="AP637" s="1" t="s">
        <v>3811</v>
      </c>
      <c r="AQ637" s="1" t="s">
        <v>74</v>
      </c>
      <c r="AR637" s="1" t="s">
        <v>74</v>
      </c>
      <c r="AS637" s="1" t="s">
        <v>74</v>
      </c>
      <c r="AT637" s="1" t="s">
        <v>161</v>
      </c>
      <c r="AU637" s="1">
        <v>2016.0</v>
      </c>
      <c r="AV637" s="1">
        <v>27.0</v>
      </c>
      <c r="AW637" s="1">
        <v>5.0</v>
      </c>
      <c r="AX637" s="1" t="s">
        <v>74</v>
      </c>
      <c r="AY637" s="1" t="s">
        <v>74</v>
      </c>
      <c r="AZ637" s="1" t="s">
        <v>74</v>
      </c>
      <c r="BA637" s="1" t="s">
        <v>74</v>
      </c>
      <c r="BB637" s="1">
        <v>1479.0</v>
      </c>
      <c r="BC637" s="1">
        <v>1490.0</v>
      </c>
      <c r="BD637" s="1" t="s">
        <v>74</v>
      </c>
      <c r="BE637" s="1" t="s">
        <v>5418</v>
      </c>
      <c r="BF637" s="2" t="str">
        <f>HYPERLINK("http://dx.doi.org/10.1007/s11224-016-0767-0","http://dx.doi.org/10.1007/s11224-016-0767-0")</f>
        <v>http://dx.doi.org/10.1007/s11224-016-0767-0</v>
      </c>
      <c r="BG637" s="1" t="s">
        <v>74</v>
      </c>
      <c r="BH637" s="1" t="s">
        <v>74</v>
      </c>
      <c r="BI637" s="1" t="s">
        <v>74</v>
      </c>
      <c r="BJ637" s="1" t="s">
        <v>74</v>
      </c>
      <c r="BK637" s="1" t="s">
        <v>74</v>
      </c>
      <c r="BL637" s="1" t="s">
        <v>74</v>
      </c>
      <c r="BM637" s="1" t="s">
        <v>74</v>
      </c>
      <c r="BN637" s="1" t="s">
        <v>74</v>
      </c>
      <c r="BO637" s="1" t="s">
        <v>74</v>
      </c>
      <c r="BP637" s="1" t="s">
        <v>74</v>
      </c>
      <c r="BQ637" s="1" t="s">
        <v>74</v>
      </c>
      <c r="BR637" s="1" t="s">
        <v>74</v>
      </c>
      <c r="BS637" s="1" t="s">
        <v>5419</v>
      </c>
      <c r="BT637" s="1" t="str">
        <f>HYPERLINK("https%3A%2F%2Fwww.webofscience.com%2Fwos%2Fwoscc%2Ffull-record%2FWOS:000382995000013","View Full Record in Web of Science")</f>
        <v>View Full Record in Web of Science</v>
      </c>
    </row>
    <row r="638" ht="12.75" customHeight="1">
      <c r="A638" s="1" t="s">
        <v>454</v>
      </c>
      <c r="B638" s="1" t="s">
        <v>5420</v>
      </c>
      <c r="C638" s="1" t="s">
        <v>74</v>
      </c>
      <c r="D638" s="1" t="s">
        <v>5421</v>
      </c>
      <c r="E638" s="1" t="s">
        <v>74</v>
      </c>
      <c r="F638" s="1" t="s">
        <v>5422</v>
      </c>
      <c r="G638" s="1" t="s">
        <v>74</v>
      </c>
      <c r="H638" s="1" t="s">
        <v>74</v>
      </c>
      <c r="I638" s="1" t="s">
        <v>5423</v>
      </c>
      <c r="J638" s="1" t="s">
        <v>5424</v>
      </c>
      <c r="K638" s="1" t="s">
        <v>74</v>
      </c>
      <c r="L638" s="1" t="s">
        <v>74</v>
      </c>
      <c r="M638" s="1" t="s">
        <v>74</v>
      </c>
      <c r="N638" s="1" t="s">
        <v>74</v>
      </c>
      <c r="O638" s="1" t="s">
        <v>74</v>
      </c>
      <c r="P638" s="1" t="s">
        <v>74</v>
      </c>
      <c r="Q638" s="1" t="s">
        <v>74</v>
      </c>
      <c r="R638" s="1" t="s">
        <v>74</v>
      </c>
      <c r="S638" s="1" t="s">
        <v>74</v>
      </c>
      <c r="T638" s="1" t="s">
        <v>74</v>
      </c>
      <c r="U638" s="1" t="s">
        <v>74</v>
      </c>
      <c r="V638" s="1" t="s">
        <v>74</v>
      </c>
      <c r="W638" s="1" t="s">
        <v>74</v>
      </c>
      <c r="X638" s="1" t="s">
        <v>74</v>
      </c>
      <c r="Y638" s="1" t="s">
        <v>74</v>
      </c>
      <c r="Z638" s="1" t="s">
        <v>74</v>
      </c>
      <c r="AA638" s="1" t="s">
        <v>2208</v>
      </c>
      <c r="AB638" s="1" t="s">
        <v>5425</v>
      </c>
      <c r="AC638" s="1" t="s">
        <v>74</v>
      </c>
      <c r="AD638" s="1" t="s">
        <v>74</v>
      </c>
      <c r="AE638" s="1" t="s">
        <v>74</v>
      </c>
      <c r="AF638" s="1" t="s">
        <v>74</v>
      </c>
      <c r="AG638" s="1" t="s">
        <v>74</v>
      </c>
      <c r="AH638" s="1" t="s">
        <v>74</v>
      </c>
      <c r="AI638" s="1" t="s">
        <v>74</v>
      </c>
      <c r="AJ638" s="1" t="s">
        <v>74</v>
      </c>
      <c r="AK638" s="1" t="s">
        <v>74</v>
      </c>
      <c r="AL638" s="1" t="s">
        <v>74</v>
      </c>
      <c r="AM638" s="1" t="s">
        <v>74</v>
      </c>
      <c r="AN638" s="1" t="s">
        <v>74</v>
      </c>
      <c r="AO638" s="1" t="s">
        <v>74</v>
      </c>
      <c r="AP638" s="1" t="s">
        <v>74</v>
      </c>
      <c r="AQ638" s="1" t="s">
        <v>5426</v>
      </c>
      <c r="AR638" s="1" t="s">
        <v>74</v>
      </c>
      <c r="AS638" s="1" t="s">
        <v>74</v>
      </c>
      <c r="AT638" s="1" t="s">
        <v>74</v>
      </c>
      <c r="AU638" s="1">
        <v>2016.0</v>
      </c>
      <c r="AV638" s="1" t="s">
        <v>74</v>
      </c>
      <c r="AW638" s="1" t="s">
        <v>74</v>
      </c>
      <c r="AX638" s="1" t="s">
        <v>74</v>
      </c>
      <c r="AY638" s="1" t="s">
        <v>74</v>
      </c>
      <c r="AZ638" s="1" t="s">
        <v>74</v>
      </c>
      <c r="BA638" s="1" t="s">
        <v>74</v>
      </c>
      <c r="BB638" s="1">
        <v>553.0</v>
      </c>
      <c r="BC638" s="1">
        <v>562.0</v>
      </c>
      <c r="BD638" s="1" t="s">
        <v>74</v>
      </c>
      <c r="BE638" s="1" t="s">
        <v>5427</v>
      </c>
      <c r="BF638" s="2" t="str">
        <f>HYPERLINK("http://dx.doi.org/10.1016/B978-0-12-800723-5.00045-0","http://dx.doi.org/10.1016/B978-0-12-800723-5.00045-0")</f>
        <v>http://dx.doi.org/10.1016/B978-0-12-800723-5.00045-0</v>
      </c>
      <c r="BG638" s="1" t="s">
        <v>74</v>
      </c>
      <c r="BH638" s="1" t="s">
        <v>74</v>
      </c>
      <c r="BI638" s="1" t="s">
        <v>74</v>
      </c>
      <c r="BJ638" s="1" t="s">
        <v>74</v>
      </c>
      <c r="BK638" s="1" t="s">
        <v>74</v>
      </c>
      <c r="BL638" s="1" t="s">
        <v>74</v>
      </c>
      <c r="BM638" s="1" t="s">
        <v>74</v>
      </c>
      <c r="BN638" s="1" t="s">
        <v>74</v>
      </c>
      <c r="BO638" s="1" t="s">
        <v>74</v>
      </c>
      <c r="BP638" s="1" t="s">
        <v>74</v>
      </c>
      <c r="BQ638" s="1" t="s">
        <v>74</v>
      </c>
      <c r="BR638" s="1" t="s">
        <v>74</v>
      </c>
      <c r="BS638" s="1" t="s">
        <v>5428</v>
      </c>
      <c r="BT638" s="1" t="str">
        <f>HYPERLINK("https%3A%2F%2Fwww.webofscience.com%2Fwos%2Fwoscc%2Ffull-record%2FWOS:000422877500046","View Full Record in Web of Science")</f>
        <v>View Full Record in Web of Science</v>
      </c>
    </row>
    <row r="639" ht="12.75" customHeight="1">
      <c r="A639" s="1" t="s">
        <v>72</v>
      </c>
      <c r="B639" s="1" t="s">
        <v>5429</v>
      </c>
      <c r="C639" s="1" t="s">
        <v>74</v>
      </c>
      <c r="D639" s="1" t="s">
        <v>74</v>
      </c>
      <c r="E639" s="1" t="s">
        <v>74</v>
      </c>
      <c r="F639" s="1" t="s">
        <v>5430</v>
      </c>
      <c r="G639" s="1" t="s">
        <v>74</v>
      </c>
      <c r="H639" s="1" t="s">
        <v>74</v>
      </c>
      <c r="I639" s="1" t="s">
        <v>5431</v>
      </c>
      <c r="J639" s="1" t="s">
        <v>5432</v>
      </c>
      <c r="K639" s="1" t="s">
        <v>74</v>
      </c>
      <c r="L639" s="1" t="s">
        <v>74</v>
      </c>
      <c r="M639" s="1" t="s">
        <v>74</v>
      </c>
      <c r="N639" s="1" t="s">
        <v>74</v>
      </c>
      <c r="O639" s="1" t="s">
        <v>74</v>
      </c>
      <c r="P639" s="1" t="s">
        <v>74</v>
      </c>
      <c r="Q639" s="1" t="s">
        <v>74</v>
      </c>
      <c r="R639" s="1" t="s">
        <v>74</v>
      </c>
      <c r="S639" s="1" t="s">
        <v>74</v>
      </c>
      <c r="T639" s="1" t="s">
        <v>74</v>
      </c>
      <c r="U639" s="1" t="s">
        <v>74</v>
      </c>
      <c r="V639" s="1" t="s">
        <v>5433</v>
      </c>
      <c r="W639" s="1" t="s">
        <v>74</v>
      </c>
      <c r="X639" s="1" t="s">
        <v>74</v>
      </c>
      <c r="Y639" s="1" t="s">
        <v>74</v>
      </c>
      <c r="Z639" s="1" t="s">
        <v>74</v>
      </c>
      <c r="AA639" s="1" t="s">
        <v>74</v>
      </c>
      <c r="AB639" s="1" t="s">
        <v>5434</v>
      </c>
      <c r="AC639" s="1" t="s">
        <v>74</v>
      </c>
      <c r="AD639" s="1" t="s">
        <v>74</v>
      </c>
      <c r="AE639" s="1" t="s">
        <v>74</v>
      </c>
      <c r="AF639" s="1" t="s">
        <v>74</v>
      </c>
      <c r="AG639" s="1" t="s">
        <v>74</v>
      </c>
      <c r="AH639" s="1" t="s">
        <v>74</v>
      </c>
      <c r="AI639" s="1" t="s">
        <v>74</v>
      </c>
      <c r="AJ639" s="1" t="s">
        <v>74</v>
      </c>
      <c r="AK639" s="1" t="s">
        <v>74</v>
      </c>
      <c r="AL639" s="1" t="s">
        <v>74</v>
      </c>
      <c r="AM639" s="1" t="s">
        <v>74</v>
      </c>
      <c r="AN639" s="1" t="s">
        <v>74</v>
      </c>
      <c r="AO639" s="1" t="s">
        <v>5435</v>
      </c>
      <c r="AP639" s="1" t="s">
        <v>5436</v>
      </c>
      <c r="AQ639" s="1" t="s">
        <v>74</v>
      </c>
      <c r="AR639" s="1" t="s">
        <v>74</v>
      </c>
      <c r="AS639" s="1" t="s">
        <v>74</v>
      </c>
      <c r="AT639" s="1" t="s">
        <v>299</v>
      </c>
      <c r="AU639" s="1">
        <v>2016.0</v>
      </c>
      <c r="AV639" s="1">
        <v>88.0</v>
      </c>
      <c r="AW639" s="1" t="s">
        <v>74</v>
      </c>
      <c r="AX639" s="1" t="s">
        <v>74</v>
      </c>
      <c r="AY639" s="1" t="s">
        <v>74</v>
      </c>
      <c r="AZ639" s="1" t="s">
        <v>74</v>
      </c>
      <c r="BA639" s="1" t="s">
        <v>74</v>
      </c>
      <c r="BB639" s="1">
        <v>456.0</v>
      </c>
      <c r="BC639" s="1">
        <v>464.0</v>
      </c>
      <c r="BD639" s="1" t="s">
        <v>74</v>
      </c>
      <c r="BE639" s="1" t="s">
        <v>5437</v>
      </c>
      <c r="BF639" s="2" t="str">
        <f>HYPERLINK("http://dx.doi.org/10.1016/j.enpol.2015.10.051","http://dx.doi.org/10.1016/j.enpol.2015.10.051")</f>
        <v>http://dx.doi.org/10.1016/j.enpol.2015.10.051</v>
      </c>
      <c r="BG639" s="1" t="s">
        <v>74</v>
      </c>
      <c r="BH639" s="1" t="s">
        <v>74</v>
      </c>
      <c r="BI639" s="1" t="s">
        <v>74</v>
      </c>
      <c r="BJ639" s="1" t="s">
        <v>74</v>
      </c>
      <c r="BK639" s="1" t="s">
        <v>74</v>
      </c>
      <c r="BL639" s="1" t="s">
        <v>74</v>
      </c>
      <c r="BM639" s="1" t="s">
        <v>74</v>
      </c>
      <c r="BN639" s="1" t="s">
        <v>74</v>
      </c>
      <c r="BO639" s="1" t="s">
        <v>74</v>
      </c>
      <c r="BP639" s="1" t="s">
        <v>74</v>
      </c>
      <c r="BQ639" s="1" t="s">
        <v>74</v>
      </c>
      <c r="BR639" s="1" t="s">
        <v>74</v>
      </c>
      <c r="BS639" s="1" t="s">
        <v>5438</v>
      </c>
      <c r="BT639" s="1" t="str">
        <f>HYPERLINK("https%3A%2F%2Fwww.webofscience.com%2Fwos%2Fwoscc%2Ffull-record%2FWOS:000366766700044","View Full Record in Web of Science")</f>
        <v>View Full Record in Web of Science</v>
      </c>
    </row>
    <row r="640" ht="12.75" customHeight="1">
      <c r="A640" s="1" t="s">
        <v>72</v>
      </c>
      <c r="B640" s="1" t="s">
        <v>5439</v>
      </c>
      <c r="C640" s="1" t="s">
        <v>74</v>
      </c>
      <c r="D640" s="1" t="s">
        <v>74</v>
      </c>
      <c r="E640" s="1" t="s">
        <v>74</v>
      </c>
      <c r="F640" s="1" t="s">
        <v>5440</v>
      </c>
      <c r="G640" s="1" t="s">
        <v>74</v>
      </c>
      <c r="H640" s="1" t="s">
        <v>74</v>
      </c>
      <c r="I640" s="1" t="s">
        <v>5441</v>
      </c>
      <c r="J640" s="1" t="s">
        <v>2009</v>
      </c>
      <c r="K640" s="1" t="s">
        <v>74</v>
      </c>
      <c r="L640" s="1" t="s">
        <v>74</v>
      </c>
      <c r="M640" s="1" t="s">
        <v>74</v>
      </c>
      <c r="N640" s="1" t="s">
        <v>74</v>
      </c>
      <c r="O640" s="1" t="s">
        <v>74</v>
      </c>
      <c r="P640" s="1" t="s">
        <v>74</v>
      </c>
      <c r="Q640" s="1" t="s">
        <v>74</v>
      </c>
      <c r="R640" s="1" t="s">
        <v>74</v>
      </c>
      <c r="S640" s="1" t="s">
        <v>74</v>
      </c>
      <c r="T640" s="1" t="s">
        <v>74</v>
      </c>
      <c r="U640" s="1" t="s">
        <v>74</v>
      </c>
      <c r="V640" s="1" t="s">
        <v>5442</v>
      </c>
      <c r="W640" s="1" t="s">
        <v>74</v>
      </c>
      <c r="X640" s="1" t="s">
        <v>74</v>
      </c>
      <c r="Y640" s="1" t="s">
        <v>74</v>
      </c>
      <c r="Z640" s="1" t="s">
        <v>74</v>
      </c>
      <c r="AA640" s="1" t="s">
        <v>5443</v>
      </c>
      <c r="AB640" s="1" t="s">
        <v>5444</v>
      </c>
      <c r="AC640" s="1" t="s">
        <v>74</v>
      </c>
      <c r="AD640" s="1" t="s">
        <v>74</v>
      </c>
      <c r="AE640" s="1" t="s">
        <v>74</v>
      </c>
      <c r="AF640" s="1" t="s">
        <v>74</v>
      </c>
      <c r="AG640" s="1" t="s">
        <v>74</v>
      </c>
      <c r="AH640" s="1" t="s">
        <v>74</v>
      </c>
      <c r="AI640" s="1" t="s">
        <v>74</v>
      </c>
      <c r="AJ640" s="1" t="s">
        <v>74</v>
      </c>
      <c r="AK640" s="1" t="s">
        <v>74</v>
      </c>
      <c r="AL640" s="1" t="s">
        <v>74</v>
      </c>
      <c r="AM640" s="1" t="s">
        <v>74</v>
      </c>
      <c r="AN640" s="1" t="s">
        <v>74</v>
      </c>
      <c r="AO640" s="1" t="s">
        <v>2013</v>
      </c>
      <c r="AP640" s="1" t="s">
        <v>74</v>
      </c>
      <c r="AQ640" s="1" t="s">
        <v>74</v>
      </c>
      <c r="AR640" s="1" t="s">
        <v>74</v>
      </c>
      <c r="AS640" s="1" t="s">
        <v>74</v>
      </c>
      <c r="AT640" s="1" t="s">
        <v>5445</v>
      </c>
      <c r="AU640" s="1">
        <v>2015.0</v>
      </c>
      <c r="AV640" s="1">
        <v>10.0</v>
      </c>
      <c r="AW640" s="1">
        <v>9.0</v>
      </c>
      <c r="AX640" s="1" t="s">
        <v>74</v>
      </c>
      <c r="AY640" s="1" t="s">
        <v>74</v>
      </c>
      <c r="AZ640" s="1" t="s">
        <v>74</v>
      </c>
      <c r="BA640" s="1" t="s">
        <v>74</v>
      </c>
      <c r="BB640" s="1" t="s">
        <v>74</v>
      </c>
      <c r="BC640" s="1" t="s">
        <v>74</v>
      </c>
      <c r="BD640" s="1" t="s">
        <v>5446</v>
      </c>
      <c r="BE640" s="1" t="s">
        <v>5447</v>
      </c>
      <c r="BF640" s="2" t="str">
        <f>HYPERLINK("http://dx.doi.org/10.1371/journal.pone.0137724","http://dx.doi.org/10.1371/journal.pone.0137724")</f>
        <v>http://dx.doi.org/10.1371/journal.pone.0137724</v>
      </c>
      <c r="BG640" s="1" t="s">
        <v>74</v>
      </c>
      <c r="BH640" s="1" t="s">
        <v>74</v>
      </c>
      <c r="BI640" s="1" t="s">
        <v>74</v>
      </c>
      <c r="BJ640" s="1" t="s">
        <v>74</v>
      </c>
      <c r="BK640" s="1" t="s">
        <v>74</v>
      </c>
      <c r="BL640" s="1" t="s">
        <v>74</v>
      </c>
      <c r="BM640" s="1" t="s">
        <v>74</v>
      </c>
      <c r="BN640" s="1">
        <v>2.6367182E7</v>
      </c>
      <c r="BO640" s="1" t="s">
        <v>74</v>
      </c>
      <c r="BP640" s="1" t="s">
        <v>74</v>
      </c>
      <c r="BQ640" s="1" t="s">
        <v>74</v>
      </c>
      <c r="BR640" s="1" t="s">
        <v>74</v>
      </c>
      <c r="BS640" s="1" t="s">
        <v>5448</v>
      </c>
      <c r="BT640" s="1" t="str">
        <f>HYPERLINK("https%3A%2F%2Fwww.webofscience.com%2Fwos%2Fwoscc%2Ffull-record%2FWOS:000361601100122","View Full Record in Web of Science")</f>
        <v>View Full Record in Web of Science</v>
      </c>
    </row>
    <row r="641" ht="12.75" customHeight="1">
      <c r="A641" s="1" t="s">
        <v>72</v>
      </c>
      <c r="B641" s="1" t="s">
        <v>5449</v>
      </c>
      <c r="C641" s="1" t="s">
        <v>74</v>
      </c>
      <c r="D641" s="1" t="s">
        <v>74</v>
      </c>
      <c r="E641" s="1" t="s">
        <v>74</v>
      </c>
      <c r="F641" s="1" t="s">
        <v>5450</v>
      </c>
      <c r="G641" s="1" t="s">
        <v>74</v>
      </c>
      <c r="H641" s="1" t="s">
        <v>74</v>
      </c>
      <c r="I641" s="1" t="s">
        <v>5451</v>
      </c>
      <c r="J641" s="1" t="s">
        <v>5452</v>
      </c>
      <c r="K641" s="1" t="s">
        <v>74</v>
      </c>
      <c r="L641" s="1" t="s">
        <v>74</v>
      </c>
      <c r="M641" s="1" t="s">
        <v>74</v>
      </c>
      <c r="N641" s="1" t="s">
        <v>74</v>
      </c>
      <c r="O641" s="1" t="s">
        <v>74</v>
      </c>
      <c r="P641" s="1" t="s">
        <v>74</v>
      </c>
      <c r="Q641" s="1" t="s">
        <v>74</v>
      </c>
      <c r="R641" s="1" t="s">
        <v>74</v>
      </c>
      <c r="S641" s="1" t="s">
        <v>74</v>
      </c>
      <c r="T641" s="1" t="s">
        <v>74</v>
      </c>
      <c r="U641" s="1" t="s">
        <v>74</v>
      </c>
      <c r="V641" s="1" t="s">
        <v>5453</v>
      </c>
      <c r="W641" s="1" t="s">
        <v>74</v>
      </c>
      <c r="X641" s="1" t="s">
        <v>74</v>
      </c>
      <c r="Y641" s="1" t="s">
        <v>74</v>
      </c>
      <c r="Z641" s="1" t="s">
        <v>74</v>
      </c>
      <c r="AA641" s="1" t="s">
        <v>74</v>
      </c>
      <c r="AB641" s="1" t="s">
        <v>5454</v>
      </c>
      <c r="AC641" s="1" t="s">
        <v>74</v>
      </c>
      <c r="AD641" s="1" t="s">
        <v>74</v>
      </c>
      <c r="AE641" s="1" t="s">
        <v>74</v>
      </c>
      <c r="AF641" s="1" t="s">
        <v>74</v>
      </c>
      <c r="AG641" s="1" t="s">
        <v>74</v>
      </c>
      <c r="AH641" s="1" t="s">
        <v>74</v>
      </c>
      <c r="AI641" s="1" t="s">
        <v>74</v>
      </c>
      <c r="AJ641" s="1" t="s">
        <v>74</v>
      </c>
      <c r="AK641" s="1" t="s">
        <v>74</v>
      </c>
      <c r="AL641" s="1" t="s">
        <v>74</v>
      </c>
      <c r="AM641" s="1" t="s">
        <v>74</v>
      </c>
      <c r="AN641" s="1" t="s">
        <v>74</v>
      </c>
      <c r="AO641" s="1" t="s">
        <v>5455</v>
      </c>
      <c r="AP641" s="1" t="s">
        <v>5456</v>
      </c>
      <c r="AQ641" s="1" t="s">
        <v>74</v>
      </c>
      <c r="AR641" s="1" t="s">
        <v>74</v>
      </c>
      <c r="AS641" s="1" t="s">
        <v>74</v>
      </c>
      <c r="AT641" s="1" t="s">
        <v>5457</v>
      </c>
      <c r="AU641" s="1">
        <v>2015.0</v>
      </c>
      <c r="AV641" s="1">
        <v>16.0</v>
      </c>
      <c r="AW641" s="1">
        <v>4.0</v>
      </c>
      <c r="AX641" s="1" t="s">
        <v>74</v>
      </c>
      <c r="AY641" s="1" t="s">
        <v>74</v>
      </c>
      <c r="AZ641" s="1" t="s">
        <v>74</v>
      </c>
      <c r="BA641" s="1" t="s">
        <v>74</v>
      </c>
      <c r="BB641" s="1">
        <v>596.0</v>
      </c>
      <c r="BC641" s="1">
        <v>614.0</v>
      </c>
      <c r="BD641" s="1" t="s">
        <v>74</v>
      </c>
      <c r="BE641" s="1" t="s">
        <v>5458</v>
      </c>
      <c r="BF641" s="2" t="str">
        <f>HYPERLINK("http://dx.doi.org/10.1080/1461670X.2014.922276","http://dx.doi.org/10.1080/1461670X.2014.922276")</f>
        <v>http://dx.doi.org/10.1080/1461670X.2014.922276</v>
      </c>
      <c r="BG641" s="1" t="s">
        <v>74</v>
      </c>
      <c r="BH641" s="1" t="s">
        <v>74</v>
      </c>
      <c r="BI641" s="1" t="s">
        <v>74</v>
      </c>
      <c r="BJ641" s="1" t="s">
        <v>74</v>
      </c>
      <c r="BK641" s="1" t="s">
        <v>74</v>
      </c>
      <c r="BL641" s="1" t="s">
        <v>74</v>
      </c>
      <c r="BM641" s="1" t="s">
        <v>74</v>
      </c>
      <c r="BN641" s="1" t="s">
        <v>74</v>
      </c>
      <c r="BO641" s="1" t="s">
        <v>74</v>
      </c>
      <c r="BP641" s="1" t="s">
        <v>74</v>
      </c>
      <c r="BQ641" s="1" t="s">
        <v>74</v>
      </c>
      <c r="BR641" s="1" t="s">
        <v>74</v>
      </c>
      <c r="BS641" s="1" t="s">
        <v>5459</v>
      </c>
      <c r="BT641" s="1" t="str">
        <f>HYPERLINK("https%3A%2F%2Fwww.webofscience.com%2Fwos%2Fwoscc%2Ffull-record%2FWOS:000357321700009","View Full Record in Web of Science")</f>
        <v>View Full Record in Web of Science</v>
      </c>
    </row>
    <row r="642" ht="12.75" customHeight="1">
      <c r="A642" s="1" t="s">
        <v>72</v>
      </c>
      <c r="B642" s="1" t="s">
        <v>5460</v>
      </c>
      <c r="C642" s="1" t="s">
        <v>74</v>
      </c>
      <c r="D642" s="1" t="s">
        <v>74</v>
      </c>
      <c r="E642" s="1" t="s">
        <v>74</v>
      </c>
      <c r="F642" s="1" t="s">
        <v>5461</v>
      </c>
      <c r="G642" s="1" t="s">
        <v>74</v>
      </c>
      <c r="H642" s="1" t="s">
        <v>74</v>
      </c>
      <c r="I642" s="1" t="s">
        <v>5462</v>
      </c>
      <c r="J642" s="1" t="s">
        <v>5463</v>
      </c>
      <c r="K642" s="1" t="s">
        <v>74</v>
      </c>
      <c r="L642" s="1" t="s">
        <v>74</v>
      </c>
      <c r="M642" s="1" t="s">
        <v>74</v>
      </c>
      <c r="N642" s="1" t="s">
        <v>74</v>
      </c>
      <c r="O642" s="1" t="s">
        <v>74</v>
      </c>
      <c r="P642" s="1" t="s">
        <v>74</v>
      </c>
      <c r="Q642" s="1" t="s">
        <v>74</v>
      </c>
      <c r="R642" s="1" t="s">
        <v>74</v>
      </c>
      <c r="S642" s="1" t="s">
        <v>74</v>
      </c>
      <c r="T642" s="1" t="s">
        <v>74</v>
      </c>
      <c r="U642" s="1" t="s">
        <v>74</v>
      </c>
      <c r="V642" s="1" t="s">
        <v>5464</v>
      </c>
      <c r="W642" s="1" t="s">
        <v>74</v>
      </c>
      <c r="X642" s="1" t="s">
        <v>74</v>
      </c>
      <c r="Y642" s="1" t="s">
        <v>74</v>
      </c>
      <c r="Z642" s="1" t="s">
        <v>74</v>
      </c>
      <c r="AA642" s="1" t="s">
        <v>854</v>
      </c>
      <c r="AB642" s="1" t="s">
        <v>855</v>
      </c>
      <c r="AC642" s="1" t="s">
        <v>74</v>
      </c>
      <c r="AD642" s="1" t="s">
        <v>74</v>
      </c>
      <c r="AE642" s="1" t="s">
        <v>74</v>
      </c>
      <c r="AF642" s="1" t="s">
        <v>74</v>
      </c>
      <c r="AG642" s="1" t="s">
        <v>74</v>
      </c>
      <c r="AH642" s="1" t="s">
        <v>74</v>
      </c>
      <c r="AI642" s="1" t="s">
        <v>74</v>
      </c>
      <c r="AJ642" s="1" t="s">
        <v>74</v>
      </c>
      <c r="AK642" s="1" t="s">
        <v>74</v>
      </c>
      <c r="AL642" s="1" t="s">
        <v>74</v>
      </c>
      <c r="AM642" s="1" t="s">
        <v>74</v>
      </c>
      <c r="AN642" s="1" t="s">
        <v>74</v>
      </c>
      <c r="AO642" s="1" t="s">
        <v>5465</v>
      </c>
      <c r="AP642" s="1" t="s">
        <v>5466</v>
      </c>
      <c r="AQ642" s="1" t="s">
        <v>74</v>
      </c>
      <c r="AR642" s="1" t="s">
        <v>74</v>
      </c>
      <c r="AS642" s="1" t="s">
        <v>74</v>
      </c>
      <c r="AT642" s="1" t="s">
        <v>288</v>
      </c>
      <c r="AU642" s="1">
        <v>2015.0</v>
      </c>
      <c r="AV642" s="1">
        <v>240.0</v>
      </c>
      <c r="AW642" s="1">
        <v>2.0</v>
      </c>
      <c r="AX642" s="1" t="s">
        <v>74</v>
      </c>
      <c r="AY642" s="1" t="s">
        <v>74</v>
      </c>
      <c r="AZ642" s="1" t="s">
        <v>74</v>
      </c>
      <c r="BA642" s="1" t="s">
        <v>74</v>
      </c>
      <c r="BB642" s="1">
        <v>335.0</v>
      </c>
      <c r="BC642" s="1">
        <v>343.0</v>
      </c>
      <c r="BD642" s="1" t="s">
        <v>74</v>
      </c>
      <c r="BE642" s="1" t="s">
        <v>5467</v>
      </c>
      <c r="BF642" s="2" t="str">
        <f>HYPERLINK("http://dx.doi.org/10.1007/s00217-014-2333-6","http://dx.doi.org/10.1007/s00217-014-2333-6")</f>
        <v>http://dx.doi.org/10.1007/s00217-014-2333-6</v>
      </c>
      <c r="BG642" s="1" t="s">
        <v>74</v>
      </c>
      <c r="BH642" s="1" t="s">
        <v>74</v>
      </c>
      <c r="BI642" s="1" t="s">
        <v>74</v>
      </c>
      <c r="BJ642" s="1" t="s">
        <v>74</v>
      </c>
      <c r="BK642" s="1" t="s">
        <v>74</v>
      </c>
      <c r="BL642" s="1" t="s">
        <v>74</v>
      </c>
      <c r="BM642" s="1" t="s">
        <v>74</v>
      </c>
      <c r="BN642" s="1" t="s">
        <v>74</v>
      </c>
      <c r="BO642" s="1" t="s">
        <v>74</v>
      </c>
      <c r="BP642" s="1" t="s">
        <v>74</v>
      </c>
      <c r="BQ642" s="1" t="s">
        <v>74</v>
      </c>
      <c r="BR642" s="1" t="s">
        <v>74</v>
      </c>
      <c r="BS642" s="1" t="s">
        <v>5468</v>
      </c>
      <c r="BT642" s="1" t="str">
        <f>HYPERLINK("https%3A%2F%2Fwww.webofscience.com%2Fwos%2Fwoscc%2Ffull-record%2FWOS:000347824600009","View Full Record in Web of Science")</f>
        <v>View Full Record in Web of Science</v>
      </c>
    </row>
    <row r="643" ht="12.75" customHeight="1">
      <c r="A643" s="1" t="s">
        <v>91</v>
      </c>
      <c r="B643" s="1" t="s">
        <v>2267</v>
      </c>
      <c r="C643" s="1" t="s">
        <v>74</v>
      </c>
      <c r="D643" s="1" t="s">
        <v>5469</v>
      </c>
      <c r="E643" s="1" t="s">
        <v>74</v>
      </c>
      <c r="F643" s="1" t="s">
        <v>5470</v>
      </c>
      <c r="G643" s="1" t="s">
        <v>74</v>
      </c>
      <c r="H643" s="1" t="s">
        <v>74</v>
      </c>
      <c r="I643" s="1" t="s">
        <v>5471</v>
      </c>
      <c r="J643" s="1" t="s">
        <v>5472</v>
      </c>
      <c r="K643" s="1" t="s">
        <v>5473</v>
      </c>
      <c r="L643" s="1" t="s">
        <v>74</v>
      </c>
      <c r="M643" s="1" t="s">
        <v>74</v>
      </c>
      <c r="N643" s="1" t="s">
        <v>74</v>
      </c>
      <c r="O643" s="1" t="s">
        <v>5474</v>
      </c>
      <c r="P643" s="1" t="s">
        <v>5475</v>
      </c>
      <c r="Q643" s="1" t="s">
        <v>5476</v>
      </c>
      <c r="R643" s="1" t="s">
        <v>74</v>
      </c>
      <c r="S643" s="1" t="s">
        <v>74</v>
      </c>
      <c r="T643" s="1" t="s">
        <v>74</v>
      </c>
      <c r="U643" s="1" t="s">
        <v>74</v>
      </c>
      <c r="V643" s="1" t="s">
        <v>5477</v>
      </c>
      <c r="W643" s="1" t="s">
        <v>74</v>
      </c>
      <c r="X643" s="1" t="s">
        <v>74</v>
      </c>
      <c r="Y643" s="1" t="s">
        <v>74</v>
      </c>
      <c r="Z643" s="1" t="s">
        <v>74</v>
      </c>
      <c r="AA643" s="1" t="s">
        <v>74</v>
      </c>
      <c r="AB643" s="1" t="s">
        <v>74</v>
      </c>
      <c r="AC643" s="1" t="s">
        <v>74</v>
      </c>
      <c r="AD643" s="1" t="s">
        <v>74</v>
      </c>
      <c r="AE643" s="1" t="s">
        <v>74</v>
      </c>
      <c r="AF643" s="1" t="s">
        <v>74</v>
      </c>
      <c r="AG643" s="1" t="s">
        <v>74</v>
      </c>
      <c r="AH643" s="1" t="s">
        <v>74</v>
      </c>
      <c r="AI643" s="1" t="s">
        <v>74</v>
      </c>
      <c r="AJ643" s="1" t="s">
        <v>74</v>
      </c>
      <c r="AK643" s="1" t="s">
        <v>74</v>
      </c>
      <c r="AL643" s="1" t="s">
        <v>74</v>
      </c>
      <c r="AM643" s="1" t="s">
        <v>74</v>
      </c>
      <c r="AN643" s="1" t="s">
        <v>74</v>
      </c>
      <c r="AO643" s="1" t="s">
        <v>5478</v>
      </c>
      <c r="AP643" s="1" t="s">
        <v>74</v>
      </c>
      <c r="AQ643" s="1" t="s">
        <v>74</v>
      </c>
      <c r="AR643" s="1" t="s">
        <v>74</v>
      </c>
      <c r="AS643" s="1" t="s">
        <v>74</v>
      </c>
      <c r="AT643" s="1" t="s">
        <v>74</v>
      </c>
      <c r="AU643" s="1">
        <v>2015.0</v>
      </c>
      <c r="AV643" s="1">
        <v>196.0</v>
      </c>
      <c r="AW643" s="1" t="s">
        <v>74</v>
      </c>
      <c r="AX643" s="1" t="s">
        <v>74</v>
      </c>
      <c r="AY643" s="1" t="s">
        <v>74</v>
      </c>
      <c r="AZ643" s="1" t="s">
        <v>74</v>
      </c>
      <c r="BA643" s="1" t="s">
        <v>74</v>
      </c>
      <c r="BB643" s="1">
        <v>30.0</v>
      </c>
      <c r="BC643" s="1">
        <v>34.0</v>
      </c>
      <c r="BD643" s="1" t="s">
        <v>74</v>
      </c>
      <c r="BE643" s="1" t="s">
        <v>5479</v>
      </c>
      <c r="BF643" s="2" t="str">
        <f>HYPERLINK("http://dx.doi.org/10.1016/j.sbspro.2015.07.006","http://dx.doi.org/10.1016/j.sbspro.2015.07.006")</f>
        <v>http://dx.doi.org/10.1016/j.sbspro.2015.07.006</v>
      </c>
      <c r="BG643" s="1" t="s">
        <v>74</v>
      </c>
      <c r="BH643" s="1" t="s">
        <v>74</v>
      </c>
      <c r="BI643" s="1" t="s">
        <v>74</v>
      </c>
      <c r="BJ643" s="1" t="s">
        <v>74</v>
      </c>
      <c r="BK643" s="1" t="s">
        <v>74</v>
      </c>
      <c r="BL643" s="1" t="s">
        <v>74</v>
      </c>
      <c r="BM643" s="1" t="s">
        <v>74</v>
      </c>
      <c r="BN643" s="1" t="s">
        <v>74</v>
      </c>
      <c r="BO643" s="1" t="s">
        <v>74</v>
      </c>
      <c r="BP643" s="1" t="s">
        <v>74</v>
      </c>
      <c r="BQ643" s="1" t="s">
        <v>74</v>
      </c>
      <c r="BR643" s="1" t="s">
        <v>74</v>
      </c>
      <c r="BS643" s="1" t="s">
        <v>5480</v>
      </c>
      <c r="BT643" s="1" t="str">
        <f>HYPERLINK("https%3A%2F%2Fwww.webofscience.com%2Fwos%2Fwoscc%2Ffull-record%2FWOS:000380617900006","View Full Record in Web of Science")</f>
        <v>View Full Record in Web of Science</v>
      </c>
    </row>
    <row r="644" ht="12.75" customHeight="1">
      <c r="A644" s="1" t="s">
        <v>72</v>
      </c>
      <c r="B644" s="1" t="s">
        <v>5481</v>
      </c>
      <c r="C644" s="1" t="s">
        <v>74</v>
      </c>
      <c r="D644" s="1" t="s">
        <v>74</v>
      </c>
      <c r="E644" s="1" t="s">
        <v>74</v>
      </c>
      <c r="F644" s="1" t="s">
        <v>5482</v>
      </c>
      <c r="G644" s="1" t="s">
        <v>74</v>
      </c>
      <c r="H644" s="1" t="s">
        <v>74</v>
      </c>
      <c r="I644" s="1" t="s">
        <v>5483</v>
      </c>
      <c r="J644" s="1" t="s">
        <v>5484</v>
      </c>
      <c r="K644" s="1" t="s">
        <v>74</v>
      </c>
      <c r="L644" s="1" t="s">
        <v>74</v>
      </c>
      <c r="M644" s="1" t="s">
        <v>74</v>
      </c>
      <c r="N644" s="1" t="s">
        <v>74</v>
      </c>
      <c r="O644" s="1" t="s">
        <v>74</v>
      </c>
      <c r="P644" s="1" t="s">
        <v>74</v>
      </c>
      <c r="Q644" s="1" t="s">
        <v>74</v>
      </c>
      <c r="R644" s="1" t="s">
        <v>74</v>
      </c>
      <c r="S644" s="1" t="s">
        <v>74</v>
      </c>
      <c r="T644" s="1" t="s">
        <v>74</v>
      </c>
      <c r="U644" s="1" t="s">
        <v>74</v>
      </c>
      <c r="V644" s="1" t="s">
        <v>5485</v>
      </c>
      <c r="W644" s="1" t="s">
        <v>74</v>
      </c>
      <c r="X644" s="1" t="s">
        <v>74</v>
      </c>
      <c r="Y644" s="1" t="s">
        <v>74</v>
      </c>
      <c r="Z644" s="1" t="s">
        <v>74</v>
      </c>
      <c r="AA644" s="1" t="s">
        <v>5486</v>
      </c>
      <c r="AB644" s="1" t="s">
        <v>5487</v>
      </c>
      <c r="AC644" s="1" t="s">
        <v>74</v>
      </c>
      <c r="AD644" s="1" t="s">
        <v>74</v>
      </c>
      <c r="AE644" s="1" t="s">
        <v>74</v>
      </c>
      <c r="AF644" s="1" t="s">
        <v>74</v>
      </c>
      <c r="AG644" s="1" t="s">
        <v>74</v>
      </c>
      <c r="AH644" s="1" t="s">
        <v>74</v>
      </c>
      <c r="AI644" s="1" t="s">
        <v>74</v>
      </c>
      <c r="AJ644" s="1" t="s">
        <v>74</v>
      </c>
      <c r="AK644" s="1" t="s">
        <v>74</v>
      </c>
      <c r="AL644" s="1" t="s">
        <v>74</v>
      </c>
      <c r="AM644" s="1" t="s">
        <v>74</v>
      </c>
      <c r="AN644" s="1" t="s">
        <v>74</v>
      </c>
      <c r="AO644" s="1" t="s">
        <v>5488</v>
      </c>
      <c r="AP644" s="1" t="s">
        <v>5489</v>
      </c>
      <c r="AQ644" s="1" t="s">
        <v>74</v>
      </c>
      <c r="AR644" s="1" t="s">
        <v>74</v>
      </c>
      <c r="AS644" s="1" t="s">
        <v>74</v>
      </c>
      <c r="AT644" s="1" t="s">
        <v>205</v>
      </c>
      <c r="AU644" s="1">
        <v>2014.0</v>
      </c>
      <c r="AV644" s="1">
        <v>80.0</v>
      </c>
      <c r="AW644" s="1">
        <v>22.0</v>
      </c>
      <c r="AX644" s="1" t="s">
        <v>74</v>
      </c>
      <c r="AY644" s="1" t="s">
        <v>74</v>
      </c>
      <c r="AZ644" s="1" t="s">
        <v>74</v>
      </c>
      <c r="BA644" s="1" t="s">
        <v>74</v>
      </c>
      <c r="BB644" s="1">
        <v>7061.0</v>
      </c>
      <c r="BC644" s="1">
        <v>7070.0</v>
      </c>
      <c r="BD644" s="1" t="s">
        <v>74</v>
      </c>
      <c r="BE644" s="1" t="s">
        <v>5490</v>
      </c>
      <c r="BF644" s="2" t="str">
        <f>HYPERLINK("http://dx.doi.org/10.1128/AEM.02207-14","http://dx.doi.org/10.1128/AEM.02207-14")</f>
        <v>http://dx.doi.org/10.1128/AEM.02207-14</v>
      </c>
      <c r="BG644" s="1" t="s">
        <v>74</v>
      </c>
      <c r="BH644" s="1" t="s">
        <v>74</v>
      </c>
      <c r="BI644" s="1" t="s">
        <v>74</v>
      </c>
      <c r="BJ644" s="1" t="s">
        <v>74</v>
      </c>
      <c r="BK644" s="1" t="s">
        <v>74</v>
      </c>
      <c r="BL644" s="1" t="s">
        <v>74</v>
      </c>
      <c r="BM644" s="1" t="s">
        <v>74</v>
      </c>
      <c r="BN644" s="1">
        <v>2.5193E7</v>
      </c>
      <c r="BO644" s="1" t="s">
        <v>74</v>
      </c>
      <c r="BP644" s="1" t="s">
        <v>74</v>
      </c>
      <c r="BQ644" s="1" t="s">
        <v>74</v>
      </c>
      <c r="BR644" s="1" t="s">
        <v>74</v>
      </c>
      <c r="BS644" s="1" t="s">
        <v>5491</v>
      </c>
      <c r="BT644" s="1" t="str">
        <f>HYPERLINK("https%3A%2F%2Fwww.webofscience.com%2Fwos%2Fwoscc%2Ffull-record%2FWOS:000344161700023","View Full Record in Web of Science")</f>
        <v>View Full Record in Web of Science</v>
      </c>
    </row>
    <row r="645" ht="12.75" customHeight="1">
      <c r="A645" s="1" t="s">
        <v>72</v>
      </c>
      <c r="B645" s="1" t="s">
        <v>1277</v>
      </c>
      <c r="C645" s="1" t="s">
        <v>74</v>
      </c>
      <c r="D645" s="1" t="s">
        <v>74</v>
      </c>
      <c r="E645" s="1" t="s">
        <v>74</v>
      </c>
      <c r="F645" s="1" t="s">
        <v>1278</v>
      </c>
      <c r="G645" s="1" t="s">
        <v>74</v>
      </c>
      <c r="H645" s="1" t="s">
        <v>74</v>
      </c>
      <c r="I645" s="1" t="s">
        <v>5492</v>
      </c>
      <c r="J645" s="1" t="s">
        <v>5493</v>
      </c>
      <c r="K645" s="1" t="s">
        <v>74</v>
      </c>
      <c r="L645" s="1" t="s">
        <v>74</v>
      </c>
      <c r="M645" s="1" t="s">
        <v>74</v>
      </c>
      <c r="N645" s="1" t="s">
        <v>74</v>
      </c>
      <c r="O645" s="1" t="s">
        <v>74</v>
      </c>
      <c r="P645" s="1" t="s">
        <v>74</v>
      </c>
      <c r="Q645" s="1" t="s">
        <v>74</v>
      </c>
      <c r="R645" s="1" t="s">
        <v>74</v>
      </c>
      <c r="S645" s="1" t="s">
        <v>74</v>
      </c>
      <c r="T645" s="1" t="s">
        <v>74</v>
      </c>
      <c r="U645" s="1" t="s">
        <v>74</v>
      </c>
      <c r="V645" s="1" t="s">
        <v>74</v>
      </c>
      <c r="W645" s="1" t="s">
        <v>74</v>
      </c>
      <c r="X645" s="1" t="s">
        <v>74</v>
      </c>
      <c r="Y645" s="1" t="s">
        <v>74</v>
      </c>
      <c r="Z645" s="1" t="s">
        <v>74</v>
      </c>
      <c r="AA645" s="1" t="s">
        <v>74</v>
      </c>
      <c r="AB645" s="1" t="s">
        <v>74</v>
      </c>
      <c r="AC645" s="1" t="s">
        <v>74</v>
      </c>
      <c r="AD645" s="1" t="s">
        <v>74</v>
      </c>
      <c r="AE645" s="1" t="s">
        <v>74</v>
      </c>
      <c r="AF645" s="1" t="s">
        <v>74</v>
      </c>
      <c r="AG645" s="1" t="s">
        <v>74</v>
      </c>
      <c r="AH645" s="1" t="s">
        <v>74</v>
      </c>
      <c r="AI645" s="1" t="s">
        <v>74</v>
      </c>
      <c r="AJ645" s="1" t="s">
        <v>74</v>
      </c>
      <c r="AK645" s="1" t="s">
        <v>74</v>
      </c>
      <c r="AL645" s="1" t="s">
        <v>74</v>
      </c>
      <c r="AM645" s="1" t="s">
        <v>74</v>
      </c>
      <c r="AN645" s="1" t="s">
        <v>74</v>
      </c>
      <c r="AO645" s="1" t="s">
        <v>5494</v>
      </c>
      <c r="AP645" s="1" t="s">
        <v>5495</v>
      </c>
      <c r="AQ645" s="1" t="s">
        <v>74</v>
      </c>
      <c r="AR645" s="1" t="s">
        <v>74</v>
      </c>
      <c r="AS645" s="1" t="s">
        <v>74</v>
      </c>
      <c r="AT645" s="1" t="s">
        <v>2183</v>
      </c>
      <c r="AU645" s="1">
        <v>2014.0</v>
      </c>
      <c r="AV645" s="1">
        <v>29.0</v>
      </c>
      <c r="AW645" s="1">
        <v>2.0</v>
      </c>
      <c r="AX645" s="1" t="s">
        <v>74</v>
      </c>
      <c r="AY645" s="1" t="s">
        <v>74</v>
      </c>
      <c r="AZ645" s="1" t="s">
        <v>74</v>
      </c>
      <c r="BA645" s="1" t="s">
        <v>74</v>
      </c>
      <c r="BB645" s="1">
        <v>81.0</v>
      </c>
      <c r="BC645" s="1">
        <v>91.0</v>
      </c>
      <c r="BD645" s="1" t="s">
        <v>74</v>
      </c>
      <c r="BE645" s="1" t="s">
        <v>74</v>
      </c>
      <c r="BF645" s="1" t="s">
        <v>74</v>
      </c>
      <c r="BG645" s="1" t="s">
        <v>74</v>
      </c>
      <c r="BH645" s="1" t="s">
        <v>74</v>
      </c>
      <c r="BI645" s="1" t="s">
        <v>74</v>
      </c>
      <c r="BJ645" s="1" t="s">
        <v>74</v>
      </c>
      <c r="BK645" s="1" t="s">
        <v>74</v>
      </c>
      <c r="BL645" s="1" t="s">
        <v>74</v>
      </c>
      <c r="BM645" s="1" t="s">
        <v>74</v>
      </c>
      <c r="BN645" s="1" t="s">
        <v>74</v>
      </c>
      <c r="BO645" s="1" t="s">
        <v>74</v>
      </c>
      <c r="BP645" s="1" t="s">
        <v>74</v>
      </c>
      <c r="BQ645" s="1" t="s">
        <v>74</v>
      </c>
      <c r="BR645" s="1" t="s">
        <v>74</v>
      </c>
      <c r="BS645" s="1" t="s">
        <v>5496</v>
      </c>
      <c r="BT645" s="1" t="str">
        <f>HYPERLINK("https%3A%2F%2Fwww.webofscience.com%2Fwos%2Fwoscc%2Ffull-record%2FWOS:000335081800008","View Full Record in Web of Science")</f>
        <v>View Full Record in Web of Science</v>
      </c>
    </row>
    <row r="646" ht="12.75" customHeight="1">
      <c r="A646" s="1" t="s">
        <v>91</v>
      </c>
      <c r="B646" s="1" t="s">
        <v>5497</v>
      </c>
      <c r="C646" s="1" t="s">
        <v>74</v>
      </c>
      <c r="D646" s="1" t="s">
        <v>5498</v>
      </c>
      <c r="E646" s="1" t="s">
        <v>74</v>
      </c>
      <c r="F646" s="1" t="s">
        <v>5499</v>
      </c>
      <c r="G646" s="1" t="s">
        <v>74</v>
      </c>
      <c r="H646" s="1" t="s">
        <v>74</v>
      </c>
      <c r="I646" s="1" t="s">
        <v>5500</v>
      </c>
      <c r="J646" s="1" t="s">
        <v>5501</v>
      </c>
      <c r="K646" s="1" t="s">
        <v>5502</v>
      </c>
      <c r="L646" s="1" t="s">
        <v>74</v>
      </c>
      <c r="M646" s="1" t="s">
        <v>74</v>
      </c>
      <c r="N646" s="1" t="s">
        <v>74</v>
      </c>
      <c r="O646" s="1" t="s">
        <v>5503</v>
      </c>
      <c r="P646" s="1" t="s">
        <v>5504</v>
      </c>
      <c r="Q646" s="1" t="s">
        <v>5505</v>
      </c>
      <c r="R646" s="1" t="s">
        <v>5506</v>
      </c>
      <c r="S646" s="1" t="s">
        <v>74</v>
      </c>
      <c r="T646" s="1" t="s">
        <v>74</v>
      </c>
      <c r="U646" s="1" t="s">
        <v>74</v>
      </c>
      <c r="V646" s="1" t="s">
        <v>5507</v>
      </c>
      <c r="W646" s="1" t="s">
        <v>74</v>
      </c>
      <c r="X646" s="1" t="s">
        <v>74</v>
      </c>
      <c r="Y646" s="1" t="s">
        <v>74</v>
      </c>
      <c r="Z646" s="1" t="s">
        <v>74</v>
      </c>
      <c r="AA646" s="1" t="s">
        <v>5508</v>
      </c>
      <c r="AB646" s="1" t="s">
        <v>5509</v>
      </c>
      <c r="AC646" s="1" t="s">
        <v>74</v>
      </c>
      <c r="AD646" s="1" t="s">
        <v>74</v>
      </c>
      <c r="AE646" s="1" t="s">
        <v>74</v>
      </c>
      <c r="AF646" s="1" t="s">
        <v>74</v>
      </c>
      <c r="AG646" s="1" t="s">
        <v>74</v>
      </c>
      <c r="AH646" s="1" t="s">
        <v>74</v>
      </c>
      <c r="AI646" s="1" t="s">
        <v>74</v>
      </c>
      <c r="AJ646" s="1" t="s">
        <v>74</v>
      </c>
      <c r="AK646" s="1" t="s">
        <v>74</v>
      </c>
      <c r="AL646" s="1" t="s">
        <v>74</v>
      </c>
      <c r="AM646" s="1" t="s">
        <v>74</v>
      </c>
      <c r="AN646" s="1" t="s">
        <v>74</v>
      </c>
      <c r="AO646" s="1" t="s">
        <v>5510</v>
      </c>
      <c r="AP646" s="1" t="s">
        <v>5511</v>
      </c>
      <c r="AQ646" s="1" t="s">
        <v>5512</v>
      </c>
      <c r="AR646" s="1" t="s">
        <v>74</v>
      </c>
      <c r="AS646" s="1" t="s">
        <v>74</v>
      </c>
      <c r="AT646" s="1" t="s">
        <v>74</v>
      </c>
      <c r="AU646" s="1">
        <v>2014.0</v>
      </c>
      <c r="AV646" s="1">
        <v>64.0</v>
      </c>
      <c r="AW646" s="1">
        <v>1.0</v>
      </c>
      <c r="AX646" s="1" t="s">
        <v>74</v>
      </c>
      <c r="AY646" s="1" t="s">
        <v>74</v>
      </c>
      <c r="AZ646" s="1" t="s">
        <v>74</v>
      </c>
      <c r="BA646" s="1" t="s">
        <v>74</v>
      </c>
      <c r="BB646" s="1">
        <v>37.0</v>
      </c>
      <c r="BC646" s="1">
        <v>42.0</v>
      </c>
      <c r="BD646" s="1" t="s">
        <v>74</v>
      </c>
      <c r="BE646" s="1" t="s">
        <v>5513</v>
      </c>
      <c r="BF646" s="2" t="str">
        <f>HYPERLINK("http://dx.doi.org/10.1149/06401.0037ecst","http://dx.doi.org/10.1149/06401.0037ecst")</f>
        <v>http://dx.doi.org/10.1149/06401.0037ecst</v>
      </c>
      <c r="BG646" s="1" t="s">
        <v>74</v>
      </c>
      <c r="BH646" s="1" t="s">
        <v>74</v>
      </c>
      <c r="BI646" s="1" t="s">
        <v>74</v>
      </c>
      <c r="BJ646" s="1" t="s">
        <v>74</v>
      </c>
      <c r="BK646" s="1" t="s">
        <v>74</v>
      </c>
      <c r="BL646" s="1" t="s">
        <v>74</v>
      </c>
      <c r="BM646" s="1" t="s">
        <v>74</v>
      </c>
      <c r="BN646" s="1" t="s">
        <v>74</v>
      </c>
      <c r="BO646" s="1" t="s">
        <v>74</v>
      </c>
      <c r="BP646" s="1" t="s">
        <v>74</v>
      </c>
      <c r="BQ646" s="1" t="s">
        <v>74</v>
      </c>
      <c r="BR646" s="1" t="s">
        <v>74</v>
      </c>
      <c r="BS646" s="1" t="s">
        <v>5514</v>
      </c>
      <c r="BT646" s="1" t="str">
        <f>HYPERLINK("https%3A%2F%2Fwww.webofscience.com%2Fwos%2Fwoscc%2Ffull-record%2FWOS:000356682400006","View Full Record in Web of Science")</f>
        <v>View Full Record in Web of Science</v>
      </c>
    </row>
    <row r="647" ht="12.75" customHeight="1">
      <c r="A647" s="1" t="s">
        <v>72</v>
      </c>
      <c r="B647" s="1" t="s">
        <v>5515</v>
      </c>
      <c r="C647" s="1" t="s">
        <v>74</v>
      </c>
      <c r="D647" s="1" t="s">
        <v>74</v>
      </c>
      <c r="E647" s="1" t="s">
        <v>74</v>
      </c>
      <c r="F647" s="1" t="s">
        <v>5516</v>
      </c>
      <c r="G647" s="1" t="s">
        <v>74</v>
      </c>
      <c r="H647" s="1" t="s">
        <v>74</v>
      </c>
      <c r="I647" s="1" t="s">
        <v>5517</v>
      </c>
      <c r="J647" s="1" t="s">
        <v>832</v>
      </c>
      <c r="K647" s="1" t="s">
        <v>74</v>
      </c>
      <c r="L647" s="1" t="s">
        <v>74</v>
      </c>
      <c r="M647" s="1" t="s">
        <v>74</v>
      </c>
      <c r="N647" s="1" t="s">
        <v>74</v>
      </c>
      <c r="O647" s="1" t="s">
        <v>74</v>
      </c>
      <c r="P647" s="1" t="s">
        <v>74</v>
      </c>
      <c r="Q647" s="1" t="s">
        <v>74</v>
      </c>
      <c r="R647" s="1" t="s">
        <v>74</v>
      </c>
      <c r="S647" s="1" t="s">
        <v>74</v>
      </c>
      <c r="T647" s="1" t="s">
        <v>74</v>
      </c>
      <c r="U647" s="1" t="s">
        <v>74</v>
      </c>
      <c r="V647" s="1" t="s">
        <v>5518</v>
      </c>
      <c r="W647" s="1" t="s">
        <v>74</v>
      </c>
      <c r="X647" s="1" t="s">
        <v>74</v>
      </c>
      <c r="Y647" s="1" t="s">
        <v>74</v>
      </c>
      <c r="Z647" s="1" t="s">
        <v>74</v>
      </c>
      <c r="AA647" s="1" t="s">
        <v>5519</v>
      </c>
      <c r="AB647" s="1" t="s">
        <v>74</v>
      </c>
      <c r="AC647" s="1" t="s">
        <v>74</v>
      </c>
      <c r="AD647" s="1" t="s">
        <v>74</v>
      </c>
      <c r="AE647" s="1" t="s">
        <v>74</v>
      </c>
      <c r="AF647" s="1" t="s">
        <v>74</v>
      </c>
      <c r="AG647" s="1" t="s">
        <v>74</v>
      </c>
      <c r="AH647" s="1" t="s">
        <v>74</v>
      </c>
      <c r="AI647" s="1" t="s">
        <v>74</v>
      </c>
      <c r="AJ647" s="1" t="s">
        <v>74</v>
      </c>
      <c r="AK647" s="1" t="s">
        <v>74</v>
      </c>
      <c r="AL647" s="1" t="s">
        <v>74</v>
      </c>
      <c r="AM647" s="1" t="s">
        <v>74</v>
      </c>
      <c r="AN647" s="1" t="s">
        <v>74</v>
      </c>
      <c r="AO647" s="1" t="s">
        <v>835</v>
      </c>
      <c r="AP647" s="1" t="s">
        <v>836</v>
      </c>
      <c r="AQ647" s="1" t="s">
        <v>74</v>
      </c>
      <c r="AR647" s="1" t="s">
        <v>74</v>
      </c>
      <c r="AS647" s="1" t="s">
        <v>74</v>
      </c>
      <c r="AT647" s="1" t="s">
        <v>148</v>
      </c>
      <c r="AU647" s="1">
        <v>2013.0</v>
      </c>
      <c r="AV647" s="1">
        <v>141.0</v>
      </c>
      <c r="AW647" s="1">
        <v>3.0</v>
      </c>
      <c r="AX647" s="1" t="s">
        <v>74</v>
      </c>
      <c r="AY647" s="1" t="s">
        <v>74</v>
      </c>
      <c r="AZ647" s="1" t="s">
        <v>74</v>
      </c>
      <c r="BA647" s="1" t="s">
        <v>74</v>
      </c>
      <c r="BB647" s="1">
        <v>320.0</v>
      </c>
      <c r="BC647" s="1">
        <v>326.0</v>
      </c>
      <c r="BD647" s="1" t="s">
        <v>74</v>
      </c>
      <c r="BE647" s="1" t="s">
        <v>5520</v>
      </c>
      <c r="BF647" s="2" t="str">
        <f>HYPERLINK("http://dx.doi.org/10.4067/S0034-98872013000300006","http://dx.doi.org/10.4067/S0034-98872013000300006")</f>
        <v>http://dx.doi.org/10.4067/S0034-98872013000300006</v>
      </c>
      <c r="BG647" s="1" t="s">
        <v>74</v>
      </c>
      <c r="BH647" s="1" t="s">
        <v>74</v>
      </c>
      <c r="BI647" s="1" t="s">
        <v>74</v>
      </c>
      <c r="BJ647" s="1" t="s">
        <v>74</v>
      </c>
      <c r="BK647" s="1" t="s">
        <v>74</v>
      </c>
      <c r="BL647" s="1" t="s">
        <v>74</v>
      </c>
      <c r="BM647" s="1" t="s">
        <v>74</v>
      </c>
      <c r="BN647" s="1">
        <v>2.3900322E7</v>
      </c>
      <c r="BO647" s="1" t="s">
        <v>74</v>
      </c>
      <c r="BP647" s="1" t="s">
        <v>74</v>
      </c>
      <c r="BQ647" s="1" t="s">
        <v>74</v>
      </c>
      <c r="BR647" s="1" t="s">
        <v>74</v>
      </c>
      <c r="BS647" s="1" t="s">
        <v>5521</v>
      </c>
      <c r="BT647" s="1" t="str">
        <f>HYPERLINK("https%3A%2F%2Fwww.webofscience.com%2Fwos%2Fwoscc%2Ffull-record%2FWOS:000318826600006","View Full Record in Web of Science")</f>
        <v>View Full Record in Web of Science</v>
      </c>
    </row>
    <row r="648" ht="12.75" customHeight="1">
      <c r="A648" s="1" t="s">
        <v>72</v>
      </c>
      <c r="B648" s="1" t="s">
        <v>5522</v>
      </c>
      <c r="C648" s="1" t="s">
        <v>74</v>
      </c>
      <c r="D648" s="1" t="s">
        <v>74</v>
      </c>
      <c r="E648" s="1" t="s">
        <v>74</v>
      </c>
      <c r="F648" s="1" t="s">
        <v>5523</v>
      </c>
      <c r="G648" s="1" t="s">
        <v>74</v>
      </c>
      <c r="H648" s="1" t="s">
        <v>74</v>
      </c>
      <c r="I648" s="1" t="s">
        <v>5524</v>
      </c>
      <c r="J648" s="1" t="s">
        <v>5525</v>
      </c>
      <c r="K648" s="1" t="s">
        <v>74</v>
      </c>
      <c r="L648" s="1" t="s">
        <v>74</v>
      </c>
      <c r="M648" s="1" t="s">
        <v>74</v>
      </c>
      <c r="N648" s="1" t="s">
        <v>74</v>
      </c>
      <c r="O648" s="1" t="s">
        <v>74</v>
      </c>
      <c r="P648" s="1" t="s">
        <v>74</v>
      </c>
      <c r="Q648" s="1" t="s">
        <v>74</v>
      </c>
      <c r="R648" s="1" t="s">
        <v>74</v>
      </c>
      <c r="S648" s="1" t="s">
        <v>74</v>
      </c>
      <c r="T648" s="1" t="s">
        <v>74</v>
      </c>
      <c r="U648" s="1" t="s">
        <v>74</v>
      </c>
      <c r="V648" s="1" t="s">
        <v>5526</v>
      </c>
      <c r="W648" s="1" t="s">
        <v>74</v>
      </c>
      <c r="X648" s="1" t="s">
        <v>74</v>
      </c>
      <c r="Y648" s="1" t="s">
        <v>74</v>
      </c>
      <c r="Z648" s="1" t="s">
        <v>74</v>
      </c>
      <c r="AA648" s="1" t="s">
        <v>5527</v>
      </c>
      <c r="AB648" s="1" t="s">
        <v>5528</v>
      </c>
      <c r="AC648" s="1" t="s">
        <v>74</v>
      </c>
      <c r="AD648" s="1" t="s">
        <v>74</v>
      </c>
      <c r="AE648" s="1" t="s">
        <v>74</v>
      </c>
      <c r="AF648" s="1" t="s">
        <v>74</v>
      </c>
      <c r="AG648" s="1" t="s">
        <v>74</v>
      </c>
      <c r="AH648" s="1" t="s">
        <v>74</v>
      </c>
      <c r="AI648" s="1" t="s">
        <v>74</v>
      </c>
      <c r="AJ648" s="1" t="s">
        <v>74</v>
      </c>
      <c r="AK648" s="1" t="s">
        <v>74</v>
      </c>
      <c r="AL648" s="1" t="s">
        <v>74</v>
      </c>
      <c r="AM648" s="1" t="s">
        <v>74</v>
      </c>
      <c r="AN648" s="1" t="s">
        <v>74</v>
      </c>
      <c r="AO648" s="1" t="s">
        <v>5529</v>
      </c>
      <c r="AP648" s="1" t="s">
        <v>5530</v>
      </c>
      <c r="AQ648" s="1" t="s">
        <v>74</v>
      </c>
      <c r="AR648" s="1" t="s">
        <v>74</v>
      </c>
      <c r="AS648" s="1" t="s">
        <v>74</v>
      </c>
      <c r="AT648" s="1" t="s">
        <v>148</v>
      </c>
      <c r="AU648" s="1">
        <v>2013.0</v>
      </c>
      <c r="AV648" s="1">
        <v>134.0</v>
      </c>
      <c r="AW648" s="1" t="s">
        <v>74</v>
      </c>
      <c r="AX648" s="1" t="s">
        <v>74</v>
      </c>
      <c r="AY648" s="1" t="s">
        <v>74</v>
      </c>
      <c r="AZ648" s="1" t="s">
        <v>74</v>
      </c>
      <c r="BA648" s="1" t="s">
        <v>74</v>
      </c>
      <c r="BB648" s="1">
        <v>166.0</v>
      </c>
      <c r="BC648" s="1">
        <v>176.0</v>
      </c>
      <c r="BD648" s="1" t="s">
        <v>74</v>
      </c>
      <c r="BE648" s="1" t="s">
        <v>5531</v>
      </c>
      <c r="BF648" s="2" t="str">
        <f>HYPERLINK("http://dx.doi.org/10.1016/j.hydromet.2013.02.012","http://dx.doi.org/10.1016/j.hydromet.2013.02.012")</f>
        <v>http://dx.doi.org/10.1016/j.hydromet.2013.02.012</v>
      </c>
      <c r="BG648" s="1" t="s">
        <v>74</v>
      </c>
      <c r="BH648" s="1" t="s">
        <v>74</v>
      </c>
      <c r="BI648" s="1" t="s">
        <v>74</v>
      </c>
      <c r="BJ648" s="1" t="s">
        <v>74</v>
      </c>
      <c r="BK648" s="1" t="s">
        <v>74</v>
      </c>
      <c r="BL648" s="1" t="s">
        <v>74</v>
      </c>
      <c r="BM648" s="1" t="s">
        <v>74</v>
      </c>
      <c r="BN648" s="1" t="s">
        <v>74</v>
      </c>
      <c r="BO648" s="1" t="s">
        <v>74</v>
      </c>
      <c r="BP648" s="1" t="s">
        <v>74</v>
      </c>
      <c r="BQ648" s="1" t="s">
        <v>74</v>
      </c>
      <c r="BR648" s="1" t="s">
        <v>74</v>
      </c>
      <c r="BS648" s="1" t="s">
        <v>5532</v>
      </c>
      <c r="BT648" s="1" t="str">
        <f>HYPERLINK("https%3A%2F%2Fwww.webofscience.com%2Fwos%2Fwoscc%2Ffull-record%2FWOS:000318326900023","View Full Record in Web of Science")</f>
        <v>View Full Record in Web of Science</v>
      </c>
    </row>
    <row r="649" ht="12.75" customHeight="1">
      <c r="A649" s="1" t="s">
        <v>91</v>
      </c>
      <c r="B649" s="1" t="s">
        <v>5533</v>
      </c>
      <c r="C649" s="1" t="s">
        <v>74</v>
      </c>
      <c r="D649" s="1" t="s">
        <v>74</v>
      </c>
      <c r="E649" s="1" t="s">
        <v>997</v>
      </c>
      <c r="F649" s="1" t="s">
        <v>5534</v>
      </c>
      <c r="G649" s="1" t="s">
        <v>74</v>
      </c>
      <c r="H649" s="1" t="s">
        <v>74</v>
      </c>
      <c r="I649" s="1" t="s">
        <v>5535</v>
      </c>
      <c r="J649" s="1" t="s">
        <v>5536</v>
      </c>
      <c r="K649" s="1" t="s">
        <v>74</v>
      </c>
      <c r="L649" s="1" t="s">
        <v>74</v>
      </c>
      <c r="M649" s="1" t="s">
        <v>74</v>
      </c>
      <c r="N649" s="1" t="s">
        <v>74</v>
      </c>
      <c r="O649" s="1" t="s">
        <v>5537</v>
      </c>
      <c r="P649" s="1" t="s">
        <v>5538</v>
      </c>
      <c r="Q649" s="1" t="s">
        <v>5539</v>
      </c>
      <c r="R649" s="1" t="s">
        <v>997</v>
      </c>
      <c r="S649" s="1" t="s">
        <v>74</v>
      </c>
      <c r="T649" s="1" t="s">
        <v>74</v>
      </c>
      <c r="U649" s="1" t="s">
        <v>74</v>
      </c>
      <c r="V649" s="1" t="s">
        <v>5540</v>
      </c>
      <c r="W649" s="1" t="s">
        <v>74</v>
      </c>
      <c r="X649" s="1" t="s">
        <v>74</v>
      </c>
      <c r="Y649" s="1" t="s">
        <v>74</v>
      </c>
      <c r="Z649" s="1" t="s">
        <v>74</v>
      </c>
      <c r="AA649" s="1" t="s">
        <v>74</v>
      </c>
      <c r="AB649" s="1" t="s">
        <v>74</v>
      </c>
      <c r="AC649" s="1" t="s">
        <v>74</v>
      </c>
      <c r="AD649" s="1" t="s">
        <v>74</v>
      </c>
      <c r="AE649" s="1" t="s">
        <v>74</v>
      </c>
      <c r="AF649" s="1" t="s">
        <v>74</v>
      </c>
      <c r="AG649" s="1" t="s">
        <v>74</v>
      </c>
      <c r="AH649" s="1" t="s">
        <v>74</v>
      </c>
      <c r="AI649" s="1" t="s">
        <v>74</v>
      </c>
      <c r="AJ649" s="1" t="s">
        <v>74</v>
      </c>
      <c r="AK649" s="1" t="s">
        <v>74</v>
      </c>
      <c r="AL649" s="1" t="s">
        <v>74</v>
      </c>
      <c r="AM649" s="1" t="s">
        <v>74</v>
      </c>
      <c r="AN649" s="1" t="s">
        <v>74</v>
      </c>
      <c r="AO649" s="1" t="s">
        <v>74</v>
      </c>
      <c r="AP649" s="1" t="s">
        <v>74</v>
      </c>
      <c r="AQ649" s="1" t="s">
        <v>5541</v>
      </c>
      <c r="AR649" s="1" t="s">
        <v>74</v>
      </c>
      <c r="AS649" s="1" t="s">
        <v>74</v>
      </c>
      <c r="AT649" s="1" t="s">
        <v>74</v>
      </c>
      <c r="AU649" s="1">
        <v>2013.0</v>
      </c>
      <c r="AV649" s="1" t="s">
        <v>74</v>
      </c>
      <c r="AW649" s="1" t="s">
        <v>74</v>
      </c>
      <c r="AX649" s="1" t="s">
        <v>74</v>
      </c>
      <c r="AY649" s="1" t="s">
        <v>74</v>
      </c>
      <c r="AZ649" s="1" t="s">
        <v>74</v>
      </c>
      <c r="BA649" s="1" t="s">
        <v>74</v>
      </c>
      <c r="BB649" s="1">
        <v>1017.0</v>
      </c>
      <c r="BC649" s="1">
        <v>1021.0</v>
      </c>
      <c r="BD649" s="1" t="s">
        <v>74</v>
      </c>
      <c r="BE649" s="1" t="s">
        <v>74</v>
      </c>
      <c r="BF649" s="1" t="s">
        <v>74</v>
      </c>
      <c r="BG649" s="1" t="s">
        <v>74</v>
      </c>
      <c r="BH649" s="1" t="s">
        <v>74</v>
      </c>
      <c r="BI649" s="1" t="s">
        <v>74</v>
      </c>
      <c r="BJ649" s="1" t="s">
        <v>74</v>
      </c>
      <c r="BK649" s="1" t="s">
        <v>74</v>
      </c>
      <c r="BL649" s="1" t="s">
        <v>74</v>
      </c>
      <c r="BM649" s="1" t="s">
        <v>74</v>
      </c>
      <c r="BN649" s="1" t="s">
        <v>74</v>
      </c>
      <c r="BO649" s="1" t="s">
        <v>74</v>
      </c>
      <c r="BP649" s="1" t="s">
        <v>74</v>
      </c>
      <c r="BQ649" s="1" t="s">
        <v>74</v>
      </c>
      <c r="BR649" s="1" t="s">
        <v>74</v>
      </c>
      <c r="BS649" s="1" t="s">
        <v>5542</v>
      </c>
      <c r="BT649" s="1" t="str">
        <f>HYPERLINK("https%3A%2F%2Fwww.webofscience.com%2Fwos%2Fwoscc%2Ffull-record%2FWOS:000350071100116","View Full Record in Web of Science")</f>
        <v>View Full Record in Web of Science</v>
      </c>
    </row>
    <row r="650" ht="12.75" customHeight="1">
      <c r="A650" s="1" t="s">
        <v>72</v>
      </c>
      <c r="B650" s="1" t="s">
        <v>5543</v>
      </c>
      <c r="C650" s="1" t="s">
        <v>74</v>
      </c>
      <c r="D650" s="1" t="s">
        <v>74</v>
      </c>
      <c r="E650" s="1" t="s">
        <v>74</v>
      </c>
      <c r="F650" s="1" t="s">
        <v>5544</v>
      </c>
      <c r="G650" s="1" t="s">
        <v>74</v>
      </c>
      <c r="H650" s="1" t="s">
        <v>74</v>
      </c>
      <c r="I650" s="1" t="s">
        <v>5545</v>
      </c>
      <c r="J650" s="1" t="s">
        <v>5546</v>
      </c>
      <c r="K650" s="1" t="s">
        <v>74</v>
      </c>
      <c r="L650" s="1" t="s">
        <v>74</v>
      </c>
      <c r="M650" s="1" t="s">
        <v>74</v>
      </c>
      <c r="N650" s="1" t="s">
        <v>74</v>
      </c>
      <c r="O650" s="1" t="s">
        <v>74</v>
      </c>
      <c r="P650" s="1" t="s">
        <v>74</v>
      </c>
      <c r="Q650" s="1" t="s">
        <v>74</v>
      </c>
      <c r="R650" s="1" t="s">
        <v>74</v>
      </c>
      <c r="S650" s="1" t="s">
        <v>74</v>
      </c>
      <c r="T650" s="1" t="s">
        <v>74</v>
      </c>
      <c r="U650" s="1" t="s">
        <v>74</v>
      </c>
      <c r="V650" s="1" t="s">
        <v>5547</v>
      </c>
      <c r="W650" s="1" t="s">
        <v>74</v>
      </c>
      <c r="X650" s="1" t="s">
        <v>74</v>
      </c>
      <c r="Y650" s="1" t="s">
        <v>74</v>
      </c>
      <c r="Z650" s="1" t="s">
        <v>74</v>
      </c>
      <c r="AA650" s="1" t="s">
        <v>3298</v>
      </c>
      <c r="AB650" s="1" t="s">
        <v>74</v>
      </c>
      <c r="AC650" s="1" t="s">
        <v>74</v>
      </c>
      <c r="AD650" s="1" t="s">
        <v>74</v>
      </c>
      <c r="AE650" s="1" t="s">
        <v>74</v>
      </c>
      <c r="AF650" s="1" t="s">
        <v>74</v>
      </c>
      <c r="AG650" s="1" t="s">
        <v>74</v>
      </c>
      <c r="AH650" s="1" t="s">
        <v>74</v>
      </c>
      <c r="AI650" s="1" t="s">
        <v>74</v>
      </c>
      <c r="AJ650" s="1" t="s">
        <v>74</v>
      </c>
      <c r="AK650" s="1" t="s">
        <v>74</v>
      </c>
      <c r="AL650" s="1" t="s">
        <v>74</v>
      </c>
      <c r="AM650" s="1" t="s">
        <v>74</v>
      </c>
      <c r="AN650" s="1" t="s">
        <v>74</v>
      </c>
      <c r="AO650" s="1" t="s">
        <v>5548</v>
      </c>
      <c r="AP650" s="1" t="s">
        <v>5549</v>
      </c>
      <c r="AQ650" s="1" t="s">
        <v>74</v>
      </c>
      <c r="AR650" s="1" t="s">
        <v>74</v>
      </c>
      <c r="AS650" s="1" t="s">
        <v>74</v>
      </c>
      <c r="AT650" s="1" t="s">
        <v>205</v>
      </c>
      <c r="AU650" s="1">
        <v>2012.0</v>
      </c>
      <c r="AV650" s="1">
        <v>46.0</v>
      </c>
      <c r="AW650" s="1">
        <v>6.0</v>
      </c>
      <c r="AX650" s="1" t="s">
        <v>74</v>
      </c>
      <c r="AY650" s="1" t="s">
        <v>74</v>
      </c>
      <c r="AZ650" s="1" t="s">
        <v>74</v>
      </c>
      <c r="BA650" s="1" t="s">
        <v>74</v>
      </c>
      <c r="BB650" s="1">
        <v>666.0</v>
      </c>
      <c r="BC650" s="1">
        <v>672.0</v>
      </c>
      <c r="BD650" s="1" t="s">
        <v>74</v>
      </c>
      <c r="BE650" s="1" t="s">
        <v>5550</v>
      </c>
      <c r="BF650" s="2" t="str">
        <f>HYPERLINK("http://dx.doi.org/10.1134/S0040579512060061","http://dx.doi.org/10.1134/S0040579512060061")</f>
        <v>http://dx.doi.org/10.1134/S0040579512060061</v>
      </c>
      <c r="BG650" s="1" t="s">
        <v>74</v>
      </c>
      <c r="BH650" s="1" t="s">
        <v>74</v>
      </c>
      <c r="BI650" s="1" t="s">
        <v>74</v>
      </c>
      <c r="BJ650" s="1" t="s">
        <v>74</v>
      </c>
      <c r="BK650" s="1" t="s">
        <v>74</v>
      </c>
      <c r="BL650" s="1" t="s">
        <v>74</v>
      </c>
      <c r="BM650" s="1" t="s">
        <v>74</v>
      </c>
      <c r="BN650" s="1" t="s">
        <v>74</v>
      </c>
      <c r="BO650" s="1" t="s">
        <v>74</v>
      </c>
      <c r="BP650" s="1" t="s">
        <v>74</v>
      </c>
      <c r="BQ650" s="1" t="s">
        <v>74</v>
      </c>
      <c r="BR650" s="1" t="s">
        <v>74</v>
      </c>
      <c r="BS650" s="1" t="s">
        <v>5551</v>
      </c>
      <c r="BT650" s="1" t="str">
        <f>HYPERLINK("https%3A%2F%2Fwww.webofscience.com%2Fwos%2Fwoscc%2Ffull-record%2FWOS:000312144800014","View Full Record in Web of Science")</f>
        <v>View Full Record in Web of Science</v>
      </c>
    </row>
    <row r="651" ht="12.75" customHeight="1">
      <c r="A651" s="1" t="s">
        <v>72</v>
      </c>
      <c r="B651" s="1" t="s">
        <v>5552</v>
      </c>
      <c r="C651" s="1" t="s">
        <v>74</v>
      </c>
      <c r="D651" s="1" t="s">
        <v>74</v>
      </c>
      <c r="E651" s="1" t="s">
        <v>74</v>
      </c>
      <c r="F651" s="1" t="s">
        <v>5553</v>
      </c>
      <c r="G651" s="1" t="s">
        <v>74</v>
      </c>
      <c r="H651" s="1" t="s">
        <v>74</v>
      </c>
      <c r="I651" s="1" t="s">
        <v>5554</v>
      </c>
      <c r="J651" s="1" t="s">
        <v>2502</v>
      </c>
      <c r="K651" s="1" t="s">
        <v>74</v>
      </c>
      <c r="L651" s="1" t="s">
        <v>74</v>
      </c>
      <c r="M651" s="1" t="s">
        <v>74</v>
      </c>
      <c r="N651" s="1" t="s">
        <v>74</v>
      </c>
      <c r="O651" s="1" t="s">
        <v>74</v>
      </c>
      <c r="P651" s="1" t="s">
        <v>74</v>
      </c>
      <c r="Q651" s="1" t="s">
        <v>74</v>
      </c>
      <c r="R651" s="1" t="s">
        <v>74</v>
      </c>
      <c r="S651" s="1" t="s">
        <v>74</v>
      </c>
      <c r="T651" s="1" t="s">
        <v>74</v>
      </c>
      <c r="U651" s="1" t="s">
        <v>74</v>
      </c>
      <c r="V651" s="1" t="s">
        <v>5555</v>
      </c>
      <c r="W651" s="1" t="s">
        <v>74</v>
      </c>
      <c r="X651" s="1" t="s">
        <v>74</v>
      </c>
      <c r="Y651" s="1" t="s">
        <v>74</v>
      </c>
      <c r="Z651" s="1" t="s">
        <v>74</v>
      </c>
      <c r="AA651" s="1" t="s">
        <v>5556</v>
      </c>
      <c r="AB651" s="1" t="s">
        <v>5557</v>
      </c>
      <c r="AC651" s="1" t="s">
        <v>74</v>
      </c>
      <c r="AD651" s="1" t="s">
        <v>74</v>
      </c>
      <c r="AE651" s="1" t="s">
        <v>74</v>
      </c>
      <c r="AF651" s="1" t="s">
        <v>74</v>
      </c>
      <c r="AG651" s="1" t="s">
        <v>74</v>
      </c>
      <c r="AH651" s="1" t="s">
        <v>74</v>
      </c>
      <c r="AI651" s="1" t="s">
        <v>74</v>
      </c>
      <c r="AJ651" s="1" t="s">
        <v>74</v>
      </c>
      <c r="AK651" s="1" t="s">
        <v>74</v>
      </c>
      <c r="AL651" s="1" t="s">
        <v>74</v>
      </c>
      <c r="AM651" s="1" t="s">
        <v>74</v>
      </c>
      <c r="AN651" s="1" t="s">
        <v>74</v>
      </c>
      <c r="AO651" s="1" t="s">
        <v>2505</v>
      </c>
      <c r="AP651" s="1" t="s">
        <v>74</v>
      </c>
      <c r="AQ651" s="1" t="s">
        <v>74</v>
      </c>
      <c r="AR651" s="1" t="s">
        <v>74</v>
      </c>
      <c r="AS651" s="1" t="s">
        <v>74</v>
      </c>
      <c r="AT651" s="1" t="s">
        <v>299</v>
      </c>
      <c r="AU651" s="1">
        <v>2012.0</v>
      </c>
      <c r="AV651" s="1">
        <v>11.0</v>
      </c>
      <c r="AW651" s="1">
        <v>1.0</v>
      </c>
      <c r="AX651" s="1" t="s">
        <v>74</v>
      </c>
      <c r="AY651" s="1" t="s">
        <v>74</v>
      </c>
      <c r="AZ651" s="1" t="s">
        <v>74</v>
      </c>
      <c r="BA651" s="1" t="s">
        <v>74</v>
      </c>
      <c r="BB651" s="1">
        <v>86.0</v>
      </c>
      <c r="BC651" s="1">
        <v>90.0</v>
      </c>
      <c r="BD651" s="1" t="s">
        <v>74</v>
      </c>
      <c r="BE651" s="1" t="s">
        <v>74</v>
      </c>
      <c r="BF651" s="1" t="s">
        <v>74</v>
      </c>
      <c r="BG651" s="1" t="s">
        <v>74</v>
      </c>
      <c r="BH651" s="1" t="s">
        <v>74</v>
      </c>
      <c r="BI651" s="1" t="s">
        <v>74</v>
      </c>
      <c r="BJ651" s="1" t="s">
        <v>74</v>
      </c>
      <c r="BK651" s="1" t="s">
        <v>74</v>
      </c>
      <c r="BL651" s="1" t="s">
        <v>74</v>
      </c>
      <c r="BM651" s="1" t="s">
        <v>74</v>
      </c>
      <c r="BN651" s="1" t="s">
        <v>74</v>
      </c>
      <c r="BO651" s="1" t="s">
        <v>74</v>
      </c>
      <c r="BP651" s="1" t="s">
        <v>74</v>
      </c>
      <c r="BQ651" s="1" t="s">
        <v>74</v>
      </c>
      <c r="BR651" s="1" t="s">
        <v>74</v>
      </c>
      <c r="BS651" s="1" t="s">
        <v>5558</v>
      </c>
      <c r="BT651" s="1" t="str">
        <f>HYPERLINK("https%3A%2F%2Fwww.webofscience.com%2Fwos%2Fwoscc%2Ffull-record%2FWOS:000304712100011","View Full Record in Web of Science")</f>
        <v>View Full Record in Web of Science</v>
      </c>
    </row>
    <row r="652" ht="12.75" customHeight="1">
      <c r="A652" s="1" t="s">
        <v>91</v>
      </c>
      <c r="B652" s="1" t="s">
        <v>5559</v>
      </c>
      <c r="C652" s="1" t="s">
        <v>74</v>
      </c>
      <c r="D652" s="1" t="s">
        <v>74</v>
      </c>
      <c r="E652" s="1" t="s">
        <v>997</v>
      </c>
      <c r="F652" s="1" t="s">
        <v>5560</v>
      </c>
      <c r="G652" s="1" t="s">
        <v>74</v>
      </c>
      <c r="H652" s="1" t="s">
        <v>74</v>
      </c>
      <c r="I652" s="1" t="s">
        <v>5561</v>
      </c>
      <c r="J652" s="1" t="s">
        <v>5562</v>
      </c>
      <c r="K652" s="1" t="s">
        <v>74</v>
      </c>
      <c r="L652" s="1" t="s">
        <v>74</v>
      </c>
      <c r="M652" s="1" t="s">
        <v>74</v>
      </c>
      <c r="N652" s="1" t="s">
        <v>74</v>
      </c>
      <c r="O652" s="1" t="s">
        <v>4009</v>
      </c>
      <c r="P652" s="1" t="s">
        <v>4010</v>
      </c>
      <c r="Q652" s="1" t="s">
        <v>1003</v>
      </c>
      <c r="R652" s="1" t="s">
        <v>4011</v>
      </c>
      <c r="S652" s="1" t="s">
        <v>74</v>
      </c>
      <c r="T652" s="1" t="s">
        <v>74</v>
      </c>
      <c r="U652" s="1" t="s">
        <v>74</v>
      </c>
      <c r="V652" s="1" t="s">
        <v>5563</v>
      </c>
      <c r="W652" s="1" t="s">
        <v>74</v>
      </c>
      <c r="X652" s="1" t="s">
        <v>74</v>
      </c>
      <c r="Y652" s="1" t="s">
        <v>74</v>
      </c>
      <c r="Z652" s="1" t="s">
        <v>74</v>
      </c>
      <c r="AA652" s="1" t="s">
        <v>1761</v>
      </c>
      <c r="AB652" s="1" t="s">
        <v>74</v>
      </c>
      <c r="AC652" s="1" t="s">
        <v>74</v>
      </c>
      <c r="AD652" s="1" t="s">
        <v>74</v>
      </c>
      <c r="AE652" s="1" t="s">
        <v>74</v>
      </c>
      <c r="AF652" s="1" t="s">
        <v>74</v>
      </c>
      <c r="AG652" s="1" t="s">
        <v>74</v>
      </c>
      <c r="AH652" s="1" t="s">
        <v>74</v>
      </c>
      <c r="AI652" s="1" t="s">
        <v>74</v>
      </c>
      <c r="AJ652" s="1" t="s">
        <v>74</v>
      </c>
      <c r="AK652" s="1" t="s">
        <v>74</v>
      </c>
      <c r="AL652" s="1" t="s">
        <v>74</v>
      </c>
      <c r="AM652" s="1" t="s">
        <v>74</v>
      </c>
      <c r="AN652" s="1" t="s">
        <v>74</v>
      </c>
      <c r="AO652" s="1" t="s">
        <v>74</v>
      </c>
      <c r="AP652" s="1" t="s">
        <v>74</v>
      </c>
      <c r="AQ652" s="1" t="s">
        <v>5564</v>
      </c>
      <c r="AR652" s="1" t="s">
        <v>74</v>
      </c>
      <c r="AS652" s="1" t="s">
        <v>74</v>
      </c>
      <c r="AT652" s="1" t="s">
        <v>74</v>
      </c>
      <c r="AU652" s="1">
        <v>2012.0</v>
      </c>
      <c r="AV652" s="1" t="s">
        <v>74</v>
      </c>
      <c r="AW652" s="1" t="s">
        <v>74</v>
      </c>
      <c r="AX652" s="1" t="s">
        <v>74</v>
      </c>
      <c r="AY652" s="1" t="s">
        <v>74</v>
      </c>
      <c r="AZ652" s="1" t="s">
        <v>74</v>
      </c>
      <c r="BA652" s="1" t="s">
        <v>74</v>
      </c>
      <c r="BB652" s="1">
        <v>807.0</v>
      </c>
      <c r="BC652" s="1">
        <v>813.0</v>
      </c>
      <c r="BD652" s="1" t="s">
        <v>74</v>
      </c>
      <c r="BE652" s="1" t="s">
        <v>74</v>
      </c>
      <c r="BF652" s="1" t="s">
        <v>74</v>
      </c>
      <c r="BG652" s="1" t="s">
        <v>74</v>
      </c>
      <c r="BH652" s="1" t="s">
        <v>74</v>
      </c>
      <c r="BI652" s="1" t="s">
        <v>74</v>
      </c>
      <c r="BJ652" s="1" t="s">
        <v>74</v>
      </c>
      <c r="BK652" s="1" t="s">
        <v>74</v>
      </c>
      <c r="BL652" s="1" t="s">
        <v>74</v>
      </c>
      <c r="BM652" s="1" t="s">
        <v>74</v>
      </c>
      <c r="BN652" s="1" t="s">
        <v>74</v>
      </c>
      <c r="BO652" s="1" t="s">
        <v>74</v>
      </c>
      <c r="BP652" s="1" t="s">
        <v>74</v>
      </c>
      <c r="BQ652" s="1" t="s">
        <v>74</v>
      </c>
      <c r="BR652" s="1" t="s">
        <v>74</v>
      </c>
      <c r="BS652" s="1" t="s">
        <v>5565</v>
      </c>
      <c r="BT652" s="1" t="str">
        <f>HYPERLINK("https%3A%2F%2Fwww.webofscience.com%2Fwos%2Fwoscc%2Ffull-record%2FWOS:000320481100115","View Full Record in Web of Science")</f>
        <v>View Full Record in Web of Science</v>
      </c>
    </row>
    <row r="653" ht="12.75" customHeight="1">
      <c r="A653" s="1" t="s">
        <v>72</v>
      </c>
      <c r="B653" s="1" t="s">
        <v>5566</v>
      </c>
      <c r="C653" s="1" t="s">
        <v>74</v>
      </c>
      <c r="D653" s="1" t="s">
        <v>74</v>
      </c>
      <c r="E653" s="1" t="s">
        <v>74</v>
      </c>
      <c r="F653" s="1" t="s">
        <v>5567</v>
      </c>
      <c r="G653" s="1" t="s">
        <v>74</v>
      </c>
      <c r="H653" s="1" t="s">
        <v>74</v>
      </c>
      <c r="I653" s="1" t="s">
        <v>5568</v>
      </c>
      <c r="J653" s="1" t="s">
        <v>1050</v>
      </c>
      <c r="K653" s="1" t="s">
        <v>74</v>
      </c>
      <c r="L653" s="1" t="s">
        <v>74</v>
      </c>
      <c r="M653" s="1" t="s">
        <v>74</v>
      </c>
      <c r="N653" s="1" t="s">
        <v>74</v>
      </c>
      <c r="O653" s="1" t="s">
        <v>74</v>
      </c>
      <c r="P653" s="1" t="s">
        <v>74</v>
      </c>
      <c r="Q653" s="1" t="s">
        <v>74</v>
      </c>
      <c r="R653" s="1" t="s">
        <v>74</v>
      </c>
      <c r="S653" s="1" t="s">
        <v>74</v>
      </c>
      <c r="T653" s="1" t="s">
        <v>74</v>
      </c>
      <c r="U653" s="1" t="s">
        <v>74</v>
      </c>
      <c r="V653" s="1" t="s">
        <v>5569</v>
      </c>
      <c r="W653" s="1" t="s">
        <v>74</v>
      </c>
      <c r="X653" s="1" t="s">
        <v>74</v>
      </c>
      <c r="Y653" s="1" t="s">
        <v>74</v>
      </c>
      <c r="Z653" s="1" t="s">
        <v>74</v>
      </c>
      <c r="AA653" s="1" t="s">
        <v>74</v>
      </c>
      <c r="AB653" s="1" t="s">
        <v>5570</v>
      </c>
      <c r="AC653" s="1" t="s">
        <v>74</v>
      </c>
      <c r="AD653" s="1" t="s">
        <v>74</v>
      </c>
      <c r="AE653" s="1" t="s">
        <v>74</v>
      </c>
      <c r="AF653" s="1" t="s">
        <v>74</v>
      </c>
      <c r="AG653" s="1" t="s">
        <v>74</v>
      </c>
      <c r="AH653" s="1" t="s">
        <v>74</v>
      </c>
      <c r="AI653" s="1" t="s">
        <v>74</v>
      </c>
      <c r="AJ653" s="1" t="s">
        <v>74</v>
      </c>
      <c r="AK653" s="1" t="s">
        <v>74</v>
      </c>
      <c r="AL653" s="1" t="s">
        <v>74</v>
      </c>
      <c r="AM653" s="1" t="s">
        <v>74</v>
      </c>
      <c r="AN653" s="1" t="s">
        <v>74</v>
      </c>
      <c r="AO653" s="1" t="s">
        <v>1054</v>
      </c>
      <c r="AP653" s="1" t="s">
        <v>74</v>
      </c>
      <c r="AQ653" s="1" t="s">
        <v>74</v>
      </c>
      <c r="AR653" s="1" t="s">
        <v>74</v>
      </c>
      <c r="AS653" s="1" t="s">
        <v>74</v>
      </c>
      <c r="AT653" s="1" t="s">
        <v>88</v>
      </c>
      <c r="AU653" s="1">
        <v>2011.0</v>
      </c>
      <c r="AV653" s="1">
        <v>56.0</v>
      </c>
      <c r="AW653" s="1">
        <v>4.0</v>
      </c>
      <c r="AX653" s="1" t="s">
        <v>74</v>
      </c>
      <c r="AY653" s="1" t="s">
        <v>74</v>
      </c>
      <c r="AZ653" s="1" t="s">
        <v>74</v>
      </c>
      <c r="BA653" s="1" t="s">
        <v>74</v>
      </c>
      <c r="BB653" s="1">
        <v>935.0</v>
      </c>
      <c r="BC653" s="1">
        <v>937.0</v>
      </c>
      <c r="BD653" s="1" t="s">
        <v>74</v>
      </c>
      <c r="BE653" s="1" t="s">
        <v>5571</v>
      </c>
      <c r="BF653" s="2" t="str">
        <f>HYPERLINK("http://dx.doi.org/10.4067/S0717-97072011000400024","http://dx.doi.org/10.4067/S0717-97072011000400024")</f>
        <v>http://dx.doi.org/10.4067/S0717-97072011000400024</v>
      </c>
      <c r="BG653" s="1" t="s">
        <v>74</v>
      </c>
      <c r="BH653" s="1" t="s">
        <v>74</v>
      </c>
      <c r="BI653" s="1" t="s">
        <v>74</v>
      </c>
      <c r="BJ653" s="1" t="s">
        <v>74</v>
      </c>
      <c r="BK653" s="1" t="s">
        <v>74</v>
      </c>
      <c r="BL653" s="1" t="s">
        <v>74</v>
      </c>
      <c r="BM653" s="1" t="s">
        <v>74</v>
      </c>
      <c r="BN653" s="1" t="s">
        <v>74</v>
      </c>
      <c r="BO653" s="1" t="s">
        <v>74</v>
      </c>
      <c r="BP653" s="1" t="s">
        <v>74</v>
      </c>
      <c r="BQ653" s="1" t="s">
        <v>74</v>
      </c>
      <c r="BR653" s="1" t="s">
        <v>74</v>
      </c>
      <c r="BS653" s="1" t="s">
        <v>5572</v>
      </c>
      <c r="BT653" s="1" t="str">
        <f>HYPERLINK("https%3A%2F%2Fwww.webofscience.com%2Fwos%2Fwoscc%2Ffull-record%2FWOS:000299756900024","View Full Record in Web of Science")</f>
        <v>View Full Record in Web of Science</v>
      </c>
    </row>
    <row r="654" ht="12.75" customHeight="1">
      <c r="A654" s="1" t="s">
        <v>72</v>
      </c>
      <c r="B654" s="1" t="s">
        <v>5573</v>
      </c>
      <c r="C654" s="1" t="s">
        <v>74</v>
      </c>
      <c r="D654" s="1" t="s">
        <v>74</v>
      </c>
      <c r="E654" s="1" t="s">
        <v>74</v>
      </c>
      <c r="F654" s="1" t="s">
        <v>5574</v>
      </c>
      <c r="G654" s="1" t="s">
        <v>74</v>
      </c>
      <c r="H654" s="1" t="s">
        <v>74</v>
      </c>
      <c r="I654" s="1" t="s">
        <v>5575</v>
      </c>
      <c r="J654" s="1" t="s">
        <v>5576</v>
      </c>
      <c r="K654" s="1" t="s">
        <v>74</v>
      </c>
      <c r="L654" s="1" t="s">
        <v>74</v>
      </c>
      <c r="M654" s="1" t="s">
        <v>74</v>
      </c>
      <c r="N654" s="1" t="s">
        <v>74</v>
      </c>
      <c r="O654" s="1" t="s">
        <v>74</v>
      </c>
      <c r="P654" s="1" t="s">
        <v>74</v>
      </c>
      <c r="Q654" s="1" t="s">
        <v>74</v>
      </c>
      <c r="R654" s="1" t="s">
        <v>74</v>
      </c>
      <c r="S654" s="1" t="s">
        <v>74</v>
      </c>
      <c r="T654" s="1" t="s">
        <v>74</v>
      </c>
      <c r="U654" s="1" t="s">
        <v>74</v>
      </c>
      <c r="V654" s="1" t="s">
        <v>5577</v>
      </c>
      <c r="W654" s="1" t="s">
        <v>74</v>
      </c>
      <c r="X654" s="1" t="s">
        <v>74</v>
      </c>
      <c r="Y654" s="1" t="s">
        <v>74</v>
      </c>
      <c r="Z654" s="1" t="s">
        <v>74</v>
      </c>
      <c r="AA654" s="1" t="s">
        <v>5578</v>
      </c>
      <c r="AB654" s="1" t="s">
        <v>5579</v>
      </c>
      <c r="AC654" s="1" t="s">
        <v>74</v>
      </c>
      <c r="AD654" s="1" t="s">
        <v>74</v>
      </c>
      <c r="AE654" s="1" t="s">
        <v>74</v>
      </c>
      <c r="AF654" s="1" t="s">
        <v>74</v>
      </c>
      <c r="AG654" s="1" t="s">
        <v>74</v>
      </c>
      <c r="AH654" s="1" t="s">
        <v>74</v>
      </c>
      <c r="AI654" s="1" t="s">
        <v>74</v>
      </c>
      <c r="AJ654" s="1" t="s">
        <v>74</v>
      </c>
      <c r="AK654" s="1" t="s">
        <v>74</v>
      </c>
      <c r="AL654" s="1" t="s">
        <v>74</v>
      </c>
      <c r="AM654" s="1" t="s">
        <v>74</v>
      </c>
      <c r="AN654" s="1" t="s">
        <v>74</v>
      </c>
      <c r="AO654" s="1" t="s">
        <v>5580</v>
      </c>
      <c r="AP654" s="1" t="s">
        <v>5581</v>
      </c>
      <c r="AQ654" s="1" t="s">
        <v>74</v>
      </c>
      <c r="AR654" s="1" t="s">
        <v>74</v>
      </c>
      <c r="AS654" s="1" t="s">
        <v>74</v>
      </c>
      <c r="AT654" s="1" t="s">
        <v>288</v>
      </c>
      <c r="AU654" s="1">
        <v>2010.0</v>
      </c>
      <c r="AV654" s="1">
        <v>23.0</v>
      </c>
      <c r="AW654" s="1">
        <v>2.0</v>
      </c>
      <c r="AX654" s="1" t="s">
        <v>74</v>
      </c>
      <c r="AY654" s="1" t="s">
        <v>74</v>
      </c>
      <c r="AZ654" s="1" t="s">
        <v>74</v>
      </c>
      <c r="BA654" s="1" t="s">
        <v>74</v>
      </c>
      <c r="BB654" s="1">
        <v>156.0</v>
      </c>
      <c r="BC654" s="1">
        <v>170.0</v>
      </c>
      <c r="BD654" s="1" t="s">
        <v>74</v>
      </c>
      <c r="BE654" s="1" t="s">
        <v>5582</v>
      </c>
      <c r="BF654" s="2" t="str">
        <f>HYPERLINK("http://dx.doi.org/10.1002/poc.1599","http://dx.doi.org/10.1002/poc.1599")</f>
        <v>http://dx.doi.org/10.1002/poc.1599</v>
      </c>
      <c r="BG654" s="1" t="s">
        <v>74</v>
      </c>
      <c r="BH654" s="1" t="s">
        <v>74</v>
      </c>
      <c r="BI654" s="1" t="s">
        <v>74</v>
      </c>
      <c r="BJ654" s="1" t="s">
        <v>74</v>
      </c>
      <c r="BK654" s="1" t="s">
        <v>74</v>
      </c>
      <c r="BL654" s="1" t="s">
        <v>74</v>
      </c>
      <c r="BM654" s="1" t="s">
        <v>74</v>
      </c>
      <c r="BN654" s="1" t="s">
        <v>74</v>
      </c>
      <c r="BO654" s="1" t="s">
        <v>74</v>
      </c>
      <c r="BP654" s="1" t="s">
        <v>74</v>
      </c>
      <c r="BQ654" s="1" t="s">
        <v>74</v>
      </c>
      <c r="BR654" s="1" t="s">
        <v>74</v>
      </c>
      <c r="BS654" s="1" t="s">
        <v>5583</v>
      </c>
      <c r="BT654" s="1" t="str">
        <f>HYPERLINK("https%3A%2F%2Fwww.webofscience.com%2Fwos%2Fwoscc%2Ffull-record%2FWOS:000274353400009","View Full Record in Web of Science")</f>
        <v>View Full Record in Web of Science</v>
      </c>
    </row>
    <row r="655" ht="12.75" customHeight="1">
      <c r="A655" s="1" t="s">
        <v>91</v>
      </c>
      <c r="B655" s="1" t="s">
        <v>5584</v>
      </c>
      <c r="C655" s="1" t="s">
        <v>74</v>
      </c>
      <c r="D655" s="1" t="s">
        <v>5585</v>
      </c>
      <c r="E655" s="1" t="s">
        <v>74</v>
      </c>
      <c r="F655" s="1" t="s">
        <v>5586</v>
      </c>
      <c r="G655" s="1" t="s">
        <v>74</v>
      </c>
      <c r="H655" s="1" t="s">
        <v>5587</v>
      </c>
      <c r="I655" s="1" t="s">
        <v>5588</v>
      </c>
      <c r="J655" s="1" t="s">
        <v>5589</v>
      </c>
      <c r="K655" s="1" t="s">
        <v>1638</v>
      </c>
      <c r="L655" s="1" t="s">
        <v>74</v>
      </c>
      <c r="M655" s="1" t="s">
        <v>74</v>
      </c>
      <c r="N655" s="1" t="s">
        <v>74</v>
      </c>
      <c r="O655" s="1" t="s">
        <v>5590</v>
      </c>
      <c r="P655" s="1" t="s">
        <v>5591</v>
      </c>
      <c r="Q655" s="1" t="s">
        <v>1533</v>
      </c>
      <c r="R655" s="1" t="s">
        <v>74</v>
      </c>
      <c r="S655" s="1" t="s">
        <v>74</v>
      </c>
      <c r="T655" s="1" t="s">
        <v>74</v>
      </c>
      <c r="U655" s="1" t="s">
        <v>74</v>
      </c>
      <c r="V655" s="1" t="s">
        <v>5592</v>
      </c>
      <c r="W655" s="1" t="s">
        <v>74</v>
      </c>
      <c r="X655" s="1" t="s">
        <v>74</v>
      </c>
      <c r="Y655" s="1" t="s">
        <v>74</v>
      </c>
      <c r="Z655" s="1" t="s">
        <v>74</v>
      </c>
      <c r="AA655" s="1" t="s">
        <v>5593</v>
      </c>
      <c r="AB655" s="1" t="s">
        <v>5594</v>
      </c>
      <c r="AC655" s="1" t="s">
        <v>74</v>
      </c>
      <c r="AD655" s="1" t="s">
        <v>74</v>
      </c>
      <c r="AE655" s="1" t="s">
        <v>74</v>
      </c>
      <c r="AF655" s="1" t="s">
        <v>74</v>
      </c>
      <c r="AG655" s="1" t="s">
        <v>74</v>
      </c>
      <c r="AH655" s="1" t="s">
        <v>74</v>
      </c>
      <c r="AI655" s="1" t="s">
        <v>74</v>
      </c>
      <c r="AJ655" s="1" t="s">
        <v>74</v>
      </c>
      <c r="AK655" s="1" t="s">
        <v>74</v>
      </c>
      <c r="AL655" s="1" t="s">
        <v>74</v>
      </c>
      <c r="AM655" s="1" t="s">
        <v>74</v>
      </c>
      <c r="AN655" s="1" t="s">
        <v>74</v>
      </c>
      <c r="AO655" s="1" t="s">
        <v>1644</v>
      </c>
      <c r="AP655" s="1" t="s">
        <v>1645</v>
      </c>
      <c r="AQ655" s="1" t="s">
        <v>74</v>
      </c>
      <c r="AR655" s="1" t="s">
        <v>74</v>
      </c>
      <c r="AS655" s="1" t="s">
        <v>74</v>
      </c>
      <c r="AT655" s="1" t="s">
        <v>74</v>
      </c>
      <c r="AU655" s="1">
        <v>2010.0</v>
      </c>
      <c r="AV655" s="1">
        <v>219.0</v>
      </c>
      <c r="AW655" s="1" t="s">
        <v>74</v>
      </c>
      <c r="AX655" s="1" t="s">
        <v>74</v>
      </c>
      <c r="AY655" s="1" t="s">
        <v>74</v>
      </c>
      <c r="AZ655" s="1" t="s">
        <v>74</v>
      </c>
      <c r="BA655" s="1" t="s">
        <v>74</v>
      </c>
      <c r="BB655" s="1" t="s">
        <v>74</v>
      </c>
      <c r="BC655" s="1" t="s">
        <v>74</v>
      </c>
      <c r="BD655" s="1">
        <v>62061.0</v>
      </c>
      <c r="BE655" s="1" t="s">
        <v>5595</v>
      </c>
      <c r="BF655" s="2" t="str">
        <f>HYPERLINK("http://dx.doi.org/10.1088/1742-6596/219/6/062061","http://dx.doi.org/10.1088/1742-6596/219/6/062061")</f>
        <v>http://dx.doi.org/10.1088/1742-6596/219/6/062061</v>
      </c>
      <c r="BG655" s="1" t="s">
        <v>74</v>
      </c>
      <c r="BH655" s="1" t="s">
        <v>74</v>
      </c>
      <c r="BI655" s="1" t="s">
        <v>74</v>
      </c>
      <c r="BJ655" s="1" t="s">
        <v>74</v>
      </c>
      <c r="BK655" s="1" t="s">
        <v>74</v>
      </c>
      <c r="BL655" s="1" t="s">
        <v>74</v>
      </c>
      <c r="BM655" s="1" t="s">
        <v>74</v>
      </c>
      <c r="BN655" s="1" t="s">
        <v>74</v>
      </c>
      <c r="BO655" s="1" t="s">
        <v>74</v>
      </c>
      <c r="BP655" s="1" t="s">
        <v>74</v>
      </c>
      <c r="BQ655" s="1" t="s">
        <v>74</v>
      </c>
      <c r="BR655" s="1" t="s">
        <v>74</v>
      </c>
      <c r="BS655" s="1" t="s">
        <v>5596</v>
      </c>
      <c r="BT655" s="1" t="str">
        <f>HYPERLINK("https%3A%2F%2Fwww.webofscience.com%2Fwos%2Fwoscc%2Ffull-record%2FWOS:000295102000260","View Full Record in Web of Science")</f>
        <v>View Full Record in Web of Science</v>
      </c>
    </row>
    <row r="656" ht="12.75" customHeight="1">
      <c r="A656" s="1" t="s">
        <v>91</v>
      </c>
      <c r="B656" s="1" t="s">
        <v>5597</v>
      </c>
      <c r="C656" s="1" t="s">
        <v>74</v>
      </c>
      <c r="D656" s="1" t="s">
        <v>4048</v>
      </c>
      <c r="E656" s="1" t="s">
        <v>74</v>
      </c>
      <c r="F656" s="1" t="s">
        <v>5598</v>
      </c>
      <c r="G656" s="1" t="s">
        <v>74</v>
      </c>
      <c r="H656" s="1" t="s">
        <v>74</v>
      </c>
      <c r="I656" s="1" t="s">
        <v>5599</v>
      </c>
      <c r="J656" s="1" t="s">
        <v>4051</v>
      </c>
      <c r="K656" s="1" t="s">
        <v>74</v>
      </c>
      <c r="L656" s="1" t="s">
        <v>74</v>
      </c>
      <c r="M656" s="1" t="s">
        <v>74</v>
      </c>
      <c r="N656" s="1" t="s">
        <v>74</v>
      </c>
      <c r="O656" s="1" t="s">
        <v>4052</v>
      </c>
      <c r="P656" s="1" t="s">
        <v>4053</v>
      </c>
      <c r="Q656" s="1" t="s">
        <v>4054</v>
      </c>
      <c r="R656" s="1" t="s">
        <v>4055</v>
      </c>
      <c r="S656" s="1" t="s">
        <v>74</v>
      </c>
      <c r="T656" s="1" t="s">
        <v>74</v>
      </c>
      <c r="U656" s="1" t="s">
        <v>74</v>
      </c>
      <c r="V656" s="1" t="s">
        <v>5600</v>
      </c>
      <c r="W656" s="1" t="s">
        <v>74</v>
      </c>
      <c r="X656" s="1" t="s">
        <v>74</v>
      </c>
      <c r="Y656" s="1" t="s">
        <v>74</v>
      </c>
      <c r="Z656" s="1" t="s">
        <v>74</v>
      </c>
      <c r="AA656" s="1" t="s">
        <v>5601</v>
      </c>
      <c r="AB656" s="1" t="s">
        <v>5602</v>
      </c>
      <c r="AC656" s="1" t="s">
        <v>74</v>
      </c>
      <c r="AD656" s="1" t="s">
        <v>74</v>
      </c>
      <c r="AE656" s="1" t="s">
        <v>74</v>
      </c>
      <c r="AF656" s="1" t="s">
        <v>74</v>
      </c>
      <c r="AG656" s="1" t="s">
        <v>74</v>
      </c>
      <c r="AH656" s="1" t="s">
        <v>74</v>
      </c>
      <c r="AI656" s="1" t="s">
        <v>74</v>
      </c>
      <c r="AJ656" s="1" t="s">
        <v>74</v>
      </c>
      <c r="AK656" s="1" t="s">
        <v>74</v>
      </c>
      <c r="AL656" s="1" t="s">
        <v>74</v>
      </c>
      <c r="AM656" s="1" t="s">
        <v>74</v>
      </c>
      <c r="AN656" s="1" t="s">
        <v>74</v>
      </c>
      <c r="AO656" s="1" t="s">
        <v>74</v>
      </c>
      <c r="AP656" s="1" t="s">
        <v>74</v>
      </c>
      <c r="AQ656" s="1" t="s">
        <v>4058</v>
      </c>
      <c r="AR656" s="1" t="s">
        <v>74</v>
      </c>
      <c r="AS656" s="1" t="s">
        <v>74</v>
      </c>
      <c r="AT656" s="1" t="s">
        <v>74</v>
      </c>
      <c r="AU656" s="1">
        <v>2010.0</v>
      </c>
      <c r="AV656" s="1" t="s">
        <v>74</v>
      </c>
      <c r="AW656" s="1" t="s">
        <v>74</v>
      </c>
      <c r="AX656" s="1" t="s">
        <v>74</v>
      </c>
      <c r="AY656" s="1" t="s">
        <v>74</v>
      </c>
      <c r="AZ656" s="1" t="s">
        <v>74</v>
      </c>
      <c r="BA656" s="1" t="s">
        <v>74</v>
      </c>
      <c r="BB656" s="1">
        <v>263.0</v>
      </c>
      <c r="BC656" s="1">
        <v>267.0</v>
      </c>
      <c r="BD656" s="1" t="s">
        <v>74</v>
      </c>
      <c r="BE656" s="1" t="s">
        <v>74</v>
      </c>
      <c r="BF656" s="1" t="s">
        <v>74</v>
      </c>
      <c r="BG656" s="1" t="s">
        <v>74</v>
      </c>
      <c r="BH656" s="1" t="s">
        <v>74</v>
      </c>
      <c r="BI656" s="1" t="s">
        <v>74</v>
      </c>
      <c r="BJ656" s="1" t="s">
        <v>74</v>
      </c>
      <c r="BK656" s="1" t="s">
        <v>74</v>
      </c>
      <c r="BL656" s="1" t="s">
        <v>74</v>
      </c>
      <c r="BM656" s="1" t="s">
        <v>74</v>
      </c>
      <c r="BN656" s="1" t="s">
        <v>74</v>
      </c>
      <c r="BO656" s="1" t="s">
        <v>74</v>
      </c>
      <c r="BP656" s="1" t="s">
        <v>74</v>
      </c>
      <c r="BQ656" s="1" t="s">
        <v>74</v>
      </c>
      <c r="BR656" s="1" t="s">
        <v>74</v>
      </c>
      <c r="BS656" s="1" t="s">
        <v>5603</v>
      </c>
      <c r="BT656" s="1" t="str">
        <f>HYPERLINK("https%3A%2F%2Fwww.webofscience.com%2Fwos%2Fwoscc%2Ffull-record%2FWOS:000393365300035","View Full Record in Web of Science")</f>
        <v>View Full Record in Web of Science</v>
      </c>
    </row>
    <row r="657" ht="12.75" customHeight="1">
      <c r="A657" s="1" t="s">
        <v>72</v>
      </c>
      <c r="B657" s="1" t="s">
        <v>5604</v>
      </c>
      <c r="C657" s="1" t="s">
        <v>74</v>
      </c>
      <c r="D657" s="1" t="s">
        <v>74</v>
      </c>
      <c r="E657" s="1" t="s">
        <v>74</v>
      </c>
      <c r="F657" s="1" t="s">
        <v>5605</v>
      </c>
      <c r="G657" s="1" t="s">
        <v>74</v>
      </c>
      <c r="H657" s="1" t="s">
        <v>74</v>
      </c>
      <c r="I657" s="1" t="s">
        <v>5606</v>
      </c>
      <c r="J657" s="1" t="s">
        <v>1490</v>
      </c>
      <c r="K657" s="1" t="s">
        <v>74</v>
      </c>
      <c r="L657" s="1" t="s">
        <v>74</v>
      </c>
      <c r="M657" s="1" t="s">
        <v>74</v>
      </c>
      <c r="N657" s="1" t="s">
        <v>74</v>
      </c>
      <c r="O657" s="1" t="s">
        <v>74</v>
      </c>
      <c r="P657" s="1" t="s">
        <v>74</v>
      </c>
      <c r="Q657" s="1" t="s">
        <v>74</v>
      </c>
      <c r="R657" s="1" t="s">
        <v>74</v>
      </c>
      <c r="S657" s="1" t="s">
        <v>74</v>
      </c>
      <c r="T657" s="1" t="s">
        <v>74</v>
      </c>
      <c r="U657" s="1" t="s">
        <v>74</v>
      </c>
      <c r="V657" s="1" t="s">
        <v>5607</v>
      </c>
      <c r="W657" s="1" t="s">
        <v>74</v>
      </c>
      <c r="X657" s="1" t="s">
        <v>74</v>
      </c>
      <c r="Y657" s="1" t="s">
        <v>74</v>
      </c>
      <c r="Z657" s="1" t="s">
        <v>74</v>
      </c>
      <c r="AA657" s="1" t="s">
        <v>74</v>
      </c>
      <c r="AB657" s="1" t="s">
        <v>74</v>
      </c>
      <c r="AC657" s="1" t="s">
        <v>74</v>
      </c>
      <c r="AD657" s="1" t="s">
        <v>74</v>
      </c>
      <c r="AE657" s="1" t="s">
        <v>74</v>
      </c>
      <c r="AF657" s="1" t="s">
        <v>74</v>
      </c>
      <c r="AG657" s="1" t="s">
        <v>74</v>
      </c>
      <c r="AH657" s="1" t="s">
        <v>74</v>
      </c>
      <c r="AI657" s="1" t="s">
        <v>74</v>
      </c>
      <c r="AJ657" s="1" t="s">
        <v>74</v>
      </c>
      <c r="AK657" s="1" t="s">
        <v>74</v>
      </c>
      <c r="AL657" s="1" t="s">
        <v>74</v>
      </c>
      <c r="AM657" s="1" t="s">
        <v>74</v>
      </c>
      <c r="AN657" s="1" t="s">
        <v>74</v>
      </c>
      <c r="AO657" s="1" t="s">
        <v>1491</v>
      </c>
      <c r="AP657" s="1" t="s">
        <v>1492</v>
      </c>
      <c r="AQ657" s="1" t="s">
        <v>74</v>
      </c>
      <c r="AR657" s="1" t="s">
        <v>74</v>
      </c>
      <c r="AS657" s="1" t="s">
        <v>74</v>
      </c>
      <c r="AT657" s="1" t="s">
        <v>915</v>
      </c>
      <c r="AU657" s="1">
        <v>2009.0</v>
      </c>
      <c r="AV657" s="1">
        <v>63.0</v>
      </c>
      <c r="AW657" s="1">
        <v>212.0</v>
      </c>
      <c r="AX657" s="1" t="s">
        <v>74</v>
      </c>
      <c r="AY657" s="1" t="s">
        <v>74</v>
      </c>
      <c r="AZ657" s="1" t="s">
        <v>74</v>
      </c>
      <c r="BA657" s="1" t="s">
        <v>74</v>
      </c>
      <c r="BB657" s="1">
        <v>29.0</v>
      </c>
      <c r="BC657" s="1">
        <v>50.0</v>
      </c>
      <c r="BD657" s="1" t="s">
        <v>74</v>
      </c>
      <c r="BE657" s="1" t="s">
        <v>74</v>
      </c>
      <c r="BF657" s="1" t="s">
        <v>74</v>
      </c>
      <c r="BG657" s="1" t="s">
        <v>74</v>
      </c>
      <c r="BH657" s="1" t="s">
        <v>74</v>
      </c>
      <c r="BI657" s="1" t="s">
        <v>74</v>
      </c>
      <c r="BJ657" s="1" t="s">
        <v>74</v>
      </c>
      <c r="BK657" s="1" t="s">
        <v>74</v>
      </c>
      <c r="BL657" s="1" t="s">
        <v>74</v>
      </c>
      <c r="BM657" s="1" t="s">
        <v>74</v>
      </c>
      <c r="BN657" s="1" t="s">
        <v>74</v>
      </c>
      <c r="BO657" s="1" t="s">
        <v>74</v>
      </c>
      <c r="BP657" s="1" t="s">
        <v>74</v>
      </c>
      <c r="BQ657" s="1" t="s">
        <v>74</v>
      </c>
      <c r="BR657" s="1" t="s">
        <v>74</v>
      </c>
      <c r="BS657" s="1" t="s">
        <v>5608</v>
      </c>
      <c r="BT657" s="1" t="str">
        <f>HYPERLINK("https%3A%2F%2Fwww.webofscience.com%2Fwos%2Fwoscc%2Ffull-record%2FWOS:000272732700004","View Full Record in Web of Science")</f>
        <v>View Full Record in Web of Science</v>
      </c>
    </row>
    <row r="658" ht="12.75" customHeight="1">
      <c r="A658" s="1" t="s">
        <v>91</v>
      </c>
      <c r="B658" s="1" t="s">
        <v>5609</v>
      </c>
      <c r="C658" s="1" t="s">
        <v>74</v>
      </c>
      <c r="D658" s="1" t="s">
        <v>74</v>
      </c>
      <c r="E658" s="1" t="s">
        <v>997</v>
      </c>
      <c r="F658" s="1" t="s">
        <v>5610</v>
      </c>
      <c r="G658" s="1" t="s">
        <v>74</v>
      </c>
      <c r="H658" s="1" t="s">
        <v>74</v>
      </c>
      <c r="I658" s="1" t="s">
        <v>5611</v>
      </c>
      <c r="J658" s="1" t="s">
        <v>5612</v>
      </c>
      <c r="K658" s="1" t="s">
        <v>74</v>
      </c>
      <c r="L658" s="1" t="s">
        <v>74</v>
      </c>
      <c r="M658" s="1" t="s">
        <v>74</v>
      </c>
      <c r="N658" s="1" t="s">
        <v>74</v>
      </c>
      <c r="O658" s="1" t="s">
        <v>5537</v>
      </c>
      <c r="P658" s="1" t="s">
        <v>5613</v>
      </c>
      <c r="Q658" s="1" t="s">
        <v>5614</v>
      </c>
      <c r="R658" s="1" t="s">
        <v>4011</v>
      </c>
      <c r="S658" s="1" t="s">
        <v>74</v>
      </c>
      <c r="T658" s="1" t="s">
        <v>74</v>
      </c>
      <c r="U658" s="1" t="s">
        <v>74</v>
      </c>
      <c r="V658" s="1" t="s">
        <v>5615</v>
      </c>
      <c r="W658" s="1" t="s">
        <v>74</v>
      </c>
      <c r="X658" s="1" t="s">
        <v>74</v>
      </c>
      <c r="Y658" s="1" t="s">
        <v>74</v>
      </c>
      <c r="Z658" s="1" t="s">
        <v>74</v>
      </c>
      <c r="AA658" s="1" t="s">
        <v>1761</v>
      </c>
      <c r="AB658" s="1" t="s">
        <v>74</v>
      </c>
      <c r="AC658" s="1" t="s">
        <v>74</v>
      </c>
      <c r="AD658" s="1" t="s">
        <v>74</v>
      </c>
      <c r="AE658" s="1" t="s">
        <v>74</v>
      </c>
      <c r="AF658" s="1" t="s">
        <v>74</v>
      </c>
      <c r="AG658" s="1" t="s">
        <v>74</v>
      </c>
      <c r="AH658" s="1" t="s">
        <v>74</v>
      </c>
      <c r="AI658" s="1" t="s">
        <v>74</v>
      </c>
      <c r="AJ658" s="1" t="s">
        <v>74</v>
      </c>
      <c r="AK658" s="1" t="s">
        <v>74</v>
      </c>
      <c r="AL658" s="1" t="s">
        <v>74</v>
      </c>
      <c r="AM658" s="1" t="s">
        <v>74</v>
      </c>
      <c r="AN658" s="1" t="s">
        <v>74</v>
      </c>
      <c r="AO658" s="1" t="s">
        <v>74</v>
      </c>
      <c r="AP658" s="1" t="s">
        <v>74</v>
      </c>
      <c r="AQ658" s="1" t="s">
        <v>5616</v>
      </c>
      <c r="AR658" s="1" t="s">
        <v>74</v>
      </c>
      <c r="AS658" s="1" t="s">
        <v>74</v>
      </c>
      <c r="AT658" s="1" t="s">
        <v>74</v>
      </c>
      <c r="AU658" s="1">
        <v>2009.0</v>
      </c>
      <c r="AV658" s="1" t="s">
        <v>74</v>
      </c>
      <c r="AW658" s="1" t="s">
        <v>74</v>
      </c>
      <c r="AX658" s="1" t="s">
        <v>74</v>
      </c>
      <c r="AY658" s="1" t="s">
        <v>74</v>
      </c>
      <c r="AZ658" s="1" t="s">
        <v>74</v>
      </c>
      <c r="BA658" s="1" t="s">
        <v>74</v>
      </c>
      <c r="BB658" s="1">
        <v>271.0</v>
      </c>
      <c r="BC658" s="1">
        <v>278.0</v>
      </c>
      <c r="BD658" s="1" t="s">
        <v>74</v>
      </c>
      <c r="BE658" s="1" t="s">
        <v>74</v>
      </c>
      <c r="BF658" s="1" t="s">
        <v>74</v>
      </c>
      <c r="BG658" s="1" t="s">
        <v>74</v>
      </c>
      <c r="BH658" s="1" t="s">
        <v>74</v>
      </c>
      <c r="BI658" s="1" t="s">
        <v>74</v>
      </c>
      <c r="BJ658" s="1" t="s">
        <v>74</v>
      </c>
      <c r="BK658" s="1" t="s">
        <v>74</v>
      </c>
      <c r="BL658" s="1" t="s">
        <v>74</v>
      </c>
      <c r="BM658" s="1" t="s">
        <v>74</v>
      </c>
      <c r="BN658" s="1" t="s">
        <v>74</v>
      </c>
      <c r="BO658" s="1" t="s">
        <v>74</v>
      </c>
      <c r="BP658" s="1" t="s">
        <v>74</v>
      </c>
      <c r="BQ658" s="1" t="s">
        <v>74</v>
      </c>
      <c r="BR658" s="1" t="s">
        <v>74</v>
      </c>
      <c r="BS658" s="1" t="s">
        <v>5617</v>
      </c>
      <c r="BT658" s="1" t="str">
        <f>HYPERLINK("https%3A%2F%2Fwww.webofscience.com%2Fwos%2Fwoscc%2Ffull-record%2FWOS:000265085300034","View Full Record in Web of Science")</f>
        <v>View Full Record in Web of Science</v>
      </c>
    </row>
    <row r="659" ht="12.75" customHeight="1">
      <c r="A659" s="1" t="s">
        <v>91</v>
      </c>
      <c r="B659" s="1" t="s">
        <v>5618</v>
      </c>
      <c r="C659" s="1" t="s">
        <v>74</v>
      </c>
      <c r="D659" s="1" t="s">
        <v>74</v>
      </c>
      <c r="E659" s="1" t="s">
        <v>997</v>
      </c>
      <c r="F659" s="1" t="s">
        <v>5619</v>
      </c>
      <c r="G659" s="1" t="s">
        <v>74</v>
      </c>
      <c r="H659" s="1" t="s">
        <v>74</v>
      </c>
      <c r="I659" s="1" t="s">
        <v>5620</v>
      </c>
      <c r="J659" s="1" t="s">
        <v>5621</v>
      </c>
      <c r="K659" s="1" t="s">
        <v>74</v>
      </c>
      <c r="L659" s="1" t="s">
        <v>74</v>
      </c>
      <c r="M659" s="1" t="s">
        <v>74</v>
      </c>
      <c r="N659" s="1" t="s">
        <v>74</v>
      </c>
      <c r="O659" s="1" t="s">
        <v>5622</v>
      </c>
      <c r="P659" s="1">
        <v>2009.0</v>
      </c>
      <c r="Q659" s="1" t="s">
        <v>5623</v>
      </c>
      <c r="R659" s="1" t="s">
        <v>5624</v>
      </c>
      <c r="S659" s="1" t="s">
        <v>74</v>
      </c>
      <c r="T659" s="1" t="s">
        <v>74</v>
      </c>
      <c r="U659" s="1" t="s">
        <v>74</v>
      </c>
      <c r="V659" s="1" t="s">
        <v>5625</v>
      </c>
      <c r="W659" s="1" t="s">
        <v>74</v>
      </c>
      <c r="X659" s="1" t="s">
        <v>74</v>
      </c>
      <c r="Y659" s="1" t="s">
        <v>74</v>
      </c>
      <c r="Z659" s="1" t="s">
        <v>74</v>
      </c>
      <c r="AA659" s="1" t="s">
        <v>74</v>
      </c>
      <c r="AB659" s="1" t="s">
        <v>74</v>
      </c>
      <c r="AC659" s="1" t="s">
        <v>74</v>
      </c>
      <c r="AD659" s="1" t="s">
        <v>74</v>
      </c>
      <c r="AE659" s="1" t="s">
        <v>74</v>
      </c>
      <c r="AF659" s="1" t="s">
        <v>74</v>
      </c>
      <c r="AG659" s="1" t="s">
        <v>74</v>
      </c>
      <c r="AH659" s="1" t="s">
        <v>74</v>
      </c>
      <c r="AI659" s="1" t="s">
        <v>74</v>
      </c>
      <c r="AJ659" s="1" t="s">
        <v>74</v>
      </c>
      <c r="AK659" s="1" t="s">
        <v>74</v>
      </c>
      <c r="AL659" s="1" t="s">
        <v>74</v>
      </c>
      <c r="AM659" s="1" t="s">
        <v>74</v>
      </c>
      <c r="AN659" s="1" t="s">
        <v>74</v>
      </c>
      <c r="AO659" s="1" t="s">
        <v>74</v>
      </c>
      <c r="AP659" s="1" t="s">
        <v>74</v>
      </c>
      <c r="AQ659" s="1" t="s">
        <v>5626</v>
      </c>
      <c r="AR659" s="1" t="s">
        <v>74</v>
      </c>
      <c r="AS659" s="1" t="s">
        <v>74</v>
      </c>
      <c r="AT659" s="1" t="s">
        <v>74</v>
      </c>
      <c r="AU659" s="1">
        <v>2009.0</v>
      </c>
      <c r="AV659" s="1" t="s">
        <v>74</v>
      </c>
      <c r="AW659" s="1" t="s">
        <v>74</v>
      </c>
      <c r="AX659" s="1" t="s">
        <v>74</v>
      </c>
      <c r="AY659" s="1" t="s">
        <v>74</v>
      </c>
      <c r="AZ659" s="1" t="s">
        <v>74</v>
      </c>
      <c r="BA659" s="1" t="s">
        <v>74</v>
      </c>
      <c r="BB659" s="1">
        <v>863.0</v>
      </c>
      <c r="BC659" s="1">
        <v>871.0</v>
      </c>
      <c r="BD659" s="1" t="s">
        <v>74</v>
      </c>
      <c r="BE659" s="1" t="s">
        <v>74</v>
      </c>
      <c r="BF659" s="1" t="s">
        <v>74</v>
      </c>
      <c r="BG659" s="1" t="s">
        <v>74</v>
      </c>
      <c r="BH659" s="1" t="s">
        <v>74</v>
      </c>
      <c r="BI659" s="1" t="s">
        <v>74</v>
      </c>
      <c r="BJ659" s="1" t="s">
        <v>74</v>
      </c>
      <c r="BK659" s="1" t="s">
        <v>74</v>
      </c>
      <c r="BL659" s="1" t="s">
        <v>74</v>
      </c>
      <c r="BM659" s="1" t="s">
        <v>74</v>
      </c>
      <c r="BN659" s="1" t="s">
        <v>74</v>
      </c>
      <c r="BO659" s="1" t="s">
        <v>74</v>
      </c>
      <c r="BP659" s="1" t="s">
        <v>74</v>
      </c>
      <c r="BQ659" s="1" t="s">
        <v>74</v>
      </c>
      <c r="BR659" s="1" t="s">
        <v>74</v>
      </c>
      <c r="BS659" s="1" t="s">
        <v>5627</v>
      </c>
      <c r="BT659" s="1" t="str">
        <f>HYPERLINK("https%3A%2F%2Fwww.webofscience.com%2Fwos%2Fwoscc%2Ffull-record%2FWOS:000282107400100","View Full Record in Web of Science")</f>
        <v>View Full Record in Web of Science</v>
      </c>
    </row>
    <row r="660" ht="12.75" customHeight="1">
      <c r="A660" s="1" t="s">
        <v>91</v>
      </c>
      <c r="B660" s="1" t="s">
        <v>5628</v>
      </c>
      <c r="C660" s="1" t="s">
        <v>74</v>
      </c>
      <c r="D660" s="1" t="s">
        <v>74</v>
      </c>
      <c r="E660" s="1" t="s">
        <v>997</v>
      </c>
      <c r="F660" s="1" t="s">
        <v>5629</v>
      </c>
      <c r="G660" s="1" t="s">
        <v>74</v>
      </c>
      <c r="H660" s="1" t="s">
        <v>74</v>
      </c>
      <c r="I660" s="1" t="s">
        <v>5630</v>
      </c>
      <c r="J660" s="1" t="s">
        <v>5631</v>
      </c>
      <c r="K660" s="1" t="s">
        <v>74</v>
      </c>
      <c r="L660" s="1" t="s">
        <v>74</v>
      </c>
      <c r="M660" s="1" t="s">
        <v>74</v>
      </c>
      <c r="N660" s="1" t="s">
        <v>74</v>
      </c>
      <c r="O660" s="1" t="s">
        <v>5537</v>
      </c>
      <c r="P660" s="1" t="s">
        <v>5613</v>
      </c>
      <c r="Q660" s="1" t="s">
        <v>5614</v>
      </c>
      <c r="R660" s="1" t="s">
        <v>4011</v>
      </c>
      <c r="S660" s="1" t="s">
        <v>74</v>
      </c>
      <c r="T660" s="1" t="s">
        <v>74</v>
      </c>
      <c r="U660" s="1" t="s">
        <v>74</v>
      </c>
      <c r="V660" s="1" t="s">
        <v>5632</v>
      </c>
      <c r="W660" s="1" t="s">
        <v>74</v>
      </c>
      <c r="X660" s="1" t="s">
        <v>74</v>
      </c>
      <c r="Y660" s="1" t="s">
        <v>74</v>
      </c>
      <c r="Z660" s="1" t="s">
        <v>74</v>
      </c>
      <c r="AA660" s="1" t="s">
        <v>1761</v>
      </c>
      <c r="AB660" s="1" t="s">
        <v>74</v>
      </c>
      <c r="AC660" s="1" t="s">
        <v>74</v>
      </c>
      <c r="AD660" s="1" t="s">
        <v>74</v>
      </c>
      <c r="AE660" s="1" t="s">
        <v>74</v>
      </c>
      <c r="AF660" s="1" t="s">
        <v>74</v>
      </c>
      <c r="AG660" s="1" t="s">
        <v>74</v>
      </c>
      <c r="AH660" s="1" t="s">
        <v>74</v>
      </c>
      <c r="AI660" s="1" t="s">
        <v>74</v>
      </c>
      <c r="AJ660" s="1" t="s">
        <v>74</v>
      </c>
      <c r="AK660" s="1" t="s">
        <v>74</v>
      </c>
      <c r="AL660" s="1" t="s">
        <v>74</v>
      </c>
      <c r="AM660" s="1" t="s">
        <v>74</v>
      </c>
      <c r="AN660" s="1" t="s">
        <v>74</v>
      </c>
      <c r="AO660" s="1" t="s">
        <v>74</v>
      </c>
      <c r="AP660" s="1" t="s">
        <v>74</v>
      </c>
      <c r="AQ660" s="1" t="s">
        <v>5633</v>
      </c>
      <c r="AR660" s="1" t="s">
        <v>74</v>
      </c>
      <c r="AS660" s="1" t="s">
        <v>74</v>
      </c>
      <c r="AT660" s="1" t="s">
        <v>74</v>
      </c>
      <c r="AU660" s="1">
        <v>2009.0</v>
      </c>
      <c r="AV660" s="1" t="s">
        <v>74</v>
      </c>
      <c r="AW660" s="1" t="s">
        <v>74</v>
      </c>
      <c r="AX660" s="1" t="s">
        <v>74</v>
      </c>
      <c r="AY660" s="1" t="s">
        <v>74</v>
      </c>
      <c r="AZ660" s="1" t="s">
        <v>74</v>
      </c>
      <c r="BA660" s="1" t="s">
        <v>74</v>
      </c>
      <c r="BB660" s="1">
        <v>931.0</v>
      </c>
      <c r="BC660" s="1">
        <v>940.0</v>
      </c>
      <c r="BD660" s="1" t="s">
        <v>74</v>
      </c>
      <c r="BE660" s="1" t="s">
        <v>74</v>
      </c>
      <c r="BF660" s="1" t="s">
        <v>74</v>
      </c>
      <c r="BG660" s="1" t="s">
        <v>74</v>
      </c>
      <c r="BH660" s="1" t="s">
        <v>74</v>
      </c>
      <c r="BI660" s="1" t="s">
        <v>74</v>
      </c>
      <c r="BJ660" s="1" t="s">
        <v>74</v>
      </c>
      <c r="BK660" s="1" t="s">
        <v>74</v>
      </c>
      <c r="BL660" s="1" t="s">
        <v>74</v>
      </c>
      <c r="BM660" s="1" t="s">
        <v>74</v>
      </c>
      <c r="BN660" s="1" t="s">
        <v>74</v>
      </c>
      <c r="BO660" s="1" t="s">
        <v>74</v>
      </c>
      <c r="BP660" s="1" t="s">
        <v>74</v>
      </c>
      <c r="BQ660" s="1" t="s">
        <v>74</v>
      </c>
      <c r="BR660" s="1" t="s">
        <v>74</v>
      </c>
      <c r="BS660" s="1" t="s">
        <v>5634</v>
      </c>
      <c r="BT660" s="1" t="str">
        <f>HYPERLINK("https%3A%2F%2Fwww.webofscience.com%2Fwos%2Fwoscc%2Ffull-record%2FWOS:000266546900122","View Full Record in Web of Science")</f>
        <v>View Full Record in Web of Science</v>
      </c>
    </row>
    <row r="661" ht="12.75" customHeight="1">
      <c r="A661" s="1" t="s">
        <v>72</v>
      </c>
      <c r="B661" s="1" t="s">
        <v>4081</v>
      </c>
      <c r="C661" s="1" t="s">
        <v>74</v>
      </c>
      <c r="D661" s="1" t="s">
        <v>74</v>
      </c>
      <c r="E661" s="1" t="s">
        <v>74</v>
      </c>
      <c r="F661" s="1" t="s">
        <v>4082</v>
      </c>
      <c r="G661" s="1" t="s">
        <v>74</v>
      </c>
      <c r="H661" s="1" t="s">
        <v>74</v>
      </c>
      <c r="I661" s="1" t="s">
        <v>5635</v>
      </c>
      <c r="J661" s="1" t="s">
        <v>5636</v>
      </c>
      <c r="K661" s="1" t="s">
        <v>74</v>
      </c>
      <c r="L661" s="1" t="s">
        <v>74</v>
      </c>
      <c r="M661" s="1" t="s">
        <v>74</v>
      </c>
      <c r="N661" s="1" t="s">
        <v>74</v>
      </c>
      <c r="O661" s="1" t="s">
        <v>74</v>
      </c>
      <c r="P661" s="1" t="s">
        <v>74</v>
      </c>
      <c r="Q661" s="1" t="s">
        <v>74</v>
      </c>
      <c r="R661" s="1" t="s">
        <v>74</v>
      </c>
      <c r="S661" s="1" t="s">
        <v>74</v>
      </c>
      <c r="T661" s="1" t="s">
        <v>74</v>
      </c>
      <c r="U661" s="1" t="s">
        <v>74</v>
      </c>
      <c r="V661" s="1" t="s">
        <v>5637</v>
      </c>
      <c r="W661" s="1" t="s">
        <v>74</v>
      </c>
      <c r="X661" s="1" t="s">
        <v>74</v>
      </c>
      <c r="Y661" s="1" t="s">
        <v>74</v>
      </c>
      <c r="Z661" s="1" t="s">
        <v>74</v>
      </c>
      <c r="AA661" s="1" t="s">
        <v>74</v>
      </c>
      <c r="AB661" s="1" t="s">
        <v>74</v>
      </c>
      <c r="AC661" s="1" t="s">
        <v>74</v>
      </c>
      <c r="AD661" s="1" t="s">
        <v>74</v>
      </c>
      <c r="AE661" s="1" t="s">
        <v>74</v>
      </c>
      <c r="AF661" s="1" t="s">
        <v>74</v>
      </c>
      <c r="AG661" s="1" t="s">
        <v>74</v>
      </c>
      <c r="AH661" s="1" t="s">
        <v>74</v>
      </c>
      <c r="AI661" s="1" t="s">
        <v>74</v>
      </c>
      <c r="AJ661" s="1" t="s">
        <v>74</v>
      </c>
      <c r="AK661" s="1" t="s">
        <v>74</v>
      </c>
      <c r="AL661" s="1" t="s">
        <v>74</v>
      </c>
      <c r="AM661" s="1" t="s">
        <v>74</v>
      </c>
      <c r="AN661" s="1" t="s">
        <v>74</v>
      </c>
      <c r="AO661" s="1" t="s">
        <v>5638</v>
      </c>
      <c r="AP661" s="1" t="s">
        <v>74</v>
      </c>
      <c r="AQ661" s="1" t="s">
        <v>74</v>
      </c>
      <c r="AR661" s="1" t="s">
        <v>74</v>
      </c>
      <c r="AS661" s="1" t="s">
        <v>74</v>
      </c>
      <c r="AT661" s="1" t="s">
        <v>5639</v>
      </c>
      <c r="AU661" s="1">
        <v>2008.0</v>
      </c>
      <c r="AV661" s="1">
        <v>13.0</v>
      </c>
      <c r="AW661" s="1" t="s">
        <v>74</v>
      </c>
      <c r="AX661" s="1" t="s">
        <v>74</v>
      </c>
      <c r="AY661" s="1" t="s">
        <v>74</v>
      </c>
      <c r="AZ661" s="1" t="s">
        <v>74</v>
      </c>
      <c r="BA661" s="1" t="s">
        <v>74</v>
      </c>
      <c r="BB661" s="1">
        <v>225.0</v>
      </c>
      <c r="BC661" s="1">
        <v>240.0</v>
      </c>
      <c r="BD661" s="1" t="s">
        <v>74</v>
      </c>
      <c r="BE661" s="1" t="s">
        <v>5640</v>
      </c>
      <c r="BF661" s="2" t="str">
        <f>HYPERLINK("http://dx.doi.org/10.1214/ECP.v13-1370","http://dx.doi.org/10.1214/ECP.v13-1370")</f>
        <v>http://dx.doi.org/10.1214/ECP.v13-1370</v>
      </c>
      <c r="BG661" s="1" t="s">
        <v>74</v>
      </c>
      <c r="BH661" s="1" t="s">
        <v>74</v>
      </c>
      <c r="BI661" s="1" t="s">
        <v>74</v>
      </c>
      <c r="BJ661" s="1" t="s">
        <v>74</v>
      </c>
      <c r="BK661" s="1" t="s">
        <v>74</v>
      </c>
      <c r="BL661" s="1" t="s">
        <v>74</v>
      </c>
      <c r="BM661" s="1" t="s">
        <v>74</v>
      </c>
      <c r="BN661" s="1" t="s">
        <v>74</v>
      </c>
      <c r="BO661" s="1" t="s">
        <v>74</v>
      </c>
      <c r="BP661" s="1" t="s">
        <v>74</v>
      </c>
      <c r="BQ661" s="1" t="s">
        <v>74</v>
      </c>
      <c r="BR661" s="1" t="s">
        <v>74</v>
      </c>
      <c r="BS661" s="1" t="s">
        <v>5641</v>
      </c>
      <c r="BT661" s="1" t="str">
        <f>HYPERLINK("https%3A%2F%2Fwww.webofscience.com%2Fwos%2Fwoscc%2Ffull-record%2FWOS:000255796800001","View Full Record in Web of Science")</f>
        <v>View Full Record in Web of Science</v>
      </c>
    </row>
    <row r="662" ht="12.75" customHeight="1">
      <c r="A662" s="1" t="s">
        <v>72</v>
      </c>
      <c r="B662" s="1" t="s">
        <v>5642</v>
      </c>
      <c r="C662" s="1" t="s">
        <v>74</v>
      </c>
      <c r="D662" s="1" t="s">
        <v>74</v>
      </c>
      <c r="E662" s="1" t="s">
        <v>74</v>
      </c>
      <c r="F662" s="1" t="s">
        <v>5643</v>
      </c>
      <c r="G662" s="1" t="s">
        <v>74</v>
      </c>
      <c r="H662" s="1" t="s">
        <v>74</v>
      </c>
      <c r="I662" s="1" t="s">
        <v>5644</v>
      </c>
      <c r="J662" s="1" t="s">
        <v>1361</v>
      </c>
      <c r="K662" s="1" t="s">
        <v>74</v>
      </c>
      <c r="L662" s="1" t="s">
        <v>74</v>
      </c>
      <c r="M662" s="1" t="s">
        <v>74</v>
      </c>
      <c r="N662" s="1" t="s">
        <v>74</v>
      </c>
      <c r="O662" s="1" t="s">
        <v>74</v>
      </c>
      <c r="P662" s="1" t="s">
        <v>74</v>
      </c>
      <c r="Q662" s="1" t="s">
        <v>74</v>
      </c>
      <c r="R662" s="1" t="s">
        <v>74</v>
      </c>
      <c r="S662" s="1" t="s">
        <v>74</v>
      </c>
      <c r="T662" s="1" t="s">
        <v>74</v>
      </c>
      <c r="U662" s="1" t="s">
        <v>74</v>
      </c>
      <c r="V662" s="1" t="s">
        <v>5645</v>
      </c>
      <c r="W662" s="1" t="s">
        <v>74</v>
      </c>
      <c r="X662" s="1" t="s">
        <v>74</v>
      </c>
      <c r="Y662" s="1" t="s">
        <v>74</v>
      </c>
      <c r="Z662" s="1" t="s">
        <v>74</v>
      </c>
      <c r="AA662" s="1" t="s">
        <v>5646</v>
      </c>
      <c r="AB662" s="1" t="s">
        <v>74</v>
      </c>
      <c r="AC662" s="1" t="s">
        <v>74</v>
      </c>
      <c r="AD662" s="1" t="s">
        <v>74</v>
      </c>
      <c r="AE662" s="1" t="s">
        <v>74</v>
      </c>
      <c r="AF662" s="1" t="s">
        <v>74</v>
      </c>
      <c r="AG662" s="1" t="s">
        <v>74</v>
      </c>
      <c r="AH662" s="1" t="s">
        <v>74</v>
      </c>
      <c r="AI662" s="1" t="s">
        <v>74</v>
      </c>
      <c r="AJ662" s="1" t="s">
        <v>74</v>
      </c>
      <c r="AK662" s="1" t="s">
        <v>74</v>
      </c>
      <c r="AL662" s="1" t="s">
        <v>74</v>
      </c>
      <c r="AM662" s="1" t="s">
        <v>74</v>
      </c>
      <c r="AN662" s="1" t="s">
        <v>74</v>
      </c>
      <c r="AO662" s="1" t="s">
        <v>1365</v>
      </c>
      <c r="AP662" s="1" t="s">
        <v>74</v>
      </c>
      <c r="AQ662" s="1" t="s">
        <v>74</v>
      </c>
      <c r="AR662" s="1" t="s">
        <v>74</v>
      </c>
      <c r="AS662" s="1" t="s">
        <v>74</v>
      </c>
      <c r="AT662" s="1" t="s">
        <v>1252</v>
      </c>
      <c r="AU662" s="1">
        <v>2008.0</v>
      </c>
      <c r="AV662" s="1">
        <v>197.0</v>
      </c>
      <c r="AW662" s="1">
        <v>2.0</v>
      </c>
      <c r="AX662" s="1" t="s">
        <v>74</v>
      </c>
      <c r="AY662" s="1" t="s">
        <v>74</v>
      </c>
      <c r="AZ662" s="1" t="s">
        <v>74</v>
      </c>
      <c r="BA662" s="1" t="s">
        <v>74</v>
      </c>
      <c r="BB662" s="1">
        <v>725.0</v>
      </c>
      <c r="BC662" s="1">
        <v>732.0</v>
      </c>
      <c r="BD662" s="1" t="s">
        <v>74</v>
      </c>
      <c r="BE662" s="1" t="s">
        <v>5647</v>
      </c>
      <c r="BF662" s="2" t="str">
        <f>HYPERLINK("http://dx.doi.org/10.1016/j.amc.2007.08.086","http://dx.doi.org/10.1016/j.amc.2007.08.086")</f>
        <v>http://dx.doi.org/10.1016/j.amc.2007.08.086</v>
      </c>
      <c r="BG662" s="1" t="s">
        <v>74</v>
      </c>
      <c r="BH662" s="1" t="s">
        <v>74</v>
      </c>
      <c r="BI662" s="1" t="s">
        <v>74</v>
      </c>
      <c r="BJ662" s="1" t="s">
        <v>74</v>
      </c>
      <c r="BK662" s="1" t="s">
        <v>74</v>
      </c>
      <c r="BL662" s="1" t="s">
        <v>74</v>
      </c>
      <c r="BM662" s="1" t="s">
        <v>74</v>
      </c>
      <c r="BN662" s="1" t="s">
        <v>74</v>
      </c>
      <c r="BO662" s="1" t="s">
        <v>74</v>
      </c>
      <c r="BP662" s="1" t="s">
        <v>74</v>
      </c>
      <c r="BQ662" s="1" t="s">
        <v>74</v>
      </c>
      <c r="BR662" s="1" t="s">
        <v>74</v>
      </c>
      <c r="BS662" s="1" t="s">
        <v>5648</v>
      </c>
      <c r="BT662" s="1" t="str">
        <f>HYPERLINK("https%3A%2F%2Fwww.webofscience.com%2Fwos%2Fwoscc%2Ffull-record%2FWOS:000254254200027","View Full Record in Web of Science")</f>
        <v>View Full Record in Web of Science</v>
      </c>
    </row>
    <row r="663" ht="12.75" customHeight="1">
      <c r="A663" s="1" t="s">
        <v>91</v>
      </c>
      <c r="B663" s="1" t="s">
        <v>5649</v>
      </c>
      <c r="C663" s="1" t="s">
        <v>74</v>
      </c>
      <c r="D663" s="1" t="s">
        <v>74</v>
      </c>
      <c r="E663" s="1" t="s">
        <v>442</v>
      </c>
      <c r="F663" s="1" t="s">
        <v>5650</v>
      </c>
      <c r="G663" s="1" t="s">
        <v>74</v>
      </c>
      <c r="H663" s="1" t="s">
        <v>74</v>
      </c>
      <c r="I663" s="1" t="s">
        <v>5651</v>
      </c>
      <c r="J663" s="1" t="s">
        <v>5652</v>
      </c>
      <c r="K663" s="1" t="s">
        <v>5653</v>
      </c>
      <c r="L663" s="1" t="s">
        <v>74</v>
      </c>
      <c r="M663" s="1" t="s">
        <v>74</v>
      </c>
      <c r="N663" s="1" t="s">
        <v>74</v>
      </c>
      <c r="O663" s="1" t="s">
        <v>5654</v>
      </c>
      <c r="P663" s="1" t="s">
        <v>5655</v>
      </c>
      <c r="Q663" s="1" t="s">
        <v>5656</v>
      </c>
      <c r="R663" s="1" t="s">
        <v>5657</v>
      </c>
      <c r="S663" s="1" t="s">
        <v>74</v>
      </c>
      <c r="T663" s="1" t="s">
        <v>74</v>
      </c>
      <c r="U663" s="1" t="s">
        <v>74</v>
      </c>
      <c r="V663" s="1" t="s">
        <v>5658</v>
      </c>
      <c r="W663" s="1" t="s">
        <v>74</v>
      </c>
      <c r="X663" s="1" t="s">
        <v>74</v>
      </c>
      <c r="Y663" s="1" t="s">
        <v>74</v>
      </c>
      <c r="Z663" s="1" t="s">
        <v>74</v>
      </c>
      <c r="AA663" s="1" t="s">
        <v>74</v>
      </c>
      <c r="AB663" s="1" t="s">
        <v>74</v>
      </c>
      <c r="AC663" s="1" t="s">
        <v>74</v>
      </c>
      <c r="AD663" s="1" t="s">
        <v>74</v>
      </c>
      <c r="AE663" s="1" t="s">
        <v>74</v>
      </c>
      <c r="AF663" s="1" t="s">
        <v>74</v>
      </c>
      <c r="AG663" s="1" t="s">
        <v>74</v>
      </c>
      <c r="AH663" s="1" t="s">
        <v>74</v>
      </c>
      <c r="AI663" s="1" t="s">
        <v>74</v>
      </c>
      <c r="AJ663" s="1" t="s">
        <v>74</v>
      </c>
      <c r="AK663" s="1" t="s">
        <v>74</v>
      </c>
      <c r="AL663" s="1" t="s">
        <v>74</v>
      </c>
      <c r="AM663" s="1" t="s">
        <v>74</v>
      </c>
      <c r="AN663" s="1" t="s">
        <v>74</v>
      </c>
      <c r="AO663" s="1" t="s">
        <v>5659</v>
      </c>
      <c r="AP663" s="1" t="s">
        <v>74</v>
      </c>
      <c r="AQ663" s="1" t="s">
        <v>5660</v>
      </c>
      <c r="AR663" s="1" t="s">
        <v>74</v>
      </c>
      <c r="AS663" s="1" t="s">
        <v>74</v>
      </c>
      <c r="AT663" s="1" t="s">
        <v>74</v>
      </c>
      <c r="AU663" s="1">
        <v>2008.0</v>
      </c>
      <c r="AV663" s="1" t="s">
        <v>74</v>
      </c>
      <c r="AW663" s="1" t="s">
        <v>74</v>
      </c>
      <c r="AX663" s="1" t="s">
        <v>74</v>
      </c>
      <c r="AY663" s="1" t="s">
        <v>74</v>
      </c>
      <c r="AZ663" s="1" t="s">
        <v>74</v>
      </c>
      <c r="BA663" s="1" t="s">
        <v>74</v>
      </c>
      <c r="BB663" s="1">
        <v>408.0</v>
      </c>
      <c r="BC663" s="1">
        <v>413.0</v>
      </c>
      <c r="BD663" s="1" t="s">
        <v>74</v>
      </c>
      <c r="BE663" s="1" t="s">
        <v>74</v>
      </c>
      <c r="BF663" s="1" t="s">
        <v>74</v>
      </c>
      <c r="BG663" s="1" t="s">
        <v>74</v>
      </c>
      <c r="BH663" s="1" t="s">
        <v>74</v>
      </c>
      <c r="BI663" s="1" t="s">
        <v>74</v>
      </c>
      <c r="BJ663" s="1" t="s">
        <v>74</v>
      </c>
      <c r="BK663" s="1" t="s">
        <v>74</v>
      </c>
      <c r="BL663" s="1" t="s">
        <v>74</v>
      </c>
      <c r="BM663" s="1" t="s">
        <v>74</v>
      </c>
      <c r="BN663" s="1" t="s">
        <v>74</v>
      </c>
      <c r="BO663" s="1" t="s">
        <v>74</v>
      </c>
      <c r="BP663" s="1" t="s">
        <v>74</v>
      </c>
      <c r="BQ663" s="1" t="s">
        <v>74</v>
      </c>
      <c r="BR663" s="1" t="s">
        <v>74</v>
      </c>
      <c r="BS663" s="1" t="s">
        <v>5661</v>
      </c>
      <c r="BT663" s="1" t="str">
        <f>HYPERLINK("https%3A%2F%2Fwww.webofscience.com%2Fwos%2Fwoscc%2Ffull-record%2FWOS:000263861200067","View Full Record in Web of Science")</f>
        <v>View Full Record in Web of Science</v>
      </c>
    </row>
    <row r="664" ht="12.75" customHeight="1">
      <c r="A664" s="1" t="s">
        <v>72</v>
      </c>
      <c r="B664" s="1" t="s">
        <v>924</v>
      </c>
      <c r="C664" s="1" t="s">
        <v>74</v>
      </c>
      <c r="D664" s="1" t="s">
        <v>74</v>
      </c>
      <c r="E664" s="1" t="s">
        <v>74</v>
      </c>
      <c r="F664" s="1" t="s">
        <v>5662</v>
      </c>
      <c r="G664" s="1" t="s">
        <v>74</v>
      </c>
      <c r="H664" s="1" t="s">
        <v>74</v>
      </c>
      <c r="I664" s="1" t="s">
        <v>5663</v>
      </c>
      <c r="J664" s="1" t="s">
        <v>927</v>
      </c>
      <c r="K664" s="1" t="s">
        <v>74</v>
      </c>
      <c r="L664" s="1" t="s">
        <v>74</v>
      </c>
      <c r="M664" s="1" t="s">
        <v>74</v>
      </c>
      <c r="N664" s="1" t="s">
        <v>74</v>
      </c>
      <c r="O664" s="1" t="s">
        <v>74</v>
      </c>
      <c r="P664" s="1" t="s">
        <v>74</v>
      </c>
      <c r="Q664" s="1" t="s">
        <v>74</v>
      </c>
      <c r="R664" s="1" t="s">
        <v>74</v>
      </c>
      <c r="S664" s="1" t="s">
        <v>74</v>
      </c>
      <c r="T664" s="1" t="s">
        <v>74</v>
      </c>
      <c r="U664" s="1" t="s">
        <v>74</v>
      </c>
      <c r="V664" s="1" t="s">
        <v>5664</v>
      </c>
      <c r="W664" s="1" t="s">
        <v>74</v>
      </c>
      <c r="X664" s="1" t="s">
        <v>74</v>
      </c>
      <c r="Y664" s="1" t="s">
        <v>74</v>
      </c>
      <c r="Z664" s="1" t="s">
        <v>74</v>
      </c>
      <c r="AA664" s="1" t="s">
        <v>5665</v>
      </c>
      <c r="AB664" s="1" t="s">
        <v>5666</v>
      </c>
      <c r="AC664" s="1" t="s">
        <v>74</v>
      </c>
      <c r="AD664" s="1" t="s">
        <v>74</v>
      </c>
      <c r="AE664" s="1" t="s">
        <v>74</v>
      </c>
      <c r="AF664" s="1" t="s">
        <v>74</v>
      </c>
      <c r="AG664" s="1" t="s">
        <v>74</v>
      </c>
      <c r="AH664" s="1" t="s">
        <v>74</v>
      </c>
      <c r="AI664" s="1" t="s">
        <v>74</v>
      </c>
      <c r="AJ664" s="1" t="s">
        <v>74</v>
      </c>
      <c r="AK664" s="1" t="s">
        <v>74</v>
      </c>
      <c r="AL664" s="1" t="s">
        <v>74</v>
      </c>
      <c r="AM664" s="1" t="s">
        <v>74</v>
      </c>
      <c r="AN664" s="1" t="s">
        <v>74</v>
      </c>
      <c r="AO664" s="1" t="s">
        <v>930</v>
      </c>
      <c r="AP664" s="1" t="s">
        <v>931</v>
      </c>
      <c r="AQ664" s="1" t="s">
        <v>74</v>
      </c>
      <c r="AR664" s="1" t="s">
        <v>74</v>
      </c>
      <c r="AS664" s="1" t="s">
        <v>74</v>
      </c>
      <c r="AT664" s="1" t="s">
        <v>74</v>
      </c>
      <c r="AU664" s="1">
        <v>2008.0</v>
      </c>
      <c r="AV664" s="1">
        <v>3.0</v>
      </c>
      <c r="AW664" s="1" t="s">
        <v>74</v>
      </c>
      <c r="AX664" s="1" t="s">
        <v>74</v>
      </c>
      <c r="AY664" s="1" t="s">
        <v>162</v>
      </c>
      <c r="AZ664" s="1" t="s">
        <v>74</v>
      </c>
      <c r="BA664" s="1" t="s">
        <v>74</v>
      </c>
      <c r="BB664" s="1">
        <v>223.0</v>
      </c>
      <c r="BC664" s="1">
        <v>227.0</v>
      </c>
      <c r="BD664" s="1" t="s">
        <v>74</v>
      </c>
      <c r="BE664" s="1" t="s">
        <v>74</v>
      </c>
      <c r="BF664" s="1" t="s">
        <v>74</v>
      </c>
      <c r="BG664" s="1" t="s">
        <v>74</v>
      </c>
      <c r="BH664" s="1" t="s">
        <v>74</v>
      </c>
      <c r="BI664" s="1" t="s">
        <v>74</v>
      </c>
      <c r="BJ664" s="1" t="s">
        <v>74</v>
      </c>
      <c r="BK664" s="1" t="s">
        <v>74</v>
      </c>
      <c r="BL664" s="1" t="s">
        <v>74</v>
      </c>
      <c r="BM664" s="1" t="s">
        <v>74</v>
      </c>
      <c r="BN664" s="1" t="s">
        <v>74</v>
      </c>
      <c r="BO664" s="1" t="s">
        <v>74</v>
      </c>
      <c r="BP664" s="1" t="s">
        <v>74</v>
      </c>
      <c r="BQ664" s="1" t="s">
        <v>74</v>
      </c>
      <c r="BR664" s="1" t="s">
        <v>74</v>
      </c>
      <c r="BS664" s="1" t="s">
        <v>5667</v>
      </c>
      <c r="BT664" s="1" t="str">
        <f>HYPERLINK("https%3A%2F%2Fwww.webofscience.com%2Fwos%2Fwoscc%2Ffull-record%2FWOS:000257497600031","View Full Record in Web of Science")</f>
        <v>View Full Record in Web of Science</v>
      </c>
    </row>
    <row r="665" ht="12.75" customHeight="1">
      <c r="A665" s="1" t="s">
        <v>72</v>
      </c>
      <c r="B665" s="1" t="s">
        <v>5668</v>
      </c>
      <c r="C665" s="1" t="s">
        <v>74</v>
      </c>
      <c r="D665" s="1" t="s">
        <v>74</v>
      </c>
      <c r="E665" s="1" t="s">
        <v>74</v>
      </c>
      <c r="F665" s="1" t="s">
        <v>5669</v>
      </c>
      <c r="G665" s="1" t="s">
        <v>74</v>
      </c>
      <c r="H665" s="1" t="s">
        <v>74</v>
      </c>
      <c r="I665" s="1" t="s">
        <v>5670</v>
      </c>
      <c r="J665" s="1" t="s">
        <v>5671</v>
      </c>
      <c r="K665" s="1" t="s">
        <v>74</v>
      </c>
      <c r="L665" s="1" t="s">
        <v>74</v>
      </c>
      <c r="M665" s="1" t="s">
        <v>74</v>
      </c>
      <c r="N665" s="1" t="s">
        <v>74</v>
      </c>
      <c r="O665" s="1" t="s">
        <v>74</v>
      </c>
      <c r="P665" s="1" t="s">
        <v>74</v>
      </c>
      <c r="Q665" s="1" t="s">
        <v>74</v>
      </c>
      <c r="R665" s="1" t="s">
        <v>74</v>
      </c>
      <c r="S665" s="1" t="s">
        <v>74</v>
      </c>
      <c r="T665" s="1" t="s">
        <v>74</v>
      </c>
      <c r="U665" s="1" t="s">
        <v>74</v>
      </c>
      <c r="V665" s="1" t="s">
        <v>5672</v>
      </c>
      <c r="W665" s="1" t="s">
        <v>74</v>
      </c>
      <c r="X665" s="1" t="s">
        <v>74</v>
      </c>
      <c r="Y665" s="1" t="s">
        <v>74</v>
      </c>
      <c r="Z665" s="1" t="s">
        <v>74</v>
      </c>
      <c r="AA665" s="1" t="s">
        <v>74</v>
      </c>
      <c r="AB665" s="1" t="s">
        <v>74</v>
      </c>
      <c r="AC665" s="1" t="s">
        <v>74</v>
      </c>
      <c r="AD665" s="1" t="s">
        <v>74</v>
      </c>
      <c r="AE665" s="1" t="s">
        <v>74</v>
      </c>
      <c r="AF665" s="1" t="s">
        <v>74</v>
      </c>
      <c r="AG665" s="1" t="s">
        <v>74</v>
      </c>
      <c r="AH665" s="1" t="s">
        <v>74</v>
      </c>
      <c r="AI665" s="1" t="s">
        <v>74</v>
      </c>
      <c r="AJ665" s="1" t="s">
        <v>74</v>
      </c>
      <c r="AK665" s="1" t="s">
        <v>74</v>
      </c>
      <c r="AL665" s="1" t="s">
        <v>74</v>
      </c>
      <c r="AM665" s="1" t="s">
        <v>74</v>
      </c>
      <c r="AN665" s="1" t="s">
        <v>74</v>
      </c>
      <c r="AO665" s="1" t="s">
        <v>5673</v>
      </c>
      <c r="AP665" s="1" t="s">
        <v>74</v>
      </c>
      <c r="AQ665" s="1" t="s">
        <v>74</v>
      </c>
      <c r="AR665" s="1" t="s">
        <v>74</v>
      </c>
      <c r="AS665" s="1" t="s">
        <v>74</v>
      </c>
      <c r="AT665" s="1" t="s">
        <v>180</v>
      </c>
      <c r="AU665" s="1">
        <v>2007.0</v>
      </c>
      <c r="AV665" s="1" t="s">
        <v>74</v>
      </c>
      <c r="AW665" s="1">
        <v>88.0</v>
      </c>
      <c r="AX665" s="1" t="s">
        <v>74</v>
      </c>
      <c r="AY665" s="1" t="s">
        <v>74</v>
      </c>
      <c r="AZ665" s="1" t="s">
        <v>74</v>
      </c>
      <c r="BA665" s="1" t="s">
        <v>74</v>
      </c>
      <c r="BB665" s="1">
        <v>31.0</v>
      </c>
      <c r="BC665" s="1">
        <v>47.0</v>
      </c>
      <c r="BD665" s="1" t="s">
        <v>74</v>
      </c>
      <c r="BE665" s="1" t="s">
        <v>74</v>
      </c>
      <c r="BF665" s="1" t="s">
        <v>74</v>
      </c>
      <c r="BG665" s="1" t="s">
        <v>74</v>
      </c>
      <c r="BH665" s="1" t="s">
        <v>74</v>
      </c>
      <c r="BI665" s="1" t="s">
        <v>74</v>
      </c>
      <c r="BJ665" s="1" t="s">
        <v>74</v>
      </c>
      <c r="BK665" s="1" t="s">
        <v>74</v>
      </c>
      <c r="BL665" s="1" t="s">
        <v>74</v>
      </c>
      <c r="BM665" s="1" t="s">
        <v>74</v>
      </c>
      <c r="BN665" s="1" t="s">
        <v>74</v>
      </c>
      <c r="BO665" s="1" t="s">
        <v>74</v>
      </c>
      <c r="BP665" s="1" t="s">
        <v>74</v>
      </c>
      <c r="BQ665" s="1" t="s">
        <v>74</v>
      </c>
      <c r="BR665" s="1" t="s">
        <v>74</v>
      </c>
      <c r="BS665" s="1" t="s">
        <v>5674</v>
      </c>
      <c r="BT665" s="1" t="str">
        <f>HYPERLINK("https%3A%2F%2Fwww.webofscience.com%2Fwos%2Fwoscc%2Ffull-record%2FWOS:000249822900003","View Full Record in Web of Science")</f>
        <v>View Full Record in Web of Science</v>
      </c>
    </row>
    <row r="666" ht="12.75" customHeight="1">
      <c r="A666" s="1" t="s">
        <v>72</v>
      </c>
      <c r="B666" s="1" t="s">
        <v>3327</v>
      </c>
      <c r="C666" s="1" t="s">
        <v>74</v>
      </c>
      <c r="D666" s="1" t="s">
        <v>74</v>
      </c>
      <c r="E666" s="1" t="s">
        <v>74</v>
      </c>
      <c r="F666" s="1" t="s">
        <v>3329</v>
      </c>
      <c r="G666" s="1" t="s">
        <v>74</v>
      </c>
      <c r="H666" s="1" t="s">
        <v>74</v>
      </c>
      <c r="I666" s="1" t="s">
        <v>5675</v>
      </c>
      <c r="J666" s="1" t="s">
        <v>5676</v>
      </c>
      <c r="K666" s="1" t="s">
        <v>74</v>
      </c>
      <c r="L666" s="1" t="s">
        <v>74</v>
      </c>
      <c r="M666" s="1" t="s">
        <v>74</v>
      </c>
      <c r="N666" s="1" t="s">
        <v>74</v>
      </c>
      <c r="O666" s="1" t="s">
        <v>74</v>
      </c>
      <c r="P666" s="1" t="s">
        <v>74</v>
      </c>
      <c r="Q666" s="1" t="s">
        <v>74</v>
      </c>
      <c r="R666" s="1" t="s">
        <v>74</v>
      </c>
      <c r="S666" s="1" t="s">
        <v>74</v>
      </c>
      <c r="T666" s="1" t="s">
        <v>74</v>
      </c>
      <c r="U666" s="1" t="s">
        <v>74</v>
      </c>
      <c r="V666" s="1" t="s">
        <v>5677</v>
      </c>
      <c r="W666" s="1" t="s">
        <v>74</v>
      </c>
      <c r="X666" s="1" t="s">
        <v>74</v>
      </c>
      <c r="Y666" s="1" t="s">
        <v>74</v>
      </c>
      <c r="Z666" s="1" t="s">
        <v>74</v>
      </c>
      <c r="AA666" s="1" t="s">
        <v>5678</v>
      </c>
      <c r="AB666" s="1" t="s">
        <v>5679</v>
      </c>
      <c r="AC666" s="1" t="s">
        <v>74</v>
      </c>
      <c r="AD666" s="1" t="s">
        <v>74</v>
      </c>
      <c r="AE666" s="1" t="s">
        <v>74</v>
      </c>
      <c r="AF666" s="1" t="s">
        <v>74</v>
      </c>
      <c r="AG666" s="1" t="s">
        <v>74</v>
      </c>
      <c r="AH666" s="1" t="s">
        <v>74</v>
      </c>
      <c r="AI666" s="1" t="s">
        <v>74</v>
      </c>
      <c r="AJ666" s="1" t="s">
        <v>74</v>
      </c>
      <c r="AK666" s="1" t="s">
        <v>74</v>
      </c>
      <c r="AL666" s="1" t="s">
        <v>74</v>
      </c>
      <c r="AM666" s="1" t="s">
        <v>74</v>
      </c>
      <c r="AN666" s="1" t="s">
        <v>74</v>
      </c>
      <c r="AO666" s="1" t="s">
        <v>5680</v>
      </c>
      <c r="AP666" s="1" t="s">
        <v>5681</v>
      </c>
      <c r="AQ666" s="1" t="s">
        <v>74</v>
      </c>
      <c r="AR666" s="1" t="s">
        <v>74</v>
      </c>
      <c r="AS666" s="1" t="s">
        <v>74</v>
      </c>
      <c r="AT666" s="1" t="s">
        <v>288</v>
      </c>
      <c r="AU666" s="1">
        <v>2007.0</v>
      </c>
      <c r="AV666" s="1">
        <v>75.0</v>
      </c>
      <c r="AW666" s="1">
        <v>2.0</v>
      </c>
      <c r="AX666" s="1" t="s">
        <v>74</v>
      </c>
      <c r="AY666" s="1" t="s">
        <v>74</v>
      </c>
      <c r="AZ666" s="1" t="s">
        <v>74</v>
      </c>
      <c r="BA666" s="1" t="s">
        <v>74</v>
      </c>
      <c r="BB666" s="1" t="s">
        <v>74</v>
      </c>
      <c r="BC666" s="1" t="s">
        <v>74</v>
      </c>
      <c r="BD666" s="1">
        <v>22107.0</v>
      </c>
      <c r="BE666" s="1" t="s">
        <v>5682</v>
      </c>
      <c r="BF666" s="2" t="str">
        <f>HYPERLINK("http://dx.doi.org/10.1103/PhysRevA.75.022107","http://dx.doi.org/10.1103/PhysRevA.75.022107")</f>
        <v>http://dx.doi.org/10.1103/PhysRevA.75.022107</v>
      </c>
      <c r="BG666" s="1" t="s">
        <v>74</v>
      </c>
      <c r="BH666" s="1" t="s">
        <v>74</v>
      </c>
      <c r="BI666" s="1" t="s">
        <v>74</v>
      </c>
      <c r="BJ666" s="1" t="s">
        <v>74</v>
      </c>
      <c r="BK666" s="1" t="s">
        <v>74</v>
      </c>
      <c r="BL666" s="1" t="s">
        <v>74</v>
      </c>
      <c r="BM666" s="1" t="s">
        <v>74</v>
      </c>
      <c r="BN666" s="1" t="s">
        <v>74</v>
      </c>
      <c r="BO666" s="1" t="s">
        <v>74</v>
      </c>
      <c r="BP666" s="1" t="s">
        <v>74</v>
      </c>
      <c r="BQ666" s="1" t="s">
        <v>74</v>
      </c>
      <c r="BR666" s="1" t="s">
        <v>74</v>
      </c>
      <c r="BS666" s="1" t="s">
        <v>5683</v>
      </c>
      <c r="BT666" s="1" t="str">
        <f>HYPERLINK("https%3A%2F%2Fwww.webofscience.com%2Fwos%2Fwoscc%2Ffull-record%2FWOS:000244532300020","View Full Record in Web of Science")</f>
        <v>View Full Record in Web of Science</v>
      </c>
    </row>
    <row r="667" ht="12.75" customHeight="1">
      <c r="A667" s="1" t="s">
        <v>91</v>
      </c>
      <c r="B667" s="1" t="s">
        <v>5684</v>
      </c>
      <c r="C667" s="1" t="s">
        <v>74</v>
      </c>
      <c r="D667" s="1" t="s">
        <v>74</v>
      </c>
      <c r="E667" s="1" t="s">
        <v>997</v>
      </c>
      <c r="F667" s="1" t="s">
        <v>5685</v>
      </c>
      <c r="G667" s="1" t="s">
        <v>74</v>
      </c>
      <c r="H667" s="1" t="s">
        <v>74</v>
      </c>
      <c r="I667" s="1" t="s">
        <v>5686</v>
      </c>
      <c r="J667" s="1" t="s">
        <v>1755</v>
      </c>
      <c r="K667" s="1" t="s">
        <v>74</v>
      </c>
      <c r="L667" s="1" t="s">
        <v>74</v>
      </c>
      <c r="M667" s="1" t="s">
        <v>74</v>
      </c>
      <c r="N667" s="1" t="s">
        <v>74</v>
      </c>
      <c r="O667" s="1" t="s">
        <v>1756</v>
      </c>
      <c r="P667" s="1" t="s">
        <v>1757</v>
      </c>
      <c r="Q667" s="1" t="s">
        <v>1758</v>
      </c>
      <c r="R667" s="1" t="s">
        <v>1759</v>
      </c>
      <c r="S667" s="1" t="s">
        <v>74</v>
      </c>
      <c r="T667" s="1" t="s">
        <v>74</v>
      </c>
      <c r="U667" s="1" t="s">
        <v>74</v>
      </c>
      <c r="V667" s="1" t="s">
        <v>5687</v>
      </c>
      <c r="W667" s="1" t="s">
        <v>74</v>
      </c>
      <c r="X667" s="1" t="s">
        <v>74</v>
      </c>
      <c r="Y667" s="1" t="s">
        <v>74</v>
      </c>
      <c r="Z667" s="1" t="s">
        <v>74</v>
      </c>
      <c r="AA667" s="1" t="s">
        <v>74</v>
      </c>
      <c r="AB667" s="1" t="s">
        <v>74</v>
      </c>
      <c r="AC667" s="1" t="s">
        <v>74</v>
      </c>
      <c r="AD667" s="1" t="s">
        <v>74</v>
      </c>
      <c r="AE667" s="1" t="s">
        <v>74</v>
      </c>
      <c r="AF667" s="1" t="s">
        <v>74</v>
      </c>
      <c r="AG667" s="1" t="s">
        <v>74</v>
      </c>
      <c r="AH667" s="1" t="s">
        <v>74</v>
      </c>
      <c r="AI667" s="1" t="s">
        <v>74</v>
      </c>
      <c r="AJ667" s="1" t="s">
        <v>74</v>
      </c>
      <c r="AK667" s="1" t="s">
        <v>74</v>
      </c>
      <c r="AL667" s="1" t="s">
        <v>74</v>
      </c>
      <c r="AM667" s="1" t="s">
        <v>74</v>
      </c>
      <c r="AN667" s="1" t="s">
        <v>74</v>
      </c>
      <c r="AO667" s="1" t="s">
        <v>74</v>
      </c>
      <c r="AP667" s="1" t="s">
        <v>74</v>
      </c>
      <c r="AQ667" s="1" t="s">
        <v>1762</v>
      </c>
      <c r="AR667" s="1" t="s">
        <v>74</v>
      </c>
      <c r="AS667" s="1" t="s">
        <v>74</v>
      </c>
      <c r="AT667" s="1" t="s">
        <v>74</v>
      </c>
      <c r="AU667" s="1">
        <v>2007.0</v>
      </c>
      <c r="AV667" s="1" t="s">
        <v>74</v>
      </c>
      <c r="AW667" s="1" t="s">
        <v>74</v>
      </c>
      <c r="AX667" s="1" t="s">
        <v>74</v>
      </c>
      <c r="AY667" s="1" t="s">
        <v>74</v>
      </c>
      <c r="AZ667" s="1" t="s">
        <v>74</v>
      </c>
      <c r="BA667" s="1" t="s">
        <v>74</v>
      </c>
      <c r="BB667" s="1">
        <v>1731.0</v>
      </c>
      <c r="BC667" s="1">
        <v>1736.0</v>
      </c>
      <c r="BD667" s="1" t="s">
        <v>74</v>
      </c>
      <c r="BE667" s="1" t="s">
        <v>74</v>
      </c>
      <c r="BF667" s="1" t="s">
        <v>74</v>
      </c>
      <c r="BG667" s="1" t="s">
        <v>74</v>
      </c>
      <c r="BH667" s="1" t="s">
        <v>74</v>
      </c>
      <c r="BI667" s="1" t="s">
        <v>74</v>
      </c>
      <c r="BJ667" s="1" t="s">
        <v>74</v>
      </c>
      <c r="BK667" s="1" t="s">
        <v>74</v>
      </c>
      <c r="BL667" s="1" t="s">
        <v>74</v>
      </c>
      <c r="BM667" s="1" t="s">
        <v>74</v>
      </c>
      <c r="BN667" s="1" t="s">
        <v>74</v>
      </c>
      <c r="BO667" s="1" t="s">
        <v>74</v>
      </c>
      <c r="BP667" s="1" t="s">
        <v>74</v>
      </c>
      <c r="BQ667" s="1" t="s">
        <v>74</v>
      </c>
      <c r="BR667" s="1" t="s">
        <v>74</v>
      </c>
      <c r="BS667" s="1" t="s">
        <v>5688</v>
      </c>
      <c r="BT667" s="1" t="str">
        <f>HYPERLINK("https%3A%2F%2Fwww.webofscience.com%2Fwos%2Fwoscc%2Ffull-record%2FWOS:000252340100200","View Full Record in Web of Science")</f>
        <v>View Full Record in Web of Science</v>
      </c>
    </row>
    <row r="668" ht="12.75" customHeight="1">
      <c r="A668" s="1" t="s">
        <v>72</v>
      </c>
      <c r="B668" s="1" t="s">
        <v>5689</v>
      </c>
      <c r="C668" s="1" t="s">
        <v>74</v>
      </c>
      <c r="D668" s="1" t="s">
        <v>74</v>
      </c>
      <c r="E668" s="1" t="s">
        <v>74</v>
      </c>
      <c r="F668" s="1" t="s">
        <v>5689</v>
      </c>
      <c r="G668" s="1" t="s">
        <v>74</v>
      </c>
      <c r="H668" s="1" t="s">
        <v>74</v>
      </c>
      <c r="I668" s="1" t="s">
        <v>5690</v>
      </c>
      <c r="J668" s="1" t="s">
        <v>5691</v>
      </c>
      <c r="K668" s="1" t="s">
        <v>74</v>
      </c>
      <c r="L668" s="1" t="s">
        <v>74</v>
      </c>
      <c r="M668" s="1" t="s">
        <v>74</v>
      </c>
      <c r="N668" s="1" t="s">
        <v>74</v>
      </c>
      <c r="O668" s="1" t="s">
        <v>74</v>
      </c>
      <c r="P668" s="1" t="s">
        <v>74</v>
      </c>
      <c r="Q668" s="1" t="s">
        <v>74</v>
      </c>
      <c r="R668" s="1" t="s">
        <v>74</v>
      </c>
      <c r="S668" s="1" t="s">
        <v>74</v>
      </c>
      <c r="T668" s="1" t="s">
        <v>74</v>
      </c>
      <c r="U668" s="1" t="s">
        <v>74</v>
      </c>
      <c r="V668" s="1" t="s">
        <v>5692</v>
      </c>
      <c r="W668" s="1" t="s">
        <v>74</v>
      </c>
      <c r="X668" s="1" t="s">
        <v>74</v>
      </c>
      <c r="Y668" s="1" t="s">
        <v>74</v>
      </c>
      <c r="Z668" s="1" t="s">
        <v>74</v>
      </c>
      <c r="AA668" s="1" t="s">
        <v>74</v>
      </c>
      <c r="AB668" s="1" t="s">
        <v>74</v>
      </c>
      <c r="AC668" s="1" t="s">
        <v>74</v>
      </c>
      <c r="AD668" s="1" t="s">
        <v>74</v>
      </c>
      <c r="AE668" s="1" t="s">
        <v>74</v>
      </c>
      <c r="AF668" s="1" t="s">
        <v>74</v>
      </c>
      <c r="AG668" s="1" t="s">
        <v>74</v>
      </c>
      <c r="AH668" s="1" t="s">
        <v>74</v>
      </c>
      <c r="AI668" s="1" t="s">
        <v>74</v>
      </c>
      <c r="AJ668" s="1" t="s">
        <v>74</v>
      </c>
      <c r="AK668" s="1" t="s">
        <v>74</v>
      </c>
      <c r="AL668" s="1" t="s">
        <v>74</v>
      </c>
      <c r="AM668" s="1" t="s">
        <v>74</v>
      </c>
      <c r="AN668" s="1" t="s">
        <v>74</v>
      </c>
      <c r="AO668" s="1" t="s">
        <v>5693</v>
      </c>
      <c r="AP668" s="1" t="s">
        <v>5694</v>
      </c>
      <c r="AQ668" s="1" t="s">
        <v>74</v>
      </c>
      <c r="AR668" s="1" t="s">
        <v>74</v>
      </c>
      <c r="AS668" s="1" t="s">
        <v>74</v>
      </c>
      <c r="AT668" s="1" t="s">
        <v>370</v>
      </c>
      <c r="AU668" s="1">
        <v>2005.0</v>
      </c>
      <c r="AV668" s="1">
        <v>20.0</v>
      </c>
      <c r="AW668" s="1">
        <v>3.0</v>
      </c>
      <c r="AX668" s="1" t="s">
        <v>74</v>
      </c>
      <c r="AY668" s="1" t="s">
        <v>74</v>
      </c>
      <c r="AZ668" s="1" t="s">
        <v>74</v>
      </c>
      <c r="BA668" s="1" t="s">
        <v>74</v>
      </c>
      <c r="BB668" s="1">
        <v>1955.0</v>
      </c>
      <c r="BC668" s="1">
        <v>1961.0</v>
      </c>
      <c r="BD668" s="1" t="s">
        <v>74</v>
      </c>
      <c r="BE668" s="1" t="s">
        <v>5695</v>
      </c>
      <c r="BF668" s="2" t="str">
        <f>HYPERLINK("http://dx.doi.org/10.1109/TPWRD.2004.838625","http://dx.doi.org/10.1109/TPWRD.2004.838625")</f>
        <v>http://dx.doi.org/10.1109/TPWRD.2004.838625</v>
      </c>
      <c r="BG668" s="1" t="s">
        <v>74</v>
      </c>
      <c r="BH668" s="1" t="s">
        <v>74</v>
      </c>
      <c r="BI668" s="1" t="s">
        <v>74</v>
      </c>
      <c r="BJ668" s="1" t="s">
        <v>74</v>
      </c>
      <c r="BK668" s="1" t="s">
        <v>74</v>
      </c>
      <c r="BL668" s="1" t="s">
        <v>74</v>
      </c>
      <c r="BM668" s="1" t="s">
        <v>74</v>
      </c>
      <c r="BN668" s="1" t="s">
        <v>74</v>
      </c>
      <c r="BO668" s="1" t="s">
        <v>74</v>
      </c>
      <c r="BP668" s="1" t="s">
        <v>74</v>
      </c>
      <c r="BQ668" s="1" t="s">
        <v>74</v>
      </c>
      <c r="BR668" s="1" t="s">
        <v>74</v>
      </c>
      <c r="BS668" s="1" t="s">
        <v>5696</v>
      </c>
      <c r="BT668" s="1" t="str">
        <f>HYPERLINK("https%3A%2F%2Fwww.webofscience.com%2Fwos%2Fwoscc%2Ffull-record%2FWOS:000230223100022","View Full Record in Web of Science")</f>
        <v>View Full Record in Web of Science</v>
      </c>
    </row>
    <row r="669" ht="12.75" customHeight="1">
      <c r="A669" s="1" t="s">
        <v>72</v>
      </c>
      <c r="B669" s="1" t="s">
        <v>5697</v>
      </c>
      <c r="C669" s="1" t="s">
        <v>74</v>
      </c>
      <c r="D669" s="1" t="s">
        <v>74</v>
      </c>
      <c r="E669" s="1" t="s">
        <v>74</v>
      </c>
      <c r="F669" s="1" t="s">
        <v>5697</v>
      </c>
      <c r="G669" s="1" t="s">
        <v>74</v>
      </c>
      <c r="H669" s="1" t="s">
        <v>74</v>
      </c>
      <c r="I669" s="1" t="s">
        <v>5698</v>
      </c>
      <c r="J669" s="1" t="s">
        <v>5699</v>
      </c>
      <c r="K669" s="1" t="s">
        <v>74</v>
      </c>
      <c r="L669" s="1" t="s">
        <v>74</v>
      </c>
      <c r="M669" s="1" t="s">
        <v>74</v>
      </c>
      <c r="N669" s="1" t="s">
        <v>74</v>
      </c>
      <c r="O669" s="1" t="s">
        <v>74</v>
      </c>
      <c r="P669" s="1" t="s">
        <v>74</v>
      </c>
      <c r="Q669" s="1" t="s">
        <v>74</v>
      </c>
      <c r="R669" s="1" t="s">
        <v>74</v>
      </c>
      <c r="S669" s="1" t="s">
        <v>74</v>
      </c>
      <c r="T669" s="1" t="s">
        <v>74</v>
      </c>
      <c r="U669" s="1" t="s">
        <v>74</v>
      </c>
      <c r="V669" s="1" t="s">
        <v>5700</v>
      </c>
      <c r="W669" s="1" t="s">
        <v>74</v>
      </c>
      <c r="X669" s="1" t="s">
        <v>74</v>
      </c>
      <c r="Y669" s="1" t="s">
        <v>74</v>
      </c>
      <c r="Z669" s="1" t="s">
        <v>74</v>
      </c>
      <c r="AA669" s="1" t="s">
        <v>5701</v>
      </c>
      <c r="AB669" s="1" t="s">
        <v>74</v>
      </c>
      <c r="AC669" s="1" t="s">
        <v>74</v>
      </c>
      <c r="AD669" s="1" t="s">
        <v>74</v>
      </c>
      <c r="AE669" s="1" t="s">
        <v>74</v>
      </c>
      <c r="AF669" s="1" t="s">
        <v>74</v>
      </c>
      <c r="AG669" s="1" t="s">
        <v>74</v>
      </c>
      <c r="AH669" s="1" t="s">
        <v>74</v>
      </c>
      <c r="AI669" s="1" t="s">
        <v>74</v>
      </c>
      <c r="AJ669" s="1" t="s">
        <v>74</v>
      </c>
      <c r="AK669" s="1" t="s">
        <v>74</v>
      </c>
      <c r="AL669" s="1" t="s">
        <v>74</v>
      </c>
      <c r="AM669" s="1" t="s">
        <v>74</v>
      </c>
      <c r="AN669" s="1" t="s">
        <v>74</v>
      </c>
      <c r="AO669" s="1" t="s">
        <v>5702</v>
      </c>
      <c r="AP669" s="1" t="s">
        <v>5703</v>
      </c>
      <c r="AQ669" s="1" t="s">
        <v>74</v>
      </c>
      <c r="AR669" s="1" t="s">
        <v>74</v>
      </c>
      <c r="AS669" s="1" t="s">
        <v>74</v>
      </c>
      <c r="AT669" s="1" t="s">
        <v>5704</v>
      </c>
      <c r="AU669" s="1">
        <v>2004.0</v>
      </c>
      <c r="AV669" s="1">
        <v>52.0</v>
      </c>
      <c r="AW669" s="1">
        <v>10.0</v>
      </c>
      <c r="AX669" s="1" t="s">
        <v>74</v>
      </c>
      <c r="AY669" s="1" t="s">
        <v>74</v>
      </c>
      <c r="AZ669" s="1" t="s">
        <v>74</v>
      </c>
      <c r="BA669" s="1" t="s">
        <v>74</v>
      </c>
      <c r="BB669" s="1">
        <v>2821.0</v>
      </c>
      <c r="BC669" s="1">
        <v>2826.0</v>
      </c>
      <c r="BD669" s="1" t="s">
        <v>74</v>
      </c>
      <c r="BE669" s="1" t="s">
        <v>5705</v>
      </c>
      <c r="BF669" s="2" t="str">
        <f>HYPERLINK("http://dx.doi.org/10.1021/jf030672j","http://dx.doi.org/10.1021/jf030672j")</f>
        <v>http://dx.doi.org/10.1021/jf030672j</v>
      </c>
      <c r="BG669" s="1" t="s">
        <v>74</v>
      </c>
      <c r="BH669" s="1" t="s">
        <v>74</v>
      </c>
      <c r="BI669" s="1" t="s">
        <v>74</v>
      </c>
      <c r="BJ669" s="1" t="s">
        <v>74</v>
      </c>
      <c r="BK669" s="1" t="s">
        <v>74</v>
      </c>
      <c r="BL669" s="1" t="s">
        <v>74</v>
      </c>
      <c r="BM669" s="1" t="s">
        <v>74</v>
      </c>
      <c r="BN669" s="1">
        <v>1.513782E7</v>
      </c>
      <c r="BO669" s="1" t="s">
        <v>74</v>
      </c>
      <c r="BP669" s="1" t="s">
        <v>74</v>
      </c>
      <c r="BQ669" s="1" t="s">
        <v>74</v>
      </c>
      <c r="BR669" s="1" t="s">
        <v>74</v>
      </c>
      <c r="BS669" s="1" t="s">
        <v>5706</v>
      </c>
      <c r="BT669" s="1" t="str">
        <f>HYPERLINK("https%3A%2F%2Fwww.webofscience.com%2Fwos%2Fwoscc%2Ffull-record%2FWOS:000221419500013","View Full Record in Web of Science")</f>
        <v>View Full Record in Web of Science</v>
      </c>
    </row>
    <row r="670" ht="12.75" customHeight="1">
      <c r="A670" s="1" t="s">
        <v>72</v>
      </c>
      <c r="B670" s="1" t="s">
        <v>5707</v>
      </c>
      <c r="C670" s="1" t="s">
        <v>74</v>
      </c>
      <c r="D670" s="1" t="s">
        <v>74</v>
      </c>
      <c r="E670" s="1" t="s">
        <v>74</v>
      </c>
      <c r="F670" s="1" t="s">
        <v>5707</v>
      </c>
      <c r="G670" s="1" t="s">
        <v>74</v>
      </c>
      <c r="H670" s="1" t="s">
        <v>74</v>
      </c>
      <c r="I670" s="1" t="s">
        <v>5708</v>
      </c>
      <c r="J670" s="1" t="s">
        <v>5709</v>
      </c>
      <c r="K670" s="1" t="s">
        <v>74</v>
      </c>
      <c r="L670" s="1" t="s">
        <v>74</v>
      </c>
      <c r="M670" s="1" t="s">
        <v>74</v>
      </c>
      <c r="N670" s="1" t="s">
        <v>74</v>
      </c>
      <c r="O670" s="1" t="s">
        <v>5710</v>
      </c>
      <c r="P670" s="1" t="s">
        <v>5711</v>
      </c>
      <c r="Q670" s="1" t="s">
        <v>5712</v>
      </c>
      <c r="R670" s="1" t="s">
        <v>5713</v>
      </c>
      <c r="S670" s="1" t="s">
        <v>74</v>
      </c>
      <c r="T670" s="1" t="s">
        <v>74</v>
      </c>
      <c r="U670" s="1" t="s">
        <v>74</v>
      </c>
      <c r="V670" s="1" t="s">
        <v>74</v>
      </c>
      <c r="W670" s="1" t="s">
        <v>74</v>
      </c>
      <c r="X670" s="1" t="s">
        <v>74</v>
      </c>
      <c r="Y670" s="1" t="s">
        <v>74</v>
      </c>
      <c r="Z670" s="1" t="s">
        <v>74</v>
      </c>
      <c r="AA670" s="1" t="s">
        <v>5714</v>
      </c>
      <c r="AB670" s="1" t="s">
        <v>74</v>
      </c>
      <c r="AC670" s="1" t="s">
        <v>74</v>
      </c>
      <c r="AD670" s="1" t="s">
        <v>74</v>
      </c>
      <c r="AE670" s="1" t="s">
        <v>74</v>
      </c>
      <c r="AF670" s="1" t="s">
        <v>74</v>
      </c>
      <c r="AG670" s="1" t="s">
        <v>74</v>
      </c>
      <c r="AH670" s="1" t="s">
        <v>74</v>
      </c>
      <c r="AI670" s="1" t="s">
        <v>74</v>
      </c>
      <c r="AJ670" s="1" t="s">
        <v>74</v>
      </c>
      <c r="AK670" s="1" t="s">
        <v>74</v>
      </c>
      <c r="AL670" s="1" t="s">
        <v>74</v>
      </c>
      <c r="AM670" s="1" t="s">
        <v>74</v>
      </c>
      <c r="AN670" s="1" t="s">
        <v>74</v>
      </c>
      <c r="AO670" s="1" t="s">
        <v>5715</v>
      </c>
      <c r="AP670" s="1" t="s">
        <v>74</v>
      </c>
      <c r="AQ670" s="1" t="s">
        <v>74</v>
      </c>
      <c r="AR670" s="1" t="s">
        <v>74</v>
      </c>
      <c r="AS670" s="1" t="s">
        <v>74</v>
      </c>
      <c r="AT670" s="1" t="s">
        <v>299</v>
      </c>
      <c r="AU670" s="1">
        <v>2004.0</v>
      </c>
      <c r="AV670" s="1">
        <v>86.0</v>
      </c>
      <c r="AW670" s="1">
        <v>1.0</v>
      </c>
      <c r="AX670" s="1">
        <v>2.0</v>
      </c>
      <c r="AY670" s="1" t="s">
        <v>162</v>
      </c>
      <c r="AZ670" s="1" t="s">
        <v>74</v>
      </c>
      <c r="BA670" s="1" t="s">
        <v>74</v>
      </c>
      <c r="BB670" s="1" t="s">
        <v>5716</v>
      </c>
      <c r="BC670" s="1" t="s">
        <v>5716</v>
      </c>
      <c r="BD670" s="1" t="s">
        <v>74</v>
      </c>
      <c r="BE670" s="1" t="s">
        <v>74</v>
      </c>
      <c r="BF670" s="1" t="s">
        <v>74</v>
      </c>
      <c r="BG670" s="1" t="s">
        <v>74</v>
      </c>
      <c r="BH670" s="1" t="s">
        <v>74</v>
      </c>
      <c r="BI670" s="1" t="s">
        <v>74</v>
      </c>
      <c r="BJ670" s="1" t="s">
        <v>74</v>
      </c>
      <c r="BK670" s="1" t="s">
        <v>74</v>
      </c>
      <c r="BL670" s="1" t="s">
        <v>74</v>
      </c>
      <c r="BM670" s="1" t="s">
        <v>74</v>
      </c>
      <c r="BN670" s="1" t="s">
        <v>74</v>
      </c>
      <c r="BO670" s="1" t="s">
        <v>74</v>
      </c>
      <c r="BP670" s="1" t="s">
        <v>74</v>
      </c>
      <c r="BQ670" s="1" t="s">
        <v>74</v>
      </c>
      <c r="BR670" s="1" t="s">
        <v>74</v>
      </c>
      <c r="BS670" s="1" t="s">
        <v>5717</v>
      </c>
      <c r="BT670" s="1" t="str">
        <f>HYPERLINK("https%3A%2F%2Fwww.webofscience.com%2Fwos%2Fwoscc%2Ffull-record%2FWOS:000187971201570","View Full Record in Web of Science")</f>
        <v>View Full Record in Web of Science</v>
      </c>
    </row>
    <row r="671" ht="12.75" customHeight="1">
      <c r="A671" s="1" t="s">
        <v>72</v>
      </c>
      <c r="B671" s="1" t="s">
        <v>5718</v>
      </c>
      <c r="C671" s="1" t="s">
        <v>74</v>
      </c>
      <c r="D671" s="1" t="s">
        <v>74</v>
      </c>
      <c r="E671" s="1" t="s">
        <v>74</v>
      </c>
      <c r="F671" s="1" t="s">
        <v>5718</v>
      </c>
      <c r="G671" s="1" t="s">
        <v>74</v>
      </c>
      <c r="H671" s="1" t="s">
        <v>74</v>
      </c>
      <c r="I671" s="1" t="s">
        <v>5719</v>
      </c>
      <c r="J671" s="1" t="s">
        <v>5720</v>
      </c>
      <c r="K671" s="1" t="s">
        <v>74</v>
      </c>
      <c r="L671" s="1" t="s">
        <v>74</v>
      </c>
      <c r="M671" s="1" t="s">
        <v>74</v>
      </c>
      <c r="N671" s="1" t="s">
        <v>74</v>
      </c>
      <c r="O671" s="1" t="s">
        <v>74</v>
      </c>
      <c r="P671" s="1" t="s">
        <v>74</v>
      </c>
      <c r="Q671" s="1" t="s">
        <v>74</v>
      </c>
      <c r="R671" s="1" t="s">
        <v>74</v>
      </c>
      <c r="S671" s="1" t="s">
        <v>74</v>
      </c>
      <c r="T671" s="1" t="s">
        <v>74</v>
      </c>
      <c r="U671" s="1" t="s">
        <v>74</v>
      </c>
      <c r="V671" s="1" t="s">
        <v>5721</v>
      </c>
      <c r="W671" s="1" t="s">
        <v>74</v>
      </c>
      <c r="X671" s="1" t="s">
        <v>74</v>
      </c>
      <c r="Y671" s="1" t="s">
        <v>74</v>
      </c>
      <c r="Z671" s="1" t="s">
        <v>74</v>
      </c>
      <c r="AA671" s="1" t="s">
        <v>74</v>
      </c>
      <c r="AB671" s="1" t="s">
        <v>1842</v>
      </c>
      <c r="AC671" s="1" t="s">
        <v>74</v>
      </c>
      <c r="AD671" s="1" t="s">
        <v>74</v>
      </c>
      <c r="AE671" s="1" t="s">
        <v>74</v>
      </c>
      <c r="AF671" s="1" t="s">
        <v>74</v>
      </c>
      <c r="AG671" s="1" t="s">
        <v>74</v>
      </c>
      <c r="AH671" s="1" t="s">
        <v>74</v>
      </c>
      <c r="AI671" s="1" t="s">
        <v>74</v>
      </c>
      <c r="AJ671" s="1" t="s">
        <v>74</v>
      </c>
      <c r="AK671" s="1" t="s">
        <v>74</v>
      </c>
      <c r="AL671" s="1" t="s">
        <v>74</v>
      </c>
      <c r="AM671" s="1" t="s">
        <v>74</v>
      </c>
      <c r="AN671" s="1" t="s">
        <v>74</v>
      </c>
      <c r="AO671" s="1" t="s">
        <v>5722</v>
      </c>
      <c r="AP671" s="1" t="s">
        <v>5723</v>
      </c>
      <c r="AQ671" s="1" t="s">
        <v>74</v>
      </c>
      <c r="AR671" s="1" t="s">
        <v>74</v>
      </c>
      <c r="AS671" s="1" t="s">
        <v>74</v>
      </c>
      <c r="AT671" s="1" t="s">
        <v>180</v>
      </c>
      <c r="AU671" s="1">
        <v>2003.0</v>
      </c>
      <c r="AV671" s="1">
        <v>148.0</v>
      </c>
      <c r="AW671" s="1">
        <v>6.0</v>
      </c>
      <c r="AX671" s="1" t="s">
        <v>74</v>
      </c>
      <c r="AY671" s="1" t="s">
        <v>74</v>
      </c>
      <c r="AZ671" s="1" t="s">
        <v>74</v>
      </c>
      <c r="BA671" s="1" t="s">
        <v>74</v>
      </c>
      <c r="BB671" s="1">
        <v>1071.0</v>
      </c>
      <c r="BC671" s="1">
        <v>1084.0</v>
      </c>
      <c r="BD671" s="1" t="s">
        <v>74</v>
      </c>
      <c r="BE671" s="1" t="s">
        <v>5724</v>
      </c>
      <c r="BF671" s="2" t="str">
        <f>HYPERLINK("http://dx.doi.org/10.1007/s00705-003-0004-1","http://dx.doi.org/10.1007/s00705-003-0004-1")</f>
        <v>http://dx.doi.org/10.1007/s00705-003-0004-1</v>
      </c>
      <c r="BG671" s="1" t="s">
        <v>74</v>
      </c>
      <c r="BH671" s="1" t="s">
        <v>74</v>
      </c>
      <c r="BI671" s="1" t="s">
        <v>74</v>
      </c>
      <c r="BJ671" s="1" t="s">
        <v>74</v>
      </c>
      <c r="BK671" s="1" t="s">
        <v>74</v>
      </c>
      <c r="BL671" s="1" t="s">
        <v>74</v>
      </c>
      <c r="BM671" s="1" t="s">
        <v>74</v>
      </c>
      <c r="BN671" s="1">
        <v>1.2756615E7</v>
      </c>
      <c r="BO671" s="1" t="s">
        <v>74</v>
      </c>
      <c r="BP671" s="1" t="s">
        <v>74</v>
      </c>
      <c r="BQ671" s="1" t="s">
        <v>74</v>
      </c>
      <c r="BR671" s="1" t="s">
        <v>74</v>
      </c>
      <c r="BS671" s="1" t="s">
        <v>5725</v>
      </c>
      <c r="BT671" s="1" t="str">
        <f>HYPERLINK("https%3A%2F%2Fwww.webofscience.com%2Fwos%2Fwoscc%2Ffull-record%2FWOS:000183722500004","View Full Record in Web of Science")</f>
        <v>View Full Record in Web of Science</v>
      </c>
    </row>
    <row r="672" ht="12.75" customHeight="1">
      <c r="A672" s="1" t="s">
        <v>72</v>
      </c>
      <c r="B672" s="1" t="s">
        <v>5726</v>
      </c>
      <c r="C672" s="1" t="s">
        <v>74</v>
      </c>
      <c r="D672" s="1" t="s">
        <v>74</v>
      </c>
      <c r="E672" s="1" t="s">
        <v>74</v>
      </c>
      <c r="F672" s="1" t="s">
        <v>5726</v>
      </c>
      <c r="G672" s="1" t="s">
        <v>74</v>
      </c>
      <c r="H672" s="1" t="s">
        <v>74</v>
      </c>
      <c r="I672" s="1" t="s">
        <v>5727</v>
      </c>
      <c r="J672" s="1" t="s">
        <v>5728</v>
      </c>
      <c r="K672" s="1" t="s">
        <v>74</v>
      </c>
      <c r="L672" s="1" t="s">
        <v>74</v>
      </c>
      <c r="M672" s="1" t="s">
        <v>74</v>
      </c>
      <c r="N672" s="1" t="s">
        <v>74</v>
      </c>
      <c r="O672" s="1" t="s">
        <v>74</v>
      </c>
      <c r="P672" s="1" t="s">
        <v>74</v>
      </c>
      <c r="Q672" s="1" t="s">
        <v>74</v>
      </c>
      <c r="R672" s="1" t="s">
        <v>74</v>
      </c>
      <c r="S672" s="1" t="s">
        <v>74</v>
      </c>
      <c r="T672" s="1" t="s">
        <v>74</v>
      </c>
      <c r="U672" s="1" t="s">
        <v>74</v>
      </c>
      <c r="V672" s="1" t="s">
        <v>5729</v>
      </c>
      <c r="W672" s="1" t="s">
        <v>74</v>
      </c>
      <c r="X672" s="1" t="s">
        <v>74</v>
      </c>
      <c r="Y672" s="1" t="s">
        <v>74</v>
      </c>
      <c r="Z672" s="1" t="s">
        <v>74</v>
      </c>
      <c r="AA672" s="1" t="s">
        <v>902</v>
      </c>
      <c r="AB672" s="1" t="s">
        <v>1119</v>
      </c>
      <c r="AC672" s="1" t="s">
        <v>74</v>
      </c>
      <c r="AD672" s="1" t="s">
        <v>74</v>
      </c>
      <c r="AE672" s="1" t="s">
        <v>74</v>
      </c>
      <c r="AF672" s="1" t="s">
        <v>74</v>
      </c>
      <c r="AG672" s="1" t="s">
        <v>74</v>
      </c>
      <c r="AH672" s="1" t="s">
        <v>74</v>
      </c>
      <c r="AI672" s="1" t="s">
        <v>74</v>
      </c>
      <c r="AJ672" s="1" t="s">
        <v>74</v>
      </c>
      <c r="AK672" s="1" t="s">
        <v>74</v>
      </c>
      <c r="AL672" s="1" t="s">
        <v>74</v>
      </c>
      <c r="AM672" s="1" t="s">
        <v>74</v>
      </c>
      <c r="AN672" s="1" t="s">
        <v>74</v>
      </c>
      <c r="AO672" s="1" t="s">
        <v>5730</v>
      </c>
      <c r="AP672" s="1" t="s">
        <v>5731</v>
      </c>
      <c r="AQ672" s="1" t="s">
        <v>74</v>
      </c>
      <c r="AR672" s="1" t="s">
        <v>74</v>
      </c>
      <c r="AS672" s="1" t="s">
        <v>74</v>
      </c>
      <c r="AT672" s="1" t="s">
        <v>429</v>
      </c>
      <c r="AU672" s="1">
        <v>2003.0</v>
      </c>
      <c r="AV672" s="1">
        <v>122.0</v>
      </c>
      <c r="AW672" s="1">
        <v>1.0</v>
      </c>
      <c r="AX672" s="1" t="s">
        <v>74</v>
      </c>
      <c r="AY672" s="1" t="s">
        <v>74</v>
      </c>
      <c r="AZ672" s="1" t="s">
        <v>74</v>
      </c>
      <c r="BA672" s="1" t="s">
        <v>74</v>
      </c>
      <c r="BB672" s="1">
        <v>42.0</v>
      </c>
      <c r="BC672" s="1">
        <v>61.0</v>
      </c>
      <c r="BD672" s="1" t="s">
        <v>74</v>
      </c>
      <c r="BE672" s="1" t="s">
        <v>5732</v>
      </c>
      <c r="BF672" s="2" t="str">
        <f>HYPERLINK("http://dx.doi.org/10.1016/S0021-9045(03)00040-6","http://dx.doi.org/10.1016/S0021-9045(03)00040-6")</f>
        <v>http://dx.doi.org/10.1016/S0021-9045(03)00040-6</v>
      </c>
      <c r="BG672" s="1" t="s">
        <v>74</v>
      </c>
      <c r="BH672" s="1" t="s">
        <v>74</v>
      </c>
      <c r="BI672" s="1" t="s">
        <v>74</v>
      </c>
      <c r="BJ672" s="1" t="s">
        <v>74</v>
      </c>
      <c r="BK672" s="1" t="s">
        <v>74</v>
      </c>
      <c r="BL672" s="1" t="s">
        <v>74</v>
      </c>
      <c r="BM672" s="1" t="s">
        <v>74</v>
      </c>
      <c r="BN672" s="1" t="s">
        <v>74</v>
      </c>
      <c r="BO672" s="1" t="s">
        <v>74</v>
      </c>
      <c r="BP672" s="1" t="s">
        <v>74</v>
      </c>
      <c r="BQ672" s="1" t="s">
        <v>74</v>
      </c>
      <c r="BR672" s="1" t="s">
        <v>74</v>
      </c>
      <c r="BS672" s="1" t="s">
        <v>5733</v>
      </c>
      <c r="BT672" s="1" t="str">
        <f>HYPERLINK("https%3A%2F%2Fwww.webofscience.com%2Fwos%2Fwoscc%2Ffull-record%2FWOS:000182876700005","View Full Record in Web of Science")</f>
        <v>View Full Record in Web of Science</v>
      </c>
    </row>
    <row r="673" ht="12.75" customHeight="1">
      <c r="A673" s="1" t="s">
        <v>72</v>
      </c>
      <c r="B673" s="1" t="s">
        <v>3256</v>
      </c>
      <c r="C673" s="1" t="s">
        <v>74</v>
      </c>
      <c r="D673" s="1" t="s">
        <v>74</v>
      </c>
      <c r="E673" s="1" t="s">
        <v>74</v>
      </c>
      <c r="F673" s="1" t="s">
        <v>3256</v>
      </c>
      <c r="G673" s="1" t="s">
        <v>74</v>
      </c>
      <c r="H673" s="1" t="s">
        <v>74</v>
      </c>
      <c r="I673" s="1" t="s">
        <v>5734</v>
      </c>
      <c r="J673" s="1" t="s">
        <v>3259</v>
      </c>
      <c r="K673" s="1" t="s">
        <v>74</v>
      </c>
      <c r="L673" s="1" t="s">
        <v>74</v>
      </c>
      <c r="M673" s="1" t="s">
        <v>74</v>
      </c>
      <c r="N673" s="1" t="s">
        <v>74</v>
      </c>
      <c r="O673" s="1" t="s">
        <v>74</v>
      </c>
      <c r="P673" s="1" t="s">
        <v>74</v>
      </c>
      <c r="Q673" s="1" t="s">
        <v>74</v>
      </c>
      <c r="R673" s="1" t="s">
        <v>74</v>
      </c>
      <c r="S673" s="1" t="s">
        <v>74</v>
      </c>
      <c r="T673" s="1" t="s">
        <v>74</v>
      </c>
      <c r="U673" s="1" t="s">
        <v>74</v>
      </c>
      <c r="V673" s="1" t="s">
        <v>5735</v>
      </c>
      <c r="W673" s="1" t="s">
        <v>74</v>
      </c>
      <c r="X673" s="1" t="s">
        <v>74</v>
      </c>
      <c r="Y673" s="1" t="s">
        <v>74</v>
      </c>
      <c r="Z673" s="1" t="s">
        <v>74</v>
      </c>
      <c r="AA673" s="1" t="s">
        <v>74</v>
      </c>
      <c r="AB673" s="1" t="s">
        <v>74</v>
      </c>
      <c r="AC673" s="1" t="s">
        <v>74</v>
      </c>
      <c r="AD673" s="1" t="s">
        <v>74</v>
      </c>
      <c r="AE673" s="1" t="s">
        <v>74</v>
      </c>
      <c r="AF673" s="1" t="s">
        <v>74</v>
      </c>
      <c r="AG673" s="1" t="s">
        <v>74</v>
      </c>
      <c r="AH673" s="1" t="s">
        <v>74</v>
      </c>
      <c r="AI673" s="1" t="s">
        <v>74</v>
      </c>
      <c r="AJ673" s="1" t="s">
        <v>74</v>
      </c>
      <c r="AK673" s="1" t="s">
        <v>74</v>
      </c>
      <c r="AL673" s="1" t="s">
        <v>74</v>
      </c>
      <c r="AM673" s="1" t="s">
        <v>74</v>
      </c>
      <c r="AN673" s="1" t="s">
        <v>74</v>
      </c>
      <c r="AO673" s="1" t="s">
        <v>3261</v>
      </c>
      <c r="AP673" s="1" t="s">
        <v>74</v>
      </c>
      <c r="AQ673" s="1" t="s">
        <v>74</v>
      </c>
      <c r="AR673" s="1" t="s">
        <v>74</v>
      </c>
      <c r="AS673" s="1" t="s">
        <v>74</v>
      </c>
      <c r="AT673" s="1" t="s">
        <v>148</v>
      </c>
      <c r="AU673" s="1">
        <v>2003.0</v>
      </c>
      <c r="AV673" s="1">
        <v>71.0</v>
      </c>
      <c r="AW673" s="1">
        <v>3.0</v>
      </c>
      <c r="AX673" s="1" t="s">
        <v>74</v>
      </c>
      <c r="AY673" s="1" t="s">
        <v>74</v>
      </c>
      <c r="AZ673" s="1" t="s">
        <v>74</v>
      </c>
      <c r="BA673" s="1" t="s">
        <v>74</v>
      </c>
      <c r="BB673" s="1">
        <v>247.0</v>
      </c>
      <c r="BC673" s="1">
        <v>249.0</v>
      </c>
      <c r="BD673" s="1" t="s">
        <v>74</v>
      </c>
      <c r="BE673" s="1" t="s">
        <v>5736</v>
      </c>
      <c r="BF673" s="2" t="str">
        <f>HYPERLINK("http://dx.doi.org/10.1119/1.1526131","http://dx.doi.org/10.1119/1.1526131")</f>
        <v>http://dx.doi.org/10.1119/1.1526131</v>
      </c>
      <c r="BG673" s="1" t="s">
        <v>74</v>
      </c>
      <c r="BH673" s="1" t="s">
        <v>74</v>
      </c>
      <c r="BI673" s="1" t="s">
        <v>74</v>
      </c>
      <c r="BJ673" s="1" t="s">
        <v>74</v>
      </c>
      <c r="BK673" s="1" t="s">
        <v>74</v>
      </c>
      <c r="BL673" s="1" t="s">
        <v>74</v>
      </c>
      <c r="BM673" s="1" t="s">
        <v>74</v>
      </c>
      <c r="BN673" s="1" t="s">
        <v>74</v>
      </c>
      <c r="BO673" s="1" t="s">
        <v>74</v>
      </c>
      <c r="BP673" s="1" t="s">
        <v>74</v>
      </c>
      <c r="BQ673" s="1" t="s">
        <v>74</v>
      </c>
      <c r="BR673" s="1" t="s">
        <v>74</v>
      </c>
      <c r="BS673" s="1" t="s">
        <v>5737</v>
      </c>
      <c r="BT673" s="1" t="str">
        <f>HYPERLINK("https%3A%2F%2Fwww.webofscience.com%2Fwos%2Fwoscc%2Ffull-record%2FWOS:000181104000007","View Full Record in Web of Science")</f>
        <v>View Full Record in Web of Science</v>
      </c>
    </row>
    <row r="674" ht="12.75" customHeight="1">
      <c r="A674" s="1" t="s">
        <v>72</v>
      </c>
      <c r="B674" s="1" t="s">
        <v>5738</v>
      </c>
      <c r="C674" s="1" t="s">
        <v>74</v>
      </c>
      <c r="D674" s="1" t="s">
        <v>74</v>
      </c>
      <c r="E674" s="1" t="s">
        <v>74</v>
      </c>
      <c r="F674" s="1" t="s">
        <v>5738</v>
      </c>
      <c r="G674" s="1" t="s">
        <v>74</v>
      </c>
      <c r="H674" s="1" t="s">
        <v>74</v>
      </c>
      <c r="I674" s="1" t="s">
        <v>5739</v>
      </c>
      <c r="J674" s="1" t="s">
        <v>954</v>
      </c>
      <c r="K674" s="1" t="s">
        <v>74</v>
      </c>
      <c r="L674" s="1" t="s">
        <v>74</v>
      </c>
      <c r="M674" s="1" t="s">
        <v>74</v>
      </c>
      <c r="N674" s="1" t="s">
        <v>74</v>
      </c>
      <c r="O674" s="1" t="s">
        <v>74</v>
      </c>
      <c r="P674" s="1" t="s">
        <v>74</v>
      </c>
      <c r="Q674" s="1" t="s">
        <v>74</v>
      </c>
      <c r="R674" s="1" t="s">
        <v>74</v>
      </c>
      <c r="S674" s="1" t="s">
        <v>74</v>
      </c>
      <c r="T674" s="1" t="s">
        <v>74</v>
      </c>
      <c r="U674" s="1" t="s">
        <v>74</v>
      </c>
      <c r="V674" s="1" t="s">
        <v>5740</v>
      </c>
      <c r="W674" s="1" t="s">
        <v>74</v>
      </c>
      <c r="X674" s="1" t="s">
        <v>74</v>
      </c>
      <c r="Y674" s="1" t="s">
        <v>74</v>
      </c>
      <c r="Z674" s="1" t="s">
        <v>74</v>
      </c>
      <c r="AA674" s="1" t="s">
        <v>74</v>
      </c>
      <c r="AB674" s="1" t="s">
        <v>2416</v>
      </c>
      <c r="AC674" s="1" t="s">
        <v>74</v>
      </c>
      <c r="AD674" s="1" t="s">
        <v>74</v>
      </c>
      <c r="AE674" s="1" t="s">
        <v>74</v>
      </c>
      <c r="AF674" s="1" t="s">
        <v>74</v>
      </c>
      <c r="AG674" s="1" t="s">
        <v>74</v>
      </c>
      <c r="AH674" s="1" t="s">
        <v>74</v>
      </c>
      <c r="AI674" s="1" t="s">
        <v>74</v>
      </c>
      <c r="AJ674" s="1" t="s">
        <v>74</v>
      </c>
      <c r="AK674" s="1" t="s">
        <v>74</v>
      </c>
      <c r="AL674" s="1" t="s">
        <v>74</v>
      </c>
      <c r="AM674" s="1" t="s">
        <v>74</v>
      </c>
      <c r="AN674" s="1" t="s">
        <v>74</v>
      </c>
      <c r="AO674" s="1" t="s">
        <v>956</v>
      </c>
      <c r="AP674" s="1" t="s">
        <v>74</v>
      </c>
      <c r="AQ674" s="1" t="s">
        <v>74</v>
      </c>
      <c r="AR674" s="1" t="s">
        <v>74</v>
      </c>
      <c r="AS674" s="1" t="s">
        <v>74</v>
      </c>
      <c r="AT674" s="1" t="s">
        <v>74</v>
      </c>
      <c r="AU674" s="1">
        <v>2003.0</v>
      </c>
      <c r="AV674" s="1">
        <v>21.0</v>
      </c>
      <c r="AW674" s="1">
        <v>7.0</v>
      </c>
      <c r="AX674" s="1" t="s">
        <v>74</v>
      </c>
      <c r="AY674" s="1" t="s">
        <v>74</v>
      </c>
      <c r="AZ674" s="1" t="s">
        <v>74</v>
      </c>
      <c r="BA674" s="1" t="s">
        <v>74</v>
      </c>
      <c r="BB674" s="1">
        <v>1185.0</v>
      </c>
      <c r="BC674" s="1">
        <v>1196.0</v>
      </c>
      <c r="BD674" s="1" t="s">
        <v>74</v>
      </c>
      <c r="BE674" s="1" t="s">
        <v>5741</v>
      </c>
      <c r="BF674" s="2" t="str">
        <f>HYPERLINK("http://dx.doi.org/10.1081/DRT-120023175","http://dx.doi.org/10.1081/DRT-120023175")</f>
        <v>http://dx.doi.org/10.1081/DRT-120023175</v>
      </c>
      <c r="BG674" s="1" t="s">
        <v>74</v>
      </c>
      <c r="BH674" s="1" t="s">
        <v>74</v>
      </c>
      <c r="BI674" s="1" t="s">
        <v>74</v>
      </c>
      <c r="BJ674" s="1" t="s">
        <v>74</v>
      </c>
      <c r="BK674" s="1" t="s">
        <v>74</v>
      </c>
      <c r="BL674" s="1" t="s">
        <v>74</v>
      </c>
      <c r="BM674" s="1" t="s">
        <v>74</v>
      </c>
      <c r="BN674" s="1" t="s">
        <v>74</v>
      </c>
      <c r="BO674" s="1" t="s">
        <v>74</v>
      </c>
      <c r="BP674" s="1" t="s">
        <v>74</v>
      </c>
      <c r="BQ674" s="1" t="s">
        <v>74</v>
      </c>
      <c r="BR674" s="1" t="s">
        <v>74</v>
      </c>
      <c r="BS674" s="1" t="s">
        <v>5742</v>
      </c>
      <c r="BT674" s="1" t="str">
        <f>HYPERLINK("https%3A%2F%2Fwww.webofscience.com%2Fwos%2Fwoscc%2Ffull-record%2FWOS:000184969000004","View Full Record in Web of Science")</f>
        <v>View Full Record in Web of Science</v>
      </c>
    </row>
    <row r="675" ht="12.75" customHeight="1">
      <c r="A675" s="1" t="s">
        <v>162</v>
      </c>
      <c r="B675" s="1" t="s">
        <v>5743</v>
      </c>
      <c r="C675" s="1" t="s">
        <v>74</v>
      </c>
      <c r="D675" s="1" t="s">
        <v>5744</v>
      </c>
      <c r="E675" s="1" t="s">
        <v>74</v>
      </c>
      <c r="F675" s="1" t="s">
        <v>5743</v>
      </c>
      <c r="G675" s="1" t="s">
        <v>74</v>
      </c>
      <c r="H675" s="1" t="s">
        <v>74</v>
      </c>
      <c r="I675" s="1" t="s">
        <v>5745</v>
      </c>
      <c r="J675" s="1" t="s">
        <v>5746</v>
      </c>
      <c r="K675" s="1" t="s">
        <v>5747</v>
      </c>
      <c r="L675" s="1" t="s">
        <v>74</v>
      </c>
      <c r="M675" s="1" t="s">
        <v>74</v>
      </c>
      <c r="N675" s="1" t="s">
        <v>74</v>
      </c>
      <c r="O675" s="1" t="s">
        <v>5748</v>
      </c>
      <c r="P675" s="1" t="s">
        <v>5749</v>
      </c>
      <c r="Q675" s="1" t="s">
        <v>5750</v>
      </c>
      <c r="R675" s="1" t="s">
        <v>5751</v>
      </c>
      <c r="S675" s="1" t="s">
        <v>74</v>
      </c>
      <c r="T675" s="1" t="s">
        <v>74</v>
      </c>
      <c r="U675" s="1" t="s">
        <v>74</v>
      </c>
      <c r="V675" s="1" t="s">
        <v>5752</v>
      </c>
      <c r="W675" s="1" t="s">
        <v>74</v>
      </c>
      <c r="X675" s="1" t="s">
        <v>74</v>
      </c>
      <c r="Y675" s="1" t="s">
        <v>74</v>
      </c>
      <c r="Z675" s="1" t="s">
        <v>74</v>
      </c>
      <c r="AA675" s="1" t="s">
        <v>74</v>
      </c>
      <c r="AB675" s="1" t="s">
        <v>74</v>
      </c>
      <c r="AC675" s="1" t="s">
        <v>74</v>
      </c>
      <c r="AD675" s="1" t="s">
        <v>74</v>
      </c>
      <c r="AE675" s="1" t="s">
        <v>74</v>
      </c>
      <c r="AF675" s="1" t="s">
        <v>74</v>
      </c>
      <c r="AG675" s="1" t="s">
        <v>74</v>
      </c>
      <c r="AH675" s="1" t="s">
        <v>74</v>
      </c>
      <c r="AI675" s="1" t="s">
        <v>74</v>
      </c>
      <c r="AJ675" s="1" t="s">
        <v>74</v>
      </c>
      <c r="AK675" s="1" t="s">
        <v>74</v>
      </c>
      <c r="AL675" s="1" t="s">
        <v>74</v>
      </c>
      <c r="AM675" s="1" t="s">
        <v>74</v>
      </c>
      <c r="AN675" s="1" t="s">
        <v>74</v>
      </c>
      <c r="AO675" s="1" t="s">
        <v>5753</v>
      </c>
      <c r="AP675" s="1" t="s">
        <v>74</v>
      </c>
      <c r="AQ675" s="1" t="s">
        <v>5754</v>
      </c>
      <c r="AR675" s="1" t="s">
        <v>74</v>
      </c>
      <c r="AS675" s="1" t="s">
        <v>74</v>
      </c>
      <c r="AT675" s="1" t="s">
        <v>74</v>
      </c>
      <c r="AU675" s="1">
        <v>2003.0</v>
      </c>
      <c r="AV675" s="1" t="s">
        <v>5755</v>
      </c>
      <c r="AW675" s="1" t="s">
        <v>74</v>
      </c>
      <c r="AX675" s="1" t="s">
        <v>74</v>
      </c>
      <c r="AY675" s="1" t="s">
        <v>74</v>
      </c>
      <c r="AZ675" s="1" t="s">
        <v>74</v>
      </c>
      <c r="BA675" s="1" t="s">
        <v>74</v>
      </c>
      <c r="BB675" s="1">
        <v>305.0</v>
      </c>
      <c r="BC675" s="1">
        <v>310.0</v>
      </c>
      <c r="BD675" s="1" t="s">
        <v>74</v>
      </c>
      <c r="BE675" s="1" t="s">
        <v>5756</v>
      </c>
      <c r="BF675" s="2" t="str">
        <f>HYPERLINK("http://dx.doi.org/10.4028/www.scientific.net/MSF.416-418.305","http://dx.doi.org/10.4028/www.scientific.net/MSF.416-418.305")</f>
        <v>http://dx.doi.org/10.4028/www.scientific.net/MSF.416-418.305</v>
      </c>
      <c r="BG675" s="1" t="s">
        <v>74</v>
      </c>
      <c r="BH675" s="1" t="s">
        <v>74</v>
      </c>
      <c r="BI675" s="1" t="s">
        <v>74</v>
      </c>
      <c r="BJ675" s="1" t="s">
        <v>74</v>
      </c>
      <c r="BK675" s="1" t="s">
        <v>74</v>
      </c>
      <c r="BL675" s="1" t="s">
        <v>74</v>
      </c>
      <c r="BM675" s="1" t="s">
        <v>74</v>
      </c>
      <c r="BN675" s="1" t="s">
        <v>74</v>
      </c>
      <c r="BO675" s="1" t="s">
        <v>74</v>
      </c>
      <c r="BP675" s="1" t="s">
        <v>74</v>
      </c>
      <c r="BQ675" s="1" t="s">
        <v>74</v>
      </c>
      <c r="BR675" s="1" t="s">
        <v>74</v>
      </c>
      <c r="BS675" s="1" t="s">
        <v>5757</v>
      </c>
      <c r="BT675" s="1" t="str">
        <f>HYPERLINK("https%3A%2F%2Fwww.webofscience.com%2Fwos%2Fwoscc%2Ffull-record%2FWOS:000182605200051","View Full Record in Web of Science")</f>
        <v>View Full Record in Web of Science</v>
      </c>
    </row>
    <row r="676" ht="12.75" customHeight="1">
      <c r="A676" s="1" t="s">
        <v>162</v>
      </c>
      <c r="B676" s="1" t="s">
        <v>2560</v>
      </c>
      <c r="C676" s="1" t="s">
        <v>74</v>
      </c>
      <c r="D676" s="1" t="s">
        <v>5758</v>
      </c>
      <c r="E676" s="1" t="s">
        <v>74</v>
      </c>
      <c r="F676" s="1" t="s">
        <v>2560</v>
      </c>
      <c r="G676" s="1" t="s">
        <v>74</v>
      </c>
      <c r="H676" s="1" t="s">
        <v>74</v>
      </c>
      <c r="I676" s="1" t="s">
        <v>5759</v>
      </c>
      <c r="J676" s="1" t="s">
        <v>5760</v>
      </c>
      <c r="K676" s="1" t="s">
        <v>5761</v>
      </c>
      <c r="L676" s="1" t="s">
        <v>74</v>
      </c>
      <c r="M676" s="1" t="s">
        <v>74</v>
      </c>
      <c r="N676" s="1" t="s">
        <v>74</v>
      </c>
      <c r="O676" s="1" t="s">
        <v>5762</v>
      </c>
      <c r="P676" s="1" t="s">
        <v>5763</v>
      </c>
      <c r="Q676" s="1" t="s">
        <v>5764</v>
      </c>
      <c r="R676" s="1" t="s">
        <v>5765</v>
      </c>
      <c r="S676" s="1" t="s">
        <v>5766</v>
      </c>
      <c r="T676" s="1" t="s">
        <v>74</v>
      </c>
      <c r="U676" s="1" t="s">
        <v>74</v>
      </c>
      <c r="V676" s="1" t="s">
        <v>5767</v>
      </c>
      <c r="W676" s="1" t="s">
        <v>74</v>
      </c>
      <c r="X676" s="1" t="s">
        <v>74</v>
      </c>
      <c r="Y676" s="1" t="s">
        <v>74</v>
      </c>
      <c r="Z676" s="1" t="s">
        <v>74</v>
      </c>
      <c r="AA676" s="1" t="s">
        <v>74</v>
      </c>
      <c r="AB676" s="1" t="s">
        <v>74</v>
      </c>
      <c r="AC676" s="1" t="s">
        <v>74</v>
      </c>
      <c r="AD676" s="1" t="s">
        <v>74</v>
      </c>
      <c r="AE676" s="1" t="s">
        <v>74</v>
      </c>
      <c r="AF676" s="1" t="s">
        <v>74</v>
      </c>
      <c r="AG676" s="1" t="s">
        <v>74</v>
      </c>
      <c r="AH676" s="1" t="s">
        <v>74</v>
      </c>
      <c r="AI676" s="1" t="s">
        <v>74</v>
      </c>
      <c r="AJ676" s="1" t="s">
        <v>74</v>
      </c>
      <c r="AK676" s="1" t="s">
        <v>74</v>
      </c>
      <c r="AL676" s="1" t="s">
        <v>74</v>
      </c>
      <c r="AM676" s="1" t="s">
        <v>74</v>
      </c>
      <c r="AN676" s="1" t="s">
        <v>74</v>
      </c>
      <c r="AO676" s="1" t="s">
        <v>5753</v>
      </c>
      <c r="AP676" s="1" t="s">
        <v>74</v>
      </c>
      <c r="AQ676" s="1" t="s">
        <v>5768</v>
      </c>
      <c r="AR676" s="1" t="s">
        <v>74</v>
      </c>
      <c r="AS676" s="1" t="s">
        <v>74</v>
      </c>
      <c r="AT676" s="1" t="s">
        <v>74</v>
      </c>
      <c r="AU676" s="1">
        <v>2003.0</v>
      </c>
      <c r="AV676" s="1" t="s">
        <v>5769</v>
      </c>
      <c r="AW676" s="1" t="s">
        <v>74</v>
      </c>
      <c r="AX676" s="1" t="s">
        <v>74</v>
      </c>
      <c r="AY676" s="1" t="s">
        <v>74</v>
      </c>
      <c r="AZ676" s="1" t="s">
        <v>74</v>
      </c>
      <c r="BA676" s="1" t="s">
        <v>74</v>
      </c>
      <c r="BB676" s="1">
        <v>1301.0</v>
      </c>
      <c r="BC676" s="1">
        <v>1306.0</v>
      </c>
      <c r="BD676" s="1" t="s">
        <v>74</v>
      </c>
      <c r="BE676" s="1" t="s">
        <v>5770</v>
      </c>
      <c r="BF676" s="2" t="str">
        <f>HYPERLINK("http://dx.doi.org/10.4028/www.scientific.net/MSF.426-432.1301","http://dx.doi.org/10.4028/www.scientific.net/MSF.426-432.1301")</f>
        <v>http://dx.doi.org/10.4028/www.scientific.net/MSF.426-432.1301</v>
      </c>
      <c r="BG676" s="1" t="s">
        <v>74</v>
      </c>
      <c r="BH676" s="1" t="s">
        <v>74</v>
      </c>
      <c r="BI676" s="1" t="s">
        <v>74</v>
      </c>
      <c r="BJ676" s="1" t="s">
        <v>74</v>
      </c>
      <c r="BK676" s="1" t="s">
        <v>74</v>
      </c>
      <c r="BL676" s="1" t="s">
        <v>74</v>
      </c>
      <c r="BM676" s="1" t="s">
        <v>74</v>
      </c>
      <c r="BN676" s="1" t="s">
        <v>74</v>
      </c>
      <c r="BO676" s="1" t="s">
        <v>74</v>
      </c>
      <c r="BP676" s="1" t="s">
        <v>74</v>
      </c>
      <c r="BQ676" s="1" t="s">
        <v>74</v>
      </c>
      <c r="BR676" s="1" t="s">
        <v>74</v>
      </c>
      <c r="BS676" s="1" t="s">
        <v>5771</v>
      </c>
      <c r="BT676" s="1" t="str">
        <f>HYPERLINK("https%3A%2F%2Fwww.webofscience.com%2Fwos%2Fwoscc%2Ffull-record%2FWOS:000183626400205","View Full Record in Web of Science")</f>
        <v>View Full Record in Web of Science</v>
      </c>
    </row>
    <row r="677" ht="12.75" customHeight="1">
      <c r="A677" s="1" t="s">
        <v>91</v>
      </c>
      <c r="B677" s="1" t="s">
        <v>5772</v>
      </c>
      <c r="C677" s="1" t="s">
        <v>74</v>
      </c>
      <c r="D677" s="1" t="s">
        <v>5773</v>
      </c>
      <c r="E677" s="1" t="s">
        <v>74</v>
      </c>
      <c r="F677" s="1" t="s">
        <v>5772</v>
      </c>
      <c r="G677" s="1" t="s">
        <v>74</v>
      </c>
      <c r="H677" s="1" t="s">
        <v>74</v>
      </c>
      <c r="I677" s="1" t="s">
        <v>5774</v>
      </c>
      <c r="J677" s="1" t="s">
        <v>5775</v>
      </c>
      <c r="K677" s="1" t="s">
        <v>74</v>
      </c>
      <c r="L677" s="1" t="s">
        <v>74</v>
      </c>
      <c r="M677" s="1" t="s">
        <v>74</v>
      </c>
      <c r="N677" s="1" t="s">
        <v>74</v>
      </c>
      <c r="O677" s="1" t="s">
        <v>5776</v>
      </c>
      <c r="P677" s="1" t="s">
        <v>5777</v>
      </c>
      <c r="Q677" s="1" t="s">
        <v>4269</v>
      </c>
      <c r="R677" s="1" t="s">
        <v>5778</v>
      </c>
      <c r="S677" s="1" t="s">
        <v>74</v>
      </c>
      <c r="T677" s="1" t="s">
        <v>74</v>
      </c>
      <c r="U677" s="1" t="s">
        <v>74</v>
      </c>
      <c r="V677" s="1" t="s">
        <v>5779</v>
      </c>
      <c r="W677" s="1" t="s">
        <v>74</v>
      </c>
      <c r="X677" s="1" t="s">
        <v>74</v>
      </c>
      <c r="Y677" s="1" t="s">
        <v>74</v>
      </c>
      <c r="Z677" s="1" t="s">
        <v>74</v>
      </c>
      <c r="AA677" s="1" t="s">
        <v>5780</v>
      </c>
      <c r="AB677" s="1" t="s">
        <v>74</v>
      </c>
      <c r="AC677" s="1" t="s">
        <v>74</v>
      </c>
      <c r="AD677" s="1" t="s">
        <v>74</v>
      </c>
      <c r="AE677" s="1" t="s">
        <v>74</v>
      </c>
      <c r="AF677" s="1" t="s">
        <v>74</v>
      </c>
      <c r="AG677" s="1" t="s">
        <v>74</v>
      </c>
      <c r="AH677" s="1" t="s">
        <v>74</v>
      </c>
      <c r="AI677" s="1" t="s">
        <v>74</v>
      </c>
      <c r="AJ677" s="1" t="s">
        <v>74</v>
      </c>
      <c r="AK677" s="1" t="s">
        <v>74</v>
      </c>
      <c r="AL677" s="1" t="s">
        <v>74</v>
      </c>
      <c r="AM677" s="1" t="s">
        <v>74</v>
      </c>
      <c r="AN677" s="1" t="s">
        <v>74</v>
      </c>
      <c r="AO677" s="1" t="s">
        <v>74</v>
      </c>
      <c r="AP677" s="1" t="s">
        <v>74</v>
      </c>
      <c r="AQ677" s="1" t="s">
        <v>5781</v>
      </c>
      <c r="AR677" s="1" t="s">
        <v>74</v>
      </c>
      <c r="AS677" s="1" t="s">
        <v>74</v>
      </c>
      <c r="AT677" s="1" t="s">
        <v>74</v>
      </c>
      <c r="AU677" s="1">
        <v>2002.0</v>
      </c>
      <c r="AV677" s="1" t="s">
        <v>74</v>
      </c>
      <c r="AW677" s="1" t="s">
        <v>74</v>
      </c>
      <c r="AX677" s="1" t="s">
        <v>74</v>
      </c>
      <c r="AY677" s="1" t="s">
        <v>74</v>
      </c>
      <c r="AZ677" s="1" t="s">
        <v>74</v>
      </c>
      <c r="BA677" s="1" t="s">
        <v>74</v>
      </c>
      <c r="BB677" s="1">
        <v>209.0</v>
      </c>
      <c r="BC677" s="1">
        <v>217.0</v>
      </c>
      <c r="BD677" s="1" t="s">
        <v>74</v>
      </c>
      <c r="BE677" s="1" t="s">
        <v>5782</v>
      </c>
      <c r="BF677" s="2" t="str">
        <f>HYPERLINK("http://dx.doi.org/10.1109/ITHERM.2002.1012459","http://dx.doi.org/10.1109/ITHERM.2002.1012459")</f>
        <v>http://dx.doi.org/10.1109/ITHERM.2002.1012459</v>
      </c>
      <c r="BG677" s="1" t="s">
        <v>74</v>
      </c>
      <c r="BH677" s="1" t="s">
        <v>74</v>
      </c>
      <c r="BI677" s="1" t="s">
        <v>74</v>
      </c>
      <c r="BJ677" s="1" t="s">
        <v>74</v>
      </c>
      <c r="BK677" s="1" t="s">
        <v>74</v>
      </c>
      <c r="BL677" s="1" t="s">
        <v>74</v>
      </c>
      <c r="BM677" s="1" t="s">
        <v>74</v>
      </c>
      <c r="BN677" s="1" t="s">
        <v>74</v>
      </c>
      <c r="BO677" s="1" t="s">
        <v>74</v>
      </c>
      <c r="BP677" s="1" t="s">
        <v>74</v>
      </c>
      <c r="BQ677" s="1" t="s">
        <v>74</v>
      </c>
      <c r="BR677" s="1" t="s">
        <v>74</v>
      </c>
      <c r="BS677" s="1" t="s">
        <v>5783</v>
      </c>
      <c r="BT677" s="1" t="str">
        <f>HYPERLINK("https%3A%2F%2Fwww.webofscience.com%2Fwos%2Fwoscc%2Ffull-record%2FWOS:000177323800029","View Full Record in Web of Science")</f>
        <v>View Full Record in Web of Science</v>
      </c>
    </row>
    <row r="678" ht="12.75" customHeight="1">
      <c r="A678" s="1" t="s">
        <v>91</v>
      </c>
      <c r="B678" s="1" t="s">
        <v>5784</v>
      </c>
      <c r="C678" s="1" t="s">
        <v>74</v>
      </c>
      <c r="D678" s="1" t="s">
        <v>5785</v>
      </c>
      <c r="E678" s="1" t="s">
        <v>74</v>
      </c>
      <c r="F678" s="1" t="s">
        <v>5784</v>
      </c>
      <c r="G678" s="1" t="s">
        <v>74</v>
      </c>
      <c r="H678" s="1" t="s">
        <v>74</v>
      </c>
      <c r="I678" s="1" t="s">
        <v>5786</v>
      </c>
      <c r="J678" s="1" t="s">
        <v>5787</v>
      </c>
      <c r="K678" s="1" t="s">
        <v>74</v>
      </c>
      <c r="L678" s="1" t="s">
        <v>74</v>
      </c>
      <c r="M678" s="1" t="s">
        <v>74</v>
      </c>
      <c r="N678" s="1" t="s">
        <v>74</v>
      </c>
      <c r="O678" s="1" t="s">
        <v>5788</v>
      </c>
      <c r="P678" s="1" t="s">
        <v>5789</v>
      </c>
      <c r="Q678" s="1" t="s">
        <v>5790</v>
      </c>
      <c r="R678" s="1" t="s">
        <v>5791</v>
      </c>
      <c r="S678" s="1" t="s">
        <v>74</v>
      </c>
      <c r="T678" s="1" t="s">
        <v>74</v>
      </c>
      <c r="U678" s="1" t="s">
        <v>74</v>
      </c>
      <c r="V678" s="1" t="s">
        <v>5792</v>
      </c>
      <c r="W678" s="1" t="s">
        <v>74</v>
      </c>
      <c r="X678" s="1" t="s">
        <v>74</v>
      </c>
      <c r="Y678" s="1" t="s">
        <v>74</v>
      </c>
      <c r="Z678" s="1" t="s">
        <v>74</v>
      </c>
      <c r="AA678" s="1" t="s">
        <v>74</v>
      </c>
      <c r="AB678" s="1" t="s">
        <v>74</v>
      </c>
      <c r="AC678" s="1" t="s">
        <v>74</v>
      </c>
      <c r="AD678" s="1" t="s">
        <v>74</v>
      </c>
      <c r="AE678" s="1" t="s">
        <v>74</v>
      </c>
      <c r="AF678" s="1" t="s">
        <v>74</v>
      </c>
      <c r="AG678" s="1" t="s">
        <v>74</v>
      </c>
      <c r="AH678" s="1" t="s">
        <v>74</v>
      </c>
      <c r="AI678" s="1" t="s">
        <v>74</v>
      </c>
      <c r="AJ678" s="1" t="s">
        <v>74</v>
      </c>
      <c r="AK678" s="1" t="s">
        <v>74</v>
      </c>
      <c r="AL678" s="1" t="s">
        <v>74</v>
      </c>
      <c r="AM678" s="1" t="s">
        <v>74</v>
      </c>
      <c r="AN678" s="1" t="s">
        <v>74</v>
      </c>
      <c r="AO678" s="1" t="s">
        <v>74</v>
      </c>
      <c r="AP678" s="1" t="s">
        <v>74</v>
      </c>
      <c r="AQ678" s="1" t="s">
        <v>5793</v>
      </c>
      <c r="AR678" s="1" t="s">
        <v>74</v>
      </c>
      <c r="AS678" s="1" t="s">
        <v>74</v>
      </c>
      <c r="AT678" s="1" t="s">
        <v>74</v>
      </c>
      <c r="AU678" s="1">
        <v>2002.0</v>
      </c>
      <c r="AV678" s="1" t="s">
        <v>74</v>
      </c>
      <c r="AW678" s="1" t="s">
        <v>74</v>
      </c>
      <c r="AX678" s="1" t="s">
        <v>74</v>
      </c>
      <c r="AY678" s="1" t="s">
        <v>74</v>
      </c>
      <c r="AZ678" s="1" t="s">
        <v>74</v>
      </c>
      <c r="BA678" s="1" t="s">
        <v>74</v>
      </c>
      <c r="BB678" s="1">
        <v>739.0</v>
      </c>
      <c r="BC678" s="1">
        <v>746.0</v>
      </c>
      <c r="BD678" s="1" t="s">
        <v>74</v>
      </c>
      <c r="BE678" s="1" t="s">
        <v>74</v>
      </c>
      <c r="BF678" s="1" t="s">
        <v>74</v>
      </c>
      <c r="BG678" s="1" t="s">
        <v>74</v>
      </c>
      <c r="BH678" s="1" t="s">
        <v>74</v>
      </c>
      <c r="BI678" s="1" t="s">
        <v>74</v>
      </c>
      <c r="BJ678" s="1" t="s">
        <v>74</v>
      </c>
      <c r="BK678" s="1" t="s">
        <v>74</v>
      </c>
      <c r="BL678" s="1" t="s">
        <v>74</v>
      </c>
      <c r="BM678" s="1" t="s">
        <v>74</v>
      </c>
      <c r="BN678" s="1" t="s">
        <v>74</v>
      </c>
      <c r="BO678" s="1" t="s">
        <v>74</v>
      </c>
      <c r="BP678" s="1" t="s">
        <v>74</v>
      </c>
      <c r="BQ678" s="1" t="s">
        <v>74</v>
      </c>
      <c r="BR678" s="1" t="s">
        <v>74</v>
      </c>
      <c r="BS678" s="1" t="s">
        <v>5794</v>
      </c>
      <c r="BT678" s="1" t="str">
        <f>HYPERLINK("https%3A%2F%2Fwww.webofscience.com%2Fwos%2Fwoscc%2Ffull-record%2FWOS:000182408200138","View Full Record in Web of Science")</f>
        <v>View Full Record in Web of Science</v>
      </c>
    </row>
    <row r="679" ht="12.75" customHeight="1">
      <c r="A679" s="1" t="s">
        <v>91</v>
      </c>
      <c r="B679" s="1" t="s">
        <v>5795</v>
      </c>
      <c r="C679" s="1" t="s">
        <v>74</v>
      </c>
      <c r="D679" s="1" t="s">
        <v>5796</v>
      </c>
      <c r="E679" s="1" t="s">
        <v>74</v>
      </c>
      <c r="F679" s="1" t="s">
        <v>5795</v>
      </c>
      <c r="G679" s="1" t="s">
        <v>74</v>
      </c>
      <c r="H679" s="1" t="s">
        <v>74</v>
      </c>
      <c r="I679" s="1" t="s">
        <v>5797</v>
      </c>
      <c r="J679" s="1" t="s">
        <v>5798</v>
      </c>
      <c r="K679" s="1" t="s">
        <v>74</v>
      </c>
      <c r="L679" s="1" t="s">
        <v>74</v>
      </c>
      <c r="M679" s="1" t="s">
        <v>74</v>
      </c>
      <c r="N679" s="1" t="s">
        <v>74</v>
      </c>
      <c r="O679" s="1" t="s">
        <v>5799</v>
      </c>
      <c r="P679" s="1" t="s">
        <v>5800</v>
      </c>
      <c r="Q679" s="1" t="s">
        <v>5801</v>
      </c>
      <c r="R679" s="1" t="s">
        <v>74</v>
      </c>
      <c r="S679" s="1" t="s">
        <v>74</v>
      </c>
      <c r="T679" s="1" t="s">
        <v>74</v>
      </c>
      <c r="U679" s="1" t="s">
        <v>74</v>
      </c>
      <c r="V679" s="1" t="s">
        <v>5802</v>
      </c>
      <c r="W679" s="1" t="s">
        <v>74</v>
      </c>
      <c r="X679" s="1" t="s">
        <v>74</v>
      </c>
      <c r="Y679" s="1" t="s">
        <v>74</v>
      </c>
      <c r="Z679" s="1" t="s">
        <v>74</v>
      </c>
      <c r="AA679" s="1" t="s">
        <v>74</v>
      </c>
      <c r="AB679" s="1" t="s">
        <v>74</v>
      </c>
      <c r="AC679" s="1" t="s">
        <v>74</v>
      </c>
      <c r="AD679" s="1" t="s">
        <v>74</v>
      </c>
      <c r="AE679" s="1" t="s">
        <v>74</v>
      </c>
      <c r="AF679" s="1" t="s">
        <v>74</v>
      </c>
      <c r="AG679" s="1" t="s">
        <v>74</v>
      </c>
      <c r="AH679" s="1" t="s">
        <v>74</v>
      </c>
      <c r="AI679" s="1" t="s">
        <v>74</v>
      </c>
      <c r="AJ679" s="1" t="s">
        <v>74</v>
      </c>
      <c r="AK679" s="1" t="s">
        <v>74</v>
      </c>
      <c r="AL679" s="1" t="s">
        <v>74</v>
      </c>
      <c r="AM679" s="1" t="s">
        <v>74</v>
      </c>
      <c r="AN679" s="1" t="s">
        <v>74</v>
      </c>
      <c r="AO679" s="1" t="s">
        <v>74</v>
      </c>
      <c r="AP679" s="1" t="s">
        <v>74</v>
      </c>
      <c r="AQ679" s="1" t="s">
        <v>5803</v>
      </c>
      <c r="AR679" s="1" t="s">
        <v>74</v>
      </c>
      <c r="AS679" s="1" t="s">
        <v>74</v>
      </c>
      <c r="AT679" s="1" t="s">
        <v>74</v>
      </c>
      <c r="AU679" s="1">
        <v>2002.0</v>
      </c>
      <c r="AV679" s="1" t="s">
        <v>74</v>
      </c>
      <c r="AW679" s="1" t="s">
        <v>74</v>
      </c>
      <c r="AX679" s="1" t="s">
        <v>74</v>
      </c>
      <c r="AY679" s="1" t="s">
        <v>74</v>
      </c>
      <c r="AZ679" s="1" t="s">
        <v>74</v>
      </c>
      <c r="BA679" s="1" t="s">
        <v>74</v>
      </c>
      <c r="BB679" s="1">
        <v>339.0</v>
      </c>
      <c r="BC679" s="1">
        <v>345.0</v>
      </c>
      <c r="BD679" s="1" t="s">
        <v>74</v>
      </c>
      <c r="BE679" s="1" t="s">
        <v>74</v>
      </c>
      <c r="BF679" s="1" t="s">
        <v>74</v>
      </c>
      <c r="BG679" s="1" t="s">
        <v>74</v>
      </c>
      <c r="BH679" s="1" t="s">
        <v>74</v>
      </c>
      <c r="BI679" s="1" t="s">
        <v>74</v>
      </c>
      <c r="BJ679" s="1" t="s">
        <v>74</v>
      </c>
      <c r="BK679" s="1" t="s">
        <v>74</v>
      </c>
      <c r="BL679" s="1" t="s">
        <v>74</v>
      </c>
      <c r="BM679" s="1" t="s">
        <v>74</v>
      </c>
      <c r="BN679" s="1" t="s">
        <v>74</v>
      </c>
      <c r="BO679" s="1" t="s">
        <v>74</v>
      </c>
      <c r="BP679" s="1" t="s">
        <v>74</v>
      </c>
      <c r="BQ679" s="1" t="s">
        <v>74</v>
      </c>
      <c r="BR679" s="1" t="s">
        <v>74</v>
      </c>
      <c r="BS679" s="1" t="s">
        <v>5804</v>
      </c>
      <c r="BT679" s="1" t="str">
        <f>HYPERLINK("https%3A%2F%2Fwww.webofscience.com%2Fwos%2Fwoscc%2Ffull-record%2FWOS:000177912100029","View Full Record in Web of Science")</f>
        <v>View Full Record in Web of Science</v>
      </c>
    </row>
    <row r="680" ht="12.75" customHeight="1">
      <c r="A680" s="1" t="s">
        <v>91</v>
      </c>
      <c r="B680" s="1" t="s">
        <v>5805</v>
      </c>
      <c r="C680" s="1" t="s">
        <v>74</v>
      </c>
      <c r="D680" s="1" t="s">
        <v>74</v>
      </c>
      <c r="E680" s="1" t="s">
        <v>5806</v>
      </c>
      <c r="F680" s="1" t="s">
        <v>5805</v>
      </c>
      <c r="G680" s="1" t="s">
        <v>74</v>
      </c>
      <c r="H680" s="1" t="s">
        <v>74</v>
      </c>
      <c r="I680" s="1" t="s">
        <v>5807</v>
      </c>
      <c r="J680" s="1" t="s">
        <v>5808</v>
      </c>
      <c r="K680" s="1" t="s">
        <v>74</v>
      </c>
      <c r="L680" s="1" t="s">
        <v>74</v>
      </c>
      <c r="M680" s="1" t="s">
        <v>74</v>
      </c>
      <c r="N680" s="1" t="s">
        <v>74</v>
      </c>
      <c r="O680" s="1" t="s">
        <v>5809</v>
      </c>
      <c r="P680" s="1" t="s">
        <v>5810</v>
      </c>
      <c r="Q680" s="1" t="s">
        <v>5811</v>
      </c>
      <c r="R680" s="1" t="s">
        <v>5812</v>
      </c>
      <c r="S680" s="1" t="s">
        <v>74</v>
      </c>
      <c r="T680" s="1" t="s">
        <v>74</v>
      </c>
      <c r="U680" s="1" t="s">
        <v>74</v>
      </c>
      <c r="V680" s="1" t="s">
        <v>5813</v>
      </c>
      <c r="W680" s="1" t="s">
        <v>74</v>
      </c>
      <c r="X680" s="1" t="s">
        <v>74</v>
      </c>
      <c r="Y680" s="1" t="s">
        <v>74</v>
      </c>
      <c r="Z680" s="1" t="s">
        <v>74</v>
      </c>
      <c r="AA680" s="1" t="s">
        <v>74</v>
      </c>
      <c r="AB680" s="1" t="s">
        <v>74</v>
      </c>
      <c r="AC680" s="1" t="s">
        <v>74</v>
      </c>
      <c r="AD680" s="1" t="s">
        <v>74</v>
      </c>
      <c r="AE680" s="1" t="s">
        <v>74</v>
      </c>
      <c r="AF680" s="1" t="s">
        <v>74</v>
      </c>
      <c r="AG680" s="1" t="s">
        <v>74</v>
      </c>
      <c r="AH680" s="1" t="s">
        <v>74</v>
      </c>
      <c r="AI680" s="1" t="s">
        <v>74</v>
      </c>
      <c r="AJ680" s="1" t="s">
        <v>74</v>
      </c>
      <c r="AK680" s="1" t="s">
        <v>74</v>
      </c>
      <c r="AL680" s="1" t="s">
        <v>74</v>
      </c>
      <c r="AM680" s="1" t="s">
        <v>74</v>
      </c>
      <c r="AN680" s="1" t="s">
        <v>74</v>
      </c>
      <c r="AO680" s="1" t="s">
        <v>74</v>
      </c>
      <c r="AP680" s="1" t="s">
        <v>74</v>
      </c>
      <c r="AQ680" s="1" t="s">
        <v>74</v>
      </c>
      <c r="AR680" s="1" t="s">
        <v>74</v>
      </c>
      <c r="AS680" s="1" t="s">
        <v>74</v>
      </c>
      <c r="AT680" s="1" t="s">
        <v>74</v>
      </c>
      <c r="AU680" s="1">
        <v>2002.0</v>
      </c>
      <c r="AV680" s="1" t="s">
        <v>74</v>
      </c>
      <c r="AW680" s="1" t="s">
        <v>74</v>
      </c>
      <c r="AX680" s="1" t="s">
        <v>74</v>
      </c>
      <c r="AY680" s="1" t="s">
        <v>74</v>
      </c>
      <c r="AZ680" s="1" t="s">
        <v>74</v>
      </c>
      <c r="BA680" s="1" t="s">
        <v>74</v>
      </c>
      <c r="BB680" s="1">
        <v>51.0</v>
      </c>
      <c r="BC680" s="1">
        <v>54.0</v>
      </c>
      <c r="BD680" s="1" t="s">
        <v>74</v>
      </c>
      <c r="BE680" s="1" t="s">
        <v>74</v>
      </c>
      <c r="BF680" s="1" t="s">
        <v>74</v>
      </c>
      <c r="BG680" s="1" t="s">
        <v>74</v>
      </c>
      <c r="BH680" s="1" t="s">
        <v>74</v>
      </c>
      <c r="BI680" s="1" t="s">
        <v>74</v>
      </c>
      <c r="BJ680" s="1" t="s">
        <v>74</v>
      </c>
      <c r="BK680" s="1" t="s">
        <v>74</v>
      </c>
      <c r="BL680" s="1" t="s">
        <v>74</v>
      </c>
      <c r="BM680" s="1" t="s">
        <v>74</v>
      </c>
      <c r="BN680" s="1" t="s">
        <v>74</v>
      </c>
      <c r="BO680" s="1" t="s">
        <v>74</v>
      </c>
      <c r="BP680" s="1" t="s">
        <v>74</v>
      </c>
      <c r="BQ680" s="1" t="s">
        <v>74</v>
      </c>
      <c r="BR680" s="1" t="s">
        <v>74</v>
      </c>
      <c r="BS680" s="1" t="s">
        <v>5814</v>
      </c>
      <c r="BT680" s="1" t="str">
        <f>HYPERLINK("https%3A%2F%2Fwww.webofscience.com%2Fwos%2Fwoscc%2Ffull-record%2FWOS:000180241500012","View Full Record in Web of Science")</f>
        <v>View Full Record in Web of Science</v>
      </c>
    </row>
    <row r="681" ht="12.75" customHeight="1">
      <c r="A681" s="1" t="s">
        <v>72</v>
      </c>
      <c r="B681" s="1" t="s">
        <v>5815</v>
      </c>
      <c r="C681" s="1" t="s">
        <v>74</v>
      </c>
      <c r="D681" s="1" t="s">
        <v>74</v>
      </c>
      <c r="E681" s="1" t="s">
        <v>74</v>
      </c>
      <c r="F681" s="1" t="s">
        <v>5815</v>
      </c>
      <c r="G681" s="1" t="s">
        <v>74</v>
      </c>
      <c r="H681" s="1" t="s">
        <v>74</v>
      </c>
      <c r="I681" s="1" t="s">
        <v>5816</v>
      </c>
      <c r="J681" s="1" t="s">
        <v>177</v>
      </c>
      <c r="K681" s="1" t="s">
        <v>74</v>
      </c>
      <c r="L681" s="1" t="s">
        <v>74</v>
      </c>
      <c r="M681" s="1" t="s">
        <v>74</v>
      </c>
      <c r="N681" s="1" t="s">
        <v>74</v>
      </c>
      <c r="O681" s="1" t="s">
        <v>74</v>
      </c>
      <c r="P681" s="1" t="s">
        <v>74</v>
      </c>
      <c r="Q681" s="1" t="s">
        <v>74</v>
      </c>
      <c r="R681" s="1" t="s">
        <v>74</v>
      </c>
      <c r="S681" s="1" t="s">
        <v>74</v>
      </c>
      <c r="T681" s="1" t="s">
        <v>74</v>
      </c>
      <c r="U681" s="1" t="s">
        <v>74</v>
      </c>
      <c r="V681" s="1" t="s">
        <v>5817</v>
      </c>
      <c r="W681" s="1" t="s">
        <v>74</v>
      </c>
      <c r="X681" s="1" t="s">
        <v>74</v>
      </c>
      <c r="Y681" s="1" t="s">
        <v>74</v>
      </c>
      <c r="Z681" s="1" t="s">
        <v>74</v>
      </c>
      <c r="AA681" s="1" t="s">
        <v>74</v>
      </c>
      <c r="AB681" s="1" t="s">
        <v>74</v>
      </c>
      <c r="AC681" s="1" t="s">
        <v>74</v>
      </c>
      <c r="AD681" s="1" t="s">
        <v>74</v>
      </c>
      <c r="AE681" s="1" t="s">
        <v>74</v>
      </c>
      <c r="AF681" s="1" t="s">
        <v>74</v>
      </c>
      <c r="AG681" s="1" t="s">
        <v>74</v>
      </c>
      <c r="AH681" s="1" t="s">
        <v>74</v>
      </c>
      <c r="AI681" s="1" t="s">
        <v>74</v>
      </c>
      <c r="AJ681" s="1" t="s">
        <v>74</v>
      </c>
      <c r="AK681" s="1" t="s">
        <v>74</v>
      </c>
      <c r="AL681" s="1" t="s">
        <v>74</v>
      </c>
      <c r="AM681" s="1" t="s">
        <v>74</v>
      </c>
      <c r="AN681" s="1" t="s">
        <v>74</v>
      </c>
      <c r="AO681" s="1" t="s">
        <v>179</v>
      </c>
      <c r="AP681" s="1" t="s">
        <v>74</v>
      </c>
      <c r="AQ681" s="1" t="s">
        <v>74</v>
      </c>
      <c r="AR681" s="1" t="s">
        <v>74</v>
      </c>
      <c r="AS681" s="1" t="s">
        <v>74</v>
      </c>
      <c r="AT681" s="1" t="s">
        <v>88</v>
      </c>
      <c r="AU681" s="1">
        <v>2000.0</v>
      </c>
      <c r="AV681" s="1">
        <v>45.0</v>
      </c>
      <c r="AW681" s="1">
        <v>4.0</v>
      </c>
      <c r="AX681" s="1" t="s">
        <v>74</v>
      </c>
      <c r="AY681" s="1" t="s">
        <v>74</v>
      </c>
      <c r="AZ681" s="1" t="s">
        <v>74</v>
      </c>
      <c r="BA681" s="1" t="s">
        <v>74</v>
      </c>
      <c r="BB681" s="1">
        <v>593.0</v>
      </c>
      <c r="BC681" s="1">
        <v>599.0</v>
      </c>
      <c r="BD681" s="1" t="s">
        <v>74</v>
      </c>
      <c r="BE681" s="1" t="s">
        <v>74</v>
      </c>
      <c r="BF681" s="1" t="s">
        <v>74</v>
      </c>
      <c r="BG681" s="1" t="s">
        <v>74</v>
      </c>
      <c r="BH681" s="1" t="s">
        <v>74</v>
      </c>
      <c r="BI681" s="1" t="s">
        <v>74</v>
      </c>
      <c r="BJ681" s="1" t="s">
        <v>74</v>
      </c>
      <c r="BK681" s="1" t="s">
        <v>74</v>
      </c>
      <c r="BL681" s="1" t="s">
        <v>74</v>
      </c>
      <c r="BM681" s="1" t="s">
        <v>74</v>
      </c>
      <c r="BN681" s="1" t="s">
        <v>74</v>
      </c>
      <c r="BO681" s="1" t="s">
        <v>74</v>
      </c>
      <c r="BP681" s="1" t="s">
        <v>74</v>
      </c>
      <c r="BQ681" s="1" t="s">
        <v>74</v>
      </c>
      <c r="BR681" s="1" t="s">
        <v>74</v>
      </c>
      <c r="BS681" s="1" t="s">
        <v>5818</v>
      </c>
      <c r="BT681" s="1" t="str">
        <f>HYPERLINK("https%3A%2F%2Fwww.webofscience.com%2Fwos%2Fwoscc%2Ffull-record%2FWOS:000166388700011","View Full Record in Web of Science")</f>
        <v>View Full Record in Web of Science</v>
      </c>
    </row>
    <row r="682" ht="12.75" customHeight="1">
      <c r="A682" s="1" t="s">
        <v>72</v>
      </c>
      <c r="B682" s="1" t="s">
        <v>5819</v>
      </c>
      <c r="C682" s="1" t="s">
        <v>74</v>
      </c>
      <c r="D682" s="1" t="s">
        <v>74</v>
      </c>
      <c r="E682" s="1" t="s">
        <v>74</v>
      </c>
      <c r="F682" s="1" t="s">
        <v>5819</v>
      </c>
      <c r="G682" s="1" t="s">
        <v>74</v>
      </c>
      <c r="H682" s="1" t="s">
        <v>74</v>
      </c>
      <c r="I682" s="1" t="s">
        <v>5820</v>
      </c>
      <c r="J682" s="1" t="s">
        <v>177</v>
      </c>
      <c r="K682" s="1" t="s">
        <v>74</v>
      </c>
      <c r="L682" s="1" t="s">
        <v>74</v>
      </c>
      <c r="M682" s="1" t="s">
        <v>74</v>
      </c>
      <c r="N682" s="1" t="s">
        <v>74</v>
      </c>
      <c r="O682" s="1" t="s">
        <v>74</v>
      </c>
      <c r="P682" s="1" t="s">
        <v>74</v>
      </c>
      <c r="Q682" s="1" t="s">
        <v>74</v>
      </c>
      <c r="R682" s="1" t="s">
        <v>74</v>
      </c>
      <c r="S682" s="1" t="s">
        <v>74</v>
      </c>
      <c r="T682" s="1" t="s">
        <v>74</v>
      </c>
      <c r="U682" s="1" t="s">
        <v>74</v>
      </c>
      <c r="V682" s="1" t="s">
        <v>5821</v>
      </c>
      <c r="W682" s="1" t="s">
        <v>74</v>
      </c>
      <c r="X682" s="1" t="s">
        <v>74</v>
      </c>
      <c r="Y682" s="1" t="s">
        <v>74</v>
      </c>
      <c r="Z682" s="1" t="s">
        <v>74</v>
      </c>
      <c r="AA682" s="1" t="s">
        <v>1227</v>
      </c>
      <c r="AB682" s="1" t="s">
        <v>74</v>
      </c>
      <c r="AC682" s="1" t="s">
        <v>74</v>
      </c>
      <c r="AD682" s="1" t="s">
        <v>74</v>
      </c>
      <c r="AE682" s="1" t="s">
        <v>74</v>
      </c>
      <c r="AF682" s="1" t="s">
        <v>74</v>
      </c>
      <c r="AG682" s="1" t="s">
        <v>74</v>
      </c>
      <c r="AH682" s="1" t="s">
        <v>74</v>
      </c>
      <c r="AI682" s="1" t="s">
        <v>74</v>
      </c>
      <c r="AJ682" s="1" t="s">
        <v>74</v>
      </c>
      <c r="AK682" s="1" t="s">
        <v>74</v>
      </c>
      <c r="AL682" s="1" t="s">
        <v>74</v>
      </c>
      <c r="AM682" s="1" t="s">
        <v>74</v>
      </c>
      <c r="AN682" s="1" t="s">
        <v>74</v>
      </c>
      <c r="AO682" s="1" t="s">
        <v>179</v>
      </c>
      <c r="AP682" s="1" t="s">
        <v>74</v>
      </c>
      <c r="AQ682" s="1" t="s">
        <v>74</v>
      </c>
      <c r="AR682" s="1" t="s">
        <v>74</v>
      </c>
      <c r="AS682" s="1" t="s">
        <v>74</v>
      </c>
      <c r="AT682" s="1" t="s">
        <v>180</v>
      </c>
      <c r="AU682" s="1">
        <v>2000.0</v>
      </c>
      <c r="AV682" s="1">
        <v>45.0</v>
      </c>
      <c r="AW682" s="1">
        <v>2.0</v>
      </c>
      <c r="AX682" s="1" t="s">
        <v>74</v>
      </c>
      <c r="AY682" s="1" t="s">
        <v>74</v>
      </c>
      <c r="AZ682" s="1" t="s">
        <v>74</v>
      </c>
      <c r="BA682" s="1" t="s">
        <v>74</v>
      </c>
      <c r="BB682" s="1">
        <v>237.0</v>
      </c>
      <c r="BC682" s="1">
        <v>242.0</v>
      </c>
      <c r="BD682" s="1" t="s">
        <v>74</v>
      </c>
      <c r="BE682" s="1" t="s">
        <v>74</v>
      </c>
      <c r="BF682" s="1" t="s">
        <v>74</v>
      </c>
      <c r="BG682" s="1" t="s">
        <v>74</v>
      </c>
      <c r="BH682" s="1" t="s">
        <v>74</v>
      </c>
      <c r="BI682" s="1" t="s">
        <v>74</v>
      </c>
      <c r="BJ682" s="1" t="s">
        <v>74</v>
      </c>
      <c r="BK682" s="1" t="s">
        <v>74</v>
      </c>
      <c r="BL682" s="1" t="s">
        <v>74</v>
      </c>
      <c r="BM682" s="1" t="s">
        <v>74</v>
      </c>
      <c r="BN682" s="1" t="s">
        <v>74</v>
      </c>
      <c r="BO682" s="1" t="s">
        <v>74</v>
      </c>
      <c r="BP682" s="1" t="s">
        <v>74</v>
      </c>
      <c r="BQ682" s="1" t="s">
        <v>74</v>
      </c>
      <c r="BR682" s="1" t="s">
        <v>74</v>
      </c>
      <c r="BS682" s="1" t="s">
        <v>5822</v>
      </c>
      <c r="BT682" s="1" t="str">
        <f>HYPERLINK("https%3A%2F%2Fwww.webofscience.com%2Fwos%2Fwoscc%2Ffull-record%2FWOS:000088306000010","View Full Record in Web of Science")</f>
        <v>View Full Record in Web of Science</v>
      </c>
    </row>
    <row r="683" ht="12.75" customHeight="1">
      <c r="A683" s="1" t="s">
        <v>162</v>
      </c>
      <c r="B683" s="1" t="s">
        <v>5823</v>
      </c>
      <c r="C683" s="1" t="s">
        <v>74</v>
      </c>
      <c r="D683" s="1" t="s">
        <v>5824</v>
      </c>
      <c r="E683" s="1" t="s">
        <v>74</v>
      </c>
      <c r="F683" s="1" t="s">
        <v>5823</v>
      </c>
      <c r="G683" s="1" t="s">
        <v>74</v>
      </c>
      <c r="H683" s="1" t="s">
        <v>74</v>
      </c>
      <c r="I683" s="1" t="s">
        <v>5825</v>
      </c>
      <c r="J683" s="1" t="s">
        <v>5826</v>
      </c>
      <c r="K683" s="1" t="s">
        <v>5827</v>
      </c>
      <c r="L683" s="1" t="s">
        <v>74</v>
      </c>
      <c r="M683" s="1" t="s">
        <v>74</v>
      </c>
      <c r="N683" s="1" t="s">
        <v>74</v>
      </c>
      <c r="O683" s="1" t="s">
        <v>5828</v>
      </c>
      <c r="P683" s="1" t="s">
        <v>5829</v>
      </c>
      <c r="Q683" s="1" t="s">
        <v>5830</v>
      </c>
      <c r="R683" s="1" t="s">
        <v>5831</v>
      </c>
      <c r="S683" s="1" t="s">
        <v>74</v>
      </c>
      <c r="T683" s="1" t="s">
        <v>74</v>
      </c>
      <c r="U683" s="1" t="s">
        <v>74</v>
      </c>
      <c r="V683" s="1" t="s">
        <v>74</v>
      </c>
      <c r="W683" s="1" t="s">
        <v>74</v>
      </c>
      <c r="X683" s="1" t="s">
        <v>74</v>
      </c>
      <c r="Y683" s="1" t="s">
        <v>74</v>
      </c>
      <c r="Z683" s="1" t="s">
        <v>74</v>
      </c>
      <c r="AA683" s="1" t="s">
        <v>5832</v>
      </c>
      <c r="AB683" s="1" t="s">
        <v>74</v>
      </c>
      <c r="AC683" s="1" t="s">
        <v>74</v>
      </c>
      <c r="AD683" s="1" t="s">
        <v>74</v>
      </c>
      <c r="AE683" s="1" t="s">
        <v>74</v>
      </c>
      <c r="AF683" s="1" t="s">
        <v>74</v>
      </c>
      <c r="AG683" s="1" t="s">
        <v>74</v>
      </c>
      <c r="AH683" s="1" t="s">
        <v>74</v>
      </c>
      <c r="AI683" s="1" t="s">
        <v>74</v>
      </c>
      <c r="AJ683" s="1" t="s">
        <v>74</v>
      </c>
      <c r="AK683" s="1" t="s">
        <v>74</v>
      </c>
      <c r="AL683" s="1" t="s">
        <v>74</v>
      </c>
      <c r="AM683" s="1" t="s">
        <v>74</v>
      </c>
      <c r="AN683" s="1" t="s">
        <v>74</v>
      </c>
      <c r="AO683" s="1" t="s">
        <v>5833</v>
      </c>
      <c r="AP683" s="1" t="s">
        <v>74</v>
      </c>
      <c r="AQ683" s="1" t="s">
        <v>5834</v>
      </c>
      <c r="AR683" s="1" t="s">
        <v>74</v>
      </c>
      <c r="AS683" s="1" t="s">
        <v>74</v>
      </c>
      <c r="AT683" s="1" t="s">
        <v>74</v>
      </c>
      <c r="AU683" s="1">
        <v>2000.0</v>
      </c>
      <c r="AV683" s="1">
        <v>1201.0</v>
      </c>
      <c r="AW683" s="1" t="s">
        <v>74</v>
      </c>
      <c r="AX683" s="1" t="s">
        <v>74</v>
      </c>
      <c r="AY683" s="1" t="s">
        <v>74</v>
      </c>
      <c r="AZ683" s="1" t="s">
        <v>74</v>
      </c>
      <c r="BA683" s="1" t="s">
        <v>74</v>
      </c>
      <c r="BB683" s="1">
        <v>469.0</v>
      </c>
      <c r="BC683" s="1">
        <v>469.0</v>
      </c>
      <c r="BD683" s="1" t="s">
        <v>74</v>
      </c>
      <c r="BE683" s="1" t="s">
        <v>74</v>
      </c>
      <c r="BF683" s="1" t="s">
        <v>74</v>
      </c>
      <c r="BG683" s="1" t="s">
        <v>74</v>
      </c>
      <c r="BH683" s="1" t="s">
        <v>74</v>
      </c>
      <c r="BI683" s="1" t="s">
        <v>74</v>
      </c>
      <c r="BJ683" s="1" t="s">
        <v>74</v>
      </c>
      <c r="BK683" s="1" t="s">
        <v>74</v>
      </c>
      <c r="BL683" s="1" t="s">
        <v>74</v>
      </c>
      <c r="BM683" s="1" t="s">
        <v>74</v>
      </c>
      <c r="BN683" s="1" t="s">
        <v>74</v>
      </c>
      <c r="BO683" s="1" t="s">
        <v>74</v>
      </c>
      <c r="BP683" s="1" t="s">
        <v>74</v>
      </c>
      <c r="BQ683" s="1" t="s">
        <v>74</v>
      </c>
      <c r="BR683" s="1" t="s">
        <v>74</v>
      </c>
      <c r="BS683" s="1" t="s">
        <v>5835</v>
      </c>
      <c r="BT683" s="1" t="str">
        <f>HYPERLINK("https%3A%2F%2Fwww.webofscience.com%2Fwos%2Fwoscc%2Ffull-record%2FWOS:000088270100141","View Full Record in Web of Science")</f>
        <v>View Full Record in Web of Science</v>
      </c>
    </row>
    <row r="684" ht="12.75" customHeight="1">
      <c r="A684" s="1" t="s">
        <v>72</v>
      </c>
      <c r="B684" s="1" t="s">
        <v>5836</v>
      </c>
      <c r="C684" s="1" t="s">
        <v>74</v>
      </c>
      <c r="D684" s="1" t="s">
        <v>74</v>
      </c>
      <c r="E684" s="1" t="s">
        <v>74</v>
      </c>
      <c r="F684" s="1" t="s">
        <v>5836</v>
      </c>
      <c r="G684" s="1" t="s">
        <v>74</v>
      </c>
      <c r="H684" s="1" t="s">
        <v>74</v>
      </c>
      <c r="I684" s="1" t="s">
        <v>5837</v>
      </c>
      <c r="J684" s="1" t="s">
        <v>5838</v>
      </c>
      <c r="K684" s="1" t="s">
        <v>74</v>
      </c>
      <c r="L684" s="1" t="s">
        <v>74</v>
      </c>
      <c r="M684" s="1" t="s">
        <v>74</v>
      </c>
      <c r="N684" s="1" t="s">
        <v>74</v>
      </c>
      <c r="O684" s="1" t="s">
        <v>5839</v>
      </c>
      <c r="P684" s="1" t="s">
        <v>5840</v>
      </c>
      <c r="Q684" s="1" t="s">
        <v>5841</v>
      </c>
      <c r="R684" s="1" t="s">
        <v>5842</v>
      </c>
      <c r="S684" s="1" t="s">
        <v>74</v>
      </c>
      <c r="T684" s="1" t="s">
        <v>74</v>
      </c>
      <c r="U684" s="1" t="s">
        <v>74</v>
      </c>
      <c r="V684" s="1" t="s">
        <v>5843</v>
      </c>
      <c r="W684" s="1" t="s">
        <v>74</v>
      </c>
      <c r="X684" s="1" t="s">
        <v>74</v>
      </c>
      <c r="Y684" s="1" t="s">
        <v>74</v>
      </c>
      <c r="Z684" s="1" t="s">
        <v>74</v>
      </c>
      <c r="AA684" s="1" t="s">
        <v>5844</v>
      </c>
      <c r="AB684" s="1" t="s">
        <v>5845</v>
      </c>
      <c r="AC684" s="1" t="s">
        <v>74</v>
      </c>
      <c r="AD684" s="1" t="s">
        <v>74</v>
      </c>
      <c r="AE684" s="1" t="s">
        <v>74</v>
      </c>
      <c r="AF684" s="1" t="s">
        <v>74</v>
      </c>
      <c r="AG684" s="1" t="s">
        <v>74</v>
      </c>
      <c r="AH684" s="1" t="s">
        <v>74</v>
      </c>
      <c r="AI684" s="1" t="s">
        <v>74</v>
      </c>
      <c r="AJ684" s="1" t="s">
        <v>74</v>
      </c>
      <c r="AK684" s="1" t="s">
        <v>74</v>
      </c>
      <c r="AL684" s="1" t="s">
        <v>74</v>
      </c>
      <c r="AM684" s="1" t="s">
        <v>74</v>
      </c>
      <c r="AN684" s="1" t="s">
        <v>74</v>
      </c>
      <c r="AO684" s="1" t="s">
        <v>5846</v>
      </c>
      <c r="AP684" s="1" t="s">
        <v>74</v>
      </c>
      <c r="AQ684" s="1" t="s">
        <v>74</v>
      </c>
      <c r="AR684" s="1" t="s">
        <v>74</v>
      </c>
      <c r="AS684" s="1" t="s">
        <v>74</v>
      </c>
      <c r="AT684" s="1" t="s">
        <v>74</v>
      </c>
      <c r="AU684" s="1">
        <v>2000.0</v>
      </c>
      <c r="AV684" s="1">
        <v>8.0</v>
      </c>
      <c r="AW684" s="1" t="s">
        <v>1159</v>
      </c>
      <c r="AX684" s="1" t="s">
        <v>74</v>
      </c>
      <c r="AY684" s="1" t="s">
        <v>74</v>
      </c>
      <c r="AZ684" s="1" t="s">
        <v>74</v>
      </c>
      <c r="BA684" s="1" t="s">
        <v>74</v>
      </c>
      <c r="BB684" s="1">
        <v>221.0</v>
      </c>
      <c r="BC684" s="1">
        <v>228.0</v>
      </c>
      <c r="BD684" s="1" t="s">
        <v>74</v>
      </c>
      <c r="BE684" s="1" t="s">
        <v>74</v>
      </c>
      <c r="BF684" s="1" t="s">
        <v>74</v>
      </c>
      <c r="BG684" s="1" t="s">
        <v>74</v>
      </c>
      <c r="BH684" s="1" t="s">
        <v>74</v>
      </c>
      <c r="BI684" s="1" t="s">
        <v>74</v>
      </c>
      <c r="BJ684" s="1" t="s">
        <v>74</v>
      </c>
      <c r="BK684" s="1" t="s">
        <v>74</v>
      </c>
      <c r="BL684" s="1" t="s">
        <v>74</v>
      </c>
      <c r="BM684" s="1" t="s">
        <v>74</v>
      </c>
      <c r="BN684" s="1" t="s">
        <v>74</v>
      </c>
      <c r="BO684" s="1" t="s">
        <v>74</v>
      </c>
      <c r="BP684" s="1" t="s">
        <v>74</v>
      </c>
      <c r="BQ684" s="1" t="s">
        <v>74</v>
      </c>
      <c r="BR684" s="1" t="s">
        <v>74</v>
      </c>
      <c r="BS684" s="1" t="s">
        <v>5847</v>
      </c>
      <c r="BT684" s="1" t="str">
        <f>HYPERLINK("https%3A%2F%2Fwww.webofscience.com%2Fwos%2Fwoscc%2Ffull-record%2FWOS:000165144700014","View Full Record in Web of Science")</f>
        <v>View Full Record in Web of Science</v>
      </c>
    </row>
    <row r="685" ht="12.75" customHeight="1">
      <c r="A685" s="1" t="s">
        <v>72</v>
      </c>
      <c r="B685" s="1" t="s">
        <v>5848</v>
      </c>
      <c r="C685" s="1" t="s">
        <v>74</v>
      </c>
      <c r="D685" s="1" t="s">
        <v>74</v>
      </c>
      <c r="E685" s="1" t="s">
        <v>74</v>
      </c>
      <c r="F685" s="1" t="s">
        <v>5848</v>
      </c>
      <c r="G685" s="1" t="s">
        <v>74</v>
      </c>
      <c r="H685" s="1" t="s">
        <v>74</v>
      </c>
      <c r="I685" s="1" t="s">
        <v>5849</v>
      </c>
      <c r="J685" s="1" t="s">
        <v>920</v>
      </c>
      <c r="K685" s="1" t="s">
        <v>74</v>
      </c>
      <c r="L685" s="1" t="s">
        <v>74</v>
      </c>
      <c r="M685" s="1" t="s">
        <v>74</v>
      </c>
      <c r="N685" s="1" t="s">
        <v>74</v>
      </c>
      <c r="O685" s="1" t="s">
        <v>74</v>
      </c>
      <c r="P685" s="1" t="s">
        <v>74</v>
      </c>
      <c r="Q685" s="1" t="s">
        <v>74</v>
      </c>
      <c r="R685" s="1" t="s">
        <v>74</v>
      </c>
      <c r="S685" s="1" t="s">
        <v>74</v>
      </c>
      <c r="T685" s="1" t="s">
        <v>74</v>
      </c>
      <c r="U685" s="1" t="s">
        <v>74</v>
      </c>
      <c r="V685" s="1" t="s">
        <v>5850</v>
      </c>
      <c r="W685" s="1" t="s">
        <v>74</v>
      </c>
      <c r="X685" s="1" t="s">
        <v>74</v>
      </c>
      <c r="Y685" s="1" t="s">
        <v>74</v>
      </c>
      <c r="Z685" s="1" t="s">
        <v>74</v>
      </c>
      <c r="AA685" s="1" t="s">
        <v>74</v>
      </c>
      <c r="AB685" s="1" t="s">
        <v>74</v>
      </c>
      <c r="AC685" s="1" t="s">
        <v>74</v>
      </c>
      <c r="AD685" s="1" t="s">
        <v>74</v>
      </c>
      <c r="AE685" s="1" t="s">
        <v>74</v>
      </c>
      <c r="AF685" s="1" t="s">
        <v>74</v>
      </c>
      <c r="AG685" s="1" t="s">
        <v>74</v>
      </c>
      <c r="AH685" s="1" t="s">
        <v>74</v>
      </c>
      <c r="AI685" s="1" t="s">
        <v>74</v>
      </c>
      <c r="AJ685" s="1" t="s">
        <v>74</v>
      </c>
      <c r="AK685" s="1" t="s">
        <v>74</v>
      </c>
      <c r="AL685" s="1" t="s">
        <v>74</v>
      </c>
      <c r="AM685" s="1" t="s">
        <v>74</v>
      </c>
      <c r="AN685" s="1" t="s">
        <v>74</v>
      </c>
      <c r="AO685" s="1" t="s">
        <v>922</v>
      </c>
      <c r="AP685" s="1" t="s">
        <v>74</v>
      </c>
      <c r="AQ685" s="1" t="s">
        <v>74</v>
      </c>
      <c r="AR685" s="1" t="s">
        <v>74</v>
      </c>
      <c r="AS685" s="1" t="s">
        <v>74</v>
      </c>
      <c r="AT685" s="1" t="s">
        <v>111</v>
      </c>
      <c r="AU685" s="1">
        <v>1999.0</v>
      </c>
      <c r="AV685" s="1">
        <v>35.0</v>
      </c>
      <c r="AW685" s="1">
        <v>4.0</v>
      </c>
      <c r="AX685" s="1" t="s">
        <v>74</v>
      </c>
      <c r="AY685" s="1" t="s">
        <v>74</v>
      </c>
      <c r="AZ685" s="1" t="s">
        <v>74</v>
      </c>
      <c r="BA685" s="1" t="s">
        <v>74</v>
      </c>
      <c r="BB685" s="1">
        <v>222.0</v>
      </c>
      <c r="BC685" s="1">
        <v>232.0</v>
      </c>
      <c r="BD685" s="1" t="s">
        <v>74</v>
      </c>
      <c r="BE685" s="1" t="s">
        <v>5851</v>
      </c>
      <c r="BF685" s="2" t="str">
        <f>HYPERLINK("http://dx.doi.org/10.3989/revmetalm.1999.v35.i4.628","http://dx.doi.org/10.3989/revmetalm.1999.v35.i4.628")</f>
        <v>http://dx.doi.org/10.3989/revmetalm.1999.v35.i4.628</v>
      </c>
      <c r="BG685" s="1" t="s">
        <v>74</v>
      </c>
      <c r="BH685" s="1" t="s">
        <v>74</v>
      </c>
      <c r="BI685" s="1" t="s">
        <v>74</v>
      </c>
      <c r="BJ685" s="1" t="s">
        <v>74</v>
      </c>
      <c r="BK685" s="1" t="s">
        <v>74</v>
      </c>
      <c r="BL685" s="1" t="s">
        <v>74</v>
      </c>
      <c r="BM685" s="1" t="s">
        <v>74</v>
      </c>
      <c r="BN685" s="1" t="s">
        <v>74</v>
      </c>
      <c r="BO685" s="1" t="s">
        <v>74</v>
      </c>
      <c r="BP685" s="1" t="s">
        <v>74</v>
      </c>
      <c r="BQ685" s="1" t="s">
        <v>74</v>
      </c>
      <c r="BR685" s="1" t="s">
        <v>74</v>
      </c>
      <c r="BS685" s="1" t="s">
        <v>5852</v>
      </c>
      <c r="BT685" s="1" t="str">
        <f>HYPERLINK("https%3A%2F%2Fwww.webofscience.com%2Fwos%2Fwoscc%2Ffull-record%2FWOS:000082964300002","View Full Record in Web of Science")</f>
        <v>View Full Record in Web of Science</v>
      </c>
    </row>
    <row r="686" ht="12.75" customHeight="1">
      <c r="A686" s="1" t="s">
        <v>72</v>
      </c>
      <c r="B686" s="1" t="s">
        <v>5853</v>
      </c>
      <c r="C686" s="1" t="s">
        <v>74</v>
      </c>
      <c r="D686" s="1" t="s">
        <v>74</v>
      </c>
      <c r="E686" s="1" t="s">
        <v>74</v>
      </c>
      <c r="F686" s="1" t="s">
        <v>5853</v>
      </c>
      <c r="G686" s="1" t="s">
        <v>74</v>
      </c>
      <c r="H686" s="1" t="s">
        <v>74</v>
      </c>
      <c r="I686" s="1" t="s">
        <v>5854</v>
      </c>
      <c r="J686" s="1" t="s">
        <v>177</v>
      </c>
      <c r="K686" s="1" t="s">
        <v>74</v>
      </c>
      <c r="L686" s="1" t="s">
        <v>74</v>
      </c>
      <c r="M686" s="1" t="s">
        <v>74</v>
      </c>
      <c r="N686" s="1" t="s">
        <v>74</v>
      </c>
      <c r="O686" s="1" t="s">
        <v>74</v>
      </c>
      <c r="P686" s="1" t="s">
        <v>74</v>
      </c>
      <c r="Q686" s="1" t="s">
        <v>74</v>
      </c>
      <c r="R686" s="1" t="s">
        <v>74</v>
      </c>
      <c r="S686" s="1" t="s">
        <v>74</v>
      </c>
      <c r="T686" s="1" t="s">
        <v>74</v>
      </c>
      <c r="U686" s="1" t="s">
        <v>74</v>
      </c>
      <c r="V686" s="1" t="s">
        <v>5855</v>
      </c>
      <c r="W686" s="1" t="s">
        <v>74</v>
      </c>
      <c r="X686" s="1" t="s">
        <v>74</v>
      </c>
      <c r="Y686" s="1" t="s">
        <v>74</v>
      </c>
      <c r="Z686" s="1" t="s">
        <v>74</v>
      </c>
      <c r="AA686" s="1" t="s">
        <v>74</v>
      </c>
      <c r="AB686" s="1" t="s">
        <v>74</v>
      </c>
      <c r="AC686" s="1" t="s">
        <v>74</v>
      </c>
      <c r="AD686" s="1" t="s">
        <v>74</v>
      </c>
      <c r="AE686" s="1" t="s">
        <v>74</v>
      </c>
      <c r="AF686" s="1" t="s">
        <v>74</v>
      </c>
      <c r="AG686" s="1" t="s">
        <v>74</v>
      </c>
      <c r="AH686" s="1" t="s">
        <v>74</v>
      </c>
      <c r="AI686" s="1" t="s">
        <v>74</v>
      </c>
      <c r="AJ686" s="1" t="s">
        <v>74</v>
      </c>
      <c r="AK686" s="1" t="s">
        <v>74</v>
      </c>
      <c r="AL686" s="1" t="s">
        <v>74</v>
      </c>
      <c r="AM686" s="1" t="s">
        <v>74</v>
      </c>
      <c r="AN686" s="1" t="s">
        <v>74</v>
      </c>
      <c r="AO686" s="1" t="s">
        <v>179</v>
      </c>
      <c r="AP686" s="1" t="s">
        <v>74</v>
      </c>
      <c r="AQ686" s="1" t="s">
        <v>74</v>
      </c>
      <c r="AR686" s="1" t="s">
        <v>74</v>
      </c>
      <c r="AS686" s="1" t="s">
        <v>74</v>
      </c>
      <c r="AT686" s="1" t="s">
        <v>276</v>
      </c>
      <c r="AU686" s="1">
        <v>1998.0</v>
      </c>
      <c r="AV686" s="1">
        <v>43.0</v>
      </c>
      <c r="AW686" s="1">
        <v>3.0</v>
      </c>
      <c r="AX686" s="1" t="s">
        <v>74</v>
      </c>
      <c r="AY686" s="1" t="s">
        <v>74</v>
      </c>
      <c r="AZ686" s="1" t="s">
        <v>74</v>
      </c>
      <c r="BA686" s="1" t="s">
        <v>74</v>
      </c>
      <c r="BB686" s="1">
        <v>287.0</v>
      </c>
      <c r="BC686" s="1">
        <v>295.0</v>
      </c>
      <c r="BD686" s="1" t="s">
        <v>74</v>
      </c>
      <c r="BE686" s="1" t="s">
        <v>74</v>
      </c>
      <c r="BF686" s="1" t="s">
        <v>74</v>
      </c>
      <c r="BG686" s="1" t="s">
        <v>74</v>
      </c>
      <c r="BH686" s="1" t="s">
        <v>74</v>
      </c>
      <c r="BI686" s="1" t="s">
        <v>74</v>
      </c>
      <c r="BJ686" s="1" t="s">
        <v>74</v>
      </c>
      <c r="BK686" s="1" t="s">
        <v>74</v>
      </c>
      <c r="BL686" s="1" t="s">
        <v>74</v>
      </c>
      <c r="BM686" s="1" t="s">
        <v>74</v>
      </c>
      <c r="BN686" s="1" t="s">
        <v>74</v>
      </c>
      <c r="BO686" s="1" t="s">
        <v>74</v>
      </c>
      <c r="BP686" s="1" t="s">
        <v>74</v>
      </c>
      <c r="BQ686" s="1" t="s">
        <v>74</v>
      </c>
      <c r="BR686" s="1" t="s">
        <v>74</v>
      </c>
      <c r="BS686" s="1" t="s">
        <v>5856</v>
      </c>
      <c r="BT686" s="1" t="str">
        <f>HYPERLINK("https%3A%2F%2Fwww.webofscience.com%2Fwos%2Fwoscc%2Ffull-record%2FWOS:000076339000007","View Full Record in Web of Science")</f>
        <v>View Full Record in Web of Science</v>
      </c>
    </row>
    <row r="687" ht="12.75" customHeight="1">
      <c r="A687" s="1" t="s">
        <v>91</v>
      </c>
      <c r="B687" s="1" t="s">
        <v>5857</v>
      </c>
      <c r="C687" s="1" t="s">
        <v>74</v>
      </c>
      <c r="D687" s="1" t="s">
        <v>5858</v>
      </c>
      <c r="E687" s="1" t="s">
        <v>74</v>
      </c>
      <c r="F687" s="1" t="s">
        <v>5857</v>
      </c>
      <c r="G687" s="1" t="s">
        <v>74</v>
      </c>
      <c r="H687" s="1" t="s">
        <v>74</v>
      </c>
      <c r="I687" s="1" t="s">
        <v>5859</v>
      </c>
      <c r="J687" s="1" t="s">
        <v>5860</v>
      </c>
      <c r="K687" s="1" t="s">
        <v>5861</v>
      </c>
      <c r="L687" s="1" t="s">
        <v>74</v>
      </c>
      <c r="M687" s="1" t="s">
        <v>74</v>
      </c>
      <c r="N687" s="1" t="s">
        <v>74</v>
      </c>
      <c r="O687" s="1" t="s">
        <v>5862</v>
      </c>
      <c r="P687" s="1">
        <v>1998.0</v>
      </c>
      <c r="Q687" s="1" t="s">
        <v>5811</v>
      </c>
      <c r="R687" s="1" t="s">
        <v>5863</v>
      </c>
      <c r="S687" s="1" t="s">
        <v>74</v>
      </c>
      <c r="T687" s="1" t="s">
        <v>74</v>
      </c>
      <c r="U687" s="1" t="s">
        <v>74</v>
      </c>
      <c r="V687" s="1" t="s">
        <v>5864</v>
      </c>
      <c r="W687" s="1" t="s">
        <v>74</v>
      </c>
      <c r="X687" s="1" t="s">
        <v>74</v>
      </c>
      <c r="Y687" s="1" t="s">
        <v>74</v>
      </c>
      <c r="Z687" s="1" t="s">
        <v>74</v>
      </c>
      <c r="AA687" s="1" t="s">
        <v>5865</v>
      </c>
      <c r="AB687" s="1" t="s">
        <v>5866</v>
      </c>
      <c r="AC687" s="1" t="s">
        <v>74</v>
      </c>
      <c r="AD687" s="1" t="s">
        <v>74</v>
      </c>
      <c r="AE687" s="1" t="s">
        <v>74</v>
      </c>
      <c r="AF687" s="1" t="s">
        <v>74</v>
      </c>
      <c r="AG687" s="1" t="s">
        <v>74</v>
      </c>
      <c r="AH687" s="1" t="s">
        <v>74</v>
      </c>
      <c r="AI687" s="1" t="s">
        <v>74</v>
      </c>
      <c r="AJ687" s="1" t="s">
        <v>74</v>
      </c>
      <c r="AK687" s="1" t="s">
        <v>74</v>
      </c>
      <c r="AL687" s="1" t="s">
        <v>74</v>
      </c>
      <c r="AM687" s="1" t="s">
        <v>74</v>
      </c>
      <c r="AN687" s="1" t="s">
        <v>74</v>
      </c>
      <c r="AO687" s="1" t="s">
        <v>5867</v>
      </c>
      <c r="AP687" s="1" t="s">
        <v>74</v>
      </c>
      <c r="AQ687" s="1" t="s">
        <v>5868</v>
      </c>
      <c r="AR687" s="1" t="s">
        <v>74</v>
      </c>
      <c r="AS687" s="1" t="s">
        <v>74</v>
      </c>
      <c r="AT687" s="1" t="s">
        <v>74</v>
      </c>
      <c r="AU687" s="1">
        <v>1998.0</v>
      </c>
      <c r="AV687" s="1">
        <v>3.0</v>
      </c>
      <c r="AW687" s="1" t="s">
        <v>74</v>
      </c>
      <c r="AX687" s="1" t="s">
        <v>74</v>
      </c>
      <c r="AY687" s="1" t="s">
        <v>74</v>
      </c>
      <c r="AZ687" s="1" t="s">
        <v>74</v>
      </c>
      <c r="BA687" s="1" t="s">
        <v>74</v>
      </c>
      <c r="BB687" s="1">
        <v>325.0</v>
      </c>
      <c r="BC687" s="1">
        <v>334.0</v>
      </c>
      <c r="BD687" s="1" t="s">
        <v>74</v>
      </c>
      <c r="BE687" s="1" t="s">
        <v>74</v>
      </c>
      <c r="BF687" s="1" t="s">
        <v>74</v>
      </c>
      <c r="BG687" s="1" t="s">
        <v>74</v>
      </c>
      <c r="BH687" s="1" t="s">
        <v>74</v>
      </c>
      <c r="BI687" s="1" t="s">
        <v>74</v>
      </c>
      <c r="BJ687" s="1" t="s">
        <v>74</v>
      </c>
      <c r="BK687" s="1" t="s">
        <v>74</v>
      </c>
      <c r="BL687" s="1" t="s">
        <v>74</v>
      </c>
      <c r="BM687" s="1" t="s">
        <v>74</v>
      </c>
      <c r="BN687" s="1" t="s">
        <v>74</v>
      </c>
      <c r="BO687" s="1" t="s">
        <v>74</v>
      </c>
      <c r="BP687" s="1" t="s">
        <v>74</v>
      </c>
      <c r="BQ687" s="1" t="s">
        <v>74</v>
      </c>
      <c r="BR687" s="1" t="s">
        <v>74</v>
      </c>
      <c r="BS687" s="1" t="s">
        <v>5869</v>
      </c>
      <c r="BT687" s="1" t="str">
        <f>HYPERLINK("https%3A%2F%2Fwww.webofscience.com%2Fwos%2Fwoscc%2Ffull-record%2FWOS:000079194900031","View Full Record in Web of Science")</f>
        <v>View Full Record in Web of Science</v>
      </c>
    </row>
    <row r="688" ht="12.75" customHeight="1">
      <c r="A688" s="1" t="s">
        <v>72</v>
      </c>
      <c r="B688" s="1" t="s">
        <v>5870</v>
      </c>
      <c r="C688" s="1" t="s">
        <v>74</v>
      </c>
      <c r="D688" s="1" t="s">
        <v>74</v>
      </c>
      <c r="E688" s="1" t="s">
        <v>74</v>
      </c>
      <c r="F688" s="1" t="s">
        <v>5870</v>
      </c>
      <c r="G688" s="1" t="s">
        <v>74</v>
      </c>
      <c r="H688" s="1" t="s">
        <v>74</v>
      </c>
      <c r="I688" s="1" t="s">
        <v>5871</v>
      </c>
      <c r="J688" s="1" t="s">
        <v>5872</v>
      </c>
      <c r="K688" s="1" t="s">
        <v>74</v>
      </c>
      <c r="L688" s="1" t="s">
        <v>74</v>
      </c>
      <c r="M688" s="1" t="s">
        <v>74</v>
      </c>
      <c r="N688" s="1" t="s">
        <v>74</v>
      </c>
      <c r="O688" s="1" t="s">
        <v>74</v>
      </c>
      <c r="P688" s="1" t="s">
        <v>74</v>
      </c>
      <c r="Q688" s="1" t="s">
        <v>74</v>
      </c>
      <c r="R688" s="1" t="s">
        <v>74</v>
      </c>
      <c r="S688" s="1" t="s">
        <v>74</v>
      </c>
      <c r="T688" s="1" t="s">
        <v>74</v>
      </c>
      <c r="U688" s="1" t="s">
        <v>74</v>
      </c>
      <c r="V688" s="1" t="s">
        <v>5873</v>
      </c>
      <c r="W688" s="1" t="s">
        <v>74</v>
      </c>
      <c r="X688" s="1" t="s">
        <v>74</v>
      </c>
      <c r="Y688" s="1" t="s">
        <v>74</v>
      </c>
      <c r="Z688" s="1" t="s">
        <v>74</v>
      </c>
      <c r="AA688" s="1" t="s">
        <v>5874</v>
      </c>
      <c r="AB688" s="1" t="s">
        <v>74</v>
      </c>
      <c r="AC688" s="1" t="s">
        <v>74</v>
      </c>
      <c r="AD688" s="1" t="s">
        <v>74</v>
      </c>
      <c r="AE688" s="1" t="s">
        <v>74</v>
      </c>
      <c r="AF688" s="1" t="s">
        <v>74</v>
      </c>
      <c r="AG688" s="1" t="s">
        <v>74</v>
      </c>
      <c r="AH688" s="1" t="s">
        <v>74</v>
      </c>
      <c r="AI688" s="1" t="s">
        <v>74</v>
      </c>
      <c r="AJ688" s="1" t="s">
        <v>74</v>
      </c>
      <c r="AK688" s="1" t="s">
        <v>74</v>
      </c>
      <c r="AL688" s="1" t="s">
        <v>74</v>
      </c>
      <c r="AM688" s="1" t="s">
        <v>74</v>
      </c>
      <c r="AN688" s="1" t="s">
        <v>74</v>
      </c>
      <c r="AO688" s="1" t="s">
        <v>5875</v>
      </c>
      <c r="AP688" s="1" t="s">
        <v>74</v>
      </c>
      <c r="AQ688" s="1" t="s">
        <v>74</v>
      </c>
      <c r="AR688" s="1" t="s">
        <v>74</v>
      </c>
      <c r="AS688" s="1" t="s">
        <v>74</v>
      </c>
      <c r="AT688" s="1" t="s">
        <v>5876</v>
      </c>
      <c r="AU688" s="1">
        <v>1997.0</v>
      </c>
      <c r="AV688" s="1">
        <v>30.0</v>
      </c>
      <c r="AW688" s="1">
        <v>19.0</v>
      </c>
      <c r="AX688" s="1" t="s">
        <v>74</v>
      </c>
      <c r="AY688" s="1" t="s">
        <v>74</v>
      </c>
      <c r="AZ688" s="1" t="s">
        <v>74</v>
      </c>
      <c r="BA688" s="1" t="s">
        <v>74</v>
      </c>
      <c r="BB688" s="1">
        <v>6977.0</v>
      </c>
      <c r="BC688" s="1">
        <v>6980.0</v>
      </c>
      <c r="BD688" s="1" t="s">
        <v>74</v>
      </c>
      <c r="BE688" s="1" t="s">
        <v>5877</v>
      </c>
      <c r="BF688" s="2" t="str">
        <f>HYPERLINK("http://dx.doi.org/10.1088/0305-4470/30/19/031","http://dx.doi.org/10.1088/0305-4470/30/19/031")</f>
        <v>http://dx.doi.org/10.1088/0305-4470/30/19/031</v>
      </c>
      <c r="BG688" s="1" t="s">
        <v>74</v>
      </c>
      <c r="BH688" s="1" t="s">
        <v>74</v>
      </c>
      <c r="BI688" s="1" t="s">
        <v>74</v>
      </c>
      <c r="BJ688" s="1" t="s">
        <v>74</v>
      </c>
      <c r="BK688" s="1" t="s">
        <v>74</v>
      </c>
      <c r="BL688" s="1" t="s">
        <v>74</v>
      </c>
      <c r="BM688" s="1" t="s">
        <v>74</v>
      </c>
      <c r="BN688" s="1" t="s">
        <v>74</v>
      </c>
      <c r="BO688" s="1" t="s">
        <v>74</v>
      </c>
      <c r="BP688" s="1" t="s">
        <v>74</v>
      </c>
      <c r="BQ688" s="1" t="s">
        <v>74</v>
      </c>
      <c r="BR688" s="1" t="s">
        <v>74</v>
      </c>
      <c r="BS688" s="1" t="s">
        <v>5878</v>
      </c>
      <c r="BT688" s="1" t="str">
        <f>HYPERLINK("https%3A%2F%2Fwww.webofscience.com%2Fwos%2Fwoscc%2Ffull-record%2FWOS:A1997YA15200031","View Full Record in Web of Science")</f>
        <v>View Full Record in Web of Science</v>
      </c>
    </row>
    <row r="689" ht="12.75" customHeight="1">
      <c r="A689" s="1" t="s">
        <v>72</v>
      </c>
      <c r="B689" s="1" t="s">
        <v>5879</v>
      </c>
      <c r="C689" s="1" t="s">
        <v>74</v>
      </c>
      <c r="D689" s="1" t="s">
        <v>74</v>
      </c>
      <c r="E689" s="1" t="s">
        <v>74</v>
      </c>
      <c r="F689" s="1" t="s">
        <v>5879</v>
      </c>
      <c r="G689" s="1" t="s">
        <v>74</v>
      </c>
      <c r="H689" s="1" t="s">
        <v>74</v>
      </c>
      <c r="I689" s="1" t="s">
        <v>5880</v>
      </c>
      <c r="J689" s="1" t="s">
        <v>5881</v>
      </c>
      <c r="K689" s="1" t="s">
        <v>74</v>
      </c>
      <c r="L689" s="1" t="s">
        <v>74</v>
      </c>
      <c r="M689" s="1" t="s">
        <v>74</v>
      </c>
      <c r="N689" s="1" t="s">
        <v>74</v>
      </c>
      <c r="O689" s="1" t="s">
        <v>74</v>
      </c>
      <c r="P689" s="1" t="s">
        <v>74</v>
      </c>
      <c r="Q689" s="1" t="s">
        <v>74</v>
      </c>
      <c r="R689" s="1" t="s">
        <v>74</v>
      </c>
      <c r="S689" s="1" t="s">
        <v>74</v>
      </c>
      <c r="T689" s="1" t="s">
        <v>74</v>
      </c>
      <c r="U689" s="1" t="s">
        <v>74</v>
      </c>
      <c r="V689" s="1" t="s">
        <v>5882</v>
      </c>
      <c r="W689" s="1" t="s">
        <v>74</v>
      </c>
      <c r="X689" s="1" t="s">
        <v>74</v>
      </c>
      <c r="Y689" s="1" t="s">
        <v>74</v>
      </c>
      <c r="Z689" s="1" t="s">
        <v>74</v>
      </c>
      <c r="AA689" s="1" t="s">
        <v>1174</v>
      </c>
      <c r="AB689" s="1" t="s">
        <v>74</v>
      </c>
      <c r="AC689" s="1" t="s">
        <v>74</v>
      </c>
      <c r="AD689" s="1" t="s">
        <v>74</v>
      </c>
      <c r="AE689" s="1" t="s">
        <v>74</v>
      </c>
      <c r="AF689" s="1" t="s">
        <v>74</v>
      </c>
      <c r="AG689" s="1" t="s">
        <v>74</v>
      </c>
      <c r="AH689" s="1" t="s">
        <v>74</v>
      </c>
      <c r="AI689" s="1" t="s">
        <v>74</v>
      </c>
      <c r="AJ689" s="1" t="s">
        <v>74</v>
      </c>
      <c r="AK689" s="1" t="s">
        <v>74</v>
      </c>
      <c r="AL689" s="1" t="s">
        <v>74</v>
      </c>
      <c r="AM689" s="1" t="s">
        <v>74</v>
      </c>
      <c r="AN689" s="1" t="s">
        <v>74</v>
      </c>
      <c r="AO689" s="1" t="s">
        <v>5883</v>
      </c>
      <c r="AP689" s="1" t="s">
        <v>74</v>
      </c>
      <c r="AQ689" s="1" t="s">
        <v>74</v>
      </c>
      <c r="AR689" s="1" t="s">
        <v>74</v>
      </c>
      <c r="AS689" s="1" t="s">
        <v>74</v>
      </c>
      <c r="AT689" s="1" t="s">
        <v>276</v>
      </c>
      <c r="AU689" s="1">
        <v>1996.0</v>
      </c>
      <c r="AV689" s="1">
        <v>32.0</v>
      </c>
      <c r="AW689" s="1">
        <v>9.0</v>
      </c>
      <c r="AX689" s="1" t="s">
        <v>74</v>
      </c>
      <c r="AY689" s="1" t="s">
        <v>74</v>
      </c>
      <c r="AZ689" s="1" t="s">
        <v>74</v>
      </c>
      <c r="BA689" s="1" t="s">
        <v>74</v>
      </c>
      <c r="BB689" s="1">
        <v>1151.0</v>
      </c>
      <c r="BC689" s="1">
        <v>1154.0</v>
      </c>
      <c r="BD689" s="1" t="s">
        <v>74</v>
      </c>
      <c r="BE689" s="1" t="s">
        <v>5884</v>
      </c>
      <c r="BF689" s="2" t="str">
        <f>HYPERLINK("http://dx.doi.org/10.1016/0014-3057(96)00045-6","http://dx.doi.org/10.1016/0014-3057(96)00045-6")</f>
        <v>http://dx.doi.org/10.1016/0014-3057(96)00045-6</v>
      </c>
      <c r="BG689" s="1" t="s">
        <v>74</v>
      </c>
      <c r="BH689" s="1" t="s">
        <v>74</v>
      </c>
      <c r="BI689" s="1" t="s">
        <v>74</v>
      </c>
      <c r="BJ689" s="1" t="s">
        <v>74</v>
      </c>
      <c r="BK689" s="1" t="s">
        <v>74</v>
      </c>
      <c r="BL689" s="1" t="s">
        <v>74</v>
      </c>
      <c r="BM689" s="1" t="s">
        <v>74</v>
      </c>
      <c r="BN689" s="1" t="s">
        <v>74</v>
      </c>
      <c r="BO689" s="1" t="s">
        <v>74</v>
      </c>
      <c r="BP689" s="1" t="s">
        <v>74</v>
      </c>
      <c r="BQ689" s="1" t="s">
        <v>74</v>
      </c>
      <c r="BR689" s="1" t="s">
        <v>74</v>
      </c>
      <c r="BS689" s="1" t="s">
        <v>5885</v>
      </c>
      <c r="BT689" s="1" t="str">
        <f>HYPERLINK("https%3A%2F%2Fwww.webofscience.com%2Fwos%2Fwoscc%2Ffull-record%2FWOS:A1996VJ04100018","View Full Record in Web of Science")</f>
        <v>View Full Record in Web of Science</v>
      </c>
    </row>
    <row r="690" ht="12.75" customHeight="1">
      <c r="A690" s="1" t="s">
        <v>72</v>
      </c>
      <c r="B690" s="1" t="s">
        <v>5886</v>
      </c>
      <c r="C690" s="1" t="s">
        <v>74</v>
      </c>
      <c r="D690" s="1" t="s">
        <v>74</v>
      </c>
      <c r="E690" s="1" t="s">
        <v>74</v>
      </c>
      <c r="F690" s="1" t="s">
        <v>5886</v>
      </c>
      <c r="G690" s="1" t="s">
        <v>74</v>
      </c>
      <c r="H690" s="1" t="s">
        <v>74</v>
      </c>
      <c r="I690" s="1" t="s">
        <v>5887</v>
      </c>
      <c r="J690" s="1" t="s">
        <v>177</v>
      </c>
      <c r="K690" s="1" t="s">
        <v>74</v>
      </c>
      <c r="L690" s="1" t="s">
        <v>74</v>
      </c>
      <c r="M690" s="1" t="s">
        <v>74</v>
      </c>
      <c r="N690" s="1" t="s">
        <v>74</v>
      </c>
      <c r="O690" s="1" t="s">
        <v>74</v>
      </c>
      <c r="P690" s="1" t="s">
        <v>74</v>
      </c>
      <c r="Q690" s="1" t="s">
        <v>74</v>
      </c>
      <c r="R690" s="1" t="s">
        <v>74</v>
      </c>
      <c r="S690" s="1" t="s">
        <v>74</v>
      </c>
      <c r="T690" s="1" t="s">
        <v>74</v>
      </c>
      <c r="U690" s="1" t="s">
        <v>74</v>
      </c>
      <c r="V690" s="1" t="s">
        <v>5888</v>
      </c>
      <c r="W690" s="1" t="s">
        <v>74</v>
      </c>
      <c r="X690" s="1" t="s">
        <v>74</v>
      </c>
      <c r="Y690" s="1" t="s">
        <v>74</v>
      </c>
      <c r="Z690" s="1" t="s">
        <v>74</v>
      </c>
      <c r="AA690" s="1" t="s">
        <v>74</v>
      </c>
      <c r="AB690" s="1" t="s">
        <v>74</v>
      </c>
      <c r="AC690" s="1" t="s">
        <v>74</v>
      </c>
      <c r="AD690" s="1" t="s">
        <v>74</v>
      </c>
      <c r="AE690" s="1" t="s">
        <v>74</v>
      </c>
      <c r="AF690" s="1" t="s">
        <v>74</v>
      </c>
      <c r="AG690" s="1" t="s">
        <v>74</v>
      </c>
      <c r="AH690" s="1" t="s">
        <v>74</v>
      </c>
      <c r="AI690" s="1" t="s">
        <v>74</v>
      </c>
      <c r="AJ690" s="1" t="s">
        <v>74</v>
      </c>
      <c r="AK690" s="1" t="s">
        <v>74</v>
      </c>
      <c r="AL690" s="1" t="s">
        <v>74</v>
      </c>
      <c r="AM690" s="1" t="s">
        <v>74</v>
      </c>
      <c r="AN690" s="1" t="s">
        <v>74</v>
      </c>
      <c r="AO690" s="1" t="s">
        <v>179</v>
      </c>
      <c r="AP690" s="1" t="s">
        <v>74</v>
      </c>
      <c r="AQ690" s="1" t="s">
        <v>74</v>
      </c>
      <c r="AR690" s="1" t="s">
        <v>74</v>
      </c>
      <c r="AS690" s="1" t="s">
        <v>74</v>
      </c>
      <c r="AT690" s="1" t="s">
        <v>276</v>
      </c>
      <c r="AU690" s="1">
        <v>1993.0</v>
      </c>
      <c r="AV690" s="1">
        <v>38.0</v>
      </c>
      <c r="AW690" s="1">
        <v>3.0</v>
      </c>
      <c r="AX690" s="1" t="s">
        <v>74</v>
      </c>
      <c r="AY690" s="1" t="s">
        <v>74</v>
      </c>
      <c r="AZ690" s="1" t="s">
        <v>74</v>
      </c>
      <c r="BA690" s="1" t="s">
        <v>74</v>
      </c>
      <c r="BB690" s="1">
        <v>227.0</v>
      </c>
      <c r="BC690" s="1">
        <v>234.0</v>
      </c>
      <c r="BD690" s="1" t="s">
        <v>74</v>
      </c>
      <c r="BE690" s="1" t="s">
        <v>74</v>
      </c>
      <c r="BF690" s="1" t="s">
        <v>74</v>
      </c>
      <c r="BG690" s="1" t="s">
        <v>74</v>
      </c>
      <c r="BH690" s="1" t="s">
        <v>74</v>
      </c>
      <c r="BI690" s="1" t="s">
        <v>74</v>
      </c>
      <c r="BJ690" s="1" t="s">
        <v>74</v>
      </c>
      <c r="BK690" s="1" t="s">
        <v>74</v>
      </c>
      <c r="BL690" s="1" t="s">
        <v>74</v>
      </c>
      <c r="BM690" s="1" t="s">
        <v>74</v>
      </c>
      <c r="BN690" s="1" t="s">
        <v>74</v>
      </c>
      <c r="BO690" s="1" t="s">
        <v>74</v>
      </c>
      <c r="BP690" s="1" t="s">
        <v>74</v>
      </c>
      <c r="BQ690" s="1" t="s">
        <v>74</v>
      </c>
      <c r="BR690" s="1" t="s">
        <v>74</v>
      </c>
      <c r="BS690" s="1" t="s">
        <v>5889</v>
      </c>
      <c r="BT690" s="1" t="str">
        <f>HYPERLINK("https%3A%2F%2Fwww.webofscience.com%2Fwos%2Fwoscc%2Ffull-record%2FWOS:A1993MA21200011","View Full Record in Web of Science")</f>
        <v>View Full Record in Web of Science</v>
      </c>
    </row>
    <row r="691" ht="12.75" customHeight="1">
      <c r="A691" s="1" t="s">
        <v>72</v>
      </c>
      <c r="B691" s="1" t="s">
        <v>5890</v>
      </c>
      <c r="C691" s="1" t="s">
        <v>74</v>
      </c>
      <c r="D691" s="1" t="s">
        <v>74</v>
      </c>
      <c r="E691" s="1" t="s">
        <v>74</v>
      </c>
      <c r="F691" s="1" t="s">
        <v>5890</v>
      </c>
      <c r="G691" s="1" t="s">
        <v>74</v>
      </c>
      <c r="H691" s="1" t="s">
        <v>74</v>
      </c>
      <c r="I691" s="1" t="s">
        <v>5891</v>
      </c>
      <c r="J691" s="1" t="s">
        <v>5892</v>
      </c>
      <c r="K691" s="1" t="s">
        <v>74</v>
      </c>
      <c r="L691" s="1" t="s">
        <v>74</v>
      </c>
      <c r="M691" s="1" t="s">
        <v>74</v>
      </c>
      <c r="N691" s="1" t="s">
        <v>74</v>
      </c>
      <c r="O691" s="1" t="s">
        <v>74</v>
      </c>
      <c r="P691" s="1" t="s">
        <v>74</v>
      </c>
      <c r="Q691" s="1" t="s">
        <v>74</v>
      </c>
      <c r="R691" s="1" t="s">
        <v>74</v>
      </c>
      <c r="S691" s="1" t="s">
        <v>74</v>
      </c>
      <c r="T691" s="1" t="s">
        <v>74</v>
      </c>
      <c r="U691" s="1" t="s">
        <v>74</v>
      </c>
      <c r="V691" s="1" t="s">
        <v>74</v>
      </c>
      <c r="W691" s="1" t="s">
        <v>74</v>
      </c>
      <c r="X691" s="1" t="s">
        <v>74</v>
      </c>
      <c r="Y691" s="1" t="s">
        <v>74</v>
      </c>
      <c r="Z691" s="1" t="s">
        <v>74</v>
      </c>
      <c r="AA691" s="1" t="s">
        <v>74</v>
      </c>
      <c r="AB691" s="1" t="s">
        <v>74</v>
      </c>
      <c r="AC691" s="1" t="s">
        <v>74</v>
      </c>
      <c r="AD691" s="1" t="s">
        <v>74</v>
      </c>
      <c r="AE691" s="1" t="s">
        <v>74</v>
      </c>
      <c r="AF691" s="1" t="s">
        <v>74</v>
      </c>
      <c r="AG691" s="1" t="s">
        <v>74</v>
      </c>
      <c r="AH691" s="1" t="s">
        <v>74</v>
      </c>
      <c r="AI691" s="1" t="s">
        <v>74</v>
      </c>
      <c r="AJ691" s="1" t="s">
        <v>74</v>
      </c>
      <c r="AK691" s="1" t="s">
        <v>74</v>
      </c>
      <c r="AL691" s="1" t="s">
        <v>74</v>
      </c>
      <c r="AM691" s="1" t="s">
        <v>74</v>
      </c>
      <c r="AN691" s="1" t="s">
        <v>74</v>
      </c>
      <c r="AO691" s="1" t="s">
        <v>5893</v>
      </c>
      <c r="AP691" s="1" t="s">
        <v>74</v>
      </c>
      <c r="AQ691" s="1" t="s">
        <v>74</v>
      </c>
      <c r="AR691" s="1" t="s">
        <v>74</v>
      </c>
      <c r="AS691" s="1" t="s">
        <v>74</v>
      </c>
      <c r="AT691" s="1" t="s">
        <v>74</v>
      </c>
      <c r="AU691" s="1">
        <v>1990.0</v>
      </c>
      <c r="AV691" s="1">
        <v>86.0</v>
      </c>
      <c r="AW691" s="1">
        <v>4.0</v>
      </c>
      <c r="AX691" s="1" t="s">
        <v>74</v>
      </c>
      <c r="AY691" s="1" t="s">
        <v>74</v>
      </c>
      <c r="AZ691" s="1" t="s">
        <v>74</v>
      </c>
      <c r="BA691" s="1" t="s">
        <v>74</v>
      </c>
      <c r="BB691" s="1">
        <v>321.0</v>
      </c>
      <c r="BC691" s="1">
        <v>326.0</v>
      </c>
      <c r="BD691" s="1" t="s">
        <v>74</v>
      </c>
      <c r="BE691" s="1" t="s">
        <v>74</v>
      </c>
      <c r="BF691" s="1" t="s">
        <v>74</v>
      </c>
      <c r="BG691" s="1" t="s">
        <v>74</v>
      </c>
      <c r="BH691" s="1" t="s">
        <v>74</v>
      </c>
      <c r="BI691" s="1" t="s">
        <v>74</v>
      </c>
      <c r="BJ691" s="1" t="s">
        <v>74</v>
      </c>
      <c r="BK691" s="1" t="s">
        <v>74</v>
      </c>
      <c r="BL691" s="1" t="s">
        <v>74</v>
      </c>
      <c r="BM691" s="1" t="s">
        <v>74</v>
      </c>
      <c r="BN691" s="1" t="s">
        <v>74</v>
      </c>
      <c r="BO691" s="1" t="s">
        <v>74</v>
      </c>
      <c r="BP691" s="1" t="s">
        <v>74</v>
      </c>
      <c r="BQ691" s="1" t="s">
        <v>74</v>
      </c>
      <c r="BR691" s="1" t="s">
        <v>74</v>
      </c>
      <c r="BS691" s="1" t="s">
        <v>5894</v>
      </c>
      <c r="BT691" s="1" t="str">
        <f>HYPERLINK("https%3A%2F%2Fwww.webofscience.com%2Fwos%2Fwoscc%2Ffull-record%2FWOS:A1990DW37400001","View Full Record in Web of Science")</f>
        <v>View Full Record in Web of Science</v>
      </c>
    </row>
    <row r="692" ht="12.75" customHeight="1">
      <c r="A692" s="1" t="s">
        <v>72</v>
      </c>
      <c r="B692" s="1" t="s">
        <v>5895</v>
      </c>
      <c r="C692" s="1" t="s">
        <v>74</v>
      </c>
      <c r="D692" s="1" t="s">
        <v>74</v>
      </c>
      <c r="E692" s="1" t="s">
        <v>74</v>
      </c>
      <c r="F692" s="1" t="s">
        <v>5895</v>
      </c>
      <c r="G692" s="1" t="s">
        <v>74</v>
      </c>
      <c r="H692" s="1" t="s">
        <v>74</v>
      </c>
      <c r="I692" s="1" t="s">
        <v>5896</v>
      </c>
      <c r="J692" s="1" t="s">
        <v>107</v>
      </c>
      <c r="K692" s="1" t="s">
        <v>74</v>
      </c>
      <c r="L692" s="1" t="s">
        <v>74</v>
      </c>
      <c r="M692" s="1" t="s">
        <v>74</v>
      </c>
      <c r="N692" s="1" t="s">
        <v>74</v>
      </c>
      <c r="O692" s="1" t="s">
        <v>74</v>
      </c>
      <c r="P692" s="1" t="s">
        <v>74</v>
      </c>
      <c r="Q692" s="1" t="s">
        <v>74</v>
      </c>
      <c r="R692" s="1" t="s">
        <v>74</v>
      </c>
      <c r="S692" s="1" t="s">
        <v>74</v>
      </c>
      <c r="T692" s="1" t="s">
        <v>74</v>
      </c>
      <c r="U692" s="1" t="s">
        <v>74</v>
      </c>
      <c r="V692" s="1" t="s">
        <v>74</v>
      </c>
      <c r="W692" s="1" t="s">
        <v>74</v>
      </c>
      <c r="X692" s="1" t="s">
        <v>74</v>
      </c>
      <c r="Y692" s="1" t="s">
        <v>74</v>
      </c>
      <c r="Z692" s="1" t="s">
        <v>74</v>
      </c>
      <c r="AA692" s="1" t="s">
        <v>74</v>
      </c>
      <c r="AB692" s="1" t="s">
        <v>74</v>
      </c>
      <c r="AC692" s="1" t="s">
        <v>74</v>
      </c>
      <c r="AD692" s="1" t="s">
        <v>74</v>
      </c>
      <c r="AE692" s="1" t="s">
        <v>74</v>
      </c>
      <c r="AF692" s="1" t="s">
        <v>74</v>
      </c>
      <c r="AG692" s="1" t="s">
        <v>74</v>
      </c>
      <c r="AH692" s="1" t="s">
        <v>74</v>
      </c>
      <c r="AI692" s="1" t="s">
        <v>74</v>
      </c>
      <c r="AJ692" s="1" t="s">
        <v>74</v>
      </c>
      <c r="AK692" s="1" t="s">
        <v>74</v>
      </c>
      <c r="AL692" s="1" t="s">
        <v>74</v>
      </c>
      <c r="AM692" s="1" t="s">
        <v>74</v>
      </c>
      <c r="AN692" s="1" t="s">
        <v>74</v>
      </c>
      <c r="AO692" s="1" t="s">
        <v>110</v>
      </c>
      <c r="AP692" s="1" t="s">
        <v>74</v>
      </c>
      <c r="AQ692" s="1" t="s">
        <v>74</v>
      </c>
      <c r="AR692" s="1" t="s">
        <v>74</v>
      </c>
      <c r="AS692" s="1" t="s">
        <v>74</v>
      </c>
      <c r="AT692" s="1" t="s">
        <v>205</v>
      </c>
      <c r="AU692" s="1">
        <v>1987.0</v>
      </c>
      <c r="AV692" s="1">
        <v>27.0</v>
      </c>
      <c r="AW692" s="1">
        <v>4.0</v>
      </c>
      <c r="AX692" s="1" t="s">
        <v>74</v>
      </c>
      <c r="AY692" s="1" t="s">
        <v>74</v>
      </c>
      <c r="AZ692" s="1" t="s">
        <v>74</v>
      </c>
      <c r="BA692" s="1" t="s">
        <v>74</v>
      </c>
      <c r="BB692" s="1">
        <v>163.0</v>
      </c>
      <c r="BC692" s="1">
        <v>167.0</v>
      </c>
      <c r="BD692" s="1" t="s">
        <v>74</v>
      </c>
      <c r="BE692" s="1" t="s">
        <v>5897</v>
      </c>
      <c r="BF692" s="2" t="str">
        <f>HYPERLINK("http://dx.doi.org/10.1021/ci00056a004","http://dx.doi.org/10.1021/ci00056a004")</f>
        <v>http://dx.doi.org/10.1021/ci00056a004</v>
      </c>
      <c r="BG692" s="1" t="s">
        <v>74</v>
      </c>
      <c r="BH692" s="1" t="s">
        <v>74</v>
      </c>
      <c r="BI692" s="1" t="s">
        <v>74</v>
      </c>
      <c r="BJ692" s="1" t="s">
        <v>74</v>
      </c>
      <c r="BK692" s="1" t="s">
        <v>74</v>
      </c>
      <c r="BL692" s="1" t="s">
        <v>74</v>
      </c>
      <c r="BM692" s="1" t="s">
        <v>74</v>
      </c>
      <c r="BN692" s="1" t="s">
        <v>74</v>
      </c>
      <c r="BO692" s="1" t="s">
        <v>74</v>
      </c>
      <c r="BP692" s="1" t="s">
        <v>74</v>
      </c>
      <c r="BQ692" s="1" t="s">
        <v>74</v>
      </c>
      <c r="BR692" s="1" t="s">
        <v>74</v>
      </c>
      <c r="BS692" s="1" t="s">
        <v>5898</v>
      </c>
      <c r="BT692" s="1" t="str">
        <f>HYPERLINK("https%3A%2F%2Fwww.webofscience.com%2Fwos%2Fwoscc%2Ffull-record%2FWOS:A1987L157600005","View Full Record in Web of Science")</f>
        <v>View Full Record in Web of Science</v>
      </c>
    </row>
    <row r="693" ht="12.75" customHeight="1">
      <c r="A693" s="1" t="s">
        <v>72</v>
      </c>
      <c r="B693" s="1" t="s">
        <v>5899</v>
      </c>
      <c r="C693" s="1" t="s">
        <v>74</v>
      </c>
      <c r="D693" s="1" t="s">
        <v>74</v>
      </c>
      <c r="E693" s="1" t="s">
        <v>74</v>
      </c>
      <c r="F693" s="1" t="s">
        <v>5899</v>
      </c>
      <c r="G693" s="1" t="s">
        <v>74</v>
      </c>
      <c r="H693" s="1" t="s">
        <v>74</v>
      </c>
      <c r="I693" s="1" t="s">
        <v>5900</v>
      </c>
      <c r="J693" s="1" t="s">
        <v>1226</v>
      </c>
      <c r="K693" s="1" t="s">
        <v>74</v>
      </c>
      <c r="L693" s="1" t="s">
        <v>74</v>
      </c>
      <c r="M693" s="1" t="s">
        <v>74</v>
      </c>
      <c r="N693" s="1" t="s">
        <v>74</v>
      </c>
      <c r="O693" s="1" t="s">
        <v>74</v>
      </c>
      <c r="P693" s="1" t="s">
        <v>74</v>
      </c>
      <c r="Q693" s="1" t="s">
        <v>74</v>
      </c>
      <c r="R693" s="1" t="s">
        <v>74</v>
      </c>
      <c r="S693" s="1" t="s">
        <v>74</v>
      </c>
      <c r="T693" s="1" t="s">
        <v>74</v>
      </c>
      <c r="U693" s="1" t="s">
        <v>74</v>
      </c>
      <c r="V693" s="1" t="s">
        <v>74</v>
      </c>
      <c r="W693" s="1" t="s">
        <v>74</v>
      </c>
      <c r="X693" s="1" t="s">
        <v>74</v>
      </c>
      <c r="Y693" s="1" t="s">
        <v>74</v>
      </c>
      <c r="Z693" s="1" t="s">
        <v>74</v>
      </c>
      <c r="AA693" s="1" t="s">
        <v>74</v>
      </c>
      <c r="AB693" s="1" t="s">
        <v>74</v>
      </c>
      <c r="AC693" s="1" t="s">
        <v>74</v>
      </c>
      <c r="AD693" s="1" t="s">
        <v>74</v>
      </c>
      <c r="AE693" s="1" t="s">
        <v>74</v>
      </c>
      <c r="AF693" s="1" t="s">
        <v>74</v>
      </c>
      <c r="AG693" s="1" t="s">
        <v>74</v>
      </c>
      <c r="AH693" s="1" t="s">
        <v>74</v>
      </c>
      <c r="AI693" s="1" t="s">
        <v>74</v>
      </c>
      <c r="AJ693" s="1" t="s">
        <v>74</v>
      </c>
      <c r="AK693" s="1" t="s">
        <v>74</v>
      </c>
      <c r="AL693" s="1" t="s">
        <v>74</v>
      </c>
      <c r="AM693" s="1" t="s">
        <v>74</v>
      </c>
      <c r="AN693" s="1" t="s">
        <v>74</v>
      </c>
      <c r="AO693" s="1" t="s">
        <v>1228</v>
      </c>
      <c r="AP693" s="1" t="s">
        <v>4319</v>
      </c>
      <c r="AQ693" s="1" t="s">
        <v>74</v>
      </c>
      <c r="AR693" s="1" t="s">
        <v>74</v>
      </c>
      <c r="AS693" s="1" t="s">
        <v>74</v>
      </c>
      <c r="AT693" s="1" t="s">
        <v>148</v>
      </c>
      <c r="AU693" s="1">
        <v>1987.0</v>
      </c>
      <c r="AV693" s="1">
        <v>134.0</v>
      </c>
      <c r="AW693" s="1">
        <v>3.0</v>
      </c>
      <c r="AX693" s="1" t="s">
        <v>74</v>
      </c>
      <c r="AY693" s="1" t="s">
        <v>74</v>
      </c>
      <c r="AZ693" s="1" t="s">
        <v>74</v>
      </c>
      <c r="BA693" s="1" t="s">
        <v>74</v>
      </c>
      <c r="BB693" s="1" t="s">
        <v>5901</v>
      </c>
      <c r="BC693" s="1" t="s">
        <v>5901</v>
      </c>
      <c r="BD693" s="1" t="s">
        <v>74</v>
      </c>
      <c r="BE693" s="1" t="s">
        <v>74</v>
      </c>
      <c r="BF693" s="1" t="s">
        <v>74</v>
      </c>
      <c r="BG693" s="1" t="s">
        <v>74</v>
      </c>
      <c r="BH693" s="1" t="s">
        <v>74</v>
      </c>
      <c r="BI693" s="1" t="s">
        <v>74</v>
      </c>
      <c r="BJ693" s="1" t="s">
        <v>74</v>
      </c>
      <c r="BK693" s="1" t="s">
        <v>74</v>
      </c>
      <c r="BL693" s="1" t="s">
        <v>74</v>
      </c>
      <c r="BM693" s="1" t="s">
        <v>74</v>
      </c>
      <c r="BN693" s="1" t="s">
        <v>74</v>
      </c>
      <c r="BO693" s="1" t="s">
        <v>74</v>
      </c>
      <c r="BP693" s="1" t="s">
        <v>74</v>
      </c>
      <c r="BQ693" s="1" t="s">
        <v>74</v>
      </c>
      <c r="BR693" s="1" t="s">
        <v>74</v>
      </c>
      <c r="BS693" s="1" t="s">
        <v>5902</v>
      </c>
      <c r="BT693" s="1" t="str">
        <f>HYPERLINK("https%3A%2F%2Fwww.webofscience.com%2Fwos%2Fwoscc%2Ffull-record%2FWOS:A1987G410200445","View Full Record in Web of Science")</f>
        <v>View Full Record in Web of Science</v>
      </c>
    </row>
    <row r="694" ht="12.75" customHeight="1">
      <c r="A694" s="1" t="s">
        <v>72</v>
      </c>
      <c r="B694" s="1" t="s">
        <v>5903</v>
      </c>
      <c r="C694" s="1" t="s">
        <v>74</v>
      </c>
      <c r="D694" s="1" t="s">
        <v>74</v>
      </c>
      <c r="E694" s="1" t="s">
        <v>74</v>
      </c>
      <c r="F694" s="1" t="s">
        <v>5903</v>
      </c>
      <c r="G694" s="1" t="s">
        <v>74</v>
      </c>
      <c r="H694" s="1" t="s">
        <v>74</v>
      </c>
      <c r="I694" s="1" t="s">
        <v>5904</v>
      </c>
      <c r="J694" s="1" t="s">
        <v>5905</v>
      </c>
      <c r="K694" s="1" t="s">
        <v>74</v>
      </c>
      <c r="L694" s="1" t="s">
        <v>74</v>
      </c>
      <c r="M694" s="1" t="s">
        <v>74</v>
      </c>
      <c r="N694" s="1" t="s">
        <v>74</v>
      </c>
      <c r="O694" s="1" t="s">
        <v>74</v>
      </c>
      <c r="P694" s="1" t="s">
        <v>74</v>
      </c>
      <c r="Q694" s="1" t="s">
        <v>74</v>
      </c>
      <c r="R694" s="1" t="s">
        <v>74</v>
      </c>
      <c r="S694" s="1" t="s">
        <v>74</v>
      </c>
      <c r="T694" s="1" t="s">
        <v>74</v>
      </c>
      <c r="U694" s="1" t="s">
        <v>74</v>
      </c>
      <c r="V694" s="1" t="s">
        <v>74</v>
      </c>
      <c r="W694" s="1" t="s">
        <v>74</v>
      </c>
      <c r="X694" s="1" t="s">
        <v>74</v>
      </c>
      <c r="Y694" s="1" t="s">
        <v>74</v>
      </c>
      <c r="Z694" s="1" t="s">
        <v>74</v>
      </c>
      <c r="AA694" s="1" t="s">
        <v>74</v>
      </c>
      <c r="AB694" s="1" t="s">
        <v>74</v>
      </c>
      <c r="AC694" s="1" t="s">
        <v>74</v>
      </c>
      <c r="AD694" s="1" t="s">
        <v>74</v>
      </c>
      <c r="AE694" s="1" t="s">
        <v>74</v>
      </c>
      <c r="AF694" s="1" t="s">
        <v>74</v>
      </c>
      <c r="AG694" s="1" t="s">
        <v>74</v>
      </c>
      <c r="AH694" s="1" t="s">
        <v>74</v>
      </c>
      <c r="AI694" s="1" t="s">
        <v>74</v>
      </c>
      <c r="AJ694" s="1" t="s">
        <v>74</v>
      </c>
      <c r="AK694" s="1" t="s">
        <v>74</v>
      </c>
      <c r="AL694" s="1" t="s">
        <v>74</v>
      </c>
      <c r="AM694" s="1" t="s">
        <v>74</v>
      </c>
      <c r="AN694" s="1" t="s">
        <v>74</v>
      </c>
      <c r="AO694" s="1" t="s">
        <v>5906</v>
      </c>
      <c r="AP694" s="1" t="s">
        <v>74</v>
      </c>
      <c r="AQ694" s="1" t="s">
        <v>74</v>
      </c>
      <c r="AR694" s="1" t="s">
        <v>74</v>
      </c>
      <c r="AS694" s="1" t="s">
        <v>74</v>
      </c>
      <c r="AT694" s="1" t="s">
        <v>74</v>
      </c>
      <c r="AU694" s="1">
        <v>1984.0</v>
      </c>
      <c r="AV694" s="1">
        <v>62.0</v>
      </c>
      <c r="AW694" s="1">
        <v>11.0</v>
      </c>
      <c r="AX694" s="1" t="s">
        <v>74</v>
      </c>
      <c r="AY694" s="1" t="s">
        <v>74</v>
      </c>
      <c r="AZ694" s="1" t="s">
        <v>74</v>
      </c>
      <c r="BA694" s="1" t="s">
        <v>74</v>
      </c>
      <c r="BB694" s="1">
        <v>2117.0</v>
      </c>
      <c r="BC694" s="1">
        <v>2122.0</v>
      </c>
      <c r="BD694" s="1" t="s">
        <v>74</v>
      </c>
      <c r="BE694" s="1" t="s">
        <v>74</v>
      </c>
      <c r="BF694" s="1" t="s">
        <v>74</v>
      </c>
      <c r="BG694" s="1" t="s">
        <v>74</v>
      </c>
      <c r="BH694" s="1" t="s">
        <v>74</v>
      </c>
      <c r="BI694" s="1" t="s">
        <v>74</v>
      </c>
      <c r="BJ694" s="1" t="s">
        <v>74</v>
      </c>
      <c r="BK694" s="1" t="s">
        <v>74</v>
      </c>
      <c r="BL694" s="1" t="s">
        <v>74</v>
      </c>
      <c r="BM694" s="1" t="s">
        <v>74</v>
      </c>
      <c r="BN694" s="1" t="s">
        <v>74</v>
      </c>
      <c r="BO694" s="1" t="s">
        <v>74</v>
      </c>
      <c r="BP694" s="1" t="s">
        <v>74</v>
      </c>
      <c r="BQ694" s="1" t="s">
        <v>74</v>
      </c>
      <c r="BR694" s="1" t="s">
        <v>74</v>
      </c>
      <c r="BS694" s="1" t="s">
        <v>5907</v>
      </c>
      <c r="BT694" s="1" t="str">
        <f>HYPERLINK("https%3A%2F%2Fwww.webofscience.com%2Fwos%2Fwoscc%2Ffull-record%2FWOS:A1984TU59000006","View Full Record in Web of Science")</f>
        <v>View Full Record in Web of Science</v>
      </c>
    </row>
    <row r="695" ht="12.75" customHeight="1">
      <c r="A695" s="1" t="s">
        <v>72</v>
      </c>
      <c r="B695" s="1" t="s">
        <v>5908</v>
      </c>
      <c r="C695" s="1" t="s">
        <v>74</v>
      </c>
      <c r="D695" s="1" t="s">
        <v>74</v>
      </c>
      <c r="E695" s="1" t="s">
        <v>74</v>
      </c>
      <c r="F695" s="1" t="s">
        <v>5908</v>
      </c>
      <c r="G695" s="1" t="s">
        <v>74</v>
      </c>
      <c r="H695" s="1" t="s">
        <v>74</v>
      </c>
      <c r="I695" s="1" t="s">
        <v>5909</v>
      </c>
      <c r="J695" s="1" t="s">
        <v>5910</v>
      </c>
      <c r="K695" s="1" t="s">
        <v>74</v>
      </c>
      <c r="L695" s="1" t="s">
        <v>74</v>
      </c>
      <c r="M695" s="1" t="s">
        <v>74</v>
      </c>
      <c r="N695" s="1" t="s">
        <v>74</v>
      </c>
      <c r="O695" s="1" t="s">
        <v>74</v>
      </c>
      <c r="P695" s="1" t="s">
        <v>74</v>
      </c>
      <c r="Q695" s="1" t="s">
        <v>74</v>
      </c>
      <c r="R695" s="1" t="s">
        <v>74</v>
      </c>
      <c r="S695" s="1" t="s">
        <v>74</v>
      </c>
      <c r="T695" s="1" t="s">
        <v>74</v>
      </c>
      <c r="U695" s="1" t="s">
        <v>74</v>
      </c>
      <c r="V695" s="1" t="s">
        <v>74</v>
      </c>
      <c r="W695" s="1" t="s">
        <v>74</v>
      </c>
      <c r="X695" s="1" t="s">
        <v>74</v>
      </c>
      <c r="Y695" s="1" t="s">
        <v>74</v>
      </c>
      <c r="Z695" s="1" t="s">
        <v>74</v>
      </c>
      <c r="AA695" s="1" t="s">
        <v>74</v>
      </c>
      <c r="AB695" s="1" t="s">
        <v>74</v>
      </c>
      <c r="AC695" s="1" t="s">
        <v>74</v>
      </c>
      <c r="AD695" s="1" t="s">
        <v>74</v>
      </c>
      <c r="AE695" s="1" t="s">
        <v>74</v>
      </c>
      <c r="AF695" s="1" t="s">
        <v>74</v>
      </c>
      <c r="AG695" s="1" t="s">
        <v>74</v>
      </c>
      <c r="AH695" s="1" t="s">
        <v>74</v>
      </c>
      <c r="AI695" s="1" t="s">
        <v>74</v>
      </c>
      <c r="AJ695" s="1" t="s">
        <v>74</v>
      </c>
      <c r="AK695" s="1" t="s">
        <v>74</v>
      </c>
      <c r="AL695" s="1" t="s">
        <v>74</v>
      </c>
      <c r="AM695" s="1" t="s">
        <v>74</v>
      </c>
      <c r="AN695" s="1" t="s">
        <v>74</v>
      </c>
      <c r="AO695" s="1" t="s">
        <v>5911</v>
      </c>
      <c r="AP695" s="1" t="s">
        <v>74</v>
      </c>
      <c r="AQ695" s="1" t="s">
        <v>74</v>
      </c>
      <c r="AR695" s="1" t="s">
        <v>74</v>
      </c>
      <c r="AS695" s="1" t="s">
        <v>74</v>
      </c>
      <c r="AT695" s="1" t="s">
        <v>74</v>
      </c>
      <c r="AU695" s="1">
        <v>1983.0</v>
      </c>
      <c r="AV695" s="1">
        <v>13.0</v>
      </c>
      <c r="AW695" s="1">
        <v>1.0</v>
      </c>
      <c r="AX695" s="1" t="s">
        <v>74</v>
      </c>
      <c r="AY695" s="1" t="s">
        <v>74</v>
      </c>
      <c r="AZ695" s="1" t="s">
        <v>74</v>
      </c>
      <c r="BA695" s="1" t="s">
        <v>74</v>
      </c>
      <c r="BB695" s="1">
        <v>35.0</v>
      </c>
      <c r="BC695" s="1">
        <v>49.0</v>
      </c>
      <c r="BD695" s="1" t="s">
        <v>74</v>
      </c>
      <c r="BE695" s="1" t="s">
        <v>74</v>
      </c>
      <c r="BF695" s="1" t="s">
        <v>74</v>
      </c>
      <c r="BG695" s="1" t="s">
        <v>74</v>
      </c>
      <c r="BH695" s="1" t="s">
        <v>74</v>
      </c>
      <c r="BI695" s="1" t="s">
        <v>74</v>
      </c>
      <c r="BJ695" s="1" t="s">
        <v>74</v>
      </c>
      <c r="BK695" s="1" t="s">
        <v>74</v>
      </c>
      <c r="BL695" s="1" t="s">
        <v>74</v>
      </c>
      <c r="BM695" s="1" t="s">
        <v>74</v>
      </c>
      <c r="BN695" s="1" t="s">
        <v>74</v>
      </c>
      <c r="BO695" s="1" t="s">
        <v>74</v>
      </c>
      <c r="BP695" s="1" t="s">
        <v>74</v>
      </c>
      <c r="BQ695" s="1" t="s">
        <v>74</v>
      </c>
      <c r="BR695" s="1" t="s">
        <v>74</v>
      </c>
      <c r="BS695" s="1" t="s">
        <v>5912</v>
      </c>
      <c r="BT695" s="1" t="str">
        <f>HYPERLINK("https%3A%2F%2Fwww.webofscience.com%2Fwos%2Fwoscc%2Ffull-record%2FWOS:A1983QQ45700003","View Full Record in Web of Science")</f>
        <v>View Full Record in Web of Science</v>
      </c>
    </row>
    <row r="696" ht="12.75" customHeight="1">
      <c r="A696" s="1" t="s">
        <v>72</v>
      </c>
      <c r="B696" s="1" t="s">
        <v>5913</v>
      </c>
      <c r="C696" s="1" t="s">
        <v>74</v>
      </c>
      <c r="D696" s="1" t="s">
        <v>74</v>
      </c>
      <c r="E696" s="1" t="s">
        <v>74</v>
      </c>
      <c r="F696" s="1" t="s">
        <v>5913</v>
      </c>
      <c r="G696" s="1" t="s">
        <v>74</v>
      </c>
      <c r="H696" s="1" t="s">
        <v>74</v>
      </c>
      <c r="I696" s="1" t="s">
        <v>5914</v>
      </c>
      <c r="J696" s="1" t="s">
        <v>1207</v>
      </c>
      <c r="K696" s="1" t="s">
        <v>74</v>
      </c>
      <c r="L696" s="1" t="s">
        <v>74</v>
      </c>
      <c r="M696" s="1" t="s">
        <v>74</v>
      </c>
      <c r="N696" s="1" t="s">
        <v>74</v>
      </c>
      <c r="O696" s="1" t="s">
        <v>74</v>
      </c>
      <c r="P696" s="1" t="s">
        <v>74</v>
      </c>
      <c r="Q696" s="1" t="s">
        <v>74</v>
      </c>
      <c r="R696" s="1" t="s">
        <v>74</v>
      </c>
      <c r="S696" s="1" t="s">
        <v>74</v>
      </c>
      <c r="T696" s="1" t="s">
        <v>74</v>
      </c>
      <c r="U696" s="1" t="s">
        <v>74</v>
      </c>
      <c r="V696" s="1" t="s">
        <v>74</v>
      </c>
      <c r="W696" s="1" t="s">
        <v>74</v>
      </c>
      <c r="X696" s="1" t="s">
        <v>74</v>
      </c>
      <c r="Y696" s="1" t="s">
        <v>74</v>
      </c>
      <c r="Z696" s="1" t="s">
        <v>74</v>
      </c>
      <c r="AA696" s="1" t="s">
        <v>1227</v>
      </c>
      <c r="AB696" s="1" t="s">
        <v>74</v>
      </c>
      <c r="AC696" s="1" t="s">
        <v>74</v>
      </c>
      <c r="AD696" s="1" t="s">
        <v>74</v>
      </c>
      <c r="AE696" s="1" t="s">
        <v>74</v>
      </c>
      <c r="AF696" s="1" t="s">
        <v>74</v>
      </c>
      <c r="AG696" s="1" t="s">
        <v>74</v>
      </c>
      <c r="AH696" s="1" t="s">
        <v>74</v>
      </c>
      <c r="AI696" s="1" t="s">
        <v>74</v>
      </c>
      <c r="AJ696" s="1" t="s">
        <v>74</v>
      </c>
      <c r="AK696" s="1" t="s">
        <v>74</v>
      </c>
      <c r="AL696" s="1" t="s">
        <v>74</v>
      </c>
      <c r="AM696" s="1" t="s">
        <v>74</v>
      </c>
      <c r="AN696" s="1" t="s">
        <v>74</v>
      </c>
      <c r="AO696" s="1" t="s">
        <v>1209</v>
      </c>
      <c r="AP696" s="1" t="s">
        <v>74</v>
      </c>
      <c r="AQ696" s="1" t="s">
        <v>74</v>
      </c>
      <c r="AR696" s="1" t="s">
        <v>74</v>
      </c>
      <c r="AS696" s="1" t="s">
        <v>74</v>
      </c>
      <c r="AT696" s="1" t="s">
        <v>74</v>
      </c>
      <c r="AU696" s="1">
        <v>1980.0</v>
      </c>
      <c r="AV696" s="1">
        <v>109.0</v>
      </c>
      <c r="AW696" s="1" t="s">
        <v>1046</v>
      </c>
      <c r="AX696" s="1" t="s">
        <v>74</v>
      </c>
      <c r="AY696" s="1" t="s">
        <v>74</v>
      </c>
      <c r="AZ696" s="1" t="s">
        <v>74</v>
      </c>
      <c r="BA696" s="1" t="s">
        <v>74</v>
      </c>
      <c r="BB696" s="1">
        <v>389.0</v>
      </c>
      <c r="BC696" s="1">
        <v>393.0</v>
      </c>
      <c r="BD696" s="1" t="s">
        <v>74</v>
      </c>
      <c r="BE696" s="1" t="s">
        <v>5915</v>
      </c>
      <c r="BF696" s="2" t="str">
        <f>HYPERLINK("http://dx.doi.org/10.1016/S0022-0728(80)80140-9","http://dx.doi.org/10.1016/S0022-0728(80)80140-9")</f>
        <v>http://dx.doi.org/10.1016/S0022-0728(80)80140-9</v>
      </c>
      <c r="BG696" s="1" t="s">
        <v>74</v>
      </c>
      <c r="BH696" s="1" t="s">
        <v>74</v>
      </c>
      <c r="BI696" s="1" t="s">
        <v>74</v>
      </c>
      <c r="BJ696" s="1" t="s">
        <v>74</v>
      </c>
      <c r="BK696" s="1" t="s">
        <v>74</v>
      </c>
      <c r="BL696" s="1" t="s">
        <v>74</v>
      </c>
      <c r="BM696" s="1" t="s">
        <v>74</v>
      </c>
      <c r="BN696" s="1" t="s">
        <v>74</v>
      </c>
      <c r="BO696" s="1" t="s">
        <v>74</v>
      </c>
      <c r="BP696" s="1" t="s">
        <v>74</v>
      </c>
      <c r="BQ696" s="1" t="s">
        <v>74</v>
      </c>
      <c r="BR696" s="1" t="s">
        <v>74</v>
      </c>
      <c r="BS696" s="1" t="s">
        <v>5916</v>
      </c>
      <c r="BT696" s="1" t="str">
        <f>HYPERLINK("https%3A%2F%2Fwww.webofscience.com%2Fwos%2Fwoscc%2Ffull-record%2FWOS:A1980KB24600039","View Full Record in Web of Science")</f>
        <v>View Full Record in Web of Science</v>
      </c>
    </row>
    <row r="697" ht="12.75" customHeight="1">
      <c r="A697" s="1" t="s">
        <v>72</v>
      </c>
      <c r="B697" s="1" t="s">
        <v>4229</v>
      </c>
      <c r="C697" s="1" t="s">
        <v>74</v>
      </c>
      <c r="D697" s="1" t="s">
        <v>74</v>
      </c>
      <c r="E697" s="1" t="s">
        <v>74</v>
      </c>
      <c r="F697" s="1" t="s">
        <v>5917</v>
      </c>
      <c r="G697" s="1" t="s">
        <v>74</v>
      </c>
      <c r="H697" s="1" t="s">
        <v>74</v>
      </c>
      <c r="I697" s="1" t="s">
        <v>5918</v>
      </c>
      <c r="J697" s="1" t="s">
        <v>2508</v>
      </c>
      <c r="K697" s="1" t="s">
        <v>74</v>
      </c>
      <c r="L697" s="1" t="s">
        <v>74</v>
      </c>
      <c r="M697" s="1" t="s">
        <v>74</v>
      </c>
      <c r="N697" s="1" t="s">
        <v>74</v>
      </c>
      <c r="O697" s="1" t="s">
        <v>74</v>
      </c>
      <c r="P697" s="1" t="s">
        <v>74</v>
      </c>
      <c r="Q697" s="1" t="s">
        <v>74</v>
      </c>
      <c r="R697" s="1" t="s">
        <v>74</v>
      </c>
      <c r="S697" s="1" t="s">
        <v>74</v>
      </c>
      <c r="T697" s="1" t="s">
        <v>74</v>
      </c>
      <c r="U697" s="1" t="s">
        <v>74</v>
      </c>
      <c r="V697" s="1" t="s">
        <v>5919</v>
      </c>
      <c r="W697" s="1" t="s">
        <v>74</v>
      </c>
      <c r="X697" s="1" t="s">
        <v>74</v>
      </c>
      <c r="Y697" s="1" t="s">
        <v>74</v>
      </c>
      <c r="Z697" s="1" t="s">
        <v>74</v>
      </c>
      <c r="AA697" s="1" t="s">
        <v>74</v>
      </c>
      <c r="AB697" s="1" t="s">
        <v>74</v>
      </c>
      <c r="AC697" s="1" t="s">
        <v>74</v>
      </c>
      <c r="AD697" s="1" t="s">
        <v>74</v>
      </c>
      <c r="AE697" s="1" t="s">
        <v>74</v>
      </c>
      <c r="AF697" s="1" t="s">
        <v>74</v>
      </c>
      <c r="AG697" s="1" t="s">
        <v>74</v>
      </c>
      <c r="AH697" s="1" t="s">
        <v>74</v>
      </c>
      <c r="AI697" s="1" t="s">
        <v>74</v>
      </c>
      <c r="AJ697" s="1" t="s">
        <v>74</v>
      </c>
      <c r="AK697" s="1" t="s">
        <v>74</v>
      </c>
      <c r="AL697" s="1" t="s">
        <v>74</v>
      </c>
      <c r="AM697" s="1" t="s">
        <v>74</v>
      </c>
      <c r="AN697" s="1" t="s">
        <v>74</v>
      </c>
      <c r="AO697" s="1" t="s">
        <v>2510</v>
      </c>
      <c r="AP697" s="1" t="s">
        <v>2511</v>
      </c>
      <c r="AQ697" s="1" t="s">
        <v>74</v>
      </c>
      <c r="AR697" s="1" t="s">
        <v>74</v>
      </c>
      <c r="AS697" s="1" t="s">
        <v>74</v>
      </c>
      <c r="AT697" s="1" t="s">
        <v>5920</v>
      </c>
      <c r="AU697" s="1">
        <v>2025.0</v>
      </c>
      <c r="AV697" s="1" t="s">
        <v>74</v>
      </c>
      <c r="AW697" s="1" t="s">
        <v>74</v>
      </c>
      <c r="AX697" s="1" t="s">
        <v>74</v>
      </c>
      <c r="AY697" s="1" t="s">
        <v>74</v>
      </c>
      <c r="AZ697" s="1" t="s">
        <v>74</v>
      </c>
      <c r="BA697" s="1" t="s">
        <v>74</v>
      </c>
      <c r="BB697" s="1" t="s">
        <v>74</v>
      </c>
      <c r="BC697" s="1" t="s">
        <v>74</v>
      </c>
      <c r="BD697" s="1" t="s">
        <v>74</v>
      </c>
      <c r="BE697" s="1" t="s">
        <v>5921</v>
      </c>
      <c r="BF697" s="2" t="str">
        <f>HYPERLINK("http://dx.doi.org/10.1142/S0217751X25500253","http://dx.doi.org/10.1142/S0217751X25500253")</f>
        <v>http://dx.doi.org/10.1142/S0217751X25500253</v>
      </c>
      <c r="BG697" s="1" t="s">
        <v>74</v>
      </c>
      <c r="BH697" s="1" t="s">
        <v>5922</v>
      </c>
      <c r="BI697" s="1" t="s">
        <v>74</v>
      </c>
      <c r="BJ697" s="1" t="s">
        <v>74</v>
      </c>
      <c r="BK697" s="1" t="s">
        <v>74</v>
      </c>
      <c r="BL697" s="1" t="s">
        <v>74</v>
      </c>
      <c r="BM697" s="1" t="s">
        <v>74</v>
      </c>
      <c r="BN697" s="1" t="s">
        <v>74</v>
      </c>
      <c r="BO697" s="1" t="s">
        <v>74</v>
      </c>
      <c r="BP697" s="1" t="s">
        <v>74</v>
      </c>
      <c r="BQ697" s="1" t="s">
        <v>74</v>
      </c>
      <c r="BR697" s="1" t="s">
        <v>74</v>
      </c>
      <c r="BS697" s="1" t="s">
        <v>5923</v>
      </c>
      <c r="BT697" s="1" t="str">
        <f>HYPERLINK("https%3A%2F%2Fwww.webofscience.com%2Fwos%2Fwoscc%2Ffull-record%2FWOS:001472975900001","View Full Record in Web of Science")</f>
        <v>View Full Record in Web of Science</v>
      </c>
    </row>
    <row r="698" ht="12.75" customHeight="1">
      <c r="A698" s="1" t="s">
        <v>72</v>
      </c>
      <c r="B698" s="1" t="s">
        <v>5924</v>
      </c>
      <c r="C698" s="1" t="s">
        <v>74</v>
      </c>
      <c r="D698" s="1" t="s">
        <v>74</v>
      </c>
      <c r="E698" s="1" t="s">
        <v>74</v>
      </c>
      <c r="F698" s="1" t="s">
        <v>5925</v>
      </c>
      <c r="G698" s="1" t="s">
        <v>74</v>
      </c>
      <c r="H698" s="1" t="s">
        <v>74</v>
      </c>
      <c r="I698" s="1" t="s">
        <v>5926</v>
      </c>
      <c r="J698" s="1" t="s">
        <v>5927</v>
      </c>
      <c r="K698" s="1" t="s">
        <v>74</v>
      </c>
      <c r="L698" s="1" t="s">
        <v>74</v>
      </c>
      <c r="M698" s="1" t="s">
        <v>74</v>
      </c>
      <c r="N698" s="1" t="s">
        <v>74</v>
      </c>
      <c r="O698" s="1" t="s">
        <v>74</v>
      </c>
      <c r="P698" s="1" t="s">
        <v>74</v>
      </c>
      <c r="Q698" s="1" t="s">
        <v>74</v>
      </c>
      <c r="R698" s="1" t="s">
        <v>74</v>
      </c>
      <c r="S698" s="1" t="s">
        <v>74</v>
      </c>
      <c r="T698" s="1" t="s">
        <v>74</v>
      </c>
      <c r="U698" s="1" t="s">
        <v>74</v>
      </c>
      <c r="V698" s="1" t="s">
        <v>74</v>
      </c>
      <c r="W698" s="1" t="s">
        <v>74</v>
      </c>
      <c r="X698" s="1" t="s">
        <v>74</v>
      </c>
      <c r="Y698" s="1" t="s">
        <v>74</v>
      </c>
      <c r="Z698" s="1" t="s">
        <v>74</v>
      </c>
      <c r="AA698" s="1" t="s">
        <v>74</v>
      </c>
      <c r="AB698" s="1" t="s">
        <v>74</v>
      </c>
      <c r="AC698" s="1" t="s">
        <v>74</v>
      </c>
      <c r="AD698" s="1" t="s">
        <v>74</v>
      </c>
      <c r="AE698" s="1" t="s">
        <v>74</v>
      </c>
      <c r="AF698" s="1" t="s">
        <v>74</v>
      </c>
      <c r="AG698" s="1" t="s">
        <v>74</v>
      </c>
      <c r="AH698" s="1" t="s">
        <v>74</v>
      </c>
      <c r="AI698" s="1" t="s">
        <v>74</v>
      </c>
      <c r="AJ698" s="1" t="s">
        <v>74</v>
      </c>
      <c r="AK698" s="1" t="s">
        <v>74</v>
      </c>
      <c r="AL698" s="1" t="s">
        <v>74</v>
      </c>
      <c r="AM698" s="1" t="s">
        <v>74</v>
      </c>
      <c r="AN698" s="1" t="s">
        <v>74</v>
      </c>
      <c r="AO698" s="1" t="s">
        <v>5928</v>
      </c>
      <c r="AP698" s="1" t="s">
        <v>74</v>
      </c>
      <c r="AQ698" s="1" t="s">
        <v>74</v>
      </c>
      <c r="AR698" s="1" t="s">
        <v>74</v>
      </c>
      <c r="AS698" s="1" t="s">
        <v>74</v>
      </c>
      <c r="AT698" s="1" t="s">
        <v>276</v>
      </c>
      <c r="AU698" s="1">
        <v>2024.0</v>
      </c>
      <c r="AV698" s="1" t="s">
        <v>74</v>
      </c>
      <c r="AW698" s="1">
        <v>25.0</v>
      </c>
      <c r="AX698" s="1" t="s">
        <v>74</v>
      </c>
      <c r="AY698" s="1" t="s">
        <v>74</v>
      </c>
      <c r="AZ698" s="1" t="s">
        <v>74</v>
      </c>
      <c r="BA698" s="1" t="s">
        <v>74</v>
      </c>
      <c r="BB698" s="1">
        <v>619.0</v>
      </c>
      <c r="BC698" s="1">
        <v>623.0</v>
      </c>
      <c r="BD698" s="1" t="s">
        <v>74</v>
      </c>
      <c r="BE698" s="1" t="s">
        <v>74</v>
      </c>
      <c r="BF698" s="1" t="s">
        <v>74</v>
      </c>
      <c r="BG698" s="1" t="s">
        <v>74</v>
      </c>
      <c r="BH698" s="1" t="s">
        <v>74</v>
      </c>
      <c r="BI698" s="1" t="s">
        <v>74</v>
      </c>
      <c r="BJ698" s="1" t="s">
        <v>74</v>
      </c>
      <c r="BK698" s="1" t="s">
        <v>74</v>
      </c>
      <c r="BL698" s="1" t="s">
        <v>74</v>
      </c>
      <c r="BM698" s="1" t="s">
        <v>74</v>
      </c>
      <c r="BN698" s="1" t="s">
        <v>74</v>
      </c>
      <c r="BO698" s="1" t="s">
        <v>74</v>
      </c>
      <c r="BP698" s="1" t="s">
        <v>74</v>
      </c>
      <c r="BQ698" s="1" t="s">
        <v>74</v>
      </c>
      <c r="BR698" s="1" t="s">
        <v>74</v>
      </c>
      <c r="BS698" s="1" t="s">
        <v>5929</v>
      </c>
      <c r="BT698" s="1" t="str">
        <f>HYPERLINK("https%3A%2F%2Fwww.webofscience.com%2Fwos%2Fwoscc%2Ffull-record%2FWOS:001361538500024","View Full Record in Web of Science")</f>
        <v>View Full Record in Web of Science</v>
      </c>
    </row>
    <row r="699" ht="12.75" customHeight="1">
      <c r="A699" s="1" t="s">
        <v>72</v>
      </c>
      <c r="B699" s="1" t="s">
        <v>5930</v>
      </c>
      <c r="C699" s="1" t="s">
        <v>74</v>
      </c>
      <c r="D699" s="1" t="s">
        <v>74</v>
      </c>
      <c r="E699" s="1" t="s">
        <v>74</v>
      </c>
      <c r="F699" s="1" t="s">
        <v>5931</v>
      </c>
      <c r="G699" s="1" t="s">
        <v>74</v>
      </c>
      <c r="H699" s="1" t="s">
        <v>74</v>
      </c>
      <c r="I699" s="1" t="s">
        <v>5932</v>
      </c>
      <c r="J699" s="1" t="s">
        <v>5933</v>
      </c>
      <c r="K699" s="1" t="s">
        <v>74</v>
      </c>
      <c r="L699" s="1" t="s">
        <v>74</v>
      </c>
      <c r="M699" s="1" t="s">
        <v>74</v>
      </c>
      <c r="N699" s="1" t="s">
        <v>74</v>
      </c>
      <c r="O699" s="1" t="s">
        <v>74</v>
      </c>
      <c r="P699" s="1" t="s">
        <v>74</v>
      </c>
      <c r="Q699" s="1" t="s">
        <v>74</v>
      </c>
      <c r="R699" s="1" t="s">
        <v>74</v>
      </c>
      <c r="S699" s="1" t="s">
        <v>74</v>
      </c>
      <c r="T699" s="1" t="s">
        <v>74</v>
      </c>
      <c r="U699" s="1" t="s">
        <v>74</v>
      </c>
      <c r="V699" s="1" t="s">
        <v>5934</v>
      </c>
      <c r="W699" s="1" t="s">
        <v>74</v>
      </c>
      <c r="X699" s="1" t="s">
        <v>74</v>
      </c>
      <c r="Y699" s="1" t="s">
        <v>74</v>
      </c>
      <c r="Z699" s="1" t="s">
        <v>74</v>
      </c>
      <c r="AA699" s="1" t="s">
        <v>74</v>
      </c>
      <c r="AB699" s="1" t="s">
        <v>74</v>
      </c>
      <c r="AC699" s="1" t="s">
        <v>74</v>
      </c>
      <c r="AD699" s="1" t="s">
        <v>74</v>
      </c>
      <c r="AE699" s="1" t="s">
        <v>74</v>
      </c>
      <c r="AF699" s="1" t="s">
        <v>74</v>
      </c>
      <c r="AG699" s="1" t="s">
        <v>74</v>
      </c>
      <c r="AH699" s="1" t="s">
        <v>74</v>
      </c>
      <c r="AI699" s="1" t="s">
        <v>74</v>
      </c>
      <c r="AJ699" s="1" t="s">
        <v>74</v>
      </c>
      <c r="AK699" s="1" t="s">
        <v>74</v>
      </c>
      <c r="AL699" s="1" t="s">
        <v>74</v>
      </c>
      <c r="AM699" s="1" t="s">
        <v>74</v>
      </c>
      <c r="AN699" s="1" t="s">
        <v>74</v>
      </c>
      <c r="AO699" s="1" t="s">
        <v>5935</v>
      </c>
      <c r="AP699" s="1" t="s">
        <v>74</v>
      </c>
      <c r="AQ699" s="1" t="s">
        <v>74</v>
      </c>
      <c r="AR699" s="1" t="s">
        <v>74</v>
      </c>
      <c r="AS699" s="1" t="s">
        <v>74</v>
      </c>
      <c r="AT699" s="1" t="s">
        <v>74</v>
      </c>
      <c r="AU699" s="1">
        <v>2024.0</v>
      </c>
      <c r="AV699" s="1" t="s">
        <v>74</v>
      </c>
      <c r="AW699" s="1">
        <v>32.0</v>
      </c>
      <c r="AX699" s="1" t="s">
        <v>74</v>
      </c>
      <c r="AY699" s="1" t="s">
        <v>74</v>
      </c>
      <c r="AZ699" s="1" t="s">
        <v>74</v>
      </c>
      <c r="BA699" s="1" t="s">
        <v>74</v>
      </c>
      <c r="BB699" s="1" t="s">
        <v>74</v>
      </c>
      <c r="BC699" s="1" t="s">
        <v>74</v>
      </c>
      <c r="BD699" s="1" t="s">
        <v>74</v>
      </c>
      <c r="BE699" s="1" t="s">
        <v>74</v>
      </c>
      <c r="BF699" s="1" t="s">
        <v>74</v>
      </c>
      <c r="BG699" s="1" t="s">
        <v>74</v>
      </c>
      <c r="BH699" s="1" t="s">
        <v>74</v>
      </c>
      <c r="BI699" s="1" t="s">
        <v>74</v>
      </c>
      <c r="BJ699" s="1" t="s">
        <v>74</v>
      </c>
      <c r="BK699" s="1" t="s">
        <v>74</v>
      </c>
      <c r="BL699" s="1" t="s">
        <v>74</v>
      </c>
      <c r="BM699" s="1" t="s">
        <v>74</v>
      </c>
      <c r="BN699" s="1" t="s">
        <v>74</v>
      </c>
      <c r="BO699" s="1" t="s">
        <v>74</v>
      </c>
      <c r="BP699" s="1" t="s">
        <v>74</v>
      </c>
      <c r="BQ699" s="1" t="s">
        <v>74</v>
      </c>
      <c r="BR699" s="1" t="s">
        <v>74</v>
      </c>
      <c r="BS699" s="1" t="s">
        <v>5936</v>
      </c>
      <c r="BT699" s="1" t="str">
        <f>HYPERLINK("https%3A%2F%2Fwww.webofscience.com%2Fwos%2Fwoscc%2Ffull-record%2FWOS:001416120600027","View Full Record in Web of Science")</f>
        <v>View Full Record in Web of Science</v>
      </c>
    </row>
    <row r="700" ht="12.75" customHeight="1">
      <c r="A700" s="1" t="s">
        <v>72</v>
      </c>
      <c r="B700" s="1" t="s">
        <v>5937</v>
      </c>
      <c r="C700" s="1" t="s">
        <v>74</v>
      </c>
      <c r="D700" s="1" t="s">
        <v>74</v>
      </c>
      <c r="E700" s="1" t="s">
        <v>74</v>
      </c>
      <c r="F700" s="1" t="s">
        <v>5938</v>
      </c>
      <c r="G700" s="1" t="s">
        <v>74</v>
      </c>
      <c r="H700" s="1" t="s">
        <v>74</v>
      </c>
      <c r="I700" s="1" t="s">
        <v>5939</v>
      </c>
      <c r="J700" s="1" t="s">
        <v>5940</v>
      </c>
      <c r="K700" s="1" t="s">
        <v>74</v>
      </c>
      <c r="L700" s="1" t="s">
        <v>74</v>
      </c>
      <c r="M700" s="1" t="s">
        <v>74</v>
      </c>
      <c r="N700" s="1" t="s">
        <v>74</v>
      </c>
      <c r="O700" s="1" t="s">
        <v>74</v>
      </c>
      <c r="P700" s="1" t="s">
        <v>74</v>
      </c>
      <c r="Q700" s="1" t="s">
        <v>74</v>
      </c>
      <c r="R700" s="1" t="s">
        <v>74</v>
      </c>
      <c r="S700" s="1" t="s">
        <v>74</v>
      </c>
      <c r="T700" s="1" t="s">
        <v>74</v>
      </c>
      <c r="U700" s="1" t="s">
        <v>74</v>
      </c>
      <c r="V700" s="1" t="s">
        <v>5941</v>
      </c>
      <c r="W700" s="1" t="s">
        <v>74</v>
      </c>
      <c r="X700" s="1" t="s">
        <v>74</v>
      </c>
      <c r="Y700" s="1" t="s">
        <v>74</v>
      </c>
      <c r="Z700" s="1" t="s">
        <v>74</v>
      </c>
      <c r="AA700" s="1" t="s">
        <v>5942</v>
      </c>
      <c r="AB700" s="1" t="s">
        <v>2382</v>
      </c>
      <c r="AC700" s="1" t="s">
        <v>74</v>
      </c>
      <c r="AD700" s="1" t="s">
        <v>74</v>
      </c>
      <c r="AE700" s="1" t="s">
        <v>74</v>
      </c>
      <c r="AF700" s="1" t="s">
        <v>74</v>
      </c>
      <c r="AG700" s="1" t="s">
        <v>74</v>
      </c>
      <c r="AH700" s="1" t="s">
        <v>74</v>
      </c>
      <c r="AI700" s="1" t="s">
        <v>74</v>
      </c>
      <c r="AJ700" s="1" t="s">
        <v>74</v>
      </c>
      <c r="AK700" s="1" t="s">
        <v>74</v>
      </c>
      <c r="AL700" s="1" t="s">
        <v>74</v>
      </c>
      <c r="AM700" s="1" t="s">
        <v>74</v>
      </c>
      <c r="AN700" s="1" t="s">
        <v>74</v>
      </c>
      <c r="AO700" s="1" t="s">
        <v>74</v>
      </c>
      <c r="AP700" s="1" t="s">
        <v>5943</v>
      </c>
      <c r="AQ700" s="1" t="s">
        <v>74</v>
      </c>
      <c r="AR700" s="1" t="s">
        <v>74</v>
      </c>
      <c r="AS700" s="1" t="s">
        <v>74</v>
      </c>
      <c r="AT700" s="1" t="s">
        <v>205</v>
      </c>
      <c r="AU700" s="1">
        <v>2023.0</v>
      </c>
      <c r="AV700" s="1">
        <v>8.0</v>
      </c>
      <c r="AW700" s="1">
        <v>11.0</v>
      </c>
      <c r="AX700" s="1" t="s">
        <v>74</v>
      </c>
      <c r="AY700" s="1" t="s">
        <v>74</v>
      </c>
      <c r="AZ700" s="1" t="s">
        <v>74</v>
      </c>
      <c r="BA700" s="1" t="s">
        <v>74</v>
      </c>
      <c r="BB700" s="1" t="s">
        <v>74</v>
      </c>
      <c r="BC700" s="1" t="s">
        <v>74</v>
      </c>
      <c r="BD700" s="1">
        <v>164.0</v>
      </c>
      <c r="BE700" s="1" t="s">
        <v>5944</v>
      </c>
      <c r="BF700" s="2" t="str">
        <f>HYPERLINK("http://dx.doi.org/10.3390/data8110164","http://dx.doi.org/10.3390/data8110164")</f>
        <v>http://dx.doi.org/10.3390/data8110164</v>
      </c>
      <c r="BG700" s="1" t="s">
        <v>74</v>
      </c>
      <c r="BH700" s="1" t="s">
        <v>74</v>
      </c>
      <c r="BI700" s="1" t="s">
        <v>74</v>
      </c>
      <c r="BJ700" s="1" t="s">
        <v>74</v>
      </c>
      <c r="BK700" s="1" t="s">
        <v>74</v>
      </c>
      <c r="BL700" s="1" t="s">
        <v>74</v>
      </c>
      <c r="BM700" s="1" t="s">
        <v>74</v>
      </c>
      <c r="BN700" s="1" t="s">
        <v>74</v>
      </c>
      <c r="BO700" s="1" t="s">
        <v>74</v>
      </c>
      <c r="BP700" s="1" t="s">
        <v>74</v>
      </c>
      <c r="BQ700" s="1" t="s">
        <v>74</v>
      </c>
      <c r="BR700" s="1" t="s">
        <v>74</v>
      </c>
      <c r="BS700" s="1" t="s">
        <v>5945</v>
      </c>
      <c r="BT700" s="1" t="str">
        <f>HYPERLINK("https%3A%2F%2Fwww.webofscience.com%2Fwos%2Fwoscc%2Ffull-record%2FWOS:001118274300001","View Full Record in Web of Science")</f>
        <v>View Full Record in Web of Science</v>
      </c>
    </row>
    <row r="701" ht="12.75" customHeight="1">
      <c r="A701" s="1" t="s">
        <v>72</v>
      </c>
      <c r="B701" s="1" t="s">
        <v>5946</v>
      </c>
      <c r="C701" s="1" t="s">
        <v>74</v>
      </c>
      <c r="D701" s="1" t="s">
        <v>74</v>
      </c>
      <c r="E701" s="1" t="s">
        <v>74</v>
      </c>
      <c r="F701" s="1" t="s">
        <v>5947</v>
      </c>
      <c r="G701" s="1" t="s">
        <v>74</v>
      </c>
      <c r="H701" s="1" t="s">
        <v>74</v>
      </c>
      <c r="I701" s="1" t="s">
        <v>5948</v>
      </c>
      <c r="J701" s="1" t="s">
        <v>5949</v>
      </c>
      <c r="K701" s="1" t="s">
        <v>74</v>
      </c>
      <c r="L701" s="1" t="s">
        <v>74</v>
      </c>
      <c r="M701" s="1" t="s">
        <v>74</v>
      </c>
      <c r="N701" s="1" t="s">
        <v>74</v>
      </c>
      <c r="O701" s="1" t="s">
        <v>74</v>
      </c>
      <c r="P701" s="1" t="s">
        <v>74</v>
      </c>
      <c r="Q701" s="1" t="s">
        <v>74</v>
      </c>
      <c r="R701" s="1" t="s">
        <v>74</v>
      </c>
      <c r="S701" s="1" t="s">
        <v>74</v>
      </c>
      <c r="T701" s="1" t="s">
        <v>74</v>
      </c>
      <c r="U701" s="1" t="s">
        <v>74</v>
      </c>
      <c r="V701" s="1" t="s">
        <v>5950</v>
      </c>
      <c r="W701" s="1" t="s">
        <v>74</v>
      </c>
      <c r="X701" s="1" t="s">
        <v>74</v>
      </c>
      <c r="Y701" s="1" t="s">
        <v>74</v>
      </c>
      <c r="Z701" s="1" t="s">
        <v>74</v>
      </c>
      <c r="AA701" s="1" t="s">
        <v>5951</v>
      </c>
      <c r="AB701" s="1" t="s">
        <v>74</v>
      </c>
      <c r="AC701" s="1" t="s">
        <v>74</v>
      </c>
      <c r="AD701" s="1" t="s">
        <v>74</v>
      </c>
      <c r="AE701" s="1" t="s">
        <v>74</v>
      </c>
      <c r="AF701" s="1" t="s">
        <v>74</v>
      </c>
      <c r="AG701" s="1" t="s">
        <v>74</v>
      </c>
      <c r="AH701" s="1" t="s">
        <v>74</v>
      </c>
      <c r="AI701" s="1" t="s">
        <v>74</v>
      </c>
      <c r="AJ701" s="1" t="s">
        <v>74</v>
      </c>
      <c r="AK701" s="1" t="s">
        <v>74</v>
      </c>
      <c r="AL701" s="1" t="s">
        <v>74</v>
      </c>
      <c r="AM701" s="1" t="s">
        <v>74</v>
      </c>
      <c r="AN701" s="1" t="s">
        <v>74</v>
      </c>
      <c r="AO701" s="1" t="s">
        <v>5952</v>
      </c>
      <c r="AP701" s="1" t="s">
        <v>74</v>
      </c>
      <c r="AQ701" s="1" t="s">
        <v>74</v>
      </c>
      <c r="AR701" s="1" t="s">
        <v>74</v>
      </c>
      <c r="AS701" s="1" t="s">
        <v>74</v>
      </c>
      <c r="AT701" s="1" t="s">
        <v>161</v>
      </c>
      <c r="AU701" s="1">
        <v>2023.0</v>
      </c>
      <c r="AV701" s="1">
        <v>50.0</v>
      </c>
      <c r="AW701" s="1">
        <v>5.0</v>
      </c>
      <c r="AX701" s="1" t="s">
        <v>74</v>
      </c>
      <c r="AY701" s="1" t="s">
        <v>74</v>
      </c>
      <c r="AZ701" s="1" t="s">
        <v>74</v>
      </c>
      <c r="BA701" s="1" t="s">
        <v>74</v>
      </c>
      <c r="BB701" s="1">
        <v>571.0</v>
      </c>
      <c r="BC701" s="1">
        <v>573.0</v>
      </c>
      <c r="BD701" s="1" t="s">
        <v>74</v>
      </c>
      <c r="BE701" s="1" t="s">
        <v>5953</v>
      </c>
      <c r="BF701" s="2" t="str">
        <f>HYPERLINK("http://dx.doi.org/10.4067/S0717-75182023000500571","http://dx.doi.org/10.4067/S0717-75182023000500571")</f>
        <v>http://dx.doi.org/10.4067/S0717-75182023000500571</v>
      </c>
      <c r="BG701" s="1" t="s">
        <v>74</v>
      </c>
      <c r="BH701" s="1" t="s">
        <v>74</v>
      </c>
      <c r="BI701" s="1" t="s">
        <v>74</v>
      </c>
      <c r="BJ701" s="1" t="s">
        <v>74</v>
      </c>
      <c r="BK701" s="1" t="s">
        <v>74</v>
      </c>
      <c r="BL701" s="1" t="s">
        <v>74</v>
      </c>
      <c r="BM701" s="1" t="s">
        <v>74</v>
      </c>
      <c r="BN701" s="1" t="s">
        <v>74</v>
      </c>
      <c r="BO701" s="1" t="s">
        <v>74</v>
      </c>
      <c r="BP701" s="1" t="s">
        <v>74</v>
      </c>
      <c r="BQ701" s="1" t="s">
        <v>74</v>
      </c>
      <c r="BR701" s="1" t="s">
        <v>74</v>
      </c>
      <c r="BS701" s="1" t="s">
        <v>5954</v>
      </c>
      <c r="BT701" s="1" t="str">
        <f>HYPERLINK("https%3A%2F%2Fwww.webofscience.com%2Fwos%2Fwoscc%2Ffull-record%2FWOS:001139547600006","View Full Record in Web of Science")</f>
        <v>View Full Record in Web of Science</v>
      </c>
    </row>
    <row r="702" ht="12.75" customHeight="1">
      <c r="A702" s="1" t="s">
        <v>72</v>
      </c>
      <c r="B702" s="1" t="s">
        <v>5955</v>
      </c>
      <c r="C702" s="1" t="s">
        <v>74</v>
      </c>
      <c r="D702" s="1" t="s">
        <v>74</v>
      </c>
      <c r="E702" s="1" t="s">
        <v>74</v>
      </c>
      <c r="F702" s="1" t="s">
        <v>5956</v>
      </c>
      <c r="G702" s="1" t="s">
        <v>74</v>
      </c>
      <c r="H702" s="1" t="s">
        <v>74</v>
      </c>
      <c r="I702" s="1" t="s">
        <v>5957</v>
      </c>
      <c r="J702" s="1" t="s">
        <v>5958</v>
      </c>
      <c r="K702" s="1" t="s">
        <v>74</v>
      </c>
      <c r="L702" s="1" t="s">
        <v>74</v>
      </c>
      <c r="M702" s="1" t="s">
        <v>74</v>
      </c>
      <c r="N702" s="1" t="s">
        <v>74</v>
      </c>
      <c r="O702" s="1" t="s">
        <v>74</v>
      </c>
      <c r="P702" s="1" t="s">
        <v>74</v>
      </c>
      <c r="Q702" s="1" t="s">
        <v>74</v>
      </c>
      <c r="R702" s="1" t="s">
        <v>74</v>
      </c>
      <c r="S702" s="1" t="s">
        <v>74</v>
      </c>
      <c r="T702" s="1" t="s">
        <v>74</v>
      </c>
      <c r="U702" s="1" t="s">
        <v>74</v>
      </c>
      <c r="V702" s="1" t="s">
        <v>5959</v>
      </c>
      <c r="W702" s="1" t="s">
        <v>74</v>
      </c>
      <c r="X702" s="1" t="s">
        <v>74</v>
      </c>
      <c r="Y702" s="1" t="s">
        <v>74</v>
      </c>
      <c r="Z702" s="1" t="s">
        <v>74</v>
      </c>
      <c r="AA702" s="1" t="s">
        <v>5960</v>
      </c>
      <c r="AB702" s="1" t="s">
        <v>5961</v>
      </c>
      <c r="AC702" s="1" t="s">
        <v>74</v>
      </c>
      <c r="AD702" s="1" t="s">
        <v>74</v>
      </c>
      <c r="AE702" s="1" t="s">
        <v>74</v>
      </c>
      <c r="AF702" s="1" t="s">
        <v>74</v>
      </c>
      <c r="AG702" s="1" t="s">
        <v>74</v>
      </c>
      <c r="AH702" s="1" t="s">
        <v>74</v>
      </c>
      <c r="AI702" s="1" t="s">
        <v>74</v>
      </c>
      <c r="AJ702" s="1" t="s">
        <v>74</v>
      </c>
      <c r="AK702" s="1" t="s">
        <v>74</v>
      </c>
      <c r="AL702" s="1" t="s">
        <v>74</v>
      </c>
      <c r="AM702" s="1" t="s">
        <v>74</v>
      </c>
      <c r="AN702" s="1" t="s">
        <v>74</v>
      </c>
      <c r="AO702" s="1" t="s">
        <v>5962</v>
      </c>
      <c r="AP702" s="1" t="s">
        <v>5963</v>
      </c>
      <c r="AQ702" s="1" t="s">
        <v>74</v>
      </c>
      <c r="AR702" s="1" t="s">
        <v>74</v>
      </c>
      <c r="AS702" s="1" t="s">
        <v>74</v>
      </c>
      <c r="AT702" s="1" t="s">
        <v>276</v>
      </c>
      <c r="AU702" s="1">
        <v>2023.0</v>
      </c>
      <c r="AV702" s="1">
        <v>31.0</v>
      </c>
      <c r="AW702" s="1">
        <v>3.0</v>
      </c>
      <c r="AX702" s="1" t="s">
        <v>74</v>
      </c>
      <c r="AY702" s="1" t="s">
        <v>74</v>
      </c>
      <c r="AZ702" s="1" t="s">
        <v>74</v>
      </c>
      <c r="BA702" s="1" t="s">
        <v>74</v>
      </c>
      <c r="BB702" s="1" t="s">
        <v>74</v>
      </c>
      <c r="BC702" s="1" t="s">
        <v>74</v>
      </c>
      <c r="BD702" s="1">
        <v>2350011.0</v>
      </c>
      <c r="BE702" s="1" t="s">
        <v>5964</v>
      </c>
      <c r="BF702" s="2" t="str">
        <f>HYPERLINK("http://dx.doi.org/10.1142/S2591728523500111","http://dx.doi.org/10.1142/S2591728523500111")</f>
        <v>http://dx.doi.org/10.1142/S2591728523500111</v>
      </c>
      <c r="BG702" s="1" t="s">
        <v>74</v>
      </c>
      <c r="BH702" s="1" t="s">
        <v>74</v>
      </c>
      <c r="BI702" s="1" t="s">
        <v>74</v>
      </c>
      <c r="BJ702" s="1" t="s">
        <v>74</v>
      </c>
      <c r="BK702" s="1" t="s">
        <v>74</v>
      </c>
      <c r="BL702" s="1" t="s">
        <v>74</v>
      </c>
      <c r="BM702" s="1" t="s">
        <v>74</v>
      </c>
      <c r="BN702" s="1" t="s">
        <v>74</v>
      </c>
      <c r="BO702" s="1" t="s">
        <v>74</v>
      </c>
      <c r="BP702" s="1" t="s">
        <v>74</v>
      </c>
      <c r="BQ702" s="1" t="s">
        <v>74</v>
      </c>
      <c r="BR702" s="1" t="s">
        <v>74</v>
      </c>
      <c r="BS702" s="1" t="s">
        <v>5965</v>
      </c>
      <c r="BT702" s="1" t="str">
        <f>HYPERLINK("https%3A%2F%2Fwww.webofscience.com%2Fwos%2Fwoscc%2Ffull-record%2FWOS:001188173900001","View Full Record in Web of Science")</f>
        <v>View Full Record in Web of Science</v>
      </c>
    </row>
    <row r="703" ht="12.75" customHeight="1">
      <c r="A703" s="1" t="s">
        <v>72</v>
      </c>
      <c r="B703" s="1" t="s">
        <v>5966</v>
      </c>
      <c r="C703" s="1" t="s">
        <v>74</v>
      </c>
      <c r="D703" s="1" t="s">
        <v>74</v>
      </c>
      <c r="E703" s="1" t="s">
        <v>74</v>
      </c>
      <c r="F703" s="1" t="s">
        <v>5967</v>
      </c>
      <c r="G703" s="1" t="s">
        <v>74</v>
      </c>
      <c r="H703" s="1" t="s">
        <v>74</v>
      </c>
      <c r="I703" s="1" t="s">
        <v>5968</v>
      </c>
      <c r="J703" s="1" t="s">
        <v>5969</v>
      </c>
      <c r="K703" s="1" t="s">
        <v>74</v>
      </c>
      <c r="L703" s="1" t="s">
        <v>74</v>
      </c>
      <c r="M703" s="1" t="s">
        <v>74</v>
      </c>
      <c r="N703" s="1" t="s">
        <v>74</v>
      </c>
      <c r="O703" s="1" t="s">
        <v>74</v>
      </c>
      <c r="P703" s="1" t="s">
        <v>74</v>
      </c>
      <c r="Q703" s="1" t="s">
        <v>74</v>
      </c>
      <c r="R703" s="1" t="s">
        <v>74</v>
      </c>
      <c r="S703" s="1" t="s">
        <v>74</v>
      </c>
      <c r="T703" s="1" t="s">
        <v>74</v>
      </c>
      <c r="U703" s="1" t="s">
        <v>74</v>
      </c>
      <c r="V703" s="1" t="s">
        <v>5970</v>
      </c>
      <c r="W703" s="1" t="s">
        <v>74</v>
      </c>
      <c r="X703" s="1" t="s">
        <v>74</v>
      </c>
      <c r="Y703" s="1" t="s">
        <v>74</v>
      </c>
      <c r="Z703" s="1" t="s">
        <v>74</v>
      </c>
      <c r="AA703" s="1" t="s">
        <v>74</v>
      </c>
      <c r="AB703" s="1" t="s">
        <v>74</v>
      </c>
      <c r="AC703" s="1" t="s">
        <v>74</v>
      </c>
      <c r="AD703" s="1" t="s">
        <v>74</v>
      </c>
      <c r="AE703" s="1" t="s">
        <v>74</v>
      </c>
      <c r="AF703" s="1" t="s">
        <v>74</v>
      </c>
      <c r="AG703" s="1" t="s">
        <v>74</v>
      </c>
      <c r="AH703" s="1" t="s">
        <v>74</v>
      </c>
      <c r="AI703" s="1" t="s">
        <v>74</v>
      </c>
      <c r="AJ703" s="1" t="s">
        <v>74</v>
      </c>
      <c r="AK703" s="1" t="s">
        <v>74</v>
      </c>
      <c r="AL703" s="1" t="s">
        <v>74</v>
      </c>
      <c r="AM703" s="1" t="s">
        <v>74</v>
      </c>
      <c r="AN703" s="1" t="s">
        <v>74</v>
      </c>
      <c r="AO703" s="1" t="s">
        <v>5971</v>
      </c>
      <c r="AP703" s="1" t="s">
        <v>5972</v>
      </c>
      <c r="AQ703" s="1" t="s">
        <v>74</v>
      </c>
      <c r="AR703" s="1" t="s">
        <v>74</v>
      </c>
      <c r="AS703" s="1" t="s">
        <v>74</v>
      </c>
      <c r="AT703" s="1" t="s">
        <v>810</v>
      </c>
      <c r="AU703" s="1">
        <v>2023.0</v>
      </c>
      <c r="AV703" s="1" t="s">
        <v>74</v>
      </c>
      <c r="AW703" s="1">
        <v>37.0</v>
      </c>
      <c r="AX703" s="1" t="s">
        <v>74</v>
      </c>
      <c r="AY703" s="1" t="s">
        <v>74</v>
      </c>
      <c r="AZ703" s="1" t="s">
        <v>74</v>
      </c>
      <c r="BA703" s="1" t="s">
        <v>74</v>
      </c>
      <c r="BB703" s="1">
        <v>64.0</v>
      </c>
      <c r="BC703" s="1">
        <v>81.0</v>
      </c>
      <c r="BD703" s="1" t="s">
        <v>74</v>
      </c>
      <c r="BE703" s="1" t="s">
        <v>5973</v>
      </c>
      <c r="BF703" s="2" t="str">
        <f>HYPERLINK("http://dx.doi.org/10.17141/urvio.37.2023.5949","http://dx.doi.org/10.17141/urvio.37.2023.5949")</f>
        <v>http://dx.doi.org/10.17141/urvio.37.2023.5949</v>
      </c>
      <c r="BG703" s="1" t="s">
        <v>74</v>
      </c>
      <c r="BH703" s="1" t="s">
        <v>74</v>
      </c>
      <c r="BI703" s="1" t="s">
        <v>74</v>
      </c>
      <c r="BJ703" s="1" t="s">
        <v>74</v>
      </c>
      <c r="BK703" s="1" t="s">
        <v>74</v>
      </c>
      <c r="BL703" s="1" t="s">
        <v>74</v>
      </c>
      <c r="BM703" s="1" t="s">
        <v>74</v>
      </c>
      <c r="BN703" s="1" t="s">
        <v>74</v>
      </c>
      <c r="BO703" s="1" t="s">
        <v>74</v>
      </c>
      <c r="BP703" s="1" t="s">
        <v>74</v>
      </c>
      <c r="BQ703" s="1" t="s">
        <v>74</v>
      </c>
      <c r="BR703" s="1" t="s">
        <v>74</v>
      </c>
      <c r="BS703" s="1" t="s">
        <v>5974</v>
      </c>
      <c r="BT703" s="1" t="str">
        <f>HYPERLINK("https%3A%2F%2Fwww.webofscience.com%2Fwos%2Fwoscc%2Ffull-record%2FWOS:001114263200002","View Full Record in Web of Science")</f>
        <v>View Full Record in Web of Science</v>
      </c>
    </row>
    <row r="704" ht="12.75" customHeight="1">
      <c r="A704" s="1" t="s">
        <v>72</v>
      </c>
      <c r="B704" s="1" t="s">
        <v>5975</v>
      </c>
      <c r="C704" s="1" t="s">
        <v>74</v>
      </c>
      <c r="D704" s="1" t="s">
        <v>74</v>
      </c>
      <c r="E704" s="1" t="s">
        <v>74</v>
      </c>
      <c r="F704" s="1" t="s">
        <v>5976</v>
      </c>
      <c r="G704" s="1" t="s">
        <v>74</v>
      </c>
      <c r="H704" s="1" t="s">
        <v>74</v>
      </c>
      <c r="I704" s="1" t="s">
        <v>5977</v>
      </c>
      <c r="J704" s="1" t="s">
        <v>2780</v>
      </c>
      <c r="K704" s="1" t="s">
        <v>74</v>
      </c>
      <c r="L704" s="1" t="s">
        <v>74</v>
      </c>
      <c r="M704" s="1" t="s">
        <v>74</v>
      </c>
      <c r="N704" s="1" t="s">
        <v>74</v>
      </c>
      <c r="O704" s="1" t="s">
        <v>74</v>
      </c>
      <c r="P704" s="1" t="s">
        <v>74</v>
      </c>
      <c r="Q704" s="1" t="s">
        <v>74</v>
      </c>
      <c r="R704" s="1" t="s">
        <v>74</v>
      </c>
      <c r="S704" s="1" t="s">
        <v>74</v>
      </c>
      <c r="T704" s="1" t="s">
        <v>74</v>
      </c>
      <c r="U704" s="1" t="s">
        <v>74</v>
      </c>
      <c r="V704" s="1" t="s">
        <v>5978</v>
      </c>
      <c r="W704" s="1" t="s">
        <v>74</v>
      </c>
      <c r="X704" s="1" t="s">
        <v>74</v>
      </c>
      <c r="Y704" s="1" t="s">
        <v>74</v>
      </c>
      <c r="Z704" s="1" t="s">
        <v>74</v>
      </c>
      <c r="AA704" s="1" t="s">
        <v>74</v>
      </c>
      <c r="AB704" s="1" t="s">
        <v>74</v>
      </c>
      <c r="AC704" s="1" t="s">
        <v>74</v>
      </c>
      <c r="AD704" s="1" t="s">
        <v>74</v>
      </c>
      <c r="AE704" s="1" t="s">
        <v>74</v>
      </c>
      <c r="AF704" s="1" t="s">
        <v>74</v>
      </c>
      <c r="AG704" s="1" t="s">
        <v>74</v>
      </c>
      <c r="AH704" s="1" t="s">
        <v>74</v>
      </c>
      <c r="AI704" s="1" t="s">
        <v>74</v>
      </c>
      <c r="AJ704" s="1" t="s">
        <v>74</v>
      </c>
      <c r="AK704" s="1" t="s">
        <v>74</v>
      </c>
      <c r="AL704" s="1" t="s">
        <v>74</v>
      </c>
      <c r="AM704" s="1" t="s">
        <v>74</v>
      </c>
      <c r="AN704" s="1" t="s">
        <v>74</v>
      </c>
      <c r="AO704" s="1" t="s">
        <v>2784</v>
      </c>
      <c r="AP704" s="1" t="s">
        <v>74</v>
      </c>
      <c r="AQ704" s="1" t="s">
        <v>74</v>
      </c>
      <c r="AR704" s="1" t="s">
        <v>74</v>
      </c>
      <c r="AS704" s="1" t="s">
        <v>74</v>
      </c>
      <c r="AT704" s="1" t="s">
        <v>818</v>
      </c>
      <c r="AU704" s="1">
        <v>2023.0</v>
      </c>
      <c r="AV704" s="1" t="s">
        <v>74</v>
      </c>
      <c r="AW704" s="1">
        <v>8.0</v>
      </c>
      <c r="AX704" s="1" t="s">
        <v>74</v>
      </c>
      <c r="AY704" s="1" t="s">
        <v>74</v>
      </c>
      <c r="AZ704" s="1" t="s">
        <v>74</v>
      </c>
      <c r="BA704" s="1" t="s">
        <v>74</v>
      </c>
      <c r="BB704" s="1" t="s">
        <v>74</v>
      </c>
      <c r="BC704" s="1" t="s">
        <v>74</v>
      </c>
      <c r="BD704" s="1">
        <v>141.0</v>
      </c>
      <c r="BE704" s="1" t="s">
        <v>5979</v>
      </c>
      <c r="BF704" s="2" t="str">
        <f>HYPERLINK("http://dx.doi.org/10.1007/JHEP08(2023)141","http://dx.doi.org/10.1007/JHEP08(2023)141")</f>
        <v>http://dx.doi.org/10.1007/JHEP08(2023)141</v>
      </c>
      <c r="BG704" s="1" t="s">
        <v>74</v>
      </c>
      <c r="BH704" s="1" t="s">
        <v>74</v>
      </c>
      <c r="BI704" s="1" t="s">
        <v>74</v>
      </c>
      <c r="BJ704" s="1" t="s">
        <v>74</v>
      </c>
      <c r="BK704" s="1" t="s">
        <v>74</v>
      </c>
      <c r="BL704" s="1" t="s">
        <v>74</v>
      </c>
      <c r="BM704" s="1" t="s">
        <v>74</v>
      </c>
      <c r="BN704" s="1" t="s">
        <v>74</v>
      </c>
      <c r="BO704" s="1" t="s">
        <v>74</v>
      </c>
      <c r="BP704" s="1" t="s">
        <v>74</v>
      </c>
      <c r="BQ704" s="1" t="s">
        <v>74</v>
      </c>
      <c r="BR704" s="1" t="s">
        <v>74</v>
      </c>
      <c r="BS704" s="1" t="s">
        <v>5980</v>
      </c>
      <c r="BT704" s="1" t="str">
        <f>HYPERLINK("https%3A%2F%2Fwww.webofscience.com%2Fwos%2Fwoscc%2Ffull-record%2FWOS:001188144100002","View Full Record in Web of Science")</f>
        <v>View Full Record in Web of Science</v>
      </c>
    </row>
    <row r="705" ht="12.75" customHeight="1">
      <c r="A705" s="1" t="s">
        <v>72</v>
      </c>
      <c r="B705" s="1" t="s">
        <v>5981</v>
      </c>
      <c r="C705" s="1" t="s">
        <v>74</v>
      </c>
      <c r="D705" s="1" t="s">
        <v>74</v>
      </c>
      <c r="E705" s="1" t="s">
        <v>74</v>
      </c>
      <c r="F705" s="1" t="s">
        <v>5982</v>
      </c>
      <c r="G705" s="1" t="s">
        <v>74</v>
      </c>
      <c r="H705" s="1" t="s">
        <v>74</v>
      </c>
      <c r="I705" s="1" t="s">
        <v>5983</v>
      </c>
      <c r="J705" s="1" t="s">
        <v>2845</v>
      </c>
      <c r="K705" s="1" t="s">
        <v>74</v>
      </c>
      <c r="L705" s="1" t="s">
        <v>74</v>
      </c>
      <c r="M705" s="1" t="s">
        <v>74</v>
      </c>
      <c r="N705" s="1" t="s">
        <v>74</v>
      </c>
      <c r="O705" s="1" t="s">
        <v>74</v>
      </c>
      <c r="P705" s="1" t="s">
        <v>74</v>
      </c>
      <c r="Q705" s="1" t="s">
        <v>74</v>
      </c>
      <c r="R705" s="1" t="s">
        <v>74</v>
      </c>
      <c r="S705" s="1" t="s">
        <v>74</v>
      </c>
      <c r="T705" s="1" t="s">
        <v>74</v>
      </c>
      <c r="U705" s="1" t="s">
        <v>74</v>
      </c>
      <c r="V705" s="1" t="s">
        <v>5984</v>
      </c>
      <c r="W705" s="1" t="s">
        <v>74</v>
      </c>
      <c r="X705" s="1" t="s">
        <v>74</v>
      </c>
      <c r="Y705" s="1" t="s">
        <v>74</v>
      </c>
      <c r="Z705" s="1" t="s">
        <v>74</v>
      </c>
      <c r="AA705" s="1" t="s">
        <v>74</v>
      </c>
      <c r="AB705" s="1" t="s">
        <v>74</v>
      </c>
      <c r="AC705" s="1" t="s">
        <v>74</v>
      </c>
      <c r="AD705" s="1" t="s">
        <v>74</v>
      </c>
      <c r="AE705" s="1" t="s">
        <v>74</v>
      </c>
      <c r="AF705" s="1" t="s">
        <v>74</v>
      </c>
      <c r="AG705" s="1" t="s">
        <v>74</v>
      </c>
      <c r="AH705" s="1" t="s">
        <v>74</v>
      </c>
      <c r="AI705" s="1" t="s">
        <v>74</v>
      </c>
      <c r="AJ705" s="1" t="s">
        <v>74</v>
      </c>
      <c r="AK705" s="1" t="s">
        <v>74</v>
      </c>
      <c r="AL705" s="1" t="s">
        <v>74</v>
      </c>
      <c r="AM705" s="1" t="s">
        <v>74</v>
      </c>
      <c r="AN705" s="1" t="s">
        <v>74</v>
      </c>
      <c r="AO705" s="1" t="s">
        <v>2847</v>
      </c>
      <c r="AP705" s="1" t="s">
        <v>2848</v>
      </c>
      <c r="AQ705" s="1" t="s">
        <v>74</v>
      </c>
      <c r="AR705" s="1" t="s">
        <v>74</v>
      </c>
      <c r="AS705" s="1" t="s">
        <v>74</v>
      </c>
      <c r="AT705" s="1" t="s">
        <v>915</v>
      </c>
      <c r="AU705" s="1">
        <v>2023.0</v>
      </c>
      <c r="AV705" s="1">
        <v>13.0</v>
      </c>
      <c r="AW705" s="1">
        <v>2.0</v>
      </c>
      <c r="AX705" s="1" t="s">
        <v>74</v>
      </c>
      <c r="AY705" s="1" t="s">
        <v>74</v>
      </c>
      <c r="AZ705" s="1" t="s">
        <v>74</v>
      </c>
      <c r="BA705" s="1" t="s">
        <v>74</v>
      </c>
      <c r="BB705" s="1">
        <v>463.0</v>
      </c>
      <c r="BC705" s="1">
        <v>494.0</v>
      </c>
      <c r="BD705" s="1" t="s">
        <v>74</v>
      </c>
      <c r="BE705" s="1" t="s">
        <v>74</v>
      </c>
      <c r="BF705" s="1" t="s">
        <v>74</v>
      </c>
      <c r="BG705" s="1" t="s">
        <v>74</v>
      </c>
      <c r="BH705" s="1" t="s">
        <v>74</v>
      </c>
      <c r="BI705" s="1" t="s">
        <v>74</v>
      </c>
      <c r="BJ705" s="1" t="s">
        <v>74</v>
      </c>
      <c r="BK705" s="1" t="s">
        <v>74</v>
      </c>
      <c r="BL705" s="1" t="s">
        <v>74</v>
      </c>
      <c r="BM705" s="1" t="s">
        <v>74</v>
      </c>
      <c r="BN705" s="1" t="s">
        <v>74</v>
      </c>
      <c r="BO705" s="1" t="s">
        <v>74</v>
      </c>
      <c r="BP705" s="1" t="s">
        <v>74</v>
      </c>
      <c r="BQ705" s="1" t="s">
        <v>74</v>
      </c>
      <c r="BR705" s="1" t="s">
        <v>74</v>
      </c>
      <c r="BS705" s="1" t="s">
        <v>5985</v>
      </c>
      <c r="BT705" s="1" t="str">
        <f>HYPERLINK("https%3A%2F%2Fwww.webofscience.com%2Fwos%2Fwoscc%2Ffull-record%2FWOS:001164876600006","View Full Record in Web of Science")</f>
        <v>View Full Record in Web of Science</v>
      </c>
    </row>
    <row r="706" ht="12.75" customHeight="1">
      <c r="A706" s="1" t="s">
        <v>72</v>
      </c>
      <c r="B706" s="1" t="s">
        <v>5986</v>
      </c>
      <c r="C706" s="1" t="s">
        <v>74</v>
      </c>
      <c r="D706" s="1" t="s">
        <v>74</v>
      </c>
      <c r="E706" s="1" t="s">
        <v>74</v>
      </c>
      <c r="F706" s="1" t="s">
        <v>5987</v>
      </c>
      <c r="G706" s="1" t="s">
        <v>74</v>
      </c>
      <c r="H706" s="1" t="s">
        <v>74</v>
      </c>
      <c r="I706" s="1" t="s">
        <v>5988</v>
      </c>
      <c r="J706" s="1" t="s">
        <v>3594</v>
      </c>
      <c r="K706" s="1" t="s">
        <v>74</v>
      </c>
      <c r="L706" s="1" t="s">
        <v>74</v>
      </c>
      <c r="M706" s="1" t="s">
        <v>74</v>
      </c>
      <c r="N706" s="1" t="s">
        <v>74</v>
      </c>
      <c r="O706" s="1" t="s">
        <v>74</v>
      </c>
      <c r="P706" s="1" t="s">
        <v>74</v>
      </c>
      <c r="Q706" s="1" t="s">
        <v>74</v>
      </c>
      <c r="R706" s="1" t="s">
        <v>74</v>
      </c>
      <c r="S706" s="1" t="s">
        <v>74</v>
      </c>
      <c r="T706" s="1" t="s">
        <v>74</v>
      </c>
      <c r="U706" s="1" t="s">
        <v>74</v>
      </c>
      <c r="V706" s="1" t="s">
        <v>5989</v>
      </c>
      <c r="W706" s="1" t="s">
        <v>74</v>
      </c>
      <c r="X706" s="1" t="s">
        <v>74</v>
      </c>
      <c r="Y706" s="1" t="s">
        <v>74</v>
      </c>
      <c r="Z706" s="1" t="s">
        <v>74</v>
      </c>
      <c r="AA706" s="1" t="s">
        <v>3596</v>
      </c>
      <c r="AB706" s="1" t="s">
        <v>3597</v>
      </c>
      <c r="AC706" s="1" t="s">
        <v>74</v>
      </c>
      <c r="AD706" s="1" t="s">
        <v>74</v>
      </c>
      <c r="AE706" s="1" t="s">
        <v>74</v>
      </c>
      <c r="AF706" s="1" t="s">
        <v>74</v>
      </c>
      <c r="AG706" s="1" t="s">
        <v>74</v>
      </c>
      <c r="AH706" s="1" t="s">
        <v>74</v>
      </c>
      <c r="AI706" s="1" t="s">
        <v>74</v>
      </c>
      <c r="AJ706" s="1" t="s">
        <v>74</v>
      </c>
      <c r="AK706" s="1" t="s">
        <v>74</v>
      </c>
      <c r="AL706" s="1" t="s">
        <v>74</v>
      </c>
      <c r="AM706" s="1" t="s">
        <v>74</v>
      </c>
      <c r="AN706" s="1" t="s">
        <v>74</v>
      </c>
      <c r="AO706" s="1" t="s">
        <v>74</v>
      </c>
      <c r="AP706" s="1" t="s">
        <v>3598</v>
      </c>
      <c r="AQ706" s="1" t="s">
        <v>74</v>
      </c>
      <c r="AR706" s="1" t="s">
        <v>74</v>
      </c>
      <c r="AS706" s="1" t="s">
        <v>74</v>
      </c>
      <c r="AT706" s="1" t="s">
        <v>1099</v>
      </c>
      <c r="AU706" s="1">
        <v>2023.0</v>
      </c>
      <c r="AV706" s="1">
        <v>34.0</v>
      </c>
      <c r="AW706" s="1">
        <v>3.0</v>
      </c>
      <c r="AX706" s="1" t="s">
        <v>74</v>
      </c>
      <c r="AY706" s="1" t="s">
        <v>74</v>
      </c>
      <c r="AZ706" s="1" t="s">
        <v>74</v>
      </c>
      <c r="BA706" s="1" t="s">
        <v>74</v>
      </c>
      <c r="BB706" s="1">
        <v>210.0</v>
      </c>
      <c r="BC706" s="1">
        <v>215.0</v>
      </c>
      <c r="BD706" s="1" t="s">
        <v>74</v>
      </c>
      <c r="BE706" s="1" t="s">
        <v>5990</v>
      </c>
      <c r="BF706" s="2" t="str">
        <f>HYPERLINK("http://dx.doi.org/10.1016/j.rmclc.2023.05.002","http://dx.doi.org/10.1016/j.rmclc.2023.05.002")</f>
        <v>http://dx.doi.org/10.1016/j.rmclc.2023.05.002</v>
      </c>
      <c r="BG706" s="1" t="s">
        <v>74</v>
      </c>
      <c r="BH706" s="1" t="s">
        <v>5991</v>
      </c>
      <c r="BI706" s="1" t="s">
        <v>74</v>
      </c>
      <c r="BJ706" s="1" t="s">
        <v>74</v>
      </c>
      <c r="BK706" s="1" t="s">
        <v>74</v>
      </c>
      <c r="BL706" s="1" t="s">
        <v>74</v>
      </c>
      <c r="BM706" s="1" t="s">
        <v>74</v>
      </c>
      <c r="BN706" s="1" t="s">
        <v>74</v>
      </c>
      <c r="BO706" s="1" t="s">
        <v>74</v>
      </c>
      <c r="BP706" s="1" t="s">
        <v>74</v>
      </c>
      <c r="BQ706" s="1" t="s">
        <v>74</v>
      </c>
      <c r="BR706" s="1" t="s">
        <v>74</v>
      </c>
      <c r="BS706" s="1" t="s">
        <v>5992</v>
      </c>
      <c r="BT706" s="1" t="str">
        <f>HYPERLINK("https%3A%2F%2Fwww.webofscience.com%2Fwos%2Fwoscc%2Ffull-record%2FWOS:001017726100001","View Full Record in Web of Science")</f>
        <v>View Full Record in Web of Science</v>
      </c>
    </row>
    <row r="707" ht="12.75" customHeight="1">
      <c r="A707" s="1" t="s">
        <v>72</v>
      </c>
      <c r="B707" s="1" t="s">
        <v>5993</v>
      </c>
      <c r="C707" s="1" t="s">
        <v>74</v>
      </c>
      <c r="D707" s="1" t="s">
        <v>74</v>
      </c>
      <c r="E707" s="1" t="s">
        <v>74</v>
      </c>
      <c r="F707" s="1" t="s">
        <v>5994</v>
      </c>
      <c r="G707" s="1" t="s">
        <v>74</v>
      </c>
      <c r="H707" s="1" t="s">
        <v>74</v>
      </c>
      <c r="I707" s="1" t="s">
        <v>5995</v>
      </c>
      <c r="J707" s="1" t="s">
        <v>434</v>
      </c>
      <c r="K707" s="1" t="s">
        <v>74</v>
      </c>
      <c r="L707" s="1" t="s">
        <v>74</v>
      </c>
      <c r="M707" s="1" t="s">
        <v>74</v>
      </c>
      <c r="N707" s="1" t="s">
        <v>74</v>
      </c>
      <c r="O707" s="1" t="s">
        <v>74</v>
      </c>
      <c r="P707" s="1" t="s">
        <v>74</v>
      </c>
      <c r="Q707" s="1" t="s">
        <v>74</v>
      </c>
      <c r="R707" s="1" t="s">
        <v>74</v>
      </c>
      <c r="S707" s="1" t="s">
        <v>74</v>
      </c>
      <c r="T707" s="1" t="s">
        <v>74</v>
      </c>
      <c r="U707" s="1" t="s">
        <v>74</v>
      </c>
      <c r="V707" s="1" t="s">
        <v>5996</v>
      </c>
      <c r="W707" s="1" t="s">
        <v>74</v>
      </c>
      <c r="X707" s="1" t="s">
        <v>74</v>
      </c>
      <c r="Y707" s="1" t="s">
        <v>74</v>
      </c>
      <c r="Z707" s="1" t="s">
        <v>74</v>
      </c>
      <c r="AA707" s="1" t="s">
        <v>74</v>
      </c>
      <c r="AB707" s="1" t="s">
        <v>5997</v>
      </c>
      <c r="AC707" s="1" t="s">
        <v>74</v>
      </c>
      <c r="AD707" s="1" t="s">
        <v>74</v>
      </c>
      <c r="AE707" s="1" t="s">
        <v>74</v>
      </c>
      <c r="AF707" s="1" t="s">
        <v>74</v>
      </c>
      <c r="AG707" s="1" t="s">
        <v>74</v>
      </c>
      <c r="AH707" s="1" t="s">
        <v>74</v>
      </c>
      <c r="AI707" s="1" t="s">
        <v>74</v>
      </c>
      <c r="AJ707" s="1" t="s">
        <v>74</v>
      </c>
      <c r="AK707" s="1" t="s">
        <v>74</v>
      </c>
      <c r="AL707" s="1" t="s">
        <v>74</v>
      </c>
      <c r="AM707" s="1" t="s">
        <v>74</v>
      </c>
      <c r="AN707" s="1" t="s">
        <v>74</v>
      </c>
      <c r="AO707" s="1" t="s">
        <v>436</v>
      </c>
      <c r="AP707" s="1" t="s">
        <v>437</v>
      </c>
      <c r="AQ707" s="1" t="s">
        <v>74</v>
      </c>
      <c r="AR707" s="1" t="s">
        <v>74</v>
      </c>
      <c r="AS707" s="1" t="s">
        <v>74</v>
      </c>
      <c r="AT707" s="1" t="s">
        <v>646</v>
      </c>
      <c r="AU707" s="1">
        <v>2023.0</v>
      </c>
      <c r="AV707" s="1">
        <v>46.0</v>
      </c>
      <c r="AW707" s="1">
        <v>2.0</v>
      </c>
      <c r="AX707" s="1" t="s">
        <v>74</v>
      </c>
      <c r="AY707" s="1" t="s">
        <v>74</v>
      </c>
      <c r="AZ707" s="1" t="s">
        <v>74</v>
      </c>
      <c r="BA707" s="1" t="s">
        <v>74</v>
      </c>
      <c r="BB707" s="1">
        <v>167.0</v>
      </c>
      <c r="BC707" s="1">
        <v>192.0</v>
      </c>
      <c r="BD707" s="1" t="s">
        <v>74</v>
      </c>
      <c r="BE707" s="1" t="s">
        <v>5998</v>
      </c>
      <c r="BF707" s="2" t="str">
        <f>HYPERLINK("http://dx.doi.org/10.1590/0101-3173.2023.V46n2.p167","http://dx.doi.org/10.1590/0101-3173.2023.V46n2.p167")</f>
        <v>http://dx.doi.org/10.1590/0101-3173.2023.V46n2.p167</v>
      </c>
      <c r="BG707" s="1" t="s">
        <v>74</v>
      </c>
      <c r="BH707" s="1" t="s">
        <v>74</v>
      </c>
      <c r="BI707" s="1" t="s">
        <v>74</v>
      </c>
      <c r="BJ707" s="1" t="s">
        <v>74</v>
      </c>
      <c r="BK707" s="1" t="s">
        <v>74</v>
      </c>
      <c r="BL707" s="1" t="s">
        <v>74</v>
      </c>
      <c r="BM707" s="1" t="s">
        <v>74</v>
      </c>
      <c r="BN707" s="1" t="s">
        <v>74</v>
      </c>
      <c r="BO707" s="1" t="s">
        <v>74</v>
      </c>
      <c r="BP707" s="1" t="s">
        <v>74</v>
      </c>
      <c r="BQ707" s="1" t="s">
        <v>74</v>
      </c>
      <c r="BR707" s="1" t="s">
        <v>74</v>
      </c>
      <c r="BS707" s="1" t="s">
        <v>5999</v>
      </c>
      <c r="BT707" s="1" t="str">
        <f>HYPERLINK("https%3A%2F%2Fwww.webofscience.com%2Fwos%2Fwoscc%2Ffull-record%2FWOS:000983307600001","View Full Record in Web of Science")</f>
        <v>View Full Record in Web of Science</v>
      </c>
    </row>
    <row r="708" ht="12.75" customHeight="1">
      <c r="A708" s="1" t="s">
        <v>72</v>
      </c>
      <c r="B708" s="1" t="s">
        <v>6000</v>
      </c>
      <c r="C708" s="1" t="s">
        <v>74</v>
      </c>
      <c r="D708" s="1" t="s">
        <v>74</v>
      </c>
      <c r="E708" s="1" t="s">
        <v>74</v>
      </c>
      <c r="F708" s="1" t="s">
        <v>6001</v>
      </c>
      <c r="G708" s="1" t="s">
        <v>74</v>
      </c>
      <c r="H708" s="1" t="s">
        <v>74</v>
      </c>
      <c r="I708" s="1" t="s">
        <v>6002</v>
      </c>
      <c r="J708" s="1" t="s">
        <v>6003</v>
      </c>
      <c r="K708" s="1" t="s">
        <v>74</v>
      </c>
      <c r="L708" s="1" t="s">
        <v>74</v>
      </c>
      <c r="M708" s="1" t="s">
        <v>74</v>
      </c>
      <c r="N708" s="1" t="s">
        <v>74</v>
      </c>
      <c r="O708" s="1" t="s">
        <v>74</v>
      </c>
      <c r="P708" s="1" t="s">
        <v>74</v>
      </c>
      <c r="Q708" s="1" t="s">
        <v>74</v>
      </c>
      <c r="R708" s="1" t="s">
        <v>74</v>
      </c>
      <c r="S708" s="1" t="s">
        <v>74</v>
      </c>
      <c r="T708" s="1" t="s">
        <v>74</v>
      </c>
      <c r="U708" s="1" t="s">
        <v>74</v>
      </c>
      <c r="V708" s="1" t="s">
        <v>6004</v>
      </c>
      <c r="W708" s="1" t="s">
        <v>74</v>
      </c>
      <c r="X708" s="1" t="s">
        <v>74</v>
      </c>
      <c r="Y708" s="1" t="s">
        <v>74</v>
      </c>
      <c r="Z708" s="1" t="s">
        <v>74</v>
      </c>
      <c r="AA708" s="1" t="s">
        <v>74</v>
      </c>
      <c r="AB708" s="1" t="s">
        <v>74</v>
      </c>
      <c r="AC708" s="1" t="s">
        <v>74</v>
      </c>
      <c r="AD708" s="1" t="s">
        <v>74</v>
      </c>
      <c r="AE708" s="1" t="s">
        <v>74</v>
      </c>
      <c r="AF708" s="1" t="s">
        <v>74</v>
      </c>
      <c r="AG708" s="1" t="s">
        <v>74</v>
      </c>
      <c r="AH708" s="1" t="s">
        <v>74</v>
      </c>
      <c r="AI708" s="1" t="s">
        <v>74</v>
      </c>
      <c r="AJ708" s="1" t="s">
        <v>74</v>
      </c>
      <c r="AK708" s="1" t="s">
        <v>74</v>
      </c>
      <c r="AL708" s="1" t="s">
        <v>74</v>
      </c>
      <c r="AM708" s="1" t="s">
        <v>74</v>
      </c>
      <c r="AN708" s="1" t="s">
        <v>74</v>
      </c>
      <c r="AO708" s="1" t="s">
        <v>6005</v>
      </c>
      <c r="AP708" s="1" t="s">
        <v>6006</v>
      </c>
      <c r="AQ708" s="1" t="s">
        <v>74</v>
      </c>
      <c r="AR708" s="1" t="s">
        <v>74</v>
      </c>
      <c r="AS708" s="1" t="s">
        <v>74</v>
      </c>
      <c r="AT708" s="1" t="s">
        <v>74</v>
      </c>
      <c r="AU708" s="1">
        <v>2023.0</v>
      </c>
      <c r="AV708" s="1">
        <v>19.0</v>
      </c>
      <c r="AW708" s="1" t="s">
        <v>74</v>
      </c>
      <c r="AX708" s="1" t="s">
        <v>74</v>
      </c>
      <c r="AY708" s="1" t="s">
        <v>74</v>
      </c>
      <c r="AZ708" s="1" t="s">
        <v>74</v>
      </c>
      <c r="BA708" s="1" t="s">
        <v>74</v>
      </c>
      <c r="BB708" s="1" t="s">
        <v>74</v>
      </c>
      <c r="BC708" s="1" t="s">
        <v>74</v>
      </c>
      <c r="BD708" s="1" t="s">
        <v>74</v>
      </c>
      <c r="BE708" s="1" t="s">
        <v>6007</v>
      </c>
      <c r="BF708" s="2" t="str">
        <f>HYPERLINK("http://dx.doi.org/10.18294/sc.2023.4649","http://dx.doi.org/10.18294/sc.2023.4649")</f>
        <v>http://dx.doi.org/10.18294/sc.2023.4649</v>
      </c>
      <c r="BG708" s="1" t="s">
        <v>74</v>
      </c>
      <c r="BH708" s="1" t="s">
        <v>74</v>
      </c>
      <c r="BI708" s="1" t="s">
        <v>74</v>
      </c>
      <c r="BJ708" s="1" t="s">
        <v>74</v>
      </c>
      <c r="BK708" s="1" t="s">
        <v>74</v>
      </c>
      <c r="BL708" s="1" t="s">
        <v>74</v>
      </c>
      <c r="BM708" s="1" t="s">
        <v>74</v>
      </c>
      <c r="BN708" s="1">
        <v>3.8135671E7</v>
      </c>
      <c r="BO708" s="1" t="s">
        <v>74</v>
      </c>
      <c r="BP708" s="1" t="s">
        <v>74</v>
      </c>
      <c r="BQ708" s="1" t="s">
        <v>74</v>
      </c>
      <c r="BR708" s="1" t="s">
        <v>74</v>
      </c>
      <c r="BS708" s="1" t="s">
        <v>6008</v>
      </c>
      <c r="BT708" s="1" t="str">
        <f>HYPERLINK("https%3A%2F%2Fwww.webofscience.com%2Fwos%2Fwoscc%2Ffull-record%2FWOS:001177212500003","View Full Record in Web of Science")</f>
        <v>View Full Record in Web of Science</v>
      </c>
    </row>
    <row r="709" ht="12.75" customHeight="1">
      <c r="A709" s="1" t="s">
        <v>72</v>
      </c>
      <c r="B709" s="1" t="s">
        <v>6009</v>
      </c>
      <c r="C709" s="1" t="s">
        <v>74</v>
      </c>
      <c r="D709" s="1" t="s">
        <v>74</v>
      </c>
      <c r="E709" s="1" t="s">
        <v>74</v>
      </c>
      <c r="F709" s="1" t="s">
        <v>6010</v>
      </c>
      <c r="G709" s="1" t="s">
        <v>74</v>
      </c>
      <c r="H709" s="1" t="s">
        <v>74</v>
      </c>
      <c r="I709" s="1" t="s">
        <v>6011</v>
      </c>
      <c r="J709" s="1" t="s">
        <v>1333</v>
      </c>
      <c r="K709" s="1" t="s">
        <v>74</v>
      </c>
      <c r="L709" s="1" t="s">
        <v>74</v>
      </c>
      <c r="M709" s="1" t="s">
        <v>74</v>
      </c>
      <c r="N709" s="1" t="s">
        <v>74</v>
      </c>
      <c r="O709" s="1" t="s">
        <v>74</v>
      </c>
      <c r="P709" s="1" t="s">
        <v>74</v>
      </c>
      <c r="Q709" s="1" t="s">
        <v>74</v>
      </c>
      <c r="R709" s="1" t="s">
        <v>74</v>
      </c>
      <c r="S709" s="1" t="s">
        <v>74</v>
      </c>
      <c r="T709" s="1" t="s">
        <v>74</v>
      </c>
      <c r="U709" s="1" t="s">
        <v>74</v>
      </c>
      <c r="V709" s="1" t="s">
        <v>74</v>
      </c>
      <c r="W709" s="1" t="s">
        <v>74</v>
      </c>
      <c r="X709" s="1" t="s">
        <v>74</v>
      </c>
      <c r="Y709" s="1" t="s">
        <v>74</v>
      </c>
      <c r="Z709" s="1" t="s">
        <v>74</v>
      </c>
      <c r="AA709" s="1" t="s">
        <v>74</v>
      </c>
      <c r="AB709" s="1" t="s">
        <v>74</v>
      </c>
      <c r="AC709" s="1" t="s">
        <v>74</v>
      </c>
      <c r="AD709" s="1" t="s">
        <v>74</v>
      </c>
      <c r="AE709" s="1" t="s">
        <v>74</v>
      </c>
      <c r="AF709" s="1" t="s">
        <v>74</v>
      </c>
      <c r="AG709" s="1" t="s">
        <v>74</v>
      </c>
      <c r="AH709" s="1" t="s">
        <v>74</v>
      </c>
      <c r="AI709" s="1" t="s">
        <v>74</v>
      </c>
      <c r="AJ709" s="1" t="s">
        <v>74</v>
      </c>
      <c r="AK709" s="1" t="s">
        <v>74</v>
      </c>
      <c r="AL709" s="1" t="s">
        <v>74</v>
      </c>
      <c r="AM709" s="1" t="s">
        <v>74</v>
      </c>
      <c r="AN709" s="1" t="s">
        <v>74</v>
      </c>
      <c r="AO709" s="1" t="s">
        <v>1335</v>
      </c>
      <c r="AP709" s="1" t="s">
        <v>1336</v>
      </c>
      <c r="AQ709" s="1" t="s">
        <v>74</v>
      </c>
      <c r="AR709" s="1" t="s">
        <v>74</v>
      </c>
      <c r="AS709" s="1" t="s">
        <v>74</v>
      </c>
      <c r="AT709" s="1" t="s">
        <v>74</v>
      </c>
      <c r="AU709" s="1">
        <v>2023.0</v>
      </c>
      <c r="AV709" s="1" t="s">
        <v>74</v>
      </c>
      <c r="AW709" s="1">
        <v>39.0</v>
      </c>
      <c r="AX709" s="1" t="s">
        <v>74</v>
      </c>
      <c r="AY709" s="1" t="s">
        <v>74</v>
      </c>
      <c r="AZ709" s="1" t="s">
        <v>74</v>
      </c>
      <c r="BA709" s="1" t="s">
        <v>74</v>
      </c>
      <c r="BB709" s="1">
        <v>1.0</v>
      </c>
      <c r="BC709" s="1">
        <v>4.0</v>
      </c>
      <c r="BD709" s="1" t="s">
        <v>74</v>
      </c>
      <c r="BE709" s="1" t="s">
        <v>74</v>
      </c>
      <c r="BF709" s="1" t="s">
        <v>74</v>
      </c>
      <c r="BG709" s="1" t="s">
        <v>74</v>
      </c>
      <c r="BH709" s="1" t="s">
        <v>74</v>
      </c>
      <c r="BI709" s="1" t="s">
        <v>74</v>
      </c>
      <c r="BJ709" s="1" t="s">
        <v>74</v>
      </c>
      <c r="BK709" s="1" t="s">
        <v>74</v>
      </c>
      <c r="BL709" s="1" t="s">
        <v>74</v>
      </c>
      <c r="BM709" s="1" t="s">
        <v>74</v>
      </c>
      <c r="BN709" s="1" t="s">
        <v>74</v>
      </c>
      <c r="BO709" s="1" t="s">
        <v>74</v>
      </c>
      <c r="BP709" s="1" t="s">
        <v>74</v>
      </c>
      <c r="BQ709" s="1" t="s">
        <v>74</v>
      </c>
      <c r="BR709" s="1" t="s">
        <v>74</v>
      </c>
      <c r="BS709" s="1" t="s">
        <v>6012</v>
      </c>
      <c r="BT709" s="1" t="str">
        <f>HYPERLINK("https%3A%2F%2Fwww.webofscience.com%2Fwos%2Fwoscc%2Ffull-record%2FWOS:001144754000010","View Full Record in Web of Science")</f>
        <v>View Full Record in Web of Science</v>
      </c>
    </row>
    <row r="710" ht="12.75" customHeight="1">
      <c r="A710" s="1" t="s">
        <v>72</v>
      </c>
      <c r="B710" s="1" t="s">
        <v>6013</v>
      </c>
      <c r="C710" s="1" t="s">
        <v>74</v>
      </c>
      <c r="D710" s="1" t="s">
        <v>74</v>
      </c>
      <c r="E710" s="1" t="s">
        <v>74</v>
      </c>
      <c r="F710" s="1" t="s">
        <v>6014</v>
      </c>
      <c r="G710" s="1" t="s">
        <v>74</v>
      </c>
      <c r="H710" s="1" t="s">
        <v>74</v>
      </c>
      <c r="I710" s="1" t="s">
        <v>6015</v>
      </c>
      <c r="J710" s="1" t="s">
        <v>6016</v>
      </c>
      <c r="K710" s="1" t="s">
        <v>74</v>
      </c>
      <c r="L710" s="1" t="s">
        <v>74</v>
      </c>
      <c r="M710" s="1" t="s">
        <v>74</v>
      </c>
      <c r="N710" s="1" t="s">
        <v>74</v>
      </c>
      <c r="O710" s="1" t="s">
        <v>74</v>
      </c>
      <c r="P710" s="1" t="s">
        <v>74</v>
      </c>
      <c r="Q710" s="1" t="s">
        <v>74</v>
      </c>
      <c r="R710" s="1" t="s">
        <v>74</v>
      </c>
      <c r="S710" s="1" t="s">
        <v>74</v>
      </c>
      <c r="T710" s="1" t="s">
        <v>74</v>
      </c>
      <c r="U710" s="1" t="s">
        <v>74</v>
      </c>
      <c r="V710" s="1" t="s">
        <v>6017</v>
      </c>
      <c r="W710" s="1" t="s">
        <v>74</v>
      </c>
      <c r="X710" s="1" t="s">
        <v>74</v>
      </c>
      <c r="Y710" s="1" t="s">
        <v>74</v>
      </c>
      <c r="Z710" s="1" t="s">
        <v>74</v>
      </c>
      <c r="AA710" s="1" t="s">
        <v>6018</v>
      </c>
      <c r="AB710" s="1" t="s">
        <v>6019</v>
      </c>
      <c r="AC710" s="1" t="s">
        <v>74</v>
      </c>
      <c r="AD710" s="1" t="s">
        <v>74</v>
      </c>
      <c r="AE710" s="1" t="s">
        <v>74</v>
      </c>
      <c r="AF710" s="1" t="s">
        <v>74</v>
      </c>
      <c r="AG710" s="1" t="s">
        <v>74</v>
      </c>
      <c r="AH710" s="1" t="s">
        <v>74</v>
      </c>
      <c r="AI710" s="1" t="s">
        <v>74</v>
      </c>
      <c r="AJ710" s="1" t="s">
        <v>74</v>
      </c>
      <c r="AK710" s="1" t="s">
        <v>74</v>
      </c>
      <c r="AL710" s="1" t="s">
        <v>74</v>
      </c>
      <c r="AM710" s="1" t="s">
        <v>74</v>
      </c>
      <c r="AN710" s="1" t="s">
        <v>74</v>
      </c>
      <c r="AO710" s="1" t="s">
        <v>74</v>
      </c>
      <c r="AP710" s="1" t="s">
        <v>6020</v>
      </c>
      <c r="AQ710" s="1" t="s">
        <v>74</v>
      </c>
      <c r="AR710" s="1" t="s">
        <v>74</v>
      </c>
      <c r="AS710" s="1" t="s">
        <v>74</v>
      </c>
      <c r="AT710" s="1" t="s">
        <v>205</v>
      </c>
      <c r="AU710" s="1">
        <v>2022.0</v>
      </c>
      <c r="AV710" s="1">
        <v>10.0</v>
      </c>
      <c r="AW710" s="1">
        <v>11.0</v>
      </c>
      <c r="AX710" s="1" t="s">
        <v>74</v>
      </c>
      <c r="AY710" s="1" t="s">
        <v>74</v>
      </c>
      <c r="AZ710" s="1" t="s">
        <v>74</v>
      </c>
      <c r="BA710" s="1" t="s">
        <v>74</v>
      </c>
      <c r="BB710" s="1" t="s">
        <v>74</v>
      </c>
      <c r="BC710" s="1" t="s">
        <v>74</v>
      </c>
      <c r="BD710" s="1">
        <v>2296.0</v>
      </c>
      <c r="BE710" s="1" t="s">
        <v>6021</v>
      </c>
      <c r="BF710" s="2" t="str">
        <f>HYPERLINK("http://dx.doi.org/10.3390/microorganisms10112296","http://dx.doi.org/10.3390/microorganisms10112296")</f>
        <v>http://dx.doi.org/10.3390/microorganisms10112296</v>
      </c>
      <c r="BG710" s="1" t="s">
        <v>74</v>
      </c>
      <c r="BH710" s="1" t="s">
        <v>74</v>
      </c>
      <c r="BI710" s="1" t="s">
        <v>74</v>
      </c>
      <c r="BJ710" s="1" t="s">
        <v>74</v>
      </c>
      <c r="BK710" s="1" t="s">
        <v>74</v>
      </c>
      <c r="BL710" s="1" t="s">
        <v>74</v>
      </c>
      <c r="BM710" s="1" t="s">
        <v>74</v>
      </c>
      <c r="BN710" s="1">
        <v>3.6422366E7</v>
      </c>
      <c r="BO710" s="1" t="s">
        <v>74</v>
      </c>
      <c r="BP710" s="1" t="s">
        <v>74</v>
      </c>
      <c r="BQ710" s="1" t="s">
        <v>74</v>
      </c>
      <c r="BR710" s="1" t="s">
        <v>74</v>
      </c>
      <c r="BS710" s="1" t="s">
        <v>6022</v>
      </c>
      <c r="BT710" s="1" t="str">
        <f>HYPERLINK("https%3A%2F%2Fwww.webofscience.com%2Fwos%2Fwoscc%2Ffull-record%2FWOS:000895716800001","View Full Record in Web of Science")</f>
        <v>View Full Record in Web of Science</v>
      </c>
    </row>
    <row r="711" ht="12.75" customHeight="1">
      <c r="A711" s="1" t="s">
        <v>72</v>
      </c>
      <c r="B711" s="1" t="s">
        <v>6023</v>
      </c>
      <c r="C711" s="1" t="s">
        <v>74</v>
      </c>
      <c r="D711" s="1" t="s">
        <v>74</v>
      </c>
      <c r="E711" s="1" t="s">
        <v>74</v>
      </c>
      <c r="F711" s="1" t="s">
        <v>6024</v>
      </c>
      <c r="G711" s="1" t="s">
        <v>74</v>
      </c>
      <c r="H711" s="1" t="s">
        <v>74</v>
      </c>
      <c r="I711" s="1" t="s">
        <v>6025</v>
      </c>
      <c r="J711" s="1" t="s">
        <v>2197</v>
      </c>
      <c r="K711" s="1" t="s">
        <v>74</v>
      </c>
      <c r="L711" s="1" t="s">
        <v>74</v>
      </c>
      <c r="M711" s="1" t="s">
        <v>74</v>
      </c>
      <c r="N711" s="1" t="s">
        <v>74</v>
      </c>
      <c r="O711" s="1" t="s">
        <v>74</v>
      </c>
      <c r="P711" s="1" t="s">
        <v>74</v>
      </c>
      <c r="Q711" s="1" t="s">
        <v>74</v>
      </c>
      <c r="R711" s="1" t="s">
        <v>74</v>
      </c>
      <c r="S711" s="1" t="s">
        <v>74</v>
      </c>
      <c r="T711" s="1" t="s">
        <v>74</v>
      </c>
      <c r="U711" s="1" t="s">
        <v>74</v>
      </c>
      <c r="V711" s="1" t="s">
        <v>6026</v>
      </c>
      <c r="W711" s="1" t="s">
        <v>74</v>
      </c>
      <c r="X711" s="1" t="s">
        <v>74</v>
      </c>
      <c r="Y711" s="1" t="s">
        <v>74</v>
      </c>
      <c r="Z711" s="1" t="s">
        <v>74</v>
      </c>
      <c r="AA711" s="1" t="s">
        <v>74</v>
      </c>
      <c r="AB711" s="1" t="s">
        <v>74</v>
      </c>
      <c r="AC711" s="1" t="s">
        <v>74</v>
      </c>
      <c r="AD711" s="1" t="s">
        <v>74</v>
      </c>
      <c r="AE711" s="1" t="s">
        <v>74</v>
      </c>
      <c r="AF711" s="1" t="s">
        <v>74</v>
      </c>
      <c r="AG711" s="1" t="s">
        <v>74</v>
      </c>
      <c r="AH711" s="1" t="s">
        <v>74</v>
      </c>
      <c r="AI711" s="1" t="s">
        <v>74</v>
      </c>
      <c r="AJ711" s="1" t="s">
        <v>74</v>
      </c>
      <c r="AK711" s="1" t="s">
        <v>74</v>
      </c>
      <c r="AL711" s="1" t="s">
        <v>74</v>
      </c>
      <c r="AM711" s="1" t="s">
        <v>74</v>
      </c>
      <c r="AN711" s="1" t="s">
        <v>74</v>
      </c>
      <c r="AO711" s="1" t="s">
        <v>2199</v>
      </c>
      <c r="AP711" s="1" t="s">
        <v>74</v>
      </c>
      <c r="AQ711" s="1" t="s">
        <v>74</v>
      </c>
      <c r="AR711" s="1" t="s">
        <v>74</v>
      </c>
      <c r="AS711" s="1" t="s">
        <v>74</v>
      </c>
      <c r="AT711" s="1" t="s">
        <v>148</v>
      </c>
      <c r="AU711" s="1">
        <v>2022.0</v>
      </c>
      <c r="AV711" s="1">
        <v>51.0</v>
      </c>
      <c r="AW711" s="1" t="s">
        <v>74</v>
      </c>
      <c r="AX711" s="1" t="s">
        <v>74</v>
      </c>
      <c r="AY711" s="1" t="s">
        <v>74</v>
      </c>
      <c r="AZ711" s="1" t="s">
        <v>74</v>
      </c>
      <c r="BA711" s="1" t="s">
        <v>74</v>
      </c>
      <c r="BB711" s="1" t="s">
        <v>74</v>
      </c>
      <c r="BC711" s="1" t="s">
        <v>74</v>
      </c>
      <c r="BD711" s="1" t="s">
        <v>74</v>
      </c>
      <c r="BE711" s="1" t="s">
        <v>74</v>
      </c>
      <c r="BF711" s="1" t="s">
        <v>74</v>
      </c>
      <c r="BG711" s="1" t="s">
        <v>74</v>
      </c>
      <c r="BH711" s="1" t="s">
        <v>74</v>
      </c>
      <c r="BI711" s="1" t="s">
        <v>74</v>
      </c>
      <c r="BJ711" s="1" t="s">
        <v>74</v>
      </c>
      <c r="BK711" s="1" t="s">
        <v>74</v>
      </c>
      <c r="BL711" s="1" t="s">
        <v>74</v>
      </c>
      <c r="BM711" s="1" t="s">
        <v>74</v>
      </c>
      <c r="BN711" s="1" t="s">
        <v>74</v>
      </c>
      <c r="BO711" s="1" t="s">
        <v>74</v>
      </c>
      <c r="BP711" s="1" t="s">
        <v>74</v>
      </c>
      <c r="BQ711" s="1" t="s">
        <v>74</v>
      </c>
      <c r="BR711" s="1" t="s">
        <v>74</v>
      </c>
      <c r="BS711" s="1" t="s">
        <v>6027</v>
      </c>
      <c r="BT711" s="1" t="str">
        <f>HYPERLINK("https%3A%2F%2Fwww.webofscience.com%2Fwos%2Fwoscc%2Ffull-record%2FWOS:000798561100009","View Full Record in Web of Science")</f>
        <v>View Full Record in Web of Science</v>
      </c>
    </row>
    <row r="712" ht="12.75" customHeight="1">
      <c r="A712" s="1" t="s">
        <v>72</v>
      </c>
      <c r="B712" s="1" t="s">
        <v>6028</v>
      </c>
      <c r="C712" s="1" t="s">
        <v>74</v>
      </c>
      <c r="D712" s="1" t="s">
        <v>74</v>
      </c>
      <c r="E712" s="1" t="s">
        <v>74</v>
      </c>
      <c r="F712" s="1" t="s">
        <v>6029</v>
      </c>
      <c r="G712" s="1" t="s">
        <v>74</v>
      </c>
      <c r="H712" s="1" t="s">
        <v>74</v>
      </c>
      <c r="I712" s="1" t="s">
        <v>6030</v>
      </c>
      <c r="J712" s="1" t="s">
        <v>6031</v>
      </c>
      <c r="K712" s="1" t="s">
        <v>74</v>
      </c>
      <c r="L712" s="1" t="s">
        <v>74</v>
      </c>
      <c r="M712" s="1" t="s">
        <v>74</v>
      </c>
      <c r="N712" s="1" t="s">
        <v>74</v>
      </c>
      <c r="O712" s="1" t="s">
        <v>74</v>
      </c>
      <c r="P712" s="1" t="s">
        <v>74</v>
      </c>
      <c r="Q712" s="1" t="s">
        <v>74</v>
      </c>
      <c r="R712" s="1" t="s">
        <v>74</v>
      </c>
      <c r="S712" s="1" t="s">
        <v>74</v>
      </c>
      <c r="T712" s="1" t="s">
        <v>74</v>
      </c>
      <c r="U712" s="1" t="s">
        <v>74</v>
      </c>
      <c r="V712" s="1" t="s">
        <v>6032</v>
      </c>
      <c r="W712" s="1" t="s">
        <v>74</v>
      </c>
      <c r="X712" s="1" t="s">
        <v>74</v>
      </c>
      <c r="Y712" s="1" t="s">
        <v>74</v>
      </c>
      <c r="Z712" s="1" t="s">
        <v>74</v>
      </c>
      <c r="AA712" s="1" t="s">
        <v>74</v>
      </c>
      <c r="AB712" s="1" t="s">
        <v>6033</v>
      </c>
      <c r="AC712" s="1" t="s">
        <v>74</v>
      </c>
      <c r="AD712" s="1" t="s">
        <v>74</v>
      </c>
      <c r="AE712" s="1" t="s">
        <v>74</v>
      </c>
      <c r="AF712" s="1" t="s">
        <v>74</v>
      </c>
      <c r="AG712" s="1" t="s">
        <v>74</v>
      </c>
      <c r="AH712" s="1" t="s">
        <v>74</v>
      </c>
      <c r="AI712" s="1" t="s">
        <v>74</v>
      </c>
      <c r="AJ712" s="1" t="s">
        <v>74</v>
      </c>
      <c r="AK712" s="1" t="s">
        <v>74</v>
      </c>
      <c r="AL712" s="1" t="s">
        <v>74</v>
      </c>
      <c r="AM712" s="1" t="s">
        <v>74</v>
      </c>
      <c r="AN712" s="1" t="s">
        <v>74</v>
      </c>
      <c r="AO712" s="1" t="s">
        <v>74</v>
      </c>
      <c r="AP712" s="1" t="s">
        <v>6034</v>
      </c>
      <c r="AQ712" s="1" t="s">
        <v>74</v>
      </c>
      <c r="AR712" s="1" t="s">
        <v>74</v>
      </c>
      <c r="AS712" s="1" t="s">
        <v>74</v>
      </c>
      <c r="AT712" s="1" t="s">
        <v>288</v>
      </c>
      <c r="AU712" s="1">
        <v>2022.0</v>
      </c>
      <c r="AV712" s="1">
        <v>8.0</v>
      </c>
      <c r="AW712" s="1">
        <v>2.0</v>
      </c>
      <c r="AX712" s="1" t="s">
        <v>74</v>
      </c>
      <c r="AY712" s="1" t="s">
        <v>74</v>
      </c>
      <c r="AZ712" s="1" t="s">
        <v>74</v>
      </c>
      <c r="BA712" s="1" t="s">
        <v>74</v>
      </c>
      <c r="BB712" s="1" t="s">
        <v>74</v>
      </c>
      <c r="BC712" s="1" t="s">
        <v>74</v>
      </c>
      <c r="BD712" s="1">
        <v>197.0</v>
      </c>
      <c r="BE712" s="1" t="s">
        <v>6035</v>
      </c>
      <c r="BF712" s="2" t="str">
        <f>HYPERLINK("http://dx.doi.org/10.3390/jof8020197","http://dx.doi.org/10.3390/jof8020197")</f>
        <v>http://dx.doi.org/10.3390/jof8020197</v>
      </c>
      <c r="BG712" s="1" t="s">
        <v>74</v>
      </c>
      <c r="BH712" s="1" t="s">
        <v>74</v>
      </c>
      <c r="BI712" s="1" t="s">
        <v>74</v>
      </c>
      <c r="BJ712" s="1" t="s">
        <v>74</v>
      </c>
      <c r="BK712" s="1" t="s">
        <v>74</v>
      </c>
      <c r="BL712" s="1" t="s">
        <v>74</v>
      </c>
      <c r="BM712" s="1" t="s">
        <v>74</v>
      </c>
      <c r="BN712" s="1">
        <v>3.5205951E7</v>
      </c>
      <c r="BO712" s="1" t="s">
        <v>74</v>
      </c>
      <c r="BP712" s="1" t="s">
        <v>74</v>
      </c>
      <c r="BQ712" s="1" t="s">
        <v>74</v>
      </c>
      <c r="BR712" s="1" t="s">
        <v>74</v>
      </c>
      <c r="BS712" s="1" t="s">
        <v>6036</v>
      </c>
      <c r="BT712" s="1" t="str">
        <f>HYPERLINK("https%3A%2F%2Fwww.webofscience.com%2Fwos%2Fwoscc%2Ffull-record%2FWOS:000763095400001","View Full Record in Web of Science")</f>
        <v>View Full Record in Web of Science</v>
      </c>
    </row>
    <row r="713" ht="12.75" customHeight="1">
      <c r="A713" s="1" t="s">
        <v>72</v>
      </c>
      <c r="B713" s="1" t="s">
        <v>6037</v>
      </c>
      <c r="C713" s="1" t="s">
        <v>74</v>
      </c>
      <c r="D713" s="1" t="s">
        <v>74</v>
      </c>
      <c r="E713" s="1" t="s">
        <v>74</v>
      </c>
      <c r="F713" s="1" t="s">
        <v>6038</v>
      </c>
      <c r="G713" s="1" t="s">
        <v>74</v>
      </c>
      <c r="H713" s="1" t="s">
        <v>74</v>
      </c>
      <c r="I713" s="1" t="s">
        <v>6039</v>
      </c>
      <c r="J713" s="1" t="s">
        <v>2912</v>
      </c>
      <c r="K713" s="1" t="s">
        <v>74</v>
      </c>
      <c r="L713" s="1" t="s">
        <v>74</v>
      </c>
      <c r="M713" s="1" t="s">
        <v>74</v>
      </c>
      <c r="N713" s="1" t="s">
        <v>74</v>
      </c>
      <c r="O713" s="1" t="s">
        <v>74</v>
      </c>
      <c r="P713" s="1" t="s">
        <v>74</v>
      </c>
      <c r="Q713" s="1" t="s">
        <v>74</v>
      </c>
      <c r="R713" s="1" t="s">
        <v>74</v>
      </c>
      <c r="S713" s="1" t="s">
        <v>74</v>
      </c>
      <c r="T713" s="1" t="s">
        <v>74</v>
      </c>
      <c r="U713" s="1" t="s">
        <v>74</v>
      </c>
      <c r="V713" s="1" t="s">
        <v>6040</v>
      </c>
      <c r="W713" s="1" t="s">
        <v>74</v>
      </c>
      <c r="X713" s="1" t="s">
        <v>74</v>
      </c>
      <c r="Y713" s="1" t="s">
        <v>74</v>
      </c>
      <c r="Z713" s="1" t="s">
        <v>74</v>
      </c>
      <c r="AA713" s="1" t="s">
        <v>74</v>
      </c>
      <c r="AB713" s="1" t="s">
        <v>74</v>
      </c>
      <c r="AC713" s="1" t="s">
        <v>74</v>
      </c>
      <c r="AD713" s="1" t="s">
        <v>74</v>
      </c>
      <c r="AE713" s="1" t="s">
        <v>74</v>
      </c>
      <c r="AF713" s="1" t="s">
        <v>74</v>
      </c>
      <c r="AG713" s="1" t="s">
        <v>74</v>
      </c>
      <c r="AH713" s="1" t="s">
        <v>74</v>
      </c>
      <c r="AI713" s="1" t="s">
        <v>74</v>
      </c>
      <c r="AJ713" s="1" t="s">
        <v>74</v>
      </c>
      <c r="AK713" s="1" t="s">
        <v>74</v>
      </c>
      <c r="AL713" s="1" t="s">
        <v>74</v>
      </c>
      <c r="AM713" s="1" t="s">
        <v>74</v>
      </c>
      <c r="AN713" s="1" t="s">
        <v>74</v>
      </c>
      <c r="AO713" s="1" t="s">
        <v>2914</v>
      </c>
      <c r="AP713" s="1" t="s">
        <v>2915</v>
      </c>
      <c r="AQ713" s="1" t="s">
        <v>74</v>
      </c>
      <c r="AR713" s="1" t="s">
        <v>74</v>
      </c>
      <c r="AS713" s="1" t="s">
        <v>74</v>
      </c>
      <c r="AT713" s="1" t="s">
        <v>74</v>
      </c>
      <c r="AU713" s="1">
        <v>2022.0</v>
      </c>
      <c r="AV713" s="1">
        <v>14.0</v>
      </c>
      <c r="AW713" s="1">
        <v>2.0</v>
      </c>
      <c r="AX713" s="1" t="s">
        <v>74</v>
      </c>
      <c r="AY713" s="1" t="s">
        <v>74</v>
      </c>
      <c r="AZ713" s="1" t="s">
        <v>74</v>
      </c>
      <c r="BA713" s="1" t="s">
        <v>74</v>
      </c>
      <c r="BB713" s="1">
        <v>8.0</v>
      </c>
      <c r="BC713" s="1">
        <v>30.0</v>
      </c>
      <c r="BD713" s="1" t="s">
        <v>74</v>
      </c>
      <c r="BE713" s="1" t="s">
        <v>74</v>
      </c>
      <c r="BF713" s="1" t="s">
        <v>74</v>
      </c>
      <c r="BG713" s="1" t="s">
        <v>74</v>
      </c>
      <c r="BH713" s="1" t="s">
        <v>74</v>
      </c>
      <c r="BI713" s="1" t="s">
        <v>74</v>
      </c>
      <c r="BJ713" s="1" t="s">
        <v>74</v>
      </c>
      <c r="BK713" s="1" t="s">
        <v>74</v>
      </c>
      <c r="BL713" s="1" t="s">
        <v>74</v>
      </c>
      <c r="BM713" s="1" t="s">
        <v>74</v>
      </c>
      <c r="BN713" s="1" t="s">
        <v>74</v>
      </c>
      <c r="BO713" s="1" t="s">
        <v>74</v>
      </c>
      <c r="BP713" s="1" t="s">
        <v>74</v>
      </c>
      <c r="BQ713" s="1" t="s">
        <v>74</v>
      </c>
      <c r="BR713" s="1" t="s">
        <v>74</v>
      </c>
      <c r="BS713" s="1" t="s">
        <v>6041</v>
      </c>
      <c r="BT713" s="1" t="str">
        <f>HYPERLINK("https%3A%2F%2Fwww.webofscience.com%2Fwos%2Fwoscc%2Ffull-record%2FWOS:000935581100002","View Full Record in Web of Science")</f>
        <v>View Full Record in Web of Science</v>
      </c>
    </row>
    <row r="714" ht="12.75" customHeight="1">
      <c r="A714" s="1" t="s">
        <v>72</v>
      </c>
      <c r="B714" s="1" t="s">
        <v>1540</v>
      </c>
      <c r="C714" s="1" t="s">
        <v>74</v>
      </c>
      <c r="D714" s="1" t="s">
        <v>74</v>
      </c>
      <c r="E714" s="1" t="s">
        <v>74</v>
      </c>
      <c r="F714" s="1" t="s">
        <v>6042</v>
      </c>
      <c r="G714" s="1" t="s">
        <v>74</v>
      </c>
      <c r="H714" s="1" t="s">
        <v>74</v>
      </c>
      <c r="I714" s="1" t="s">
        <v>6043</v>
      </c>
      <c r="J714" s="1" t="s">
        <v>6044</v>
      </c>
      <c r="K714" s="1" t="s">
        <v>74</v>
      </c>
      <c r="L714" s="1" t="s">
        <v>74</v>
      </c>
      <c r="M714" s="1" t="s">
        <v>74</v>
      </c>
      <c r="N714" s="1" t="s">
        <v>74</v>
      </c>
      <c r="O714" s="1" t="s">
        <v>74</v>
      </c>
      <c r="P714" s="1" t="s">
        <v>74</v>
      </c>
      <c r="Q714" s="1" t="s">
        <v>74</v>
      </c>
      <c r="R714" s="1" t="s">
        <v>74</v>
      </c>
      <c r="S714" s="1" t="s">
        <v>74</v>
      </c>
      <c r="T714" s="1" t="s">
        <v>74</v>
      </c>
      <c r="U714" s="1" t="s">
        <v>74</v>
      </c>
      <c r="V714" s="1" t="s">
        <v>74</v>
      </c>
      <c r="W714" s="1" t="s">
        <v>74</v>
      </c>
      <c r="X714" s="1" t="s">
        <v>74</v>
      </c>
      <c r="Y714" s="1" t="s">
        <v>74</v>
      </c>
      <c r="Z714" s="1" t="s">
        <v>74</v>
      </c>
      <c r="AA714" s="1" t="s">
        <v>74</v>
      </c>
      <c r="AB714" s="1" t="s">
        <v>74</v>
      </c>
      <c r="AC714" s="1" t="s">
        <v>74</v>
      </c>
      <c r="AD714" s="1" t="s">
        <v>74</v>
      </c>
      <c r="AE714" s="1" t="s">
        <v>74</v>
      </c>
      <c r="AF714" s="1" t="s">
        <v>74</v>
      </c>
      <c r="AG714" s="1" t="s">
        <v>74</v>
      </c>
      <c r="AH714" s="1" t="s">
        <v>74</v>
      </c>
      <c r="AI714" s="1" t="s">
        <v>74</v>
      </c>
      <c r="AJ714" s="1" t="s">
        <v>74</v>
      </c>
      <c r="AK714" s="1" t="s">
        <v>74</v>
      </c>
      <c r="AL714" s="1" t="s">
        <v>74</v>
      </c>
      <c r="AM714" s="1" t="s">
        <v>74</v>
      </c>
      <c r="AN714" s="1" t="s">
        <v>74</v>
      </c>
      <c r="AO714" s="1" t="s">
        <v>6045</v>
      </c>
      <c r="AP714" s="1" t="s">
        <v>6046</v>
      </c>
      <c r="AQ714" s="1" t="s">
        <v>74</v>
      </c>
      <c r="AR714" s="1" t="s">
        <v>74</v>
      </c>
      <c r="AS714" s="1" t="s">
        <v>74</v>
      </c>
      <c r="AT714" s="1" t="s">
        <v>74</v>
      </c>
      <c r="AU714" s="1">
        <v>2022.0</v>
      </c>
      <c r="AV714" s="1">
        <v>195.0</v>
      </c>
      <c r="AW714" s="1" t="s">
        <v>74</v>
      </c>
      <c r="AX714" s="1" t="s">
        <v>74</v>
      </c>
      <c r="AY714" s="1" t="s">
        <v>74</v>
      </c>
      <c r="AZ714" s="1" t="s">
        <v>74</v>
      </c>
      <c r="BA714" s="1" t="s">
        <v>74</v>
      </c>
      <c r="BB714" s="1">
        <v>93.0</v>
      </c>
      <c r="BC714" s="1">
        <v>108.0</v>
      </c>
      <c r="BD714" s="1" t="s">
        <v>74</v>
      </c>
      <c r="BE714" s="1" t="s">
        <v>74</v>
      </c>
      <c r="BF714" s="1" t="s">
        <v>74</v>
      </c>
      <c r="BG714" s="1" t="s">
        <v>74</v>
      </c>
      <c r="BH714" s="1" t="s">
        <v>74</v>
      </c>
      <c r="BI714" s="1" t="s">
        <v>74</v>
      </c>
      <c r="BJ714" s="1" t="s">
        <v>74</v>
      </c>
      <c r="BK714" s="1" t="s">
        <v>74</v>
      </c>
      <c r="BL714" s="1" t="s">
        <v>74</v>
      </c>
      <c r="BM714" s="1" t="s">
        <v>74</v>
      </c>
      <c r="BN714" s="1" t="s">
        <v>74</v>
      </c>
      <c r="BO714" s="1" t="s">
        <v>74</v>
      </c>
      <c r="BP714" s="1" t="s">
        <v>74</v>
      </c>
      <c r="BQ714" s="1" t="s">
        <v>74</v>
      </c>
      <c r="BR714" s="1" t="s">
        <v>74</v>
      </c>
      <c r="BS714" s="1" t="s">
        <v>6047</v>
      </c>
      <c r="BT714" s="1" t="str">
        <f>HYPERLINK("https%3A%2F%2Fwww.webofscience.com%2Fwos%2Fwoscc%2Ffull-record%2FWOS:000891160500007","View Full Record in Web of Science")</f>
        <v>View Full Record in Web of Science</v>
      </c>
    </row>
    <row r="715" ht="12.75" customHeight="1">
      <c r="A715" s="1" t="s">
        <v>72</v>
      </c>
      <c r="B715" s="1" t="s">
        <v>6048</v>
      </c>
      <c r="C715" s="1" t="s">
        <v>74</v>
      </c>
      <c r="D715" s="1" t="s">
        <v>74</v>
      </c>
      <c r="E715" s="1" t="s">
        <v>74</v>
      </c>
      <c r="F715" s="1" t="s">
        <v>6049</v>
      </c>
      <c r="G715" s="1" t="s">
        <v>74</v>
      </c>
      <c r="H715" s="1" t="s">
        <v>74</v>
      </c>
      <c r="I715" s="1" t="s">
        <v>6050</v>
      </c>
      <c r="J715" s="1" t="s">
        <v>6051</v>
      </c>
      <c r="K715" s="1" t="s">
        <v>74</v>
      </c>
      <c r="L715" s="1" t="s">
        <v>74</v>
      </c>
      <c r="M715" s="1" t="s">
        <v>74</v>
      </c>
      <c r="N715" s="1" t="s">
        <v>74</v>
      </c>
      <c r="O715" s="1" t="s">
        <v>74</v>
      </c>
      <c r="P715" s="1" t="s">
        <v>74</v>
      </c>
      <c r="Q715" s="1" t="s">
        <v>74</v>
      </c>
      <c r="R715" s="1" t="s">
        <v>74</v>
      </c>
      <c r="S715" s="1" t="s">
        <v>74</v>
      </c>
      <c r="T715" s="1" t="s">
        <v>74</v>
      </c>
      <c r="U715" s="1" t="s">
        <v>74</v>
      </c>
      <c r="V715" s="1" t="s">
        <v>6052</v>
      </c>
      <c r="W715" s="1" t="s">
        <v>74</v>
      </c>
      <c r="X715" s="1" t="s">
        <v>74</v>
      </c>
      <c r="Y715" s="1" t="s">
        <v>74</v>
      </c>
      <c r="Z715" s="1" t="s">
        <v>74</v>
      </c>
      <c r="AA715" s="1" t="s">
        <v>6053</v>
      </c>
      <c r="AB715" s="1" t="s">
        <v>6054</v>
      </c>
      <c r="AC715" s="1" t="s">
        <v>74</v>
      </c>
      <c r="AD715" s="1" t="s">
        <v>74</v>
      </c>
      <c r="AE715" s="1" t="s">
        <v>74</v>
      </c>
      <c r="AF715" s="1" t="s">
        <v>74</v>
      </c>
      <c r="AG715" s="1" t="s">
        <v>74</v>
      </c>
      <c r="AH715" s="1" t="s">
        <v>74</v>
      </c>
      <c r="AI715" s="1" t="s">
        <v>74</v>
      </c>
      <c r="AJ715" s="1" t="s">
        <v>74</v>
      </c>
      <c r="AK715" s="1" t="s">
        <v>74</v>
      </c>
      <c r="AL715" s="1" t="s">
        <v>74</v>
      </c>
      <c r="AM715" s="1" t="s">
        <v>74</v>
      </c>
      <c r="AN715" s="1" t="s">
        <v>74</v>
      </c>
      <c r="AO715" s="1" t="s">
        <v>6055</v>
      </c>
      <c r="AP715" s="1" t="s">
        <v>74</v>
      </c>
      <c r="AQ715" s="1" t="s">
        <v>74</v>
      </c>
      <c r="AR715" s="1" t="s">
        <v>74</v>
      </c>
      <c r="AS715" s="1" t="s">
        <v>74</v>
      </c>
      <c r="AT715" s="1" t="s">
        <v>74</v>
      </c>
      <c r="AU715" s="1">
        <v>2022.0</v>
      </c>
      <c r="AV715" s="1">
        <v>28.0</v>
      </c>
      <c r="AW715" s="1">
        <v>2.0</v>
      </c>
      <c r="AX715" s="1" t="s">
        <v>74</v>
      </c>
      <c r="AY715" s="1" t="s">
        <v>74</v>
      </c>
      <c r="AZ715" s="1" t="s">
        <v>74</v>
      </c>
      <c r="BA715" s="1" t="s">
        <v>74</v>
      </c>
      <c r="BB715" s="1">
        <v>4.0</v>
      </c>
      <c r="BC715" s="1">
        <v>17.0</v>
      </c>
      <c r="BD715" s="1" t="s">
        <v>74</v>
      </c>
      <c r="BE715" s="1" t="s">
        <v>6056</v>
      </c>
      <c r="BF715" s="2" t="str">
        <f>HYPERLINK("http://dx.doi.org/10.5755/j02.eie.30397","http://dx.doi.org/10.5755/j02.eie.30397")</f>
        <v>http://dx.doi.org/10.5755/j02.eie.30397</v>
      </c>
      <c r="BG715" s="1" t="s">
        <v>74</v>
      </c>
      <c r="BH715" s="1" t="s">
        <v>74</v>
      </c>
      <c r="BI715" s="1" t="s">
        <v>74</v>
      </c>
      <c r="BJ715" s="1" t="s">
        <v>74</v>
      </c>
      <c r="BK715" s="1" t="s">
        <v>74</v>
      </c>
      <c r="BL715" s="1" t="s">
        <v>74</v>
      </c>
      <c r="BM715" s="1" t="s">
        <v>74</v>
      </c>
      <c r="BN715" s="1" t="s">
        <v>74</v>
      </c>
      <c r="BO715" s="1" t="s">
        <v>74</v>
      </c>
      <c r="BP715" s="1" t="s">
        <v>74</v>
      </c>
      <c r="BQ715" s="1" t="s">
        <v>74</v>
      </c>
      <c r="BR715" s="1" t="s">
        <v>74</v>
      </c>
      <c r="BS715" s="1" t="s">
        <v>6057</v>
      </c>
      <c r="BT715" s="1" t="str">
        <f>HYPERLINK("https%3A%2F%2Fwww.webofscience.com%2Fwos%2Fwoscc%2Ffull-record%2FWOS:000838598100001","View Full Record in Web of Science")</f>
        <v>View Full Record in Web of Science</v>
      </c>
    </row>
    <row r="716" ht="12.75" customHeight="1">
      <c r="A716" s="1" t="s">
        <v>72</v>
      </c>
      <c r="B716" s="1" t="s">
        <v>6058</v>
      </c>
      <c r="C716" s="1" t="s">
        <v>74</v>
      </c>
      <c r="D716" s="1" t="s">
        <v>74</v>
      </c>
      <c r="E716" s="1" t="s">
        <v>74</v>
      </c>
      <c r="F716" s="1" t="s">
        <v>6059</v>
      </c>
      <c r="G716" s="1" t="s">
        <v>74</v>
      </c>
      <c r="H716" s="1" t="s">
        <v>74</v>
      </c>
      <c r="I716" s="1" t="s">
        <v>6060</v>
      </c>
      <c r="J716" s="1" t="s">
        <v>6061</v>
      </c>
      <c r="K716" s="1" t="s">
        <v>74</v>
      </c>
      <c r="L716" s="1" t="s">
        <v>74</v>
      </c>
      <c r="M716" s="1" t="s">
        <v>74</v>
      </c>
      <c r="N716" s="1" t="s">
        <v>74</v>
      </c>
      <c r="O716" s="1" t="s">
        <v>74</v>
      </c>
      <c r="P716" s="1" t="s">
        <v>74</v>
      </c>
      <c r="Q716" s="1" t="s">
        <v>74</v>
      </c>
      <c r="R716" s="1" t="s">
        <v>74</v>
      </c>
      <c r="S716" s="1" t="s">
        <v>74</v>
      </c>
      <c r="T716" s="1" t="s">
        <v>74</v>
      </c>
      <c r="U716" s="1" t="s">
        <v>74</v>
      </c>
      <c r="V716" s="1" t="s">
        <v>6062</v>
      </c>
      <c r="W716" s="1" t="s">
        <v>74</v>
      </c>
      <c r="X716" s="1" t="s">
        <v>74</v>
      </c>
      <c r="Y716" s="1" t="s">
        <v>74</v>
      </c>
      <c r="Z716" s="1" t="s">
        <v>74</v>
      </c>
      <c r="AA716" s="1" t="s">
        <v>74</v>
      </c>
      <c r="AB716" s="1" t="s">
        <v>74</v>
      </c>
      <c r="AC716" s="1" t="s">
        <v>74</v>
      </c>
      <c r="AD716" s="1" t="s">
        <v>74</v>
      </c>
      <c r="AE716" s="1" t="s">
        <v>74</v>
      </c>
      <c r="AF716" s="1" t="s">
        <v>74</v>
      </c>
      <c r="AG716" s="1" t="s">
        <v>74</v>
      </c>
      <c r="AH716" s="1" t="s">
        <v>74</v>
      </c>
      <c r="AI716" s="1" t="s">
        <v>74</v>
      </c>
      <c r="AJ716" s="1" t="s">
        <v>74</v>
      </c>
      <c r="AK716" s="1" t="s">
        <v>74</v>
      </c>
      <c r="AL716" s="1" t="s">
        <v>74</v>
      </c>
      <c r="AM716" s="1" t="s">
        <v>74</v>
      </c>
      <c r="AN716" s="1" t="s">
        <v>74</v>
      </c>
      <c r="AO716" s="1" t="s">
        <v>6063</v>
      </c>
      <c r="AP716" s="1" t="s">
        <v>6064</v>
      </c>
      <c r="AQ716" s="1" t="s">
        <v>74</v>
      </c>
      <c r="AR716" s="1" t="s">
        <v>74</v>
      </c>
      <c r="AS716" s="1" t="s">
        <v>74</v>
      </c>
      <c r="AT716" s="1" t="s">
        <v>88</v>
      </c>
      <c r="AU716" s="1">
        <v>2021.0</v>
      </c>
      <c r="AV716" s="1">
        <v>7.0</v>
      </c>
      <c r="AW716" s="1" t="s">
        <v>74</v>
      </c>
      <c r="AX716" s="1" t="s">
        <v>74</v>
      </c>
      <c r="AY716" s="1" t="s">
        <v>74</v>
      </c>
      <c r="AZ716" s="1" t="s">
        <v>564</v>
      </c>
      <c r="BA716" s="1" t="s">
        <v>74</v>
      </c>
      <c r="BB716" s="1" t="s">
        <v>74</v>
      </c>
      <c r="BC716" s="1" t="s">
        <v>74</v>
      </c>
      <c r="BD716" s="1" t="s">
        <v>6065</v>
      </c>
      <c r="BE716" s="1" t="s">
        <v>6066</v>
      </c>
      <c r="BF716" s="2" t="str">
        <f>HYPERLINK("http://dx.doi.org/10.29051/el.v7iesp.6.15423","http://dx.doi.org/10.29051/el.v7iesp.6.15423")</f>
        <v>http://dx.doi.org/10.29051/el.v7iesp.6.15423</v>
      </c>
      <c r="BG716" s="1" t="s">
        <v>74</v>
      </c>
      <c r="BH716" s="1" t="s">
        <v>74</v>
      </c>
      <c r="BI716" s="1" t="s">
        <v>74</v>
      </c>
      <c r="BJ716" s="1" t="s">
        <v>74</v>
      </c>
      <c r="BK716" s="1" t="s">
        <v>74</v>
      </c>
      <c r="BL716" s="1" t="s">
        <v>74</v>
      </c>
      <c r="BM716" s="1" t="s">
        <v>74</v>
      </c>
      <c r="BN716" s="1" t="s">
        <v>74</v>
      </c>
      <c r="BO716" s="1" t="s">
        <v>74</v>
      </c>
      <c r="BP716" s="1" t="s">
        <v>74</v>
      </c>
      <c r="BQ716" s="1" t="s">
        <v>74</v>
      </c>
      <c r="BR716" s="1" t="s">
        <v>74</v>
      </c>
      <c r="BS716" s="1" t="s">
        <v>6067</v>
      </c>
      <c r="BT716" s="1" t="str">
        <f>HYPERLINK("https%3A%2F%2Fwww.webofscience.com%2Fwos%2Fwoscc%2Ffull-record%2FWOS:000807685200013","View Full Record in Web of Science")</f>
        <v>View Full Record in Web of Science</v>
      </c>
    </row>
    <row r="717" ht="12.75" customHeight="1">
      <c r="A717" s="1" t="s">
        <v>72</v>
      </c>
      <c r="B717" s="1" t="s">
        <v>6068</v>
      </c>
      <c r="C717" s="1" t="s">
        <v>74</v>
      </c>
      <c r="D717" s="1" t="s">
        <v>74</v>
      </c>
      <c r="E717" s="1" t="s">
        <v>74</v>
      </c>
      <c r="F717" s="1" t="s">
        <v>6069</v>
      </c>
      <c r="G717" s="1" t="s">
        <v>74</v>
      </c>
      <c r="H717" s="1" t="s">
        <v>74</v>
      </c>
      <c r="I717" s="1" t="s">
        <v>6070</v>
      </c>
      <c r="J717" s="1" t="s">
        <v>6071</v>
      </c>
      <c r="K717" s="1" t="s">
        <v>74</v>
      </c>
      <c r="L717" s="1" t="s">
        <v>74</v>
      </c>
      <c r="M717" s="1" t="s">
        <v>74</v>
      </c>
      <c r="N717" s="1" t="s">
        <v>74</v>
      </c>
      <c r="O717" s="1" t="s">
        <v>74</v>
      </c>
      <c r="P717" s="1" t="s">
        <v>74</v>
      </c>
      <c r="Q717" s="1" t="s">
        <v>74</v>
      </c>
      <c r="R717" s="1" t="s">
        <v>74</v>
      </c>
      <c r="S717" s="1" t="s">
        <v>74</v>
      </c>
      <c r="T717" s="1" t="s">
        <v>74</v>
      </c>
      <c r="U717" s="1" t="s">
        <v>74</v>
      </c>
      <c r="V717" s="1" t="s">
        <v>6072</v>
      </c>
      <c r="W717" s="1" t="s">
        <v>74</v>
      </c>
      <c r="X717" s="1" t="s">
        <v>74</v>
      </c>
      <c r="Y717" s="1" t="s">
        <v>74</v>
      </c>
      <c r="Z717" s="1" t="s">
        <v>74</v>
      </c>
      <c r="AA717" s="1" t="s">
        <v>6073</v>
      </c>
      <c r="AB717" s="1" t="s">
        <v>74</v>
      </c>
      <c r="AC717" s="1" t="s">
        <v>74</v>
      </c>
      <c r="AD717" s="1" t="s">
        <v>74</v>
      </c>
      <c r="AE717" s="1" t="s">
        <v>74</v>
      </c>
      <c r="AF717" s="1" t="s">
        <v>74</v>
      </c>
      <c r="AG717" s="1" t="s">
        <v>74</v>
      </c>
      <c r="AH717" s="1" t="s">
        <v>74</v>
      </c>
      <c r="AI717" s="1" t="s">
        <v>74</v>
      </c>
      <c r="AJ717" s="1" t="s">
        <v>74</v>
      </c>
      <c r="AK717" s="1" t="s">
        <v>74</v>
      </c>
      <c r="AL717" s="1" t="s">
        <v>74</v>
      </c>
      <c r="AM717" s="1" t="s">
        <v>74</v>
      </c>
      <c r="AN717" s="1" t="s">
        <v>74</v>
      </c>
      <c r="AO717" s="1" t="s">
        <v>6074</v>
      </c>
      <c r="AP717" s="1" t="s">
        <v>74</v>
      </c>
      <c r="AQ717" s="1" t="s">
        <v>74</v>
      </c>
      <c r="AR717" s="1" t="s">
        <v>74</v>
      </c>
      <c r="AS717" s="1" t="s">
        <v>74</v>
      </c>
      <c r="AT717" s="1" t="s">
        <v>6075</v>
      </c>
      <c r="AU717" s="1">
        <v>2021.0</v>
      </c>
      <c r="AV717" s="1">
        <v>13.0</v>
      </c>
      <c r="AW717" s="1" t="s">
        <v>74</v>
      </c>
      <c r="AX717" s="1" t="s">
        <v>74</v>
      </c>
      <c r="AY717" s="1" t="s">
        <v>74</v>
      </c>
      <c r="AZ717" s="1" t="s">
        <v>74</v>
      </c>
      <c r="BA717" s="1" t="s">
        <v>74</v>
      </c>
      <c r="BB717" s="1" t="s">
        <v>74</v>
      </c>
      <c r="BC717" s="1" t="s">
        <v>74</v>
      </c>
      <c r="BD717" s="1">
        <v>782617.0</v>
      </c>
      <c r="BE717" s="1" t="s">
        <v>6076</v>
      </c>
      <c r="BF717" s="2" t="str">
        <f>HYPERLINK("http://dx.doi.org/10.3389/fnagi.2021.782617","http://dx.doi.org/10.3389/fnagi.2021.782617")</f>
        <v>http://dx.doi.org/10.3389/fnagi.2021.782617</v>
      </c>
      <c r="BG717" s="1" t="s">
        <v>74</v>
      </c>
      <c r="BH717" s="1" t="s">
        <v>74</v>
      </c>
      <c r="BI717" s="1" t="s">
        <v>74</v>
      </c>
      <c r="BJ717" s="1" t="s">
        <v>74</v>
      </c>
      <c r="BK717" s="1" t="s">
        <v>74</v>
      </c>
      <c r="BL717" s="1" t="s">
        <v>74</v>
      </c>
      <c r="BM717" s="1" t="s">
        <v>74</v>
      </c>
      <c r="BN717" s="1">
        <v>3.4867305E7</v>
      </c>
      <c r="BO717" s="1" t="s">
        <v>74</v>
      </c>
      <c r="BP717" s="1" t="s">
        <v>74</v>
      </c>
      <c r="BQ717" s="1" t="s">
        <v>74</v>
      </c>
      <c r="BR717" s="1" t="s">
        <v>74</v>
      </c>
      <c r="BS717" s="1" t="s">
        <v>6077</v>
      </c>
      <c r="BT717" s="1" t="str">
        <f>HYPERLINK("https%3A%2F%2Fwww.webofscience.com%2Fwos%2Fwoscc%2Ffull-record%2FWOS:000727192200001","View Full Record in Web of Science")</f>
        <v>View Full Record in Web of Science</v>
      </c>
    </row>
    <row r="718" ht="12.75" customHeight="1">
      <c r="A718" s="1" t="s">
        <v>72</v>
      </c>
      <c r="B718" s="1" t="s">
        <v>6078</v>
      </c>
      <c r="C718" s="1" t="s">
        <v>74</v>
      </c>
      <c r="D718" s="1" t="s">
        <v>74</v>
      </c>
      <c r="E718" s="1" t="s">
        <v>74</v>
      </c>
      <c r="F718" s="1" t="s">
        <v>6079</v>
      </c>
      <c r="G718" s="1" t="s">
        <v>74</v>
      </c>
      <c r="H718" s="1" t="s">
        <v>74</v>
      </c>
      <c r="I718" s="1" t="s">
        <v>6080</v>
      </c>
      <c r="J718" s="1" t="s">
        <v>1603</v>
      </c>
      <c r="K718" s="1" t="s">
        <v>74</v>
      </c>
      <c r="L718" s="1" t="s">
        <v>74</v>
      </c>
      <c r="M718" s="1" t="s">
        <v>74</v>
      </c>
      <c r="N718" s="1" t="s">
        <v>74</v>
      </c>
      <c r="O718" s="1" t="s">
        <v>74</v>
      </c>
      <c r="P718" s="1" t="s">
        <v>74</v>
      </c>
      <c r="Q718" s="1" t="s">
        <v>74</v>
      </c>
      <c r="R718" s="1" t="s">
        <v>74</v>
      </c>
      <c r="S718" s="1" t="s">
        <v>74</v>
      </c>
      <c r="T718" s="1" t="s">
        <v>74</v>
      </c>
      <c r="U718" s="1" t="s">
        <v>74</v>
      </c>
      <c r="V718" s="1" t="s">
        <v>6081</v>
      </c>
      <c r="W718" s="1" t="s">
        <v>74</v>
      </c>
      <c r="X718" s="1" t="s">
        <v>74</v>
      </c>
      <c r="Y718" s="1" t="s">
        <v>74</v>
      </c>
      <c r="Z718" s="1" t="s">
        <v>74</v>
      </c>
      <c r="AA718" s="1" t="s">
        <v>6082</v>
      </c>
      <c r="AB718" s="1" t="s">
        <v>6083</v>
      </c>
      <c r="AC718" s="1" t="s">
        <v>74</v>
      </c>
      <c r="AD718" s="1" t="s">
        <v>74</v>
      </c>
      <c r="AE718" s="1" t="s">
        <v>74</v>
      </c>
      <c r="AF718" s="1" t="s">
        <v>74</v>
      </c>
      <c r="AG718" s="1" t="s">
        <v>74</v>
      </c>
      <c r="AH718" s="1" t="s">
        <v>74</v>
      </c>
      <c r="AI718" s="1" t="s">
        <v>74</v>
      </c>
      <c r="AJ718" s="1" t="s">
        <v>74</v>
      </c>
      <c r="AK718" s="1" t="s">
        <v>74</v>
      </c>
      <c r="AL718" s="1" t="s">
        <v>74</v>
      </c>
      <c r="AM718" s="1" t="s">
        <v>74</v>
      </c>
      <c r="AN718" s="1" t="s">
        <v>74</v>
      </c>
      <c r="AO718" s="1" t="s">
        <v>1605</v>
      </c>
      <c r="AP718" s="1" t="s">
        <v>74</v>
      </c>
      <c r="AQ718" s="1" t="s">
        <v>74</v>
      </c>
      <c r="AR718" s="1" t="s">
        <v>74</v>
      </c>
      <c r="AS718" s="1" t="s">
        <v>74</v>
      </c>
      <c r="AT718" s="1" t="s">
        <v>1176</v>
      </c>
      <c r="AU718" s="1">
        <v>2021.0</v>
      </c>
      <c r="AV718" s="1">
        <v>19.0</v>
      </c>
      <c r="AW718" s="1">
        <v>8.0</v>
      </c>
      <c r="AX718" s="1" t="s">
        <v>74</v>
      </c>
      <c r="AY718" s="1" t="s">
        <v>74</v>
      </c>
      <c r="AZ718" s="1" t="s">
        <v>74</v>
      </c>
      <c r="BA718" s="1" t="s">
        <v>74</v>
      </c>
      <c r="BB718" s="1">
        <v>1391.0</v>
      </c>
      <c r="BC718" s="1">
        <v>1399.0</v>
      </c>
      <c r="BD718" s="1" t="s">
        <v>74</v>
      </c>
      <c r="BE718" s="1" t="s">
        <v>6084</v>
      </c>
      <c r="BF718" s="2" t="str">
        <f>HYPERLINK("http://dx.doi.org/10.1109/TLA.2021.9475870","http://dx.doi.org/10.1109/TLA.2021.9475870")</f>
        <v>http://dx.doi.org/10.1109/TLA.2021.9475870</v>
      </c>
      <c r="BG718" s="1" t="s">
        <v>74</v>
      </c>
      <c r="BH718" s="1" t="s">
        <v>74</v>
      </c>
      <c r="BI718" s="1" t="s">
        <v>74</v>
      </c>
      <c r="BJ718" s="1" t="s">
        <v>74</v>
      </c>
      <c r="BK718" s="1" t="s">
        <v>74</v>
      </c>
      <c r="BL718" s="1" t="s">
        <v>74</v>
      </c>
      <c r="BM718" s="1" t="s">
        <v>74</v>
      </c>
      <c r="BN718" s="1" t="s">
        <v>74</v>
      </c>
      <c r="BO718" s="1" t="s">
        <v>74</v>
      </c>
      <c r="BP718" s="1" t="s">
        <v>74</v>
      </c>
      <c r="BQ718" s="1" t="s">
        <v>74</v>
      </c>
      <c r="BR718" s="1" t="s">
        <v>74</v>
      </c>
      <c r="BS718" s="1" t="s">
        <v>6085</v>
      </c>
      <c r="BT718" s="1" t="str">
        <f>HYPERLINK("https%3A%2F%2Fwww.webofscience.com%2Fwos%2Fwoscc%2Ffull-record%2FWOS:000670590800016","View Full Record in Web of Science")</f>
        <v>View Full Record in Web of Science</v>
      </c>
    </row>
    <row r="719" ht="12.75" customHeight="1">
      <c r="A719" s="1" t="s">
        <v>72</v>
      </c>
      <c r="B719" s="1" t="s">
        <v>6086</v>
      </c>
      <c r="C719" s="1" t="s">
        <v>74</v>
      </c>
      <c r="D719" s="1" t="s">
        <v>74</v>
      </c>
      <c r="E719" s="1" t="s">
        <v>74</v>
      </c>
      <c r="F719" s="1" t="s">
        <v>6087</v>
      </c>
      <c r="G719" s="1" t="s">
        <v>74</v>
      </c>
      <c r="H719" s="1" t="s">
        <v>74</v>
      </c>
      <c r="I719" s="1" t="s">
        <v>6088</v>
      </c>
      <c r="J719" s="1" t="s">
        <v>6089</v>
      </c>
      <c r="K719" s="1" t="s">
        <v>74</v>
      </c>
      <c r="L719" s="1" t="s">
        <v>74</v>
      </c>
      <c r="M719" s="1" t="s">
        <v>74</v>
      </c>
      <c r="N719" s="1" t="s">
        <v>74</v>
      </c>
      <c r="O719" s="1" t="s">
        <v>74</v>
      </c>
      <c r="P719" s="1" t="s">
        <v>74</v>
      </c>
      <c r="Q719" s="1" t="s">
        <v>74</v>
      </c>
      <c r="R719" s="1" t="s">
        <v>74</v>
      </c>
      <c r="S719" s="1" t="s">
        <v>74</v>
      </c>
      <c r="T719" s="1" t="s">
        <v>74</v>
      </c>
      <c r="U719" s="1" t="s">
        <v>74</v>
      </c>
      <c r="V719" s="1" t="s">
        <v>6090</v>
      </c>
      <c r="W719" s="1" t="s">
        <v>74</v>
      </c>
      <c r="X719" s="1" t="s">
        <v>74</v>
      </c>
      <c r="Y719" s="1" t="s">
        <v>74</v>
      </c>
      <c r="Z719" s="1" t="s">
        <v>74</v>
      </c>
      <c r="AA719" s="1" t="s">
        <v>74</v>
      </c>
      <c r="AB719" s="1" t="s">
        <v>74</v>
      </c>
      <c r="AC719" s="1" t="s">
        <v>74</v>
      </c>
      <c r="AD719" s="1" t="s">
        <v>74</v>
      </c>
      <c r="AE719" s="1" t="s">
        <v>74</v>
      </c>
      <c r="AF719" s="1" t="s">
        <v>74</v>
      </c>
      <c r="AG719" s="1" t="s">
        <v>74</v>
      </c>
      <c r="AH719" s="1" t="s">
        <v>74</v>
      </c>
      <c r="AI719" s="1" t="s">
        <v>74</v>
      </c>
      <c r="AJ719" s="1" t="s">
        <v>74</v>
      </c>
      <c r="AK719" s="1" t="s">
        <v>74</v>
      </c>
      <c r="AL719" s="1" t="s">
        <v>74</v>
      </c>
      <c r="AM719" s="1" t="s">
        <v>74</v>
      </c>
      <c r="AN719" s="1" t="s">
        <v>74</v>
      </c>
      <c r="AO719" s="1" t="s">
        <v>6091</v>
      </c>
      <c r="AP719" s="1" t="s">
        <v>6092</v>
      </c>
      <c r="AQ719" s="1" t="s">
        <v>74</v>
      </c>
      <c r="AR719" s="1" t="s">
        <v>74</v>
      </c>
      <c r="AS719" s="1" t="s">
        <v>74</v>
      </c>
      <c r="AT719" s="1" t="s">
        <v>1493</v>
      </c>
      <c r="AU719" s="1">
        <v>2021.0</v>
      </c>
      <c r="AV719" s="1">
        <v>14.0</v>
      </c>
      <c r="AW719" s="1">
        <v>27.0</v>
      </c>
      <c r="AX719" s="1" t="s">
        <v>74</v>
      </c>
      <c r="AY719" s="1" t="s">
        <v>74</v>
      </c>
      <c r="AZ719" s="1" t="s">
        <v>74</v>
      </c>
      <c r="BA719" s="1" t="s">
        <v>74</v>
      </c>
      <c r="BB719" s="1">
        <v>147.0</v>
      </c>
      <c r="BC719" s="1">
        <v>168.0</v>
      </c>
      <c r="BD719" s="1" t="s">
        <v>74</v>
      </c>
      <c r="BE719" s="1" t="s">
        <v>6093</v>
      </c>
      <c r="BF719" s="2" t="str">
        <f>HYPERLINK("http://dx.doi.org/10.15174/rv.v13i27.479","http://dx.doi.org/10.15174/rv.v13i27.479")</f>
        <v>http://dx.doi.org/10.15174/rv.v13i27.479</v>
      </c>
      <c r="BG719" s="1" t="s">
        <v>74</v>
      </c>
      <c r="BH719" s="1" t="s">
        <v>74</v>
      </c>
      <c r="BI719" s="1" t="s">
        <v>74</v>
      </c>
      <c r="BJ719" s="1" t="s">
        <v>74</v>
      </c>
      <c r="BK719" s="1" t="s">
        <v>74</v>
      </c>
      <c r="BL719" s="1" t="s">
        <v>74</v>
      </c>
      <c r="BM719" s="1" t="s">
        <v>74</v>
      </c>
      <c r="BN719" s="1" t="s">
        <v>74</v>
      </c>
      <c r="BO719" s="1" t="s">
        <v>74</v>
      </c>
      <c r="BP719" s="1" t="s">
        <v>74</v>
      </c>
      <c r="BQ719" s="1" t="s">
        <v>74</v>
      </c>
      <c r="BR719" s="1" t="s">
        <v>74</v>
      </c>
      <c r="BS719" s="1" t="s">
        <v>6094</v>
      </c>
      <c r="BT719" s="1" t="str">
        <f>HYPERLINK("https%3A%2F%2Fwww.webofscience.com%2Fwos%2Fwoscc%2Ffull-record%2FWOS:000644371700006","View Full Record in Web of Science")</f>
        <v>View Full Record in Web of Science</v>
      </c>
    </row>
    <row r="720" ht="12.75" customHeight="1">
      <c r="A720" s="1" t="s">
        <v>454</v>
      </c>
      <c r="B720" s="1" t="s">
        <v>6095</v>
      </c>
      <c r="C720" s="1" t="s">
        <v>74</v>
      </c>
      <c r="D720" s="1" t="s">
        <v>3631</v>
      </c>
      <c r="E720" s="1" t="s">
        <v>74</v>
      </c>
      <c r="F720" s="1" t="s">
        <v>6096</v>
      </c>
      <c r="G720" s="1" t="s">
        <v>74</v>
      </c>
      <c r="H720" s="1" t="s">
        <v>74</v>
      </c>
      <c r="I720" s="1" t="s">
        <v>6097</v>
      </c>
      <c r="J720" s="1" t="s">
        <v>3634</v>
      </c>
      <c r="K720" s="1" t="s">
        <v>74</v>
      </c>
      <c r="L720" s="1" t="s">
        <v>74</v>
      </c>
      <c r="M720" s="1" t="s">
        <v>74</v>
      </c>
      <c r="N720" s="1" t="s">
        <v>74</v>
      </c>
      <c r="O720" s="1" t="s">
        <v>74</v>
      </c>
      <c r="P720" s="1" t="s">
        <v>74</v>
      </c>
      <c r="Q720" s="1" t="s">
        <v>74</v>
      </c>
      <c r="R720" s="1" t="s">
        <v>74</v>
      </c>
      <c r="S720" s="1" t="s">
        <v>74</v>
      </c>
      <c r="T720" s="1" t="s">
        <v>74</v>
      </c>
      <c r="U720" s="1" t="s">
        <v>74</v>
      </c>
      <c r="V720" s="1" t="s">
        <v>74</v>
      </c>
      <c r="W720" s="1" t="s">
        <v>74</v>
      </c>
      <c r="X720" s="1" t="s">
        <v>74</v>
      </c>
      <c r="Y720" s="1" t="s">
        <v>74</v>
      </c>
      <c r="Z720" s="1" t="s">
        <v>74</v>
      </c>
      <c r="AA720" s="1" t="s">
        <v>74</v>
      </c>
      <c r="AB720" s="1" t="s">
        <v>74</v>
      </c>
      <c r="AC720" s="1" t="s">
        <v>74</v>
      </c>
      <c r="AD720" s="1" t="s">
        <v>74</v>
      </c>
      <c r="AE720" s="1" t="s">
        <v>74</v>
      </c>
      <c r="AF720" s="1" t="s">
        <v>74</v>
      </c>
      <c r="AG720" s="1" t="s">
        <v>74</v>
      </c>
      <c r="AH720" s="1" t="s">
        <v>74</v>
      </c>
      <c r="AI720" s="1" t="s">
        <v>74</v>
      </c>
      <c r="AJ720" s="1" t="s">
        <v>74</v>
      </c>
      <c r="AK720" s="1" t="s">
        <v>74</v>
      </c>
      <c r="AL720" s="1" t="s">
        <v>74</v>
      </c>
      <c r="AM720" s="1" t="s">
        <v>74</v>
      </c>
      <c r="AN720" s="1" t="s">
        <v>74</v>
      </c>
      <c r="AO720" s="1" t="s">
        <v>74</v>
      </c>
      <c r="AP720" s="1" t="s">
        <v>74</v>
      </c>
      <c r="AQ720" s="1" t="s">
        <v>3635</v>
      </c>
      <c r="AR720" s="1" t="s">
        <v>74</v>
      </c>
      <c r="AS720" s="1" t="s">
        <v>74</v>
      </c>
      <c r="AT720" s="1" t="s">
        <v>74</v>
      </c>
      <c r="AU720" s="1">
        <v>2021.0</v>
      </c>
      <c r="AV720" s="1" t="s">
        <v>74</v>
      </c>
      <c r="AW720" s="1" t="s">
        <v>74</v>
      </c>
      <c r="AX720" s="1" t="s">
        <v>74</v>
      </c>
      <c r="AY720" s="1" t="s">
        <v>74</v>
      </c>
      <c r="AZ720" s="1" t="s">
        <v>74</v>
      </c>
      <c r="BA720" s="1" t="s">
        <v>74</v>
      </c>
      <c r="BB720" s="1">
        <v>31.0</v>
      </c>
      <c r="BC720" s="1">
        <v>52.0</v>
      </c>
      <c r="BD720" s="1" t="s">
        <v>74</v>
      </c>
      <c r="BE720" s="1" t="s">
        <v>74</v>
      </c>
      <c r="BF720" s="1" t="s">
        <v>74</v>
      </c>
      <c r="BG720" s="1" t="s">
        <v>74</v>
      </c>
      <c r="BH720" s="1" t="s">
        <v>74</v>
      </c>
      <c r="BI720" s="1" t="s">
        <v>74</v>
      </c>
      <c r="BJ720" s="1" t="s">
        <v>74</v>
      </c>
      <c r="BK720" s="1" t="s">
        <v>74</v>
      </c>
      <c r="BL720" s="1" t="s">
        <v>74</v>
      </c>
      <c r="BM720" s="1" t="s">
        <v>74</v>
      </c>
      <c r="BN720" s="1" t="s">
        <v>74</v>
      </c>
      <c r="BO720" s="1" t="s">
        <v>74</v>
      </c>
      <c r="BP720" s="1" t="s">
        <v>74</v>
      </c>
      <c r="BQ720" s="1" t="s">
        <v>74</v>
      </c>
      <c r="BR720" s="1" t="s">
        <v>74</v>
      </c>
      <c r="BS720" s="1" t="s">
        <v>6098</v>
      </c>
      <c r="BT720" s="1" t="str">
        <f>HYPERLINK("https%3A%2F%2Fwww.webofscience.com%2Fwos%2Fwoscc%2Ffull-record%2FWOS:000651158400003","View Full Record in Web of Science")</f>
        <v>View Full Record in Web of Science</v>
      </c>
    </row>
    <row r="721" ht="12.75" customHeight="1">
      <c r="A721" s="1" t="s">
        <v>91</v>
      </c>
      <c r="B721" s="1" t="s">
        <v>6099</v>
      </c>
      <c r="C721" s="1" t="s">
        <v>74</v>
      </c>
      <c r="D721" s="1" t="s">
        <v>74</v>
      </c>
      <c r="E721" s="1" t="s">
        <v>442</v>
      </c>
      <c r="F721" s="1" t="s">
        <v>6100</v>
      </c>
      <c r="G721" s="1" t="s">
        <v>74</v>
      </c>
      <c r="H721" s="1" t="s">
        <v>74</v>
      </c>
      <c r="I721" s="1" t="s">
        <v>6101</v>
      </c>
      <c r="J721" s="1" t="s">
        <v>2874</v>
      </c>
      <c r="K721" s="1" t="s">
        <v>74</v>
      </c>
      <c r="L721" s="1" t="s">
        <v>74</v>
      </c>
      <c r="M721" s="1" t="s">
        <v>74</v>
      </c>
      <c r="N721" s="1" t="s">
        <v>74</v>
      </c>
      <c r="O721" s="1" t="s">
        <v>2875</v>
      </c>
      <c r="P721" s="1" t="s">
        <v>2876</v>
      </c>
      <c r="Q721" s="1" t="s">
        <v>448</v>
      </c>
      <c r="R721" s="1" t="s">
        <v>2877</v>
      </c>
      <c r="S721" s="1" t="s">
        <v>74</v>
      </c>
      <c r="T721" s="1" t="s">
        <v>74</v>
      </c>
      <c r="U721" s="1" t="s">
        <v>74</v>
      </c>
      <c r="V721" s="1" t="s">
        <v>6102</v>
      </c>
      <c r="W721" s="1" t="s">
        <v>74</v>
      </c>
      <c r="X721" s="1" t="s">
        <v>74</v>
      </c>
      <c r="Y721" s="1" t="s">
        <v>74</v>
      </c>
      <c r="Z721" s="1" t="s">
        <v>74</v>
      </c>
      <c r="AA721" s="1" t="s">
        <v>6103</v>
      </c>
      <c r="AB721" s="1" t="s">
        <v>6104</v>
      </c>
      <c r="AC721" s="1" t="s">
        <v>74</v>
      </c>
      <c r="AD721" s="1" t="s">
        <v>74</v>
      </c>
      <c r="AE721" s="1" t="s">
        <v>74</v>
      </c>
      <c r="AF721" s="1" t="s">
        <v>74</v>
      </c>
      <c r="AG721" s="1" t="s">
        <v>74</v>
      </c>
      <c r="AH721" s="1" t="s">
        <v>74</v>
      </c>
      <c r="AI721" s="1" t="s">
        <v>74</v>
      </c>
      <c r="AJ721" s="1" t="s">
        <v>74</v>
      </c>
      <c r="AK721" s="1" t="s">
        <v>74</v>
      </c>
      <c r="AL721" s="1" t="s">
        <v>74</v>
      </c>
      <c r="AM721" s="1" t="s">
        <v>74</v>
      </c>
      <c r="AN721" s="1" t="s">
        <v>74</v>
      </c>
      <c r="AO721" s="1" t="s">
        <v>74</v>
      </c>
      <c r="AP721" s="1" t="s">
        <v>74</v>
      </c>
      <c r="AQ721" s="1" t="s">
        <v>2880</v>
      </c>
      <c r="AR721" s="1" t="s">
        <v>74</v>
      </c>
      <c r="AS721" s="1" t="s">
        <v>74</v>
      </c>
      <c r="AT721" s="1" t="s">
        <v>74</v>
      </c>
      <c r="AU721" s="1">
        <v>2021.0</v>
      </c>
      <c r="AV721" s="1" t="s">
        <v>74</v>
      </c>
      <c r="AW721" s="1" t="s">
        <v>74</v>
      </c>
      <c r="AX721" s="1" t="s">
        <v>74</v>
      </c>
      <c r="AY721" s="1" t="s">
        <v>74</v>
      </c>
      <c r="AZ721" s="1" t="s">
        <v>74</v>
      </c>
      <c r="BA721" s="1" t="s">
        <v>74</v>
      </c>
      <c r="BB721" s="1">
        <v>837.0</v>
      </c>
      <c r="BC721" s="1">
        <v>842.0</v>
      </c>
      <c r="BD721" s="1" t="s">
        <v>74</v>
      </c>
      <c r="BE721" s="1" t="s">
        <v>6105</v>
      </c>
      <c r="BF721" s="2" t="str">
        <f>HYPERLINK("http://dx.doi.org/10.1109/CHILECON54041.2021.9702978","http://dx.doi.org/10.1109/CHILECON54041.2021.9702978")</f>
        <v>http://dx.doi.org/10.1109/CHILECON54041.2021.9702978</v>
      </c>
      <c r="BG721" s="1" t="s">
        <v>74</v>
      </c>
      <c r="BH721" s="1" t="s">
        <v>74</v>
      </c>
      <c r="BI721" s="1" t="s">
        <v>74</v>
      </c>
      <c r="BJ721" s="1" t="s">
        <v>74</v>
      </c>
      <c r="BK721" s="1" t="s">
        <v>74</v>
      </c>
      <c r="BL721" s="1" t="s">
        <v>74</v>
      </c>
      <c r="BM721" s="1" t="s">
        <v>74</v>
      </c>
      <c r="BN721" s="1" t="s">
        <v>74</v>
      </c>
      <c r="BO721" s="1" t="s">
        <v>74</v>
      </c>
      <c r="BP721" s="1" t="s">
        <v>74</v>
      </c>
      <c r="BQ721" s="1" t="s">
        <v>74</v>
      </c>
      <c r="BR721" s="1" t="s">
        <v>74</v>
      </c>
      <c r="BS721" s="1" t="s">
        <v>6106</v>
      </c>
      <c r="BT721" s="1" t="str">
        <f>HYPERLINK("https%3A%2F%2Fwww.webofscience.com%2Fwos%2Fwoscc%2Ffull-record%2FWOS:000788072700138","View Full Record in Web of Science")</f>
        <v>View Full Record in Web of Science</v>
      </c>
    </row>
    <row r="722" ht="12.75" customHeight="1">
      <c r="A722" s="1" t="s">
        <v>72</v>
      </c>
      <c r="B722" s="1" t="s">
        <v>6107</v>
      </c>
      <c r="C722" s="1" t="s">
        <v>74</v>
      </c>
      <c r="D722" s="1" t="s">
        <v>74</v>
      </c>
      <c r="E722" s="1" t="s">
        <v>74</v>
      </c>
      <c r="F722" s="1" t="s">
        <v>6108</v>
      </c>
      <c r="G722" s="1" t="s">
        <v>74</v>
      </c>
      <c r="H722" s="1" t="s">
        <v>74</v>
      </c>
      <c r="I722" s="1" t="s">
        <v>6109</v>
      </c>
      <c r="J722" s="1" t="s">
        <v>6110</v>
      </c>
      <c r="K722" s="1" t="s">
        <v>74</v>
      </c>
      <c r="L722" s="1" t="s">
        <v>74</v>
      </c>
      <c r="M722" s="1" t="s">
        <v>74</v>
      </c>
      <c r="N722" s="1" t="s">
        <v>74</v>
      </c>
      <c r="O722" s="1" t="s">
        <v>74</v>
      </c>
      <c r="P722" s="1" t="s">
        <v>74</v>
      </c>
      <c r="Q722" s="1" t="s">
        <v>74</v>
      </c>
      <c r="R722" s="1" t="s">
        <v>74</v>
      </c>
      <c r="S722" s="1" t="s">
        <v>74</v>
      </c>
      <c r="T722" s="1" t="s">
        <v>74</v>
      </c>
      <c r="U722" s="1" t="s">
        <v>74</v>
      </c>
      <c r="V722" s="1" t="s">
        <v>6111</v>
      </c>
      <c r="W722" s="1" t="s">
        <v>74</v>
      </c>
      <c r="X722" s="1" t="s">
        <v>74</v>
      </c>
      <c r="Y722" s="1" t="s">
        <v>74</v>
      </c>
      <c r="Z722" s="1" t="s">
        <v>74</v>
      </c>
      <c r="AA722" s="1" t="s">
        <v>74</v>
      </c>
      <c r="AB722" s="1" t="s">
        <v>74</v>
      </c>
      <c r="AC722" s="1" t="s">
        <v>74</v>
      </c>
      <c r="AD722" s="1" t="s">
        <v>74</v>
      </c>
      <c r="AE722" s="1" t="s">
        <v>74</v>
      </c>
      <c r="AF722" s="1" t="s">
        <v>74</v>
      </c>
      <c r="AG722" s="1" t="s">
        <v>74</v>
      </c>
      <c r="AH722" s="1" t="s">
        <v>74</v>
      </c>
      <c r="AI722" s="1" t="s">
        <v>74</v>
      </c>
      <c r="AJ722" s="1" t="s">
        <v>74</v>
      </c>
      <c r="AK722" s="1" t="s">
        <v>74</v>
      </c>
      <c r="AL722" s="1" t="s">
        <v>74</v>
      </c>
      <c r="AM722" s="1" t="s">
        <v>74</v>
      </c>
      <c r="AN722" s="1" t="s">
        <v>74</v>
      </c>
      <c r="AO722" s="1" t="s">
        <v>6112</v>
      </c>
      <c r="AP722" s="1" t="s">
        <v>6113</v>
      </c>
      <c r="AQ722" s="1" t="s">
        <v>74</v>
      </c>
      <c r="AR722" s="1" t="s">
        <v>74</v>
      </c>
      <c r="AS722" s="1" t="s">
        <v>74</v>
      </c>
      <c r="AT722" s="1" t="s">
        <v>74</v>
      </c>
      <c r="AU722" s="1">
        <v>2021.0</v>
      </c>
      <c r="AV722" s="1">
        <v>25.0</v>
      </c>
      <c r="AW722" s="1">
        <v>60.0</v>
      </c>
      <c r="AX722" s="1" t="s">
        <v>74</v>
      </c>
      <c r="AY722" s="1" t="s">
        <v>74</v>
      </c>
      <c r="AZ722" s="1" t="s">
        <v>74</v>
      </c>
      <c r="BA722" s="1" t="s">
        <v>74</v>
      </c>
      <c r="BB722" s="1">
        <v>128.0</v>
      </c>
      <c r="BC722" s="1">
        <v>139.0</v>
      </c>
      <c r="BD722" s="1" t="s">
        <v>74</v>
      </c>
      <c r="BE722" s="1" t="s">
        <v>6114</v>
      </c>
      <c r="BF722" s="2" t="str">
        <f>HYPERLINK("http://dx.doi.org/10.14198/cuid.2021.60.10","http://dx.doi.org/10.14198/cuid.2021.60.10")</f>
        <v>http://dx.doi.org/10.14198/cuid.2021.60.10</v>
      </c>
      <c r="BG722" s="1" t="s">
        <v>74</v>
      </c>
      <c r="BH722" s="1" t="s">
        <v>74</v>
      </c>
      <c r="BI722" s="1" t="s">
        <v>74</v>
      </c>
      <c r="BJ722" s="1" t="s">
        <v>74</v>
      </c>
      <c r="BK722" s="1" t="s">
        <v>74</v>
      </c>
      <c r="BL722" s="1" t="s">
        <v>74</v>
      </c>
      <c r="BM722" s="1" t="s">
        <v>74</v>
      </c>
      <c r="BN722" s="1" t="s">
        <v>74</v>
      </c>
      <c r="BO722" s="1" t="s">
        <v>74</v>
      </c>
      <c r="BP722" s="1" t="s">
        <v>74</v>
      </c>
      <c r="BQ722" s="1" t="s">
        <v>74</v>
      </c>
      <c r="BR722" s="1" t="s">
        <v>74</v>
      </c>
      <c r="BS722" s="1" t="s">
        <v>6115</v>
      </c>
      <c r="BT722" s="1" t="str">
        <f>HYPERLINK("https%3A%2F%2Fwww.webofscience.com%2Fwos%2Fwoscc%2Ffull-record%2FWOS:000677642300010","View Full Record in Web of Science")</f>
        <v>View Full Record in Web of Science</v>
      </c>
    </row>
    <row r="723" ht="12.75" customHeight="1">
      <c r="A723" s="1" t="s">
        <v>454</v>
      </c>
      <c r="B723" s="1" t="s">
        <v>6116</v>
      </c>
      <c r="C723" s="1" t="s">
        <v>74</v>
      </c>
      <c r="D723" s="1" t="s">
        <v>3631</v>
      </c>
      <c r="E723" s="1" t="s">
        <v>74</v>
      </c>
      <c r="F723" s="1" t="s">
        <v>6117</v>
      </c>
      <c r="G723" s="1" t="s">
        <v>74</v>
      </c>
      <c r="H723" s="1" t="s">
        <v>74</v>
      </c>
      <c r="I723" s="1" t="s">
        <v>6118</v>
      </c>
      <c r="J723" s="1" t="s">
        <v>3634</v>
      </c>
      <c r="K723" s="1" t="s">
        <v>74</v>
      </c>
      <c r="L723" s="1" t="s">
        <v>74</v>
      </c>
      <c r="M723" s="1" t="s">
        <v>74</v>
      </c>
      <c r="N723" s="1" t="s">
        <v>74</v>
      </c>
      <c r="O723" s="1" t="s">
        <v>74</v>
      </c>
      <c r="P723" s="1" t="s">
        <v>74</v>
      </c>
      <c r="Q723" s="1" t="s">
        <v>74</v>
      </c>
      <c r="R723" s="1" t="s">
        <v>74</v>
      </c>
      <c r="S723" s="1" t="s">
        <v>74</v>
      </c>
      <c r="T723" s="1" t="s">
        <v>74</v>
      </c>
      <c r="U723" s="1" t="s">
        <v>74</v>
      </c>
      <c r="V723" s="1" t="s">
        <v>74</v>
      </c>
      <c r="W723" s="1" t="s">
        <v>74</v>
      </c>
      <c r="X723" s="1" t="s">
        <v>74</v>
      </c>
      <c r="Y723" s="1" t="s">
        <v>74</v>
      </c>
      <c r="Z723" s="1" t="s">
        <v>74</v>
      </c>
      <c r="AA723" s="1" t="s">
        <v>74</v>
      </c>
      <c r="AB723" s="1" t="s">
        <v>74</v>
      </c>
      <c r="AC723" s="1" t="s">
        <v>74</v>
      </c>
      <c r="AD723" s="1" t="s">
        <v>74</v>
      </c>
      <c r="AE723" s="1" t="s">
        <v>74</v>
      </c>
      <c r="AF723" s="1" t="s">
        <v>74</v>
      </c>
      <c r="AG723" s="1" t="s">
        <v>74</v>
      </c>
      <c r="AH723" s="1" t="s">
        <v>74</v>
      </c>
      <c r="AI723" s="1" t="s">
        <v>74</v>
      </c>
      <c r="AJ723" s="1" t="s">
        <v>74</v>
      </c>
      <c r="AK723" s="1" t="s">
        <v>74</v>
      </c>
      <c r="AL723" s="1" t="s">
        <v>74</v>
      </c>
      <c r="AM723" s="1" t="s">
        <v>74</v>
      </c>
      <c r="AN723" s="1" t="s">
        <v>74</v>
      </c>
      <c r="AO723" s="1" t="s">
        <v>74</v>
      </c>
      <c r="AP723" s="1" t="s">
        <v>74</v>
      </c>
      <c r="AQ723" s="1" t="s">
        <v>3635</v>
      </c>
      <c r="AR723" s="1" t="s">
        <v>74</v>
      </c>
      <c r="AS723" s="1" t="s">
        <v>74</v>
      </c>
      <c r="AT723" s="1" t="s">
        <v>74</v>
      </c>
      <c r="AU723" s="1">
        <v>2021.0</v>
      </c>
      <c r="AV723" s="1" t="s">
        <v>74</v>
      </c>
      <c r="AW723" s="1" t="s">
        <v>74</v>
      </c>
      <c r="AX723" s="1" t="s">
        <v>74</v>
      </c>
      <c r="AY723" s="1" t="s">
        <v>74</v>
      </c>
      <c r="AZ723" s="1" t="s">
        <v>74</v>
      </c>
      <c r="BA723" s="1" t="s">
        <v>74</v>
      </c>
      <c r="BB723" s="1">
        <v>353.0</v>
      </c>
      <c r="BC723" s="1">
        <v>363.0</v>
      </c>
      <c r="BD723" s="1" t="s">
        <v>74</v>
      </c>
      <c r="BE723" s="1" t="s">
        <v>74</v>
      </c>
      <c r="BF723" s="1" t="s">
        <v>74</v>
      </c>
      <c r="BG723" s="1" t="s">
        <v>74</v>
      </c>
      <c r="BH723" s="1" t="s">
        <v>74</v>
      </c>
      <c r="BI723" s="1" t="s">
        <v>74</v>
      </c>
      <c r="BJ723" s="1" t="s">
        <v>74</v>
      </c>
      <c r="BK723" s="1" t="s">
        <v>74</v>
      </c>
      <c r="BL723" s="1" t="s">
        <v>74</v>
      </c>
      <c r="BM723" s="1" t="s">
        <v>74</v>
      </c>
      <c r="BN723" s="1" t="s">
        <v>74</v>
      </c>
      <c r="BO723" s="1" t="s">
        <v>74</v>
      </c>
      <c r="BP723" s="1" t="s">
        <v>74</v>
      </c>
      <c r="BQ723" s="1" t="s">
        <v>74</v>
      </c>
      <c r="BR723" s="1" t="s">
        <v>74</v>
      </c>
      <c r="BS723" s="1" t="s">
        <v>6119</v>
      </c>
      <c r="BT723" s="1" t="str">
        <f>HYPERLINK("https%3A%2F%2Fwww.webofscience.com%2Fwos%2Fwoscc%2Ffull-record%2FWOS:000651158400018","View Full Record in Web of Science")</f>
        <v>View Full Record in Web of Science</v>
      </c>
    </row>
    <row r="724" ht="12.75" customHeight="1">
      <c r="A724" s="1" t="s">
        <v>72</v>
      </c>
      <c r="B724" s="1" t="s">
        <v>6120</v>
      </c>
      <c r="C724" s="1" t="s">
        <v>74</v>
      </c>
      <c r="D724" s="1" t="s">
        <v>74</v>
      </c>
      <c r="E724" s="1" t="s">
        <v>74</v>
      </c>
      <c r="F724" s="1" t="s">
        <v>6121</v>
      </c>
      <c r="G724" s="1" t="s">
        <v>74</v>
      </c>
      <c r="H724" s="1" t="s">
        <v>74</v>
      </c>
      <c r="I724" s="1" t="s">
        <v>6122</v>
      </c>
      <c r="J724" s="1" t="s">
        <v>1240</v>
      </c>
      <c r="K724" s="1" t="s">
        <v>74</v>
      </c>
      <c r="L724" s="1" t="s">
        <v>74</v>
      </c>
      <c r="M724" s="1" t="s">
        <v>74</v>
      </c>
      <c r="N724" s="1" t="s">
        <v>74</v>
      </c>
      <c r="O724" s="1" t="s">
        <v>74</v>
      </c>
      <c r="P724" s="1" t="s">
        <v>74</v>
      </c>
      <c r="Q724" s="1" t="s">
        <v>74</v>
      </c>
      <c r="R724" s="1" t="s">
        <v>74</v>
      </c>
      <c r="S724" s="1" t="s">
        <v>74</v>
      </c>
      <c r="T724" s="1" t="s">
        <v>74</v>
      </c>
      <c r="U724" s="1" t="s">
        <v>74</v>
      </c>
      <c r="V724" s="1" t="s">
        <v>6123</v>
      </c>
      <c r="W724" s="1" t="s">
        <v>74</v>
      </c>
      <c r="X724" s="1" t="s">
        <v>74</v>
      </c>
      <c r="Y724" s="1" t="s">
        <v>74</v>
      </c>
      <c r="Z724" s="1" t="s">
        <v>74</v>
      </c>
      <c r="AA724" s="1" t="s">
        <v>296</v>
      </c>
      <c r="AB724" s="1" t="s">
        <v>486</v>
      </c>
      <c r="AC724" s="1" t="s">
        <v>74</v>
      </c>
      <c r="AD724" s="1" t="s">
        <v>74</v>
      </c>
      <c r="AE724" s="1" t="s">
        <v>74</v>
      </c>
      <c r="AF724" s="1" t="s">
        <v>74</v>
      </c>
      <c r="AG724" s="1" t="s">
        <v>74</v>
      </c>
      <c r="AH724" s="1" t="s">
        <v>74</v>
      </c>
      <c r="AI724" s="1" t="s">
        <v>74</v>
      </c>
      <c r="AJ724" s="1" t="s">
        <v>74</v>
      </c>
      <c r="AK724" s="1" t="s">
        <v>74</v>
      </c>
      <c r="AL724" s="1" t="s">
        <v>74</v>
      </c>
      <c r="AM724" s="1" t="s">
        <v>74</v>
      </c>
      <c r="AN724" s="1" t="s">
        <v>74</v>
      </c>
      <c r="AO724" s="1" t="s">
        <v>74</v>
      </c>
      <c r="AP724" s="1" t="s">
        <v>1242</v>
      </c>
      <c r="AQ724" s="1" t="s">
        <v>74</v>
      </c>
      <c r="AR724" s="1" t="s">
        <v>74</v>
      </c>
      <c r="AS724" s="1" t="s">
        <v>74</v>
      </c>
      <c r="AT724" s="1" t="s">
        <v>299</v>
      </c>
      <c r="AU724" s="1">
        <v>2021.0</v>
      </c>
      <c r="AV724" s="1">
        <v>13.0</v>
      </c>
      <c r="AW724" s="1">
        <v>1.0</v>
      </c>
      <c r="AX724" s="1" t="s">
        <v>74</v>
      </c>
      <c r="AY724" s="1" t="s">
        <v>74</v>
      </c>
      <c r="AZ724" s="1" t="s">
        <v>74</v>
      </c>
      <c r="BA724" s="1" t="s">
        <v>74</v>
      </c>
      <c r="BB724" s="1" t="s">
        <v>74</v>
      </c>
      <c r="BC724" s="1" t="s">
        <v>74</v>
      </c>
      <c r="BD724" s="1">
        <v>86.0</v>
      </c>
      <c r="BE724" s="1" t="s">
        <v>6124</v>
      </c>
      <c r="BF724" s="2" t="str">
        <f>HYPERLINK("http://dx.doi.org/10.3390/sym13010086","http://dx.doi.org/10.3390/sym13010086")</f>
        <v>http://dx.doi.org/10.3390/sym13010086</v>
      </c>
      <c r="BG724" s="1" t="s">
        <v>74</v>
      </c>
      <c r="BH724" s="1" t="s">
        <v>74</v>
      </c>
      <c r="BI724" s="1" t="s">
        <v>74</v>
      </c>
      <c r="BJ724" s="1" t="s">
        <v>74</v>
      </c>
      <c r="BK724" s="1" t="s">
        <v>74</v>
      </c>
      <c r="BL724" s="1" t="s">
        <v>74</v>
      </c>
      <c r="BM724" s="1" t="s">
        <v>74</v>
      </c>
      <c r="BN724" s="1" t="s">
        <v>74</v>
      </c>
      <c r="BO724" s="1" t="s">
        <v>74</v>
      </c>
      <c r="BP724" s="1" t="s">
        <v>74</v>
      </c>
      <c r="BQ724" s="1" t="s">
        <v>74</v>
      </c>
      <c r="BR724" s="1" t="s">
        <v>74</v>
      </c>
      <c r="BS724" s="1" t="s">
        <v>6125</v>
      </c>
      <c r="BT724" s="1" t="str">
        <f>HYPERLINK("https%3A%2F%2Fwww.webofscience.com%2Fwos%2Fwoscc%2Ffull-record%2FWOS:000610762100001","View Full Record in Web of Science")</f>
        <v>View Full Record in Web of Science</v>
      </c>
    </row>
    <row r="725" ht="12.75" customHeight="1">
      <c r="A725" s="1" t="s">
        <v>72</v>
      </c>
      <c r="B725" s="1" t="s">
        <v>2158</v>
      </c>
      <c r="C725" s="1" t="s">
        <v>74</v>
      </c>
      <c r="D725" s="1" t="s">
        <v>74</v>
      </c>
      <c r="E725" s="1" t="s">
        <v>74</v>
      </c>
      <c r="F725" s="1" t="s">
        <v>2159</v>
      </c>
      <c r="G725" s="1" t="s">
        <v>74</v>
      </c>
      <c r="H725" s="1" t="s">
        <v>74</v>
      </c>
      <c r="I725" s="1" t="s">
        <v>6126</v>
      </c>
      <c r="J725" s="1" t="s">
        <v>234</v>
      </c>
      <c r="K725" s="1" t="s">
        <v>74</v>
      </c>
      <c r="L725" s="1" t="s">
        <v>74</v>
      </c>
      <c r="M725" s="1" t="s">
        <v>74</v>
      </c>
      <c r="N725" s="1" t="s">
        <v>74</v>
      </c>
      <c r="O725" s="1" t="s">
        <v>74</v>
      </c>
      <c r="P725" s="1" t="s">
        <v>74</v>
      </c>
      <c r="Q725" s="1" t="s">
        <v>74</v>
      </c>
      <c r="R725" s="1" t="s">
        <v>74</v>
      </c>
      <c r="S725" s="1" t="s">
        <v>74</v>
      </c>
      <c r="T725" s="1" t="s">
        <v>74</v>
      </c>
      <c r="U725" s="1" t="s">
        <v>74</v>
      </c>
      <c r="V725" s="1" t="s">
        <v>74</v>
      </c>
      <c r="W725" s="1" t="s">
        <v>74</v>
      </c>
      <c r="X725" s="1" t="s">
        <v>74</v>
      </c>
      <c r="Y725" s="1" t="s">
        <v>74</v>
      </c>
      <c r="Z725" s="1" t="s">
        <v>74</v>
      </c>
      <c r="AA725" s="1" t="s">
        <v>2162</v>
      </c>
      <c r="AB725" s="1" t="s">
        <v>2163</v>
      </c>
      <c r="AC725" s="1" t="s">
        <v>74</v>
      </c>
      <c r="AD725" s="1" t="s">
        <v>74</v>
      </c>
      <c r="AE725" s="1" t="s">
        <v>74</v>
      </c>
      <c r="AF725" s="1" t="s">
        <v>74</v>
      </c>
      <c r="AG725" s="1" t="s">
        <v>74</v>
      </c>
      <c r="AH725" s="1" t="s">
        <v>74</v>
      </c>
      <c r="AI725" s="1" t="s">
        <v>74</v>
      </c>
      <c r="AJ725" s="1" t="s">
        <v>74</v>
      </c>
      <c r="AK725" s="1" t="s">
        <v>74</v>
      </c>
      <c r="AL725" s="1" t="s">
        <v>74</v>
      </c>
      <c r="AM725" s="1" t="s">
        <v>74</v>
      </c>
      <c r="AN725" s="1" t="s">
        <v>74</v>
      </c>
      <c r="AO725" s="1" t="s">
        <v>238</v>
      </c>
      <c r="AP725" s="1" t="s">
        <v>74</v>
      </c>
      <c r="AQ725" s="1" t="s">
        <v>74</v>
      </c>
      <c r="AR725" s="1" t="s">
        <v>74</v>
      </c>
      <c r="AS725" s="1" t="s">
        <v>74</v>
      </c>
      <c r="AT725" s="1" t="s">
        <v>205</v>
      </c>
      <c r="AU725" s="1">
        <v>2020.0</v>
      </c>
      <c r="AV725" s="1">
        <v>20.0</v>
      </c>
      <c r="AW725" s="1">
        <v>10.0</v>
      </c>
      <c r="AX725" s="1" t="s">
        <v>74</v>
      </c>
      <c r="AY725" s="1" t="s">
        <v>74</v>
      </c>
      <c r="AZ725" s="1" t="s">
        <v>74</v>
      </c>
      <c r="BA725" s="1" t="s">
        <v>74</v>
      </c>
      <c r="BB725" s="1" t="s">
        <v>74</v>
      </c>
      <c r="BC725" s="1" t="s">
        <v>74</v>
      </c>
      <c r="BD725" s="1" t="s">
        <v>6127</v>
      </c>
      <c r="BE725" s="1" t="s">
        <v>6128</v>
      </c>
      <c r="BF725" s="2" t="str">
        <f>HYPERLINK("http://dx.doi.org/10.5867/medwave.2020.10.8068","http://dx.doi.org/10.5867/medwave.2020.10.8068")</f>
        <v>http://dx.doi.org/10.5867/medwave.2020.10.8068</v>
      </c>
      <c r="BG725" s="1" t="s">
        <v>74</v>
      </c>
      <c r="BH725" s="1" t="s">
        <v>74</v>
      </c>
      <c r="BI725" s="1" t="s">
        <v>74</v>
      </c>
      <c r="BJ725" s="1" t="s">
        <v>74</v>
      </c>
      <c r="BK725" s="1" t="s">
        <v>74</v>
      </c>
      <c r="BL725" s="1" t="s">
        <v>74</v>
      </c>
      <c r="BM725" s="1" t="s">
        <v>74</v>
      </c>
      <c r="BN725" s="1">
        <v>3.3231571E7</v>
      </c>
      <c r="BO725" s="1" t="s">
        <v>74</v>
      </c>
      <c r="BP725" s="1" t="s">
        <v>74</v>
      </c>
      <c r="BQ725" s="1" t="s">
        <v>74</v>
      </c>
      <c r="BR725" s="1" t="s">
        <v>74</v>
      </c>
      <c r="BS725" s="1" t="s">
        <v>6129</v>
      </c>
      <c r="BT725" s="1" t="str">
        <f>HYPERLINK("https%3A%2F%2Fwww.webofscience.com%2Fwos%2Fwoscc%2Ffull-record%2FWOS:000603383400006","View Full Record in Web of Science")</f>
        <v>View Full Record in Web of Science</v>
      </c>
    </row>
    <row r="726" ht="12.75" customHeight="1">
      <c r="A726" s="1" t="s">
        <v>72</v>
      </c>
      <c r="B726" s="1" t="s">
        <v>6130</v>
      </c>
      <c r="C726" s="1" t="s">
        <v>74</v>
      </c>
      <c r="D726" s="1" t="s">
        <v>74</v>
      </c>
      <c r="E726" s="1" t="s">
        <v>74</v>
      </c>
      <c r="F726" s="1" t="s">
        <v>6131</v>
      </c>
      <c r="G726" s="1" t="s">
        <v>74</v>
      </c>
      <c r="H726" s="1" t="s">
        <v>74</v>
      </c>
      <c r="I726" s="1" t="s">
        <v>6132</v>
      </c>
      <c r="J726" s="1" t="s">
        <v>6133</v>
      </c>
      <c r="K726" s="1" t="s">
        <v>74</v>
      </c>
      <c r="L726" s="1" t="s">
        <v>74</v>
      </c>
      <c r="M726" s="1" t="s">
        <v>74</v>
      </c>
      <c r="N726" s="1" t="s">
        <v>74</v>
      </c>
      <c r="O726" s="1" t="s">
        <v>74</v>
      </c>
      <c r="P726" s="1" t="s">
        <v>74</v>
      </c>
      <c r="Q726" s="1" t="s">
        <v>74</v>
      </c>
      <c r="R726" s="1" t="s">
        <v>74</v>
      </c>
      <c r="S726" s="1" t="s">
        <v>74</v>
      </c>
      <c r="T726" s="1" t="s">
        <v>74</v>
      </c>
      <c r="U726" s="1" t="s">
        <v>74</v>
      </c>
      <c r="V726" s="1" t="s">
        <v>6134</v>
      </c>
      <c r="W726" s="1" t="s">
        <v>74</v>
      </c>
      <c r="X726" s="1" t="s">
        <v>74</v>
      </c>
      <c r="Y726" s="1" t="s">
        <v>74</v>
      </c>
      <c r="Z726" s="1" t="s">
        <v>74</v>
      </c>
      <c r="AA726" s="1" t="s">
        <v>296</v>
      </c>
      <c r="AB726" s="1" t="s">
        <v>486</v>
      </c>
      <c r="AC726" s="1" t="s">
        <v>74</v>
      </c>
      <c r="AD726" s="1" t="s">
        <v>74</v>
      </c>
      <c r="AE726" s="1" t="s">
        <v>74</v>
      </c>
      <c r="AF726" s="1" t="s">
        <v>74</v>
      </c>
      <c r="AG726" s="1" t="s">
        <v>74</v>
      </c>
      <c r="AH726" s="1" t="s">
        <v>74</v>
      </c>
      <c r="AI726" s="1" t="s">
        <v>74</v>
      </c>
      <c r="AJ726" s="1" t="s">
        <v>74</v>
      </c>
      <c r="AK726" s="1" t="s">
        <v>74</v>
      </c>
      <c r="AL726" s="1" t="s">
        <v>74</v>
      </c>
      <c r="AM726" s="1" t="s">
        <v>74</v>
      </c>
      <c r="AN726" s="1" t="s">
        <v>74</v>
      </c>
      <c r="AO726" s="1" t="s">
        <v>6135</v>
      </c>
      <c r="AP726" s="1" t="s">
        <v>6136</v>
      </c>
      <c r="AQ726" s="1" t="s">
        <v>74</v>
      </c>
      <c r="AR726" s="1" t="s">
        <v>74</v>
      </c>
      <c r="AS726" s="1" t="s">
        <v>74</v>
      </c>
      <c r="AT726" s="1" t="s">
        <v>88</v>
      </c>
      <c r="AU726" s="1">
        <v>2020.0</v>
      </c>
      <c r="AV726" s="1">
        <v>26.0</v>
      </c>
      <c r="AW726" s="1">
        <v>4.0</v>
      </c>
      <c r="AX726" s="1" t="s">
        <v>74</v>
      </c>
      <c r="AY726" s="1" t="s">
        <v>74</v>
      </c>
      <c r="AZ726" s="1" t="s">
        <v>74</v>
      </c>
      <c r="BA726" s="1" t="s">
        <v>74</v>
      </c>
      <c r="BB726" s="1">
        <v>2776.0</v>
      </c>
      <c r="BC726" s="1">
        <v>2791.0</v>
      </c>
      <c r="BD726" s="1">
        <v>1.460458220937095E15</v>
      </c>
      <c r="BE726" s="1" t="s">
        <v>6137</v>
      </c>
      <c r="BF726" s="2" t="str">
        <f>HYPERLINK("http://dx.doi.org/10.1177/1460458220937095","http://dx.doi.org/10.1177/1460458220937095")</f>
        <v>http://dx.doi.org/10.1177/1460458220937095</v>
      </c>
      <c r="BG726" s="1" t="s">
        <v>74</v>
      </c>
      <c r="BH726" s="1" t="s">
        <v>6138</v>
      </c>
      <c r="BI726" s="1" t="s">
        <v>74</v>
      </c>
      <c r="BJ726" s="1" t="s">
        <v>74</v>
      </c>
      <c r="BK726" s="1" t="s">
        <v>74</v>
      </c>
      <c r="BL726" s="1" t="s">
        <v>74</v>
      </c>
      <c r="BM726" s="1" t="s">
        <v>74</v>
      </c>
      <c r="BN726" s="1">
        <v>3.269166E7</v>
      </c>
      <c r="BO726" s="1" t="s">
        <v>74</v>
      </c>
      <c r="BP726" s="1" t="s">
        <v>74</v>
      </c>
      <c r="BQ726" s="1" t="s">
        <v>74</v>
      </c>
      <c r="BR726" s="1" t="s">
        <v>74</v>
      </c>
      <c r="BS726" s="1" t="s">
        <v>6139</v>
      </c>
      <c r="BT726" s="1" t="str">
        <f>HYPERLINK("https%3A%2F%2Fwww.webofscience.com%2Fwos%2Fwoscc%2Ffull-record%2FWOS:000551161300001","View Full Record in Web of Science")</f>
        <v>View Full Record in Web of Science</v>
      </c>
    </row>
    <row r="727" ht="12.75" customHeight="1">
      <c r="A727" s="1" t="s">
        <v>72</v>
      </c>
      <c r="B727" s="1" t="s">
        <v>6140</v>
      </c>
      <c r="C727" s="1" t="s">
        <v>74</v>
      </c>
      <c r="D727" s="1" t="s">
        <v>74</v>
      </c>
      <c r="E727" s="1" t="s">
        <v>74</v>
      </c>
      <c r="F727" s="1" t="s">
        <v>6141</v>
      </c>
      <c r="G727" s="1" t="s">
        <v>74</v>
      </c>
      <c r="H727" s="1" t="s">
        <v>74</v>
      </c>
      <c r="I727" s="1" t="s">
        <v>6142</v>
      </c>
      <c r="J727" s="1" t="s">
        <v>3714</v>
      </c>
      <c r="K727" s="1" t="s">
        <v>74</v>
      </c>
      <c r="L727" s="1" t="s">
        <v>74</v>
      </c>
      <c r="M727" s="1" t="s">
        <v>74</v>
      </c>
      <c r="N727" s="1" t="s">
        <v>74</v>
      </c>
      <c r="O727" s="1" t="s">
        <v>74</v>
      </c>
      <c r="P727" s="1" t="s">
        <v>74</v>
      </c>
      <c r="Q727" s="1" t="s">
        <v>74</v>
      </c>
      <c r="R727" s="1" t="s">
        <v>74</v>
      </c>
      <c r="S727" s="1" t="s">
        <v>74</v>
      </c>
      <c r="T727" s="1" t="s">
        <v>74</v>
      </c>
      <c r="U727" s="1" t="s">
        <v>74</v>
      </c>
      <c r="V727" s="1" t="s">
        <v>6143</v>
      </c>
      <c r="W727" s="1" t="s">
        <v>74</v>
      </c>
      <c r="X727" s="1" t="s">
        <v>74</v>
      </c>
      <c r="Y727" s="1" t="s">
        <v>74</v>
      </c>
      <c r="Z727" s="1" t="s">
        <v>74</v>
      </c>
      <c r="AA727" s="1" t="s">
        <v>74</v>
      </c>
      <c r="AB727" s="1" t="s">
        <v>74</v>
      </c>
      <c r="AC727" s="1" t="s">
        <v>74</v>
      </c>
      <c r="AD727" s="1" t="s">
        <v>74</v>
      </c>
      <c r="AE727" s="1" t="s">
        <v>74</v>
      </c>
      <c r="AF727" s="1" t="s">
        <v>74</v>
      </c>
      <c r="AG727" s="1" t="s">
        <v>74</v>
      </c>
      <c r="AH727" s="1" t="s">
        <v>74</v>
      </c>
      <c r="AI727" s="1" t="s">
        <v>74</v>
      </c>
      <c r="AJ727" s="1" t="s">
        <v>74</v>
      </c>
      <c r="AK727" s="1" t="s">
        <v>74</v>
      </c>
      <c r="AL727" s="1" t="s">
        <v>74</v>
      </c>
      <c r="AM727" s="1" t="s">
        <v>74</v>
      </c>
      <c r="AN727" s="1" t="s">
        <v>74</v>
      </c>
      <c r="AO727" s="1" t="s">
        <v>3716</v>
      </c>
      <c r="AP727" s="1" t="s">
        <v>3717</v>
      </c>
      <c r="AQ727" s="1" t="s">
        <v>74</v>
      </c>
      <c r="AR727" s="1" t="s">
        <v>74</v>
      </c>
      <c r="AS727" s="1" t="s">
        <v>74</v>
      </c>
      <c r="AT727" s="1" t="s">
        <v>74</v>
      </c>
      <c r="AU727" s="1">
        <v>2020.0</v>
      </c>
      <c r="AV727" s="1">
        <v>15.0</v>
      </c>
      <c r="AW727" s="1" t="s">
        <v>74</v>
      </c>
      <c r="AX727" s="1" t="s">
        <v>74</v>
      </c>
      <c r="AY727" s="1" t="s">
        <v>74</v>
      </c>
      <c r="AZ727" s="1" t="s">
        <v>74</v>
      </c>
      <c r="BA727" s="1" t="s">
        <v>74</v>
      </c>
      <c r="BB727" s="1" t="s">
        <v>74</v>
      </c>
      <c r="BC727" s="1" t="s">
        <v>74</v>
      </c>
      <c r="BD727" s="1">
        <v>4.0</v>
      </c>
      <c r="BE727" s="1" t="s">
        <v>74</v>
      </c>
      <c r="BF727" s="1" t="s">
        <v>74</v>
      </c>
      <c r="BG727" s="1" t="s">
        <v>74</v>
      </c>
      <c r="BH727" s="1" t="s">
        <v>74</v>
      </c>
      <c r="BI727" s="1" t="s">
        <v>74</v>
      </c>
      <c r="BJ727" s="1" t="s">
        <v>74</v>
      </c>
      <c r="BK727" s="1" t="s">
        <v>74</v>
      </c>
      <c r="BL727" s="1" t="s">
        <v>74</v>
      </c>
      <c r="BM727" s="1" t="s">
        <v>74</v>
      </c>
      <c r="BN727" s="1" t="s">
        <v>74</v>
      </c>
      <c r="BO727" s="1" t="s">
        <v>74</v>
      </c>
      <c r="BP727" s="1" t="s">
        <v>74</v>
      </c>
      <c r="BQ727" s="1" t="s">
        <v>74</v>
      </c>
      <c r="BR727" s="1" t="s">
        <v>74</v>
      </c>
      <c r="BS727" s="1" t="s">
        <v>6144</v>
      </c>
      <c r="BT727" s="1" t="str">
        <f>HYPERLINK("https%3A%2F%2Fwww.webofscience.com%2Fwos%2Fwoscc%2Ffull-record%2FWOS:000617097000004","View Full Record in Web of Science")</f>
        <v>View Full Record in Web of Science</v>
      </c>
    </row>
    <row r="728" ht="12.75" customHeight="1">
      <c r="A728" s="1" t="s">
        <v>72</v>
      </c>
      <c r="B728" s="1" t="s">
        <v>1945</v>
      </c>
      <c r="C728" s="1" t="s">
        <v>74</v>
      </c>
      <c r="D728" s="1" t="s">
        <v>74</v>
      </c>
      <c r="E728" s="1" t="s">
        <v>74</v>
      </c>
      <c r="F728" s="1" t="s">
        <v>6145</v>
      </c>
      <c r="G728" s="1" t="s">
        <v>74</v>
      </c>
      <c r="H728" s="1" t="s">
        <v>74</v>
      </c>
      <c r="I728" s="1" t="s">
        <v>6146</v>
      </c>
      <c r="J728" s="1" t="s">
        <v>666</v>
      </c>
      <c r="K728" s="1" t="s">
        <v>74</v>
      </c>
      <c r="L728" s="1" t="s">
        <v>74</v>
      </c>
      <c r="M728" s="1" t="s">
        <v>74</v>
      </c>
      <c r="N728" s="1" t="s">
        <v>74</v>
      </c>
      <c r="O728" s="1" t="s">
        <v>74</v>
      </c>
      <c r="P728" s="1" t="s">
        <v>74</v>
      </c>
      <c r="Q728" s="1" t="s">
        <v>74</v>
      </c>
      <c r="R728" s="1" t="s">
        <v>74</v>
      </c>
      <c r="S728" s="1" t="s">
        <v>74</v>
      </c>
      <c r="T728" s="1" t="s">
        <v>74</v>
      </c>
      <c r="U728" s="1" t="s">
        <v>74</v>
      </c>
      <c r="V728" s="1" t="s">
        <v>6147</v>
      </c>
      <c r="W728" s="1" t="s">
        <v>74</v>
      </c>
      <c r="X728" s="1" t="s">
        <v>74</v>
      </c>
      <c r="Y728" s="1" t="s">
        <v>74</v>
      </c>
      <c r="Z728" s="1" t="s">
        <v>74</v>
      </c>
      <c r="AA728" s="1" t="s">
        <v>74</v>
      </c>
      <c r="AB728" s="1" t="s">
        <v>74</v>
      </c>
      <c r="AC728" s="1" t="s">
        <v>74</v>
      </c>
      <c r="AD728" s="1" t="s">
        <v>74</v>
      </c>
      <c r="AE728" s="1" t="s">
        <v>74</v>
      </c>
      <c r="AF728" s="1" t="s">
        <v>74</v>
      </c>
      <c r="AG728" s="1" t="s">
        <v>74</v>
      </c>
      <c r="AH728" s="1" t="s">
        <v>74</v>
      </c>
      <c r="AI728" s="1" t="s">
        <v>74</v>
      </c>
      <c r="AJ728" s="1" t="s">
        <v>74</v>
      </c>
      <c r="AK728" s="1" t="s">
        <v>74</v>
      </c>
      <c r="AL728" s="1" t="s">
        <v>74</v>
      </c>
      <c r="AM728" s="1" t="s">
        <v>74</v>
      </c>
      <c r="AN728" s="1" t="s">
        <v>74</v>
      </c>
      <c r="AO728" s="1" t="s">
        <v>668</v>
      </c>
      <c r="AP728" s="1" t="s">
        <v>669</v>
      </c>
      <c r="AQ728" s="1" t="s">
        <v>74</v>
      </c>
      <c r="AR728" s="1" t="s">
        <v>74</v>
      </c>
      <c r="AS728" s="1" t="s">
        <v>74</v>
      </c>
      <c r="AT728" s="1" t="s">
        <v>74</v>
      </c>
      <c r="AU728" s="1">
        <v>2020.0</v>
      </c>
      <c r="AV728" s="1">
        <v>77.0</v>
      </c>
      <c r="AW728" s="1" t="s">
        <v>74</v>
      </c>
      <c r="AX728" s="1" t="s">
        <v>74</v>
      </c>
      <c r="AY728" s="1" t="s">
        <v>74</v>
      </c>
      <c r="AZ728" s="1" t="s">
        <v>74</v>
      </c>
      <c r="BA728" s="1" t="s">
        <v>74</v>
      </c>
      <c r="BB728" s="1">
        <v>19.0</v>
      </c>
      <c r="BC728" s="1">
        <v>39.0</v>
      </c>
      <c r="BD728" s="1" t="s">
        <v>74</v>
      </c>
      <c r="BE728" s="1" t="s">
        <v>74</v>
      </c>
      <c r="BF728" s="1" t="s">
        <v>74</v>
      </c>
      <c r="BG728" s="1" t="s">
        <v>74</v>
      </c>
      <c r="BH728" s="1" t="s">
        <v>74</v>
      </c>
      <c r="BI728" s="1" t="s">
        <v>74</v>
      </c>
      <c r="BJ728" s="1" t="s">
        <v>74</v>
      </c>
      <c r="BK728" s="1" t="s">
        <v>74</v>
      </c>
      <c r="BL728" s="1" t="s">
        <v>74</v>
      </c>
      <c r="BM728" s="1" t="s">
        <v>74</v>
      </c>
      <c r="BN728" s="1" t="s">
        <v>74</v>
      </c>
      <c r="BO728" s="1" t="s">
        <v>74</v>
      </c>
      <c r="BP728" s="1" t="s">
        <v>74</v>
      </c>
      <c r="BQ728" s="1" t="s">
        <v>74</v>
      </c>
      <c r="BR728" s="1" t="s">
        <v>74</v>
      </c>
      <c r="BS728" s="1" t="s">
        <v>6148</v>
      </c>
      <c r="BT728" s="1" t="str">
        <f>HYPERLINK("https%3A%2F%2Fwww.webofscience.com%2Fwos%2Fwoscc%2Ffull-record%2FWOS:000599973200003","View Full Record in Web of Science")</f>
        <v>View Full Record in Web of Science</v>
      </c>
    </row>
    <row r="729" ht="12.75" customHeight="1">
      <c r="A729" s="1" t="s">
        <v>72</v>
      </c>
      <c r="B729" s="1" t="s">
        <v>6149</v>
      </c>
      <c r="C729" s="1" t="s">
        <v>74</v>
      </c>
      <c r="D729" s="1" t="s">
        <v>74</v>
      </c>
      <c r="E729" s="1" t="s">
        <v>74</v>
      </c>
      <c r="F729" s="1" t="s">
        <v>6150</v>
      </c>
      <c r="G729" s="1" t="s">
        <v>74</v>
      </c>
      <c r="H729" s="1" t="s">
        <v>74</v>
      </c>
      <c r="I729" s="1" t="s">
        <v>6151</v>
      </c>
      <c r="J729" s="1" t="s">
        <v>797</v>
      </c>
      <c r="K729" s="1" t="s">
        <v>74</v>
      </c>
      <c r="L729" s="1" t="s">
        <v>74</v>
      </c>
      <c r="M729" s="1" t="s">
        <v>74</v>
      </c>
      <c r="N729" s="1" t="s">
        <v>74</v>
      </c>
      <c r="O729" s="1" t="s">
        <v>74</v>
      </c>
      <c r="P729" s="1" t="s">
        <v>74</v>
      </c>
      <c r="Q729" s="1" t="s">
        <v>74</v>
      </c>
      <c r="R729" s="1" t="s">
        <v>74</v>
      </c>
      <c r="S729" s="1" t="s">
        <v>74</v>
      </c>
      <c r="T729" s="1" t="s">
        <v>74</v>
      </c>
      <c r="U729" s="1" t="s">
        <v>74</v>
      </c>
      <c r="V729" s="1" t="s">
        <v>6152</v>
      </c>
      <c r="W729" s="1" t="s">
        <v>74</v>
      </c>
      <c r="X729" s="1" t="s">
        <v>74</v>
      </c>
      <c r="Y729" s="1" t="s">
        <v>74</v>
      </c>
      <c r="Z729" s="1" t="s">
        <v>74</v>
      </c>
      <c r="AA729" s="1" t="s">
        <v>74</v>
      </c>
      <c r="AB729" s="1" t="s">
        <v>74</v>
      </c>
      <c r="AC729" s="1" t="s">
        <v>74</v>
      </c>
      <c r="AD729" s="1" t="s">
        <v>74</v>
      </c>
      <c r="AE729" s="1" t="s">
        <v>74</v>
      </c>
      <c r="AF729" s="1" t="s">
        <v>74</v>
      </c>
      <c r="AG729" s="1" t="s">
        <v>74</v>
      </c>
      <c r="AH729" s="1" t="s">
        <v>74</v>
      </c>
      <c r="AI729" s="1" t="s">
        <v>74</v>
      </c>
      <c r="AJ729" s="1" t="s">
        <v>74</v>
      </c>
      <c r="AK729" s="1" t="s">
        <v>74</v>
      </c>
      <c r="AL729" s="1" t="s">
        <v>74</v>
      </c>
      <c r="AM729" s="1" t="s">
        <v>74</v>
      </c>
      <c r="AN729" s="1" t="s">
        <v>74</v>
      </c>
      <c r="AO729" s="1" t="s">
        <v>799</v>
      </c>
      <c r="AP729" s="1" t="s">
        <v>800</v>
      </c>
      <c r="AQ729" s="1" t="s">
        <v>74</v>
      </c>
      <c r="AR729" s="1" t="s">
        <v>74</v>
      </c>
      <c r="AS729" s="1" t="s">
        <v>74</v>
      </c>
      <c r="AT729" s="1" t="s">
        <v>74</v>
      </c>
      <c r="AU729" s="1">
        <v>2020.0</v>
      </c>
      <c r="AV729" s="1">
        <v>80.0</v>
      </c>
      <c r="AW729" s="1">
        <v>278.0</v>
      </c>
      <c r="AX729" s="1" t="s">
        <v>74</v>
      </c>
      <c r="AY729" s="1" t="s">
        <v>74</v>
      </c>
      <c r="AZ729" s="1" t="s">
        <v>74</v>
      </c>
      <c r="BA729" s="1" t="s">
        <v>74</v>
      </c>
      <c r="BB729" s="1">
        <v>163.0</v>
      </c>
      <c r="BC729" s="1">
        <v>197.0</v>
      </c>
      <c r="BD729" s="1" t="s">
        <v>74</v>
      </c>
      <c r="BE729" s="1" t="s">
        <v>6153</v>
      </c>
      <c r="BF729" s="2" t="str">
        <f>HYPERLINK("http://dx.doi.org/10.3989/revindias.2020.006","http://dx.doi.org/10.3989/revindias.2020.006")</f>
        <v>http://dx.doi.org/10.3989/revindias.2020.006</v>
      </c>
      <c r="BG729" s="1" t="s">
        <v>74</v>
      </c>
      <c r="BH729" s="1" t="s">
        <v>74</v>
      </c>
      <c r="BI729" s="1" t="s">
        <v>74</v>
      </c>
      <c r="BJ729" s="1" t="s">
        <v>74</v>
      </c>
      <c r="BK729" s="1" t="s">
        <v>74</v>
      </c>
      <c r="BL729" s="1" t="s">
        <v>74</v>
      </c>
      <c r="BM729" s="1" t="s">
        <v>74</v>
      </c>
      <c r="BN729" s="1" t="s">
        <v>74</v>
      </c>
      <c r="BO729" s="1" t="s">
        <v>74</v>
      </c>
      <c r="BP729" s="1" t="s">
        <v>74</v>
      </c>
      <c r="BQ729" s="1" t="s">
        <v>74</v>
      </c>
      <c r="BR729" s="1" t="s">
        <v>74</v>
      </c>
      <c r="BS729" s="1" t="s">
        <v>6154</v>
      </c>
      <c r="BT729" s="1" t="str">
        <f>HYPERLINK("https%3A%2F%2Fwww.webofscience.com%2Fwos%2Fwoscc%2Ffull-record%2FWOS:000525271700006","View Full Record in Web of Science")</f>
        <v>View Full Record in Web of Science</v>
      </c>
    </row>
    <row r="730" ht="12.75" customHeight="1">
      <c r="A730" s="1" t="s">
        <v>72</v>
      </c>
      <c r="B730" s="1" t="s">
        <v>6155</v>
      </c>
      <c r="C730" s="1" t="s">
        <v>74</v>
      </c>
      <c r="D730" s="1" t="s">
        <v>74</v>
      </c>
      <c r="E730" s="1" t="s">
        <v>74</v>
      </c>
      <c r="F730" s="1" t="s">
        <v>6156</v>
      </c>
      <c r="G730" s="1" t="s">
        <v>74</v>
      </c>
      <c r="H730" s="1" t="s">
        <v>74</v>
      </c>
      <c r="I730" s="1" t="s">
        <v>6157</v>
      </c>
      <c r="J730" s="1" t="s">
        <v>2197</v>
      </c>
      <c r="K730" s="1" t="s">
        <v>74</v>
      </c>
      <c r="L730" s="1" t="s">
        <v>74</v>
      </c>
      <c r="M730" s="1" t="s">
        <v>74</v>
      </c>
      <c r="N730" s="1" t="s">
        <v>74</v>
      </c>
      <c r="O730" s="1" t="s">
        <v>74</v>
      </c>
      <c r="P730" s="1" t="s">
        <v>74</v>
      </c>
      <c r="Q730" s="1" t="s">
        <v>74</v>
      </c>
      <c r="R730" s="1" t="s">
        <v>74</v>
      </c>
      <c r="S730" s="1" t="s">
        <v>74</v>
      </c>
      <c r="T730" s="1" t="s">
        <v>74</v>
      </c>
      <c r="U730" s="1" t="s">
        <v>74</v>
      </c>
      <c r="V730" s="1" t="s">
        <v>6158</v>
      </c>
      <c r="W730" s="1" t="s">
        <v>74</v>
      </c>
      <c r="X730" s="1" t="s">
        <v>74</v>
      </c>
      <c r="Y730" s="1" t="s">
        <v>74</v>
      </c>
      <c r="Z730" s="1" t="s">
        <v>74</v>
      </c>
      <c r="AA730" s="1" t="s">
        <v>74</v>
      </c>
      <c r="AB730" s="1" t="s">
        <v>74</v>
      </c>
      <c r="AC730" s="1" t="s">
        <v>74</v>
      </c>
      <c r="AD730" s="1" t="s">
        <v>74</v>
      </c>
      <c r="AE730" s="1" t="s">
        <v>74</v>
      </c>
      <c r="AF730" s="1" t="s">
        <v>74</v>
      </c>
      <c r="AG730" s="1" t="s">
        <v>74</v>
      </c>
      <c r="AH730" s="1" t="s">
        <v>74</v>
      </c>
      <c r="AI730" s="1" t="s">
        <v>74</v>
      </c>
      <c r="AJ730" s="1" t="s">
        <v>74</v>
      </c>
      <c r="AK730" s="1" t="s">
        <v>74</v>
      </c>
      <c r="AL730" s="1" t="s">
        <v>74</v>
      </c>
      <c r="AM730" s="1" t="s">
        <v>74</v>
      </c>
      <c r="AN730" s="1" t="s">
        <v>74</v>
      </c>
      <c r="AO730" s="1" t="s">
        <v>2199</v>
      </c>
      <c r="AP730" s="1" t="s">
        <v>74</v>
      </c>
      <c r="AQ730" s="1" t="s">
        <v>74</v>
      </c>
      <c r="AR730" s="1" t="s">
        <v>74</v>
      </c>
      <c r="AS730" s="1" t="s">
        <v>74</v>
      </c>
      <c r="AT730" s="1" t="s">
        <v>299</v>
      </c>
      <c r="AU730" s="1">
        <v>2020.0</v>
      </c>
      <c r="AV730" s="1">
        <v>49.0</v>
      </c>
      <c r="AW730" s="1" t="s">
        <v>74</v>
      </c>
      <c r="AX730" s="1" t="s">
        <v>74</v>
      </c>
      <c r="AY730" s="1" t="s">
        <v>74</v>
      </c>
      <c r="AZ730" s="1" t="s">
        <v>74</v>
      </c>
      <c r="BA730" s="1" t="s">
        <v>74</v>
      </c>
      <c r="BB730" s="1">
        <v>292.0</v>
      </c>
      <c r="BC730" s="1">
        <v>311.0</v>
      </c>
      <c r="BD730" s="1" t="s">
        <v>74</v>
      </c>
      <c r="BE730" s="1" t="s">
        <v>74</v>
      </c>
      <c r="BF730" s="1" t="s">
        <v>74</v>
      </c>
      <c r="BG730" s="1" t="s">
        <v>74</v>
      </c>
      <c r="BH730" s="1" t="s">
        <v>74</v>
      </c>
      <c r="BI730" s="1" t="s">
        <v>74</v>
      </c>
      <c r="BJ730" s="1" t="s">
        <v>74</v>
      </c>
      <c r="BK730" s="1" t="s">
        <v>74</v>
      </c>
      <c r="BL730" s="1" t="s">
        <v>74</v>
      </c>
      <c r="BM730" s="1" t="s">
        <v>74</v>
      </c>
      <c r="BN730" s="1" t="s">
        <v>74</v>
      </c>
      <c r="BO730" s="1" t="s">
        <v>74</v>
      </c>
      <c r="BP730" s="1" t="s">
        <v>74</v>
      </c>
      <c r="BQ730" s="1" t="s">
        <v>74</v>
      </c>
      <c r="BR730" s="1" t="s">
        <v>74</v>
      </c>
      <c r="BS730" s="1" t="s">
        <v>6159</v>
      </c>
      <c r="BT730" s="1" t="str">
        <f>HYPERLINK("https%3A%2F%2Fwww.webofscience.com%2Fwos%2Fwoscc%2Ffull-record%2FWOS:000614863100006","View Full Record in Web of Science")</f>
        <v>View Full Record in Web of Science</v>
      </c>
    </row>
    <row r="731" ht="12.75" customHeight="1">
      <c r="A731" s="1" t="s">
        <v>454</v>
      </c>
      <c r="B731" s="1" t="s">
        <v>6160</v>
      </c>
      <c r="C731" s="1" t="s">
        <v>74</v>
      </c>
      <c r="D731" s="1" t="s">
        <v>501</v>
      </c>
      <c r="E731" s="1" t="s">
        <v>74</v>
      </c>
      <c r="F731" s="1" t="s">
        <v>6161</v>
      </c>
      <c r="G731" s="1" t="s">
        <v>74</v>
      </c>
      <c r="H731" s="1" t="s">
        <v>74</v>
      </c>
      <c r="I731" s="1" t="s">
        <v>6162</v>
      </c>
      <c r="J731" s="1" t="s">
        <v>504</v>
      </c>
      <c r="K731" s="1" t="s">
        <v>505</v>
      </c>
      <c r="L731" s="1" t="s">
        <v>74</v>
      </c>
      <c r="M731" s="1" t="s">
        <v>74</v>
      </c>
      <c r="N731" s="1" t="s">
        <v>74</v>
      </c>
      <c r="O731" s="1" t="s">
        <v>74</v>
      </c>
      <c r="P731" s="1" t="s">
        <v>74</v>
      </c>
      <c r="Q731" s="1" t="s">
        <v>74</v>
      </c>
      <c r="R731" s="1" t="s">
        <v>74</v>
      </c>
      <c r="S731" s="1" t="s">
        <v>74</v>
      </c>
      <c r="T731" s="1" t="s">
        <v>74</v>
      </c>
      <c r="U731" s="1" t="s">
        <v>74</v>
      </c>
      <c r="V731" s="1" t="s">
        <v>74</v>
      </c>
      <c r="W731" s="1" t="s">
        <v>74</v>
      </c>
      <c r="X731" s="1" t="s">
        <v>74</v>
      </c>
      <c r="Y731" s="1" t="s">
        <v>74</v>
      </c>
      <c r="Z731" s="1" t="s">
        <v>74</v>
      </c>
      <c r="AA731" s="1" t="s">
        <v>74</v>
      </c>
      <c r="AB731" s="1" t="s">
        <v>74</v>
      </c>
      <c r="AC731" s="1" t="s">
        <v>74</v>
      </c>
      <c r="AD731" s="1" t="s">
        <v>74</v>
      </c>
      <c r="AE731" s="1" t="s">
        <v>74</v>
      </c>
      <c r="AF731" s="1" t="s">
        <v>74</v>
      </c>
      <c r="AG731" s="1" t="s">
        <v>74</v>
      </c>
      <c r="AH731" s="1" t="s">
        <v>74</v>
      </c>
      <c r="AI731" s="1" t="s">
        <v>74</v>
      </c>
      <c r="AJ731" s="1" t="s">
        <v>74</v>
      </c>
      <c r="AK731" s="1" t="s">
        <v>74</v>
      </c>
      <c r="AL731" s="1" t="s">
        <v>74</v>
      </c>
      <c r="AM731" s="1" t="s">
        <v>74</v>
      </c>
      <c r="AN731" s="1" t="s">
        <v>74</v>
      </c>
      <c r="AO731" s="1" t="s">
        <v>74</v>
      </c>
      <c r="AP731" s="1" t="s">
        <v>74</v>
      </c>
      <c r="AQ731" s="1" t="s">
        <v>506</v>
      </c>
      <c r="AR731" s="1" t="s">
        <v>74</v>
      </c>
      <c r="AS731" s="1" t="s">
        <v>74</v>
      </c>
      <c r="AT731" s="1" t="s">
        <v>74</v>
      </c>
      <c r="AU731" s="1">
        <v>2020.0</v>
      </c>
      <c r="AV731" s="1">
        <v>8.0</v>
      </c>
      <c r="AW731" s="1" t="s">
        <v>74</v>
      </c>
      <c r="AX731" s="1" t="s">
        <v>74</v>
      </c>
      <c r="AY731" s="1" t="s">
        <v>74</v>
      </c>
      <c r="AZ731" s="1" t="s">
        <v>74</v>
      </c>
      <c r="BA731" s="1" t="s">
        <v>74</v>
      </c>
      <c r="BB731" s="1">
        <v>109.0</v>
      </c>
      <c r="BC731" s="1">
        <v>113.0</v>
      </c>
      <c r="BD731" s="1" t="s">
        <v>74</v>
      </c>
      <c r="BE731" s="1" t="s">
        <v>74</v>
      </c>
      <c r="BF731" s="1" t="s">
        <v>74</v>
      </c>
      <c r="BG731" s="1" t="s">
        <v>74</v>
      </c>
      <c r="BH731" s="1" t="s">
        <v>74</v>
      </c>
      <c r="BI731" s="1" t="s">
        <v>74</v>
      </c>
      <c r="BJ731" s="1" t="s">
        <v>74</v>
      </c>
      <c r="BK731" s="1" t="s">
        <v>74</v>
      </c>
      <c r="BL731" s="1" t="s">
        <v>74</v>
      </c>
      <c r="BM731" s="1" t="s">
        <v>74</v>
      </c>
      <c r="BN731" s="1" t="s">
        <v>74</v>
      </c>
      <c r="BO731" s="1" t="s">
        <v>74</v>
      </c>
      <c r="BP731" s="1" t="s">
        <v>74</v>
      </c>
      <c r="BQ731" s="1" t="s">
        <v>74</v>
      </c>
      <c r="BR731" s="1" t="s">
        <v>74</v>
      </c>
      <c r="BS731" s="1" t="s">
        <v>6163</v>
      </c>
      <c r="BT731" s="1" t="str">
        <f>HYPERLINK("https%3A%2F%2Fwww.webofscience.com%2Fwos%2Fwoscc%2Ffull-record%2FWOS:000608865900026","View Full Record in Web of Science")</f>
        <v>View Full Record in Web of Science</v>
      </c>
    </row>
    <row r="732" ht="12.75" customHeight="1">
      <c r="A732" s="1" t="s">
        <v>72</v>
      </c>
      <c r="B732" s="1" t="s">
        <v>6164</v>
      </c>
      <c r="C732" s="1" t="s">
        <v>74</v>
      </c>
      <c r="D732" s="1" t="s">
        <v>74</v>
      </c>
      <c r="E732" s="1" t="s">
        <v>74</v>
      </c>
      <c r="F732" s="1" t="s">
        <v>6165</v>
      </c>
      <c r="G732" s="1" t="s">
        <v>74</v>
      </c>
      <c r="H732" s="1" t="s">
        <v>74</v>
      </c>
      <c r="I732" s="1" t="s">
        <v>6166</v>
      </c>
      <c r="J732" s="1" t="s">
        <v>6167</v>
      </c>
      <c r="K732" s="1" t="s">
        <v>74</v>
      </c>
      <c r="L732" s="1" t="s">
        <v>74</v>
      </c>
      <c r="M732" s="1" t="s">
        <v>74</v>
      </c>
      <c r="N732" s="1" t="s">
        <v>74</v>
      </c>
      <c r="O732" s="1" t="s">
        <v>74</v>
      </c>
      <c r="P732" s="1" t="s">
        <v>74</v>
      </c>
      <c r="Q732" s="1" t="s">
        <v>74</v>
      </c>
      <c r="R732" s="1" t="s">
        <v>74</v>
      </c>
      <c r="S732" s="1" t="s">
        <v>74</v>
      </c>
      <c r="T732" s="1" t="s">
        <v>74</v>
      </c>
      <c r="U732" s="1" t="s">
        <v>74</v>
      </c>
      <c r="V732" s="1" t="s">
        <v>6168</v>
      </c>
      <c r="W732" s="1" t="s">
        <v>74</v>
      </c>
      <c r="X732" s="1" t="s">
        <v>74</v>
      </c>
      <c r="Y732" s="1" t="s">
        <v>74</v>
      </c>
      <c r="Z732" s="1" t="s">
        <v>74</v>
      </c>
      <c r="AA732" s="1" t="s">
        <v>6169</v>
      </c>
      <c r="AB732" s="1" t="s">
        <v>6170</v>
      </c>
      <c r="AC732" s="1" t="s">
        <v>74</v>
      </c>
      <c r="AD732" s="1" t="s">
        <v>74</v>
      </c>
      <c r="AE732" s="1" t="s">
        <v>74</v>
      </c>
      <c r="AF732" s="1" t="s">
        <v>74</v>
      </c>
      <c r="AG732" s="1" t="s">
        <v>74</v>
      </c>
      <c r="AH732" s="1" t="s">
        <v>74</v>
      </c>
      <c r="AI732" s="1" t="s">
        <v>74</v>
      </c>
      <c r="AJ732" s="1" t="s">
        <v>74</v>
      </c>
      <c r="AK732" s="1" t="s">
        <v>74</v>
      </c>
      <c r="AL732" s="1" t="s">
        <v>74</v>
      </c>
      <c r="AM732" s="1" t="s">
        <v>74</v>
      </c>
      <c r="AN732" s="1" t="s">
        <v>74</v>
      </c>
      <c r="AO732" s="1" t="s">
        <v>6171</v>
      </c>
      <c r="AP732" s="1" t="s">
        <v>6172</v>
      </c>
      <c r="AQ732" s="1" t="s">
        <v>74</v>
      </c>
      <c r="AR732" s="1" t="s">
        <v>74</v>
      </c>
      <c r="AS732" s="1" t="s">
        <v>74</v>
      </c>
      <c r="AT732" s="1" t="s">
        <v>161</v>
      </c>
      <c r="AU732" s="1">
        <v>2019.0</v>
      </c>
      <c r="AV732" s="1">
        <v>32.0</v>
      </c>
      <c r="AW732" s="1">
        <v>4.0</v>
      </c>
      <c r="AX732" s="1" t="s">
        <v>74</v>
      </c>
      <c r="AY732" s="1" t="s">
        <v>74</v>
      </c>
      <c r="AZ732" s="1" t="s">
        <v>74</v>
      </c>
      <c r="BA732" s="1" t="s">
        <v>74</v>
      </c>
      <c r="BB732" s="1">
        <v>335.0</v>
      </c>
      <c r="BC732" s="1">
        <v>344.0</v>
      </c>
      <c r="BD732" s="1" t="s">
        <v>74</v>
      </c>
      <c r="BE732" s="1" t="s">
        <v>6173</v>
      </c>
      <c r="BF732" s="2" t="str">
        <f>HYPERLINK("http://dx.doi.org/10.1002/leap.1257","http://dx.doi.org/10.1002/leap.1257")</f>
        <v>http://dx.doi.org/10.1002/leap.1257</v>
      </c>
      <c r="BG732" s="1" t="s">
        <v>74</v>
      </c>
      <c r="BH732" s="1" t="s">
        <v>74</v>
      </c>
      <c r="BI732" s="1" t="s">
        <v>74</v>
      </c>
      <c r="BJ732" s="1" t="s">
        <v>74</v>
      </c>
      <c r="BK732" s="1" t="s">
        <v>74</v>
      </c>
      <c r="BL732" s="1" t="s">
        <v>74</v>
      </c>
      <c r="BM732" s="1" t="s">
        <v>74</v>
      </c>
      <c r="BN732" s="1" t="s">
        <v>74</v>
      </c>
      <c r="BO732" s="1" t="s">
        <v>74</v>
      </c>
      <c r="BP732" s="1" t="s">
        <v>74</v>
      </c>
      <c r="BQ732" s="1" t="s">
        <v>74</v>
      </c>
      <c r="BR732" s="1" t="s">
        <v>74</v>
      </c>
      <c r="BS732" s="1" t="s">
        <v>6174</v>
      </c>
      <c r="BT732" s="1" t="str">
        <f>HYPERLINK("https%3A%2F%2Fwww.webofscience.com%2Fwos%2Fwoscc%2Ffull-record%2FWOS:000488391600006","View Full Record in Web of Science")</f>
        <v>View Full Record in Web of Science</v>
      </c>
    </row>
    <row r="733" ht="12.75" customHeight="1">
      <c r="A733" s="1" t="s">
        <v>72</v>
      </c>
      <c r="B733" s="1" t="s">
        <v>6175</v>
      </c>
      <c r="C733" s="1" t="s">
        <v>74</v>
      </c>
      <c r="D733" s="1" t="s">
        <v>74</v>
      </c>
      <c r="E733" s="1" t="s">
        <v>74</v>
      </c>
      <c r="F733" s="1" t="s">
        <v>6176</v>
      </c>
      <c r="G733" s="1" t="s">
        <v>74</v>
      </c>
      <c r="H733" s="1" t="s">
        <v>74</v>
      </c>
      <c r="I733" s="1" t="s">
        <v>6177</v>
      </c>
      <c r="J733" s="1" t="s">
        <v>6178</v>
      </c>
      <c r="K733" s="1" t="s">
        <v>74</v>
      </c>
      <c r="L733" s="1" t="s">
        <v>74</v>
      </c>
      <c r="M733" s="1" t="s">
        <v>74</v>
      </c>
      <c r="N733" s="1" t="s">
        <v>74</v>
      </c>
      <c r="O733" s="1" t="s">
        <v>74</v>
      </c>
      <c r="P733" s="1" t="s">
        <v>74</v>
      </c>
      <c r="Q733" s="1" t="s">
        <v>74</v>
      </c>
      <c r="R733" s="1" t="s">
        <v>74</v>
      </c>
      <c r="S733" s="1" t="s">
        <v>74</v>
      </c>
      <c r="T733" s="1" t="s">
        <v>74</v>
      </c>
      <c r="U733" s="1" t="s">
        <v>74</v>
      </c>
      <c r="V733" s="1" t="s">
        <v>74</v>
      </c>
      <c r="W733" s="1" t="s">
        <v>74</v>
      </c>
      <c r="X733" s="1" t="s">
        <v>74</v>
      </c>
      <c r="Y733" s="1" t="s">
        <v>74</v>
      </c>
      <c r="Z733" s="1" t="s">
        <v>74</v>
      </c>
      <c r="AA733" s="1" t="s">
        <v>74</v>
      </c>
      <c r="AB733" s="1" t="s">
        <v>74</v>
      </c>
      <c r="AC733" s="1" t="s">
        <v>74</v>
      </c>
      <c r="AD733" s="1" t="s">
        <v>74</v>
      </c>
      <c r="AE733" s="1" t="s">
        <v>74</v>
      </c>
      <c r="AF733" s="1" t="s">
        <v>74</v>
      </c>
      <c r="AG733" s="1" t="s">
        <v>74</v>
      </c>
      <c r="AH733" s="1" t="s">
        <v>74</v>
      </c>
      <c r="AI733" s="1" t="s">
        <v>74</v>
      </c>
      <c r="AJ733" s="1" t="s">
        <v>74</v>
      </c>
      <c r="AK733" s="1" t="s">
        <v>74</v>
      </c>
      <c r="AL733" s="1" t="s">
        <v>74</v>
      </c>
      <c r="AM733" s="1" t="s">
        <v>74</v>
      </c>
      <c r="AN733" s="1" t="s">
        <v>74</v>
      </c>
      <c r="AO733" s="1" t="s">
        <v>6179</v>
      </c>
      <c r="AP733" s="1" t="s">
        <v>6180</v>
      </c>
      <c r="AQ733" s="1" t="s">
        <v>74</v>
      </c>
      <c r="AR733" s="1" t="s">
        <v>74</v>
      </c>
      <c r="AS733" s="1" t="s">
        <v>74</v>
      </c>
      <c r="AT733" s="1" t="s">
        <v>6181</v>
      </c>
      <c r="AU733" s="1">
        <v>2019.0</v>
      </c>
      <c r="AV733" s="1">
        <v>31.0</v>
      </c>
      <c r="AW733" s="1" t="s">
        <v>74</v>
      </c>
      <c r="AX733" s="1" t="s">
        <v>74</v>
      </c>
      <c r="AY733" s="1">
        <v>1.0</v>
      </c>
      <c r="AZ733" s="1" t="s">
        <v>74</v>
      </c>
      <c r="BA733" s="1" t="s">
        <v>74</v>
      </c>
      <c r="BB733" s="1" t="s">
        <v>6182</v>
      </c>
      <c r="BC733" s="1" t="s">
        <v>6183</v>
      </c>
      <c r="BD733" s="1" t="s">
        <v>74</v>
      </c>
      <c r="BE733" s="1" t="s">
        <v>74</v>
      </c>
      <c r="BF733" s="1" t="s">
        <v>74</v>
      </c>
      <c r="BG733" s="1" t="s">
        <v>74</v>
      </c>
      <c r="BH733" s="1" t="s">
        <v>74</v>
      </c>
      <c r="BI733" s="1" t="s">
        <v>74</v>
      </c>
      <c r="BJ733" s="1" t="s">
        <v>74</v>
      </c>
      <c r="BK733" s="1" t="s">
        <v>74</v>
      </c>
      <c r="BL733" s="1" t="s">
        <v>74</v>
      </c>
      <c r="BM733" s="1" t="s">
        <v>74</v>
      </c>
      <c r="BN733" s="1" t="s">
        <v>74</v>
      </c>
      <c r="BO733" s="1" t="s">
        <v>74</v>
      </c>
      <c r="BP733" s="1" t="s">
        <v>74</v>
      </c>
      <c r="BQ733" s="1" t="s">
        <v>74</v>
      </c>
      <c r="BR733" s="1" t="s">
        <v>74</v>
      </c>
      <c r="BS733" s="1" t="s">
        <v>6184</v>
      </c>
      <c r="BT733" s="1" t="str">
        <f>HYPERLINK("https%3A%2F%2Fwww.webofscience.com%2Fwos%2Fwoscc%2Ffull-record%2FWOS:000489340404141","View Full Record in Web of Science")</f>
        <v>View Full Record in Web of Science</v>
      </c>
    </row>
    <row r="734" ht="12.75" customHeight="1">
      <c r="A734" s="1" t="s">
        <v>72</v>
      </c>
      <c r="B734" s="1" t="s">
        <v>6185</v>
      </c>
      <c r="C734" s="1" t="s">
        <v>74</v>
      </c>
      <c r="D734" s="1" t="s">
        <v>74</v>
      </c>
      <c r="E734" s="1" t="s">
        <v>74</v>
      </c>
      <c r="F734" s="1" t="s">
        <v>6186</v>
      </c>
      <c r="G734" s="1" t="s">
        <v>74</v>
      </c>
      <c r="H734" s="1" t="s">
        <v>74</v>
      </c>
      <c r="I734" s="1" t="s">
        <v>6187</v>
      </c>
      <c r="J734" s="1" t="s">
        <v>6188</v>
      </c>
      <c r="K734" s="1" t="s">
        <v>74</v>
      </c>
      <c r="L734" s="1" t="s">
        <v>74</v>
      </c>
      <c r="M734" s="1" t="s">
        <v>74</v>
      </c>
      <c r="N734" s="1" t="s">
        <v>74</v>
      </c>
      <c r="O734" s="1" t="s">
        <v>74</v>
      </c>
      <c r="P734" s="1" t="s">
        <v>74</v>
      </c>
      <c r="Q734" s="1" t="s">
        <v>74</v>
      </c>
      <c r="R734" s="1" t="s">
        <v>74</v>
      </c>
      <c r="S734" s="1" t="s">
        <v>74</v>
      </c>
      <c r="T734" s="1" t="s">
        <v>74</v>
      </c>
      <c r="U734" s="1" t="s">
        <v>74</v>
      </c>
      <c r="V734" s="1" t="s">
        <v>6189</v>
      </c>
      <c r="W734" s="1" t="s">
        <v>74</v>
      </c>
      <c r="X734" s="1" t="s">
        <v>74</v>
      </c>
      <c r="Y734" s="1" t="s">
        <v>74</v>
      </c>
      <c r="Z734" s="1" t="s">
        <v>74</v>
      </c>
      <c r="AA734" s="1" t="s">
        <v>2803</v>
      </c>
      <c r="AB734" s="1" t="s">
        <v>6190</v>
      </c>
      <c r="AC734" s="1" t="s">
        <v>74</v>
      </c>
      <c r="AD734" s="1" t="s">
        <v>74</v>
      </c>
      <c r="AE734" s="1" t="s">
        <v>74</v>
      </c>
      <c r="AF734" s="1" t="s">
        <v>74</v>
      </c>
      <c r="AG734" s="1" t="s">
        <v>74</v>
      </c>
      <c r="AH734" s="1" t="s">
        <v>74</v>
      </c>
      <c r="AI734" s="1" t="s">
        <v>74</v>
      </c>
      <c r="AJ734" s="1" t="s">
        <v>74</v>
      </c>
      <c r="AK734" s="1" t="s">
        <v>74</v>
      </c>
      <c r="AL734" s="1" t="s">
        <v>74</v>
      </c>
      <c r="AM734" s="1" t="s">
        <v>74</v>
      </c>
      <c r="AN734" s="1" t="s">
        <v>74</v>
      </c>
      <c r="AO734" s="1" t="s">
        <v>6191</v>
      </c>
      <c r="AP734" s="1" t="s">
        <v>6192</v>
      </c>
      <c r="AQ734" s="1" t="s">
        <v>74</v>
      </c>
      <c r="AR734" s="1" t="s">
        <v>74</v>
      </c>
      <c r="AS734" s="1" t="s">
        <v>74</v>
      </c>
      <c r="AT734" s="1" t="s">
        <v>6193</v>
      </c>
      <c r="AU734" s="1">
        <v>2019.0</v>
      </c>
      <c r="AV734" s="1">
        <v>41.0</v>
      </c>
      <c r="AW734" s="1">
        <v>9.0</v>
      </c>
      <c r="AX734" s="1" t="s">
        <v>74</v>
      </c>
      <c r="AY734" s="1" t="s">
        <v>74</v>
      </c>
      <c r="AZ734" s="1" t="s">
        <v>74</v>
      </c>
      <c r="BA734" s="1" t="s">
        <v>74</v>
      </c>
      <c r="BB734" s="1" t="s">
        <v>74</v>
      </c>
      <c r="BC734" s="1" t="s">
        <v>74</v>
      </c>
      <c r="BD734" s="1">
        <v>356.0</v>
      </c>
      <c r="BE734" s="1" t="s">
        <v>6194</v>
      </c>
      <c r="BF734" s="2" t="str">
        <f>HYPERLINK("http://dx.doi.org/10.1007/s40430-019-1852-2","http://dx.doi.org/10.1007/s40430-019-1852-2")</f>
        <v>http://dx.doi.org/10.1007/s40430-019-1852-2</v>
      </c>
      <c r="BG734" s="1" t="s">
        <v>74</v>
      </c>
      <c r="BH734" s="1" t="s">
        <v>74</v>
      </c>
      <c r="BI734" s="1" t="s">
        <v>74</v>
      </c>
      <c r="BJ734" s="1" t="s">
        <v>74</v>
      </c>
      <c r="BK734" s="1" t="s">
        <v>74</v>
      </c>
      <c r="BL734" s="1" t="s">
        <v>74</v>
      </c>
      <c r="BM734" s="1" t="s">
        <v>74</v>
      </c>
      <c r="BN734" s="1" t="s">
        <v>74</v>
      </c>
      <c r="BO734" s="1" t="s">
        <v>74</v>
      </c>
      <c r="BP734" s="1" t="s">
        <v>74</v>
      </c>
      <c r="BQ734" s="1" t="s">
        <v>74</v>
      </c>
      <c r="BR734" s="1" t="s">
        <v>74</v>
      </c>
      <c r="BS734" s="1" t="s">
        <v>6195</v>
      </c>
      <c r="BT734" s="1" t="str">
        <f>HYPERLINK("https%3A%2F%2Fwww.webofscience.com%2Fwos%2Fwoscc%2Ffull-record%2FWOS:000480470500002","View Full Record in Web of Science")</f>
        <v>View Full Record in Web of Science</v>
      </c>
    </row>
    <row r="735" ht="12.75" customHeight="1">
      <c r="A735" s="1" t="s">
        <v>72</v>
      </c>
      <c r="B735" s="1" t="s">
        <v>6196</v>
      </c>
      <c r="C735" s="1" t="s">
        <v>74</v>
      </c>
      <c r="D735" s="1" t="s">
        <v>74</v>
      </c>
      <c r="E735" s="1" t="s">
        <v>74</v>
      </c>
      <c r="F735" s="1" t="s">
        <v>6197</v>
      </c>
      <c r="G735" s="1" t="s">
        <v>74</v>
      </c>
      <c r="H735" s="1" t="s">
        <v>74</v>
      </c>
      <c r="I735" s="1" t="s">
        <v>6198</v>
      </c>
      <c r="J735" s="1" t="s">
        <v>842</v>
      </c>
      <c r="K735" s="1" t="s">
        <v>74</v>
      </c>
      <c r="L735" s="1" t="s">
        <v>74</v>
      </c>
      <c r="M735" s="1" t="s">
        <v>74</v>
      </c>
      <c r="N735" s="1" t="s">
        <v>74</v>
      </c>
      <c r="O735" s="1" t="s">
        <v>74</v>
      </c>
      <c r="P735" s="1" t="s">
        <v>74</v>
      </c>
      <c r="Q735" s="1" t="s">
        <v>74</v>
      </c>
      <c r="R735" s="1" t="s">
        <v>74</v>
      </c>
      <c r="S735" s="1" t="s">
        <v>74</v>
      </c>
      <c r="T735" s="1" t="s">
        <v>74</v>
      </c>
      <c r="U735" s="1" t="s">
        <v>74</v>
      </c>
      <c r="V735" s="1" t="s">
        <v>74</v>
      </c>
      <c r="W735" s="1" t="s">
        <v>74</v>
      </c>
      <c r="X735" s="1" t="s">
        <v>74</v>
      </c>
      <c r="Y735" s="1" t="s">
        <v>74</v>
      </c>
      <c r="Z735" s="1" t="s">
        <v>74</v>
      </c>
      <c r="AA735" s="1" t="s">
        <v>74</v>
      </c>
      <c r="AB735" s="1" t="s">
        <v>5343</v>
      </c>
      <c r="AC735" s="1" t="s">
        <v>74</v>
      </c>
      <c r="AD735" s="1" t="s">
        <v>74</v>
      </c>
      <c r="AE735" s="1" t="s">
        <v>74</v>
      </c>
      <c r="AF735" s="1" t="s">
        <v>74</v>
      </c>
      <c r="AG735" s="1" t="s">
        <v>74</v>
      </c>
      <c r="AH735" s="1" t="s">
        <v>74</v>
      </c>
      <c r="AI735" s="1" t="s">
        <v>74</v>
      </c>
      <c r="AJ735" s="1" t="s">
        <v>74</v>
      </c>
      <c r="AK735" s="1" t="s">
        <v>74</v>
      </c>
      <c r="AL735" s="1" t="s">
        <v>74</v>
      </c>
      <c r="AM735" s="1" t="s">
        <v>74</v>
      </c>
      <c r="AN735" s="1" t="s">
        <v>74</v>
      </c>
      <c r="AO735" s="1" t="s">
        <v>846</v>
      </c>
      <c r="AP735" s="1" t="s">
        <v>4545</v>
      </c>
      <c r="AQ735" s="1" t="s">
        <v>74</v>
      </c>
      <c r="AR735" s="1" t="s">
        <v>74</v>
      </c>
      <c r="AS735" s="1" t="s">
        <v>74</v>
      </c>
      <c r="AT735" s="1" t="s">
        <v>1176</v>
      </c>
      <c r="AU735" s="1">
        <v>2019.0</v>
      </c>
      <c r="AV735" s="1">
        <v>91.0</v>
      </c>
      <c r="AW735" s="1" t="s">
        <v>74</v>
      </c>
      <c r="AX735" s="1" t="s">
        <v>74</v>
      </c>
      <c r="AY735" s="1" t="s">
        <v>74</v>
      </c>
      <c r="AZ735" s="1" t="s">
        <v>74</v>
      </c>
      <c r="BA735" s="1" t="s">
        <v>6199</v>
      </c>
      <c r="BB735" s="1">
        <v>394.0</v>
      </c>
      <c r="BC735" s="1">
        <v>394.0</v>
      </c>
      <c r="BD735" s="1" t="s">
        <v>74</v>
      </c>
      <c r="BE735" s="1" t="s">
        <v>6200</v>
      </c>
      <c r="BF735" s="2" t="str">
        <f>HYPERLINK("http://dx.doi.org/10.1016/j.fsi.2019.04.083","http://dx.doi.org/10.1016/j.fsi.2019.04.083")</f>
        <v>http://dx.doi.org/10.1016/j.fsi.2019.04.083</v>
      </c>
      <c r="BG735" s="1" t="s">
        <v>74</v>
      </c>
      <c r="BH735" s="1" t="s">
        <v>74</v>
      </c>
      <c r="BI735" s="1" t="s">
        <v>74</v>
      </c>
      <c r="BJ735" s="1" t="s">
        <v>74</v>
      </c>
      <c r="BK735" s="1" t="s">
        <v>74</v>
      </c>
      <c r="BL735" s="1" t="s">
        <v>74</v>
      </c>
      <c r="BM735" s="1" t="s">
        <v>74</v>
      </c>
      <c r="BN735" s="1" t="s">
        <v>74</v>
      </c>
      <c r="BO735" s="1" t="s">
        <v>74</v>
      </c>
      <c r="BP735" s="1" t="s">
        <v>74</v>
      </c>
      <c r="BQ735" s="1" t="s">
        <v>74</v>
      </c>
      <c r="BR735" s="1" t="s">
        <v>74</v>
      </c>
      <c r="BS735" s="1" t="s">
        <v>6201</v>
      </c>
      <c r="BT735" s="1" t="str">
        <f>HYPERLINK("https%3A%2F%2Fwww.webofscience.com%2Fwos%2Fwoscc%2Ffull-record%2FWOS:000474676700056","View Full Record in Web of Science")</f>
        <v>View Full Record in Web of Science</v>
      </c>
    </row>
    <row r="736" ht="12.75" customHeight="1">
      <c r="A736" s="1" t="s">
        <v>72</v>
      </c>
      <c r="B736" s="1" t="s">
        <v>6202</v>
      </c>
      <c r="C736" s="1" t="s">
        <v>74</v>
      </c>
      <c r="D736" s="1" t="s">
        <v>74</v>
      </c>
      <c r="E736" s="1" t="s">
        <v>74</v>
      </c>
      <c r="F736" s="1" t="s">
        <v>6203</v>
      </c>
      <c r="G736" s="1" t="s">
        <v>74</v>
      </c>
      <c r="H736" s="1" t="s">
        <v>74</v>
      </c>
      <c r="I736" s="1" t="s">
        <v>6204</v>
      </c>
      <c r="J736" s="1" t="s">
        <v>6205</v>
      </c>
      <c r="K736" s="1" t="s">
        <v>74</v>
      </c>
      <c r="L736" s="1" t="s">
        <v>74</v>
      </c>
      <c r="M736" s="1" t="s">
        <v>74</v>
      </c>
      <c r="N736" s="1" t="s">
        <v>74</v>
      </c>
      <c r="O736" s="1" t="s">
        <v>74</v>
      </c>
      <c r="P736" s="1" t="s">
        <v>74</v>
      </c>
      <c r="Q736" s="1" t="s">
        <v>74</v>
      </c>
      <c r="R736" s="1" t="s">
        <v>74</v>
      </c>
      <c r="S736" s="1" t="s">
        <v>74</v>
      </c>
      <c r="T736" s="1" t="s">
        <v>74</v>
      </c>
      <c r="U736" s="1" t="s">
        <v>74</v>
      </c>
      <c r="V736" s="1" t="s">
        <v>6206</v>
      </c>
      <c r="W736" s="1" t="s">
        <v>74</v>
      </c>
      <c r="X736" s="1" t="s">
        <v>74</v>
      </c>
      <c r="Y736" s="1" t="s">
        <v>74</v>
      </c>
      <c r="Z736" s="1" t="s">
        <v>74</v>
      </c>
      <c r="AA736" s="1" t="s">
        <v>6207</v>
      </c>
      <c r="AB736" s="1" t="s">
        <v>6208</v>
      </c>
      <c r="AC736" s="1" t="s">
        <v>74</v>
      </c>
      <c r="AD736" s="1" t="s">
        <v>74</v>
      </c>
      <c r="AE736" s="1" t="s">
        <v>74</v>
      </c>
      <c r="AF736" s="1" t="s">
        <v>74</v>
      </c>
      <c r="AG736" s="1" t="s">
        <v>74</v>
      </c>
      <c r="AH736" s="1" t="s">
        <v>74</v>
      </c>
      <c r="AI736" s="1" t="s">
        <v>74</v>
      </c>
      <c r="AJ736" s="1" t="s">
        <v>74</v>
      </c>
      <c r="AK736" s="1" t="s">
        <v>74</v>
      </c>
      <c r="AL736" s="1" t="s">
        <v>74</v>
      </c>
      <c r="AM736" s="1" t="s">
        <v>74</v>
      </c>
      <c r="AN736" s="1" t="s">
        <v>74</v>
      </c>
      <c r="AO736" s="1" t="s">
        <v>6209</v>
      </c>
      <c r="AP736" s="1" t="s">
        <v>6210</v>
      </c>
      <c r="AQ736" s="1" t="s">
        <v>74</v>
      </c>
      <c r="AR736" s="1" t="s">
        <v>74</v>
      </c>
      <c r="AS736" s="1" t="s">
        <v>74</v>
      </c>
      <c r="AT736" s="1" t="s">
        <v>646</v>
      </c>
      <c r="AU736" s="1">
        <v>2019.0</v>
      </c>
      <c r="AV736" s="1">
        <v>39.0</v>
      </c>
      <c r="AW736" s="1">
        <v>2.0</v>
      </c>
      <c r="AX736" s="1" t="s">
        <v>74</v>
      </c>
      <c r="AY736" s="1" t="s">
        <v>74</v>
      </c>
      <c r="AZ736" s="1" t="s">
        <v>74</v>
      </c>
      <c r="BA736" s="1" t="s">
        <v>74</v>
      </c>
      <c r="BB736" s="1">
        <v>432.0</v>
      </c>
      <c r="BC736" s="1">
        <v>435.0</v>
      </c>
      <c r="BD736" s="1" t="s">
        <v>74</v>
      </c>
      <c r="BE736" s="1" t="s">
        <v>6211</v>
      </c>
      <c r="BF736" s="2" t="str">
        <f>HYPERLINK("http://dx.doi.org/10.1590/fst.25117","http://dx.doi.org/10.1590/fst.25117")</f>
        <v>http://dx.doi.org/10.1590/fst.25117</v>
      </c>
      <c r="BG736" s="1" t="s">
        <v>74</v>
      </c>
      <c r="BH736" s="1" t="s">
        <v>74</v>
      </c>
      <c r="BI736" s="1" t="s">
        <v>74</v>
      </c>
      <c r="BJ736" s="1" t="s">
        <v>74</v>
      </c>
      <c r="BK736" s="1" t="s">
        <v>74</v>
      </c>
      <c r="BL736" s="1" t="s">
        <v>74</v>
      </c>
      <c r="BM736" s="1" t="s">
        <v>74</v>
      </c>
      <c r="BN736" s="1" t="s">
        <v>74</v>
      </c>
      <c r="BO736" s="1" t="s">
        <v>74</v>
      </c>
      <c r="BP736" s="1" t="s">
        <v>74</v>
      </c>
      <c r="BQ736" s="1" t="s">
        <v>74</v>
      </c>
      <c r="BR736" s="1" t="s">
        <v>74</v>
      </c>
      <c r="BS736" s="1" t="s">
        <v>6212</v>
      </c>
      <c r="BT736" s="1" t="str">
        <f>HYPERLINK("https%3A%2F%2Fwww.webofscience.com%2Fwos%2Fwoscc%2Ffull-record%2FWOS:000470324600025","View Full Record in Web of Science")</f>
        <v>View Full Record in Web of Science</v>
      </c>
    </row>
    <row r="737" ht="12.75" customHeight="1">
      <c r="A737" s="1" t="s">
        <v>72</v>
      </c>
      <c r="B737" s="1" t="s">
        <v>6213</v>
      </c>
      <c r="C737" s="1" t="s">
        <v>74</v>
      </c>
      <c r="D737" s="1" t="s">
        <v>74</v>
      </c>
      <c r="E737" s="1" t="s">
        <v>74</v>
      </c>
      <c r="F737" s="1" t="s">
        <v>6214</v>
      </c>
      <c r="G737" s="1" t="s">
        <v>74</v>
      </c>
      <c r="H737" s="1" t="s">
        <v>74</v>
      </c>
      <c r="I737" s="1" t="s">
        <v>6215</v>
      </c>
      <c r="J737" s="1" t="s">
        <v>1374</v>
      </c>
      <c r="K737" s="1" t="s">
        <v>74</v>
      </c>
      <c r="L737" s="1" t="s">
        <v>74</v>
      </c>
      <c r="M737" s="1" t="s">
        <v>74</v>
      </c>
      <c r="N737" s="1" t="s">
        <v>74</v>
      </c>
      <c r="O737" s="1" t="s">
        <v>74</v>
      </c>
      <c r="P737" s="1" t="s">
        <v>74</v>
      </c>
      <c r="Q737" s="1" t="s">
        <v>74</v>
      </c>
      <c r="R737" s="1" t="s">
        <v>74</v>
      </c>
      <c r="S737" s="1" t="s">
        <v>74</v>
      </c>
      <c r="T737" s="1" t="s">
        <v>74</v>
      </c>
      <c r="U737" s="1" t="s">
        <v>74</v>
      </c>
      <c r="V737" s="1" t="s">
        <v>6216</v>
      </c>
      <c r="W737" s="1" t="s">
        <v>74</v>
      </c>
      <c r="X737" s="1" t="s">
        <v>74</v>
      </c>
      <c r="Y737" s="1" t="s">
        <v>74</v>
      </c>
      <c r="Z737" s="1" t="s">
        <v>74</v>
      </c>
      <c r="AA737" s="1" t="s">
        <v>6217</v>
      </c>
      <c r="AB737" s="1" t="s">
        <v>6218</v>
      </c>
      <c r="AC737" s="1" t="s">
        <v>74</v>
      </c>
      <c r="AD737" s="1" t="s">
        <v>74</v>
      </c>
      <c r="AE737" s="1" t="s">
        <v>74</v>
      </c>
      <c r="AF737" s="1" t="s">
        <v>74</v>
      </c>
      <c r="AG737" s="1" t="s">
        <v>74</v>
      </c>
      <c r="AH737" s="1" t="s">
        <v>74</v>
      </c>
      <c r="AI737" s="1" t="s">
        <v>74</v>
      </c>
      <c r="AJ737" s="1" t="s">
        <v>74</v>
      </c>
      <c r="AK737" s="1" t="s">
        <v>74</v>
      </c>
      <c r="AL737" s="1" t="s">
        <v>74</v>
      </c>
      <c r="AM737" s="1" t="s">
        <v>74</v>
      </c>
      <c r="AN737" s="1" t="s">
        <v>74</v>
      </c>
      <c r="AO737" s="1" t="s">
        <v>74</v>
      </c>
      <c r="AP737" s="1" t="s">
        <v>1378</v>
      </c>
      <c r="AQ737" s="1" t="s">
        <v>74</v>
      </c>
      <c r="AR737" s="1" t="s">
        <v>74</v>
      </c>
      <c r="AS737" s="1" t="s">
        <v>74</v>
      </c>
      <c r="AT737" s="1" t="s">
        <v>6219</v>
      </c>
      <c r="AU737" s="1">
        <v>2019.0</v>
      </c>
      <c r="AV737" s="1">
        <v>24.0</v>
      </c>
      <c r="AW737" s="1">
        <v>4.0</v>
      </c>
      <c r="AX737" s="1" t="s">
        <v>74</v>
      </c>
      <c r="AY737" s="1" t="s">
        <v>74</v>
      </c>
      <c r="AZ737" s="1" t="s">
        <v>74</v>
      </c>
      <c r="BA737" s="1" t="s">
        <v>74</v>
      </c>
      <c r="BB737" s="1" t="s">
        <v>74</v>
      </c>
      <c r="BC737" s="1" t="s">
        <v>74</v>
      </c>
      <c r="BD737" s="1">
        <v>706.0</v>
      </c>
      <c r="BE737" s="1" t="s">
        <v>6220</v>
      </c>
      <c r="BF737" s="2" t="str">
        <f>HYPERLINK("http://dx.doi.org/10.3390/molecules24040706","http://dx.doi.org/10.3390/molecules24040706")</f>
        <v>http://dx.doi.org/10.3390/molecules24040706</v>
      </c>
      <c r="BG737" s="1" t="s">
        <v>74</v>
      </c>
      <c r="BH737" s="1" t="s">
        <v>74</v>
      </c>
      <c r="BI737" s="1" t="s">
        <v>74</v>
      </c>
      <c r="BJ737" s="1" t="s">
        <v>74</v>
      </c>
      <c r="BK737" s="1" t="s">
        <v>74</v>
      </c>
      <c r="BL737" s="1" t="s">
        <v>74</v>
      </c>
      <c r="BM737" s="1" t="s">
        <v>74</v>
      </c>
      <c r="BN737" s="1">
        <v>3.078137E7</v>
      </c>
      <c r="BO737" s="1" t="s">
        <v>74</v>
      </c>
      <c r="BP737" s="1" t="s">
        <v>74</v>
      </c>
      <c r="BQ737" s="1" t="s">
        <v>74</v>
      </c>
      <c r="BR737" s="1" t="s">
        <v>74</v>
      </c>
      <c r="BS737" s="1" t="s">
        <v>6221</v>
      </c>
      <c r="BT737" s="1" t="str">
        <f>HYPERLINK("https%3A%2F%2Fwww.webofscience.com%2Fwos%2Fwoscc%2Ffull-record%2FWOS:000460805900052","View Full Record in Web of Science")</f>
        <v>View Full Record in Web of Science</v>
      </c>
    </row>
    <row r="738" ht="12.75" customHeight="1">
      <c r="A738" s="1" t="s">
        <v>454</v>
      </c>
      <c r="B738" s="1" t="s">
        <v>6222</v>
      </c>
      <c r="C738" s="1" t="s">
        <v>74</v>
      </c>
      <c r="D738" s="1" t="s">
        <v>74</v>
      </c>
      <c r="E738" s="1" t="s">
        <v>1429</v>
      </c>
      <c r="F738" s="1" t="s">
        <v>6223</v>
      </c>
      <c r="G738" s="1" t="s">
        <v>74</v>
      </c>
      <c r="H738" s="1" t="s">
        <v>74</v>
      </c>
      <c r="I738" s="1" t="s">
        <v>6224</v>
      </c>
      <c r="J738" s="1" t="s">
        <v>1432</v>
      </c>
      <c r="K738" s="1" t="s">
        <v>74</v>
      </c>
      <c r="L738" s="1" t="s">
        <v>74</v>
      </c>
      <c r="M738" s="1" t="s">
        <v>74</v>
      </c>
      <c r="N738" s="1" t="s">
        <v>74</v>
      </c>
      <c r="O738" s="1" t="s">
        <v>74</v>
      </c>
      <c r="P738" s="1" t="s">
        <v>74</v>
      </c>
      <c r="Q738" s="1" t="s">
        <v>74</v>
      </c>
      <c r="R738" s="1" t="s">
        <v>74</v>
      </c>
      <c r="S738" s="1" t="s">
        <v>74</v>
      </c>
      <c r="T738" s="1" t="s">
        <v>74</v>
      </c>
      <c r="U738" s="1" t="s">
        <v>74</v>
      </c>
      <c r="V738" s="1" t="s">
        <v>6225</v>
      </c>
      <c r="W738" s="1" t="s">
        <v>74</v>
      </c>
      <c r="X738" s="1" t="s">
        <v>74</v>
      </c>
      <c r="Y738" s="1" t="s">
        <v>74</v>
      </c>
      <c r="Z738" s="1" t="s">
        <v>74</v>
      </c>
      <c r="AA738" s="1" t="s">
        <v>6226</v>
      </c>
      <c r="AB738" s="1" t="s">
        <v>6227</v>
      </c>
      <c r="AC738" s="1" t="s">
        <v>74</v>
      </c>
      <c r="AD738" s="1" t="s">
        <v>74</v>
      </c>
      <c r="AE738" s="1" t="s">
        <v>74</v>
      </c>
      <c r="AF738" s="1" t="s">
        <v>74</v>
      </c>
      <c r="AG738" s="1" t="s">
        <v>74</v>
      </c>
      <c r="AH738" s="1" t="s">
        <v>74</v>
      </c>
      <c r="AI738" s="1" t="s">
        <v>74</v>
      </c>
      <c r="AJ738" s="1" t="s">
        <v>74</v>
      </c>
      <c r="AK738" s="1" t="s">
        <v>74</v>
      </c>
      <c r="AL738" s="1" t="s">
        <v>74</v>
      </c>
      <c r="AM738" s="1" t="s">
        <v>74</v>
      </c>
      <c r="AN738" s="1" t="s">
        <v>74</v>
      </c>
      <c r="AO738" s="1" t="s">
        <v>74</v>
      </c>
      <c r="AP738" s="1" t="s">
        <v>74</v>
      </c>
      <c r="AQ738" s="1" t="s">
        <v>1435</v>
      </c>
      <c r="AR738" s="1" t="s">
        <v>74</v>
      </c>
      <c r="AS738" s="1" t="s">
        <v>74</v>
      </c>
      <c r="AT738" s="1" t="s">
        <v>74</v>
      </c>
      <c r="AU738" s="1">
        <v>2019.0</v>
      </c>
      <c r="AV738" s="1" t="s">
        <v>74</v>
      </c>
      <c r="AW738" s="1" t="s">
        <v>74</v>
      </c>
      <c r="AX738" s="1" t="s">
        <v>74</v>
      </c>
      <c r="AY738" s="1" t="s">
        <v>74</v>
      </c>
      <c r="AZ738" s="1" t="s">
        <v>74</v>
      </c>
      <c r="BA738" s="1" t="s">
        <v>74</v>
      </c>
      <c r="BB738" s="1">
        <v>45.0</v>
      </c>
      <c r="BC738" s="1">
        <v>61.0</v>
      </c>
      <c r="BD738" s="1" t="s">
        <v>74</v>
      </c>
      <c r="BE738" s="1" t="s">
        <v>74</v>
      </c>
      <c r="BF738" s="1" t="s">
        <v>74</v>
      </c>
      <c r="BG738" s="1" t="s">
        <v>74</v>
      </c>
      <c r="BH738" s="1" t="s">
        <v>74</v>
      </c>
      <c r="BI738" s="1" t="s">
        <v>74</v>
      </c>
      <c r="BJ738" s="1" t="s">
        <v>74</v>
      </c>
      <c r="BK738" s="1" t="s">
        <v>74</v>
      </c>
      <c r="BL738" s="1" t="s">
        <v>74</v>
      </c>
      <c r="BM738" s="1" t="s">
        <v>74</v>
      </c>
      <c r="BN738" s="1" t="s">
        <v>74</v>
      </c>
      <c r="BO738" s="1" t="s">
        <v>74</v>
      </c>
      <c r="BP738" s="1" t="s">
        <v>74</v>
      </c>
      <c r="BQ738" s="1" t="s">
        <v>74</v>
      </c>
      <c r="BR738" s="1" t="s">
        <v>74</v>
      </c>
      <c r="BS738" s="1" t="s">
        <v>6228</v>
      </c>
      <c r="BT738" s="1" t="str">
        <f>HYPERLINK("https%3A%2F%2Fwww.webofscience.com%2Fwos%2Fwoscc%2Ffull-record%2FWOS:000886992800005","View Full Record in Web of Science")</f>
        <v>View Full Record in Web of Science</v>
      </c>
    </row>
    <row r="739" ht="12.75" customHeight="1">
      <c r="A739" s="1" t="s">
        <v>91</v>
      </c>
      <c r="B739" s="1" t="s">
        <v>6229</v>
      </c>
      <c r="C739" s="1" t="s">
        <v>74</v>
      </c>
      <c r="D739" s="1" t="s">
        <v>74</v>
      </c>
      <c r="E739" s="1" t="s">
        <v>442</v>
      </c>
      <c r="F739" s="1" t="s">
        <v>6230</v>
      </c>
      <c r="G739" s="1" t="s">
        <v>74</v>
      </c>
      <c r="H739" s="1" t="s">
        <v>74</v>
      </c>
      <c r="I739" s="1" t="s">
        <v>6231</v>
      </c>
      <c r="J739" s="1" t="s">
        <v>5350</v>
      </c>
      <c r="K739" s="1" t="s">
        <v>74</v>
      </c>
      <c r="L739" s="1" t="s">
        <v>74</v>
      </c>
      <c r="M739" s="1" t="s">
        <v>74</v>
      </c>
      <c r="N739" s="1" t="s">
        <v>74</v>
      </c>
      <c r="O739" s="1" t="s">
        <v>5351</v>
      </c>
      <c r="P739" s="1" t="s">
        <v>5352</v>
      </c>
      <c r="Q739" s="1" t="s">
        <v>1581</v>
      </c>
      <c r="R739" s="1" t="s">
        <v>5353</v>
      </c>
      <c r="S739" s="1" t="s">
        <v>74</v>
      </c>
      <c r="T739" s="1" t="s">
        <v>74</v>
      </c>
      <c r="U739" s="1" t="s">
        <v>74</v>
      </c>
      <c r="V739" s="1" t="s">
        <v>6232</v>
      </c>
      <c r="W739" s="1" t="s">
        <v>74</v>
      </c>
      <c r="X739" s="1" t="s">
        <v>74</v>
      </c>
      <c r="Y739" s="1" t="s">
        <v>74</v>
      </c>
      <c r="Z739" s="1" t="s">
        <v>74</v>
      </c>
      <c r="AA739" s="1" t="s">
        <v>74</v>
      </c>
      <c r="AB739" s="1" t="s">
        <v>74</v>
      </c>
      <c r="AC739" s="1" t="s">
        <v>74</v>
      </c>
      <c r="AD739" s="1" t="s">
        <v>74</v>
      </c>
      <c r="AE739" s="1" t="s">
        <v>74</v>
      </c>
      <c r="AF739" s="1" t="s">
        <v>74</v>
      </c>
      <c r="AG739" s="1" t="s">
        <v>74</v>
      </c>
      <c r="AH739" s="1" t="s">
        <v>74</v>
      </c>
      <c r="AI739" s="1" t="s">
        <v>74</v>
      </c>
      <c r="AJ739" s="1" t="s">
        <v>74</v>
      </c>
      <c r="AK739" s="1" t="s">
        <v>74</v>
      </c>
      <c r="AL739" s="1" t="s">
        <v>74</v>
      </c>
      <c r="AM739" s="1" t="s">
        <v>74</v>
      </c>
      <c r="AN739" s="1" t="s">
        <v>74</v>
      </c>
      <c r="AO739" s="1" t="s">
        <v>74</v>
      </c>
      <c r="AP739" s="1" t="s">
        <v>74</v>
      </c>
      <c r="AQ739" s="1" t="s">
        <v>5355</v>
      </c>
      <c r="AR739" s="1" t="s">
        <v>74</v>
      </c>
      <c r="AS739" s="1" t="s">
        <v>74</v>
      </c>
      <c r="AT739" s="1" t="s">
        <v>74</v>
      </c>
      <c r="AU739" s="1">
        <v>2019.0</v>
      </c>
      <c r="AV739" s="1" t="s">
        <v>74</v>
      </c>
      <c r="AW739" s="1" t="s">
        <v>74</v>
      </c>
      <c r="AX739" s="1" t="s">
        <v>74</v>
      </c>
      <c r="AY739" s="1" t="s">
        <v>74</v>
      </c>
      <c r="AZ739" s="1" t="s">
        <v>74</v>
      </c>
      <c r="BA739" s="1" t="s">
        <v>74</v>
      </c>
      <c r="BB739" s="1" t="s">
        <v>74</v>
      </c>
      <c r="BC739" s="1" t="s">
        <v>74</v>
      </c>
      <c r="BD739" s="1" t="s">
        <v>74</v>
      </c>
      <c r="BE739" s="1" t="s">
        <v>74</v>
      </c>
      <c r="BF739" s="1" t="s">
        <v>74</v>
      </c>
      <c r="BG739" s="1" t="s">
        <v>74</v>
      </c>
      <c r="BH739" s="1" t="s">
        <v>74</v>
      </c>
      <c r="BI739" s="1" t="s">
        <v>74</v>
      </c>
      <c r="BJ739" s="1" t="s">
        <v>74</v>
      </c>
      <c r="BK739" s="1" t="s">
        <v>74</v>
      </c>
      <c r="BL739" s="1" t="s">
        <v>74</v>
      </c>
      <c r="BM739" s="1" t="s">
        <v>74</v>
      </c>
      <c r="BN739" s="1" t="s">
        <v>74</v>
      </c>
      <c r="BO739" s="1" t="s">
        <v>74</v>
      </c>
      <c r="BP739" s="1" t="s">
        <v>74</v>
      </c>
      <c r="BQ739" s="1" t="s">
        <v>74</v>
      </c>
      <c r="BR739" s="1" t="s">
        <v>74</v>
      </c>
      <c r="BS739" s="1" t="s">
        <v>6233</v>
      </c>
      <c r="BT739" s="1" t="str">
        <f>HYPERLINK("https%3A%2F%2Fwww.webofscience.com%2Fwos%2Fwoscc%2Ffull-record%2FWOS:000542919100153","View Full Record in Web of Science")</f>
        <v>View Full Record in Web of Science</v>
      </c>
    </row>
    <row r="740" ht="12.75" customHeight="1">
      <c r="A740" s="1" t="s">
        <v>91</v>
      </c>
      <c r="B740" s="1" t="s">
        <v>6234</v>
      </c>
      <c r="C740" s="1" t="s">
        <v>74</v>
      </c>
      <c r="D740" s="1" t="s">
        <v>74</v>
      </c>
      <c r="E740" s="1" t="s">
        <v>442</v>
      </c>
      <c r="F740" s="1" t="s">
        <v>6235</v>
      </c>
      <c r="G740" s="1" t="s">
        <v>74</v>
      </c>
      <c r="H740" s="1" t="s">
        <v>74</v>
      </c>
      <c r="I740" s="1" t="s">
        <v>6236</v>
      </c>
      <c r="J740" s="1" t="s">
        <v>5350</v>
      </c>
      <c r="K740" s="1" t="s">
        <v>74</v>
      </c>
      <c r="L740" s="1" t="s">
        <v>74</v>
      </c>
      <c r="M740" s="1" t="s">
        <v>74</v>
      </c>
      <c r="N740" s="1" t="s">
        <v>74</v>
      </c>
      <c r="O740" s="1" t="s">
        <v>5351</v>
      </c>
      <c r="P740" s="1" t="s">
        <v>5352</v>
      </c>
      <c r="Q740" s="1" t="s">
        <v>1581</v>
      </c>
      <c r="R740" s="1" t="s">
        <v>5353</v>
      </c>
      <c r="S740" s="1" t="s">
        <v>74</v>
      </c>
      <c r="T740" s="1" t="s">
        <v>74</v>
      </c>
      <c r="U740" s="1" t="s">
        <v>74</v>
      </c>
      <c r="V740" s="1" t="s">
        <v>6237</v>
      </c>
      <c r="W740" s="1" t="s">
        <v>74</v>
      </c>
      <c r="X740" s="1" t="s">
        <v>74</v>
      </c>
      <c r="Y740" s="1" t="s">
        <v>74</v>
      </c>
      <c r="Z740" s="1" t="s">
        <v>74</v>
      </c>
      <c r="AA740" s="1" t="s">
        <v>74</v>
      </c>
      <c r="AB740" s="1" t="s">
        <v>74</v>
      </c>
      <c r="AC740" s="1" t="s">
        <v>74</v>
      </c>
      <c r="AD740" s="1" t="s">
        <v>74</v>
      </c>
      <c r="AE740" s="1" t="s">
        <v>74</v>
      </c>
      <c r="AF740" s="1" t="s">
        <v>74</v>
      </c>
      <c r="AG740" s="1" t="s">
        <v>74</v>
      </c>
      <c r="AH740" s="1" t="s">
        <v>74</v>
      </c>
      <c r="AI740" s="1" t="s">
        <v>74</v>
      </c>
      <c r="AJ740" s="1" t="s">
        <v>74</v>
      </c>
      <c r="AK740" s="1" t="s">
        <v>74</v>
      </c>
      <c r="AL740" s="1" t="s">
        <v>74</v>
      </c>
      <c r="AM740" s="1" t="s">
        <v>74</v>
      </c>
      <c r="AN740" s="1" t="s">
        <v>74</v>
      </c>
      <c r="AO740" s="1" t="s">
        <v>74</v>
      </c>
      <c r="AP740" s="1" t="s">
        <v>74</v>
      </c>
      <c r="AQ740" s="1" t="s">
        <v>5355</v>
      </c>
      <c r="AR740" s="1" t="s">
        <v>74</v>
      </c>
      <c r="AS740" s="1" t="s">
        <v>74</v>
      </c>
      <c r="AT740" s="1" t="s">
        <v>74</v>
      </c>
      <c r="AU740" s="1">
        <v>2019.0</v>
      </c>
      <c r="AV740" s="1" t="s">
        <v>74</v>
      </c>
      <c r="AW740" s="1" t="s">
        <v>74</v>
      </c>
      <c r="AX740" s="1" t="s">
        <v>74</v>
      </c>
      <c r="AY740" s="1" t="s">
        <v>74</v>
      </c>
      <c r="AZ740" s="1" t="s">
        <v>74</v>
      </c>
      <c r="BA740" s="1" t="s">
        <v>74</v>
      </c>
      <c r="BB740" s="1" t="s">
        <v>74</v>
      </c>
      <c r="BC740" s="1" t="s">
        <v>74</v>
      </c>
      <c r="BD740" s="1" t="s">
        <v>74</v>
      </c>
      <c r="BE740" s="1" t="s">
        <v>74</v>
      </c>
      <c r="BF740" s="1" t="s">
        <v>74</v>
      </c>
      <c r="BG740" s="1" t="s">
        <v>74</v>
      </c>
      <c r="BH740" s="1" t="s">
        <v>74</v>
      </c>
      <c r="BI740" s="1" t="s">
        <v>74</v>
      </c>
      <c r="BJ740" s="1" t="s">
        <v>74</v>
      </c>
      <c r="BK740" s="1" t="s">
        <v>74</v>
      </c>
      <c r="BL740" s="1" t="s">
        <v>74</v>
      </c>
      <c r="BM740" s="1" t="s">
        <v>74</v>
      </c>
      <c r="BN740" s="1" t="s">
        <v>74</v>
      </c>
      <c r="BO740" s="1" t="s">
        <v>74</v>
      </c>
      <c r="BP740" s="1" t="s">
        <v>74</v>
      </c>
      <c r="BQ740" s="1" t="s">
        <v>74</v>
      </c>
      <c r="BR740" s="1" t="s">
        <v>74</v>
      </c>
      <c r="BS740" s="1" t="s">
        <v>6238</v>
      </c>
      <c r="BT740" s="1" t="str">
        <f>HYPERLINK("https%3A%2F%2Fwww.webofscience.com%2Fwos%2Fwoscc%2Ffull-record%2FWOS:000542919100115","View Full Record in Web of Science")</f>
        <v>View Full Record in Web of Science</v>
      </c>
    </row>
    <row r="741" ht="12.75" customHeight="1">
      <c r="A741" s="1" t="s">
        <v>91</v>
      </c>
      <c r="B741" s="1" t="s">
        <v>6239</v>
      </c>
      <c r="C741" s="1" t="s">
        <v>74</v>
      </c>
      <c r="D741" s="1" t="s">
        <v>6240</v>
      </c>
      <c r="E741" s="1" t="s">
        <v>74</v>
      </c>
      <c r="F741" s="1" t="s">
        <v>6241</v>
      </c>
      <c r="G741" s="1" t="s">
        <v>74</v>
      </c>
      <c r="H741" s="1" t="s">
        <v>74</v>
      </c>
      <c r="I741" s="1" t="s">
        <v>6242</v>
      </c>
      <c r="J741" s="1" t="s">
        <v>6243</v>
      </c>
      <c r="K741" s="1" t="s">
        <v>6244</v>
      </c>
      <c r="L741" s="1" t="s">
        <v>74</v>
      </c>
      <c r="M741" s="1" t="s">
        <v>74</v>
      </c>
      <c r="N741" s="1" t="s">
        <v>74</v>
      </c>
      <c r="O741" s="1" t="s">
        <v>6245</v>
      </c>
      <c r="P741" s="1" t="s">
        <v>6246</v>
      </c>
      <c r="Q741" s="1" t="s">
        <v>6247</v>
      </c>
      <c r="R741" s="1" t="s">
        <v>6248</v>
      </c>
      <c r="S741" s="1" t="s">
        <v>74</v>
      </c>
      <c r="T741" s="1" t="s">
        <v>74</v>
      </c>
      <c r="U741" s="1" t="s">
        <v>74</v>
      </c>
      <c r="V741" s="1" t="s">
        <v>6249</v>
      </c>
      <c r="W741" s="1" t="s">
        <v>74</v>
      </c>
      <c r="X741" s="1" t="s">
        <v>74</v>
      </c>
      <c r="Y741" s="1" t="s">
        <v>74</v>
      </c>
      <c r="Z741" s="1" t="s">
        <v>74</v>
      </c>
      <c r="AA741" s="1" t="s">
        <v>3743</v>
      </c>
      <c r="AB741" s="1" t="s">
        <v>6250</v>
      </c>
      <c r="AC741" s="1" t="s">
        <v>74</v>
      </c>
      <c r="AD741" s="1" t="s">
        <v>74</v>
      </c>
      <c r="AE741" s="1" t="s">
        <v>74</v>
      </c>
      <c r="AF741" s="1" t="s">
        <v>74</v>
      </c>
      <c r="AG741" s="1" t="s">
        <v>74</v>
      </c>
      <c r="AH741" s="1" t="s">
        <v>74</v>
      </c>
      <c r="AI741" s="1" t="s">
        <v>74</v>
      </c>
      <c r="AJ741" s="1" t="s">
        <v>74</v>
      </c>
      <c r="AK741" s="1" t="s">
        <v>74</v>
      </c>
      <c r="AL741" s="1" t="s">
        <v>74</v>
      </c>
      <c r="AM741" s="1" t="s">
        <v>74</v>
      </c>
      <c r="AN741" s="1" t="s">
        <v>74</v>
      </c>
      <c r="AO741" s="1" t="s">
        <v>6251</v>
      </c>
      <c r="AP741" s="1" t="s">
        <v>74</v>
      </c>
      <c r="AQ741" s="1" t="s">
        <v>74</v>
      </c>
      <c r="AR741" s="1" t="s">
        <v>74</v>
      </c>
      <c r="AS741" s="1" t="s">
        <v>74</v>
      </c>
      <c r="AT741" s="1" t="s">
        <v>74</v>
      </c>
      <c r="AU741" s="1">
        <v>2019.0</v>
      </c>
      <c r="AV741" s="1">
        <v>159.0</v>
      </c>
      <c r="AW741" s="1" t="s">
        <v>74</v>
      </c>
      <c r="AX741" s="1" t="s">
        <v>74</v>
      </c>
      <c r="AY741" s="1" t="s">
        <v>74</v>
      </c>
      <c r="AZ741" s="1" t="s">
        <v>74</v>
      </c>
      <c r="BA741" s="1" t="s">
        <v>74</v>
      </c>
      <c r="BB741" s="1">
        <v>388.0</v>
      </c>
      <c r="BC741" s="1">
        <v>393.0</v>
      </c>
      <c r="BD741" s="1" t="s">
        <v>74</v>
      </c>
      <c r="BE741" s="1" t="s">
        <v>6252</v>
      </c>
      <c r="BF741" s="2" t="str">
        <f>HYPERLINK("http://dx.doi.org/10.1016/j.egypro.2018.12.071","http://dx.doi.org/10.1016/j.egypro.2018.12.071")</f>
        <v>http://dx.doi.org/10.1016/j.egypro.2018.12.071</v>
      </c>
      <c r="BG741" s="1" t="s">
        <v>74</v>
      </c>
      <c r="BH741" s="1" t="s">
        <v>74</v>
      </c>
      <c r="BI741" s="1" t="s">
        <v>74</v>
      </c>
      <c r="BJ741" s="1" t="s">
        <v>74</v>
      </c>
      <c r="BK741" s="1" t="s">
        <v>74</v>
      </c>
      <c r="BL741" s="1" t="s">
        <v>74</v>
      </c>
      <c r="BM741" s="1" t="s">
        <v>74</v>
      </c>
      <c r="BN741" s="1" t="s">
        <v>74</v>
      </c>
      <c r="BO741" s="1" t="s">
        <v>74</v>
      </c>
      <c r="BP741" s="1" t="s">
        <v>74</v>
      </c>
      <c r="BQ741" s="1" t="s">
        <v>74</v>
      </c>
      <c r="BR741" s="1" t="s">
        <v>74</v>
      </c>
      <c r="BS741" s="1" t="s">
        <v>6253</v>
      </c>
      <c r="BT741" s="1" t="str">
        <f>HYPERLINK("https%3A%2F%2Fwww.webofscience.com%2Fwos%2Fwoscc%2Ffull-record%2FWOS:000471291100063","View Full Record in Web of Science")</f>
        <v>View Full Record in Web of Science</v>
      </c>
    </row>
    <row r="742" ht="12.75" customHeight="1">
      <c r="A742" s="1" t="s">
        <v>454</v>
      </c>
      <c r="B742" s="1" t="s">
        <v>2979</v>
      </c>
      <c r="C742" s="1" t="s">
        <v>74</v>
      </c>
      <c r="D742" s="1" t="s">
        <v>610</v>
      </c>
      <c r="E742" s="1" t="s">
        <v>74</v>
      </c>
      <c r="F742" s="1" t="s">
        <v>6254</v>
      </c>
      <c r="G742" s="1" t="s">
        <v>74</v>
      </c>
      <c r="H742" s="1" t="s">
        <v>74</v>
      </c>
      <c r="I742" s="1" t="s">
        <v>6255</v>
      </c>
      <c r="J742" s="1" t="s">
        <v>613</v>
      </c>
      <c r="K742" s="1" t="s">
        <v>74</v>
      </c>
      <c r="L742" s="1" t="s">
        <v>74</v>
      </c>
      <c r="M742" s="1" t="s">
        <v>74</v>
      </c>
      <c r="N742" s="1" t="s">
        <v>74</v>
      </c>
      <c r="O742" s="1" t="s">
        <v>74</v>
      </c>
      <c r="P742" s="1" t="s">
        <v>74</v>
      </c>
      <c r="Q742" s="1" t="s">
        <v>74</v>
      </c>
      <c r="R742" s="1" t="s">
        <v>74</v>
      </c>
      <c r="S742" s="1" t="s">
        <v>74</v>
      </c>
      <c r="T742" s="1" t="s">
        <v>74</v>
      </c>
      <c r="U742" s="1" t="s">
        <v>74</v>
      </c>
      <c r="V742" s="1" t="s">
        <v>74</v>
      </c>
      <c r="W742" s="1" t="s">
        <v>74</v>
      </c>
      <c r="X742" s="1" t="s">
        <v>74</v>
      </c>
      <c r="Y742" s="1" t="s">
        <v>74</v>
      </c>
      <c r="Z742" s="1" t="s">
        <v>74</v>
      </c>
      <c r="AA742" s="1" t="s">
        <v>74</v>
      </c>
      <c r="AB742" s="1" t="s">
        <v>74</v>
      </c>
      <c r="AC742" s="1" t="s">
        <v>74</v>
      </c>
      <c r="AD742" s="1" t="s">
        <v>74</v>
      </c>
      <c r="AE742" s="1" t="s">
        <v>74</v>
      </c>
      <c r="AF742" s="1" t="s">
        <v>74</v>
      </c>
      <c r="AG742" s="1" t="s">
        <v>74</v>
      </c>
      <c r="AH742" s="1" t="s">
        <v>74</v>
      </c>
      <c r="AI742" s="1" t="s">
        <v>74</v>
      </c>
      <c r="AJ742" s="1" t="s">
        <v>74</v>
      </c>
      <c r="AK742" s="1" t="s">
        <v>74</v>
      </c>
      <c r="AL742" s="1" t="s">
        <v>74</v>
      </c>
      <c r="AM742" s="1" t="s">
        <v>74</v>
      </c>
      <c r="AN742" s="1" t="s">
        <v>74</v>
      </c>
      <c r="AO742" s="1" t="s">
        <v>74</v>
      </c>
      <c r="AP742" s="1" t="s">
        <v>74</v>
      </c>
      <c r="AQ742" s="1" t="s">
        <v>615</v>
      </c>
      <c r="AR742" s="1" t="s">
        <v>74</v>
      </c>
      <c r="AS742" s="1" t="s">
        <v>74</v>
      </c>
      <c r="AT742" s="1" t="s">
        <v>74</v>
      </c>
      <c r="AU742" s="1">
        <v>2018.0</v>
      </c>
      <c r="AV742" s="1" t="s">
        <v>74</v>
      </c>
      <c r="AW742" s="1" t="s">
        <v>74</v>
      </c>
      <c r="AX742" s="1" t="s">
        <v>74</v>
      </c>
      <c r="AY742" s="1" t="s">
        <v>74</v>
      </c>
      <c r="AZ742" s="1" t="s">
        <v>74</v>
      </c>
      <c r="BA742" s="1" t="s">
        <v>74</v>
      </c>
      <c r="BB742" s="1">
        <v>155.0</v>
      </c>
      <c r="BC742" s="1">
        <v>179.0</v>
      </c>
      <c r="BD742" s="1" t="s">
        <v>74</v>
      </c>
      <c r="BE742" s="1" t="s">
        <v>74</v>
      </c>
      <c r="BF742" s="1" t="s">
        <v>74</v>
      </c>
      <c r="BG742" s="1" t="s">
        <v>616</v>
      </c>
      <c r="BH742" s="1" t="s">
        <v>74</v>
      </c>
      <c r="BI742" s="1" t="s">
        <v>74</v>
      </c>
      <c r="BJ742" s="1" t="s">
        <v>74</v>
      </c>
      <c r="BK742" s="1" t="s">
        <v>74</v>
      </c>
      <c r="BL742" s="1" t="s">
        <v>74</v>
      </c>
      <c r="BM742" s="1" t="s">
        <v>74</v>
      </c>
      <c r="BN742" s="1" t="s">
        <v>74</v>
      </c>
      <c r="BO742" s="1" t="s">
        <v>74</v>
      </c>
      <c r="BP742" s="1" t="s">
        <v>74</v>
      </c>
      <c r="BQ742" s="1" t="s">
        <v>74</v>
      </c>
      <c r="BR742" s="1" t="s">
        <v>74</v>
      </c>
      <c r="BS742" s="1" t="s">
        <v>6256</v>
      </c>
      <c r="BT742" s="1" t="str">
        <f>HYPERLINK("https%3A%2F%2Fwww.webofscience.com%2Fwos%2Fwoscc%2Ffull-record%2FWOS:000440942900006","View Full Record in Web of Science")</f>
        <v>View Full Record in Web of Science</v>
      </c>
    </row>
    <row r="743" ht="12.75" customHeight="1">
      <c r="A743" s="1" t="s">
        <v>91</v>
      </c>
      <c r="B743" s="1" t="s">
        <v>6257</v>
      </c>
      <c r="C743" s="1" t="s">
        <v>74</v>
      </c>
      <c r="D743" s="1" t="s">
        <v>3831</v>
      </c>
      <c r="E743" s="1" t="s">
        <v>74</v>
      </c>
      <c r="F743" s="1" t="s">
        <v>6258</v>
      </c>
      <c r="G743" s="1" t="s">
        <v>74</v>
      </c>
      <c r="H743" s="1" t="s">
        <v>74</v>
      </c>
      <c r="I743" s="1" t="s">
        <v>6259</v>
      </c>
      <c r="J743" s="1" t="s">
        <v>3834</v>
      </c>
      <c r="K743" s="1" t="s">
        <v>74</v>
      </c>
      <c r="L743" s="1" t="s">
        <v>74</v>
      </c>
      <c r="M743" s="1" t="s">
        <v>74</v>
      </c>
      <c r="N743" s="1" t="s">
        <v>74</v>
      </c>
      <c r="O743" s="1" t="s">
        <v>3835</v>
      </c>
      <c r="P743" s="1" t="s">
        <v>3836</v>
      </c>
      <c r="Q743" s="1" t="s">
        <v>691</v>
      </c>
      <c r="R743" s="1" t="s">
        <v>3837</v>
      </c>
      <c r="S743" s="1" t="s">
        <v>74</v>
      </c>
      <c r="T743" s="1" t="s">
        <v>74</v>
      </c>
      <c r="U743" s="1" t="s">
        <v>74</v>
      </c>
      <c r="V743" s="1" t="s">
        <v>6260</v>
      </c>
      <c r="W743" s="1" t="s">
        <v>74</v>
      </c>
      <c r="X743" s="1" t="s">
        <v>74</v>
      </c>
      <c r="Y743" s="1" t="s">
        <v>74</v>
      </c>
      <c r="Z743" s="1" t="s">
        <v>74</v>
      </c>
      <c r="AA743" s="1" t="s">
        <v>659</v>
      </c>
      <c r="AB743" s="1" t="s">
        <v>74</v>
      </c>
      <c r="AC743" s="1" t="s">
        <v>74</v>
      </c>
      <c r="AD743" s="1" t="s">
        <v>74</v>
      </c>
      <c r="AE743" s="1" t="s">
        <v>74</v>
      </c>
      <c r="AF743" s="1" t="s">
        <v>74</v>
      </c>
      <c r="AG743" s="1" t="s">
        <v>74</v>
      </c>
      <c r="AH743" s="1" t="s">
        <v>74</v>
      </c>
      <c r="AI743" s="1" t="s">
        <v>74</v>
      </c>
      <c r="AJ743" s="1" t="s">
        <v>74</v>
      </c>
      <c r="AK743" s="1" t="s">
        <v>74</v>
      </c>
      <c r="AL743" s="1" t="s">
        <v>74</v>
      </c>
      <c r="AM743" s="1" t="s">
        <v>74</v>
      </c>
      <c r="AN743" s="1" t="s">
        <v>74</v>
      </c>
      <c r="AO743" s="1" t="s">
        <v>74</v>
      </c>
      <c r="AP743" s="1" t="s">
        <v>74</v>
      </c>
      <c r="AQ743" s="1" t="s">
        <v>3839</v>
      </c>
      <c r="AR743" s="1" t="s">
        <v>74</v>
      </c>
      <c r="AS743" s="1" t="s">
        <v>74</v>
      </c>
      <c r="AT743" s="1" t="s">
        <v>74</v>
      </c>
      <c r="AU743" s="1">
        <v>2018.0</v>
      </c>
      <c r="AV743" s="1" t="s">
        <v>74</v>
      </c>
      <c r="AW743" s="1" t="s">
        <v>74</v>
      </c>
      <c r="AX743" s="1" t="s">
        <v>74</v>
      </c>
      <c r="AY743" s="1" t="s">
        <v>74</v>
      </c>
      <c r="AZ743" s="1" t="s">
        <v>74</v>
      </c>
      <c r="BA743" s="1" t="s">
        <v>74</v>
      </c>
      <c r="BB743" s="1">
        <v>58.0</v>
      </c>
      <c r="BC743" s="1">
        <v>62.0</v>
      </c>
      <c r="BD743" s="1" t="s">
        <v>74</v>
      </c>
      <c r="BE743" s="1" t="s">
        <v>74</v>
      </c>
      <c r="BF743" s="1" t="s">
        <v>74</v>
      </c>
      <c r="BG743" s="1" t="s">
        <v>74</v>
      </c>
      <c r="BH743" s="1" t="s">
        <v>74</v>
      </c>
      <c r="BI743" s="1" t="s">
        <v>74</v>
      </c>
      <c r="BJ743" s="1" t="s">
        <v>74</v>
      </c>
      <c r="BK743" s="1" t="s">
        <v>74</v>
      </c>
      <c r="BL743" s="1" t="s">
        <v>74</v>
      </c>
      <c r="BM743" s="1" t="s">
        <v>74</v>
      </c>
      <c r="BN743" s="1" t="s">
        <v>74</v>
      </c>
      <c r="BO743" s="1" t="s">
        <v>74</v>
      </c>
      <c r="BP743" s="1" t="s">
        <v>74</v>
      </c>
      <c r="BQ743" s="1" t="s">
        <v>74</v>
      </c>
      <c r="BR743" s="1" t="s">
        <v>74</v>
      </c>
      <c r="BS743" s="1" t="s">
        <v>6261</v>
      </c>
      <c r="BT743" s="1" t="str">
        <f>HYPERLINK("https%3A%2F%2Fwww.webofscience.com%2Fwos%2Fwoscc%2Ffull-record%2FWOS:000437157500008","View Full Record in Web of Science")</f>
        <v>View Full Record in Web of Science</v>
      </c>
    </row>
    <row r="744" ht="12.75" customHeight="1">
      <c r="A744" s="1" t="s">
        <v>91</v>
      </c>
      <c r="B744" s="1" t="s">
        <v>6262</v>
      </c>
      <c r="C744" s="1" t="s">
        <v>74</v>
      </c>
      <c r="D744" s="1" t="s">
        <v>3842</v>
      </c>
      <c r="E744" s="1" t="s">
        <v>74</v>
      </c>
      <c r="F744" s="1" t="s">
        <v>6263</v>
      </c>
      <c r="G744" s="1" t="s">
        <v>74</v>
      </c>
      <c r="H744" s="1" t="s">
        <v>74</v>
      </c>
      <c r="I744" s="1" t="s">
        <v>6264</v>
      </c>
      <c r="J744" s="1" t="s">
        <v>3845</v>
      </c>
      <c r="K744" s="1" t="s">
        <v>74</v>
      </c>
      <c r="L744" s="1" t="s">
        <v>74</v>
      </c>
      <c r="M744" s="1" t="s">
        <v>74</v>
      </c>
      <c r="N744" s="1" t="s">
        <v>74</v>
      </c>
      <c r="O744" s="1" t="s">
        <v>3846</v>
      </c>
      <c r="P744" s="1" t="s">
        <v>3847</v>
      </c>
      <c r="Q744" s="1" t="s">
        <v>3848</v>
      </c>
      <c r="R744" s="1" t="s">
        <v>3849</v>
      </c>
      <c r="S744" s="1" t="s">
        <v>74</v>
      </c>
      <c r="T744" s="1" t="s">
        <v>74</v>
      </c>
      <c r="U744" s="1" t="s">
        <v>74</v>
      </c>
      <c r="V744" s="1" t="s">
        <v>6265</v>
      </c>
      <c r="W744" s="1" t="s">
        <v>74</v>
      </c>
      <c r="X744" s="1" t="s">
        <v>74</v>
      </c>
      <c r="Y744" s="1" t="s">
        <v>74</v>
      </c>
      <c r="Z744" s="1" t="s">
        <v>74</v>
      </c>
      <c r="AA744" s="1" t="s">
        <v>6266</v>
      </c>
      <c r="AB744" s="1" t="s">
        <v>6267</v>
      </c>
      <c r="AC744" s="1" t="s">
        <v>74</v>
      </c>
      <c r="AD744" s="1" t="s">
        <v>74</v>
      </c>
      <c r="AE744" s="1" t="s">
        <v>74</v>
      </c>
      <c r="AF744" s="1" t="s">
        <v>74</v>
      </c>
      <c r="AG744" s="1" t="s">
        <v>74</v>
      </c>
      <c r="AH744" s="1" t="s">
        <v>74</v>
      </c>
      <c r="AI744" s="1" t="s">
        <v>74</v>
      </c>
      <c r="AJ744" s="1" t="s">
        <v>74</v>
      </c>
      <c r="AK744" s="1" t="s">
        <v>74</v>
      </c>
      <c r="AL744" s="1" t="s">
        <v>74</v>
      </c>
      <c r="AM744" s="1" t="s">
        <v>74</v>
      </c>
      <c r="AN744" s="1" t="s">
        <v>74</v>
      </c>
      <c r="AO744" s="1" t="s">
        <v>74</v>
      </c>
      <c r="AP744" s="1" t="s">
        <v>74</v>
      </c>
      <c r="AQ744" s="1" t="s">
        <v>3852</v>
      </c>
      <c r="AR744" s="1" t="s">
        <v>74</v>
      </c>
      <c r="AS744" s="1" t="s">
        <v>74</v>
      </c>
      <c r="AT744" s="1" t="s">
        <v>74</v>
      </c>
      <c r="AU744" s="1">
        <v>2018.0</v>
      </c>
      <c r="AV744" s="1" t="s">
        <v>74</v>
      </c>
      <c r="AW744" s="1" t="s">
        <v>74</v>
      </c>
      <c r="AX744" s="1" t="s">
        <v>74</v>
      </c>
      <c r="AY744" s="1" t="s">
        <v>74</v>
      </c>
      <c r="AZ744" s="1" t="s">
        <v>74</v>
      </c>
      <c r="BA744" s="1" t="s">
        <v>74</v>
      </c>
      <c r="BB744" s="1" t="s">
        <v>74</v>
      </c>
      <c r="BC744" s="1" t="s">
        <v>74</v>
      </c>
      <c r="BD744" s="1" t="s">
        <v>74</v>
      </c>
      <c r="BE744" s="1" t="s">
        <v>74</v>
      </c>
      <c r="BF744" s="1" t="s">
        <v>74</v>
      </c>
      <c r="BG744" s="1" t="s">
        <v>74</v>
      </c>
      <c r="BH744" s="1" t="s">
        <v>74</v>
      </c>
      <c r="BI744" s="1" t="s">
        <v>74</v>
      </c>
      <c r="BJ744" s="1" t="s">
        <v>74</v>
      </c>
      <c r="BK744" s="1" t="s">
        <v>74</v>
      </c>
      <c r="BL744" s="1" t="s">
        <v>74</v>
      </c>
      <c r="BM744" s="1" t="s">
        <v>74</v>
      </c>
      <c r="BN744" s="1" t="s">
        <v>74</v>
      </c>
      <c r="BO744" s="1" t="s">
        <v>74</v>
      </c>
      <c r="BP744" s="1" t="s">
        <v>74</v>
      </c>
      <c r="BQ744" s="1" t="s">
        <v>74</v>
      </c>
      <c r="BR744" s="1" t="s">
        <v>74</v>
      </c>
      <c r="BS744" s="1" t="s">
        <v>6268</v>
      </c>
      <c r="BT744" s="1" t="str">
        <f>HYPERLINK("https%3A%2F%2Fwww.webofscience.com%2Fwos%2Fwoscc%2Ffull-record%2FWOS:000458417600101","View Full Record in Web of Science")</f>
        <v>View Full Record in Web of Science</v>
      </c>
    </row>
    <row r="745" ht="12.75" customHeight="1">
      <c r="A745" s="1" t="s">
        <v>72</v>
      </c>
      <c r="B745" s="1" t="s">
        <v>6269</v>
      </c>
      <c r="C745" s="1" t="s">
        <v>74</v>
      </c>
      <c r="D745" s="1" t="s">
        <v>74</v>
      </c>
      <c r="E745" s="1" t="s">
        <v>74</v>
      </c>
      <c r="F745" s="1" t="s">
        <v>6270</v>
      </c>
      <c r="G745" s="1" t="s">
        <v>74</v>
      </c>
      <c r="H745" s="1" t="s">
        <v>74</v>
      </c>
      <c r="I745" s="1" t="s">
        <v>6271</v>
      </c>
      <c r="J745" s="1" t="s">
        <v>6272</v>
      </c>
      <c r="K745" s="1" t="s">
        <v>74</v>
      </c>
      <c r="L745" s="1" t="s">
        <v>74</v>
      </c>
      <c r="M745" s="1" t="s">
        <v>74</v>
      </c>
      <c r="N745" s="1" t="s">
        <v>74</v>
      </c>
      <c r="O745" s="1" t="s">
        <v>74</v>
      </c>
      <c r="P745" s="1" t="s">
        <v>74</v>
      </c>
      <c r="Q745" s="1" t="s">
        <v>74</v>
      </c>
      <c r="R745" s="1" t="s">
        <v>74</v>
      </c>
      <c r="S745" s="1" t="s">
        <v>74</v>
      </c>
      <c r="T745" s="1" t="s">
        <v>74</v>
      </c>
      <c r="U745" s="1" t="s">
        <v>74</v>
      </c>
      <c r="V745" s="1" t="s">
        <v>6273</v>
      </c>
      <c r="W745" s="1" t="s">
        <v>74</v>
      </c>
      <c r="X745" s="1" t="s">
        <v>74</v>
      </c>
      <c r="Y745" s="1" t="s">
        <v>74</v>
      </c>
      <c r="Z745" s="1" t="s">
        <v>74</v>
      </c>
      <c r="AA745" s="1" t="s">
        <v>6274</v>
      </c>
      <c r="AB745" s="1" t="s">
        <v>6275</v>
      </c>
      <c r="AC745" s="1" t="s">
        <v>74</v>
      </c>
      <c r="AD745" s="1" t="s">
        <v>74</v>
      </c>
      <c r="AE745" s="1" t="s">
        <v>74</v>
      </c>
      <c r="AF745" s="1" t="s">
        <v>74</v>
      </c>
      <c r="AG745" s="1" t="s">
        <v>74</v>
      </c>
      <c r="AH745" s="1" t="s">
        <v>74</v>
      </c>
      <c r="AI745" s="1" t="s">
        <v>74</v>
      </c>
      <c r="AJ745" s="1" t="s">
        <v>74</v>
      </c>
      <c r="AK745" s="1" t="s">
        <v>74</v>
      </c>
      <c r="AL745" s="1" t="s">
        <v>74</v>
      </c>
      <c r="AM745" s="1" t="s">
        <v>74</v>
      </c>
      <c r="AN745" s="1" t="s">
        <v>74</v>
      </c>
      <c r="AO745" s="1" t="s">
        <v>6276</v>
      </c>
      <c r="AP745" s="1" t="s">
        <v>6277</v>
      </c>
      <c r="AQ745" s="1" t="s">
        <v>74</v>
      </c>
      <c r="AR745" s="1" t="s">
        <v>74</v>
      </c>
      <c r="AS745" s="1" t="s">
        <v>74</v>
      </c>
      <c r="AT745" s="1" t="s">
        <v>74</v>
      </c>
      <c r="AU745" s="1">
        <v>2018.0</v>
      </c>
      <c r="AV745" s="1" t="s">
        <v>74</v>
      </c>
      <c r="AW745" s="1" t="s">
        <v>74</v>
      </c>
      <c r="AX745" s="1" t="s">
        <v>74</v>
      </c>
      <c r="AY745" s="1" t="s">
        <v>74</v>
      </c>
      <c r="AZ745" s="1" t="s">
        <v>74</v>
      </c>
      <c r="BA745" s="1" t="s">
        <v>74</v>
      </c>
      <c r="BB745" s="1" t="s">
        <v>74</v>
      </c>
      <c r="BC745" s="1" t="s">
        <v>74</v>
      </c>
      <c r="BD745" s="1">
        <v>2153536.0</v>
      </c>
      <c r="BE745" s="1" t="s">
        <v>6278</v>
      </c>
      <c r="BF745" s="2" t="str">
        <f>HYPERLINK("http://dx.doi.org/10.1155/2018/2153536","http://dx.doi.org/10.1155/2018/2153536")</f>
        <v>http://dx.doi.org/10.1155/2018/2153536</v>
      </c>
      <c r="BG745" s="1" t="s">
        <v>74</v>
      </c>
      <c r="BH745" s="1" t="s">
        <v>74</v>
      </c>
      <c r="BI745" s="1" t="s">
        <v>74</v>
      </c>
      <c r="BJ745" s="1" t="s">
        <v>74</v>
      </c>
      <c r="BK745" s="1" t="s">
        <v>74</v>
      </c>
      <c r="BL745" s="1" t="s">
        <v>74</v>
      </c>
      <c r="BM745" s="1" t="s">
        <v>74</v>
      </c>
      <c r="BN745" s="1" t="s">
        <v>74</v>
      </c>
      <c r="BO745" s="1" t="s">
        <v>74</v>
      </c>
      <c r="BP745" s="1" t="s">
        <v>74</v>
      </c>
      <c r="BQ745" s="1" t="s">
        <v>74</v>
      </c>
      <c r="BR745" s="1" t="s">
        <v>74</v>
      </c>
      <c r="BS745" s="1" t="s">
        <v>6279</v>
      </c>
      <c r="BT745" s="1" t="str">
        <f>HYPERLINK("https%3A%2F%2Fwww.webofscience.com%2Fwos%2Fwoscc%2Ffull-record%2FWOS:000426215300001","View Full Record in Web of Science")</f>
        <v>View Full Record in Web of Science</v>
      </c>
    </row>
    <row r="746" ht="12.75" customHeight="1">
      <c r="A746" s="1" t="s">
        <v>454</v>
      </c>
      <c r="B746" s="1" t="s">
        <v>6280</v>
      </c>
      <c r="C746" s="1" t="s">
        <v>6281</v>
      </c>
      <c r="D746" s="1" t="s">
        <v>74</v>
      </c>
      <c r="E746" s="1" t="s">
        <v>74</v>
      </c>
      <c r="F746" s="1" t="s">
        <v>6282</v>
      </c>
      <c r="G746" s="1" t="s">
        <v>6281</v>
      </c>
      <c r="H746" s="1" t="s">
        <v>74</v>
      </c>
      <c r="I746" s="1" t="s">
        <v>6283</v>
      </c>
      <c r="J746" s="1" t="s">
        <v>6284</v>
      </c>
      <c r="K746" s="1" t="s">
        <v>6285</v>
      </c>
      <c r="L746" s="1" t="s">
        <v>74</v>
      </c>
      <c r="M746" s="1" t="s">
        <v>74</v>
      </c>
      <c r="N746" s="1" t="s">
        <v>74</v>
      </c>
      <c r="O746" s="1" t="s">
        <v>74</v>
      </c>
      <c r="P746" s="1" t="s">
        <v>74</v>
      </c>
      <c r="Q746" s="1" t="s">
        <v>74</v>
      </c>
      <c r="R746" s="1" t="s">
        <v>74</v>
      </c>
      <c r="S746" s="1" t="s">
        <v>74</v>
      </c>
      <c r="T746" s="1" t="s">
        <v>74</v>
      </c>
      <c r="U746" s="1" t="s">
        <v>74</v>
      </c>
      <c r="V746" s="1" t="s">
        <v>6286</v>
      </c>
      <c r="W746" s="1" t="s">
        <v>74</v>
      </c>
      <c r="X746" s="1" t="s">
        <v>74</v>
      </c>
      <c r="Y746" s="1" t="s">
        <v>74</v>
      </c>
      <c r="Z746" s="1" t="s">
        <v>74</v>
      </c>
      <c r="AA746" s="1" t="s">
        <v>296</v>
      </c>
      <c r="AB746" s="1" t="s">
        <v>486</v>
      </c>
      <c r="AC746" s="1" t="s">
        <v>74</v>
      </c>
      <c r="AD746" s="1" t="s">
        <v>74</v>
      </c>
      <c r="AE746" s="1" t="s">
        <v>74</v>
      </c>
      <c r="AF746" s="1" t="s">
        <v>74</v>
      </c>
      <c r="AG746" s="1" t="s">
        <v>74</v>
      </c>
      <c r="AH746" s="1" t="s">
        <v>74</v>
      </c>
      <c r="AI746" s="1" t="s">
        <v>74</v>
      </c>
      <c r="AJ746" s="1" t="s">
        <v>74</v>
      </c>
      <c r="AK746" s="1" t="s">
        <v>74</v>
      </c>
      <c r="AL746" s="1" t="s">
        <v>74</v>
      </c>
      <c r="AM746" s="1" t="s">
        <v>74</v>
      </c>
      <c r="AN746" s="1" t="s">
        <v>74</v>
      </c>
      <c r="AO746" s="1" t="s">
        <v>74</v>
      </c>
      <c r="AP746" s="1" t="s">
        <v>74</v>
      </c>
      <c r="AQ746" s="1" t="s">
        <v>6287</v>
      </c>
      <c r="AR746" s="1" t="s">
        <v>74</v>
      </c>
      <c r="AS746" s="1" t="s">
        <v>74</v>
      </c>
      <c r="AT746" s="1" t="s">
        <v>74</v>
      </c>
      <c r="AU746" s="1">
        <v>2017.0</v>
      </c>
      <c r="AV746" s="1" t="s">
        <v>74</v>
      </c>
      <c r="AW746" s="1" t="s">
        <v>74</v>
      </c>
      <c r="AX746" s="1" t="s">
        <v>74</v>
      </c>
      <c r="AY746" s="1" t="s">
        <v>74</v>
      </c>
      <c r="AZ746" s="1" t="s">
        <v>74</v>
      </c>
      <c r="BA746" s="1" t="s">
        <v>74</v>
      </c>
      <c r="BB746" s="1">
        <v>182.0</v>
      </c>
      <c r="BC746" s="1">
        <v>204.0</v>
      </c>
      <c r="BD746" s="1" t="s">
        <v>74</v>
      </c>
      <c r="BE746" s="1" t="s">
        <v>6288</v>
      </c>
      <c r="BF746" s="2" t="str">
        <f>HYPERLINK("http://dx.doi.org/10.4018/978-1-5225-2053-5.ch009","http://dx.doi.org/10.4018/978-1-5225-2053-5.ch009")</f>
        <v>http://dx.doi.org/10.4018/978-1-5225-2053-5.ch009</v>
      </c>
      <c r="BG746" s="1" t="s">
        <v>6289</v>
      </c>
      <c r="BH746" s="1" t="s">
        <v>74</v>
      </c>
      <c r="BI746" s="1" t="s">
        <v>74</v>
      </c>
      <c r="BJ746" s="1" t="s">
        <v>74</v>
      </c>
      <c r="BK746" s="1" t="s">
        <v>74</v>
      </c>
      <c r="BL746" s="1" t="s">
        <v>74</v>
      </c>
      <c r="BM746" s="1" t="s">
        <v>74</v>
      </c>
      <c r="BN746" s="1" t="s">
        <v>74</v>
      </c>
      <c r="BO746" s="1" t="s">
        <v>74</v>
      </c>
      <c r="BP746" s="1" t="s">
        <v>74</v>
      </c>
      <c r="BQ746" s="1" t="s">
        <v>74</v>
      </c>
      <c r="BR746" s="1" t="s">
        <v>74</v>
      </c>
      <c r="BS746" s="1" t="s">
        <v>6290</v>
      </c>
      <c r="BT746" s="1" t="str">
        <f>HYPERLINK("https%3A%2F%2Fwww.webofscience.com%2Fwos%2Fwoscc%2Ffull-record%2FWOS:000411376600011","View Full Record in Web of Science")</f>
        <v>View Full Record in Web of Science</v>
      </c>
    </row>
    <row r="747" ht="12.75" customHeight="1">
      <c r="A747" s="1" t="s">
        <v>72</v>
      </c>
      <c r="B747" s="1" t="s">
        <v>6291</v>
      </c>
      <c r="C747" s="1" t="s">
        <v>74</v>
      </c>
      <c r="D747" s="1" t="s">
        <v>74</v>
      </c>
      <c r="E747" s="1" t="s">
        <v>74</v>
      </c>
      <c r="F747" s="1" t="s">
        <v>6292</v>
      </c>
      <c r="G747" s="1" t="s">
        <v>74</v>
      </c>
      <c r="H747" s="1" t="s">
        <v>74</v>
      </c>
      <c r="I747" s="1" t="s">
        <v>6293</v>
      </c>
      <c r="J747" s="1" t="s">
        <v>6294</v>
      </c>
      <c r="K747" s="1" t="s">
        <v>74</v>
      </c>
      <c r="L747" s="1" t="s">
        <v>74</v>
      </c>
      <c r="M747" s="1" t="s">
        <v>74</v>
      </c>
      <c r="N747" s="1" t="s">
        <v>74</v>
      </c>
      <c r="O747" s="1" t="s">
        <v>74</v>
      </c>
      <c r="P747" s="1" t="s">
        <v>74</v>
      </c>
      <c r="Q747" s="1" t="s">
        <v>74</v>
      </c>
      <c r="R747" s="1" t="s">
        <v>74</v>
      </c>
      <c r="S747" s="1" t="s">
        <v>74</v>
      </c>
      <c r="T747" s="1" t="s">
        <v>74</v>
      </c>
      <c r="U747" s="1" t="s">
        <v>74</v>
      </c>
      <c r="V747" s="1" t="s">
        <v>6295</v>
      </c>
      <c r="W747" s="1" t="s">
        <v>74</v>
      </c>
      <c r="X747" s="1" t="s">
        <v>74</v>
      </c>
      <c r="Y747" s="1" t="s">
        <v>74</v>
      </c>
      <c r="Z747" s="1" t="s">
        <v>74</v>
      </c>
      <c r="AA747" s="1" t="s">
        <v>6296</v>
      </c>
      <c r="AB747" s="1" t="s">
        <v>6297</v>
      </c>
      <c r="AC747" s="1" t="s">
        <v>74</v>
      </c>
      <c r="AD747" s="1" t="s">
        <v>74</v>
      </c>
      <c r="AE747" s="1" t="s">
        <v>74</v>
      </c>
      <c r="AF747" s="1" t="s">
        <v>74</v>
      </c>
      <c r="AG747" s="1" t="s">
        <v>74</v>
      </c>
      <c r="AH747" s="1" t="s">
        <v>74</v>
      </c>
      <c r="AI747" s="1" t="s">
        <v>74</v>
      </c>
      <c r="AJ747" s="1" t="s">
        <v>74</v>
      </c>
      <c r="AK747" s="1" t="s">
        <v>74</v>
      </c>
      <c r="AL747" s="1" t="s">
        <v>74</v>
      </c>
      <c r="AM747" s="1" t="s">
        <v>74</v>
      </c>
      <c r="AN747" s="1" t="s">
        <v>74</v>
      </c>
      <c r="AO747" s="1" t="s">
        <v>6298</v>
      </c>
      <c r="AP747" s="1" t="s">
        <v>6299</v>
      </c>
      <c r="AQ747" s="1" t="s">
        <v>74</v>
      </c>
      <c r="AR747" s="1" t="s">
        <v>74</v>
      </c>
      <c r="AS747" s="1" t="s">
        <v>74</v>
      </c>
      <c r="AT747" s="1" t="s">
        <v>1890</v>
      </c>
      <c r="AU747" s="1">
        <v>2016.0</v>
      </c>
      <c r="AV747" s="1">
        <v>55.0</v>
      </c>
      <c r="AW747" s="1">
        <v>3.0</v>
      </c>
      <c r="AX747" s="1" t="s">
        <v>74</v>
      </c>
      <c r="AY747" s="1" t="s">
        <v>74</v>
      </c>
      <c r="AZ747" s="1" t="s">
        <v>74</v>
      </c>
      <c r="BA747" s="1" t="s">
        <v>74</v>
      </c>
      <c r="BB747" s="1">
        <v>368.0</v>
      </c>
      <c r="BC747" s="1">
        <v>376.0</v>
      </c>
      <c r="BD747" s="1" t="s">
        <v>74</v>
      </c>
      <c r="BE747" s="1" t="s">
        <v>6300</v>
      </c>
      <c r="BF747" s="2" t="str">
        <f>HYPERLINK("http://dx.doi.org/10.1165/rcmb.2015-0384OC","http://dx.doi.org/10.1165/rcmb.2015-0384OC")</f>
        <v>http://dx.doi.org/10.1165/rcmb.2015-0384OC</v>
      </c>
      <c r="BG747" s="1" t="s">
        <v>74</v>
      </c>
      <c r="BH747" s="1" t="s">
        <v>74</v>
      </c>
      <c r="BI747" s="1" t="s">
        <v>74</v>
      </c>
      <c r="BJ747" s="1" t="s">
        <v>74</v>
      </c>
      <c r="BK747" s="1" t="s">
        <v>74</v>
      </c>
      <c r="BL747" s="1" t="s">
        <v>74</v>
      </c>
      <c r="BM747" s="1" t="s">
        <v>74</v>
      </c>
      <c r="BN747" s="1">
        <v>2.7018763E7</v>
      </c>
      <c r="BO747" s="1" t="s">
        <v>74</v>
      </c>
      <c r="BP747" s="1" t="s">
        <v>74</v>
      </c>
      <c r="BQ747" s="1" t="s">
        <v>74</v>
      </c>
      <c r="BR747" s="1" t="s">
        <v>74</v>
      </c>
      <c r="BS747" s="1" t="s">
        <v>6301</v>
      </c>
      <c r="BT747" s="1" t="str">
        <f>HYPERLINK("https%3A%2F%2Fwww.webofscience.com%2Fwos%2Fwoscc%2Ffull-record%2FWOS:000385984100007","View Full Record in Web of Science")</f>
        <v>View Full Record in Web of Science</v>
      </c>
    </row>
    <row r="748" ht="12.75" customHeight="1">
      <c r="A748" s="1" t="s">
        <v>72</v>
      </c>
      <c r="B748" s="1" t="s">
        <v>6302</v>
      </c>
      <c r="C748" s="1" t="s">
        <v>74</v>
      </c>
      <c r="D748" s="1" t="s">
        <v>74</v>
      </c>
      <c r="E748" s="1" t="s">
        <v>74</v>
      </c>
      <c r="F748" s="1" t="s">
        <v>6303</v>
      </c>
      <c r="G748" s="1" t="s">
        <v>74</v>
      </c>
      <c r="H748" s="1" t="s">
        <v>74</v>
      </c>
      <c r="I748" s="1" t="s">
        <v>6304</v>
      </c>
      <c r="J748" s="1" t="s">
        <v>6305</v>
      </c>
      <c r="K748" s="1" t="s">
        <v>74</v>
      </c>
      <c r="L748" s="1" t="s">
        <v>74</v>
      </c>
      <c r="M748" s="1" t="s">
        <v>74</v>
      </c>
      <c r="N748" s="1" t="s">
        <v>74</v>
      </c>
      <c r="O748" s="1" t="s">
        <v>74</v>
      </c>
      <c r="P748" s="1" t="s">
        <v>74</v>
      </c>
      <c r="Q748" s="1" t="s">
        <v>74</v>
      </c>
      <c r="R748" s="1" t="s">
        <v>74</v>
      </c>
      <c r="S748" s="1" t="s">
        <v>74</v>
      </c>
      <c r="T748" s="1" t="s">
        <v>74</v>
      </c>
      <c r="U748" s="1" t="s">
        <v>74</v>
      </c>
      <c r="V748" s="1" t="s">
        <v>6306</v>
      </c>
      <c r="W748" s="1" t="s">
        <v>74</v>
      </c>
      <c r="X748" s="1" t="s">
        <v>74</v>
      </c>
      <c r="Y748" s="1" t="s">
        <v>74</v>
      </c>
      <c r="Z748" s="1" t="s">
        <v>74</v>
      </c>
      <c r="AA748" s="1" t="s">
        <v>296</v>
      </c>
      <c r="AB748" s="1" t="s">
        <v>486</v>
      </c>
      <c r="AC748" s="1" t="s">
        <v>74</v>
      </c>
      <c r="AD748" s="1" t="s">
        <v>74</v>
      </c>
      <c r="AE748" s="1" t="s">
        <v>74</v>
      </c>
      <c r="AF748" s="1" t="s">
        <v>74</v>
      </c>
      <c r="AG748" s="1" t="s">
        <v>74</v>
      </c>
      <c r="AH748" s="1" t="s">
        <v>74</v>
      </c>
      <c r="AI748" s="1" t="s">
        <v>74</v>
      </c>
      <c r="AJ748" s="1" t="s">
        <v>74</v>
      </c>
      <c r="AK748" s="1" t="s">
        <v>74</v>
      </c>
      <c r="AL748" s="1" t="s">
        <v>74</v>
      </c>
      <c r="AM748" s="1" t="s">
        <v>74</v>
      </c>
      <c r="AN748" s="1" t="s">
        <v>74</v>
      </c>
      <c r="AO748" s="1" t="s">
        <v>6307</v>
      </c>
      <c r="AP748" s="1" t="s">
        <v>6308</v>
      </c>
      <c r="AQ748" s="1" t="s">
        <v>74</v>
      </c>
      <c r="AR748" s="1" t="s">
        <v>74</v>
      </c>
      <c r="AS748" s="1" t="s">
        <v>74</v>
      </c>
      <c r="AT748" s="1" t="s">
        <v>148</v>
      </c>
      <c r="AU748" s="1">
        <v>2016.0</v>
      </c>
      <c r="AV748" s="1">
        <v>18.0</v>
      </c>
      <c r="AW748" s="1">
        <v>2.0</v>
      </c>
      <c r="AX748" s="1" t="s">
        <v>74</v>
      </c>
      <c r="AY748" s="1" t="s">
        <v>74</v>
      </c>
      <c r="AZ748" s="1" t="s">
        <v>74</v>
      </c>
      <c r="BA748" s="1" t="s">
        <v>74</v>
      </c>
      <c r="BB748" s="1">
        <v>481.0</v>
      </c>
      <c r="BC748" s="1">
        <v>493.0</v>
      </c>
      <c r="BD748" s="1" t="s">
        <v>74</v>
      </c>
      <c r="BE748" s="1" t="s">
        <v>6309</v>
      </c>
      <c r="BF748" s="2" t="str">
        <f>HYPERLINK("http://dx.doi.org/10.1002/asjc.1111","http://dx.doi.org/10.1002/asjc.1111")</f>
        <v>http://dx.doi.org/10.1002/asjc.1111</v>
      </c>
      <c r="BG748" s="1" t="s">
        <v>74</v>
      </c>
      <c r="BH748" s="1" t="s">
        <v>74</v>
      </c>
      <c r="BI748" s="1" t="s">
        <v>74</v>
      </c>
      <c r="BJ748" s="1" t="s">
        <v>74</v>
      </c>
      <c r="BK748" s="1" t="s">
        <v>74</v>
      </c>
      <c r="BL748" s="1" t="s">
        <v>74</v>
      </c>
      <c r="BM748" s="1" t="s">
        <v>74</v>
      </c>
      <c r="BN748" s="1" t="s">
        <v>74</v>
      </c>
      <c r="BO748" s="1" t="s">
        <v>74</v>
      </c>
      <c r="BP748" s="1" t="s">
        <v>74</v>
      </c>
      <c r="BQ748" s="1" t="s">
        <v>74</v>
      </c>
      <c r="BR748" s="1" t="s">
        <v>74</v>
      </c>
      <c r="BS748" s="1" t="s">
        <v>6310</v>
      </c>
      <c r="BT748" s="1" t="str">
        <f>HYPERLINK("https%3A%2F%2Fwww.webofscience.com%2Fwos%2Fwoscc%2Ffull-record%2FWOS:000372296200006","View Full Record in Web of Science")</f>
        <v>View Full Record in Web of Science</v>
      </c>
    </row>
    <row r="749" ht="12.75" customHeight="1">
      <c r="A749" s="1" t="s">
        <v>91</v>
      </c>
      <c r="B749" s="1" t="s">
        <v>2267</v>
      </c>
      <c r="C749" s="1" t="s">
        <v>74</v>
      </c>
      <c r="D749" s="1" t="s">
        <v>1589</v>
      </c>
      <c r="E749" s="1" t="s">
        <v>74</v>
      </c>
      <c r="F749" s="1" t="s">
        <v>2268</v>
      </c>
      <c r="G749" s="1" t="s">
        <v>74</v>
      </c>
      <c r="H749" s="1" t="s">
        <v>74</v>
      </c>
      <c r="I749" s="1" t="s">
        <v>6311</v>
      </c>
      <c r="J749" s="1" t="s">
        <v>6312</v>
      </c>
      <c r="K749" s="1" t="s">
        <v>6313</v>
      </c>
      <c r="L749" s="1" t="s">
        <v>74</v>
      </c>
      <c r="M749" s="1" t="s">
        <v>74</v>
      </c>
      <c r="N749" s="1" t="s">
        <v>74</v>
      </c>
      <c r="O749" s="1" t="s">
        <v>6314</v>
      </c>
      <c r="P749" s="1" t="s">
        <v>6315</v>
      </c>
      <c r="Q749" s="1" t="s">
        <v>989</v>
      </c>
      <c r="R749" s="1" t="s">
        <v>74</v>
      </c>
      <c r="S749" s="1" t="s">
        <v>74</v>
      </c>
      <c r="T749" s="1" t="s">
        <v>74</v>
      </c>
      <c r="U749" s="1" t="s">
        <v>74</v>
      </c>
      <c r="V749" s="1" t="s">
        <v>6316</v>
      </c>
      <c r="W749" s="1" t="s">
        <v>74</v>
      </c>
      <c r="X749" s="1" t="s">
        <v>74</v>
      </c>
      <c r="Y749" s="1" t="s">
        <v>74</v>
      </c>
      <c r="Z749" s="1" t="s">
        <v>74</v>
      </c>
      <c r="AA749" s="1" t="s">
        <v>74</v>
      </c>
      <c r="AB749" s="1" t="s">
        <v>74</v>
      </c>
      <c r="AC749" s="1" t="s">
        <v>74</v>
      </c>
      <c r="AD749" s="1" t="s">
        <v>74</v>
      </c>
      <c r="AE749" s="1" t="s">
        <v>74</v>
      </c>
      <c r="AF749" s="1" t="s">
        <v>74</v>
      </c>
      <c r="AG749" s="1" t="s">
        <v>74</v>
      </c>
      <c r="AH749" s="1" t="s">
        <v>74</v>
      </c>
      <c r="AI749" s="1" t="s">
        <v>74</v>
      </c>
      <c r="AJ749" s="1" t="s">
        <v>74</v>
      </c>
      <c r="AK749" s="1" t="s">
        <v>74</v>
      </c>
      <c r="AL749" s="1" t="s">
        <v>74</v>
      </c>
      <c r="AM749" s="1" t="s">
        <v>74</v>
      </c>
      <c r="AN749" s="1" t="s">
        <v>74</v>
      </c>
      <c r="AO749" s="1" t="s">
        <v>6317</v>
      </c>
      <c r="AP749" s="1" t="s">
        <v>74</v>
      </c>
      <c r="AQ749" s="1" t="s">
        <v>6318</v>
      </c>
      <c r="AR749" s="1" t="s">
        <v>74</v>
      </c>
      <c r="AS749" s="1" t="s">
        <v>74</v>
      </c>
      <c r="AT749" s="1" t="s">
        <v>74</v>
      </c>
      <c r="AU749" s="1">
        <v>2016.0</v>
      </c>
      <c r="AV749" s="1" t="s">
        <v>74</v>
      </c>
      <c r="AW749" s="1" t="s">
        <v>74</v>
      </c>
      <c r="AX749" s="1" t="s">
        <v>74</v>
      </c>
      <c r="AY749" s="1" t="s">
        <v>74</v>
      </c>
      <c r="AZ749" s="1" t="s">
        <v>74</v>
      </c>
      <c r="BA749" s="1" t="s">
        <v>74</v>
      </c>
      <c r="BB749" s="1">
        <v>8728.0</v>
      </c>
      <c r="BC749" s="1">
        <v>8736.0</v>
      </c>
      <c r="BD749" s="1" t="s">
        <v>74</v>
      </c>
      <c r="BE749" s="1" t="s">
        <v>74</v>
      </c>
      <c r="BF749" s="1" t="s">
        <v>74</v>
      </c>
      <c r="BG749" s="1" t="s">
        <v>74</v>
      </c>
      <c r="BH749" s="1" t="s">
        <v>74</v>
      </c>
      <c r="BI749" s="1" t="s">
        <v>74</v>
      </c>
      <c r="BJ749" s="1" t="s">
        <v>74</v>
      </c>
      <c r="BK749" s="1" t="s">
        <v>74</v>
      </c>
      <c r="BL749" s="1" t="s">
        <v>74</v>
      </c>
      <c r="BM749" s="1" t="s">
        <v>74</v>
      </c>
      <c r="BN749" s="1" t="s">
        <v>74</v>
      </c>
      <c r="BO749" s="1" t="s">
        <v>74</v>
      </c>
      <c r="BP749" s="1" t="s">
        <v>74</v>
      </c>
      <c r="BQ749" s="1" t="s">
        <v>74</v>
      </c>
      <c r="BR749" s="1" t="s">
        <v>74</v>
      </c>
      <c r="BS749" s="1" t="s">
        <v>6319</v>
      </c>
      <c r="BT749" s="1" t="str">
        <f>HYPERLINK("https%3A%2F%2Fwww.webofscience.com%2Fwos%2Fwoscc%2Ffull-record%2FWOS:000402955908105","View Full Record in Web of Science")</f>
        <v>View Full Record in Web of Science</v>
      </c>
    </row>
    <row r="750" ht="12.75" customHeight="1">
      <c r="A750" s="1" t="s">
        <v>91</v>
      </c>
      <c r="B750" s="1" t="s">
        <v>6320</v>
      </c>
      <c r="C750" s="1" t="s">
        <v>74</v>
      </c>
      <c r="D750" s="1" t="s">
        <v>74</v>
      </c>
      <c r="E750" s="1" t="s">
        <v>442</v>
      </c>
      <c r="F750" s="1" t="s">
        <v>6321</v>
      </c>
      <c r="G750" s="1" t="s">
        <v>74</v>
      </c>
      <c r="H750" s="1" t="s">
        <v>74</v>
      </c>
      <c r="I750" s="1" t="s">
        <v>6322</v>
      </c>
      <c r="J750" s="1" t="s">
        <v>674</v>
      </c>
      <c r="K750" s="1" t="s">
        <v>74</v>
      </c>
      <c r="L750" s="1" t="s">
        <v>74</v>
      </c>
      <c r="M750" s="1" t="s">
        <v>74</v>
      </c>
      <c r="N750" s="1" t="s">
        <v>74</v>
      </c>
      <c r="O750" s="1" t="s">
        <v>675</v>
      </c>
      <c r="P750" s="1" t="s">
        <v>676</v>
      </c>
      <c r="Q750" s="1" t="s">
        <v>677</v>
      </c>
      <c r="R750" s="1" t="s">
        <v>442</v>
      </c>
      <c r="S750" s="1" t="s">
        <v>678</v>
      </c>
      <c r="T750" s="1" t="s">
        <v>74</v>
      </c>
      <c r="U750" s="1" t="s">
        <v>74</v>
      </c>
      <c r="V750" s="1" t="s">
        <v>6323</v>
      </c>
      <c r="W750" s="1" t="s">
        <v>74</v>
      </c>
      <c r="X750" s="1" t="s">
        <v>74</v>
      </c>
      <c r="Y750" s="1" t="s">
        <v>74</v>
      </c>
      <c r="Z750" s="1" t="s">
        <v>74</v>
      </c>
      <c r="AA750" s="1" t="s">
        <v>2031</v>
      </c>
      <c r="AB750" s="1" t="s">
        <v>2032</v>
      </c>
      <c r="AC750" s="1" t="s">
        <v>74</v>
      </c>
      <c r="AD750" s="1" t="s">
        <v>74</v>
      </c>
      <c r="AE750" s="1" t="s">
        <v>74</v>
      </c>
      <c r="AF750" s="1" t="s">
        <v>74</v>
      </c>
      <c r="AG750" s="1" t="s">
        <v>74</v>
      </c>
      <c r="AH750" s="1" t="s">
        <v>74</v>
      </c>
      <c r="AI750" s="1" t="s">
        <v>74</v>
      </c>
      <c r="AJ750" s="1" t="s">
        <v>74</v>
      </c>
      <c r="AK750" s="1" t="s">
        <v>74</v>
      </c>
      <c r="AL750" s="1" t="s">
        <v>74</v>
      </c>
      <c r="AM750" s="1" t="s">
        <v>74</v>
      </c>
      <c r="AN750" s="1" t="s">
        <v>74</v>
      </c>
      <c r="AO750" s="1" t="s">
        <v>74</v>
      </c>
      <c r="AP750" s="1" t="s">
        <v>74</v>
      </c>
      <c r="AQ750" s="1" t="s">
        <v>682</v>
      </c>
      <c r="AR750" s="1" t="s">
        <v>74</v>
      </c>
      <c r="AS750" s="1" t="s">
        <v>74</v>
      </c>
      <c r="AT750" s="1" t="s">
        <v>74</v>
      </c>
      <c r="AU750" s="1">
        <v>2016.0</v>
      </c>
      <c r="AV750" s="1" t="s">
        <v>74</v>
      </c>
      <c r="AW750" s="1" t="s">
        <v>74</v>
      </c>
      <c r="AX750" s="1" t="s">
        <v>74</v>
      </c>
      <c r="AY750" s="1" t="s">
        <v>74</v>
      </c>
      <c r="AZ750" s="1" t="s">
        <v>74</v>
      </c>
      <c r="BA750" s="1" t="s">
        <v>74</v>
      </c>
      <c r="BB750" s="1" t="s">
        <v>74</v>
      </c>
      <c r="BC750" s="1" t="s">
        <v>74</v>
      </c>
      <c r="BD750" s="1" t="s">
        <v>74</v>
      </c>
      <c r="BE750" s="1" t="s">
        <v>74</v>
      </c>
      <c r="BF750" s="1" t="s">
        <v>74</v>
      </c>
      <c r="BG750" s="1" t="s">
        <v>74</v>
      </c>
      <c r="BH750" s="1" t="s">
        <v>74</v>
      </c>
      <c r="BI750" s="1" t="s">
        <v>74</v>
      </c>
      <c r="BJ750" s="1" t="s">
        <v>74</v>
      </c>
      <c r="BK750" s="1" t="s">
        <v>74</v>
      </c>
      <c r="BL750" s="1" t="s">
        <v>74</v>
      </c>
      <c r="BM750" s="1" t="s">
        <v>74</v>
      </c>
      <c r="BN750" s="1" t="s">
        <v>74</v>
      </c>
      <c r="BO750" s="1" t="s">
        <v>74</v>
      </c>
      <c r="BP750" s="1" t="s">
        <v>74</v>
      </c>
      <c r="BQ750" s="1" t="s">
        <v>74</v>
      </c>
      <c r="BR750" s="1" t="s">
        <v>74</v>
      </c>
      <c r="BS750" s="1" t="s">
        <v>6324</v>
      </c>
      <c r="BT750" s="1" t="str">
        <f>HYPERLINK("https%3A%2F%2Fwww.webofscience.com%2Fwos%2Fwoscc%2Ffull-record%2FWOS:000390556300083","View Full Record in Web of Science")</f>
        <v>View Full Record in Web of Science</v>
      </c>
    </row>
    <row r="751" ht="12.75" customHeight="1">
      <c r="A751" s="1" t="s">
        <v>91</v>
      </c>
      <c r="B751" s="1" t="s">
        <v>6325</v>
      </c>
      <c r="C751" s="1" t="s">
        <v>74</v>
      </c>
      <c r="D751" s="1" t="s">
        <v>6326</v>
      </c>
      <c r="E751" s="1" t="s">
        <v>74</v>
      </c>
      <c r="F751" s="1" t="s">
        <v>6327</v>
      </c>
      <c r="G751" s="1" t="s">
        <v>74</v>
      </c>
      <c r="H751" s="1" t="s">
        <v>74</v>
      </c>
      <c r="I751" s="1" t="s">
        <v>6328</v>
      </c>
      <c r="J751" s="1" t="s">
        <v>6329</v>
      </c>
      <c r="K751" s="1" t="s">
        <v>74</v>
      </c>
      <c r="L751" s="1" t="s">
        <v>74</v>
      </c>
      <c r="M751" s="1" t="s">
        <v>74</v>
      </c>
      <c r="N751" s="1" t="s">
        <v>74</v>
      </c>
      <c r="O751" s="1" t="s">
        <v>6330</v>
      </c>
      <c r="P751" s="1" t="s">
        <v>6331</v>
      </c>
      <c r="Q751" s="1" t="s">
        <v>6332</v>
      </c>
      <c r="R751" s="1" t="s">
        <v>74</v>
      </c>
      <c r="S751" s="1" t="s">
        <v>6333</v>
      </c>
      <c r="T751" s="1" t="s">
        <v>74</v>
      </c>
      <c r="U751" s="1" t="s">
        <v>74</v>
      </c>
      <c r="V751" s="1" t="s">
        <v>74</v>
      </c>
      <c r="W751" s="1" t="s">
        <v>74</v>
      </c>
      <c r="X751" s="1" t="s">
        <v>74</v>
      </c>
      <c r="Y751" s="1" t="s">
        <v>74</v>
      </c>
      <c r="Z751" s="1" t="s">
        <v>74</v>
      </c>
      <c r="AA751" s="1" t="s">
        <v>74</v>
      </c>
      <c r="AB751" s="1" t="s">
        <v>74</v>
      </c>
      <c r="AC751" s="1" t="s">
        <v>74</v>
      </c>
      <c r="AD751" s="1" t="s">
        <v>74</v>
      </c>
      <c r="AE751" s="1" t="s">
        <v>74</v>
      </c>
      <c r="AF751" s="1" t="s">
        <v>74</v>
      </c>
      <c r="AG751" s="1" t="s">
        <v>74</v>
      </c>
      <c r="AH751" s="1" t="s">
        <v>74</v>
      </c>
      <c r="AI751" s="1" t="s">
        <v>74</v>
      </c>
      <c r="AJ751" s="1" t="s">
        <v>74</v>
      </c>
      <c r="AK751" s="1" t="s">
        <v>74</v>
      </c>
      <c r="AL751" s="1" t="s">
        <v>74</v>
      </c>
      <c r="AM751" s="1" t="s">
        <v>74</v>
      </c>
      <c r="AN751" s="1" t="s">
        <v>74</v>
      </c>
      <c r="AO751" s="1" t="s">
        <v>74</v>
      </c>
      <c r="AP751" s="1" t="s">
        <v>74</v>
      </c>
      <c r="AQ751" s="1" t="s">
        <v>6334</v>
      </c>
      <c r="AR751" s="1" t="s">
        <v>74</v>
      </c>
      <c r="AS751" s="1" t="s">
        <v>74</v>
      </c>
      <c r="AT751" s="1" t="s">
        <v>74</v>
      </c>
      <c r="AU751" s="1">
        <v>2016.0</v>
      </c>
      <c r="AV751" s="1" t="s">
        <v>74</v>
      </c>
      <c r="AW751" s="1" t="s">
        <v>74</v>
      </c>
      <c r="AX751" s="1" t="s">
        <v>74</v>
      </c>
      <c r="AY751" s="1" t="s">
        <v>74</v>
      </c>
      <c r="AZ751" s="1" t="s">
        <v>74</v>
      </c>
      <c r="BA751" s="1" t="s">
        <v>74</v>
      </c>
      <c r="BB751" s="1">
        <v>17.0</v>
      </c>
      <c r="BC751" s="1">
        <v>36.0</v>
      </c>
      <c r="BD751" s="1" t="s">
        <v>74</v>
      </c>
      <c r="BE751" s="1" t="s">
        <v>74</v>
      </c>
      <c r="BF751" s="1" t="s">
        <v>74</v>
      </c>
      <c r="BG751" s="1" t="s">
        <v>74</v>
      </c>
      <c r="BH751" s="1" t="s">
        <v>74</v>
      </c>
      <c r="BI751" s="1" t="s">
        <v>74</v>
      </c>
      <c r="BJ751" s="1" t="s">
        <v>74</v>
      </c>
      <c r="BK751" s="1" t="s">
        <v>74</v>
      </c>
      <c r="BL751" s="1" t="s">
        <v>74</v>
      </c>
      <c r="BM751" s="1" t="s">
        <v>74</v>
      </c>
      <c r="BN751" s="1" t="s">
        <v>74</v>
      </c>
      <c r="BO751" s="1" t="s">
        <v>74</v>
      </c>
      <c r="BP751" s="1" t="s">
        <v>74</v>
      </c>
      <c r="BQ751" s="1" t="s">
        <v>74</v>
      </c>
      <c r="BR751" s="1" t="s">
        <v>74</v>
      </c>
      <c r="BS751" s="1" t="s">
        <v>6335</v>
      </c>
      <c r="BT751" s="1" t="str">
        <f>HYPERLINK("https%3A%2F%2Fwww.webofscience.com%2Fwos%2Fwoscc%2Ffull-record%2FWOS:000681501100001","View Full Record in Web of Science")</f>
        <v>View Full Record in Web of Science</v>
      </c>
    </row>
    <row r="752" ht="12.75" customHeight="1">
      <c r="A752" s="1" t="s">
        <v>72</v>
      </c>
      <c r="B752" s="1" t="s">
        <v>5414</v>
      </c>
      <c r="C752" s="1" t="s">
        <v>74</v>
      </c>
      <c r="D752" s="1" t="s">
        <v>74</v>
      </c>
      <c r="E752" s="1" t="s">
        <v>74</v>
      </c>
      <c r="F752" s="1" t="s">
        <v>5415</v>
      </c>
      <c r="G752" s="1" t="s">
        <v>74</v>
      </c>
      <c r="H752" s="1" t="s">
        <v>74</v>
      </c>
      <c r="I752" s="1" t="s">
        <v>6336</v>
      </c>
      <c r="J752" s="1" t="s">
        <v>3808</v>
      </c>
      <c r="K752" s="1" t="s">
        <v>74</v>
      </c>
      <c r="L752" s="1" t="s">
        <v>74</v>
      </c>
      <c r="M752" s="1" t="s">
        <v>74</v>
      </c>
      <c r="N752" s="1" t="s">
        <v>74</v>
      </c>
      <c r="O752" s="1" t="s">
        <v>74</v>
      </c>
      <c r="P752" s="1" t="s">
        <v>74</v>
      </c>
      <c r="Q752" s="1" t="s">
        <v>74</v>
      </c>
      <c r="R752" s="1" t="s">
        <v>74</v>
      </c>
      <c r="S752" s="1" t="s">
        <v>74</v>
      </c>
      <c r="T752" s="1" t="s">
        <v>74</v>
      </c>
      <c r="U752" s="1" t="s">
        <v>74</v>
      </c>
      <c r="V752" s="1" t="s">
        <v>6337</v>
      </c>
      <c r="W752" s="1" t="s">
        <v>74</v>
      </c>
      <c r="X752" s="1" t="s">
        <v>74</v>
      </c>
      <c r="Y752" s="1" t="s">
        <v>74</v>
      </c>
      <c r="Z752" s="1" t="s">
        <v>74</v>
      </c>
      <c r="AA752" s="1" t="s">
        <v>74</v>
      </c>
      <c r="AB752" s="1" t="s">
        <v>74</v>
      </c>
      <c r="AC752" s="1" t="s">
        <v>74</v>
      </c>
      <c r="AD752" s="1" t="s">
        <v>74</v>
      </c>
      <c r="AE752" s="1" t="s">
        <v>74</v>
      </c>
      <c r="AF752" s="1" t="s">
        <v>74</v>
      </c>
      <c r="AG752" s="1" t="s">
        <v>74</v>
      </c>
      <c r="AH752" s="1" t="s">
        <v>74</v>
      </c>
      <c r="AI752" s="1" t="s">
        <v>74</v>
      </c>
      <c r="AJ752" s="1" t="s">
        <v>74</v>
      </c>
      <c r="AK752" s="1" t="s">
        <v>74</v>
      </c>
      <c r="AL752" s="1" t="s">
        <v>74</v>
      </c>
      <c r="AM752" s="1" t="s">
        <v>74</v>
      </c>
      <c r="AN752" s="1" t="s">
        <v>74</v>
      </c>
      <c r="AO752" s="1" t="s">
        <v>3810</v>
      </c>
      <c r="AP752" s="1" t="s">
        <v>3811</v>
      </c>
      <c r="AQ752" s="1" t="s">
        <v>74</v>
      </c>
      <c r="AR752" s="1" t="s">
        <v>74</v>
      </c>
      <c r="AS752" s="1" t="s">
        <v>74</v>
      </c>
      <c r="AT752" s="1" t="s">
        <v>180</v>
      </c>
      <c r="AU752" s="1">
        <v>2015.0</v>
      </c>
      <c r="AV752" s="1">
        <v>26.0</v>
      </c>
      <c r="AW752" s="1">
        <v>3.0</v>
      </c>
      <c r="AX752" s="1" t="s">
        <v>74</v>
      </c>
      <c r="AY752" s="1" t="s">
        <v>74</v>
      </c>
      <c r="AZ752" s="1" t="s">
        <v>74</v>
      </c>
      <c r="BA752" s="1" t="s">
        <v>74</v>
      </c>
      <c r="BB752" s="1">
        <v>761.0</v>
      </c>
      <c r="BC752" s="1">
        <v>771.0</v>
      </c>
      <c r="BD752" s="1" t="s">
        <v>74</v>
      </c>
      <c r="BE752" s="1" t="s">
        <v>6338</v>
      </c>
      <c r="BF752" s="2" t="str">
        <f>HYPERLINK("http://dx.doi.org/10.1007/s11224-014-0535-y","http://dx.doi.org/10.1007/s11224-014-0535-y")</f>
        <v>http://dx.doi.org/10.1007/s11224-014-0535-y</v>
      </c>
      <c r="BG752" s="1" t="s">
        <v>74</v>
      </c>
      <c r="BH752" s="1" t="s">
        <v>74</v>
      </c>
      <c r="BI752" s="1" t="s">
        <v>74</v>
      </c>
      <c r="BJ752" s="1" t="s">
        <v>74</v>
      </c>
      <c r="BK752" s="1" t="s">
        <v>74</v>
      </c>
      <c r="BL752" s="1" t="s">
        <v>74</v>
      </c>
      <c r="BM752" s="1" t="s">
        <v>74</v>
      </c>
      <c r="BN752" s="1" t="s">
        <v>74</v>
      </c>
      <c r="BO752" s="1" t="s">
        <v>74</v>
      </c>
      <c r="BP752" s="1" t="s">
        <v>74</v>
      </c>
      <c r="BQ752" s="1" t="s">
        <v>74</v>
      </c>
      <c r="BR752" s="1" t="s">
        <v>74</v>
      </c>
      <c r="BS752" s="1" t="s">
        <v>6339</v>
      </c>
      <c r="BT752" s="1" t="str">
        <f>HYPERLINK("https%3A%2F%2Fwww.webofscience.com%2Fwos%2Fwoscc%2Ffull-record%2FWOS:000352995800013","View Full Record in Web of Science")</f>
        <v>View Full Record in Web of Science</v>
      </c>
    </row>
    <row r="753" ht="12.75" customHeight="1">
      <c r="A753" s="1" t="s">
        <v>72</v>
      </c>
      <c r="B753" s="1" t="s">
        <v>6340</v>
      </c>
      <c r="C753" s="1" t="s">
        <v>74</v>
      </c>
      <c r="D753" s="1" t="s">
        <v>74</v>
      </c>
      <c r="E753" s="1" t="s">
        <v>74</v>
      </c>
      <c r="F753" s="1" t="s">
        <v>6341</v>
      </c>
      <c r="G753" s="1" t="s">
        <v>74</v>
      </c>
      <c r="H753" s="1" t="s">
        <v>74</v>
      </c>
      <c r="I753" s="1" t="s">
        <v>6342</v>
      </c>
      <c r="J753" s="1" t="s">
        <v>1819</v>
      </c>
      <c r="K753" s="1" t="s">
        <v>74</v>
      </c>
      <c r="L753" s="1" t="s">
        <v>74</v>
      </c>
      <c r="M753" s="1" t="s">
        <v>74</v>
      </c>
      <c r="N753" s="1" t="s">
        <v>74</v>
      </c>
      <c r="O753" s="1" t="s">
        <v>74</v>
      </c>
      <c r="P753" s="1" t="s">
        <v>74</v>
      </c>
      <c r="Q753" s="1" t="s">
        <v>74</v>
      </c>
      <c r="R753" s="1" t="s">
        <v>74</v>
      </c>
      <c r="S753" s="1" t="s">
        <v>74</v>
      </c>
      <c r="T753" s="1" t="s">
        <v>74</v>
      </c>
      <c r="U753" s="1" t="s">
        <v>74</v>
      </c>
      <c r="V753" s="1" t="s">
        <v>6343</v>
      </c>
      <c r="W753" s="1" t="s">
        <v>74</v>
      </c>
      <c r="X753" s="1" t="s">
        <v>74</v>
      </c>
      <c r="Y753" s="1" t="s">
        <v>74</v>
      </c>
      <c r="Z753" s="1" t="s">
        <v>74</v>
      </c>
      <c r="AA753" s="1" t="s">
        <v>6344</v>
      </c>
      <c r="AB753" s="1" t="s">
        <v>6345</v>
      </c>
      <c r="AC753" s="1" t="s">
        <v>74</v>
      </c>
      <c r="AD753" s="1" t="s">
        <v>74</v>
      </c>
      <c r="AE753" s="1" t="s">
        <v>74</v>
      </c>
      <c r="AF753" s="1" t="s">
        <v>74</v>
      </c>
      <c r="AG753" s="1" t="s">
        <v>74</v>
      </c>
      <c r="AH753" s="1" t="s">
        <v>74</v>
      </c>
      <c r="AI753" s="1" t="s">
        <v>74</v>
      </c>
      <c r="AJ753" s="1" t="s">
        <v>74</v>
      </c>
      <c r="AK753" s="1" t="s">
        <v>74</v>
      </c>
      <c r="AL753" s="1" t="s">
        <v>74</v>
      </c>
      <c r="AM753" s="1" t="s">
        <v>74</v>
      </c>
      <c r="AN753" s="1" t="s">
        <v>74</v>
      </c>
      <c r="AO753" s="1" t="s">
        <v>1823</v>
      </c>
      <c r="AP753" s="1" t="s">
        <v>1824</v>
      </c>
      <c r="AQ753" s="1" t="s">
        <v>74</v>
      </c>
      <c r="AR753" s="1" t="s">
        <v>74</v>
      </c>
      <c r="AS753" s="1" t="s">
        <v>74</v>
      </c>
      <c r="AT753" s="1" t="s">
        <v>6346</v>
      </c>
      <c r="AU753" s="1">
        <v>2015.0</v>
      </c>
      <c r="AV753" s="1">
        <v>91.0</v>
      </c>
      <c r="AW753" s="1">
        <v>3.0</v>
      </c>
      <c r="AX753" s="1" t="s">
        <v>74</v>
      </c>
      <c r="AY753" s="1" t="s">
        <v>74</v>
      </c>
      <c r="AZ753" s="1" t="s">
        <v>74</v>
      </c>
      <c r="BA753" s="1" t="s">
        <v>74</v>
      </c>
      <c r="BB753" s="1" t="s">
        <v>74</v>
      </c>
      <c r="BC753" s="1" t="s">
        <v>74</v>
      </c>
      <c r="BD753" s="1">
        <v>32407.0</v>
      </c>
      <c r="BE753" s="1" t="s">
        <v>6347</v>
      </c>
      <c r="BF753" s="2" t="str">
        <f>HYPERLINK("http://dx.doi.org/10.1103/PhysRevE.91.032407","http://dx.doi.org/10.1103/PhysRevE.91.032407")</f>
        <v>http://dx.doi.org/10.1103/PhysRevE.91.032407</v>
      </c>
      <c r="BG753" s="1" t="s">
        <v>74</v>
      </c>
      <c r="BH753" s="1" t="s">
        <v>74</v>
      </c>
      <c r="BI753" s="1" t="s">
        <v>74</v>
      </c>
      <c r="BJ753" s="1" t="s">
        <v>74</v>
      </c>
      <c r="BK753" s="1" t="s">
        <v>74</v>
      </c>
      <c r="BL753" s="1" t="s">
        <v>74</v>
      </c>
      <c r="BM753" s="1" t="s">
        <v>74</v>
      </c>
      <c r="BN753" s="1">
        <v>2.5871123E7</v>
      </c>
      <c r="BO753" s="1" t="s">
        <v>74</v>
      </c>
      <c r="BP753" s="1" t="s">
        <v>74</v>
      </c>
      <c r="BQ753" s="1" t="s">
        <v>74</v>
      </c>
      <c r="BR753" s="1" t="s">
        <v>74</v>
      </c>
      <c r="BS753" s="1" t="s">
        <v>6348</v>
      </c>
      <c r="BT753" s="1" t="str">
        <f>HYPERLINK("https%3A%2F%2Fwww.webofscience.com%2Fwos%2Fwoscc%2Ffull-record%2FWOS:000350966600010","View Full Record in Web of Science")</f>
        <v>View Full Record in Web of Science</v>
      </c>
    </row>
    <row r="754" ht="12.75" customHeight="1">
      <c r="A754" s="1" t="s">
        <v>91</v>
      </c>
      <c r="B754" s="1" t="s">
        <v>6349</v>
      </c>
      <c r="C754" s="1" t="s">
        <v>74</v>
      </c>
      <c r="D754" s="1" t="s">
        <v>74</v>
      </c>
      <c r="E754" s="1" t="s">
        <v>997</v>
      </c>
      <c r="F754" s="1" t="s">
        <v>6350</v>
      </c>
      <c r="G754" s="1" t="s">
        <v>74</v>
      </c>
      <c r="H754" s="1" t="s">
        <v>74</v>
      </c>
      <c r="I754" s="1" t="s">
        <v>6351</v>
      </c>
      <c r="J754" s="1" t="s">
        <v>6352</v>
      </c>
      <c r="K754" s="1" t="s">
        <v>74</v>
      </c>
      <c r="L754" s="1" t="s">
        <v>74</v>
      </c>
      <c r="M754" s="1" t="s">
        <v>74</v>
      </c>
      <c r="N754" s="1" t="s">
        <v>74</v>
      </c>
      <c r="O754" s="1" t="s">
        <v>6353</v>
      </c>
      <c r="P754" s="1" t="s">
        <v>6354</v>
      </c>
      <c r="Q754" s="1" t="s">
        <v>6355</v>
      </c>
      <c r="R754" s="1" t="s">
        <v>997</v>
      </c>
      <c r="S754" s="1" t="s">
        <v>74</v>
      </c>
      <c r="T754" s="1" t="s">
        <v>74</v>
      </c>
      <c r="U754" s="1" t="s">
        <v>74</v>
      </c>
      <c r="V754" s="1" t="s">
        <v>6356</v>
      </c>
      <c r="W754" s="1" t="s">
        <v>74</v>
      </c>
      <c r="X754" s="1" t="s">
        <v>74</v>
      </c>
      <c r="Y754" s="1" t="s">
        <v>74</v>
      </c>
      <c r="Z754" s="1" t="s">
        <v>74</v>
      </c>
      <c r="AA754" s="1" t="s">
        <v>74</v>
      </c>
      <c r="AB754" s="1" t="s">
        <v>74</v>
      </c>
      <c r="AC754" s="1" t="s">
        <v>74</v>
      </c>
      <c r="AD754" s="1" t="s">
        <v>74</v>
      </c>
      <c r="AE754" s="1" t="s">
        <v>74</v>
      </c>
      <c r="AF754" s="1" t="s">
        <v>74</v>
      </c>
      <c r="AG754" s="1" t="s">
        <v>74</v>
      </c>
      <c r="AH754" s="1" t="s">
        <v>74</v>
      </c>
      <c r="AI754" s="1" t="s">
        <v>74</v>
      </c>
      <c r="AJ754" s="1" t="s">
        <v>74</v>
      </c>
      <c r="AK754" s="1" t="s">
        <v>74</v>
      </c>
      <c r="AL754" s="1" t="s">
        <v>74</v>
      </c>
      <c r="AM754" s="1" t="s">
        <v>74</v>
      </c>
      <c r="AN754" s="1" t="s">
        <v>74</v>
      </c>
      <c r="AO754" s="1" t="s">
        <v>74</v>
      </c>
      <c r="AP754" s="1" t="s">
        <v>74</v>
      </c>
      <c r="AQ754" s="1" t="s">
        <v>6357</v>
      </c>
      <c r="AR754" s="1" t="s">
        <v>74</v>
      </c>
      <c r="AS754" s="1" t="s">
        <v>74</v>
      </c>
      <c r="AT754" s="1" t="s">
        <v>74</v>
      </c>
      <c r="AU754" s="1">
        <v>2015.0</v>
      </c>
      <c r="AV754" s="1" t="s">
        <v>74</v>
      </c>
      <c r="AW754" s="1" t="s">
        <v>74</v>
      </c>
      <c r="AX754" s="1" t="s">
        <v>74</v>
      </c>
      <c r="AY754" s="1" t="s">
        <v>74</v>
      </c>
      <c r="AZ754" s="1" t="s">
        <v>74</v>
      </c>
      <c r="BA754" s="1" t="s">
        <v>74</v>
      </c>
      <c r="BB754" s="1" t="s">
        <v>74</v>
      </c>
      <c r="BC754" s="1" t="s">
        <v>74</v>
      </c>
      <c r="BD754" s="1" t="s">
        <v>6358</v>
      </c>
      <c r="BE754" s="1" t="s">
        <v>74</v>
      </c>
      <c r="BF754" s="1" t="s">
        <v>74</v>
      </c>
      <c r="BG754" s="1" t="s">
        <v>74</v>
      </c>
      <c r="BH754" s="1" t="s">
        <v>74</v>
      </c>
      <c r="BI754" s="1" t="s">
        <v>74</v>
      </c>
      <c r="BJ754" s="1" t="s">
        <v>74</v>
      </c>
      <c r="BK754" s="1" t="s">
        <v>74</v>
      </c>
      <c r="BL754" s="1" t="s">
        <v>74</v>
      </c>
      <c r="BM754" s="1" t="s">
        <v>74</v>
      </c>
      <c r="BN754" s="1" t="s">
        <v>74</v>
      </c>
      <c r="BO754" s="1" t="s">
        <v>74</v>
      </c>
      <c r="BP754" s="1" t="s">
        <v>74</v>
      </c>
      <c r="BQ754" s="1" t="s">
        <v>74</v>
      </c>
      <c r="BR754" s="1" t="s">
        <v>74</v>
      </c>
      <c r="BS754" s="1" t="s">
        <v>6359</v>
      </c>
      <c r="BT754" s="1" t="str">
        <f>HYPERLINK("https%3A%2F%2Fwww.webofscience.com%2Fwos%2Fwoscc%2Ffull-record%2FWOS:000375505300005","View Full Record in Web of Science")</f>
        <v>View Full Record in Web of Science</v>
      </c>
    </row>
    <row r="755" ht="12.75" customHeight="1">
      <c r="A755" s="1" t="s">
        <v>72</v>
      </c>
      <c r="B755" s="1" t="s">
        <v>1480</v>
      </c>
      <c r="C755" s="1" t="s">
        <v>74</v>
      </c>
      <c r="D755" s="1" t="s">
        <v>74</v>
      </c>
      <c r="E755" s="1" t="s">
        <v>74</v>
      </c>
      <c r="F755" s="1" t="s">
        <v>3018</v>
      </c>
      <c r="G755" s="1" t="s">
        <v>74</v>
      </c>
      <c r="H755" s="1" t="s">
        <v>74</v>
      </c>
      <c r="I755" s="1" t="s">
        <v>6360</v>
      </c>
      <c r="J755" s="1" t="s">
        <v>806</v>
      </c>
      <c r="K755" s="1" t="s">
        <v>74</v>
      </c>
      <c r="L755" s="1" t="s">
        <v>74</v>
      </c>
      <c r="M755" s="1" t="s">
        <v>74</v>
      </c>
      <c r="N755" s="1" t="s">
        <v>74</v>
      </c>
      <c r="O755" s="1" t="s">
        <v>74</v>
      </c>
      <c r="P755" s="1" t="s">
        <v>74</v>
      </c>
      <c r="Q755" s="1" t="s">
        <v>74</v>
      </c>
      <c r="R755" s="1" t="s">
        <v>74</v>
      </c>
      <c r="S755" s="1" t="s">
        <v>74</v>
      </c>
      <c r="T755" s="1" t="s">
        <v>74</v>
      </c>
      <c r="U755" s="1" t="s">
        <v>74</v>
      </c>
      <c r="V755" s="1" t="s">
        <v>74</v>
      </c>
      <c r="W755" s="1" t="s">
        <v>74</v>
      </c>
      <c r="X755" s="1" t="s">
        <v>74</v>
      </c>
      <c r="Y755" s="1" t="s">
        <v>74</v>
      </c>
      <c r="Z755" s="1" t="s">
        <v>74</v>
      </c>
      <c r="AA755" s="1" t="s">
        <v>74</v>
      </c>
      <c r="AB755" s="1" t="s">
        <v>74</v>
      </c>
      <c r="AC755" s="1" t="s">
        <v>74</v>
      </c>
      <c r="AD755" s="1" t="s">
        <v>74</v>
      </c>
      <c r="AE755" s="1" t="s">
        <v>74</v>
      </c>
      <c r="AF755" s="1" t="s">
        <v>74</v>
      </c>
      <c r="AG755" s="1" t="s">
        <v>74</v>
      </c>
      <c r="AH755" s="1" t="s">
        <v>74</v>
      </c>
      <c r="AI755" s="1" t="s">
        <v>74</v>
      </c>
      <c r="AJ755" s="1" t="s">
        <v>74</v>
      </c>
      <c r="AK755" s="1" t="s">
        <v>74</v>
      </c>
      <c r="AL755" s="1" t="s">
        <v>74</v>
      </c>
      <c r="AM755" s="1" t="s">
        <v>74</v>
      </c>
      <c r="AN755" s="1" t="s">
        <v>74</v>
      </c>
      <c r="AO755" s="1" t="s">
        <v>809</v>
      </c>
      <c r="AP755" s="1" t="s">
        <v>74</v>
      </c>
      <c r="AQ755" s="1" t="s">
        <v>74</v>
      </c>
      <c r="AR755" s="1" t="s">
        <v>74</v>
      </c>
      <c r="AS755" s="1" t="s">
        <v>74</v>
      </c>
      <c r="AT755" s="1" t="s">
        <v>810</v>
      </c>
      <c r="AU755" s="1">
        <v>2014.0</v>
      </c>
      <c r="AV755" s="1">
        <v>72.0</v>
      </c>
      <c r="AW755" s="1">
        <v>3.0</v>
      </c>
      <c r="AX755" s="1" t="s">
        <v>74</v>
      </c>
      <c r="AY755" s="1" t="s">
        <v>74</v>
      </c>
      <c r="AZ755" s="1" t="s">
        <v>74</v>
      </c>
      <c r="BA755" s="1" t="s">
        <v>74</v>
      </c>
      <c r="BB755" s="1">
        <v>685.0</v>
      </c>
      <c r="BC755" s="1">
        <v>688.0</v>
      </c>
      <c r="BD755" s="1" t="s">
        <v>74</v>
      </c>
      <c r="BE755" s="1" t="s">
        <v>74</v>
      </c>
      <c r="BF755" s="1" t="s">
        <v>74</v>
      </c>
      <c r="BG755" s="1" t="s">
        <v>74</v>
      </c>
      <c r="BH755" s="1" t="s">
        <v>74</v>
      </c>
      <c r="BI755" s="1" t="s">
        <v>74</v>
      </c>
      <c r="BJ755" s="1" t="s">
        <v>74</v>
      </c>
      <c r="BK755" s="1" t="s">
        <v>74</v>
      </c>
      <c r="BL755" s="1" t="s">
        <v>74</v>
      </c>
      <c r="BM755" s="1" t="s">
        <v>74</v>
      </c>
      <c r="BN755" s="1" t="s">
        <v>74</v>
      </c>
      <c r="BO755" s="1" t="s">
        <v>74</v>
      </c>
      <c r="BP755" s="1" t="s">
        <v>74</v>
      </c>
      <c r="BQ755" s="1" t="s">
        <v>74</v>
      </c>
      <c r="BR755" s="1" t="s">
        <v>74</v>
      </c>
      <c r="BS755" s="1" t="s">
        <v>6361</v>
      </c>
      <c r="BT755" s="1" t="str">
        <f>HYPERLINK("https%3A%2F%2Fwww.webofscience.com%2Fwos%2Fwoscc%2Ffull-record%2FWOS:000341978700008","View Full Record in Web of Science")</f>
        <v>View Full Record in Web of Science</v>
      </c>
    </row>
    <row r="756" ht="12.75" customHeight="1">
      <c r="A756" s="1" t="s">
        <v>72</v>
      </c>
      <c r="B756" s="1" t="s">
        <v>1565</v>
      </c>
      <c r="C756" s="1" t="s">
        <v>74</v>
      </c>
      <c r="D756" s="1" t="s">
        <v>74</v>
      </c>
      <c r="E756" s="1" t="s">
        <v>74</v>
      </c>
      <c r="F756" s="1" t="s">
        <v>1567</v>
      </c>
      <c r="G756" s="1" t="s">
        <v>74</v>
      </c>
      <c r="H756" s="1" t="s">
        <v>74</v>
      </c>
      <c r="I756" s="1" t="s">
        <v>6362</v>
      </c>
      <c r="J756" s="1" t="s">
        <v>6363</v>
      </c>
      <c r="K756" s="1" t="s">
        <v>74</v>
      </c>
      <c r="L756" s="1" t="s">
        <v>74</v>
      </c>
      <c r="M756" s="1" t="s">
        <v>74</v>
      </c>
      <c r="N756" s="1" t="s">
        <v>74</v>
      </c>
      <c r="O756" s="1" t="s">
        <v>74</v>
      </c>
      <c r="P756" s="1" t="s">
        <v>74</v>
      </c>
      <c r="Q756" s="1" t="s">
        <v>74</v>
      </c>
      <c r="R756" s="1" t="s">
        <v>74</v>
      </c>
      <c r="S756" s="1" t="s">
        <v>74</v>
      </c>
      <c r="T756" s="1" t="s">
        <v>74</v>
      </c>
      <c r="U756" s="1" t="s">
        <v>74</v>
      </c>
      <c r="V756" s="1" t="s">
        <v>6364</v>
      </c>
      <c r="W756" s="1" t="s">
        <v>74</v>
      </c>
      <c r="X756" s="1" t="s">
        <v>74</v>
      </c>
      <c r="Y756" s="1" t="s">
        <v>74</v>
      </c>
      <c r="Z756" s="1" t="s">
        <v>74</v>
      </c>
      <c r="AA756" s="1" t="s">
        <v>1571</v>
      </c>
      <c r="AB756" s="1" t="s">
        <v>6365</v>
      </c>
      <c r="AC756" s="1" t="s">
        <v>74</v>
      </c>
      <c r="AD756" s="1" t="s">
        <v>74</v>
      </c>
      <c r="AE756" s="1" t="s">
        <v>74</v>
      </c>
      <c r="AF756" s="1" t="s">
        <v>74</v>
      </c>
      <c r="AG756" s="1" t="s">
        <v>74</v>
      </c>
      <c r="AH756" s="1" t="s">
        <v>74</v>
      </c>
      <c r="AI756" s="1" t="s">
        <v>74</v>
      </c>
      <c r="AJ756" s="1" t="s">
        <v>74</v>
      </c>
      <c r="AK756" s="1" t="s">
        <v>74</v>
      </c>
      <c r="AL756" s="1" t="s">
        <v>74</v>
      </c>
      <c r="AM756" s="1" t="s">
        <v>74</v>
      </c>
      <c r="AN756" s="1" t="s">
        <v>74</v>
      </c>
      <c r="AO756" s="1" t="s">
        <v>6366</v>
      </c>
      <c r="AP756" s="1" t="s">
        <v>6367</v>
      </c>
      <c r="AQ756" s="1" t="s">
        <v>74</v>
      </c>
      <c r="AR756" s="1" t="s">
        <v>74</v>
      </c>
      <c r="AS756" s="1" t="s">
        <v>74</v>
      </c>
      <c r="AT756" s="1" t="s">
        <v>74</v>
      </c>
      <c r="AU756" s="1">
        <v>2014.0</v>
      </c>
      <c r="AV756" s="1">
        <v>42.0</v>
      </c>
      <c r="AW756" s="1">
        <v>2.0</v>
      </c>
      <c r="AX756" s="1" t="s">
        <v>74</v>
      </c>
      <c r="AY756" s="1" t="s">
        <v>74</v>
      </c>
      <c r="AZ756" s="1" t="s">
        <v>74</v>
      </c>
      <c r="BA756" s="1" t="s">
        <v>74</v>
      </c>
      <c r="BB756" s="1">
        <v>215.0</v>
      </c>
      <c r="BC756" s="1">
        <v>238.0</v>
      </c>
      <c r="BD756" s="1" t="s">
        <v>74</v>
      </c>
      <c r="BE756" s="1" t="s">
        <v>6368</v>
      </c>
      <c r="BF756" s="2" t="str">
        <f>HYPERLINK("http://dx.doi.org/10.1080/03086534.2013.868228","http://dx.doi.org/10.1080/03086534.2013.868228")</f>
        <v>http://dx.doi.org/10.1080/03086534.2013.868228</v>
      </c>
      <c r="BG756" s="1" t="s">
        <v>74</v>
      </c>
      <c r="BH756" s="1" t="s">
        <v>74</v>
      </c>
      <c r="BI756" s="1" t="s">
        <v>74</v>
      </c>
      <c r="BJ756" s="1" t="s">
        <v>74</v>
      </c>
      <c r="BK756" s="1" t="s">
        <v>74</v>
      </c>
      <c r="BL756" s="1" t="s">
        <v>74</v>
      </c>
      <c r="BM756" s="1" t="s">
        <v>74</v>
      </c>
      <c r="BN756" s="1" t="s">
        <v>74</v>
      </c>
      <c r="BO756" s="1" t="s">
        <v>74</v>
      </c>
      <c r="BP756" s="1" t="s">
        <v>74</v>
      </c>
      <c r="BQ756" s="1" t="s">
        <v>74</v>
      </c>
      <c r="BR756" s="1" t="s">
        <v>74</v>
      </c>
      <c r="BS756" s="1" t="s">
        <v>6369</v>
      </c>
      <c r="BT756" s="1" t="str">
        <f>HYPERLINK("https%3A%2F%2Fwww.webofscience.com%2Fwos%2Fwoscc%2Ffull-record%2FWOS:000337244800002","View Full Record in Web of Science")</f>
        <v>View Full Record in Web of Science</v>
      </c>
    </row>
    <row r="757" ht="12.75" customHeight="1">
      <c r="A757" s="1" t="s">
        <v>72</v>
      </c>
      <c r="B757" s="1" t="s">
        <v>474</v>
      </c>
      <c r="C757" s="1" t="s">
        <v>74</v>
      </c>
      <c r="D757" s="1" t="s">
        <v>74</v>
      </c>
      <c r="E757" s="1" t="s">
        <v>74</v>
      </c>
      <c r="F757" s="1" t="s">
        <v>475</v>
      </c>
      <c r="G757" s="1" t="s">
        <v>74</v>
      </c>
      <c r="H757" s="1" t="s">
        <v>74</v>
      </c>
      <c r="I757" s="1" t="s">
        <v>6370</v>
      </c>
      <c r="J757" s="1" t="s">
        <v>3163</v>
      </c>
      <c r="K757" s="1" t="s">
        <v>74</v>
      </c>
      <c r="L757" s="1" t="s">
        <v>74</v>
      </c>
      <c r="M757" s="1" t="s">
        <v>74</v>
      </c>
      <c r="N757" s="1" t="s">
        <v>74</v>
      </c>
      <c r="O757" s="1" t="s">
        <v>74</v>
      </c>
      <c r="P757" s="1" t="s">
        <v>74</v>
      </c>
      <c r="Q757" s="1" t="s">
        <v>74</v>
      </c>
      <c r="R757" s="1" t="s">
        <v>74</v>
      </c>
      <c r="S757" s="1" t="s">
        <v>74</v>
      </c>
      <c r="T757" s="1" t="s">
        <v>74</v>
      </c>
      <c r="U757" s="1" t="s">
        <v>74</v>
      </c>
      <c r="V757" s="1" t="s">
        <v>74</v>
      </c>
      <c r="W757" s="1" t="s">
        <v>74</v>
      </c>
      <c r="X757" s="1" t="s">
        <v>74</v>
      </c>
      <c r="Y757" s="1" t="s">
        <v>74</v>
      </c>
      <c r="Z757" s="1" t="s">
        <v>74</v>
      </c>
      <c r="AA757" s="1" t="s">
        <v>74</v>
      </c>
      <c r="AB757" s="1" t="s">
        <v>74</v>
      </c>
      <c r="AC757" s="1" t="s">
        <v>74</v>
      </c>
      <c r="AD757" s="1" t="s">
        <v>74</v>
      </c>
      <c r="AE757" s="1" t="s">
        <v>74</v>
      </c>
      <c r="AF757" s="1" t="s">
        <v>74</v>
      </c>
      <c r="AG757" s="1" t="s">
        <v>74</v>
      </c>
      <c r="AH757" s="1" t="s">
        <v>74</v>
      </c>
      <c r="AI757" s="1" t="s">
        <v>74</v>
      </c>
      <c r="AJ757" s="1" t="s">
        <v>74</v>
      </c>
      <c r="AK757" s="1" t="s">
        <v>74</v>
      </c>
      <c r="AL757" s="1" t="s">
        <v>74</v>
      </c>
      <c r="AM757" s="1" t="s">
        <v>74</v>
      </c>
      <c r="AN757" s="1" t="s">
        <v>74</v>
      </c>
      <c r="AO757" s="1" t="s">
        <v>3165</v>
      </c>
      <c r="AP757" s="1" t="s">
        <v>74</v>
      </c>
      <c r="AQ757" s="1" t="s">
        <v>74</v>
      </c>
      <c r="AR757" s="1" t="s">
        <v>74</v>
      </c>
      <c r="AS757" s="1" t="s">
        <v>74</v>
      </c>
      <c r="AT757" s="1" t="s">
        <v>74</v>
      </c>
      <c r="AU757" s="1">
        <v>2014.0</v>
      </c>
      <c r="AV757" s="1" t="s">
        <v>74</v>
      </c>
      <c r="AW757" s="1">
        <v>509.0</v>
      </c>
      <c r="AX757" s="1" t="s">
        <v>74</v>
      </c>
      <c r="AY757" s="1" t="s">
        <v>74</v>
      </c>
      <c r="AZ757" s="1" t="s">
        <v>74</v>
      </c>
      <c r="BA757" s="1" t="s">
        <v>74</v>
      </c>
      <c r="BB757" s="1">
        <v>271.0</v>
      </c>
      <c r="BC757" s="1">
        <v>275.0</v>
      </c>
      <c r="BD757" s="1" t="s">
        <v>74</v>
      </c>
      <c r="BE757" s="1" t="s">
        <v>6371</v>
      </c>
      <c r="BF757" s="2" t="str">
        <f>HYPERLINK("http://dx.doi.org/10.4067/S0718-04622014000100015","http://dx.doi.org/10.4067/S0718-04622014000100015")</f>
        <v>http://dx.doi.org/10.4067/S0718-04622014000100015</v>
      </c>
      <c r="BG757" s="1" t="s">
        <v>74</v>
      </c>
      <c r="BH757" s="1" t="s">
        <v>74</v>
      </c>
      <c r="BI757" s="1" t="s">
        <v>74</v>
      </c>
      <c r="BJ757" s="1" t="s">
        <v>74</v>
      </c>
      <c r="BK757" s="1" t="s">
        <v>74</v>
      </c>
      <c r="BL757" s="1" t="s">
        <v>74</v>
      </c>
      <c r="BM757" s="1" t="s">
        <v>74</v>
      </c>
      <c r="BN757" s="1" t="s">
        <v>74</v>
      </c>
      <c r="BO757" s="1" t="s">
        <v>74</v>
      </c>
      <c r="BP757" s="1" t="s">
        <v>74</v>
      </c>
      <c r="BQ757" s="1" t="s">
        <v>74</v>
      </c>
      <c r="BR757" s="1" t="s">
        <v>74</v>
      </c>
      <c r="BS757" s="1" t="s">
        <v>6372</v>
      </c>
      <c r="BT757" s="1" t="str">
        <f>HYPERLINK("https%3A%2F%2Fwww.webofscience.com%2Fwos%2Fwoscc%2Ffull-record%2FWOS:000341223600015","View Full Record in Web of Science")</f>
        <v>View Full Record in Web of Science</v>
      </c>
    </row>
    <row r="758" ht="12.75" customHeight="1">
      <c r="A758" s="1" t="s">
        <v>91</v>
      </c>
      <c r="B758" s="1" t="s">
        <v>6373</v>
      </c>
      <c r="C758" s="1" t="s">
        <v>74</v>
      </c>
      <c r="D758" s="1" t="s">
        <v>1589</v>
      </c>
      <c r="E758" s="1" t="s">
        <v>74</v>
      </c>
      <c r="F758" s="1" t="s">
        <v>6374</v>
      </c>
      <c r="G758" s="1" t="s">
        <v>74</v>
      </c>
      <c r="H758" s="1" t="s">
        <v>74</v>
      </c>
      <c r="I758" s="1" t="s">
        <v>6375</v>
      </c>
      <c r="J758" s="1" t="s">
        <v>6376</v>
      </c>
      <c r="K758" s="1" t="s">
        <v>1593</v>
      </c>
      <c r="L758" s="1" t="s">
        <v>74</v>
      </c>
      <c r="M758" s="1" t="s">
        <v>74</v>
      </c>
      <c r="N758" s="1" t="s">
        <v>74</v>
      </c>
      <c r="O758" s="1" t="s">
        <v>6377</v>
      </c>
      <c r="P758" s="1" t="s">
        <v>6378</v>
      </c>
      <c r="Q758" s="1" t="s">
        <v>1596</v>
      </c>
      <c r="R758" s="1" t="s">
        <v>74</v>
      </c>
      <c r="S758" s="1" t="s">
        <v>74</v>
      </c>
      <c r="T758" s="1" t="s">
        <v>74</v>
      </c>
      <c r="U758" s="1" t="s">
        <v>74</v>
      </c>
      <c r="V758" s="1" t="s">
        <v>6379</v>
      </c>
      <c r="W758" s="1" t="s">
        <v>74</v>
      </c>
      <c r="X758" s="1" t="s">
        <v>74</v>
      </c>
      <c r="Y758" s="1" t="s">
        <v>74</v>
      </c>
      <c r="Z758" s="1" t="s">
        <v>74</v>
      </c>
      <c r="AA758" s="1" t="s">
        <v>6380</v>
      </c>
      <c r="AB758" s="1" t="s">
        <v>74</v>
      </c>
      <c r="AC758" s="1" t="s">
        <v>74</v>
      </c>
      <c r="AD758" s="1" t="s">
        <v>74</v>
      </c>
      <c r="AE758" s="1" t="s">
        <v>74</v>
      </c>
      <c r="AF758" s="1" t="s">
        <v>74</v>
      </c>
      <c r="AG758" s="1" t="s">
        <v>74</v>
      </c>
      <c r="AH758" s="1" t="s">
        <v>74</v>
      </c>
      <c r="AI758" s="1" t="s">
        <v>74</v>
      </c>
      <c r="AJ758" s="1" t="s">
        <v>74</v>
      </c>
      <c r="AK758" s="1" t="s">
        <v>74</v>
      </c>
      <c r="AL758" s="1" t="s">
        <v>74</v>
      </c>
      <c r="AM758" s="1" t="s">
        <v>74</v>
      </c>
      <c r="AN758" s="1" t="s">
        <v>74</v>
      </c>
      <c r="AO758" s="1" t="s">
        <v>1598</v>
      </c>
      <c r="AP758" s="1" t="s">
        <v>74</v>
      </c>
      <c r="AQ758" s="1" t="s">
        <v>6381</v>
      </c>
      <c r="AR758" s="1" t="s">
        <v>74</v>
      </c>
      <c r="AS758" s="1" t="s">
        <v>74</v>
      </c>
      <c r="AT758" s="1" t="s">
        <v>74</v>
      </c>
      <c r="AU758" s="1">
        <v>2014.0</v>
      </c>
      <c r="AV758" s="1" t="s">
        <v>74</v>
      </c>
      <c r="AW758" s="1" t="s">
        <v>74</v>
      </c>
      <c r="AX758" s="1" t="s">
        <v>74</v>
      </c>
      <c r="AY758" s="1" t="s">
        <v>74</v>
      </c>
      <c r="AZ758" s="1" t="s">
        <v>74</v>
      </c>
      <c r="BA758" s="1" t="s">
        <v>74</v>
      </c>
      <c r="BB758" s="1">
        <v>4232.0</v>
      </c>
      <c r="BC758" s="1">
        <v>4238.0</v>
      </c>
      <c r="BD758" s="1" t="s">
        <v>74</v>
      </c>
      <c r="BE758" s="1" t="s">
        <v>74</v>
      </c>
      <c r="BF758" s="1" t="s">
        <v>74</v>
      </c>
      <c r="BG758" s="1" t="s">
        <v>74</v>
      </c>
      <c r="BH758" s="1" t="s">
        <v>74</v>
      </c>
      <c r="BI758" s="1" t="s">
        <v>74</v>
      </c>
      <c r="BJ758" s="1" t="s">
        <v>74</v>
      </c>
      <c r="BK758" s="1" t="s">
        <v>74</v>
      </c>
      <c r="BL758" s="1" t="s">
        <v>74</v>
      </c>
      <c r="BM758" s="1" t="s">
        <v>74</v>
      </c>
      <c r="BN758" s="1" t="s">
        <v>74</v>
      </c>
      <c r="BO758" s="1" t="s">
        <v>74</v>
      </c>
      <c r="BP758" s="1" t="s">
        <v>74</v>
      </c>
      <c r="BQ758" s="1" t="s">
        <v>74</v>
      </c>
      <c r="BR758" s="1" t="s">
        <v>74</v>
      </c>
      <c r="BS758" s="1" t="s">
        <v>6382</v>
      </c>
      <c r="BT758" s="1" t="str">
        <f>HYPERLINK("https%3A%2F%2Fwww.webofscience.com%2Fwos%2Fwoscc%2Ffull-record%2FWOS:000367082904046","View Full Record in Web of Science")</f>
        <v>View Full Record in Web of Science</v>
      </c>
    </row>
    <row r="759" ht="12.75" customHeight="1">
      <c r="A759" s="1" t="s">
        <v>72</v>
      </c>
      <c r="B759" s="1" t="s">
        <v>6383</v>
      </c>
      <c r="C759" s="1" t="s">
        <v>74</v>
      </c>
      <c r="D759" s="1" t="s">
        <v>74</v>
      </c>
      <c r="E759" s="1" t="s">
        <v>74</v>
      </c>
      <c r="F759" s="1" t="s">
        <v>6384</v>
      </c>
      <c r="G759" s="1" t="s">
        <v>74</v>
      </c>
      <c r="H759" s="1" t="s">
        <v>74</v>
      </c>
      <c r="I759" s="1" t="s">
        <v>6385</v>
      </c>
      <c r="J759" s="1" t="s">
        <v>1050</v>
      </c>
      <c r="K759" s="1" t="s">
        <v>74</v>
      </c>
      <c r="L759" s="1" t="s">
        <v>74</v>
      </c>
      <c r="M759" s="1" t="s">
        <v>74</v>
      </c>
      <c r="N759" s="1" t="s">
        <v>74</v>
      </c>
      <c r="O759" s="1" t="s">
        <v>74</v>
      </c>
      <c r="P759" s="1" t="s">
        <v>74</v>
      </c>
      <c r="Q759" s="1" t="s">
        <v>74</v>
      </c>
      <c r="R759" s="1" t="s">
        <v>74</v>
      </c>
      <c r="S759" s="1" t="s">
        <v>74</v>
      </c>
      <c r="T759" s="1" t="s">
        <v>74</v>
      </c>
      <c r="U759" s="1" t="s">
        <v>74</v>
      </c>
      <c r="V759" s="1" t="s">
        <v>6386</v>
      </c>
      <c r="W759" s="1" t="s">
        <v>74</v>
      </c>
      <c r="X759" s="1" t="s">
        <v>74</v>
      </c>
      <c r="Y759" s="1" t="s">
        <v>74</v>
      </c>
      <c r="Z759" s="1" t="s">
        <v>74</v>
      </c>
      <c r="AA759" s="1" t="s">
        <v>6387</v>
      </c>
      <c r="AB759" s="1" t="s">
        <v>6388</v>
      </c>
      <c r="AC759" s="1" t="s">
        <v>74</v>
      </c>
      <c r="AD759" s="1" t="s">
        <v>74</v>
      </c>
      <c r="AE759" s="1" t="s">
        <v>74</v>
      </c>
      <c r="AF759" s="1" t="s">
        <v>74</v>
      </c>
      <c r="AG759" s="1" t="s">
        <v>74</v>
      </c>
      <c r="AH759" s="1" t="s">
        <v>74</v>
      </c>
      <c r="AI759" s="1" t="s">
        <v>74</v>
      </c>
      <c r="AJ759" s="1" t="s">
        <v>74</v>
      </c>
      <c r="AK759" s="1" t="s">
        <v>74</v>
      </c>
      <c r="AL759" s="1" t="s">
        <v>74</v>
      </c>
      <c r="AM759" s="1" t="s">
        <v>74</v>
      </c>
      <c r="AN759" s="1" t="s">
        <v>74</v>
      </c>
      <c r="AO759" s="1" t="s">
        <v>1054</v>
      </c>
      <c r="AP759" s="1" t="s">
        <v>74</v>
      </c>
      <c r="AQ759" s="1" t="s">
        <v>74</v>
      </c>
      <c r="AR759" s="1" t="s">
        <v>74</v>
      </c>
      <c r="AS759" s="1" t="s">
        <v>74</v>
      </c>
      <c r="AT759" s="1" t="s">
        <v>88</v>
      </c>
      <c r="AU759" s="1">
        <v>2013.0</v>
      </c>
      <c r="AV759" s="1">
        <v>58.0</v>
      </c>
      <c r="AW759" s="1">
        <v>4.0</v>
      </c>
      <c r="AX759" s="1" t="s">
        <v>74</v>
      </c>
      <c r="AY759" s="1" t="s">
        <v>74</v>
      </c>
      <c r="AZ759" s="1" t="s">
        <v>74</v>
      </c>
      <c r="BA759" s="1" t="s">
        <v>74</v>
      </c>
      <c r="BB759" s="1">
        <v>1982.0</v>
      </c>
      <c r="BC759" s="1">
        <v>1985.0</v>
      </c>
      <c r="BD759" s="1" t="s">
        <v>74</v>
      </c>
      <c r="BE759" s="1" t="s">
        <v>6389</v>
      </c>
      <c r="BF759" s="2" t="str">
        <f>HYPERLINK("http://dx.doi.org/10.4067/S0717-97072013000400016","http://dx.doi.org/10.4067/S0717-97072013000400016")</f>
        <v>http://dx.doi.org/10.4067/S0717-97072013000400016</v>
      </c>
      <c r="BG759" s="1" t="s">
        <v>74</v>
      </c>
      <c r="BH759" s="1" t="s">
        <v>74</v>
      </c>
      <c r="BI759" s="1" t="s">
        <v>74</v>
      </c>
      <c r="BJ759" s="1" t="s">
        <v>74</v>
      </c>
      <c r="BK759" s="1" t="s">
        <v>74</v>
      </c>
      <c r="BL759" s="1" t="s">
        <v>74</v>
      </c>
      <c r="BM759" s="1" t="s">
        <v>74</v>
      </c>
      <c r="BN759" s="1" t="s">
        <v>74</v>
      </c>
      <c r="BO759" s="1" t="s">
        <v>74</v>
      </c>
      <c r="BP759" s="1" t="s">
        <v>74</v>
      </c>
      <c r="BQ759" s="1" t="s">
        <v>74</v>
      </c>
      <c r="BR759" s="1" t="s">
        <v>74</v>
      </c>
      <c r="BS759" s="1" t="s">
        <v>6390</v>
      </c>
      <c r="BT759" s="1" t="str">
        <f>HYPERLINK("https%3A%2F%2Fwww.webofscience.com%2Fwos%2Fwoscc%2Ffull-record%2FWOS:000331238800012","View Full Record in Web of Science")</f>
        <v>View Full Record in Web of Science</v>
      </c>
    </row>
    <row r="760" ht="12.75" customHeight="1">
      <c r="A760" s="1" t="s">
        <v>72</v>
      </c>
      <c r="B760" s="1" t="s">
        <v>6391</v>
      </c>
      <c r="C760" s="1" t="s">
        <v>74</v>
      </c>
      <c r="D760" s="1" t="s">
        <v>74</v>
      </c>
      <c r="E760" s="1" t="s">
        <v>74</v>
      </c>
      <c r="F760" s="1" t="s">
        <v>6392</v>
      </c>
      <c r="G760" s="1" t="s">
        <v>74</v>
      </c>
      <c r="H760" s="1" t="s">
        <v>74</v>
      </c>
      <c r="I760" s="1" t="s">
        <v>6393</v>
      </c>
      <c r="J760" s="1" t="s">
        <v>1050</v>
      </c>
      <c r="K760" s="1" t="s">
        <v>74</v>
      </c>
      <c r="L760" s="1" t="s">
        <v>74</v>
      </c>
      <c r="M760" s="1" t="s">
        <v>74</v>
      </c>
      <c r="N760" s="1" t="s">
        <v>74</v>
      </c>
      <c r="O760" s="1" t="s">
        <v>74</v>
      </c>
      <c r="P760" s="1" t="s">
        <v>74</v>
      </c>
      <c r="Q760" s="1" t="s">
        <v>74</v>
      </c>
      <c r="R760" s="1" t="s">
        <v>74</v>
      </c>
      <c r="S760" s="1" t="s">
        <v>74</v>
      </c>
      <c r="T760" s="1" t="s">
        <v>74</v>
      </c>
      <c r="U760" s="1" t="s">
        <v>74</v>
      </c>
      <c r="V760" s="1" t="s">
        <v>6394</v>
      </c>
      <c r="W760" s="1" t="s">
        <v>74</v>
      </c>
      <c r="X760" s="1" t="s">
        <v>74</v>
      </c>
      <c r="Y760" s="1" t="s">
        <v>74</v>
      </c>
      <c r="Z760" s="1" t="s">
        <v>74</v>
      </c>
      <c r="AA760" s="1" t="s">
        <v>6395</v>
      </c>
      <c r="AB760" s="1" t="s">
        <v>6396</v>
      </c>
      <c r="AC760" s="1" t="s">
        <v>74</v>
      </c>
      <c r="AD760" s="1" t="s">
        <v>74</v>
      </c>
      <c r="AE760" s="1" t="s">
        <v>74</v>
      </c>
      <c r="AF760" s="1" t="s">
        <v>74</v>
      </c>
      <c r="AG760" s="1" t="s">
        <v>74</v>
      </c>
      <c r="AH760" s="1" t="s">
        <v>74</v>
      </c>
      <c r="AI760" s="1" t="s">
        <v>74</v>
      </c>
      <c r="AJ760" s="1" t="s">
        <v>74</v>
      </c>
      <c r="AK760" s="1" t="s">
        <v>74</v>
      </c>
      <c r="AL760" s="1" t="s">
        <v>74</v>
      </c>
      <c r="AM760" s="1" t="s">
        <v>74</v>
      </c>
      <c r="AN760" s="1" t="s">
        <v>74</v>
      </c>
      <c r="AO760" s="1" t="s">
        <v>1054</v>
      </c>
      <c r="AP760" s="1" t="s">
        <v>74</v>
      </c>
      <c r="AQ760" s="1" t="s">
        <v>74</v>
      </c>
      <c r="AR760" s="1" t="s">
        <v>74</v>
      </c>
      <c r="AS760" s="1" t="s">
        <v>74</v>
      </c>
      <c r="AT760" s="1" t="s">
        <v>88</v>
      </c>
      <c r="AU760" s="1">
        <v>2013.0</v>
      </c>
      <c r="AV760" s="1">
        <v>58.0</v>
      </c>
      <c r="AW760" s="1">
        <v>4.0</v>
      </c>
      <c r="AX760" s="1" t="s">
        <v>74</v>
      </c>
      <c r="AY760" s="1" t="s">
        <v>74</v>
      </c>
      <c r="AZ760" s="1" t="s">
        <v>74</v>
      </c>
      <c r="BA760" s="1" t="s">
        <v>74</v>
      </c>
      <c r="BB760" s="1">
        <v>2117.0</v>
      </c>
      <c r="BC760" s="1">
        <v>2121.0</v>
      </c>
      <c r="BD760" s="1" t="s">
        <v>74</v>
      </c>
      <c r="BE760" s="1" t="s">
        <v>6397</v>
      </c>
      <c r="BF760" s="2" t="str">
        <f>HYPERLINK("http://dx.doi.org/10.4067/S0717-97072013000400048","http://dx.doi.org/10.4067/S0717-97072013000400048")</f>
        <v>http://dx.doi.org/10.4067/S0717-97072013000400048</v>
      </c>
      <c r="BG760" s="1" t="s">
        <v>74</v>
      </c>
      <c r="BH760" s="1" t="s">
        <v>74</v>
      </c>
      <c r="BI760" s="1" t="s">
        <v>74</v>
      </c>
      <c r="BJ760" s="1" t="s">
        <v>74</v>
      </c>
      <c r="BK760" s="1" t="s">
        <v>74</v>
      </c>
      <c r="BL760" s="1" t="s">
        <v>74</v>
      </c>
      <c r="BM760" s="1" t="s">
        <v>74</v>
      </c>
      <c r="BN760" s="1" t="s">
        <v>74</v>
      </c>
      <c r="BO760" s="1" t="s">
        <v>74</v>
      </c>
      <c r="BP760" s="1" t="s">
        <v>74</v>
      </c>
      <c r="BQ760" s="1" t="s">
        <v>74</v>
      </c>
      <c r="BR760" s="1" t="s">
        <v>74</v>
      </c>
      <c r="BS760" s="1" t="s">
        <v>6398</v>
      </c>
      <c r="BT760" s="1" t="str">
        <f>HYPERLINK("https%3A%2F%2Fwww.webofscience.com%2Fwos%2Fwoscc%2Ffull-record%2FWOS:000331238800044","View Full Record in Web of Science")</f>
        <v>View Full Record in Web of Science</v>
      </c>
    </row>
    <row r="761" ht="12.75" customHeight="1">
      <c r="A761" s="1" t="s">
        <v>72</v>
      </c>
      <c r="B761" s="1" t="s">
        <v>6399</v>
      </c>
      <c r="C761" s="1" t="s">
        <v>74</v>
      </c>
      <c r="D761" s="1" t="s">
        <v>74</v>
      </c>
      <c r="E761" s="1" t="s">
        <v>74</v>
      </c>
      <c r="F761" s="1" t="s">
        <v>6400</v>
      </c>
      <c r="G761" s="1" t="s">
        <v>74</v>
      </c>
      <c r="H761" s="1" t="s">
        <v>74</v>
      </c>
      <c r="I761" s="1" t="s">
        <v>6401</v>
      </c>
      <c r="J761" s="1" t="s">
        <v>6402</v>
      </c>
      <c r="K761" s="1" t="s">
        <v>74</v>
      </c>
      <c r="L761" s="1" t="s">
        <v>74</v>
      </c>
      <c r="M761" s="1" t="s">
        <v>74</v>
      </c>
      <c r="N761" s="1" t="s">
        <v>74</v>
      </c>
      <c r="O761" s="1" t="s">
        <v>74</v>
      </c>
      <c r="P761" s="1" t="s">
        <v>74</v>
      </c>
      <c r="Q761" s="1" t="s">
        <v>74</v>
      </c>
      <c r="R761" s="1" t="s">
        <v>74</v>
      </c>
      <c r="S761" s="1" t="s">
        <v>74</v>
      </c>
      <c r="T761" s="1" t="s">
        <v>74</v>
      </c>
      <c r="U761" s="1" t="s">
        <v>74</v>
      </c>
      <c r="V761" s="1" t="s">
        <v>6403</v>
      </c>
      <c r="W761" s="1" t="s">
        <v>74</v>
      </c>
      <c r="X761" s="1" t="s">
        <v>74</v>
      </c>
      <c r="Y761" s="1" t="s">
        <v>74</v>
      </c>
      <c r="Z761" s="1" t="s">
        <v>74</v>
      </c>
      <c r="AA761" s="1" t="s">
        <v>74</v>
      </c>
      <c r="AB761" s="1" t="s">
        <v>74</v>
      </c>
      <c r="AC761" s="1" t="s">
        <v>74</v>
      </c>
      <c r="AD761" s="1" t="s">
        <v>74</v>
      </c>
      <c r="AE761" s="1" t="s">
        <v>74</v>
      </c>
      <c r="AF761" s="1" t="s">
        <v>74</v>
      </c>
      <c r="AG761" s="1" t="s">
        <v>74</v>
      </c>
      <c r="AH761" s="1" t="s">
        <v>74</v>
      </c>
      <c r="AI761" s="1" t="s">
        <v>74</v>
      </c>
      <c r="AJ761" s="1" t="s">
        <v>74</v>
      </c>
      <c r="AK761" s="1" t="s">
        <v>74</v>
      </c>
      <c r="AL761" s="1" t="s">
        <v>74</v>
      </c>
      <c r="AM761" s="1" t="s">
        <v>74</v>
      </c>
      <c r="AN761" s="1" t="s">
        <v>74</v>
      </c>
      <c r="AO761" s="1" t="s">
        <v>6404</v>
      </c>
      <c r="AP761" s="1" t="s">
        <v>6405</v>
      </c>
      <c r="AQ761" s="1" t="s">
        <v>74</v>
      </c>
      <c r="AR761" s="1" t="s">
        <v>74</v>
      </c>
      <c r="AS761" s="1" t="s">
        <v>74</v>
      </c>
      <c r="AT761" s="1" t="s">
        <v>1176</v>
      </c>
      <c r="AU761" s="1">
        <v>2013.0</v>
      </c>
      <c r="AV761" s="1">
        <v>57.0</v>
      </c>
      <c r="AW761" s="1" t="s">
        <v>74</v>
      </c>
      <c r="AX761" s="1" t="s">
        <v>74</v>
      </c>
      <c r="AY761" s="1" t="s">
        <v>74</v>
      </c>
      <c r="AZ761" s="1" t="s">
        <v>74</v>
      </c>
      <c r="BA761" s="1" t="s">
        <v>74</v>
      </c>
      <c r="BB761" s="1">
        <v>93.0</v>
      </c>
      <c r="BC761" s="1">
        <v>103.0</v>
      </c>
      <c r="BD761" s="1" t="s">
        <v>74</v>
      </c>
      <c r="BE761" s="1" t="s">
        <v>6406</v>
      </c>
      <c r="BF761" s="2" t="str">
        <f>HYPERLINK("http://dx.doi.org/10.1016/j.cageo.2013.03.019","http://dx.doi.org/10.1016/j.cageo.2013.03.019")</f>
        <v>http://dx.doi.org/10.1016/j.cageo.2013.03.019</v>
      </c>
      <c r="BG761" s="1" t="s">
        <v>74</v>
      </c>
      <c r="BH761" s="1" t="s">
        <v>74</v>
      </c>
      <c r="BI761" s="1" t="s">
        <v>74</v>
      </c>
      <c r="BJ761" s="1" t="s">
        <v>74</v>
      </c>
      <c r="BK761" s="1" t="s">
        <v>74</v>
      </c>
      <c r="BL761" s="1" t="s">
        <v>74</v>
      </c>
      <c r="BM761" s="1" t="s">
        <v>74</v>
      </c>
      <c r="BN761" s="1" t="s">
        <v>74</v>
      </c>
      <c r="BO761" s="1" t="s">
        <v>74</v>
      </c>
      <c r="BP761" s="1" t="s">
        <v>74</v>
      </c>
      <c r="BQ761" s="1" t="s">
        <v>74</v>
      </c>
      <c r="BR761" s="1" t="s">
        <v>74</v>
      </c>
      <c r="BS761" s="1" t="s">
        <v>6407</v>
      </c>
      <c r="BT761" s="1" t="str">
        <f>HYPERLINK("https%3A%2F%2Fwww.webofscience.com%2Fwos%2Fwoscc%2Ffull-record%2FWOS:000320825400011","View Full Record in Web of Science")</f>
        <v>View Full Record in Web of Science</v>
      </c>
    </row>
    <row r="762" ht="12.75" customHeight="1">
      <c r="A762" s="1" t="s">
        <v>72</v>
      </c>
      <c r="B762" s="1" t="s">
        <v>6408</v>
      </c>
      <c r="C762" s="1" t="s">
        <v>74</v>
      </c>
      <c r="D762" s="1" t="s">
        <v>74</v>
      </c>
      <c r="E762" s="1" t="s">
        <v>74</v>
      </c>
      <c r="F762" s="1" t="s">
        <v>6409</v>
      </c>
      <c r="G762" s="1" t="s">
        <v>74</v>
      </c>
      <c r="H762" s="1" t="s">
        <v>74</v>
      </c>
      <c r="I762" s="1" t="s">
        <v>6410</v>
      </c>
      <c r="J762" s="1" t="s">
        <v>4375</v>
      </c>
      <c r="K762" s="1" t="s">
        <v>74</v>
      </c>
      <c r="L762" s="1" t="s">
        <v>74</v>
      </c>
      <c r="M762" s="1" t="s">
        <v>74</v>
      </c>
      <c r="N762" s="1" t="s">
        <v>74</v>
      </c>
      <c r="O762" s="1" t="s">
        <v>74</v>
      </c>
      <c r="P762" s="1" t="s">
        <v>74</v>
      </c>
      <c r="Q762" s="1" t="s">
        <v>74</v>
      </c>
      <c r="R762" s="1" t="s">
        <v>74</v>
      </c>
      <c r="S762" s="1" t="s">
        <v>74</v>
      </c>
      <c r="T762" s="1" t="s">
        <v>74</v>
      </c>
      <c r="U762" s="1" t="s">
        <v>74</v>
      </c>
      <c r="V762" s="1" t="s">
        <v>6411</v>
      </c>
      <c r="W762" s="1" t="s">
        <v>74</v>
      </c>
      <c r="X762" s="1" t="s">
        <v>74</v>
      </c>
      <c r="Y762" s="1" t="s">
        <v>74</v>
      </c>
      <c r="Z762" s="1" t="s">
        <v>74</v>
      </c>
      <c r="AA762" s="1" t="s">
        <v>74</v>
      </c>
      <c r="AB762" s="1" t="s">
        <v>74</v>
      </c>
      <c r="AC762" s="1" t="s">
        <v>74</v>
      </c>
      <c r="AD762" s="1" t="s">
        <v>74</v>
      </c>
      <c r="AE762" s="1" t="s">
        <v>74</v>
      </c>
      <c r="AF762" s="1" t="s">
        <v>74</v>
      </c>
      <c r="AG762" s="1" t="s">
        <v>74</v>
      </c>
      <c r="AH762" s="1" t="s">
        <v>74</v>
      </c>
      <c r="AI762" s="1" t="s">
        <v>74</v>
      </c>
      <c r="AJ762" s="1" t="s">
        <v>74</v>
      </c>
      <c r="AK762" s="1" t="s">
        <v>74</v>
      </c>
      <c r="AL762" s="1" t="s">
        <v>74</v>
      </c>
      <c r="AM762" s="1" t="s">
        <v>74</v>
      </c>
      <c r="AN762" s="1" t="s">
        <v>74</v>
      </c>
      <c r="AO762" s="1" t="s">
        <v>4377</v>
      </c>
      <c r="AP762" s="1" t="s">
        <v>4378</v>
      </c>
      <c r="AQ762" s="1" t="s">
        <v>74</v>
      </c>
      <c r="AR762" s="1" t="s">
        <v>74</v>
      </c>
      <c r="AS762" s="1" t="s">
        <v>74</v>
      </c>
      <c r="AT762" s="1" t="s">
        <v>915</v>
      </c>
      <c r="AU762" s="1">
        <v>2013.0</v>
      </c>
      <c r="AV762" s="1">
        <v>39.0</v>
      </c>
      <c r="AW762" s="1">
        <v>2.0</v>
      </c>
      <c r="AX762" s="1" t="s">
        <v>74</v>
      </c>
      <c r="AY762" s="1" t="s">
        <v>74</v>
      </c>
      <c r="AZ762" s="1" t="s">
        <v>74</v>
      </c>
      <c r="BA762" s="1" t="s">
        <v>74</v>
      </c>
      <c r="BB762" s="1">
        <v>237.0</v>
      </c>
      <c r="BC762" s="1">
        <v>261.0</v>
      </c>
      <c r="BD762" s="1" t="s">
        <v>74</v>
      </c>
      <c r="BE762" s="1" t="s">
        <v>74</v>
      </c>
      <c r="BF762" s="1" t="s">
        <v>74</v>
      </c>
      <c r="BG762" s="1" t="s">
        <v>74</v>
      </c>
      <c r="BH762" s="1" t="s">
        <v>74</v>
      </c>
      <c r="BI762" s="1" t="s">
        <v>74</v>
      </c>
      <c r="BJ762" s="1" t="s">
        <v>74</v>
      </c>
      <c r="BK762" s="1" t="s">
        <v>74</v>
      </c>
      <c r="BL762" s="1" t="s">
        <v>74</v>
      </c>
      <c r="BM762" s="1" t="s">
        <v>74</v>
      </c>
      <c r="BN762" s="1" t="s">
        <v>74</v>
      </c>
      <c r="BO762" s="1" t="s">
        <v>74</v>
      </c>
      <c r="BP762" s="1" t="s">
        <v>74</v>
      </c>
      <c r="BQ762" s="1" t="s">
        <v>74</v>
      </c>
      <c r="BR762" s="1" t="s">
        <v>74</v>
      </c>
      <c r="BS762" s="1" t="s">
        <v>6412</v>
      </c>
      <c r="BT762" s="1" t="str">
        <f>HYPERLINK("https%3A%2F%2Fwww.webofscience.com%2Fwos%2Fwoscc%2Ffull-record%2FWOS:000343740800002","View Full Record in Web of Science")</f>
        <v>View Full Record in Web of Science</v>
      </c>
    </row>
    <row r="763" ht="12.75" customHeight="1">
      <c r="A763" s="1" t="s">
        <v>72</v>
      </c>
      <c r="B763" s="1" t="s">
        <v>6413</v>
      </c>
      <c r="C763" s="1" t="s">
        <v>74</v>
      </c>
      <c r="D763" s="1" t="s">
        <v>74</v>
      </c>
      <c r="E763" s="1" t="s">
        <v>74</v>
      </c>
      <c r="F763" s="1" t="s">
        <v>6414</v>
      </c>
      <c r="G763" s="1" t="s">
        <v>74</v>
      </c>
      <c r="H763" s="1" t="s">
        <v>74</v>
      </c>
      <c r="I763" s="1" t="s">
        <v>6415</v>
      </c>
      <c r="J763" s="1" t="s">
        <v>927</v>
      </c>
      <c r="K763" s="1" t="s">
        <v>74</v>
      </c>
      <c r="L763" s="1" t="s">
        <v>74</v>
      </c>
      <c r="M763" s="1" t="s">
        <v>74</v>
      </c>
      <c r="N763" s="1" t="s">
        <v>74</v>
      </c>
      <c r="O763" s="1" t="s">
        <v>74</v>
      </c>
      <c r="P763" s="1" t="s">
        <v>74</v>
      </c>
      <c r="Q763" s="1" t="s">
        <v>74</v>
      </c>
      <c r="R763" s="1" t="s">
        <v>74</v>
      </c>
      <c r="S763" s="1" t="s">
        <v>74</v>
      </c>
      <c r="T763" s="1" t="s">
        <v>74</v>
      </c>
      <c r="U763" s="1" t="s">
        <v>74</v>
      </c>
      <c r="V763" s="1" t="s">
        <v>6416</v>
      </c>
      <c r="W763" s="1" t="s">
        <v>74</v>
      </c>
      <c r="X763" s="1" t="s">
        <v>74</v>
      </c>
      <c r="Y763" s="1" t="s">
        <v>74</v>
      </c>
      <c r="Z763" s="1" t="s">
        <v>74</v>
      </c>
      <c r="AA763" s="1" t="s">
        <v>74</v>
      </c>
      <c r="AB763" s="1" t="s">
        <v>74</v>
      </c>
      <c r="AC763" s="1" t="s">
        <v>74</v>
      </c>
      <c r="AD763" s="1" t="s">
        <v>74</v>
      </c>
      <c r="AE763" s="1" t="s">
        <v>74</v>
      </c>
      <c r="AF763" s="1" t="s">
        <v>74</v>
      </c>
      <c r="AG763" s="1" t="s">
        <v>74</v>
      </c>
      <c r="AH763" s="1" t="s">
        <v>74</v>
      </c>
      <c r="AI763" s="1" t="s">
        <v>74</v>
      </c>
      <c r="AJ763" s="1" t="s">
        <v>74</v>
      </c>
      <c r="AK763" s="1" t="s">
        <v>74</v>
      </c>
      <c r="AL763" s="1" t="s">
        <v>74</v>
      </c>
      <c r="AM763" s="1" t="s">
        <v>74</v>
      </c>
      <c r="AN763" s="1" t="s">
        <v>74</v>
      </c>
      <c r="AO763" s="1" t="s">
        <v>930</v>
      </c>
      <c r="AP763" s="1" t="s">
        <v>74</v>
      </c>
      <c r="AQ763" s="1" t="s">
        <v>74</v>
      </c>
      <c r="AR763" s="1" t="s">
        <v>74</v>
      </c>
      <c r="AS763" s="1" t="s">
        <v>74</v>
      </c>
      <c r="AT763" s="1" t="s">
        <v>288</v>
      </c>
      <c r="AU763" s="1">
        <v>2013.0</v>
      </c>
      <c r="AV763" s="1">
        <v>8.0</v>
      </c>
      <c r="AW763" s="1">
        <v>1.0</v>
      </c>
      <c r="AX763" s="1" t="s">
        <v>74</v>
      </c>
      <c r="AY763" s="1" t="s">
        <v>74</v>
      </c>
      <c r="AZ763" s="1" t="s">
        <v>74</v>
      </c>
      <c r="BA763" s="1" t="s">
        <v>74</v>
      </c>
      <c r="BB763" s="1">
        <v>161.0</v>
      </c>
      <c r="BC763" s="1">
        <v>165.0</v>
      </c>
      <c r="BD763" s="1" t="s">
        <v>74</v>
      </c>
      <c r="BE763" s="1" t="s">
        <v>74</v>
      </c>
      <c r="BF763" s="1" t="s">
        <v>74</v>
      </c>
      <c r="BG763" s="1" t="s">
        <v>74</v>
      </c>
      <c r="BH763" s="1" t="s">
        <v>74</v>
      </c>
      <c r="BI763" s="1" t="s">
        <v>74</v>
      </c>
      <c r="BJ763" s="1" t="s">
        <v>74</v>
      </c>
      <c r="BK763" s="1" t="s">
        <v>74</v>
      </c>
      <c r="BL763" s="1" t="s">
        <v>74</v>
      </c>
      <c r="BM763" s="1" t="s">
        <v>74</v>
      </c>
      <c r="BN763" s="1" t="s">
        <v>74</v>
      </c>
      <c r="BO763" s="1" t="s">
        <v>74</v>
      </c>
      <c r="BP763" s="1" t="s">
        <v>74</v>
      </c>
      <c r="BQ763" s="1" t="s">
        <v>74</v>
      </c>
      <c r="BR763" s="1" t="s">
        <v>74</v>
      </c>
      <c r="BS763" s="1" t="s">
        <v>6417</v>
      </c>
      <c r="BT763" s="1" t="str">
        <f>HYPERLINK("https%3A%2F%2Fwww.webofscience.com%2Fwos%2Fwoscc%2Ffull-record%2FWOS:000312043600018","View Full Record in Web of Science")</f>
        <v>View Full Record in Web of Science</v>
      </c>
    </row>
    <row r="764" ht="12.75" customHeight="1">
      <c r="A764" s="1" t="s">
        <v>72</v>
      </c>
      <c r="B764" s="1" t="s">
        <v>1277</v>
      </c>
      <c r="C764" s="1" t="s">
        <v>74</v>
      </c>
      <c r="D764" s="1" t="s">
        <v>74</v>
      </c>
      <c r="E764" s="1" t="s">
        <v>74</v>
      </c>
      <c r="F764" s="1" t="s">
        <v>1278</v>
      </c>
      <c r="G764" s="1" t="s">
        <v>74</v>
      </c>
      <c r="H764" s="1" t="s">
        <v>74</v>
      </c>
      <c r="I764" s="1" t="s">
        <v>6418</v>
      </c>
      <c r="J764" s="1" t="s">
        <v>1280</v>
      </c>
      <c r="K764" s="1" t="s">
        <v>74</v>
      </c>
      <c r="L764" s="1" t="s">
        <v>74</v>
      </c>
      <c r="M764" s="1" t="s">
        <v>74</v>
      </c>
      <c r="N764" s="1" t="s">
        <v>74</v>
      </c>
      <c r="O764" s="1" t="s">
        <v>74</v>
      </c>
      <c r="P764" s="1" t="s">
        <v>74</v>
      </c>
      <c r="Q764" s="1" t="s">
        <v>74</v>
      </c>
      <c r="R764" s="1" t="s">
        <v>74</v>
      </c>
      <c r="S764" s="1" t="s">
        <v>74</v>
      </c>
      <c r="T764" s="1" t="s">
        <v>74</v>
      </c>
      <c r="U764" s="1" t="s">
        <v>74</v>
      </c>
      <c r="V764" s="1" t="s">
        <v>6419</v>
      </c>
      <c r="W764" s="1" t="s">
        <v>74</v>
      </c>
      <c r="X764" s="1" t="s">
        <v>74</v>
      </c>
      <c r="Y764" s="1" t="s">
        <v>74</v>
      </c>
      <c r="Z764" s="1" t="s">
        <v>74</v>
      </c>
      <c r="AA764" s="1" t="s">
        <v>74</v>
      </c>
      <c r="AB764" s="1" t="s">
        <v>74</v>
      </c>
      <c r="AC764" s="1" t="s">
        <v>74</v>
      </c>
      <c r="AD764" s="1" t="s">
        <v>74</v>
      </c>
      <c r="AE764" s="1" t="s">
        <v>74</v>
      </c>
      <c r="AF764" s="1" t="s">
        <v>74</v>
      </c>
      <c r="AG764" s="1" t="s">
        <v>74</v>
      </c>
      <c r="AH764" s="1" t="s">
        <v>74</v>
      </c>
      <c r="AI764" s="1" t="s">
        <v>74</v>
      </c>
      <c r="AJ764" s="1" t="s">
        <v>74</v>
      </c>
      <c r="AK764" s="1" t="s">
        <v>74</v>
      </c>
      <c r="AL764" s="1" t="s">
        <v>74</v>
      </c>
      <c r="AM764" s="1" t="s">
        <v>74</v>
      </c>
      <c r="AN764" s="1" t="s">
        <v>74</v>
      </c>
      <c r="AO764" s="1" t="s">
        <v>1282</v>
      </c>
      <c r="AP764" s="1" t="s">
        <v>74</v>
      </c>
      <c r="AQ764" s="1" t="s">
        <v>74</v>
      </c>
      <c r="AR764" s="1" t="s">
        <v>74</v>
      </c>
      <c r="AS764" s="1" t="s">
        <v>74</v>
      </c>
      <c r="AT764" s="1" t="s">
        <v>74</v>
      </c>
      <c r="AU764" s="1">
        <v>2013.0</v>
      </c>
      <c r="AV764" s="1" t="s">
        <v>74</v>
      </c>
      <c r="AW764" s="1">
        <v>46.0</v>
      </c>
      <c r="AX764" s="1" t="s">
        <v>74</v>
      </c>
      <c r="AY764" s="1" t="s">
        <v>74</v>
      </c>
      <c r="AZ764" s="1" t="s">
        <v>74</v>
      </c>
      <c r="BA764" s="1" t="s">
        <v>74</v>
      </c>
      <c r="BB764" s="1">
        <v>9.0</v>
      </c>
      <c r="BC764" s="1">
        <v>19.0</v>
      </c>
      <c r="BD764" s="1" t="s">
        <v>74</v>
      </c>
      <c r="BE764" s="1" t="s">
        <v>6420</v>
      </c>
      <c r="BF764" s="2" t="str">
        <f>HYPERLINK("http://dx.doi.org/10.4067/S0717-68482013000100002","http://dx.doi.org/10.4067/S0717-68482013000100002")</f>
        <v>http://dx.doi.org/10.4067/S0717-68482013000100002</v>
      </c>
      <c r="BG764" s="1" t="s">
        <v>74</v>
      </c>
      <c r="BH764" s="1" t="s">
        <v>74</v>
      </c>
      <c r="BI764" s="1" t="s">
        <v>74</v>
      </c>
      <c r="BJ764" s="1" t="s">
        <v>74</v>
      </c>
      <c r="BK764" s="1" t="s">
        <v>74</v>
      </c>
      <c r="BL764" s="1" t="s">
        <v>74</v>
      </c>
      <c r="BM764" s="1" t="s">
        <v>74</v>
      </c>
      <c r="BN764" s="1" t="s">
        <v>74</v>
      </c>
      <c r="BO764" s="1" t="s">
        <v>74</v>
      </c>
      <c r="BP764" s="1" t="s">
        <v>74</v>
      </c>
      <c r="BQ764" s="1" t="s">
        <v>74</v>
      </c>
      <c r="BR764" s="1" t="s">
        <v>74</v>
      </c>
      <c r="BS764" s="1" t="s">
        <v>6421</v>
      </c>
      <c r="BT764" s="1" t="str">
        <f>HYPERLINK("https%3A%2F%2Fwww.webofscience.com%2Fwos%2Fwoscc%2Ffull-record%2FWOS:000322936900002","View Full Record in Web of Science")</f>
        <v>View Full Record in Web of Science</v>
      </c>
    </row>
    <row r="765" ht="12.75" customHeight="1">
      <c r="A765" s="1" t="s">
        <v>162</v>
      </c>
      <c r="B765" s="1" t="s">
        <v>6422</v>
      </c>
      <c r="C765" s="1" t="s">
        <v>74</v>
      </c>
      <c r="D765" s="1" t="s">
        <v>6423</v>
      </c>
      <c r="E765" s="1" t="s">
        <v>74</v>
      </c>
      <c r="F765" s="1" t="s">
        <v>6424</v>
      </c>
      <c r="G765" s="1" t="s">
        <v>74</v>
      </c>
      <c r="H765" s="1" t="s">
        <v>74</v>
      </c>
      <c r="I765" s="1" t="s">
        <v>6425</v>
      </c>
      <c r="J765" s="1" t="s">
        <v>6426</v>
      </c>
      <c r="K765" s="1" t="s">
        <v>6427</v>
      </c>
      <c r="L765" s="1" t="s">
        <v>74</v>
      </c>
      <c r="M765" s="1" t="s">
        <v>74</v>
      </c>
      <c r="N765" s="1" t="s">
        <v>74</v>
      </c>
      <c r="O765" s="1" t="s">
        <v>74</v>
      </c>
      <c r="P765" s="1" t="s">
        <v>74</v>
      </c>
      <c r="Q765" s="1" t="s">
        <v>74</v>
      </c>
      <c r="R765" s="1" t="s">
        <v>74</v>
      </c>
      <c r="S765" s="1" t="s">
        <v>74</v>
      </c>
      <c r="T765" s="1" t="s">
        <v>74</v>
      </c>
      <c r="U765" s="1" t="s">
        <v>74</v>
      </c>
      <c r="V765" s="1" t="s">
        <v>74</v>
      </c>
      <c r="W765" s="1" t="s">
        <v>74</v>
      </c>
      <c r="X765" s="1" t="s">
        <v>74</v>
      </c>
      <c r="Y765" s="1" t="s">
        <v>74</v>
      </c>
      <c r="Z765" s="1" t="s">
        <v>74</v>
      </c>
      <c r="AA765" s="1" t="s">
        <v>74</v>
      </c>
      <c r="AB765" s="1" t="s">
        <v>74</v>
      </c>
      <c r="AC765" s="1" t="s">
        <v>74</v>
      </c>
      <c r="AD765" s="1" t="s">
        <v>74</v>
      </c>
      <c r="AE765" s="1" t="s">
        <v>74</v>
      </c>
      <c r="AF765" s="1" t="s">
        <v>74</v>
      </c>
      <c r="AG765" s="1" t="s">
        <v>74</v>
      </c>
      <c r="AH765" s="1" t="s">
        <v>74</v>
      </c>
      <c r="AI765" s="1" t="s">
        <v>74</v>
      </c>
      <c r="AJ765" s="1" t="s">
        <v>74</v>
      </c>
      <c r="AK765" s="1" t="s">
        <v>74</v>
      </c>
      <c r="AL765" s="1" t="s">
        <v>74</v>
      </c>
      <c r="AM765" s="1" t="s">
        <v>74</v>
      </c>
      <c r="AN765" s="1" t="s">
        <v>74</v>
      </c>
      <c r="AO765" s="1" t="s">
        <v>6428</v>
      </c>
      <c r="AP765" s="1" t="s">
        <v>74</v>
      </c>
      <c r="AQ765" s="1" t="s">
        <v>6429</v>
      </c>
      <c r="AR765" s="1" t="s">
        <v>74</v>
      </c>
      <c r="AS765" s="1" t="s">
        <v>74</v>
      </c>
      <c r="AT765" s="1" t="s">
        <v>74</v>
      </c>
      <c r="AU765" s="1">
        <v>2011.0</v>
      </c>
      <c r="AV765" s="1">
        <v>27.0</v>
      </c>
      <c r="AW765" s="1" t="s">
        <v>74</v>
      </c>
      <c r="AX765" s="1" t="s">
        <v>74</v>
      </c>
      <c r="AY765" s="1" t="s">
        <v>74</v>
      </c>
      <c r="AZ765" s="1" t="s">
        <v>74</v>
      </c>
      <c r="BA765" s="1" t="s">
        <v>74</v>
      </c>
      <c r="BB765" s="1">
        <v>219.0</v>
      </c>
      <c r="BC765" s="1">
        <v>247.0</v>
      </c>
      <c r="BD765" s="1" t="s">
        <v>74</v>
      </c>
      <c r="BE765" s="1" t="s">
        <v>74</v>
      </c>
      <c r="BF765" s="1" t="s">
        <v>74</v>
      </c>
      <c r="BG765" s="1" t="s">
        <v>6430</v>
      </c>
      <c r="BH765" s="1" t="s">
        <v>74</v>
      </c>
      <c r="BI765" s="1" t="s">
        <v>74</v>
      </c>
      <c r="BJ765" s="1" t="s">
        <v>74</v>
      </c>
      <c r="BK765" s="1" t="s">
        <v>74</v>
      </c>
      <c r="BL765" s="1" t="s">
        <v>74</v>
      </c>
      <c r="BM765" s="1" t="s">
        <v>74</v>
      </c>
      <c r="BN765" s="1" t="s">
        <v>74</v>
      </c>
      <c r="BO765" s="1" t="s">
        <v>74</v>
      </c>
      <c r="BP765" s="1" t="s">
        <v>74</v>
      </c>
      <c r="BQ765" s="1" t="s">
        <v>74</v>
      </c>
      <c r="BR765" s="1" t="s">
        <v>74</v>
      </c>
      <c r="BS765" s="1" t="s">
        <v>6431</v>
      </c>
      <c r="BT765" s="1" t="str">
        <f>HYPERLINK("https%3A%2F%2Fwww.webofscience.com%2Fwos%2Fwoscc%2Ffull-record%2FWOS:000299948300012","View Full Record in Web of Science")</f>
        <v>View Full Record in Web of Science</v>
      </c>
    </row>
    <row r="766" ht="12.75" customHeight="1">
      <c r="A766" s="1" t="s">
        <v>72</v>
      </c>
      <c r="B766" s="1" t="s">
        <v>6432</v>
      </c>
      <c r="C766" s="1" t="s">
        <v>74</v>
      </c>
      <c r="D766" s="1" t="s">
        <v>74</v>
      </c>
      <c r="E766" s="1" t="s">
        <v>74</v>
      </c>
      <c r="F766" s="1" t="s">
        <v>6433</v>
      </c>
      <c r="G766" s="1" t="s">
        <v>74</v>
      </c>
      <c r="H766" s="1" t="s">
        <v>74</v>
      </c>
      <c r="I766" s="1" t="s">
        <v>6434</v>
      </c>
      <c r="J766" s="1" t="s">
        <v>6435</v>
      </c>
      <c r="K766" s="1" t="s">
        <v>74</v>
      </c>
      <c r="L766" s="1" t="s">
        <v>74</v>
      </c>
      <c r="M766" s="1" t="s">
        <v>74</v>
      </c>
      <c r="N766" s="1" t="s">
        <v>74</v>
      </c>
      <c r="O766" s="1" t="s">
        <v>74</v>
      </c>
      <c r="P766" s="1" t="s">
        <v>74</v>
      </c>
      <c r="Q766" s="1" t="s">
        <v>74</v>
      </c>
      <c r="R766" s="1" t="s">
        <v>74</v>
      </c>
      <c r="S766" s="1" t="s">
        <v>74</v>
      </c>
      <c r="T766" s="1" t="s">
        <v>74</v>
      </c>
      <c r="U766" s="1" t="s">
        <v>74</v>
      </c>
      <c r="V766" s="1" t="s">
        <v>6436</v>
      </c>
      <c r="W766" s="1" t="s">
        <v>74</v>
      </c>
      <c r="X766" s="1" t="s">
        <v>74</v>
      </c>
      <c r="Y766" s="1" t="s">
        <v>74</v>
      </c>
      <c r="Z766" s="1" t="s">
        <v>74</v>
      </c>
      <c r="AA766" s="1" t="s">
        <v>6437</v>
      </c>
      <c r="AB766" s="1" t="s">
        <v>6438</v>
      </c>
      <c r="AC766" s="1" t="s">
        <v>74</v>
      </c>
      <c r="AD766" s="1" t="s">
        <v>74</v>
      </c>
      <c r="AE766" s="1" t="s">
        <v>74</v>
      </c>
      <c r="AF766" s="1" t="s">
        <v>74</v>
      </c>
      <c r="AG766" s="1" t="s">
        <v>74</v>
      </c>
      <c r="AH766" s="1" t="s">
        <v>74</v>
      </c>
      <c r="AI766" s="1" t="s">
        <v>74</v>
      </c>
      <c r="AJ766" s="1" t="s">
        <v>74</v>
      </c>
      <c r="AK766" s="1" t="s">
        <v>74</v>
      </c>
      <c r="AL766" s="1" t="s">
        <v>74</v>
      </c>
      <c r="AM766" s="1" t="s">
        <v>74</v>
      </c>
      <c r="AN766" s="1" t="s">
        <v>74</v>
      </c>
      <c r="AO766" s="1" t="s">
        <v>6439</v>
      </c>
      <c r="AP766" s="1" t="s">
        <v>6440</v>
      </c>
      <c r="AQ766" s="1" t="s">
        <v>74</v>
      </c>
      <c r="AR766" s="1" t="s">
        <v>74</v>
      </c>
      <c r="AS766" s="1" t="s">
        <v>74</v>
      </c>
      <c r="AT766" s="1" t="s">
        <v>74</v>
      </c>
      <c r="AU766" s="1">
        <v>2011.0</v>
      </c>
      <c r="AV766" s="1">
        <v>187.0</v>
      </c>
      <c r="AW766" s="1">
        <v>751.0</v>
      </c>
      <c r="AX766" s="1" t="s">
        <v>74</v>
      </c>
      <c r="AY766" s="1" t="s">
        <v>74</v>
      </c>
      <c r="AZ766" s="1" t="s">
        <v>74</v>
      </c>
      <c r="BA766" s="1" t="s">
        <v>74</v>
      </c>
      <c r="BB766" s="1">
        <v>905.0</v>
      </c>
      <c r="BC766" s="1">
        <v>916.0</v>
      </c>
      <c r="BD766" s="1" t="s">
        <v>74</v>
      </c>
      <c r="BE766" s="1" t="s">
        <v>6441</v>
      </c>
      <c r="BF766" s="2" t="str">
        <f>HYPERLINK("http://dx.doi.org/10.3989/arbor.2011.751n5007","http://dx.doi.org/10.3989/arbor.2011.751n5007")</f>
        <v>http://dx.doi.org/10.3989/arbor.2011.751n5007</v>
      </c>
      <c r="BG766" s="1" t="s">
        <v>74</v>
      </c>
      <c r="BH766" s="1" t="s">
        <v>74</v>
      </c>
      <c r="BI766" s="1" t="s">
        <v>74</v>
      </c>
      <c r="BJ766" s="1" t="s">
        <v>74</v>
      </c>
      <c r="BK766" s="1" t="s">
        <v>74</v>
      </c>
      <c r="BL766" s="1" t="s">
        <v>74</v>
      </c>
      <c r="BM766" s="1" t="s">
        <v>74</v>
      </c>
      <c r="BN766" s="1" t="s">
        <v>74</v>
      </c>
      <c r="BO766" s="1" t="s">
        <v>74</v>
      </c>
      <c r="BP766" s="1" t="s">
        <v>74</v>
      </c>
      <c r="BQ766" s="1" t="s">
        <v>74</v>
      </c>
      <c r="BR766" s="1" t="s">
        <v>74</v>
      </c>
      <c r="BS766" s="1" t="s">
        <v>6442</v>
      </c>
      <c r="BT766" s="1" t="str">
        <f>HYPERLINK("https%3A%2F%2Fwww.webofscience.com%2Fwos%2Fwoscc%2Ffull-record%2FWOS:000296723800008","View Full Record in Web of Science")</f>
        <v>View Full Record in Web of Science</v>
      </c>
    </row>
    <row r="767" ht="12.75" customHeight="1">
      <c r="A767" s="1" t="s">
        <v>72</v>
      </c>
      <c r="B767" s="1" t="s">
        <v>6443</v>
      </c>
      <c r="C767" s="1" t="s">
        <v>74</v>
      </c>
      <c r="D767" s="1" t="s">
        <v>74</v>
      </c>
      <c r="E767" s="1" t="s">
        <v>74</v>
      </c>
      <c r="F767" s="1" t="s">
        <v>6444</v>
      </c>
      <c r="G767" s="1" t="s">
        <v>74</v>
      </c>
      <c r="H767" s="1" t="s">
        <v>74</v>
      </c>
      <c r="I767" s="1" t="s">
        <v>6445</v>
      </c>
      <c r="J767" s="1" t="s">
        <v>477</v>
      </c>
      <c r="K767" s="1" t="s">
        <v>74</v>
      </c>
      <c r="L767" s="1" t="s">
        <v>74</v>
      </c>
      <c r="M767" s="1" t="s">
        <v>74</v>
      </c>
      <c r="N767" s="1" t="s">
        <v>74</v>
      </c>
      <c r="O767" s="1" t="s">
        <v>74</v>
      </c>
      <c r="P767" s="1" t="s">
        <v>74</v>
      </c>
      <c r="Q767" s="1" t="s">
        <v>74</v>
      </c>
      <c r="R767" s="1" t="s">
        <v>74</v>
      </c>
      <c r="S767" s="1" t="s">
        <v>74</v>
      </c>
      <c r="T767" s="1" t="s">
        <v>74</v>
      </c>
      <c r="U767" s="1" t="s">
        <v>74</v>
      </c>
      <c r="V767" s="1" t="s">
        <v>74</v>
      </c>
      <c r="W767" s="1" t="s">
        <v>74</v>
      </c>
      <c r="X767" s="1" t="s">
        <v>74</v>
      </c>
      <c r="Y767" s="1" t="s">
        <v>74</v>
      </c>
      <c r="Z767" s="1" t="s">
        <v>74</v>
      </c>
      <c r="AA767" s="1" t="s">
        <v>74</v>
      </c>
      <c r="AB767" s="1" t="s">
        <v>74</v>
      </c>
      <c r="AC767" s="1" t="s">
        <v>74</v>
      </c>
      <c r="AD767" s="1" t="s">
        <v>74</v>
      </c>
      <c r="AE767" s="1" t="s">
        <v>74</v>
      </c>
      <c r="AF767" s="1" t="s">
        <v>74</v>
      </c>
      <c r="AG767" s="1" t="s">
        <v>74</v>
      </c>
      <c r="AH767" s="1" t="s">
        <v>74</v>
      </c>
      <c r="AI767" s="1" t="s">
        <v>74</v>
      </c>
      <c r="AJ767" s="1" t="s">
        <v>74</v>
      </c>
      <c r="AK767" s="1" t="s">
        <v>74</v>
      </c>
      <c r="AL767" s="1" t="s">
        <v>74</v>
      </c>
      <c r="AM767" s="1" t="s">
        <v>74</v>
      </c>
      <c r="AN767" s="1" t="s">
        <v>74</v>
      </c>
      <c r="AO767" s="1" t="s">
        <v>3318</v>
      </c>
      <c r="AP767" s="1" t="s">
        <v>74</v>
      </c>
      <c r="AQ767" s="1" t="s">
        <v>74</v>
      </c>
      <c r="AR767" s="1" t="s">
        <v>74</v>
      </c>
      <c r="AS767" s="1" t="s">
        <v>74</v>
      </c>
      <c r="AT767" s="1" t="s">
        <v>205</v>
      </c>
      <c r="AU767" s="1">
        <v>2010.0</v>
      </c>
      <c r="AV767" s="1" t="s">
        <v>74</v>
      </c>
      <c r="AW767" s="1">
        <v>77.0</v>
      </c>
      <c r="AX767" s="1" t="s">
        <v>74</v>
      </c>
      <c r="AY767" s="1" t="s">
        <v>74</v>
      </c>
      <c r="AZ767" s="1" t="s">
        <v>74</v>
      </c>
      <c r="BA767" s="1" t="s">
        <v>74</v>
      </c>
      <c r="BB767" s="1">
        <v>193.0</v>
      </c>
      <c r="BC767" s="1">
        <v>215.0</v>
      </c>
      <c r="BD767" s="1" t="s">
        <v>74</v>
      </c>
      <c r="BE767" s="1" t="s">
        <v>74</v>
      </c>
      <c r="BF767" s="1" t="s">
        <v>74</v>
      </c>
      <c r="BG767" s="1" t="s">
        <v>74</v>
      </c>
      <c r="BH767" s="1" t="s">
        <v>74</v>
      </c>
      <c r="BI767" s="1" t="s">
        <v>74</v>
      </c>
      <c r="BJ767" s="1" t="s">
        <v>74</v>
      </c>
      <c r="BK767" s="1" t="s">
        <v>74</v>
      </c>
      <c r="BL767" s="1" t="s">
        <v>74</v>
      </c>
      <c r="BM767" s="1" t="s">
        <v>74</v>
      </c>
      <c r="BN767" s="1" t="s">
        <v>74</v>
      </c>
      <c r="BO767" s="1" t="s">
        <v>74</v>
      </c>
      <c r="BP767" s="1" t="s">
        <v>74</v>
      </c>
      <c r="BQ767" s="1" t="s">
        <v>74</v>
      </c>
      <c r="BR767" s="1" t="s">
        <v>74</v>
      </c>
      <c r="BS767" s="1" t="s">
        <v>6446</v>
      </c>
      <c r="BT767" s="1" t="str">
        <f>HYPERLINK("https%3A%2F%2Fwww.webofscience.com%2Fwos%2Fwoscc%2Ffull-record%2FWOS:000284338800010","View Full Record in Web of Science")</f>
        <v>View Full Record in Web of Science</v>
      </c>
    </row>
    <row r="768" ht="12.75" customHeight="1">
      <c r="A768" s="1" t="s">
        <v>72</v>
      </c>
      <c r="B768" s="1" t="s">
        <v>6447</v>
      </c>
      <c r="C768" s="1" t="s">
        <v>74</v>
      </c>
      <c r="D768" s="1" t="s">
        <v>74</v>
      </c>
      <c r="E768" s="1" t="s">
        <v>74</v>
      </c>
      <c r="F768" s="1" t="s">
        <v>6448</v>
      </c>
      <c r="G768" s="1" t="s">
        <v>74</v>
      </c>
      <c r="H768" s="1" t="s">
        <v>74</v>
      </c>
      <c r="I768" s="1" t="s">
        <v>6449</v>
      </c>
      <c r="J768" s="1" t="s">
        <v>3678</v>
      </c>
      <c r="K768" s="1" t="s">
        <v>74</v>
      </c>
      <c r="L768" s="1" t="s">
        <v>74</v>
      </c>
      <c r="M768" s="1" t="s">
        <v>74</v>
      </c>
      <c r="N768" s="1" t="s">
        <v>74</v>
      </c>
      <c r="O768" s="1" t="s">
        <v>74</v>
      </c>
      <c r="P768" s="1" t="s">
        <v>74</v>
      </c>
      <c r="Q768" s="1" t="s">
        <v>74</v>
      </c>
      <c r="R768" s="1" t="s">
        <v>74</v>
      </c>
      <c r="S768" s="1" t="s">
        <v>74</v>
      </c>
      <c r="T768" s="1" t="s">
        <v>74</v>
      </c>
      <c r="U768" s="1" t="s">
        <v>74</v>
      </c>
      <c r="V768" s="1" t="s">
        <v>6450</v>
      </c>
      <c r="W768" s="1" t="s">
        <v>74</v>
      </c>
      <c r="X768" s="1" t="s">
        <v>74</v>
      </c>
      <c r="Y768" s="1" t="s">
        <v>74</v>
      </c>
      <c r="Z768" s="1" t="s">
        <v>74</v>
      </c>
      <c r="AA768" s="1" t="s">
        <v>6451</v>
      </c>
      <c r="AB768" s="1" t="s">
        <v>6452</v>
      </c>
      <c r="AC768" s="1" t="s">
        <v>74</v>
      </c>
      <c r="AD768" s="1" t="s">
        <v>74</v>
      </c>
      <c r="AE768" s="1" t="s">
        <v>74</v>
      </c>
      <c r="AF768" s="1" t="s">
        <v>74</v>
      </c>
      <c r="AG768" s="1" t="s">
        <v>74</v>
      </c>
      <c r="AH768" s="1" t="s">
        <v>74</v>
      </c>
      <c r="AI768" s="1" t="s">
        <v>74</v>
      </c>
      <c r="AJ768" s="1" t="s">
        <v>74</v>
      </c>
      <c r="AK768" s="1" t="s">
        <v>74</v>
      </c>
      <c r="AL768" s="1" t="s">
        <v>74</v>
      </c>
      <c r="AM768" s="1" t="s">
        <v>74</v>
      </c>
      <c r="AN768" s="1" t="s">
        <v>74</v>
      </c>
      <c r="AO768" s="1" t="s">
        <v>3681</v>
      </c>
      <c r="AP768" s="1" t="s">
        <v>74</v>
      </c>
      <c r="AQ768" s="1" t="s">
        <v>74</v>
      </c>
      <c r="AR768" s="1" t="s">
        <v>74</v>
      </c>
      <c r="AS768" s="1" t="s">
        <v>74</v>
      </c>
      <c r="AT768" s="1" t="s">
        <v>1099</v>
      </c>
      <c r="AU768" s="1">
        <v>2010.0</v>
      </c>
      <c r="AV768" s="1">
        <v>38.0</v>
      </c>
      <c r="AW768" s="1">
        <v>3.0</v>
      </c>
      <c r="AX768" s="1" t="s">
        <v>74</v>
      </c>
      <c r="AY768" s="1" t="s">
        <v>74</v>
      </c>
      <c r="AZ768" s="1" t="s">
        <v>74</v>
      </c>
      <c r="BA768" s="1" t="s">
        <v>74</v>
      </c>
      <c r="BB768" s="1">
        <v>110.0</v>
      </c>
      <c r="BC768" s="1">
        <v>114.0</v>
      </c>
      <c r="BD768" s="1" t="s">
        <v>74</v>
      </c>
      <c r="BE768" s="1" t="s">
        <v>6453</v>
      </c>
      <c r="BF768" s="2" t="str">
        <f>HYPERLINK("http://dx.doi.org/10.1016/j.aller.2009.10.001","http://dx.doi.org/10.1016/j.aller.2009.10.001")</f>
        <v>http://dx.doi.org/10.1016/j.aller.2009.10.001</v>
      </c>
      <c r="BG768" s="1" t="s">
        <v>74</v>
      </c>
      <c r="BH768" s="1" t="s">
        <v>74</v>
      </c>
      <c r="BI768" s="1" t="s">
        <v>74</v>
      </c>
      <c r="BJ768" s="1" t="s">
        <v>74</v>
      </c>
      <c r="BK768" s="1" t="s">
        <v>74</v>
      </c>
      <c r="BL768" s="1" t="s">
        <v>74</v>
      </c>
      <c r="BM768" s="1" t="s">
        <v>74</v>
      </c>
      <c r="BN768" s="1">
        <v>1.9945208E7</v>
      </c>
      <c r="BO768" s="1" t="s">
        <v>74</v>
      </c>
      <c r="BP768" s="1" t="s">
        <v>74</v>
      </c>
      <c r="BQ768" s="1" t="s">
        <v>74</v>
      </c>
      <c r="BR768" s="1" t="s">
        <v>74</v>
      </c>
      <c r="BS768" s="1" t="s">
        <v>6454</v>
      </c>
      <c r="BT768" s="1" t="str">
        <f>HYPERLINK("https%3A%2F%2Fwww.webofscience.com%2Fwos%2Fwoscc%2Ffull-record%2FWOS:000279044100002","View Full Record in Web of Science")</f>
        <v>View Full Record in Web of Science</v>
      </c>
    </row>
    <row r="769" ht="12.75" customHeight="1">
      <c r="A769" s="1" t="s">
        <v>72</v>
      </c>
      <c r="B769" s="1" t="s">
        <v>6455</v>
      </c>
      <c r="C769" s="1" t="s">
        <v>74</v>
      </c>
      <c r="D769" s="1" t="s">
        <v>74</v>
      </c>
      <c r="E769" s="1" t="s">
        <v>74</v>
      </c>
      <c r="F769" s="1" t="s">
        <v>6456</v>
      </c>
      <c r="G769" s="1" t="s">
        <v>74</v>
      </c>
      <c r="H769" s="1" t="s">
        <v>74</v>
      </c>
      <c r="I769" s="1" t="s">
        <v>6457</v>
      </c>
      <c r="J769" s="1" t="s">
        <v>701</v>
      </c>
      <c r="K769" s="1" t="s">
        <v>74</v>
      </c>
      <c r="L769" s="1" t="s">
        <v>74</v>
      </c>
      <c r="M769" s="1" t="s">
        <v>74</v>
      </c>
      <c r="N769" s="1" t="s">
        <v>74</v>
      </c>
      <c r="O769" s="1" t="s">
        <v>74</v>
      </c>
      <c r="P769" s="1" t="s">
        <v>74</v>
      </c>
      <c r="Q769" s="1" t="s">
        <v>74</v>
      </c>
      <c r="R769" s="1" t="s">
        <v>74</v>
      </c>
      <c r="S769" s="1" t="s">
        <v>74</v>
      </c>
      <c r="T769" s="1" t="s">
        <v>74</v>
      </c>
      <c r="U769" s="1" t="s">
        <v>74</v>
      </c>
      <c r="V769" s="1" t="s">
        <v>6458</v>
      </c>
      <c r="W769" s="1" t="s">
        <v>74</v>
      </c>
      <c r="X769" s="1" t="s">
        <v>74</v>
      </c>
      <c r="Y769" s="1" t="s">
        <v>74</v>
      </c>
      <c r="Z769" s="1" t="s">
        <v>74</v>
      </c>
      <c r="AA769" s="1" t="s">
        <v>74</v>
      </c>
      <c r="AB769" s="1" t="s">
        <v>74</v>
      </c>
      <c r="AC769" s="1" t="s">
        <v>74</v>
      </c>
      <c r="AD769" s="1" t="s">
        <v>74</v>
      </c>
      <c r="AE769" s="1" t="s">
        <v>74</v>
      </c>
      <c r="AF769" s="1" t="s">
        <v>74</v>
      </c>
      <c r="AG769" s="1" t="s">
        <v>74</v>
      </c>
      <c r="AH769" s="1" t="s">
        <v>74</v>
      </c>
      <c r="AI769" s="1" t="s">
        <v>74</v>
      </c>
      <c r="AJ769" s="1" t="s">
        <v>74</v>
      </c>
      <c r="AK769" s="1" t="s">
        <v>74</v>
      </c>
      <c r="AL769" s="1" t="s">
        <v>74</v>
      </c>
      <c r="AM769" s="1" t="s">
        <v>74</v>
      </c>
      <c r="AN769" s="1" t="s">
        <v>74</v>
      </c>
      <c r="AO769" s="1" t="s">
        <v>703</v>
      </c>
      <c r="AP769" s="1" t="s">
        <v>74</v>
      </c>
      <c r="AQ769" s="1" t="s">
        <v>74</v>
      </c>
      <c r="AR769" s="1" t="s">
        <v>74</v>
      </c>
      <c r="AS769" s="1" t="s">
        <v>74</v>
      </c>
      <c r="AT769" s="1" t="s">
        <v>74</v>
      </c>
      <c r="AU769" s="1">
        <v>2010.0</v>
      </c>
      <c r="AV769" s="1">
        <v>39.0</v>
      </c>
      <c r="AW769" s="1">
        <v>7.0</v>
      </c>
      <c r="AX769" s="1" t="s">
        <v>74</v>
      </c>
      <c r="AY769" s="1" t="s">
        <v>74</v>
      </c>
      <c r="AZ769" s="1" t="s">
        <v>74</v>
      </c>
      <c r="BA769" s="1" t="s">
        <v>74</v>
      </c>
      <c r="BB769" s="1">
        <v>1112.0</v>
      </c>
      <c r="BC769" s="1">
        <v>1127.0</v>
      </c>
      <c r="BD769" s="1" t="s">
        <v>74</v>
      </c>
      <c r="BE769" s="1" t="s">
        <v>6459</v>
      </c>
      <c r="BF769" s="2" t="str">
        <f>HYPERLINK("http://dx.doi.org/10.1108/03684921011062737","http://dx.doi.org/10.1108/03684921011062737")</f>
        <v>http://dx.doi.org/10.1108/03684921011062737</v>
      </c>
      <c r="BG769" s="1" t="s">
        <v>74</v>
      </c>
      <c r="BH769" s="1" t="s">
        <v>74</v>
      </c>
      <c r="BI769" s="1" t="s">
        <v>74</v>
      </c>
      <c r="BJ769" s="1" t="s">
        <v>74</v>
      </c>
      <c r="BK769" s="1" t="s">
        <v>74</v>
      </c>
      <c r="BL769" s="1" t="s">
        <v>74</v>
      </c>
      <c r="BM769" s="1" t="s">
        <v>74</v>
      </c>
      <c r="BN769" s="1" t="s">
        <v>74</v>
      </c>
      <c r="BO769" s="1" t="s">
        <v>74</v>
      </c>
      <c r="BP769" s="1" t="s">
        <v>74</v>
      </c>
      <c r="BQ769" s="1" t="s">
        <v>74</v>
      </c>
      <c r="BR769" s="1" t="s">
        <v>74</v>
      </c>
      <c r="BS769" s="1" t="s">
        <v>6460</v>
      </c>
      <c r="BT769" s="1" t="str">
        <f>HYPERLINK("https%3A%2F%2Fwww.webofscience.com%2Fwos%2Fwoscc%2Ffull-record%2FWOS:000281927800004","View Full Record in Web of Science")</f>
        <v>View Full Record in Web of Science</v>
      </c>
    </row>
    <row r="770" ht="12.75" customHeight="1">
      <c r="A770" s="1" t="s">
        <v>72</v>
      </c>
      <c r="B770" s="1" t="s">
        <v>6461</v>
      </c>
      <c r="C770" s="1" t="s">
        <v>74</v>
      </c>
      <c r="D770" s="1" t="s">
        <v>74</v>
      </c>
      <c r="E770" s="1" t="s">
        <v>74</v>
      </c>
      <c r="F770" s="1" t="s">
        <v>6462</v>
      </c>
      <c r="G770" s="1" t="s">
        <v>74</v>
      </c>
      <c r="H770" s="1" t="s">
        <v>74</v>
      </c>
      <c r="I770" s="1" t="s">
        <v>6463</v>
      </c>
      <c r="J770" s="1" t="s">
        <v>6464</v>
      </c>
      <c r="K770" s="1" t="s">
        <v>74</v>
      </c>
      <c r="L770" s="1" t="s">
        <v>74</v>
      </c>
      <c r="M770" s="1" t="s">
        <v>74</v>
      </c>
      <c r="N770" s="1" t="s">
        <v>74</v>
      </c>
      <c r="O770" s="1" t="s">
        <v>74</v>
      </c>
      <c r="P770" s="1" t="s">
        <v>74</v>
      </c>
      <c r="Q770" s="1" t="s">
        <v>74</v>
      </c>
      <c r="R770" s="1" t="s">
        <v>74</v>
      </c>
      <c r="S770" s="1" t="s">
        <v>74</v>
      </c>
      <c r="T770" s="1" t="s">
        <v>74</v>
      </c>
      <c r="U770" s="1" t="s">
        <v>74</v>
      </c>
      <c r="V770" s="1" t="s">
        <v>6465</v>
      </c>
      <c r="W770" s="1" t="s">
        <v>74</v>
      </c>
      <c r="X770" s="1" t="s">
        <v>74</v>
      </c>
      <c r="Y770" s="1" t="s">
        <v>74</v>
      </c>
      <c r="Z770" s="1" t="s">
        <v>74</v>
      </c>
      <c r="AA770" s="1" t="s">
        <v>74</v>
      </c>
      <c r="AB770" s="1" t="s">
        <v>6466</v>
      </c>
      <c r="AC770" s="1" t="s">
        <v>74</v>
      </c>
      <c r="AD770" s="1" t="s">
        <v>74</v>
      </c>
      <c r="AE770" s="1" t="s">
        <v>74</v>
      </c>
      <c r="AF770" s="1" t="s">
        <v>74</v>
      </c>
      <c r="AG770" s="1" t="s">
        <v>74</v>
      </c>
      <c r="AH770" s="1" t="s">
        <v>74</v>
      </c>
      <c r="AI770" s="1" t="s">
        <v>74</v>
      </c>
      <c r="AJ770" s="1" t="s">
        <v>74</v>
      </c>
      <c r="AK770" s="1" t="s">
        <v>74</v>
      </c>
      <c r="AL770" s="1" t="s">
        <v>74</v>
      </c>
      <c r="AM770" s="1" t="s">
        <v>74</v>
      </c>
      <c r="AN770" s="1" t="s">
        <v>74</v>
      </c>
      <c r="AO770" s="1" t="s">
        <v>6467</v>
      </c>
      <c r="AP770" s="1" t="s">
        <v>74</v>
      </c>
      <c r="AQ770" s="1" t="s">
        <v>74</v>
      </c>
      <c r="AR770" s="1" t="s">
        <v>74</v>
      </c>
      <c r="AS770" s="1" t="s">
        <v>74</v>
      </c>
      <c r="AT770" s="1" t="s">
        <v>161</v>
      </c>
      <c r="AU770" s="1">
        <v>2009.0</v>
      </c>
      <c r="AV770" s="1">
        <v>52.0</v>
      </c>
      <c r="AW770" s="1" t="s">
        <v>74</v>
      </c>
      <c r="AX770" s="1" t="s">
        <v>74</v>
      </c>
      <c r="AY770" s="1" t="s">
        <v>74</v>
      </c>
      <c r="AZ770" s="1" t="s">
        <v>74</v>
      </c>
      <c r="BA770" s="1" t="s">
        <v>74</v>
      </c>
      <c r="BB770" s="1">
        <v>561.0</v>
      </c>
      <c r="BC770" s="1">
        <v>568.0</v>
      </c>
      <c r="BD770" s="1" t="s">
        <v>74</v>
      </c>
      <c r="BE770" s="1" t="s">
        <v>6468</v>
      </c>
      <c r="BF770" s="2" t="str">
        <f>HYPERLINK("http://dx.doi.org/10.1017/S0013091507000120","http://dx.doi.org/10.1017/S0013091507000120")</f>
        <v>http://dx.doi.org/10.1017/S0013091507000120</v>
      </c>
      <c r="BG770" s="1" t="s">
        <v>74</v>
      </c>
      <c r="BH770" s="1" t="s">
        <v>74</v>
      </c>
      <c r="BI770" s="1" t="s">
        <v>74</v>
      </c>
      <c r="BJ770" s="1" t="s">
        <v>74</v>
      </c>
      <c r="BK770" s="1" t="s">
        <v>74</v>
      </c>
      <c r="BL770" s="1" t="s">
        <v>74</v>
      </c>
      <c r="BM770" s="1" t="s">
        <v>74</v>
      </c>
      <c r="BN770" s="1" t="s">
        <v>74</v>
      </c>
      <c r="BO770" s="1" t="s">
        <v>74</v>
      </c>
      <c r="BP770" s="1" t="s">
        <v>74</v>
      </c>
      <c r="BQ770" s="1" t="s">
        <v>74</v>
      </c>
      <c r="BR770" s="1" t="s">
        <v>74</v>
      </c>
      <c r="BS770" s="1" t="s">
        <v>6469</v>
      </c>
      <c r="BT770" s="1" t="str">
        <f>HYPERLINK("https%3A%2F%2Fwww.webofscience.com%2Fwos%2Fwoscc%2Ffull-record%2FWOS:000271146100002","View Full Record in Web of Science")</f>
        <v>View Full Record in Web of Science</v>
      </c>
    </row>
    <row r="771" ht="12.75" customHeight="1">
      <c r="A771" s="1" t="s">
        <v>72</v>
      </c>
      <c r="B771" s="1" t="s">
        <v>6470</v>
      </c>
      <c r="C771" s="1" t="s">
        <v>74</v>
      </c>
      <c r="D771" s="1" t="s">
        <v>74</v>
      </c>
      <c r="E771" s="1" t="s">
        <v>74</v>
      </c>
      <c r="F771" s="1" t="s">
        <v>6471</v>
      </c>
      <c r="G771" s="1" t="s">
        <v>74</v>
      </c>
      <c r="H771" s="1" t="s">
        <v>74</v>
      </c>
      <c r="I771" s="1" t="s">
        <v>6472</v>
      </c>
      <c r="J771" s="1" t="s">
        <v>6473</v>
      </c>
      <c r="K771" s="1" t="s">
        <v>74</v>
      </c>
      <c r="L771" s="1" t="s">
        <v>74</v>
      </c>
      <c r="M771" s="1" t="s">
        <v>74</v>
      </c>
      <c r="N771" s="1" t="s">
        <v>74</v>
      </c>
      <c r="O771" s="1" t="s">
        <v>74</v>
      </c>
      <c r="P771" s="1" t="s">
        <v>74</v>
      </c>
      <c r="Q771" s="1" t="s">
        <v>74</v>
      </c>
      <c r="R771" s="1" t="s">
        <v>74</v>
      </c>
      <c r="S771" s="1" t="s">
        <v>74</v>
      </c>
      <c r="T771" s="1" t="s">
        <v>74</v>
      </c>
      <c r="U771" s="1" t="s">
        <v>74</v>
      </c>
      <c r="V771" s="1" t="s">
        <v>6474</v>
      </c>
      <c r="W771" s="1" t="s">
        <v>74</v>
      </c>
      <c r="X771" s="1" t="s">
        <v>74</v>
      </c>
      <c r="Y771" s="1" t="s">
        <v>74</v>
      </c>
      <c r="Z771" s="1" t="s">
        <v>74</v>
      </c>
      <c r="AA771" s="1" t="s">
        <v>74</v>
      </c>
      <c r="AB771" s="1" t="s">
        <v>74</v>
      </c>
      <c r="AC771" s="1" t="s">
        <v>74</v>
      </c>
      <c r="AD771" s="1" t="s">
        <v>74</v>
      </c>
      <c r="AE771" s="1" t="s">
        <v>74</v>
      </c>
      <c r="AF771" s="1" t="s">
        <v>74</v>
      </c>
      <c r="AG771" s="1" t="s">
        <v>74</v>
      </c>
      <c r="AH771" s="1" t="s">
        <v>74</v>
      </c>
      <c r="AI771" s="1" t="s">
        <v>74</v>
      </c>
      <c r="AJ771" s="1" t="s">
        <v>74</v>
      </c>
      <c r="AK771" s="1" t="s">
        <v>74</v>
      </c>
      <c r="AL771" s="1" t="s">
        <v>74</v>
      </c>
      <c r="AM771" s="1" t="s">
        <v>74</v>
      </c>
      <c r="AN771" s="1" t="s">
        <v>74</v>
      </c>
      <c r="AO771" s="1" t="s">
        <v>6475</v>
      </c>
      <c r="AP771" s="1" t="s">
        <v>6476</v>
      </c>
      <c r="AQ771" s="1" t="s">
        <v>74</v>
      </c>
      <c r="AR771" s="1" t="s">
        <v>74</v>
      </c>
      <c r="AS771" s="1" t="s">
        <v>74</v>
      </c>
      <c r="AT771" s="1" t="s">
        <v>429</v>
      </c>
      <c r="AU771" s="1">
        <v>2009.0</v>
      </c>
      <c r="AV771" s="1">
        <v>2.0</v>
      </c>
      <c r="AW771" s="1">
        <v>3.0</v>
      </c>
      <c r="AX771" s="1" t="s">
        <v>74</v>
      </c>
      <c r="AY771" s="1" t="s">
        <v>74</v>
      </c>
      <c r="AZ771" s="1" t="s">
        <v>74</v>
      </c>
      <c r="BA771" s="1" t="s">
        <v>74</v>
      </c>
      <c r="BB771" s="1">
        <v>287.0</v>
      </c>
      <c r="BC771" s="1">
        <v>296.0</v>
      </c>
      <c r="BD771" s="1" t="s">
        <v>74</v>
      </c>
      <c r="BE771" s="1" t="s">
        <v>6477</v>
      </c>
      <c r="BF771" s="2" t="str">
        <f>HYPERLINK("http://dx.doi.org/10.1049/iet-pel.2007.0362","http://dx.doi.org/10.1049/iet-pel.2007.0362")</f>
        <v>http://dx.doi.org/10.1049/iet-pel.2007.0362</v>
      </c>
      <c r="BG771" s="1" t="s">
        <v>74</v>
      </c>
      <c r="BH771" s="1" t="s">
        <v>74</v>
      </c>
      <c r="BI771" s="1" t="s">
        <v>74</v>
      </c>
      <c r="BJ771" s="1" t="s">
        <v>74</v>
      </c>
      <c r="BK771" s="1" t="s">
        <v>74</v>
      </c>
      <c r="BL771" s="1" t="s">
        <v>74</v>
      </c>
      <c r="BM771" s="1" t="s">
        <v>74</v>
      </c>
      <c r="BN771" s="1" t="s">
        <v>74</v>
      </c>
      <c r="BO771" s="1" t="s">
        <v>74</v>
      </c>
      <c r="BP771" s="1" t="s">
        <v>74</v>
      </c>
      <c r="BQ771" s="1" t="s">
        <v>74</v>
      </c>
      <c r="BR771" s="1" t="s">
        <v>74</v>
      </c>
      <c r="BS771" s="1" t="s">
        <v>6478</v>
      </c>
      <c r="BT771" s="1" t="str">
        <f>HYPERLINK("https%3A%2F%2Fwww.webofscience.com%2Fwos%2Fwoscc%2Ffull-record%2FWOS:000276384900008","View Full Record in Web of Science")</f>
        <v>View Full Record in Web of Science</v>
      </c>
    </row>
    <row r="772" ht="12.75" customHeight="1">
      <c r="A772" s="1" t="s">
        <v>72</v>
      </c>
      <c r="B772" s="1" t="s">
        <v>6479</v>
      </c>
      <c r="C772" s="1" t="s">
        <v>74</v>
      </c>
      <c r="D772" s="1" t="s">
        <v>74</v>
      </c>
      <c r="E772" s="1" t="s">
        <v>74</v>
      </c>
      <c r="F772" s="1" t="s">
        <v>6480</v>
      </c>
      <c r="G772" s="1" t="s">
        <v>74</v>
      </c>
      <c r="H772" s="1" t="s">
        <v>74</v>
      </c>
      <c r="I772" s="1" t="s">
        <v>6481</v>
      </c>
      <c r="J772" s="1" t="s">
        <v>3281</v>
      </c>
      <c r="K772" s="1" t="s">
        <v>74</v>
      </c>
      <c r="L772" s="1" t="s">
        <v>74</v>
      </c>
      <c r="M772" s="1" t="s">
        <v>74</v>
      </c>
      <c r="N772" s="1" t="s">
        <v>74</v>
      </c>
      <c r="O772" s="1" t="s">
        <v>74</v>
      </c>
      <c r="P772" s="1" t="s">
        <v>74</v>
      </c>
      <c r="Q772" s="1" t="s">
        <v>74</v>
      </c>
      <c r="R772" s="1" t="s">
        <v>74</v>
      </c>
      <c r="S772" s="1" t="s">
        <v>74</v>
      </c>
      <c r="T772" s="1" t="s">
        <v>74</v>
      </c>
      <c r="U772" s="1" t="s">
        <v>74</v>
      </c>
      <c r="V772" s="1" t="s">
        <v>6482</v>
      </c>
      <c r="W772" s="1" t="s">
        <v>74</v>
      </c>
      <c r="X772" s="1" t="s">
        <v>74</v>
      </c>
      <c r="Y772" s="1" t="s">
        <v>74</v>
      </c>
      <c r="Z772" s="1" t="s">
        <v>74</v>
      </c>
      <c r="AA772" s="1" t="s">
        <v>6483</v>
      </c>
      <c r="AB772" s="1" t="s">
        <v>2542</v>
      </c>
      <c r="AC772" s="1" t="s">
        <v>74</v>
      </c>
      <c r="AD772" s="1" t="s">
        <v>74</v>
      </c>
      <c r="AE772" s="1" t="s">
        <v>74</v>
      </c>
      <c r="AF772" s="1" t="s">
        <v>74</v>
      </c>
      <c r="AG772" s="1" t="s">
        <v>74</v>
      </c>
      <c r="AH772" s="1" t="s">
        <v>74</v>
      </c>
      <c r="AI772" s="1" t="s">
        <v>74</v>
      </c>
      <c r="AJ772" s="1" t="s">
        <v>74</v>
      </c>
      <c r="AK772" s="1" t="s">
        <v>74</v>
      </c>
      <c r="AL772" s="1" t="s">
        <v>74</v>
      </c>
      <c r="AM772" s="1" t="s">
        <v>74</v>
      </c>
      <c r="AN772" s="1" t="s">
        <v>74</v>
      </c>
      <c r="AO772" s="1" t="s">
        <v>3283</v>
      </c>
      <c r="AP772" s="1" t="s">
        <v>6484</v>
      </c>
      <c r="AQ772" s="1" t="s">
        <v>74</v>
      </c>
      <c r="AR772" s="1" t="s">
        <v>74</v>
      </c>
      <c r="AS772" s="1" t="s">
        <v>74</v>
      </c>
      <c r="AT772" s="1" t="s">
        <v>6485</v>
      </c>
      <c r="AU772" s="1">
        <v>2008.0</v>
      </c>
      <c r="AV772" s="1">
        <v>41.0</v>
      </c>
      <c r="AW772" s="1">
        <v>48.0</v>
      </c>
      <c r="AX772" s="1" t="s">
        <v>74</v>
      </c>
      <c r="AY772" s="1" t="s">
        <v>74</v>
      </c>
      <c r="AZ772" s="1" t="s">
        <v>74</v>
      </c>
      <c r="BA772" s="1" t="s">
        <v>74</v>
      </c>
      <c r="BB772" s="1" t="s">
        <v>74</v>
      </c>
      <c r="BC772" s="1" t="s">
        <v>74</v>
      </c>
      <c r="BD772" s="1">
        <v>485303.0</v>
      </c>
      <c r="BE772" s="1" t="s">
        <v>6486</v>
      </c>
      <c r="BF772" s="2" t="str">
        <f>HYPERLINK("http://dx.doi.org/10.1088/1751-8113/41/48/485303","http://dx.doi.org/10.1088/1751-8113/41/48/485303")</f>
        <v>http://dx.doi.org/10.1088/1751-8113/41/48/485303</v>
      </c>
      <c r="BG772" s="1" t="s">
        <v>74</v>
      </c>
      <c r="BH772" s="1" t="s">
        <v>74</v>
      </c>
      <c r="BI772" s="1" t="s">
        <v>74</v>
      </c>
      <c r="BJ772" s="1" t="s">
        <v>74</v>
      </c>
      <c r="BK772" s="1" t="s">
        <v>74</v>
      </c>
      <c r="BL772" s="1" t="s">
        <v>74</v>
      </c>
      <c r="BM772" s="1" t="s">
        <v>74</v>
      </c>
      <c r="BN772" s="1" t="s">
        <v>74</v>
      </c>
      <c r="BO772" s="1" t="s">
        <v>74</v>
      </c>
      <c r="BP772" s="1" t="s">
        <v>74</v>
      </c>
      <c r="BQ772" s="1" t="s">
        <v>74</v>
      </c>
      <c r="BR772" s="1" t="s">
        <v>74</v>
      </c>
      <c r="BS772" s="1" t="s">
        <v>6487</v>
      </c>
      <c r="BT772" s="1" t="str">
        <f>HYPERLINK("https%3A%2F%2Fwww.webofscience.com%2Fwos%2Fwoscc%2Ffull-record%2FWOS:000260263700014","View Full Record in Web of Science")</f>
        <v>View Full Record in Web of Science</v>
      </c>
    </row>
    <row r="773" ht="12.75" customHeight="1">
      <c r="A773" s="1" t="s">
        <v>91</v>
      </c>
      <c r="B773" s="1" t="s">
        <v>6488</v>
      </c>
      <c r="C773" s="1" t="s">
        <v>74</v>
      </c>
      <c r="D773" s="1" t="s">
        <v>74</v>
      </c>
      <c r="E773" s="1" t="s">
        <v>997</v>
      </c>
      <c r="F773" s="1" t="s">
        <v>6489</v>
      </c>
      <c r="G773" s="1" t="s">
        <v>74</v>
      </c>
      <c r="H773" s="1" t="s">
        <v>74</v>
      </c>
      <c r="I773" s="1" t="s">
        <v>6490</v>
      </c>
      <c r="J773" s="1" t="s">
        <v>6491</v>
      </c>
      <c r="K773" s="1" t="s">
        <v>74</v>
      </c>
      <c r="L773" s="1" t="s">
        <v>74</v>
      </c>
      <c r="M773" s="1" t="s">
        <v>74</v>
      </c>
      <c r="N773" s="1" t="s">
        <v>74</v>
      </c>
      <c r="O773" s="1" t="s">
        <v>6492</v>
      </c>
      <c r="P773" s="1" t="s">
        <v>6493</v>
      </c>
      <c r="Q773" s="1" t="s">
        <v>6494</v>
      </c>
      <c r="R773" s="1" t="s">
        <v>6495</v>
      </c>
      <c r="S773" s="1" t="s">
        <v>6496</v>
      </c>
      <c r="T773" s="1" t="s">
        <v>74</v>
      </c>
      <c r="U773" s="1" t="s">
        <v>74</v>
      </c>
      <c r="V773" s="1" t="s">
        <v>6497</v>
      </c>
      <c r="W773" s="1" t="s">
        <v>74</v>
      </c>
      <c r="X773" s="1" t="s">
        <v>74</v>
      </c>
      <c r="Y773" s="1" t="s">
        <v>74</v>
      </c>
      <c r="Z773" s="1" t="s">
        <v>74</v>
      </c>
      <c r="AA773" s="1" t="s">
        <v>6498</v>
      </c>
      <c r="AB773" s="1" t="s">
        <v>1007</v>
      </c>
      <c r="AC773" s="1" t="s">
        <v>74</v>
      </c>
      <c r="AD773" s="1" t="s">
        <v>74</v>
      </c>
      <c r="AE773" s="1" t="s">
        <v>74</v>
      </c>
      <c r="AF773" s="1" t="s">
        <v>74</v>
      </c>
      <c r="AG773" s="1" t="s">
        <v>74</v>
      </c>
      <c r="AH773" s="1" t="s">
        <v>74</v>
      </c>
      <c r="AI773" s="1" t="s">
        <v>74</v>
      </c>
      <c r="AJ773" s="1" t="s">
        <v>74</v>
      </c>
      <c r="AK773" s="1" t="s">
        <v>74</v>
      </c>
      <c r="AL773" s="1" t="s">
        <v>74</v>
      </c>
      <c r="AM773" s="1" t="s">
        <v>74</v>
      </c>
      <c r="AN773" s="1" t="s">
        <v>74</v>
      </c>
      <c r="AO773" s="1" t="s">
        <v>74</v>
      </c>
      <c r="AP773" s="1" t="s">
        <v>74</v>
      </c>
      <c r="AQ773" s="1" t="s">
        <v>6499</v>
      </c>
      <c r="AR773" s="1" t="s">
        <v>74</v>
      </c>
      <c r="AS773" s="1" t="s">
        <v>74</v>
      </c>
      <c r="AT773" s="1" t="s">
        <v>74</v>
      </c>
      <c r="AU773" s="1">
        <v>2008.0</v>
      </c>
      <c r="AV773" s="1" t="s">
        <v>74</v>
      </c>
      <c r="AW773" s="1" t="s">
        <v>74</v>
      </c>
      <c r="AX773" s="1" t="s">
        <v>74</v>
      </c>
      <c r="AY773" s="1" t="s">
        <v>74</v>
      </c>
      <c r="AZ773" s="1" t="s">
        <v>74</v>
      </c>
      <c r="BA773" s="1" t="s">
        <v>74</v>
      </c>
      <c r="BB773" s="1">
        <v>655.0</v>
      </c>
      <c r="BC773" s="1">
        <v>664.0</v>
      </c>
      <c r="BD773" s="1" t="s">
        <v>74</v>
      </c>
      <c r="BE773" s="1" t="s">
        <v>74</v>
      </c>
      <c r="BF773" s="1" t="s">
        <v>74</v>
      </c>
      <c r="BG773" s="1" t="s">
        <v>74</v>
      </c>
      <c r="BH773" s="1" t="s">
        <v>74</v>
      </c>
      <c r="BI773" s="1" t="s">
        <v>74</v>
      </c>
      <c r="BJ773" s="1" t="s">
        <v>74</v>
      </c>
      <c r="BK773" s="1" t="s">
        <v>74</v>
      </c>
      <c r="BL773" s="1" t="s">
        <v>74</v>
      </c>
      <c r="BM773" s="1" t="s">
        <v>74</v>
      </c>
      <c r="BN773" s="1" t="s">
        <v>74</v>
      </c>
      <c r="BO773" s="1" t="s">
        <v>74</v>
      </c>
      <c r="BP773" s="1" t="s">
        <v>74</v>
      </c>
      <c r="BQ773" s="1" t="s">
        <v>74</v>
      </c>
      <c r="BR773" s="1" t="s">
        <v>74</v>
      </c>
      <c r="BS773" s="1" t="s">
        <v>6500</v>
      </c>
      <c r="BT773" s="1" t="str">
        <f>HYPERLINK("https%3A%2F%2Fwww.webofscience.com%2Fwos%2Fwoscc%2Ffull-record%2FWOS:000255392000092","View Full Record in Web of Science")</f>
        <v>View Full Record in Web of Science</v>
      </c>
    </row>
    <row r="774" ht="12.75" customHeight="1">
      <c r="A774" s="1" t="s">
        <v>91</v>
      </c>
      <c r="B774" s="1" t="s">
        <v>1102</v>
      </c>
      <c r="C774" s="1" t="s">
        <v>74</v>
      </c>
      <c r="D774" s="1" t="s">
        <v>6501</v>
      </c>
      <c r="E774" s="1" t="s">
        <v>74</v>
      </c>
      <c r="F774" s="1" t="s">
        <v>6502</v>
      </c>
      <c r="G774" s="1" t="s">
        <v>74</v>
      </c>
      <c r="H774" s="1" t="s">
        <v>74</v>
      </c>
      <c r="I774" s="1" t="s">
        <v>6503</v>
      </c>
      <c r="J774" s="1" t="s">
        <v>6504</v>
      </c>
      <c r="K774" s="1" t="s">
        <v>6505</v>
      </c>
      <c r="L774" s="1" t="s">
        <v>74</v>
      </c>
      <c r="M774" s="1" t="s">
        <v>74</v>
      </c>
      <c r="N774" s="1" t="s">
        <v>74</v>
      </c>
      <c r="O774" s="1" t="s">
        <v>6506</v>
      </c>
      <c r="P774" s="1" t="s">
        <v>6507</v>
      </c>
      <c r="Q774" s="1" t="s">
        <v>6508</v>
      </c>
      <c r="R774" s="1" t="s">
        <v>6509</v>
      </c>
      <c r="S774" s="1" t="s">
        <v>6510</v>
      </c>
      <c r="T774" s="1" t="s">
        <v>74</v>
      </c>
      <c r="U774" s="1" t="s">
        <v>74</v>
      </c>
      <c r="V774" s="1" t="s">
        <v>6511</v>
      </c>
      <c r="W774" s="1" t="s">
        <v>74</v>
      </c>
      <c r="X774" s="1" t="s">
        <v>74</v>
      </c>
      <c r="Y774" s="1" t="s">
        <v>74</v>
      </c>
      <c r="Z774" s="1" t="s">
        <v>74</v>
      </c>
      <c r="AA774" s="1" t="s">
        <v>1111</v>
      </c>
      <c r="AB774" s="1" t="s">
        <v>1112</v>
      </c>
      <c r="AC774" s="1" t="s">
        <v>74</v>
      </c>
      <c r="AD774" s="1" t="s">
        <v>74</v>
      </c>
      <c r="AE774" s="1" t="s">
        <v>74</v>
      </c>
      <c r="AF774" s="1" t="s">
        <v>74</v>
      </c>
      <c r="AG774" s="1" t="s">
        <v>74</v>
      </c>
      <c r="AH774" s="1" t="s">
        <v>74</v>
      </c>
      <c r="AI774" s="1" t="s">
        <v>74</v>
      </c>
      <c r="AJ774" s="1" t="s">
        <v>74</v>
      </c>
      <c r="AK774" s="1" t="s">
        <v>74</v>
      </c>
      <c r="AL774" s="1" t="s">
        <v>74</v>
      </c>
      <c r="AM774" s="1" t="s">
        <v>74</v>
      </c>
      <c r="AN774" s="1" t="s">
        <v>74</v>
      </c>
      <c r="AO774" s="1" t="s">
        <v>6512</v>
      </c>
      <c r="AP774" s="1" t="s">
        <v>74</v>
      </c>
      <c r="AQ774" s="1" t="s">
        <v>6513</v>
      </c>
      <c r="AR774" s="1" t="s">
        <v>74</v>
      </c>
      <c r="AS774" s="1" t="s">
        <v>74</v>
      </c>
      <c r="AT774" s="1" t="s">
        <v>74</v>
      </c>
      <c r="AU774" s="1">
        <v>2008.0</v>
      </c>
      <c r="AV774" s="1">
        <v>116.0</v>
      </c>
      <c r="AW774" s="1" t="s">
        <v>74</v>
      </c>
      <c r="AX774" s="1" t="s">
        <v>74</v>
      </c>
      <c r="AY774" s="1" t="s">
        <v>74</v>
      </c>
      <c r="AZ774" s="1" t="s">
        <v>74</v>
      </c>
      <c r="BA774" s="1" t="s">
        <v>74</v>
      </c>
      <c r="BB774" s="1">
        <v>21.0</v>
      </c>
      <c r="BC774" s="1">
        <v>28.0</v>
      </c>
      <c r="BD774" s="1" t="s">
        <v>74</v>
      </c>
      <c r="BE774" s="1" t="s">
        <v>6514</v>
      </c>
      <c r="BF774" s="2" t="str">
        <f>HYPERLINK("http://dx.doi.org/10.2495/AIR080031","http://dx.doi.org/10.2495/AIR080031")</f>
        <v>http://dx.doi.org/10.2495/AIR080031</v>
      </c>
      <c r="BG774" s="1" t="s">
        <v>74</v>
      </c>
      <c r="BH774" s="1" t="s">
        <v>74</v>
      </c>
      <c r="BI774" s="1" t="s">
        <v>74</v>
      </c>
      <c r="BJ774" s="1" t="s">
        <v>74</v>
      </c>
      <c r="BK774" s="1" t="s">
        <v>74</v>
      </c>
      <c r="BL774" s="1" t="s">
        <v>74</v>
      </c>
      <c r="BM774" s="1" t="s">
        <v>74</v>
      </c>
      <c r="BN774" s="1" t="s">
        <v>74</v>
      </c>
      <c r="BO774" s="1" t="s">
        <v>74</v>
      </c>
      <c r="BP774" s="1" t="s">
        <v>74</v>
      </c>
      <c r="BQ774" s="1" t="s">
        <v>74</v>
      </c>
      <c r="BR774" s="1" t="s">
        <v>74</v>
      </c>
      <c r="BS774" s="1" t="s">
        <v>6515</v>
      </c>
      <c r="BT774" s="1" t="str">
        <f>HYPERLINK("https%3A%2F%2Fwww.webofscience.com%2Fwos%2Fwoscc%2Ffull-record%2FWOS:000265065800003","View Full Record in Web of Science")</f>
        <v>View Full Record in Web of Science</v>
      </c>
    </row>
    <row r="775" ht="12.75" customHeight="1">
      <c r="A775" s="1" t="s">
        <v>72</v>
      </c>
      <c r="B775" s="1" t="s">
        <v>6516</v>
      </c>
      <c r="C775" s="1" t="s">
        <v>74</v>
      </c>
      <c r="D775" s="1" t="s">
        <v>74</v>
      </c>
      <c r="E775" s="1" t="s">
        <v>74</v>
      </c>
      <c r="F775" s="1" t="s">
        <v>6517</v>
      </c>
      <c r="G775" s="1" t="s">
        <v>74</v>
      </c>
      <c r="H775" s="1" t="s">
        <v>74</v>
      </c>
      <c r="I775" s="1" t="s">
        <v>6518</v>
      </c>
      <c r="J775" s="1" t="s">
        <v>954</v>
      </c>
      <c r="K775" s="1" t="s">
        <v>74</v>
      </c>
      <c r="L775" s="1" t="s">
        <v>74</v>
      </c>
      <c r="M775" s="1" t="s">
        <v>74</v>
      </c>
      <c r="N775" s="1" t="s">
        <v>74</v>
      </c>
      <c r="O775" s="1" t="s">
        <v>74</v>
      </c>
      <c r="P775" s="1" t="s">
        <v>74</v>
      </c>
      <c r="Q775" s="1" t="s">
        <v>74</v>
      </c>
      <c r="R775" s="1" t="s">
        <v>74</v>
      </c>
      <c r="S775" s="1" t="s">
        <v>74</v>
      </c>
      <c r="T775" s="1" t="s">
        <v>74</v>
      </c>
      <c r="U775" s="1" t="s">
        <v>74</v>
      </c>
      <c r="V775" s="1" t="s">
        <v>6519</v>
      </c>
      <c r="W775" s="1" t="s">
        <v>74</v>
      </c>
      <c r="X775" s="1" t="s">
        <v>74</v>
      </c>
      <c r="Y775" s="1" t="s">
        <v>74</v>
      </c>
      <c r="Z775" s="1" t="s">
        <v>74</v>
      </c>
      <c r="AA775" s="1" t="s">
        <v>521</v>
      </c>
      <c r="AB775" s="1" t="s">
        <v>6520</v>
      </c>
      <c r="AC775" s="1" t="s">
        <v>74</v>
      </c>
      <c r="AD775" s="1" t="s">
        <v>74</v>
      </c>
      <c r="AE775" s="1" t="s">
        <v>74</v>
      </c>
      <c r="AF775" s="1" t="s">
        <v>74</v>
      </c>
      <c r="AG775" s="1" t="s">
        <v>74</v>
      </c>
      <c r="AH775" s="1" t="s">
        <v>74</v>
      </c>
      <c r="AI775" s="1" t="s">
        <v>74</v>
      </c>
      <c r="AJ775" s="1" t="s">
        <v>74</v>
      </c>
      <c r="AK775" s="1" t="s">
        <v>74</v>
      </c>
      <c r="AL775" s="1" t="s">
        <v>74</v>
      </c>
      <c r="AM775" s="1" t="s">
        <v>74</v>
      </c>
      <c r="AN775" s="1" t="s">
        <v>74</v>
      </c>
      <c r="AO775" s="1" t="s">
        <v>956</v>
      </c>
      <c r="AP775" s="1" t="s">
        <v>1796</v>
      </c>
      <c r="AQ775" s="1" t="s">
        <v>74</v>
      </c>
      <c r="AR775" s="1" t="s">
        <v>74</v>
      </c>
      <c r="AS775" s="1" t="s">
        <v>74</v>
      </c>
      <c r="AT775" s="1" t="s">
        <v>74</v>
      </c>
      <c r="AU775" s="1">
        <v>2008.0</v>
      </c>
      <c r="AV775" s="1">
        <v>26.0</v>
      </c>
      <c r="AW775" s="1">
        <v>10.0</v>
      </c>
      <c r="AX775" s="1" t="s">
        <v>74</v>
      </c>
      <c r="AY775" s="1" t="s">
        <v>74</v>
      </c>
      <c r="AZ775" s="1" t="s">
        <v>74</v>
      </c>
      <c r="BA775" s="1" t="s">
        <v>74</v>
      </c>
      <c r="BB775" s="1">
        <v>1272.0</v>
      </c>
      <c r="BC775" s="1">
        <v>1285.0</v>
      </c>
      <c r="BD775" s="1" t="s">
        <v>74</v>
      </c>
      <c r="BE775" s="1" t="s">
        <v>6521</v>
      </c>
      <c r="BF775" s="2" t="str">
        <f>HYPERLINK("http://dx.doi.org/10.1080/07373930802307282","http://dx.doi.org/10.1080/07373930802307282")</f>
        <v>http://dx.doi.org/10.1080/07373930802307282</v>
      </c>
      <c r="BG775" s="1" t="s">
        <v>74</v>
      </c>
      <c r="BH775" s="1" t="s">
        <v>74</v>
      </c>
      <c r="BI775" s="1" t="s">
        <v>74</v>
      </c>
      <c r="BJ775" s="1" t="s">
        <v>74</v>
      </c>
      <c r="BK775" s="1" t="s">
        <v>74</v>
      </c>
      <c r="BL775" s="1" t="s">
        <v>74</v>
      </c>
      <c r="BM775" s="1" t="s">
        <v>74</v>
      </c>
      <c r="BN775" s="1" t="s">
        <v>74</v>
      </c>
      <c r="BO775" s="1" t="s">
        <v>74</v>
      </c>
      <c r="BP775" s="1" t="s">
        <v>74</v>
      </c>
      <c r="BQ775" s="1" t="s">
        <v>74</v>
      </c>
      <c r="BR775" s="1" t="s">
        <v>74</v>
      </c>
      <c r="BS775" s="1" t="s">
        <v>6522</v>
      </c>
      <c r="BT775" s="1" t="str">
        <f>HYPERLINK("https%3A%2F%2Fwww.webofscience.com%2Fwos%2Fwoscc%2Ffull-record%2FWOS:000259145600014","View Full Record in Web of Science")</f>
        <v>View Full Record in Web of Science</v>
      </c>
    </row>
    <row r="776" ht="12.75" customHeight="1">
      <c r="A776" s="1" t="s">
        <v>72</v>
      </c>
      <c r="B776" s="1" t="s">
        <v>6523</v>
      </c>
      <c r="C776" s="1" t="s">
        <v>74</v>
      </c>
      <c r="D776" s="1" t="s">
        <v>74</v>
      </c>
      <c r="E776" s="1" t="s">
        <v>74</v>
      </c>
      <c r="F776" s="1" t="s">
        <v>6524</v>
      </c>
      <c r="G776" s="1" t="s">
        <v>74</v>
      </c>
      <c r="H776" s="1" t="s">
        <v>74</v>
      </c>
      <c r="I776" s="1" t="s">
        <v>6525</v>
      </c>
      <c r="J776" s="1" t="s">
        <v>1888</v>
      </c>
      <c r="K776" s="1" t="s">
        <v>74</v>
      </c>
      <c r="L776" s="1" t="s">
        <v>74</v>
      </c>
      <c r="M776" s="1" t="s">
        <v>74</v>
      </c>
      <c r="N776" s="1" t="s">
        <v>74</v>
      </c>
      <c r="O776" s="1" t="s">
        <v>74</v>
      </c>
      <c r="P776" s="1" t="s">
        <v>74</v>
      </c>
      <c r="Q776" s="1" t="s">
        <v>74</v>
      </c>
      <c r="R776" s="1" t="s">
        <v>74</v>
      </c>
      <c r="S776" s="1" t="s">
        <v>74</v>
      </c>
      <c r="T776" s="1" t="s">
        <v>74</v>
      </c>
      <c r="U776" s="1" t="s">
        <v>74</v>
      </c>
      <c r="V776" s="1" t="s">
        <v>6526</v>
      </c>
      <c r="W776" s="1" t="s">
        <v>74</v>
      </c>
      <c r="X776" s="1" t="s">
        <v>74</v>
      </c>
      <c r="Y776" s="1" t="s">
        <v>74</v>
      </c>
      <c r="Z776" s="1" t="s">
        <v>74</v>
      </c>
      <c r="AA776" s="1" t="s">
        <v>6527</v>
      </c>
      <c r="AB776" s="1" t="s">
        <v>1119</v>
      </c>
      <c r="AC776" s="1" t="s">
        <v>74</v>
      </c>
      <c r="AD776" s="1" t="s">
        <v>74</v>
      </c>
      <c r="AE776" s="1" t="s">
        <v>74</v>
      </c>
      <c r="AF776" s="1" t="s">
        <v>74</v>
      </c>
      <c r="AG776" s="1" t="s">
        <v>74</v>
      </c>
      <c r="AH776" s="1" t="s">
        <v>74</v>
      </c>
      <c r="AI776" s="1" t="s">
        <v>74</v>
      </c>
      <c r="AJ776" s="1" t="s">
        <v>74</v>
      </c>
      <c r="AK776" s="1" t="s">
        <v>74</v>
      </c>
      <c r="AL776" s="1" t="s">
        <v>74</v>
      </c>
      <c r="AM776" s="1" t="s">
        <v>74</v>
      </c>
      <c r="AN776" s="1" t="s">
        <v>74</v>
      </c>
      <c r="AO776" s="1" t="s">
        <v>1889</v>
      </c>
      <c r="AP776" s="1" t="s">
        <v>74</v>
      </c>
      <c r="AQ776" s="1" t="s">
        <v>74</v>
      </c>
      <c r="AR776" s="1" t="s">
        <v>74</v>
      </c>
      <c r="AS776" s="1" t="s">
        <v>74</v>
      </c>
      <c r="AT776" s="1" t="s">
        <v>6528</v>
      </c>
      <c r="AU776" s="1">
        <v>2007.0</v>
      </c>
      <c r="AV776" s="1">
        <v>327.0</v>
      </c>
      <c r="AW776" s="1">
        <v>2.0</v>
      </c>
      <c r="AX776" s="1" t="s">
        <v>74</v>
      </c>
      <c r="AY776" s="1" t="s">
        <v>74</v>
      </c>
      <c r="AZ776" s="1" t="s">
        <v>74</v>
      </c>
      <c r="BA776" s="1" t="s">
        <v>74</v>
      </c>
      <c r="BB776" s="1">
        <v>1335.0</v>
      </c>
      <c r="BC776" s="1">
        <v>1359.0</v>
      </c>
      <c r="BD776" s="1" t="s">
        <v>74</v>
      </c>
      <c r="BE776" s="1" t="s">
        <v>6529</v>
      </c>
      <c r="BF776" s="2" t="str">
        <f>HYPERLINK("http://dx.doi.org/10.1016/j.jmaa.2006.04.087","http://dx.doi.org/10.1016/j.jmaa.2006.04.087")</f>
        <v>http://dx.doi.org/10.1016/j.jmaa.2006.04.087</v>
      </c>
      <c r="BG776" s="1" t="s">
        <v>74</v>
      </c>
      <c r="BH776" s="1" t="s">
        <v>74</v>
      </c>
      <c r="BI776" s="1" t="s">
        <v>74</v>
      </c>
      <c r="BJ776" s="1" t="s">
        <v>74</v>
      </c>
      <c r="BK776" s="1" t="s">
        <v>74</v>
      </c>
      <c r="BL776" s="1" t="s">
        <v>74</v>
      </c>
      <c r="BM776" s="1" t="s">
        <v>74</v>
      </c>
      <c r="BN776" s="1" t="s">
        <v>74</v>
      </c>
      <c r="BO776" s="1" t="s">
        <v>74</v>
      </c>
      <c r="BP776" s="1" t="s">
        <v>74</v>
      </c>
      <c r="BQ776" s="1" t="s">
        <v>74</v>
      </c>
      <c r="BR776" s="1" t="s">
        <v>74</v>
      </c>
      <c r="BS776" s="1" t="s">
        <v>6530</v>
      </c>
      <c r="BT776" s="1" t="str">
        <f>HYPERLINK("https%3A%2F%2Fwww.webofscience.com%2Fwos%2Fwoscc%2Ffull-record%2FWOS:000242980500047","View Full Record in Web of Science")</f>
        <v>View Full Record in Web of Science</v>
      </c>
    </row>
    <row r="777" ht="12.75" customHeight="1">
      <c r="A777" s="1" t="s">
        <v>72</v>
      </c>
      <c r="B777" s="1" t="s">
        <v>6531</v>
      </c>
      <c r="C777" s="1" t="s">
        <v>74</v>
      </c>
      <c r="D777" s="1" t="s">
        <v>74</v>
      </c>
      <c r="E777" s="1" t="s">
        <v>74</v>
      </c>
      <c r="F777" s="1" t="s">
        <v>6532</v>
      </c>
      <c r="G777" s="1" t="s">
        <v>74</v>
      </c>
      <c r="H777" s="1" t="s">
        <v>74</v>
      </c>
      <c r="I777" s="1" t="s">
        <v>6533</v>
      </c>
      <c r="J777" s="1" t="s">
        <v>6534</v>
      </c>
      <c r="K777" s="1" t="s">
        <v>74</v>
      </c>
      <c r="L777" s="1" t="s">
        <v>74</v>
      </c>
      <c r="M777" s="1" t="s">
        <v>74</v>
      </c>
      <c r="N777" s="1" t="s">
        <v>74</v>
      </c>
      <c r="O777" s="1" t="s">
        <v>74</v>
      </c>
      <c r="P777" s="1" t="s">
        <v>74</v>
      </c>
      <c r="Q777" s="1" t="s">
        <v>74</v>
      </c>
      <c r="R777" s="1" t="s">
        <v>74</v>
      </c>
      <c r="S777" s="1" t="s">
        <v>74</v>
      </c>
      <c r="T777" s="1" t="s">
        <v>74</v>
      </c>
      <c r="U777" s="1" t="s">
        <v>74</v>
      </c>
      <c r="V777" s="1" t="s">
        <v>6535</v>
      </c>
      <c r="W777" s="1" t="s">
        <v>74</v>
      </c>
      <c r="X777" s="1" t="s">
        <v>74</v>
      </c>
      <c r="Y777" s="1" t="s">
        <v>74</v>
      </c>
      <c r="Z777" s="1" t="s">
        <v>74</v>
      </c>
      <c r="AA777" s="1" t="s">
        <v>3345</v>
      </c>
      <c r="AB777" s="1" t="s">
        <v>3346</v>
      </c>
      <c r="AC777" s="1" t="s">
        <v>74</v>
      </c>
      <c r="AD777" s="1" t="s">
        <v>74</v>
      </c>
      <c r="AE777" s="1" t="s">
        <v>74</v>
      </c>
      <c r="AF777" s="1" t="s">
        <v>74</v>
      </c>
      <c r="AG777" s="1" t="s">
        <v>74</v>
      </c>
      <c r="AH777" s="1" t="s">
        <v>74</v>
      </c>
      <c r="AI777" s="1" t="s">
        <v>74</v>
      </c>
      <c r="AJ777" s="1" t="s">
        <v>74</v>
      </c>
      <c r="AK777" s="1" t="s">
        <v>74</v>
      </c>
      <c r="AL777" s="1" t="s">
        <v>74</v>
      </c>
      <c r="AM777" s="1" t="s">
        <v>74</v>
      </c>
      <c r="AN777" s="1" t="s">
        <v>74</v>
      </c>
      <c r="AO777" s="1" t="s">
        <v>6536</v>
      </c>
      <c r="AP777" s="1" t="s">
        <v>6537</v>
      </c>
      <c r="AQ777" s="1" t="s">
        <v>74</v>
      </c>
      <c r="AR777" s="1" t="s">
        <v>74</v>
      </c>
      <c r="AS777" s="1" t="s">
        <v>74</v>
      </c>
      <c r="AT777" s="1" t="s">
        <v>74</v>
      </c>
      <c r="AU777" s="1">
        <v>2007.0</v>
      </c>
      <c r="AV777" s="1">
        <v>17.0</v>
      </c>
      <c r="AW777" s="1" t="s">
        <v>6538</v>
      </c>
      <c r="AX777" s="1" t="s">
        <v>74</v>
      </c>
      <c r="AY777" s="1" t="s">
        <v>74</v>
      </c>
      <c r="AZ777" s="1" t="s">
        <v>74</v>
      </c>
      <c r="BA777" s="1" t="s">
        <v>74</v>
      </c>
      <c r="BB777" s="1">
        <v>548.0</v>
      </c>
      <c r="BC777" s="1">
        <v>564.0</v>
      </c>
      <c r="BD777" s="1" t="s">
        <v>74</v>
      </c>
      <c r="BE777" s="1" t="s">
        <v>6539</v>
      </c>
      <c r="BF777" s="2" t="str">
        <f>HYPERLINK("http://dx.doi.org/10.1108/09615530710753008","http://dx.doi.org/10.1108/09615530710753008")</f>
        <v>http://dx.doi.org/10.1108/09615530710753008</v>
      </c>
      <c r="BG777" s="1" t="s">
        <v>74</v>
      </c>
      <c r="BH777" s="1" t="s">
        <v>74</v>
      </c>
      <c r="BI777" s="1" t="s">
        <v>74</v>
      </c>
      <c r="BJ777" s="1" t="s">
        <v>74</v>
      </c>
      <c r="BK777" s="1" t="s">
        <v>74</v>
      </c>
      <c r="BL777" s="1" t="s">
        <v>74</v>
      </c>
      <c r="BM777" s="1" t="s">
        <v>74</v>
      </c>
      <c r="BN777" s="1" t="s">
        <v>74</v>
      </c>
      <c r="BO777" s="1" t="s">
        <v>74</v>
      </c>
      <c r="BP777" s="1" t="s">
        <v>74</v>
      </c>
      <c r="BQ777" s="1" t="s">
        <v>74</v>
      </c>
      <c r="BR777" s="1" t="s">
        <v>74</v>
      </c>
      <c r="BS777" s="1" t="s">
        <v>6540</v>
      </c>
      <c r="BT777" s="1" t="str">
        <f>HYPERLINK("https%3A%2F%2Fwww.webofscience.com%2Fwos%2Fwoscc%2Ffull-record%2FWOS:000249282500006","View Full Record in Web of Science")</f>
        <v>View Full Record in Web of Science</v>
      </c>
    </row>
    <row r="778" ht="12.75" customHeight="1">
      <c r="A778" s="1" t="s">
        <v>72</v>
      </c>
      <c r="B778" s="1" t="s">
        <v>6541</v>
      </c>
      <c r="C778" s="1" t="s">
        <v>74</v>
      </c>
      <c r="D778" s="1" t="s">
        <v>74</v>
      </c>
      <c r="E778" s="1" t="s">
        <v>74</v>
      </c>
      <c r="F778" s="1" t="s">
        <v>6542</v>
      </c>
      <c r="G778" s="1" t="s">
        <v>74</v>
      </c>
      <c r="H778" s="1" t="s">
        <v>74</v>
      </c>
      <c r="I778" s="1" t="s">
        <v>6543</v>
      </c>
      <c r="J778" s="1" t="s">
        <v>954</v>
      </c>
      <c r="K778" s="1" t="s">
        <v>74</v>
      </c>
      <c r="L778" s="1" t="s">
        <v>74</v>
      </c>
      <c r="M778" s="1" t="s">
        <v>74</v>
      </c>
      <c r="N778" s="1" t="s">
        <v>74</v>
      </c>
      <c r="O778" s="1" t="s">
        <v>74</v>
      </c>
      <c r="P778" s="1" t="s">
        <v>74</v>
      </c>
      <c r="Q778" s="1" t="s">
        <v>74</v>
      </c>
      <c r="R778" s="1" t="s">
        <v>74</v>
      </c>
      <c r="S778" s="1" t="s">
        <v>74</v>
      </c>
      <c r="T778" s="1" t="s">
        <v>74</v>
      </c>
      <c r="U778" s="1" t="s">
        <v>74</v>
      </c>
      <c r="V778" s="1" t="s">
        <v>6544</v>
      </c>
      <c r="W778" s="1" t="s">
        <v>74</v>
      </c>
      <c r="X778" s="1" t="s">
        <v>74</v>
      </c>
      <c r="Y778" s="1" t="s">
        <v>74</v>
      </c>
      <c r="Z778" s="1" t="s">
        <v>74</v>
      </c>
      <c r="AA778" s="1" t="s">
        <v>74</v>
      </c>
      <c r="AB778" s="1" t="s">
        <v>74</v>
      </c>
      <c r="AC778" s="1" t="s">
        <v>74</v>
      </c>
      <c r="AD778" s="1" t="s">
        <v>74</v>
      </c>
      <c r="AE778" s="1" t="s">
        <v>74</v>
      </c>
      <c r="AF778" s="1" t="s">
        <v>74</v>
      </c>
      <c r="AG778" s="1" t="s">
        <v>74</v>
      </c>
      <c r="AH778" s="1" t="s">
        <v>74</v>
      </c>
      <c r="AI778" s="1" t="s">
        <v>74</v>
      </c>
      <c r="AJ778" s="1" t="s">
        <v>74</v>
      </c>
      <c r="AK778" s="1" t="s">
        <v>74</v>
      </c>
      <c r="AL778" s="1" t="s">
        <v>74</v>
      </c>
      <c r="AM778" s="1" t="s">
        <v>74</v>
      </c>
      <c r="AN778" s="1" t="s">
        <v>74</v>
      </c>
      <c r="AO778" s="1" t="s">
        <v>956</v>
      </c>
      <c r="AP778" s="1" t="s">
        <v>74</v>
      </c>
      <c r="AQ778" s="1" t="s">
        <v>74</v>
      </c>
      <c r="AR778" s="1" t="s">
        <v>74</v>
      </c>
      <c r="AS778" s="1" t="s">
        <v>74</v>
      </c>
      <c r="AT778" s="1" t="s">
        <v>74</v>
      </c>
      <c r="AU778" s="1">
        <v>2006.0</v>
      </c>
      <c r="AV778" s="1">
        <v>24.0</v>
      </c>
      <c r="AW778" s="1">
        <v>11.0</v>
      </c>
      <c r="AX778" s="1" t="s">
        <v>74</v>
      </c>
      <c r="AY778" s="1" t="s">
        <v>74</v>
      </c>
      <c r="AZ778" s="1" t="s">
        <v>74</v>
      </c>
      <c r="BA778" s="1" t="s">
        <v>74</v>
      </c>
      <c r="BB778" s="1">
        <v>1469.0</v>
      </c>
      <c r="BC778" s="1">
        <v>1480.0</v>
      </c>
      <c r="BD778" s="1" t="s">
        <v>74</v>
      </c>
      <c r="BE778" s="1" t="s">
        <v>6545</v>
      </c>
      <c r="BF778" s="2" t="str">
        <f>HYPERLINK("http://dx.doi.org/10.1080/07373930600952818","http://dx.doi.org/10.1080/07373930600952818")</f>
        <v>http://dx.doi.org/10.1080/07373930600952818</v>
      </c>
      <c r="BG778" s="1" t="s">
        <v>74</v>
      </c>
      <c r="BH778" s="1" t="s">
        <v>74</v>
      </c>
      <c r="BI778" s="1" t="s">
        <v>74</v>
      </c>
      <c r="BJ778" s="1" t="s">
        <v>74</v>
      </c>
      <c r="BK778" s="1" t="s">
        <v>74</v>
      </c>
      <c r="BL778" s="1" t="s">
        <v>74</v>
      </c>
      <c r="BM778" s="1" t="s">
        <v>74</v>
      </c>
      <c r="BN778" s="1" t="s">
        <v>74</v>
      </c>
      <c r="BO778" s="1" t="s">
        <v>74</v>
      </c>
      <c r="BP778" s="1" t="s">
        <v>74</v>
      </c>
      <c r="BQ778" s="1" t="s">
        <v>74</v>
      </c>
      <c r="BR778" s="1" t="s">
        <v>74</v>
      </c>
      <c r="BS778" s="1" t="s">
        <v>6546</v>
      </c>
      <c r="BT778" s="1" t="str">
        <f>HYPERLINK("https%3A%2F%2Fwww.webofscience.com%2Fwos%2Fwoscc%2Ffull-record%2FWOS:000241724700017","View Full Record in Web of Science")</f>
        <v>View Full Record in Web of Science</v>
      </c>
    </row>
    <row r="779" ht="12.75" customHeight="1">
      <c r="A779" s="1" t="s">
        <v>72</v>
      </c>
      <c r="B779" s="1" t="s">
        <v>6547</v>
      </c>
      <c r="C779" s="1" t="s">
        <v>74</v>
      </c>
      <c r="D779" s="1" t="s">
        <v>74</v>
      </c>
      <c r="E779" s="1" t="s">
        <v>74</v>
      </c>
      <c r="F779" s="1" t="s">
        <v>6547</v>
      </c>
      <c r="G779" s="1" t="s">
        <v>74</v>
      </c>
      <c r="H779" s="1" t="s">
        <v>74</v>
      </c>
      <c r="I779" s="1" t="s">
        <v>6548</v>
      </c>
      <c r="J779" s="1" t="s">
        <v>6549</v>
      </c>
      <c r="K779" s="1" t="s">
        <v>74</v>
      </c>
      <c r="L779" s="1" t="s">
        <v>74</v>
      </c>
      <c r="M779" s="1" t="s">
        <v>74</v>
      </c>
      <c r="N779" s="1" t="s">
        <v>74</v>
      </c>
      <c r="O779" s="1" t="s">
        <v>74</v>
      </c>
      <c r="P779" s="1" t="s">
        <v>74</v>
      </c>
      <c r="Q779" s="1" t="s">
        <v>74</v>
      </c>
      <c r="R779" s="1" t="s">
        <v>74</v>
      </c>
      <c r="S779" s="1" t="s">
        <v>74</v>
      </c>
      <c r="T779" s="1" t="s">
        <v>74</v>
      </c>
      <c r="U779" s="1" t="s">
        <v>74</v>
      </c>
      <c r="V779" s="1" t="s">
        <v>6550</v>
      </c>
      <c r="W779" s="1" t="s">
        <v>74</v>
      </c>
      <c r="X779" s="1" t="s">
        <v>74</v>
      </c>
      <c r="Y779" s="1" t="s">
        <v>74</v>
      </c>
      <c r="Z779" s="1" t="s">
        <v>74</v>
      </c>
      <c r="AA779" s="1" t="s">
        <v>74</v>
      </c>
      <c r="AB779" s="1" t="s">
        <v>74</v>
      </c>
      <c r="AC779" s="1" t="s">
        <v>74</v>
      </c>
      <c r="AD779" s="1" t="s">
        <v>74</v>
      </c>
      <c r="AE779" s="1" t="s">
        <v>74</v>
      </c>
      <c r="AF779" s="1" t="s">
        <v>74</v>
      </c>
      <c r="AG779" s="1" t="s">
        <v>74</v>
      </c>
      <c r="AH779" s="1" t="s">
        <v>74</v>
      </c>
      <c r="AI779" s="1" t="s">
        <v>74</v>
      </c>
      <c r="AJ779" s="1" t="s">
        <v>74</v>
      </c>
      <c r="AK779" s="1" t="s">
        <v>74</v>
      </c>
      <c r="AL779" s="1" t="s">
        <v>74</v>
      </c>
      <c r="AM779" s="1" t="s">
        <v>74</v>
      </c>
      <c r="AN779" s="1" t="s">
        <v>74</v>
      </c>
      <c r="AO779" s="1" t="s">
        <v>6551</v>
      </c>
      <c r="AP779" s="1" t="s">
        <v>74</v>
      </c>
      <c r="AQ779" s="1" t="s">
        <v>74</v>
      </c>
      <c r="AR779" s="1" t="s">
        <v>74</v>
      </c>
      <c r="AS779" s="1" t="s">
        <v>74</v>
      </c>
      <c r="AT779" s="1" t="s">
        <v>74</v>
      </c>
      <c r="AU779" s="1">
        <v>2006.0</v>
      </c>
      <c r="AV779" s="1">
        <v>30.0</v>
      </c>
      <c r="AW779" s="1">
        <v>1.0</v>
      </c>
      <c r="AX779" s="1" t="s">
        <v>74</v>
      </c>
      <c r="AY779" s="1" t="s">
        <v>74</v>
      </c>
      <c r="AZ779" s="1" t="s">
        <v>74</v>
      </c>
      <c r="BA779" s="1" t="s">
        <v>74</v>
      </c>
      <c r="BB779" s="1">
        <v>38.0</v>
      </c>
      <c r="BC779" s="1">
        <v>43.0</v>
      </c>
      <c r="BD779" s="1" t="s">
        <v>74</v>
      </c>
      <c r="BE779" s="1" t="s">
        <v>6552</v>
      </c>
      <c r="BF779" s="2" t="str">
        <f>HYPERLINK("http://dx.doi.org/10.1016/j.cdp.2005.11.003","http://dx.doi.org/10.1016/j.cdp.2005.11.003")</f>
        <v>http://dx.doi.org/10.1016/j.cdp.2005.11.003</v>
      </c>
      <c r="BG779" s="1" t="s">
        <v>74</v>
      </c>
      <c r="BH779" s="1" t="s">
        <v>74</v>
      </c>
      <c r="BI779" s="1" t="s">
        <v>74</v>
      </c>
      <c r="BJ779" s="1" t="s">
        <v>74</v>
      </c>
      <c r="BK779" s="1" t="s">
        <v>74</v>
      </c>
      <c r="BL779" s="1" t="s">
        <v>74</v>
      </c>
      <c r="BM779" s="1" t="s">
        <v>74</v>
      </c>
      <c r="BN779" s="1">
        <v>1.650442E7</v>
      </c>
      <c r="BO779" s="1" t="s">
        <v>74</v>
      </c>
      <c r="BP779" s="1" t="s">
        <v>74</v>
      </c>
      <c r="BQ779" s="1" t="s">
        <v>74</v>
      </c>
      <c r="BR779" s="1" t="s">
        <v>74</v>
      </c>
      <c r="BS779" s="1" t="s">
        <v>6553</v>
      </c>
      <c r="BT779" s="1" t="str">
        <f>HYPERLINK("https%3A%2F%2Fwww.webofscience.com%2Fwos%2Fwoscc%2Ffull-record%2FWOS:000236494800007","View Full Record in Web of Science")</f>
        <v>View Full Record in Web of Science</v>
      </c>
    </row>
    <row r="780" ht="12.75" customHeight="1">
      <c r="A780" s="1" t="s">
        <v>91</v>
      </c>
      <c r="B780" s="1" t="s">
        <v>6554</v>
      </c>
      <c r="C780" s="1" t="s">
        <v>74</v>
      </c>
      <c r="D780" s="1" t="s">
        <v>74</v>
      </c>
      <c r="E780" s="1" t="s">
        <v>997</v>
      </c>
      <c r="F780" s="1" t="s">
        <v>6555</v>
      </c>
      <c r="G780" s="1" t="s">
        <v>74</v>
      </c>
      <c r="H780" s="1" t="s">
        <v>74</v>
      </c>
      <c r="I780" s="1" t="s">
        <v>6556</v>
      </c>
      <c r="J780" s="1" t="s">
        <v>6557</v>
      </c>
      <c r="K780" s="1" t="s">
        <v>74</v>
      </c>
      <c r="L780" s="1" t="s">
        <v>74</v>
      </c>
      <c r="M780" s="1" t="s">
        <v>74</v>
      </c>
      <c r="N780" s="1" t="s">
        <v>74</v>
      </c>
      <c r="O780" s="1" t="s">
        <v>5622</v>
      </c>
      <c r="P780" s="1" t="s">
        <v>6558</v>
      </c>
      <c r="Q780" s="1" t="s">
        <v>5623</v>
      </c>
      <c r="R780" s="1" t="s">
        <v>997</v>
      </c>
      <c r="S780" s="1" t="s">
        <v>74</v>
      </c>
      <c r="T780" s="1" t="s">
        <v>74</v>
      </c>
      <c r="U780" s="1" t="s">
        <v>74</v>
      </c>
      <c r="V780" s="1" t="s">
        <v>6559</v>
      </c>
      <c r="W780" s="1" t="s">
        <v>74</v>
      </c>
      <c r="X780" s="1" t="s">
        <v>74</v>
      </c>
      <c r="Y780" s="1" t="s">
        <v>74</v>
      </c>
      <c r="Z780" s="1" t="s">
        <v>74</v>
      </c>
      <c r="AA780" s="1" t="s">
        <v>1761</v>
      </c>
      <c r="AB780" s="1" t="s">
        <v>74</v>
      </c>
      <c r="AC780" s="1" t="s">
        <v>74</v>
      </c>
      <c r="AD780" s="1" t="s">
        <v>74</v>
      </c>
      <c r="AE780" s="1" t="s">
        <v>74</v>
      </c>
      <c r="AF780" s="1" t="s">
        <v>74</v>
      </c>
      <c r="AG780" s="1" t="s">
        <v>74</v>
      </c>
      <c r="AH780" s="1" t="s">
        <v>74</v>
      </c>
      <c r="AI780" s="1" t="s">
        <v>74</v>
      </c>
      <c r="AJ780" s="1" t="s">
        <v>74</v>
      </c>
      <c r="AK780" s="1" t="s">
        <v>74</v>
      </c>
      <c r="AL780" s="1" t="s">
        <v>74</v>
      </c>
      <c r="AM780" s="1" t="s">
        <v>74</v>
      </c>
      <c r="AN780" s="1" t="s">
        <v>74</v>
      </c>
      <c r="AO780" s="1" t="s">
        <v>74</v>
      </c>
      <c r="AP780" s="1" t="s">
        <v>74</v>
      </c>
      <c r="AQ780" s="1" t="s">
        <v>6560</v>
      </c>
      <c r="AR780" s="1" t="s">
        <v>74</v>
      </c>
      <c r="AS780" s="1" t="s">
        <v>74</v>
      </c>
      <c r="AT780" s="1" t="s">
        <v>74</v>
      </c>
      <c r="AU780" s="1">
        <v>2005.0</v>
      </c>
      <c r="AV780" s="1" t="s">
        <v>74</v>
      </c>
      <c r="AW780" s="1" t="s">
        <v>74</v>
      </c>
      <c r="AX780" s="1" t="s">
        <v>74</v>
      </c>
      <c r="AY780" s="1" t="s">
        <v>74</v>
      </c>
      <c r="AZ780" s="1" t="s">
        <v>74</v>
      </c>
      <c r="BA780" s="1" t="s">
        <v>74</v>
      </c>
      <c r="BB780" s="1">
        <v>619.0</v>
      </c>
      <c r="BC780" s="1">
        <v>627.0</v>
      </c>
      <c r="BD780" s="1" t="s">
        <v>74</v>
      </c>
      <c r="BE780" s="1" t="s">
        <v>74</v>
      </c>
      <c r="BF780" s="1" t="s">
        <v>74</v>
      </c>
      <c r="BG780" s="1" t="s">
        <v>74</v>
      </c>
      <c r="BH780" s="1" t="s">
        <v>74</v>
      </c>
      <c r="BI780" s="1" t="s">
        <v>74</v>
      </c>
      <c r="BJ780" s="1" t="s">
        <v>74</v>
      </c>
      <c r="BK780" s="1" t="s">
        <v>74</v>
      </c>
      <c r="BL780" s="1" t="s">
        <v>74</v>
      </c>
      <c r="BM780" s="1" t="s">
        <v>74</v>
      </c>
      <c r="BN780" s="1" t="s">
        <v>74</v>
      </c>
      <c r="BO780" s="1" t="s">
        <v>74</v>
      </c>
      <c r="BP780" s="1" t="s">
        <v>74</v>
      </c>
      <c r="BQ780" s="1" t="s">
        <v>74</v>
      </c>
      <c r="BR780" s="1" t="s">
        <v>74</v>
      </c>
      <c r="BS780" s="1" t="s">
        <v>6561</v>
      </c>
      <c r="BT780" s="1" t="str">
        <f>HYPERLINK("https%3A%2F%2Fwww.webofscience.com%2Fwos%2Fwoscc%2Ffull-record%2FWOS:000243380100075","View Full Record in Web of Science")</f>
        <v>View Full Record in Web of Science</v>
      </c>
    </row>
    <row r="781" ht="12.75" customHeight="1">
      <c r="A781" s="1" t="s">
        <v>162</v>
      </c>
      <c r="B781" s="1" t="s">
        <v>6562</v>
      </c>
      <c r="C781" s="1" t="s">
        <v>74</v>
      </c>
      <c r="D781" s="1" t="s">
        <v>6563</v>
      </c>
      <c r="E781" s="1" t="s">
        <v>74</v>
      </c>
      <c r="F781" s="1" t="s">
        <v>6562</v>
      </c>
      <c r="G781" s="1" t="s">
        <v>74</v>
      </c>
      <c r="H781" s="1" t="s">
        <v>74</v>
      </c>
      <c r="I781" s="1" t="s">
        <v>6564</v>
      </c>
      <c r="J781" s="1" t="s">
        <v>6565</v>
      </c>
      <c r="K781" s="1" t="s">
        <v>6566</v>
      </c>
      <c r="L781" s="1" t="s">
        <v>74</v>
      </c>
      <c r="M781" s="1" t="s">
        <v>74</v>
      </c>
      <c r="N781" s="1" t="s">
        <v>74</v>
      </c>
      <c r="O781" s="1" t="s">
        <v>6567</v>
      </c>
      <c r="P781" s="1" t="s">
        <v>6568</v>
      </c>
      <c r="Q781" s="1" t="s">
        <v>6569</v>
      </c>
      <c r="R781" s="1" t="s">
        <v>74</v>
      </c>
      <c r="S781" s="1" t="s">
        <v>74</v>
      </c>
      <c r="T781" s="1" t="s">
        <v>74</v>
      </c>
      <c r="U781" s="1" t="s">
        <v>74</v>
      </c>
      <c r="V781" s="1" t="s">
        <v>6570</v>
      </c>
      <c r="W781" s="1" t="s">
        <v>74</v>
      </c>
      <c r="X781" s="1" t="s">
        <v>74</v>
      </c>
      <c r="Y781" s="1" t="s">
        <v>74</v>
      </c>
      <c r="Z781" s="1" t="s">
        <v>74</v>
      </c>
      <c r="AA781" s="1" t="s">
        <v>74</v>
      </c>
      <c r="AB781" s="1" t="s">
        <v>74</v>
      </c>
      <c r="AC781" s="1" t="s">
        <v>74</v>
      </c>
      <c r="AD781" s="1" t="s">
        <v>74</v>
      </c>
      <c r="AE781" s="1" t="s">
        <v>74</v>
      </c>
      <c r="AF781" s="1" t="s">
        <v>74</v>
      </c>
      <c r="AG781" s="1" t="s">
        <v>74</v>
      </c>
      <c r="AH781" s="1" t="s">
        <v>74</v>
      </c>
      <c r="AI781" s="1" t="s">
        <v>74</v>
      </c>
      <c r="AJ781" s="1" t="s">
        <v>74</v>
      </c>
      <c r="AK781" s="1" t="s">
        <v>74</v>
      </c>
      <c r="AL781" s="1" t="s">
        <v>74</v>
      </c>
      <c r="AM781" s="1" t="s">
        <v>74</v>
      </c>
      <c r="AN781" s="1" t="s">
        <v>74</v>
      </c>
      <c r="AO781" s="1" t="s">
        <v>893</v>
      </c>
      <c r="AP781" s="1" t="s">
        <v>74</v>
      </c>
      <c r="AQ781" s="1" t="s">
        <v>6571</v>
      </c>
      <c r="AR781" s="1" t="s">
        <v>74</v>
      </c>
      <c r="AS781" s="1" t="s">
        <v>74</v>
      </c>
      <c r="AT781" s="1" t="s">
        <v>74</v>
      </c>
      <c r="AU781" s="1">
        <v>2005.0</v>
      </c>
      <c r="AV781" s="1">
        <v>3789.0</v>
      </c>
      <c r="AW781" s="1" t="s">
        <v>74</v>
      </c>
      <c r="AX781" s="1" t="s">
        <v>74</v>
      </c>
      <c r="AY781" s="1" t="s">
        <v>74</v>
      </c>
      <c r="AZ781" s="1" t="s">
        <v>74</v>
      </c>
      <c r="BA781" s="1" t="s">
        <v>74</v>
      </c>
      <c r="BB781" s="1">
        <v>483.0</v>
      </c>
      <c r="BC781" s="1">
        <v>493.0</v>
      </c>
      <c r="BD781" s="1" t="s">
        <v>74</v>
      </c>
      <c r="BE781" s="1" t="s">
        <v>74</v>
      </c>
      <c r="BF781" s="1" t="s">
        <v>74</v>
      </c>
      <c r="BG781" s="1" t="s">
        <v>74</v>
      </c>
      <c r="BH781" s="1" t="s">
        <v>74</v>
      </c>
      <c r="BI781" s="1" t="s">
        <v>74</v>
      </c>
      <c r="BJ781" s="1" t="s">
        <v>74</v>
      </c>
      <c r="BK781" s="1" t="s">
        <v>74</v>
      </c>
      <c r="BL781" s="1" t="s">
        <v>74</v>
      </c>
      <c r="BM781" s="1" t="s">
        <v>74</v>
      </c>
      <c r="BN781" s="1" t="s">
        <v>74</v>
      </c>
      <c r="BO781" s="1" t="s">
        <v>74</v>
      </c>
      <c r="BP781" s="1" t="s">
        <v>74</v>
      </c>
      <c r="BQ781" s="1" t="s">
        <v>74</v>
      </c>
      <c r="BR781" s="1" t="s">
        <v>74</v>
      </c>
      <c r="BS781" s="1" t="s">
        <v>6572</v>
      </c>
      <c r="BT781" s="1" t="str">
        <f>HYPERLINK("https%3A%2F%2Fwww.webofscience.com%2Fwos%2Fwoscc%2Ffull-record%2FWOS:000233852000049","View Full Record in Web of Science")</f>
        <v>View Full Record in Web of Science</v>
      </c>
    </row>
    <row r="782" ht="12.75" customHeight="1">
      <c r="A782" s="1" t="s">
        <v>72</v>
      </c>
      <c r="B782" s="1" t="s">
        <v>6573</v>
      </c>
      <c r="C782" s="1" t="s">
        <v>74</v>
      </c>
      <c r="D782" s="1" t="s">
        <v>74</v>
      </c>
      <c r="E782" s="1" t="s">
        <v>74</v>
      </c>
      <c r="F782" s="1" t="s">
        <v>6573</v>
      </c>
      <c r="G782" s="1" t="s">
        <v>74</v>
      </c>
      <c r="H782" s="1" t="s">
        <v>74</v>
      </c>
      <c r="I782" s="1" t="s">
        <v>6574</v>
      </c>
      <c r="J782" s="1" t="s">
        <v>6575</v>
      </c>
      <c r="K782" s="1" t="s">
        <v>74</v>
      </c>
      <c r="L782" s="1" t="s">
        <v>74</v>
      </c>
      <c r="M782" s="1" t="s">
        <v>74</v>
      </c>
      <c r="N782" s="1" t="s">
        <v>74</v>
      </c>
      <c r="O782" s="1" t="s">
        <v>74</v>
      </c>
      <c r="P782" s="1" t="s">
        <v>74</v>
      </c>
      <c r="Q782" s="1" t="s">
        <v>74</v>
      </c>
      <c r="R782" s="1" t="s">
        <v>74</v>
      </c>
      <c r="S782" s="1" t="s">
        <v>74</v>
      </c>
      <c r="T782" s="1" t="s">
        <v>74</v>
      </c>
      <c r="U782" s="1" t="s">
        <v>74</v>
      </c>
      <c r="V782" s="1" t="s">
        <v>6576</v>
      </c>
      <c r="W782" s="1" t="s">
        <v>74</v>
      </c>
      <c r="X782" s="1" t="s">
        <v>74</v>
      </c>
      <c r="Y782" s="1" t="s">
        <v>74</v>
      </c>
      <c r="Z782" s="1" t="s">
        <v>74</v>
      </c>
      <c r="AA782" s="1" t="s">
        <v>6577</v>
      </c>
      <c r="AB782" s="1" t="s">
        <v>6578</v>
      </c>
      <c r="AC782" s="1" t="s">
        <v>74</v>
      </c>
      <c r="AD782" s="1" t="s">
        <v>74</v>
      </c>
      <c r="AE782" s="1" t="s">
        <v>74</v>
      </c>
      <c r="AF782" s="1" t="s">
        <v>74</v>
      </c>
      <c r="AG782" s="1" t="s">
        <v>74</v>
      </c>
      <c r="AH782" s="1" t="s">
        <v>74</v>
      </c>
      <c r="AI782" s="1" t="s">
        <v>74</v>
      </c>
      <c r="AJ782" s="1" t="s">
        <v>74</v>
      </c>
      <c r="AK782" s="1" t="s">
        <v>74</v>
      </c>
      <c r="AL782" s="1" t="s">
        <v>74</v>
      </c>
      <c r="AM782" s="1" t="s">
        <v>74</v>
      </c>
      <c r="AN782" s="1" t="s">
        <v>74</v>
      </c>
      <c r="AO782" s="1" t="s">
        <v>6579</v>
      </c>
      <c r="AP782" s="1" t="s">
        <v>6580</v>
      </c>
      <c r="AQ782" s="1" t="s">
        <v>74</v>
      </c>
      <c r="AR782" s="1" t="s">
        <v>74</v>
      </c>
      <c r="AS782" s="1" t="s">
        <v>74</v>
      </c>
      <c r="AT782" s="1" t="s">
        <v>429</v>
      </c>
      <c r="AU782" s="1">
        <v>2004.0</v>
      </c>
      <c r="AV782" s="1">
        <v>36.0</v>
      </c>
      <c r="AW782" s="1">
        <v>5.0</v>
      </c>
      <c r="AX782" s="1" t="s">
        <v>74</v>
      </c>
      <c r="AY782" s="1" t="s">
        <v>74</v>
      </c>
      <c r="AZ782" s="1" t="s">
        <v>74</v>
      </c>
      <c r="BA782" s="1" t="s">
        <v>74</v>
      </c>
      <c r="BB782" s="1">
        <v>861.0</v>
      </c>
      <c r="BC782" s="1">
        <v>869.0</v>
      </c>
      <c r="BD782" s="1" t="s">
        <v>74</v>
      </c>
      <c r="BE782" s="1" t="s">
        <v>6581</v>
      </c>
      <c r="BF782" s="2" t="str">
        <f>HYPERLINK("http://dx.doi.org/10.1016/j.biocel.2003.09.008","http://dx.doi.org/10.1016/j.biocel.2003.09.008")</f>
        <v>http://dx.doi.org/10.1016/j.biocel.2003.09.008</v>
      </c>
      <c r="BG782" s="1" t="s">
        <v>74</v>
      </c>
      <c r="BH782" s="1" t="s">
        <v>74</v>
      </c>
      <c r="BI782" s="1" t="s">
        <v>74</v>
      </c>
      <c r="BJ782" s="1" t="s">
        <v>74</v>
      </c>
      <c r="BK782" s="1" t="s">
        <v>74</v>
      </c>
      <c r="BL782" s="1" t="s">
        <v>74</v>
      </c>
      <c r="BM782" s="1" t="s">
        <v>74</v>
      </c>
      <c r="BN782" s="1">
        <v>1.5006638E7</v>
      </c>
      <c r="BO782" s="1" t="s">
        <v>74</v>
      </c>
      <c r="BP782" s="1" t="s">
        <v>74</v>
      </c>
      <c r="BQ782" s="1" t="s">
        <v>74</v>
      </c>
      <c r="BR782" s="1" t="s">
        <v>74</v>
      </c>
      <c r="BS782" s="1" t="s">
        <v>6582</v>
      </c>
      <c r="BT782" s="1" t="str">
        <f>HYPERLINK("https%3A%2F%2Fwww.webofscience.com%2Fwos%2Fwoscc%2Ffull-record%2FWOS:000220453900014","View Full Record in Web of Science")</f>
        <v>View Full Record in Web of Science</v>
      </c>
    </row>
    <row r="783" ht="12.75" customHeight="1">
      <c r="A783" s="1" t="s">
        <v>72</v>
      </c>
      <c r="B783" s="1" t="s">
        <v>6583</v>
      </c>
      <c r="C783" s="1" t="s">
        <v>74</v>
      </c>
      <c r="D783" s="1" t="s">
        <v>74</v>
      </c>
      <c r="E783" s="1" t="s">
        <v>74</v>
      </c>
      <c r="F783" s="1" t="s">
        <v>6583</v>
      </c>
      <c r="G783" s="1" t="s">
        <v>74</v>
      </c>
      <c r="H783" s="1" t="s">
        <v>74</v>
      </c>
      <c r="I783" s="1" t="s">
        <v>6584</v>
      </c>
      <c r="J783" s="1" t="s">
        <v>6585</v>
      </c>
      <c r="K783" s="1" t="s">
        <v>74</v>
      </c>
      <c r="L783" s="1" t="s">
        <v>74</v>
      </c>
      <c r="M783" s="1" t="s">
        <v>74</v>
      </c>
      <c r="N783" s="1" t="s">
        <v>74</v>
      </c>
      <c r="O783" s="1" t="s">
        <v>74</v>
      </c>
      <c r="P783" s="1" t="s">
        <v>74</v>
      </c>
      <c r="Q783" s="1" t="s">
        <v>74</v>
      </c>
      <c r="R783" s="1" t="s">
        <v>74</v>
      </c>
      <c r="S783" s="1" t="s">
        <v>74</v>
      </c>
      <c r="T783" s="1" t="s">
        <v>74</v>
      </c>
      <c r="U783" s="1" t="s">
        <v>74</v>
      </c>
      <c r="V783" s="1" t="s">
        <v>6586</v>
      </c>
      <c r="W783" s="1" t="s">
        <v>74</v>
      </c>
      <c r="X783" s="1" t="s">
        <v>74</v>
      </c>
      <c r="Y783" s="1" t="s">
        <v>74</v>
      </c>
      <c r="Z783" s="1" t="s">
        <v>74</v>
      </c>
      <c r="AA783" s="1" t="s">
        <v>74</v>
      </c>
      <c r="AB783" s="1" t="s">
        <v>74</v>
      </c>
      <c r="AC783" s="1" t="s">
        <v>74</v>
      </c>
      <c r="AD783" s="1" t="s">
        <v>74</v>
      </c>
      <c r="AE783" s="1" t="s">
        <v>74</v>
      </c>
      <c r="AF783" s="1" t="s">
        <v>74</v>
      </c>
      <c r="AG783" s="1" t="s">
        <v>74</v>
      </c>
      <c r="AH783" s="1" t="s">
        <v>74</v>
      </c>
      <c r="AI783" s="1" t="s">
        <v>74</v>
      </c>
      <c r="AJ783" s="1" t="s">
        <v>74</v>
      </c>
      <c r="AK783" s="1" t="s">
        <v>74</v>
      </c>
      <c r="AL783" s="1" t="s">
        <v>74</v>
      </c>
      <c r="AM783" s="1" t="s">
        <v>74</v>
      </c>
      <c r="AN783" s="1" t="s">
        <v>74</v>
      </c>
      <c r="AO783" s="1" t="s">
        <v>6587</v>
      </c>
      <c r="AP783" s="1" t="s">
        <v>6588</v>
      </c>
      <c r="AQ783" s="1" t="s">
        <v>74</v>
      </c>
      <c r="AR783" s="1" t="s">
        <v>74</v>
      </c>
      <c r="AS783" s="1" t="s">
        <v>74</v>
      </c>
      <c r="AT783" s="1" t="s">
        <v>148</v>
      </c>
      <c r="AU783" s="1">
        <v>2004.0</v>
      </c>
      <c r="AV783" s="1">
        <v>35.0</v>
      </c>
      <c r="AW783" s="1" t="s">
        <v>6538</v>
      </c>
      <c r="AX783" s="1" t="s">
        <v>74</v>
      </c>
      <c r="AY783" s="1" t="s">
        <v>74</v>
      </c>
      <c r="AZ783" s="1" t="s">
        <v>74</v>
      </c>
      <c r="BA783" s="1" t="s">
        <v>74</v>
      </c>
      <c r="BB783" s="1">
        <v>781.0</v>
      </c>
      <c r="BC783" s="1">
        <v>797.0</v>
      </c>
      <c r="BD783" s="1" t="s">
        <v>74</v>
      </c>
      <c r="BE783" s="1" t="s">
        <v>6589</v>
      </c>
      <c r="BF783" s="2" t="str">
        <f>HYPERLINK("http://dx.doi.org/10.1081/CSS-120030358","http://dx.doi.org/10.1081/CSS-120030358")</f>
        <v>http://dx.doi.org/10.1081/CSS-120030358</v>
      </c>
      <c r="BG783" s="1" t="s">
        <v>74</v>
      </c>
      <c r="BH783" s="1" t="s">
        <v>74</v>
      </c>
      <c r="BI783" s="1" t="s">
        <v>74</v>
      </c>
      <c r="BJ783" s="1" t="s">
        <v>74</v>
      </c>
      <c r="BK783" s="1" t="s">
        <v>74</v>
      </c>
      <c r="BL783" s="1" t="s">
        <v>74</v>
      </c>
      <c r="BM783" s="1" t="s">
        <v>74</v>
      </c>
      <c r="BN783" s="1" t="s">
        <v>74</v>
      </c>
      <c r="BO783" s="1" t="s">
        <v>74</v>
      </c>
      <c r="BP783" s="1" t="s">
        <v>74</v>
      </c>
      <c r="BQ783" s="1" t="s">
        <v>74</v>
      </c>
      <c r="BR783" s="1" t="s">
        <v>74</v>
      </c>
      <c r="BS783" s="1" t="s">
        <v>6590</v>
      </c>
      <c r="BT783" s="1" t="str">
        <f>HYPERLINK("https%3A%2F%2Fwww.webofscience.com%2Fwos%2Fwoscc%2Ffull-record%2FWOS:000220722100013","View Full Record in Web of Science")</f>
        <v>View Full Record in Web of Science</v>
      </c>
    </row>
    <row r="784" ht="12.75" customHeight="1">
      <c r="A784" s="1" t="s">
        <v>72</v>
      </c>
      <c r="B784" s="1" t="s">
        <v>6591</v>
      </c>
      <c r="C784" s="1" t="s">
        <v>74</v>
      </c>
      <c r="D784" s="1" t="s">
        <v>74</v>
      </c>
      <c r="E784" s="1" t="s">
        <v>74</v>
      </c>
      <c r="F784" s="1" t="s">
        <v>6591</v>
      </c>
      <c r="G784" s="1" t="s">
        <v>74</v>
      </c>
      <c r="H784" s="1" t="s">
        <v>74</v>
      </c>
      <c r="I784" s="1" t="s">
        <v>6592</v>
      </c>
      <c r="J784" s="1" t="s">
        <v>6593</v>
      </c>
      <c r="K784" s="1" t="s">
        <v>74</v>
      </c>
      <c r="L784" s="1" t="s">
        <v>74</v>
      </c>
      <c r="M784" s="1" t="s">
        <v>74</v>
      </c>
      <c r="N784" s="1" t="s">
        <v>74</v>
      </c>
      <c r="O784" s="1" t="s">
        <v>74</v>
      </c>
      <c r="P784" s="1" t="s">
        <v>74</v>
      </c>
      <c r="Q784" s="1" t="s">
        <v>74</v>
      </c>
      <c r="R784" s="1" t="s">
        <v>74</v>
      </c>
      <c r="S784" s="1" t="s">
        <v>74</v>
      </c>
      <c r="T784" s="1" t="s">
        <v>74</v>
      </c>
      <c r="U784" s="1" t="s">
        <v>74</v>
      </c>
      <c r="V784" s="1" t="s">
        <v>6594</v>
      </c>
      <c r="W784" s="1" t="s">
        <v>74</v>
      </c>
      <c r="X784" s="1" t="s">
        <v>74</v>
      </c>
      <c r="Y784" s="1" t="s">
        <v>74</v>
      </c>
      <c r="Z784" s="1" t="s">
        <v>74</v>
      </c>
      <c r="AA784" s="1" t="s">
        <v>74</v>
      </c>
      <c r="AB784" s="1" t="s">
        <v>74</v>
      </c>
      <c r="AC784" s="1" t="s">
        <v>74</v>
      </c>
      <c r="AD784" s="1" t="s">
        <v>74</v>
      </c>
      <c r="AE784" s="1" t="s">
        <v>74</v>
      </c>
      <c r="AF784" s="1" t="s">
        <v>74</v>
      </c>
      <c r="AG784" s="1" t="s">
        <v>74</v>
      </c>
      <c r="AH784" s="1" t="s">
        <v>74</v>
      </c>
      <c r="AI784" s="1" t="s">
        <v>74</v>
      </c>
      <c r="AJ784" s="1" t="s">
        <v>74</v>
      </c>
      <c r="AK784" s="1" t="s">
        <v>74</v>
      </c>
      <c r="AL784" s="1" t="s">
        <v>74</v>
      </c>
      <c r="AM784" s="1" t="s">
        <v>74</v>
      </c>
      <c r="AN784" s="1" t="s">
        <v>74</v>
      </c>
      <c r="AO784" s="1" t="s">
        <v>6595</v>
      </c>
      <c r="AP784" s="1" t="s">
        <v>6596</v>
      </c>
      <c r="AQ784" s="1" t="s">
        <v>74</v>
      </c>
      <c r="AR784" s="1" t="s">
        <v>74</v>
      </c>
      <c r="AS784" s="1" t="s">
        <v>74</v>
      </c>
      <c r="AT784" s="1" t="s">
        <v>288</v>
      </c>
      <c r="AU784" s="1">
        <v>2004.0</v>
      </c>
      <c r="AV784" s="1">
        <v>19.0</v>
      </c>
      <c r="AW784" s="1">
        <v>1.0</v>
      </c>
      <c r="AX784" s="1" t="s">
        <v>74</v>
      </c>
      <c r="AY784" s="1" t="s">
        <v>74</v>
      </c>
      <c r="AZ784" s="1" t="s">
        <v>74</v>
      </c>
      <c r="BA784" s="1" t="s">
        <v>74</v>
      </c>
      <c r="BB784" s="1">
        <v>538.0</v>
      </c>
      <c r="BC784" s="1">
        <v>542.0</v>
      </c>
      <c r="BD784" s="1" t="s">
        <v>74</v>
      </c>
      <c r="BE784" s="1" t="s">
        <v>6597</v>
      </c>
      <c r="BF784" s="2" t="str">
        <f>HYPERLINK("http://dx.doi.org/10.1109/TPWRS.2003.820697","http://dx.doi.org/10.1109/TPWRS.2003.820697")</f>
        <v>http://dx.doi.org/10.1109/TPWRS.2003.820697</v>
      </c>
      <c r="BG784" s="1" t="s">
        <v>74</v>
      </c>
      <c r="BH784" s="1" t="s">
        <v>74</v>
      </c>
      <c r="BI784" s="1" t="s">
        <v>74</v>
      </c>
      <c r="BJ784" s="1" t="s">
        <v>74</v>
      </c>
      <c r="BK784" s="1" t="s">
        <v>74</v>
      </c>
      <c r="BL784" s="1" t="s">
        <v>74</v>
      </c>
      <c r="BM784" s="1" t="s">
        <v>74</v>
      </c>
      <c r="BN784" s="1" t="s">
        <v>74</v>
      </c>
      <c r="BO784" s="1" t="s">
        <v>74</v>
      </c>
      <c r="BP784" s="1" t="s">
        <v>74</v>
      </c>
      <c r="BQ784" s="1" t="s">
        <v>74</v>
      </c>
      <c r="BR784" s="1" t="s">
        <v>74</v>
      </c>
      <c r="BS784" s="1" t="s">
        <v>6598</v>
      </c>
      <c r="BT784" s="1" t="str">
        <f>HYPERLINK("https%3A%2F%2Fwww.webofscience.com%2Fwos%2Fwoscc%2Ffull-record%2FWOS:000188951000068","View Full Record in Web of Science")</f>
        <v>View Full Record in Web of Science</v>
      </c>
    </row>
    <row r="785" ht="12.75" customHeight="1">
      <c r="A785" s="1" t="s">
        <v>72</v>
      </c>
      <c r="B785" s="1" t="s">
        <v>6599</v>
      </c>
      <c r="C785" s="1" t="s">
        <v>74</v>
      </c>
      <c r="D785" s="1" t="s">
        <v>74</v>
      </c>
      <c r="E785" s="1" t="s">
        <v>74</v>
      </c>
      <c r="F785" s="1" t="s">
        <v>6599</v>
      </c>
      <c r="G785" s="1" t="s">
        <v>74</v>
      </c>
      <c r="H785" s="1" t="s">
        <v>74</v>
      </c>
      <c r="I785" s="1" t="s">
        <v>6600</v>
      </c>
      <c r="J785" s="1" t="s">
        <v>6601</v>
      </c>
      <c r="K785" s="1" t="s">
        <v>74</v>
      </c>
      <c r="L785" s="1" t="s">
        <v>74</v>
      </c>
      <c r="M785" s="1" t="s">
        <v>74</v>
      </c>
      <c r="N785" s="1" t="s">
        <v>74</v>
      </c>
      <c r="O785" s="1" t="s">
        <v>74</v>
      </c>
      <c r="P785" s="1" t="s">
        <v>74</v>
      </c>
      <c r="Q785" s="1" t="s">
        <v>74</v>
      </c>
      <c r="R785" s="1" t="s">
        <v>74</v>
      </c>
      <c r="S785" s="1" t="s">
        <v>74</v>
      </c>
      <c r="T785" s="1" t="s">
        <v>74</v>
      </c>
      <c r="U785" s="1" t="s">
        <v>74</v>
      </c>
      <c r="V785" s="1" t="s">
        <v>74</v>
      </c>
      <c r="W785" s="1" t="s">
        <v>74</v>
      </c>
      <c r="X785" s="1" t="s">
        <v>74</v>
      </c>
      <c r="Y785" s="1" t="s">
        <v>74</v>
      </c>
      <c r="Z785" s="1" t="s">
        <v>74</v>
      </c>
      <c r="AA785" s="1" t="s">
        <v>6602</v>
      </c>
      <c r="AB785" s="1" t="s">
        <v>6603</v>
      </c>
      <c r="AC785" s="1" t="s">
        <v>74</v>
      </c>
      <c r="AD785" s="1" t="s">
        <v>74</v>
      </c>
      <c r="AE785" s="1" t="s">
        <v>74</v>
      </c>
      <c r="AF785" s="1" t="s">
        <v>74</v>
      </c>
      <c r="AG785" s="1" t="s">
        <v>74</v>
      </c>
      <c r="AH785" s="1" t="s">
        <v>74</v>
      </c>
      <c r="AI785" s="1" t="s">
        <v>74</v>
      </c>
      <c r="AJ785" s="1" t="s">
        <v>74</v>
      </c>
      <c r="AK785" s="1" t="s">
        <v>74</v>
      </c>
      <c r="AL785" s="1" t="s">
        <v>74</v>
      </c>
      <c r="AM785" s="1" t="s">
        <v>74</v>
      </c>
      <c r="AN785" s="1" t="s">
        <v>74</v>
      </c>
      <c r="AO785" s="1" t="s">
        <v>6604</v>
      </c>
      <c r="AP785" s="1" t="s">
        <v>74</v>
      </c>
      <c r="AQ785" s="1" t="s">
        <v>74</v>
      </c>
      <c r="AR785" s="1" t="s">
        <v>74</v>
      </c>
      <c r="AS785" s="1" t="s">
        <v>74</v>
      </c>
      <c r="AT785" s="1" t="s">
        <v>2637</v>
      </c>
      <c r="AU785" s="1">
        <v>2003.0</v>
      </c>
      <c r="AV785" s="1">
        <v>22.0</v>
      </c>
      <c r="AW785" s="1">
        <v>10.0</v>
      </c>
      <c r="AX785" s="1" t="s">
        <v>74</v>
      </c>
      <c r="AY785" s="1" t="s">
        <v>74</v>
      </c>
      <c r="AZ785" s="1" t="s">
        <v>74</v>
      </c>
      <c r="BA785" s="1" t="s">
        <v>74</v>
      </c>
      <c r="BB785" s="1">
        <v>717.0</v>
      </c>
      <c r="BC785" s="1">
        <v>720.0</v>
      </c>
      <c r="BD785" s="1" t="s">
        <v>74</v>
      </c>
      <c r="BE785" s="1" t="s">
        <v>6605</v>
      </c>
      <c r="BF785" s="2" t="str">
        <f>HYPERLINK("http://dx.doi.org/10.1023/A:1023719018545","http://dx.doi.org/10.1023/A:1023719018545")</f>
        <v>http://dx.doi.org/10.1023/A:1023719018545</v>
      </c>
      <c r="BG785" s="1" t="s">
        <v>74</v>
      </c>
      <c r="BH785" s="1" t="s">
        <v>74</v>
      </c>
      <c r="BI785" s="1" t="s">
        <v>74</v>
      </c>
      <c r="BJ785" s="1" t="s">
        <v>74</v>
      </c>
      <c r="BK785" s="1" t="s">
        <v>74</v>
      </c>
      <c r="BL785" s="1" t="s">
        <v>74</v>
      </c>
      <c r="BM785" s="1" t="s">
        <v>74</v>
      </c>
      <c r="BN785" s="1" t="s">
        <v>74</v>
      </c>
      <c r="BO785" s="1" t="s">
        <v>74</v>
      </c>
      <c r="BP785" s="1" t="s">
        <v>74</v>
      </c>
      <c r="BQ785" s="1" t="s">
        <v>74</v>
      </c>
      <c r="BR785" s="1" t="s">
        <v>74</v>
      </c>
      <c r="BS785" s="1" t="s">
        <v>6606</v>
      </c>
      <c r="BT785" s="1" t="str">
        <f>HYPERLINK("https%3A%2F%2Fwww.webofscience.com%2Fwos%2Fwoscc%2Ffull-record%2FWOS:000182923400002","View Full Record in Web of Science")</f>
        <v>View Full Record in Web of Science</v>
      </c>
    </row>
    <row r="786" ht="12.75" customHeight="1">
      <c r="A786" s="1" t="s">
        <v>72</v>
      </c>
      <c r="B786" s="1" t="s">
        <v>397</v>
      </c>
      <c r="C786" s="1" t="s">
        <v>74</v>
      </c>
      <c r="D786" s="1" t="s">
        <v>74</v>
      </c>
      <c r="E786" s="1" t="s">
        <v>74</v>
      </c>
      <c r="F786" s="1" t="s">
        <v>397</v>
      </c>
      <c r="G786" s="1" t="s">
        <v>74</v>
      </c>
      <c r="H786" s="1" t="s">
        <v>74</v>
      </c>
      <c r="I786" s="1" t="s">
        <v>6607</v>
      </c>
      <c r="J786" s="1" t="s">
        <v>6608</v>
      </c>
      <c r="K786" s="1" t="s">
        <v>74</v>
      </c>
      <c r="L786" s="1" t="s">
        <v>74</v>
      </c>
      <c r="M786" s="1" t="s">
        <v>74</v>
      </c>
      <c r="N786" s="1" t="s">
        <v>74</v>
      </c>
      <c r="O786" s="1" t="s">
        <v>74</v>
      </c>
      <c r="P786" s="1" t="s">
        <v>74</v>
      </c>
      <c r="Q786" s="1" t="s">
        <v>74</v>
      </c>
      <c r="R786" s="1" t="s">
        <v>74</v>
      </c>
      <c r="S786" s="1" t="s">
        <v>74</v>
      </c>
      <c r="T786" s="1" t="s">
        <v>74</v>
      </c>
      <c r="U786" s="1" t="s">
        <v>74</v>
      </c>
      <c r="V786" s="1" t="s">
        <v>6609</v>
      </c>
      <c r="W786" s="1" t="s">
        <v>74</v>
      </c>
      <c r="X786" s="1" t="s">
        <v>74</v>
      </c>
      <c r="Y786" s="1" t="s">
        <v>74</v>
      </c>
      <c r="Z786" s="1" t="s">
        <v>74</v>
      </c>
      <c r="AA786" s="1" t="s">
        <v>74</v>
      </c>
      <c r="AB786" s="1" t="s">
        <v>74</v>
      </c>
      <c r="AC786" s="1" t="s">
        <v>74</v>
      </c>
      <c r="AD786" s="1" t="s">
        <v>74</v>
      </c>
      <c r="AE786" s="1" t="s">
        <v>74</v>
      </c>
      <c r="AF786" s="1" t="s">
        <v>74</v>
      </c>
      <c r="AG786" s="1" t="s">
        <v>74</v>
      </c>
      <c r="AH786" s="1" t="s">
        <v>74</v>
      </c>
      <c r="AI786" s="1" t="s">
        <v>74</v>
      </c>
      <c r="AJ786" s="1" t="s">
        <v>74</v>
      </c>
      <c r="AK786" s="1" t="s">
        <v>74</v>
      </c>
      <c r="AL786" s="1" t="s">
        <v>74</v>
      </c>
      <c r="AM786" s="1" t="s">
        <v>74</v>
      </c>
      <c r="AN786" s="1" t="s">
        <v>74</v>
      </c>
      <c r="AO786" s="1" t="s">
        <v>6610</v>
      </c>
      <c r="AP786" s="1" t="s">
        <v>74</v>
      </c>
      <c r="AQ786" s="1" t="s">
        <v>74</v>
      </c>
      <c r="AR786" s="1" t="s">
        <v>74</v>
      </c>
      <c r="AS786" s="1" t="s">
        <v>74</v>
      </c>
      <c r="AT786" s="1" t="s">
        <v>4551</v>
      </c>
      <c r="AU786" s="1">
        <v>2002.0</v>
      </c>
      <c r="AV786" s="1">
        <v>538.0</v>
      </c>
      <c r="AW786" s="1" t="s">
        <v>140</v>
      </c>
      <c r="AX786" s="1" t="s">
        <v>74</v>
      </c>
      <c r="AY786" s="1" t="s">
        <v>74</v>
      </c>
      <c r="AZ786" s="1" t="s">
        <v>74</v>
      </c>
      <c r="BA786" s="1" t="s">
        <v>74</v>
      </c>
      <c r="BB786" s="1">
        <v>66.0</v>
      </c>
      <c r="BC786" s="1">
        <v>70.0</v>
      </c>
      <c r="BD786" s="1" t="s">
        <v>6611</v>
      </c>
      <c r="BE786" s="1" t="s">
        <v>6612</v>
      </c>
      <c r="BF786" s="2" t="str">
        <f>HYPERLINK("http://dx.doi.org/10.1016/S0370-2693(02)01989-5","http://dx.doi.org/10.1016/S0370-2693(02)01989-5")</f>
        <v>http://dx.doi.org/10.1016/S0370-2693(02)01989-5</v>
      </c>
      <c r="BG786" s="1" t="s">
        <v>74</v>
      </c>
      <c r="BH786" s="1" t="s">
        <v>74</v>
      </c>
      <c r="BI786" s="1" t="s">
        <v>74</v>
      </c>
      <c r="BJ786" s="1" t="s">
        <v>74</v>
      </c>
      <c r="BK786" s="1" t="s">
        <v>74</v>
      </c>
      <c r="BL786" s="1" t="s">
        <v>74</v>
      </c>
      <c r="BM786" s="1" t="s">
        <v>74</v>
      </c>
      <c r="BN786" s="1" t="s">
        <v>74</v>
      </c>
      <c r="BO786" s="1" t="s">
        <v>74</v>
      </c>
      <c r="BP786" s="1" t="s">
        <v>74</v>
      </c>
      <c r="BQ786" s="1" t="s">
        <v>74</v>
      </c>
      <c r="BR786" s="1" t="s">
        <v>74</v>
      </c>
      <c r="BS786" s="1" t="s">
        <v>6613</v>
      </c>
      <c r="BT786" s="1" t="str">
        <f>HYPERLINK("https%3A%2F%2Fwww.webofscience.com%2Fwos%2Fwoscc%2Ffull-record%2FWOS:000176725100011","View Full Record in Web of Science")</f>
        <v>View Full Record in Web of Science</v>
      </c>
    </row>
    <row r="787" ht="12.75" customHeight="1">
      <c r="A787" s="1" t="s">
        <v>72</v>
      </c>
      <c r="B787" s="1" t="s">
        <v>2560</v>
      </c>
      <c r="C787" s="1" t="s">
        <v>74</v>
      </c>
      <c r="D787" s="1" t="s">
        <v>74</v>
      </c>
      <c r="E787" s="1" t="s">
        <v>74</v>
      </c>
      <c r="F787" s="1" t="s">
        <v>6614</v>
      </c>
      <c r="G787" s="1" t="s">
        <v>74</v>
      </c>
      <c r="H787" s="1" t="s">
        <v>74</v>
      </c>
      <c r="I787" s="1" t="s">
        <v>6615</v>
      </c>
      <c r="J787" s="1" t="s">
        <v>2563</v>
      </c>
      <c r="K787" s="1" t="s">
        <v>74</v>
      </c>
      <c r="L787" s="1" t="s">
        <v>74</v>
      </c>
      <c r="M787" s="1" t="s">
        <v>74</v>
      </c>
      <c r="N787" s="1" t="s">
        <v>74</v>
      </c>
      <c r="O787" s="1" t="s">
        <v>74</v>
      </c>
      <c r="P787" s="1" t="s">
        <v>74</v>
      </c>
      <c r="Q787" s="1" t="s">
        <v>74</v>
      </c>
      <c r="R787" s="1" t="s">
        <v>74</v>
      </c>
      <c r="S787" s="1" t="s">
        <v>74</v>
      </c>
      <c r="T787" s="1" t="s">
        <v>74</v>
      </c>
      <c r="U787" s="1" t="s">
        <v>74</v>
      </c>
      <c r="V787" s="1" t="s">
        <v>74</v>
      </c>
      <c r="W787" s="1" t="s">
        <v>74</v>
      </c>
      <c r="X787" s="1" t="s">
        <v>74</v>
      </c>
      <c r="Y787" s="1" t="s">
        <v>74</v>
      </c>
      <c r="Z787" s="1" t="s">
        <v>74</v>
      </c>
      <c r="AA787" s="1" t="s">
        <v>74</v>
      </c>
      <c r="AB787" s="1" t="s">
        <v>74</v>
      </c>
      <c r="AC787" s="1" t="s">
        <v>74</v>
      </c>
      <c r="AD787" s="1" t="s">
        <v>74</v>
      </c>
      <c r="AE787" s="1" t="s">
        <v>74</v>
      </c>
      <c r="AF787" s="1" t="s">
        <v>74</v>
      </c>
      <c r="AG787" s="1" t="s">
        <v>74</v>
      </c>
      <c r="AH787" s="1" t="s">
        <v>74</v>
      </c>
      <c r="AI787" s="1" t="s">
        <v>74</v>
      </c>
      <c r="AJ787" s="1" t="s">
        <v>74</v>
      </c>
      <c r="AK787" s="1" t="s">
        <v>74</v>
      </c>
      <c r="AL787" s="1" t="s">
        <v>74</v>
      </c>
      <c r="AM787" s="1" t="s">
        <v>74</v>
      </c>
      <c r="AN787" s="1" t="s">
        <v>74</v>
      </c>
      <c r="AO787" s="1" t="s">
        <v>2564</v>
      </c>
      <c r="AP787" s="1" t="s">
        <v>74</v>
      </c>
      <c r="AQ787" s="1" t="s">
        <v>74</v>
      </c>
      <c r="AR787" s="1" t="s">
        <v>74</v>
      </c>
      <c r="AS787" s="1" t="s">
        <v>74</v>
      </c>
      <c r="AT787" s="1" t="s">
        <v>74</v>
      </c>
      <c r="AU787" s="1">
        <v>2002.0</v>
      </c>
      <c r="AV787" s="1">
        <v>58.0</v>
      </c>
      <c r="AW787" s="1" t="s">
        <v>74</v>
      </c>
      <c r="AX787" s="1" t="s">
        <v>74</v>
      </c>
      <c r="AY787" s="1" t="s">
        <v>162</v>
      </c>
      <c r="AZ787" s="1" t="s">
        <v>74</v>
      </c>
      <c r="BA787" s="1" t="s">
        <v>74</v>
      </c>
      <c r="BB787" s="1" t="s">
        <v>6616</v>
      </c>
      <c r="BC787" s="1" t="s">
        <v>6616</v>
      </c>
      <c r="BD787" s="1" t="s">
        <v>74</v>
      </c>
      <c r="BE787" s="1" t="s">
        <v>6617</v>
      </c>
      <c r="BF787" s="2" t="str">
        <f>HYPERLINK("http://dx.doi.org/10.1107/S010876730209935X","http://dx.doi.org/10.1107/S010876730209935X")</f>
        <v>http://dx.doi.org/10.1107/S010876730209935X</v>
      </c>
      <c r="BG787" s="1" t="s">
        <v>74</v>
      </c>
      <c r="BH787" s="1" t="s">
        <v>74</v>
      </c>
      <c r="BI787" s="1" t="s">
        <v>74</v>
      </c>
      <c r="BJ787" s="1" t="s">
        <v>74</v>
      </c>
      <c r="BK787" s="1" t="s">
        <v>74</v>
      </c>
      <c r="BL787" s="1" t="s">
        <v>74</v>
      </c>
      <c r="BM787" s="1" t="s">
        <v>74</v>
      </c>
      <c r="BN787" s="1" t="s">
        <v>74</v>
      </c>
      <c r="BO787" s="1" t="s">
        <v>74</v>
      </c>
      <c r="BP787" s="1" t="s">
        <v>74</v>
      </c>
      <c r="BQ787" s="1" t="s">
        <v>74</v>
      </c>
      <c r="BR787" s="1" t="s">
        <v>74</v>
      </c>
      <c r="BS787" s="1" t="s">
        <v>6618</v>
      </c>
      <c r="BT787" s="1" t="str">
        <f>HYPERLINK("https%3A%2F%2Fwww.webofscience.com%2Fwos%2Fwoscc%2Ffull-record%2FWOS:000475976701633","View Full Record in Web of Science")</f>
        <v>View Full Record in Web of Science</v>
      </c>
    </row>
    <row r="788" ht="12.75" customHeight="1">
      <c r="A788" s="1" t="s">
        <v>91</v>
      </c>
      <c r="B788" s="1" t="s">
        <v>6619</v>
      </c>
      <c r="C788" s="1" t="s">
        <v>74</v>
      </c>
      <c r="D788" s="1" t="s">
        <v>6620</v>
      </c>
      <c r="E788" s="1" t="s">
        <v>74</v>
      </c>
      <c r="F788" s="1" t="s">
        <v>6619</v>
      </c>
      <c r="G788" s="1" t="s">
        <v>74</v>
      </c>
      <c r="H788" s="1" t="s">
        <v>74</v>
      </c>
      <c r="I788" s="1" t="s">
        <v>6621</v>
      </c>
      <c r="J788" s="1" t="s">
        <v>6622</v>
      </c>
      <c r="K788" s="1" t="s">
        <v>6623</v>
      </c>
      <c r="L788" s="1" t="s">
        <v>74</v>
      </c>
      <c r="M788" s="1" t="s">
        <v>74</v>
      </c>
      <c r="N788" s="1" t="s">
        <v>74</v>
      </c>
      <c r="O788" s="1" t="s">
        <v>6624</v>
      </c>
      <c r="P788" s="1" t="s">
        <v>6625</v>
      </c>
      <c r="Q788" s="1" t="s">
        <v>4269</v>
      </c>
      <c r="R788" s="1" t="s">
        <v>6626</v>
      </c>
      <c r="S788" s="1" t="s">
        <v>74</v>
      </c>
      <c r="T788" s="1" t="s">
        <v>74</v>
      </c>
      <c r="U788" s="1" t="s">
        <v>74</v>
      </c>
      <c r="V788" s="1" t="s">
        <v>6627</v>
      </c>
      <c r="W788" s="1" t="s">
        <v>74</v>
      </c>
      <c r="X788" s="1" t="s">
        <v>74</v>
      </c>
      <c r="Y788" s="1" t="s">
        <v>74</v>
      </c>
      <c r="Z788" s="1" t="s">
        <v>74</v>
      </c>
      <c r="AA788" s="1" t="s">
        <v>74</v>
      </c>
      <c r="AB788" s="1" t="s">
        <v>74</v>
      </c>
      <c r="AC788" s="1" t="s">
        <v>74</v>
      </c>
      <c r="AD788" s="1" t="s">
        <v>74</v>
      </c>
      <c r="AE788" s="1" t="s">
        <v>74</v>
      </c>
      <c r="AF788" s="1" t="s">
        <v>74</v>
      </c>
      <c r="AG788" s="1" t="s">
        <v>74</v>
      </c>
      <c r="AH788" s="1" t="s">
        <v>74</v>
      </c>
      <c r="AI788" s="1" t="s">
        <v>74</v>
      </c>
      <c r="AJ788" s="1" t="s">
        <v>74</v>
      </c>
      <c r="AK788" s="1" t="s">
        <v>74</v>
      </c>
      <c r="AL788" s="1" t="s">
        <v>74</v>
      </c>
      <c r="AM788" s="1" t="s">
        <v>74</v>
      </c>
      <c r="AN788" s="1" t="s">
        <v>74</v>
      </c>
      <c r="AO788" s="1" t="s">
        <v>6628</v>
      </c>
      <c r="AP788" s="1" t="s">
        <v>74</v>
      </c>
      <c r="AQ788" s="1" t="s">
        <v>6629</v>
      </c>
      <c r="AR788" s="1" t="s">
        <v>74</v>
      </c>
      <c r="AS788" s="1" t="s">
        <v>74</v>
      </c>
      <c r="AT788" s="1" t="s">
        <v>74</v>
      </c>
      <c r="AU788" s="1">
        <v>1999.0</v>
      </c>
      <c r="AV788" s="1" t="s">
        <v>74</v>
      </c>
      <c r="AW788" s="1" t="s">
        <v>74</v>
      </c>
      <c r="AX788" s="1" t="s">
        <v>74</v>
      </c>
      <c r="AY788" s="1" t="s">
        <v>74</v>
      </c>
      <c r="AZ788" s="1" t="s">
        <v>74</v>
      </c>
      <c r="BA788" s="1" t="s">
        <v>74</v>
      </c>
      <c r="BB788" s="1">
        <v>645.0</v>
      </c>
      <c r="BC788" s="1">
        <v>647.0</v>
      </c>
      <c r="BD788" s="1" t="s">
        <v>74</v>
      </c>
      <c r="BE788" s="1" t="s">
        <v>74</v>
      </c>
      <c r="BF788" s="1" t="s">
        <v>74</v>
      </c>
      <c r="BG788" s="1" t="s">
        <v>74</v>
      </c>
      <c r="BH788" s="1" t="s">
        <v>74</v>
      </c>
      <c r="BI788" s="1" t="s">
        <v>74</v>
      </c>
      <c r="BJ788" s="1" t="s">
        <v>74</v>
      </c>
      <c r="BK788" s="1" t="s">
        <v>74</v>
      </c>
      <c r="BL788" s="1" t="s">
        <v>74</v>
      </c>
      <c r="BM788" s="1" t="s">
        <v>74</v>
      </c>
      <c r="BN788" s="1" t="s">
        <v>74</v>
      </c>
      <c r="BO788" s="1" t="s">
        <v>74</v>
      </c>
      <c r="BP788" s="1" t="s">
        <v>74</v>
      </c>
      <c r="BQ788" s="1" t="s">
        <v>74</v>
      </c>
      <c r="BR788" s="1" t="s">
        <v>74</v>
      </c>
      <c r="BS788" s="1" t="s">
        <v>6630</v>
      </c>
      <c r="BT788" s="1" t="str">
        <f>HYPERLINK("https%3A%2F%2Fwww.webofscience.com%2Fwos%2Fwoscc%2Ffull-record%2FWOS:000080238500052","View Full Record in Web of Science")</f>
        <v>View Full Record in Web of Science</v>
      </c>
    </row>
    <row r="789" ht="12.75" customHeight="1">
      <c r="A789" s="1" t="s">
        <v>72</v>
      </c>
      <c r="B789" s="1" t="s">
        <v>3224</v>
      </c>
      <c r="C789" s="1" t="s">
        <v>74</v>
      </c>
      <c r="D789" s="1" t="s">
        <v>74</v>
      </c>
      <c r="E789" s="1" t="s">
        <v>74</v>
      </c>
      <c r="F789" s="1" t="s">
        <v>3224</v>
      </c>
      <c r="G789" s="1" t="s">
        <v>74</v>
      </c>
      <c r="H789" s="1" t="s">
        <v>74</v>
      </c>
      <c r="I789" s="1" t="s">
        <v>6631</v>
      </c>
      <c r="J789" s="1" t="s">
        <v>6632</v>
      </c>
      <c r="K789" s="1" t="s">
        <v>74</v>
      </c>
      <c r="L789" s="1" t="s">
        <v>74</v>
      </c>
      <c r="M789" s="1" t="s">
        <v>74</v>
      </c>
      <c r="N789" s="1" t="s">
        <v>74</v>
      </c>
      <c r="O789" s="1" t="s">
        <v>74</v>
      </c>
      <c r="P789" s="1" t="s">
        <v>74</v>
      </c>
      <c r="Q789" s="1" t="s">
        <v>74</v>
      </c>
      <c r="R789" s="1" t="s">
        <v>74</v>
      </c>
      <c r="S789" s="1" t="s">
        <v>74</v>
      </c>
      <c r="T789" s="1" t="s">
        <v>74</v>
      </c>
      <c r="U789" s="1" t="s">
        <v>74</v>
      </c>
      <c r="V789" s="1" t="s">
        <v>6633</v>
      </c>
      <c r="W789" s="1" t="s">
        <v>74</v>
      </c>
      <c r="X789" s="1" t="s">
        <v>74</v>
      </c>
      <c r="Y789" s="1" t="s">
        <v>74</v>
      </c>
      <c r="Z789" s="1" t="s">
        <v>74</v>
      </c>
      <c r="AA789" s="1" t="s">
        <v>74</v>
      </c>
      <c r="AB789" s="1" t="s">
        <v>74</v>
      </c>
      <c r="AC789" s="1" t="s">
        <v>74</v>
      </c>
      <c r="AD789" s="1" t="s">
        <v>74</v>
      </c>
      <c r="AE789" s="1" t="s">
        <v>74</v>
      </c>
      <c r="AF789" s="1" t="s">
        <v>74</v>
      </c>
      <c r="AG789" s="1" t="s">
        <v>74</v>
      </c>
      <c r="AH789" s="1" t="s">
        <v>74</v>
      </c>
      <c r="AI789" s="1" t="s">
        <v>74</v>
      </c>
      <c r="AJ789" s="1" t="s">
        <v>74</v>
      </c>
      <c r="AK789" s="1" t="s">
        <v>74</v>
      </c>
      <c r="AL789" s="1" t="s">
        <v>74</v>
      </c>
      <c r="AM789" s="1" t="s">
        <v>74</v>
      </c>
      <c r="AN789" s="1" t="s">
        <v>74</v>
      </c>
      <c r="AO789" s="1" t="s">
        <v>6634</v>
      </c>
      <c r="AP789" s="1" t="s">
        <v>74</v>
      </c>
      <c r="AQ789" s="1" t="s">
        <v>74</v>
      </c>
      <c r="AR789" s="1" t="s">
        <v>74</v>
      </c>
      <c r="AS789" s="1" t="s">
        <v>74</v>
      </c>
      <c r="AT789" s="1" t="s">
        <v>88</v>
      </c>
      <c r="AU789" s="1">
        <v>1998.0</v>
      </c>
      <c r="AV789" s="1">
        <v>2.0</v>
      </c>
      <c r="AW789" s="1">
        <v>4.0</v>
      </c>
      <c r="AX789" s="1" t="s">
        <v>74</v>
      </c>
      <c r="AY789" s="1" t="s">
        <v>74</v>
      </c>
      <c r="AZ789" s="1" t="s">
        <v>74</v>
      </c>
      <c r="BA789" s="1" t="s">
        <v>74</v>
      </c>
      <c r="BB789" s="1">
        <v>497.0</v>
      </c>
      <c r="BC789" s="1">
        <v>509.0</v>
      </c>
      <c r="BD789" s="1" t="s">
        <v>74</v>
      </c>
      <c r="BE789" s="1" t="s">
        <v>6635</v>
      </c>
      <c r="BF789" s="2" t="str">
        <f>HYPERLINK("http://dx.doi.org/10.11650/twjm/1500407020","http://dx.doi.org/10.11650/twjm/1500407020")</f>
        <v>http://dx.doi.org/10.11650/twjm/1500407020</v>
      </c>
      <c r="BG789" s="1" t="s">
        <v>74</v>
      </c>
      <c r="BH789" s="1" t="s">
        <v>74</v>
      </c>
      <c r="BI789" s="1" t="s">
        <v>74</v>
      </c>
      <c r="BJ789" s="1" t="s">
        <v>74</v>
      </c>
      <c r="BK789" s="1" t="s">
        <v>74</v>
      </c>
      <c r="BL789" s="1" t="s">
        <v>74</v>
      </c>
      <c r="BM789" s="1" t="s">
        <v>74</v>
      </c>
      <c r="BN789" s="1" t="s">
        <v>74</v>
      </c>
      <c r="BO789" s="1" t="s">
        <v>74</v>
      </c>
      <c r="BP789" s="1" t="s">
        <v>74</v>
      </c>
      <c r="BQ789" s="1" t="s">
        <v>74</v>
      </c>
      <c r="BR789" s="1" t="s">
        <v>74</v>
      </c>
      <c r="BS789" s="1" t="s">
        <v>6636</v>
      </c>
      <c r="BT789" s="1" t="str">
        <f>HYPERLINK("https%3A%2F%2Fwww.webofscience.com%2Fwos%2Fwoscc%2Ffull-record%2FWOS:000078339200010","View Full Record in Web of Science")</f>
        <v>View Full Record in Web of Science</v>
      </c>
    </row>
    <row r="790" ht="12.75" customHeight="1">
      <c r="A790" s="1" t="s">
        <v>72</v>
      </c>
      <c r="B790" s="1" t="s">
        <v>6637</v>
      </c>
      <c r="C790" s="1" t="s">
        <v>74</v>
      </c>
      <c r="D790" s="1" t="s">
        <v>74</v>
      </c>
      <c r="E790" s="1" t="s">
        <v>74</v>
      </c>
      <c r="F790" s="1" t="s">
        <v>6637</v>
      </c>
      <c r="G790" s="1" t="s">
        <v>74</v>
      </c>
      <c r="H790" s="1" t="s">
        <v>74</v>
      </c>
      <c r="I790" s="1" t="s">
        <v>6638</v>
      </c>
      <c r="J790" s="1" t="s">
        <v>6639</v>
      </c>
      <c r="K790" s="1" t="s">
        <v>74</v>
      </c>
      <c r="L790" s="1" t="s">
        <v>74</v>
      </c>
      <c r="M790" s="1" t="s">
        <v>74</v>
      </c>
      <c r="N790" s="1" t="s">
        <v>74</v>
      </c>
      <c r="O790" s="1" t="s">
        <v>74</v>
      </c>
      <c r="P790" s="1" t="s">
        <v>74</v>
      </c>
      <c r="Q790" s="1" t="s">
        <v>74</v>
      </c>
      <c r="R790" s="1" t="s">
        <v>74</v>
      </c>
      <c r="S790" s="1" t="s">
        <v>74</v>
      </c>
      <c r="T790" s="1" t="s">
        <v>74</v>
      </c>
      <c r="U790" s="1" t="s">
        <v>74</v>
      </c>
      <c r="V790" s="1" t="s">
        <v>6640</v>
      </c>
      <c r="W790" s="1" t="s">
        <v>74</v>
      </c>
      <c r="X790" s="1" t="s">
        <v>74</v>
      </c>
      <c r="Y790" s="1" t="s">
        <v>74</v>
      </c>
      <c r="Z790" s="1" t="s">
        <v>74</v>
      </c>
      <c r="AA790" s="1" t="s">
        <v>6641</v>
      </c>
      <c r="AB790" s="1" t="s">
        <v>74</v>
      </c>
      <c r="AC790" s="1" t="s">
        <v>74</v>
      </c>
      <c r="AD790" s="1" t="s">
        <v>74</v>
      </c>
      <c r="AE790" s="1" t="s">
        <v>74</v>
      </c>
      <c r="AF790" s="1" t="s">
        <v>74</v>
      </c>
      <c r="AG790" s="1" t="s">
        <v>74</v>
      </c>
      <c r="AH790" s="1" t="s">
        <v>74</v>
      </c>
      <c r="AI790" s="1" t="s">
        <v>74</v>
      </c>
      <c r="AJ790" s="1" t="s">
        <v>74</v>
      </c>
      <c r="AK790" s="1" t="s">
        <v>74</v>
      </c>
      <c r="AL790" s="1" t="s">
        <v>74</v>
      </c>
      <c r="AM790" s="1" t="s">
        <v>74</v>
      </c>
      <c r="AN790" s="1" t="s">
        <v>74</v>
      </c>
      <c r="AO790" s="1" t="s">
        <v>6642</v>
      </c>
      <c r="AP790" s="1" t="s">
        <v>74</v>
      </c>
      <c r="AQ790" s="1" t="s">
        <v>74</v>
      </c>
      <c r="AR790" s="1" t="s">
        <v>74</v>
      </c>
      <c r="AS790" s="1" t="s">
        <v>74</v>
      </c>
      <c r="AT790" s="1" t="s">
        <v>161</v>
      </c>
      <c r="AU790" s="1">
        <v>1996.0</v>
      </c>
      <c r="AV790" s="1">
        <v>109.0</v>
      </c>
      <c r="AW790" s="1">
        <v>10.0</v>
      </c>
      <c r="AX790" s="1" t="s">
        <v>74</v>
      </c>
      <c r="AY790" s="1" t="s">
        <v>74</v>
      </c>
      <c r="AZ790" s="1" t="s">
        <v>74</v>
      </c>
      <c r="BA790" s="1" t="s">
        <v>74</v>
      </c>
      <c r="BB790" s="1">
        <v>1477.0</v>
      </c>
      <c r="BC790" s="1">
        <v>1482.0</v>
      </c>
      <c r="BD790" s="1" t="s">
        <v>74</v>
      </c>
      <c r="BE790" s="1" t="s">
        <v>6643</v>
      </c>
      <c r="BF790" s="2" t="str">
        <f>HYPERLINK("http://dx.doi.org/10.1007/BF02780619","http://dx.doi.org/10.1007/BF02780619")</f>
        <v>http://dx.doi.org/10.1007/BF02780619</v>
      </c>
      <c r="BG790" s="1" t="s">
        <v>74</v>
      </c>
      <c r="BH790" s="1" t="s">
        <v>74</v>
      </c>
      <c r="BI790" s="1" t="s">
        <v>74</v>
      </c>
      <c r="BJ790" s="1" t="s">
        <v>74</v>
      </c>
      <c r="BK790" s="1" t="s">
        <v>74</v>
      </c>
      <c r="BL790" s="1" t="s">
        <v>74</v>
      </c>
      <c r="BM790" s="1" t="s">
        <v>74</v>
      </c>
      <c r="BN790" s="1" t="s">
        <v>74</v>
      </c>
      <c r="BO790" s="1" t="s">
        <v>74</v>
      </c>
      <c r="BP790" s="1" t="s">
        <v>74</v>
      </c>
      <c r="BQ790" s="1" t="s">
        <v>74</v>
      </c>
      <c r="BR790" s="1" t="s">
        <v>74</v>
      </c>
      <c r="BS790" s="1" t="s">
        <v>6644</v>
      </c>
      <c r="BT790" s="1" t="str">
        <f>HYPERLINK("https%3A%2F%2Fwww.webofscience.com%2Fwos%2Fwoscc%2Ffull-record%2FWOS:A1996VR77300010","View Full Record in Web of Science")</f>
        <v>View Full Record in Web of Science</v>
      </c>
    </row>
    <row r="791" ht="12.75" customHeight="1">
      <c r="A791" s="1" t="s">
        <v>72</v>
      </c>
      <c r="B791" s="1" t="s">
        <v>6645</v>
      </c>
      <c r="C791" s="1" t="s">
        <v>74</v>
      </c>
      <c r="D791" s="1" t="s">
        <v>74</v>
      </c>
      <c r="E791" s="1" t="s">
        <v>74</v>
      </c>
      <c r="F791" s="1" t="s">
        <v>6645</v>
      </c>
      <c r="G791" s="1" t="s">
        <v>74</v>
      </c>
      <c r="H791" s="1" t="s">
        <v>74</v>
      </c>
      <c r="I791" s="1" t="s">
        <v>6646</v>
      </c>
      <c r="J791" s="1" t="s">
        <v>6647</v>
      </c>
      <c r="K791" s="1" t="s">
        <v>74</v>
      </c>
      <c r="L791" s="1" t="s">
        <v>74</v>
      </c>
      <c r="M791" s="1" t="s">
        <v>74</v>
      </c>
      <c r="N791" s="1" t="s">
        <v>74</v>
      </c>
      <c r="O791" s="1" t="s">
        <v>74</v>
      </c>
      <c r="P791" s="1" t="s">
        <v>74</v>
      </c>
      <c r="Q791" s="1" t="s">
        <v>74</v>
      </c>
      <c r="R791" s="1" t="s">
        <v>74</v>
      </c>
      <c r="S791" s="1" t="s">
        <v>74</v>
      </c>
      <c r="T791" s="1" t="s">
        <v>74</v>
      </c>
      <c r="U791" s="1" t="s">
        <v>74</v>
      </c>
      <c r="V791" s="1" t="s">
        <v>6648</v>
      </c>
      <c r="W791" s="1" t="s">
        <v>74</v>
      </c>
      <c r="X791" s="1" t="s">
        <v>74</v>
      </c>
      <c r="Y791" s="1" t="s">
        <v>74</v>
      </c>
      <c r="Z791" s="1" t="s">
        <v>74</v>
      </c>
      <c r="AA791" s="1" t="s">
        <v>74</v>
      </c>
      <c r="AB791" s="1" t="s">
        <v>74</v>
      </c>
      <c r="AC791" s="1" t="s">
        <v>74</v>
      </c>
      <c r="AD791" s="1" t="s">
        <v>74</v>
      </c>
      <c r="AE791" s="1" t="s">
        <v>74</v>
      </c>
      <c r="AF791" s="1" t="s">
        <v>74</v>
      </c>
      <c r="AG791" s="1" t="s">
        <v>74</v>
      </c>
      <c r="AH791" s="1" t="s">
        <v>74</v>
      </c>
      <c r="AI791" s="1" t="s">
        <v>74</v>
      </c>
      <c r="AJ791" s="1" t="s">
        <v>74</v>
      </c>
      <c r="AK791" s="1" t="s">
        <v>74</v>
      </c>
      <c r="AL791" s="1" t="s">
        <v>74</v>
      </c>
      <c r="AM791" s="1" t="s">
        <v>74</v>
      </c>
      <c r="AN791" s="1" t="s">
        <v>74</v>
      </c>
      <c r="AO791" s="1" t="s">
        <v>6649</v>
      </c>
      <c r="AP791" s="1" t="s">
        <v>74</v>
      </c>
      <c r="AQ791" s="1" t="s">
        <v>74</v>
      </c>
      <c r="AR791" s="1" t="s">
        <v>74</v>
      </c>
      <c r="AS791" s="1" t="s">
        <v>74</v>
      </c>
      <c r="AT791" s="1" t="s">
        <v>148</v>
      </c>
      <c r="AU791" s="1">
        <v>1996.0</v>
      </c>
      <c r="AV791" s="1">
        <v>16.0</v>
      </c>
      <c r="AW791" s="1">
        <v>3.0</v>
      </c>
      <c r="AX791" s="1" t="s">
        <v>74</v>
      </c>
      <c r="AY791" s="1" t="s">
        <v>74</v>
      </c>
      <c r="AZ791" s="1" t="s">
        <v>74</v>
      </c>
      <c r="BA791" s="1" t="s">
        <v>74</v>
      </c>
      <c r="BB791" s="1">
        <v>385.0</v>
      </c>
      <c r="BC791" s="1">
        <v>389.0</v>
      </c>
      <c r="BD791" s="1" t="s">
        <v>74</v>
      </c>
      <c r="BE791" s="1" t="s">
        <v>6650</v>
      </c>
      <c r="BF791" s="2" t="str">
        <f>HYPERLINK("http://dx.doi.org/10.1016/0271-5317(96)00020-6","http://dx.doi.org/10.1016/0271-5317(96)00020-6")</f>
        <v>http://dx.doi.org/10.1016/0271-5317(96)00020-6</v>
      </c>
      <c r="BG791" s="1" t="s">
        <v>74</v>
      </c>
      <c r="BH791" s="1" t="s">
        <v>74</v>
      </c>
      <c r="BI791" s="1" t="s">
        <v>74</v>
      </c>
      <c r="BJ791" s="1" t="s">
        <v>74</v>
      </c>
      <c r="BK791" s="1" t="s">
        <v>74</v>
      </c>
      <c r="BL791" s="1" t="s">
        <v>74</v>
      </c>
      <c r="BM791" s="1" t="s">
        <v>74</v>
      </c>
      <c r="BN791" s="1" t="s">
        <v>74</v>
      </c>
      <c r="BO791" s="1" t="s">
        <v>74</v>
      </c>
      <c r="BP791" s="1" t="s">
        <v>74</v>
      </c>
      <c r="BQ791" s="1" t="s">
        <v>74</v>
      </c>
      <c r="BR791" s="1" t="s">
        <v>74</v>
      </c>
      <c r="BS791" s="1" t="s">
        <v>6651</v>
      </c>
      <c r="BT791" s="1" t="str">
        <f>HYPERLINK("https%3A%2F%2Fwww.webofscience.com%2Fwos%2Fwoscc%2Ffull-record%2FWOS:A1996UB31100003","View Full Record in Web of Science")</f>
        <v>View Full Record in Web of Science</v>
      </c>
    </row>
    <row r="792" ht="12.75" customHeight="1">
      <c r="A792" s="1" t="s">
        <v>72</v>
      </c>
      <c r="B792" s="1" t="s">
        <v>6652</v>
      </c>
      <c r="C792" s="1" t="s">
        <v>74</v>
      </c>
      <c r="D792" s="1" t="s">
        <v>74</v>
      </c>
      <c r="E792" s="1" t="s">
        <v>74</v>
      </c>
      <c r="F792" s="1" t="s">
        <v>6652</v>
      </c>
      <c r="G792" s="1" t="s">
        <v>74</v>
      </c>
      <c r="H792" s="1" t="s">
        <v>74</v>
      </c>
      <c r="I792" s="1" t="s">
        <v>6653</v>
      </c>
      <c r="J792" s="1" t="s">
        <v>6654</v>
      </c>
      <c r="K792" s="1" t="s">
        <v>74</v>
      </c>
      <c r="L792" s="1" t="s">
        <v>74</v>
      </c>
      <c r="M792" s="1" t="s">
        <v>74</v>
      </c>
      <c r="N792" s="1" t="s">
        <v>74</v>
      </c>
      <c r="O792" s="1" t="s">
        <v>74</v>
      </c>
      <c r="P792" s="1" t="s">
        <v>74</v>
      </c>
      <c r="Q792" s="1" t="s">
        <v>74</v>
      </c>
      <c r="R792" s="1" t="s">
        <v>74</v>
      </c>
      <c r="S792" s="1" t="s">
        <v>74</v>
      </c>
      <c r="T792" s="1" t="s">
        <v>74</v>
      </c>
      <c r="U792" s="1" t="s">
        <v>74</v>
      </c>
      <c r="V792" s="1" t="s">
        <v>6655</v>
      </c>
      <c r="W792" s="1" t="s">
        <v>74</v>
      </c>
      <c r="X792" s="1" t="s">
        <v>74</v>
      </c>
      <c r="Y792" s="1" t="s">
        <v>74</v>
      </c>
      <c r="Z792" s="1" t="s">
        <v>74</v>
      </c>
      <c r="AA792" s="1" t="s">
        <v>74</v>
      </c>
      <c r="AB792" s="1" t="s">
        <v>74</v>
      </c>
      <c r="AC792" s="1" t="s">
        <v>74</v>
      </c>
      <c r="AD792" s="1" t="s">
        <v>74</v>
      </c>
      <c r="AE792" s="1" t="s">
        <v>74</v>
      </c>
      <c r="AF792" s="1" t="s">
        <v>74</v>
      </c>
      <c r="AG792" s="1" t="s">
        <v>74</v>
      </c>
      <c r="AH792" s="1" t="s">
        <v>74</v>
      </c>
      <c r="AI792" s="1" t="s">
        <v>74</v>
      </c>
      <c r="AJ792" s="1" t="s">
        <v>74</v>
      </c>
      <c r="AK792" s="1" t="s">
        <v>74</v>
      </c>
      <c r="AL792" s="1" t="s">
        <v>74</v>
      </c>
      <c r="AM792" s="1" t="s">
        <v>74</v>
      </c>
      <c r="AN792" s="1" t="s">
        <v>74</v>
      </c>
      <c r="AO792" s="1" t="s">
        <v>6656</v>
      </c>
      <c r="AP792" s="1" t="s">
        <v>74</v>
      </c>
      <c r="AQ792" s="1" t="s">
        <v>74</v>
      </c>
      <c r="AR792" s="1" t="s">
        <v>74</v>
      </c>
      <c r="AS792" s="1" t="s">
        <v>74</v>
      </c>
      <c r="AT792" s="1" t="s">
        <v>276</v>
      </c>
      <c r="AU792" s="1">
        <v>1995.0</v>
      </c>
      <c r="AV792" s="1">
        <v>27.0</v>
      </c>
      <c r="AW792" s="1">
        <v>3.0</v>
      </c>
      <c r="AX792" s="1" t="s">
        <v>74</v>
      </c>
      <c r="AY792" s="1" t="s">
        <v>74</v>
      </c>
      <c r="AZ792" s="1" t="s">
        <v>74</v>
      </c>
      <c r="BA792" s="1" t="s">
        <v>74</v>
      </c>
      <c r="BB792" s="1">
        <v>219.0</v>
      </c>
      <c r="BC792" s="1">
        <v>226.0</v>
      </c>
      <c r="BD792" s="1" t="s">
        <v>74</v>
      </c>
      <c r="BE792" s="1" t="s">
        <v>6657</v>
      </c>
      <c r="BF792" s="2" t="str">
        <f>HYPERLINK("http://dx.doi.org/10.1016/0197-0186(95)00005-S","http://dx.doi.org/10.1016/0197-0186(95)00005-S")</f>
        <v>http://dx.doi.org/10.1016/0197-0186(95)00005-S</v>
      </c>
      <c r="BG792" s="1" t="s">
        <v>74</v>
      </c>
      <c r="BH792" s="1" t="s">
        <v>74</v>
      </c>
      <c r="BI792" s="1" t="s">
        <v>74</v>
      </c>
      <c r="BJ792" s="1" t="s">
        <v>74</v>
      </c>
      <c r="BK792" s="1" t="s">
        <v>74</v>
      </c>
      <c r="BL792" s="1" t="s">
        <v>74</v>
      </c>
      <c r="BM792" s="1" t="s">
        <v>74</v>
      </c>
      <c r="BN792" s="1">
        <v>8520460.0</v>
      </c>
      <c r="BO792" s="1" t="s">
        <v>74</v>
      </c>
      <c r="BP792" s="1" t="s">
        <v>74</v>
      </c>
      <c r="BQ792" s="1" t="s">
        <v>74</v>
      </c>
      <c r="BR792" s="1" t="s">
        <v>74</v>
      </c>
      <c r="BS792" s="1" t="s">
        <v>6658</v>
      </c>
      <c r="BT792" s="1" t="str">
        <f>HYPERLINK("https%3A%2F%2Fwww.webofscience.com%2Fwos%2Fwoscc%2Ffull-record%2FWOS:A1995RT74100001","View Full Record in Web of Science")</f>
        <v>View Full Record in Web of Science</v>
      </c>
    </row>
    <row r="793" ht="12.75" customHeight="1">
      <c r="A793" s="1" t="s">
        <v>72</v>
      </c>
      <c r="B793" s="1" t="s">
        <v>6659</v>
      </c>
      <c r="C793" s="1" t="s">
        <v>74</v>
      </c>
      <c r="D793" s="1" t="s">
        <v>74</v>
      </c>
      <c r="E793" s="1" t="s">
        <v>74</v>
      </c>
      <c r="F793" s="1" t="s">
        <v>6659</v>
      </c>
      <c r="G793" s="1" t="s">
        <v>74</v>
      </c>
      <c r="H793" s="1" t="s">
        <v>74</v>
      </c>
      <c r="I793" s="1" t="s">
        <v>6660</v>
      </c>
      <c r="J793" s="1" t="s">
        <v>1164</v>
      </c>
      <c r="K793" s="1" t="s">
        <v>74</v>
      </c>
      <c r="L793" s="1" t="s">
        <v>74</v>
      </c>
      <c r="M793" s="1" t="s">
        <v>74</v>
      </c>
      <c r="N793" s="1" t="s">
        <v>74</v>
      </c>
      <c r="O793" s="1" t="s">
        <v>74</v>
      </c>
      <c r="P793" s="1" t="s">
        <v>74</v>
      </c>
      <c r="Q793" s="1" t="s">
        <v>74</v>
      </c>
      <c r="R793" s="1" t="s">
        <v>74</v>
      </c>
      <c r="S793" s="1" t="s">
        <v>74</v>
      </c>
      <c r="T793" s="1" t="s">
        <v>74</v>
      </c>
      <c r="U793" s="1" t="s">
        <v>74</v>
      </c>
      <c r="V793" s="1" t="s">
        <v>6661</v>
      </c>
      <c r="W793" s="1" t="s">
        <v>74</v>
      </c>
      <c r="X793" s="1" t="s">
        <v>74</v>
      </c>
      <c r="Y793" s="1" t="s">
        <v>74</v>
      </c>
      <c r="Z793" s="1" t="s">
        <v>74</v>
      </c>
      <c r="AA793" s="1" t="s">
        <v>74</v>
      </c>
      <c r="AB793" s="1" t="s">
        <v>1015</v>
      </c>
      <c r="AC793" s="1" t="s">
        <v>74</v>
      </c>
      <c r="AD793" s="1" t="s">
        <v>74</v>
      </c>
      <c r="AE793" s="1" t="s">
        <v>74</v>
      </c>
      <c r="AF793" s="1" t="s">
        <v>74</v>
      </c>
      <c r="AG793" s="1" t="s">
        <v>74</v>
      </c>
      <c r="AH793" s="1" t="s">
        <v>74</v>
      </c>
      <c r="AI793" s="1" t="s">
        <v>74</v>
      </c>
      <c r="AJ793" s="1" t="s">
        <v>74</v>
      </c>
      <c r="AK793" s="1" t="s">
        <v>74</v>
      </c>
      <c r="AL793" s="1" t="s">
        <v>74</v>
      </c>
      <c r="AM793" s="1" t="s">
        <v>74</v>
      </c>
      <c r="AN793" s="1" t="s">
        <v>74</v>
      </c>
      <c r="AO793" s="1" t="s">
        <v>1168</v>
      </c>
      <c r="AP793" s="1" t="s">
        <v>74</v>
      </c>
      <c r="AQ793" s="1" t="s">
        <v>74</v>
      </c>
      <c r="AR793" s="1" t="s">
        <v>74</v>
      </c>
      <c r="AS793" s="1" t="s">
        <v>74</v>
      </c>
      <c r="AT793" s="1" t="s">
        <v>161</v>
      </c>
      <c r="AU793" s="1">
        <v>1993.0</v>
      </c>
      <c r="AV793" s="1">
        <v>34.0</v>
      </c>
      <c r="AW793" s="1">
        <v>3.0</v>
      </c>
      <c r="AX793" s="1" t="s">
        <v>74</v>
      </c>
      <c r="AY793" s="1" t="s">
        <v>74</v>
      </c>
      <c r="AZ793" s="1" t="s">
        <v>74</v>
      </c>
      <c r="BA793" s="1" t="s">
        <v>74</v>
      </c>
      <c r="BB793" s="1">
        <v>874.0</v>
      </c>
      <c r="BC793" s="1">
        <v>875.0</v>
      </c>
      <c r="BD793" s="1" t="s">
        <v>74</v>
      </c>
      <c r="BE793" s="1" t="s">
        <v>6662</v>
      </c>
      <c r="BF793" s="2" t="str">
        <f>HYPERLINK("http://dx.doi.org/10.1016/0031-9422(93)85380-A","http://dx.doi.org/10.1016/0031-9422(93)85380-A")</f>
        <v>http://dx.doi.org/10.1016/0031-9422(93)85380-A</v>
      </c>
      <c r="BG793" s="1" t="s">
        <v>74</v>
      </c>
      <c r="BH793" s="1" t="s">
        <v>74</v>
      </c>
      <c r="BI793" s="1" t="s">
        <v>74</v>
      </c>
      <c r="BJ793" s="1" t="s">
        <v>74</v>
      </c>
      <c r="BK793" s="1" t="s">
        <v>74</v>
      </c>
      <c r="BL793" s="1" t="s">
        <v>74</v>
      </c>
      <c r="BM793" s="1" t="s">
        <v>74</v>
      </c>
      <c r="BN793" s="1" t="s">
        <v>74</v>
      </c>
      <c r="BO793" s="1" t="s">
        <v>74</v>
      </c>
      <c r="BP793" s="1" t="s">
        <v>74</v>
      </c>
      <c r="BQ793" s="1" t="s">
        <v>74</v>
      </c>
      <c r="BR793" s="1" t="s">
        <v>74</v>
      </c>
      <c r="BS793" s="1" t="s">
        <v>6663</v>
      </c>
      <c r="BT793" s="1" t="str">
        <f>HYPERLINK("https%3A%2F%2Fwww.webofscience.com%2Fwos%2Fwoscc%2Ffull-record%2FWOS:A1993MC47300059","View Full Record in Web of Science")</f>
        <v>View Full Record in Web of Science</v>
      </c>
    </row>
    <row r="794" ht="12.75" customHeight="1">
      <c r="A794" s="1" t="s">
        <v>72</v>
      </c>
      <c r="B794" s="1" t="s">
        <v>6664</v>
      </c>
      <c r="C794" s="1" t="s">
        <v>74</v>
      </c>
      <c r="D794" s="1" t="s">
        <v>74</v>
      </c>
      <c r="E794" s="1" t="s">
        <v>74</v>
      </c>
      <c r="F794" s="1" t="s">
        <v>6664</v>
      </c>
      <c r="G794" s="1" t="s">
        <v>74</v>
      </c>
      <c r="H794" s="1" t="s">
        <v>74</v>
      </c>
      <c r="I794" s="1" t="s">
        <v>6665</v>
      </c>
      <c r="J794" s="1" t="s">
        <v>6666</v>
      </c>
      <c r="K794" s="1" t="s">
        <v>74</v>
      </c>
      <c r="L794" s="1" t="s">
        <v>74</v>
      </c>
      <c r="M794" s="1" t="s">
        <v>74</v>
      </c>
      <c r="N794" s="1" t="s">
        <v>74</v>
      </c>
      <c r="O794" s="1" t="s">
        <v>74</v>
      </c>
      <c r="P794" s="1" t="s">
        <v>74</v>
      </c>
      <c r="Q794" s="1" t="s">
        <v>74</v>
      </c>
      <c r="R794" s="1" t="s">
        <v>74</v>
      </c>
      <c r="S794" s="1" t="s">
        <v>74</v>
      </c>
      <c r="T794" s="1" t="s">
        <v>74</v>
      </c>
      <c r="U794" s="1" t="s">
        <v>74</v>
      </c>
      <c r="V794" s="1" t="s">
        <v>74</v>
      </c>
      <c r="W794" s="1" t="s">
        <v>74</v>
      </c>
      <c r="X794" s="1" t="s">
        <v>74</v>
      </c>
      <c r="Y794" s="1" t="s">
        <v>74</v>
      </c>
      <c r="Z794" s="1" t="s">
        <v>74</v>
      </c>
      <c r="AA794" s="1" t="s">
        <v>74</v>
      </c>
      <c r="AB794" s="1" t="s">
        <v>74</v>
      </c>
      <c r="AC794" s="1" t="s">
        <v>74</v>
      </c>
      <c r="AD794" s="1" t="s">
        <v>74</v>
      </c>
      <c r="AE794" s="1" t="s">
        <v>74</v>
      </c>
      <c r="AF794" s="1" t="s">
        <v>74</v>
      </c>
      <c r="AG794" s="1" t="s">
        <v>74</v>
      </c>
      <c r="AH794" s="1" t="s">
        <v>74</v>
      </c>
      <c r="AI794" s="1" t="s">
        <v>74</v>
      </c>
      <c r="AJ794" s="1" t="s">
        <v>74</v>
      </c>
      <c r="AK794" s="1" t="s">
        <v>74</v>
      </c>
      <c r="AL794" s="1" t="s">
        <v>74</v>
      </c>
      <c r="AM794" s="1" t="s">
        <v>74</v>
      </c>
      <c r="AN794" s="1" t="s">
        <v>74</v>
      </c>
      <c r="AO794" s="1" t="s">
        <v>6667</v>
      </c>
      <c r="AP794" s="1" t="s">
        <v>74</v>
      </c>
      <c r="AQ794" s="1" t="s">
        <v>74</v>
      </c>
      <c r="AR794" s="1" t="s">
        <v>74</v>
      </c>
      <c r="AS794" s="1" t="s">
        <v>74</v>
      </c>
      <c r="AT794" s="1" t="s">
        <v>347</v>
      </c>
      <c r="AU794" s="1">
        <v>1992.0</v>
      </c>
      <c r="AV794" s="1">
        <v>69.0</v>
      </c>
      <c r="AW794" s="1">
        <v>4.0</v>
      </c>
      <c r="AX794" s="1" t="s">
        <v>74</v>
      </c>
      <c r="AY794" s="1" t="s">
        <v>74</v>
      </c>
      <c r="AZ794" s="1" t="s">
        <v>74</v>
      </c>
      <c r="BA794" s="1" t="s">
        <v>74</v>
      </c>
      <c r="BB794" s="1">
        <v>340.0</v>
      </c>
      <c r="BC794" s="1">
        <v>342.0</v>
      </c>
      <c r="BD794" s="1" t="s">
        <v>74</v>
      </c>
      <c r="BE794" s="1" t="s">
        <v>6668</v>
      </c>
      <c r="BF794" s="2" t="str">
        <f>HYPERLINK("http://dx.doi.org/10.1021/ed069p340","http://dx.doi.org/10.1021/ed069p340")</f>
        <v>http://dx.doi.org/10.1021/ed069p340</v>
      </c>
      <c r="BG794" s="1" t="s">
        <v>74</v>
      </c>
      <c r="BH794" s="1" t="s">
        <v>74</v>
      </c>
      <c r="BI794" s="1" t="s">
        <v>74</v>
      </c>
      <c r="BJ794" s="1" t="s">
        <v>74</v>
      </c>
      <c r="BK794" s="1" t="s">
        <v>74</v>
      </c>
      <c r="BL794" s="1" t="s">
        <v>74</v>
      </c>
      <c r="BM794" s="1" t="s">
        <v>74</v>
      </c>
      <c r="BN794" s="1" t="s">
        <v>74</v>
      </c>
      <c r="BO794" s="1" t="s">
        <v>74</v>
      </c>
      <c r="BP794" s="1" t="s">
        <v>74</v>
      </c>
      <c r="BQ794" s="1" t="s">
        <v>74</v>
      </c>
      <c r="BR794" s="1" t="s">
        <v>74</v>
      </c>
      <c r="BS794" s="1" t="s">
        <v>6669</v>
      </c>
      <c r="BT794" s="1" t="str">
        <f>HYPERLINK("https%3A%2F%2Fwww.webofscience.com%2Fwos%2Fwoscc%2Ffull-record%2FWOS:A1992HR46500052","View Full Record in Web of Science")</f>
        <v>View Full Record in Web of Science</v>
      </c>
    </row>
    <row r="795" ht="12.75" customHeight="1">
      <c r="A795" s="1" t="s">
        <v>72</v>
      </c>
      <c r="B795" s="1" t="s">
        <v>6670</v>
      </c>
      <c r="C795" s="1" t="s">
        <v>74</v>
      </c>
      <c r="D795" s="1" t="s">
        <v>74</v>
      </c>
      <c r="E795" s="1" t="s">
        <v>74</v>
      </c>
      <c r="F795" s="1" t="s">
        <v>6670</v>
      </c>
      <c r="G795" s="1" t="s">
        <v>74</v>
      </c>
      <c r="H795" s="1" t="s">
        <v>74</v>
      </c>
      <c r="I795" s="1" t="s">
        <v>6671</v>
      </c>
      <c r="J795" s="1" t="s">
        <v>6672</v>
      </c>
      <c r="K795" s="1" t="s">
        <v>74</v>
      </c>
      <c r="L795" s="1" t="s">
        <v>74</v>
      </c>
      <c r="M795" s="1" t="s">
        <v>74</v>
      </c>
      <c r="N795" s="1" t="s">
        <v>74</v>
      </c>
      <c r="O795" s="1" t="s">
        <v>74</v>
      </c>
      <c r="P795" s="1" t="s">
        <v>74</v>
      </c>
      <c r="Q795" s="1" t="s">
        <v>74</v>
      </c>
      <c r="R795" s="1" t="s">
        <v>74</v>
      </c>
      <c r="S795" s="1" t="s">
        <v>74</v>
      </c>
      <c r="T795" s="1" t="s">
        <v>74</v>
      </c>
      <c r="U795" s="1" t="s">
        <v>74</v>
      </c>
      <c r="V795" s="1" t="s">
        <v>74</v>
      </c>
      <c r="W795" s="1" t="s">
        <v>74</v>
      </c>
      <c r="X795" s="1" t="s">
        <v>74</v>
      </c>
      <c r="Y795" s="1" t="s">
        <v>74</v>
      </c>
      <c r="Z795" s="1" t="s">
        <v>74</v>
      </c>
      <c r="AA795" s="1" t="s">
        <v>74</v>
      </c>
      <c r="AB795" s="1" t="s">
        <v>74</v>
      </c>
      <c r="AC795" s="1" t="s">
        <v>74</v>
      </c>
      <c r="AD795" s="1" t="s">
        <v>74</v>
      </c>
      <c r="AE795" s="1" t="s">
        <v>74</v>
      </c>
      <c r="AF795" s="1" t="s">
        <v>74</v>
      </c>
      <c r="AG795" s="1" t="s">
        <v>74</v>
      </c>
      <c r="AH795" s="1" t="s">
        <v>74</v>
      </c>
      <c r="AI795" s="1" t="s">
        <v>74</v>
      </c>
      <c r="AJ795" s="1" t="s">
        <v>74</v>
      </c>
      <c r="AK795" s="1" t="s">
        <v>74</v>
      </c>
      <c r="AL795" s="1" t="s">
        <v>74</v>
      </c>
      <c r="AM795" s="1" t="s">
        <v>74</v>
      </c>
      <c r="AN795" s="1" t="s">
        <v>74</v>
      </c>
      <c r="AO795" s="1" t="s">
        <v>6673</v>
      </c>
      <c r="AP795" s="1" t="s">
        <v>74</v>
      </c>
      <c r="AQ795" s="1" t="s">
        <v>74</v>
      </c>
      <c r="AR795" s="1" t="s">
        <v>74</v>
      </c>
      <c r="AS795" s="1" t="s">
        <v>74</v>
      </c>
      <c r="AT795" s="1" t="s">
        <v>74</v>
      </c>
      <c r="AU795" s="1">
        <v>1991.0</v>
      </c>
      <c r="AV795" s="1">
        <v>14.0</v>
      </c>
      <c r="AW795" s="1" t="s">
        <v>6538</v>
      </c>
      <c r="AX795" s="1" t="s">
        <v>74</v>
      </c>
      <c r="AY795" s="1" t="s">
        <v>74</v>
      </c>
      <c r="AZ795" s="1" t="s">
        <v>74</v>
      </c>
      <c r="BA795" s="1" t="s">
        <v>74</v>
      </c>
      <c r="BB795" s="1">
        <v>373.0</v>
      </c>
      <c r="BC795" s="1">
        <v>384.0</v>
      </c>
      <c r="BD795" s="1" t="s">
        <v>74</v>
      </c>
      <c r="BE795" s="1" t="s">
        <v>6674</v>
      </c>
      <c r="BF795" s="2" t="str">
        <f>HYPERLINK("http://dx.doi.org/10.3109/10715769109093426","http://dx.doi.org/10.3109/10715769109093426")</f>
        <v>http://dx.doi.org/10.3109/10715769109093426</v>
      </c>
      <c r="BG795" s="1" t="s">
        <v>74</v>
      </c>
      <c r="BH795" s="1" t="s">
        <v>74</v>
      </c>
      <c r="BI795" s="1" t="s">
        <v>74</v>
      </c>
      <c r="BJ795" s="1" t="s">
        <v>74</v>
      </c>
      <c r="BK795" s="1" t="s">
        <v>74</v>
      </c>
      <c r="BL795" s="1" t="s">
        <v>74</v>
      </c>
      <c r="BM795" s="1" t="s">
        <v>74</v>
      </c>
      <c r="BN795" s="1">
        <v>1778508.0</v>
      </c>
      <c r="BO795" s="1" t="s">
        <v>74</v>
      </c>
      <c r="BP795" s="1" t="s">
        <v>74</v>
      </c>
      <c r="BQ795" s="1" t="s">
        <v>74</v>
      </c>
      <c r="BR795" s="1" t="s">
        <v>74</v>
      </c>
      <c r="BS795" s="1" t="s">
        <v>6675</v>
      </c>
      <c r="BT795" s="1" t="str">
        <f>HYPERLINK("https%3A%2F%2Fwww.webofscience.com%2Fwos%2Fwoscc%2Ffull-record%2FWOS:A1991FY74100007","View Full Record in Web of Science")</f>
        <v>View Full Record in Web of Science</v>
      </c>
    </row>
    <row r="796" ht="12.75" customHeight="1">
      <c r="A796" s="1" t="s">
        <v>72</v>
      </c>
      <c r="B796" s="1" t="s">
        <v>6676</v>
      </c>
      <c r="C796" s="1" t="s">
        <v>74</v>
      </c>
      <c r="D796" s="1" t="s">
        <v>74</v>
      </c>
      <c r="E796" s="1" t="s">
        <v>74</v>
      </c>
      <c r="F796" s="1" t="s">
        <v>6676</v>
      </c>
      <c r="G796" s="1" t="s">
        <v>74</v>
      </c>
      <c r="H796" s="1" t="s">
        <v>74</v>
      </c>
      <c r="I796" s="1" t="s">
        <v>6677</v>
      </c>
      <c r="J796" s="1" t="s">
        <v>6678</v>
      </c>
      <c r="K796" s="1" t="s">
        <v>74</v>
      </c>
      <c r="L796" s="1" t="s">
        <v>74</v>
      </c>
      <c r="M796" s="1" t="s">
        <v>74</v>
      </c>
      <c r="N796" s="1" t="s">
        <v>74</v>
      </c>
      <c r="O796" s="1" t="s">
        <v>74</v>
      </c>
      <c r="P796" s="1" t="s">
        <v>74</v>
      </c>
      <c r="Q796" s="1" t="s">
        <v>74</v>
      </c>
      <c r="R796" s="1" t="s">
        <v>74</v>
      </c>
      <c r="S796" s="1" t="s">
        <v>74</v>
      </c>
      <c r="T796" s="1" t="s">
        <v>74</v>
      </c>
      <c r="U796" s="1" t="s">
        <v>74</v>
      </c>
      <c r="V796" s="1" t="s">
        <v>74</v>
      </c>
      <c r="W796" s="1" t="s">
        <v>74</v>
      </c>
      <c r="X796" s="1" t="s">
        <v>74</v>
      </c>
      <c r="Y796" s="1" t="s">
        <v>74</v>
      </c>
      <c r="Z796" s="1" t="s">
        <v>74</v>
      </c>
      <c r="AA796" s="1" t="s">
        <v>1174</v>
      </c>
      <c r="AB796" s="1" t="s">
        <v>74</v>
      </c>
      <c r="AC796" s="1" t="s">
        <v>74</v>
      </c>
      <c r="AD796" s="1" t="s">
        <v>74</v>
      </c>
      <c r="AE796" s="1" t="s">
        <v>74</v>
      </c>
      <c r="AF796" s="1" t="s">
        <v>74</v>
      </c>
      <c r="AG796" s="1" t="s">
        <v>74</v>
      </c>
      <c r="AH796" s="1" t="s">
        <v>74</v>
      </c>
      <c r="AI796" s="1" t="s">
        <v>74</v>
      </c>
      <c r="AJ796" s="1" t="s">
        <v>74</v>
      </c>
      <c r="AK796" s="1" t="s">
        <v>74</v>
      </c>
      <c r="AL796" s="1" t="s">
        <v>74</v>
      </c>
      <c r="AM796" s="1" t="s">
        <v>74</v>
      </c>
      <c r="AN796" s="1" t="s">
        <v>74</v>
      </c>
      <c r="AO796" s="1" t="s">
        <v>6679</v>
      </c>
      <c r="AP796" s="1" t="s">
        <v>74</v>
      </c>
      <c r="AQ796" s="1" t="s">
        <v>74</v>
      </c>
      <c r="AR796" s="1" t="s">
        <v>74</v>
      </c>
      <c r="AS796" s="1" t="s">
        <v>74</v>
      </c>
      <c r="AT796" s="1" t="s">
        <v>74</v>
      </c>
      <c r="AU796" s="1">
        <v>1984.0</v>
      </c>
      <c r="AV796" s="1">
        <v>16.0</v>
      </c>
      <c r="AW796" s="1">
        <v>5.0</v>
      </c>
      <c r="AX796" s="1" t="s">
        <v>74</v>
      </c>
      <c r="AY796" s="1" t="s">
        <v>74</v>
      </c>
      <c r="AZ796" s="1" t="s">
        <v>74</v>
      </c>
      <c r="BA796" s="1" t="s">
        <v>74</v>
      </c>
      <c r="BB796" s="1">
        <v>503.0</v>
      </c>
      <c r="BC796" s="1">
        <v>511.0</v>
      </c>
      <c r="BD796" s="1" t="s">
        <v>74</v>
      </c>
      <c r="BE796" s="1" t="s">
        <v>6680</v>
      </c>
      <c r="BF796" s="2" t="str">
        <f>HYPERLINK("http://dx.doi.org/10.1002/kin.550160502","http://dx.doi.org/10.1002/kin.550160502")</f>
        <v>http://dx.doi.org/10.1002/kin.550160502</v>
      </c>
      <c r="BG796" s="1" t="s">
        <v>74</v>
      </c>
      <c r="BH796" s="1" t="s">
        <v>74</v>
      </c>
      <c r="BI796" s="1" t="s">
        <v>74</v>
      </c>
      <c r="BJ796" s="1" t="s">
        <v>74</v>
      </c>
      <c r="BK796" s="1" t="s">
        <v>74</v>
      </c>
      <c r="BL796" s="1" t="s">
        <v>74</v>
      </c>
      <c r="BM796" s="1" t="s">
        <v>74</v>
      </c>
      <c r="BN796" s="1" t="s">
        <v>74</v>
      </c>
      <c r="BO796" s="1" t="s">
        <v>74</v>
      </c>
      <c r="BP796" s="1" t="s">
        <v>74</v>
      </c>
      <c r="BQ796" s="1" t="s">
        <v>74</v>
      </c>
      <c r="BR796" s="1" t="s">
        <v>74</v>
      </c>
      <c r="BS796" s="1" t="s">
        <v>6681</v>
      </c>
      <c r="BT796" s="1" t="str">
        <f>HYPERLINK("https%3A%2F%2Fwww.webofscience.com%2Fwos%2Fwoscc%2Ffull-record%2FWOS:A1984SQ29100001","View Full Record in Web of Science")</f>
        <v>View Full Record in Web of Science</v>
      </c>
    </row>
    <row r="797" ht="12.75" customHeight="1">
      <c r="A797" s="1" t="s">
        <v>72</v>
      </c>
      <c r="B797" s="1" t="s">
        <v>6682</v>
      </c>
      <c r="C797" s="1" t="s">
        <v>74</v>
      </c>
      <c r="D797" s="1" t="s">
        <v>74</v>
      </c>
      <c r="E797" s="1" t="s">
        <v>74</v>
      </c>
      <c r="F797" s="1" t="s">
        <v>6682</v>
      </c>
      <c r="G797" s="1" t="s">
        <v>74</v>
      </c>
      <c r="H797" s="1" t="s">
        <v>74</v>
      </c>
      <c r="I797" s="1" t="s">
        <v>6683</v>
      </c>
      <c r="J797" s="1" t="s">
        <v>6684</v>
      </c>
      <c r="K797" s="1" t="s">
        <v>74</v>
      </c>
      <c r="L797" s="1" t="s">
        <v>74</v>
      </c>
      <c r="M797" s="1" t="s">
        <v>74</v>
      </c>
      <c r="N797" s="1" t="s">
        <v>74</v>
      </c>
      <c r="O797" s="1" t="s">
        <v>74</v>
      </c>
      <c r="P797" s="1" t="s">
        <v>74</v>
      </c>
      <c r="Q797" s="1" t="s">
        <v>74</v>
      </c>
      <c r="R797" s="1" t="s">
        <v>74</v>
      </c>
      <c r="S797" s="1" t="s">
        <v>74</v>
      </c>
      <c r="T797" s="1" t="s">
        <v>74</v>
      </c>
      <c r="U797" s="1" t="s">
        <v>74</v>
      </c>
      <c r="V797" s="1" t="s">
        <v>6685</v>
      </c>
      <c r="W797" s="1" t="s">
        <v>74</v>
      </c>
      <c r="X797" s="1" t="s">
        <v>74</v>
      </c>
      <c r="Y797" s="1" t="s">
        <v>74</v>
      </c>
      <c r="Z797" s="1" t="s">
        <v>74</v>
      </c>
      <c r="AA797" s="1" t="s">
        <v>74</v>
      </c>
      <c r="AB797" s="1" t="s">
        <v>74</v>
      </c>
      <c r="AC797" s="1" t="s">
        <v>74</v>
      </c>
      <c r="AD797" s="1" t="s">
        <v>74</v>
      </c>
      <c r="AE797" s="1" t="s">
        <v>74</v>
      </c>
      <c r="AF797" s="1" t="s">
        <v>74</v>
      </c>
      <c r="AG797" s="1" t="s">
        <v>74</v>
      </c>
      <c r="AH797" s="1" t="s">
        <v>74</v>
      </c>
      <c r="AI797" s="1" t="s">
        <v>74</v>
      </c>
      <c r="AJ797" s="1" t="s">
        <v>74</v>
      </c>
      <c r="AK797" s="1" t="s">
        <v>74</v>
      </c>
      <c r="AL797" s="1" t="s">
        <v>74</v>
      </c>
      <c r="AM797" s="1" t="s">
        <v>74</v>
      </c>
      <c r="AN797" s="1" t="s">
        <v>74</v>
      </c>
      <c r="AO797" s="1" t="s">
        <v>6686</v>
      </c>
      <c r="AP797" s="1" t="s">
        <v>6687</v>
      </c>
      <c r="AQ797" s="1" t="s">
        <v>74</v>
      </c>
      <c r="AR797" s="1" t="s">
        <v>74</v>
      </c>
      <c r="AS797" s="1" t="s">
        <v>74</v>
      </c>
      <c r="AT797" s="1" t="s">
        <v>74</v>
      </c>
      <c r="AU797" s="1">
        <v>1984.0</v>
      </c>
      <c r="AV797" s="1">
        <v>9.0</v>
      </c>
      <c r="AW797" s="1">
        <v>4.0</v>
      </c>
      <c r="AX797" s="1" t="s">
        <v>74</v>
      </c>
      <c r="AY797" s="1" t="s">
        <v>74</v>
      </c>
      <c r="AZ797" s="1" t="s">
        <v>74</v>
      </c>
      <c r="BA797" s="1" t="s">
        <v>74</v>
      </c>
      <c r="BB797" s="1">
        <v>433.0</v>
      </c>
      <c r="BC797" s="1">
        <v>436.0</v>
      </c>
      <c r="BD797" s="1" t="s">
        <v>74</v>
      </c>
      <c r="BE797" s="1" t="s">
        <v>6688</v>
      </c>
      <c r="BF797" s="2" t="str">
        <f>HYPERLINK("http://dx.doi.org/10.1111/j.1365-3032.1984.tb00785.x","http://dx.doi.org/10.1111/j.1365-3032.1984.tb00785.x")</f>
        <v>http://dx.doi.org/10.1111/j.1365-3032.1984.tb00785.x</v>
      </c>
      <c r="BG797" s="1" t="s">
        <v>74</v>
      </c>
      <c r="BH797" s="1" t="s">
        <v>74</v>
      </c>
      <c r="BI797" s="1" t="s">
        <v>74</v>
      </c>
      <c r="BJ797" s="1" t="s">
        <v>74</v>
      </c>
      <c r="BK797" s="1" t="s">
        <v>74</v>
      </c>
      <c r="BL797" s="1" t="s">
        <v>74</v>
      </c>
      <c r="BM797" s="1" t="s">
        <v>74</v>
      </c>
      <c r="BN797" s="1" t="s">
        <v>74</v>
      </c>
      <c r="BO797" s="1" t="s">
        <v>74</v>
      </c>
      <c r="BP797" s="1" t="s">
        <v>74</v>
      </c>
      <c r="BQ797" s="1" t="s">
        <v>74</v>
      </c>
      <c r="BR797" s="1" t="s">
        <v>74</v>
      </c>
      <c r="BS797" s="1" t="s">
        <v>6689</v>
      </c>
      <c r="BT797" s="1" t="str">
        <f>HYPERLINK("https%3A%2F%2Fwww.webofscience.com%2Fwos%2Fwoscc%2Ffull-record%2FWOS:A1984TW16100010","View Full Record in Web of Science")</f>
        <v>View Full Record in Web of Science</v>
      </c>
    </row>
    <row r="798" ht="12.75" customHeight="1">
      <c r="A798" s="1" t="s">
        <v>72</v>
      </c>
      <c r="B798" s="1" t="s">
        <v>6690</v>
      </c>
      <c r="C798" s="1" t="s">
        <v>74</v>
      </c>
      <c r="D798" s="1" t="s">
        <v>74</v>
      </c>
      <c r="E798" s="1" t="s">
        <v>74</v>
      </c>
      <c r="F798" s="1" t="s">
        <v>6690</v>
      </c>
      <c r="G798" s="1" t="s">
        <v>74</v>
      </c>
      <c r="H798" s="1" t="s">
        <v>74</v>
      </c>
      <c r="I798" s="1" t="s">
        <v>6691</v>
      </c>
      <c r="J798" s="1" t="s">
        <v>6692</v>
      </c>
      <c r="K798" s="1" t="s">
        <v>74</v>
      </c>
      <c r="L798" s="1" t="s">
        <v>74</v>
      </c>
      <c r="M798" s="1" t="s">
        <v>74</v>
      </c>
      <c r="N798" s="1" t="s">
        <v>74</v>
      </c>
      <c r="O798" s="1" t="s">
        <v>74</v>
      </c>
      <c r="P798" s="1" t="s">
        <v>74</v>
      </c>
      <c r="Q798" s="1" t="s">
        <v>74</v>
      </c>
      <c r="R798" s="1" t="s">
        <v>74</v>
      </c>
      <c r="S798" s="1" t="s">
        <v>74</v>
      </c>
      <c r="T798" s="1" t="s">
        <v>74</v>
      </c>
      <c r="U798" s="1" t="s">
        <v>74</v>
      </c>
      <c r="V798" s="1" t="s">
        <v>74</v>
      </c>
      <c r="W798" s="1" t="s">
        <v>74</v>
      </c>
      <c r="X798" s="1" t="s">
        <v>74</v>
      </c>
      <c r="Y798" s="1" t="s">
        <v>74</v>
      </c>
      <c r="Z798" s="1" t="s">
        <v>74</v>
      </c>
      <c r="AA798" s="1" t="s">
        <v>74</v>
      </c>
      <c r="AB798" s="1" t="s">
        <v>74</v>
      </c>
      <c r="AC798" s="1" t="s">
        <v>74</v>
      </c>
      <c r="AD798" s="1" t="s">
        <v>74</v>
      </c>
      <c r="AE798" s="1" t="s">
        <v>74</v>
      </c>
      <c r="AF798" s="1" t="s">
        <v>74</v>
      </c>
      <c r="AG798" s="1" t="s">
        <v>74</v>
      </c>
      <c r="AH798" s="1" t="s">
        <v>74</v>
      </c>
      <c r="AI798" s="1" t="s">
        <v>74</v>
      </c>
      <c r="AJ798" s="1" t="s">
        <v>74</v>
      </c>
      <c r="AK798" s="1" t="s">
        <v>74</v>
      </c>
      <c r="AL798" s="1" t="s">
        <v>74</v>
      </c>
      <c r="AM798" s="1" t="s">
        <v>74</v>
      </c>
      <c r="AN798" s="1" t="s">
        <v>74</v>
      </c>
      <c r="AO798" s="1" t="s">
        <v>6693</v>
      </c>
      <c r="AP798" s="1" t="s">
        <v>74</v>
      </c>
      <c r="AQ798" s="1" t="s">
        <v>74</v>
      </c>
      <c r="AR798" s="1" t="s">
        <v>74</v>
      </c>
      <c r="AS798" s="1" t="s">
        <v>74</v>
      </c>
      <c r="AT798" s="1" t="s">
        <v>74</v>
      </c>
      <c r="AU798" s="1">
        <v>1984.0</v>
      </c>
      <c r="AV798" s="1">
        <v>15.0</v>
      </c>
      <c r="AW798" s="1">
        <v>3.0</v>
      </c>
      <c r="AX798" s="1" t="s">
        <v>74</v>
      </c>
      <c r="AY798" s="1" t="s">
        <v>74</v>
      </c>
      <c r="AZ798" s="1" t="s">
        <v>74</v>
      </c>
      <c r="BA798" s="1" t="s">
        <v>74</v>
      </c>
      <c r="BB798" s="1">
        <v>419.0</v>
      </c>
      <c r="BC798" s="1">
        <v>421.0</v>
      </c>
      <c r="BD798" s="1" t="s">
        <v>74</v>
      </c>
      <c r="BE798" s="1" t="s">
        <v>6694</v>
      </c>
      <c r="BF798" s="2" t="str">
        <f>HYPERLINK("http://dx.doi.org/10.1016/0021-8502(84)90133-2","http://dx.doi.org/10.1016/0021-8502(84)90133-2")</f>
        <v>http://dx.doi.org/10.1016/0021-8502(84)90133-2</v>
      </c>
      <c r="BG798" s="1" t="s">
        <v>74</v>
      </c>
      <c r="BH798" s="1" t="s">
        <v>74</v>
      </c>
      <c r="BI798" s="1" t="s">
        <v>74</v>
      </c>
      <c r="BJ798" s="1" t="s">
        <v>74</v>
      </c>
      <c r="BK798" s="1" t="s">
        <v>74</v>
      </c>
      <c r="BL798" s="1" t="s">
        <v>74</v>
      </c>
      <c r="BM798" s="1" t="s">
        <v>74</v>
      </c>
      <c r="BN798" s="1" t="s">
        <v>74</v>
      </c>
      <c r="BO798" s="1" t="s">
        <v>74</v>
      </c>
      <c r="BP798" s="1" t="s">
        <v>74</v>
      </c>
      <c r="BQ798" s="1" t="s">
        <v>74</v>
      </c>
      <c r="BR798" s="1" t="s">
        <v>74</v>
      </c>
      <c r="BS798" s="1" t="s">
        <v>6695</v>
      </c>
      <c r="BT798" s="1" t="str">
        <f>HYPERLINK("https%3A%2F%2Fwww.webofscience.com%2Fwos%2Fwoscc%2Ffull-record%2FWOS:A1984TB68800074","View Full Record in Web of Science")</f>
        <v>View Full Record in Web of Science</v>
      </c>
    </row>
    <row r="799" ht="12.75" customHeight="1">
      <c r="A799" s="1" t="s">
        <v>72</v>
      </c>
      <c r="B799" s="1" t="s">
        <v>6696</v>
      </c>
      <c r="C799" s="1" t="s">
        <v>74</v>
      </c>
      <c r="D799" s="1" t="s">
        <v>74</v>
      </c>
      <c r="E799" s="1" t="s">
        <v>74</v>
      </c>
      <c r="F799" s="1" t="s">
        <v>6696</v>
      </c>
      <c r="G799" s="1" t="s">
        <v>74</v>
      </c>
      <c r="H799" s="1" t="s">
        <v>74</v>
      </c>
      <c r="I799" s="1" t="s">
        <v>6697</v>
      </c>
      <c r="J799" s="1" t="s">
        <v>6698</v>
      </c>
      <c r="K799" s="1" t="s">
        <v>74</v>
      </c>
      <c r="L799" s="1" t="s">
        <v>74</v>
      </c>
      <c r="M799" s="1" t="s">
        <v>74</v>
      </c>
      <c r="N799" s="1" t="s">
        <v>74</v>
      </c>
      <c r="O799" s="1" t="s">
        <v>74</v>
      </c>
      <c r="P799" s="1" t="s">
        <v>74</v>
      </c>
      <c r="Q799" s="1" t="s">
        <v>74</v>
      </c>
      <c r="R799" s="1" t="s">
        <v>74</v>
      </c>
      <c r="S799" s="1" t="s">
        <v>74</v>
      </c>
      <c r="T799" s="1" t="s">
        <v>74</v>
      </c>
      <c r="U799" s="1" t="s">
        <v>74</v>
      </c>
      <c r="V799" s="1" t="s">
        <v>6699</v>
      </c>
      <c r="W799" s="1" t="s">
        <v>74</v>
      </c>
      <c r="X799" s="1" t="s">
        <v>74</v>
      </c>
      <c r="Y799" s="1" t="s">
        <v>74</v>
      </c>
      <c r="Z799" s="1" t="s">
        <v>74</v>
      </c>
      <c r="AA799" s="1" t="s">
        <v>6700</v>
      </c>
      <c r="AB799" s="1" t="s">
        <v>1015</v>
      </c>
      <c r="AC799" s="1" t="s">
        <v>74</v>
      </c>
      <c r="AD799" s="1" t="s">
        <v>74</v>
      </c>
      <c r="AE799" s="1" t="s">
        <v>74</v>
      </c>
      <c r="AF799" s="1" t="s">
        <v>74</v>
      </c>
      <c r="AG799" s="1" t="s">
        <v>74</v>
      </c>
      <c r="AH799" s="1" t="s">
        <v>74</v>
      </c>
      <c r="AI799" s="1" t="s">
        <v>74</v>
      </c>
      <c r="AJ799" s="1" t="s">
        <v>74</v>
      </c>
      <c r="AK799" s="1" t="s">
        <v>74</v>
      </c>
      <c r="AL799" s="1" t="s">
        <v>74</v>
      </c>
      <c r="AM799" s="1" t="s">
        <v>74</v>
      </c>
      <c r="AN799" s="1" t="s">
        <v>74</v>
      </c>
      <c r="AO799" s="1" t="s">
        <v>6701</v>
      </c>
      <c r="AP799" s="1" t="s">
        <v>74</v>
      </c>
      <c r="AQ799" s="1" t="s">
        <v>74</v>
      </c>
      <c r="AR799" s="1" t="s">
        <v>74</v>
      </c>
      <c r="AS799" s="1" t="s">
        <v>74</v>
      </c>
      <c r="AT799" s="1" t="s">
        <v>74</v>
      </c>
      <c r="AU799" s="1">
        <v>1978.0</v>
      </c>
      <c r="AV799" s="1">
        <v>41.0</v>
      </c>
      <c r="AW799" s="1">
        <v>2.0</v>
      </c>
      <c r="AX799" s="1" t="s">
        <v>74</v>
      </c>
      <c r="AY799" s="1" t="s">
        <v>74</v>
      </c>
      <c r="AZ799" s="1" t="s">
        <v>74</v>
      </c>
      <c r="BA799" s="1" t="s">
        <v>74</v>
      </c>
      <c r="BB799" s="1">
        <v>98.0</v>
      </c>
      <c r="BC799" s="1">
        <v>113.0</v>
      </c>
      <c r="BD799" s="1" t="s">
        <v>74</v>
      </c>
      <c r="BE799" s="1" t="s">
        <v>74</v>
      </c>
      <c r="BF799" s="1" t="s">
        <v>74</v>
      </c>
      <c r="BG799" s="1" t="s">
        <v>74</v>
      </c>
      <c r="BH799" s="1" t="s">
        <v>74</v>
      </c>
      <c r="BI799" s="1" t="s">
        <v>74</v>
      </c>
      <c r="BJ799" s="1" t="s">
        <v>74</v>
      </c>
      <c r="BK799" s="1" t="s">
        <v>74</v>
      </c>
      <c r="BL799" s="1" t="s">
        <v>74</v>
      </c>
      <c r="BM799" s="1" t="s">
        <v>74</v>
      </c>
      <c r="BN799" s="1" t="s">
        <v>74</v>
      </c>
      <c r="BO799" s="1" t="s">
        <v>74</v>
      </c>
      <c r="BP799" s="1" t="s">
        <v>74</v>
      </c>
      <c r="BQ799" s="1" t="s">
        <v>74</v>
      </c>
      <c r="BR799" s="1" t="s">
        <v>74</v>
      </c>
      <c r="BS799" s="1" t="s">
        <v>6702</v>
      </c>
      <c r="BT799" s="1" t="str">
        <f>HYPERLINK("https%3A%2F%2Fwww.webofscience.com%2Fwos%2Fwoscc%2Ffull-record%2FWOS:A1978FA95500002","View Full Record in Web of Science")</f>
        <v>View Full Record in Web of Science</v>
      </c>
    </row>
    <row r="800" ht="12.75" customHeight="1">
      <c r="A800" s="1" t="s">
        <v>72</v>
      </c>
      <c r="B800" s="1" t="s">
        <v>6703</v>
      </c>
      <c r="C800" s="1" t="s">
        <v>74</v>
      </c>
      <c r="D800" s="1" t="s">
        <v>74</v>
      </c>
      <c r="E800" s="1" t="s">
        <v>74</v>
      </c>
      <c r="F800" s="1" t="s">
        <v>6704</v>
      </c>
      <c r="G800" s="1" t="s">
        <v>74</v>
      </c>
      <c r="H800" s="1" t="s">
        <v>74</v>
      </c>
      <c r="I800" s="1" t="s">
        <v>6705</v>
      </c>
      <c r="J800" s="1" t="s">
        <v>1249</v>
      </c>
      <c r="K800" s="1" t="s">
        <v>74</v>
      </c>
      <c r="L800" s="1" t="s">
        <v>74</v>
      </c>
      <c r="M800" s="1" t="s">
        <v>74</v>
      </c>
      <c r="N800" s="1" t="s">
        <v>74</v>
      </c>
      <c r="O800" s="1" t="s">
        <v>74</v>
      </c>
      <c r="P800" s="1" t="s">
        <v>74</v>
      </c>
      <c r="Q800" s="1" t="s">
        <v>74</v>
      </c>
      <c r="R800" s="1" t="s">
        <v>74</v>
      </c>
      <c r="S800" s="1" t="s">
        <v>74</v>
      </c>
      <c r="T800" s="1" t="s">
        <v>74</v>
      </c>
      <c r="U800" s="1" t="s">
        <v>74</v>
      </c>
      <c r="V800" s="1" t="s">
        <v>6706</v>
      </c>
      <c r="W800" s="1" t="s">
        <v>74</v>
      </c>
      <c r="X800" s="1" t="s">
        <v>74</v>
      </c>
      <c r="Y800" s="1" t="s">
        <v>74</v>
      </c>
      <c r="Z800" s="1" t="s">
        <v>74</v>
      </c>
      <c r="AA800" s="1" t="s">
        <v>296</v>
      </c>
      <c r="AB800" s="1" t="s">
        <v>486</v>
      </c>
      <c r="AC800" s="1" t="s">
        <v>74</v>
      </c>
      <c r="AD800" s="1" t="s">
        <v>74</v>
      </c>
      <c r="AE800" s="1" t="s">
        <v>74</v>
      </c>
      <c r="AF800" s="1" t="s">
        <v>74</v>
      </c>
      <c r="AG800" s="1" t="s">
        <v>74</v>
      </c>
      <c r="AH800" s="1" t="s">
        <v>74</v>
      </c>
      <c r="AI800" s="1" t="s">
        <v>74</v>
      </c>
      <c r="AJ800" s="1" t="s">
        <v>74</v>
      </c>
      <c r="AK800" s="1" t="s">
        <v>74</v>
      </c>
      <c r="AL800" s="1" t="s">
        <v>74</v>
      </c>
      <c r="AM800" s="1" t="s">
        <v>74</v>
      </c>
      <c r="AN800" s="1" t="s">
        <v>74</v>
      </c>
      <c r="AO800" s="1" t="s">
        <v>74</v>
      </c>
      <c r="AP800" s="1" t="s">
        <v>1251</v>
      </c>
      <c r="AQ800" s="1" t="s">
        <v>74</v>
      </c>
      <c r="AR800" s="1" t="s">
        <v>74</v>
      </c>
      <c r="AS800" s="1" t="s">
        <v>74</v>
      </c>
      <c r="AT800" s="1" t="s">
        <v>288</v>
      </c>
      <c r="AU800" s="1">
        <v>2025.0</v>
      </c>
      <c r="AV800" s="1">
        <v>13.0</v>
      </c>
      <c r="AW800" s="1">
        <v>2.0</v>
      </c>
      <c r="AX800" s="1" t="s">
        <v>74</v>
      </c>
      <c r="AY800" s="1" t="s">
        <v>74</v>
      </c>
      <c r="AZ800" s="1" t="s">
        <v>74</v>
      </c>
      <c r="BA800" s="1" t="s">
        <v>74</v>
      </c>
      <c r="BB800" s="1" t="s">
        <v>74</v>
      </c>
      <c r="BC800" s="1" t="s">
        <v>74</v>
      </c>
      <c r="BD800" s="1">
        <v>47.0</v>
      </c>
      <c r="BE800" s="1" t="s">
        <v>6707</v>
      </c>
      <c r="BF800" s="2" t="str">
        <f>HYPERLINK("http://dx.doi.org/10.3390/technologies13020047","http://dx.doi.org/10.3390/technologies13020047")</f>
        <v>http://dx.doi.org/10.3390/technologies13020047</v>
      </c>
      <c r="BG800" s="1" t="s">
        <v>74</v>
      </c>
      <c r="BH800" s="1" t="s">
        <v>74</v>
      </c>
      <c r="BI800" s="1" t="s">
        <v>74</v>
      </c>
      <c r="BJ800" s="1" t="s">
        <v>74</v>
      </c>
      <c r="BK800" s="1" t="s">
        <v>74</v>
      </c>
      <c r="BL800" s="1" t="s">
        <v>74</v>
      </c>
      <c r="BM800" s="1" t="s">
        <v>74</v>
      </c>
      <c r="BN800" s="1" t="s">
        <v>74</v>
      </c>
      <c r="BO800" s="1" t="s">
        <v>74</v>
      </c>
      <c r="BP800" s="1" t="s">
        <v>74</v>
      </c>
      <c r="BQ800" s="1" t="s">
        <v>74</v>
      </c>
      <c r="BR800" s="1" t="s">
        <v>74</v>
      </c>
      <c r="BS800" s="1" t="s">
        <v>6708</v>
      </c>
      <c r="BT800" s="1" t="str">
        <f>HYPERLINK("https%3A%2F%2Fwww.webofscience.com%2Fwos%2Fwoscc%2Ffull-record%2FWOS:001429583800001","View Full Record in Web of Science")</f>
        <v>View Full Record in Web of Science</v>
      </c>
    </row>
    <row r="801" ht="12.75" customHeight="1">
      <c r="A801" s="1" t="s">
        <v>72</v>
      </c>
      <c r="B801" s="1" t="s">
        <v>4808</v>
      </c>
      <c r="C801" s="1" t="s">
        <v>74</v>
      </c>
      <c r="D801" s="1" t="s">
        <v>74</v>
      </c>
      <c r="E801" s="1" t="s">
        <v>74</v>
      </c>
      <c r="F801" s="1" t="s">
        <v>6709</v>
      </c>
      <c r="G801" s="1" t="s">
        <v>74</v>
      </c>
      <c r="H801" s="1" t="s">
        <v>74</v>
      </c>
      <c r="I801" s="1" t="s">
        <v>6710</v>
      </c>
      <c r="J801" s="1" t="s">
        <v>1993</v>
      </c>
      <c r="K801" s="1" t="s">
        <v>74</v>
      </c>
      <c r="L801" s="1" t="s">
        <v>74</v>
      </c>
      <c r="M801" s="1" t="s">
        <v>74</v>
      </c>
      <c r="N801" s="1" t="s">
        <v>74</v>
      </c>
      <c r="O801" s="1" t="s">
        <v>74</v>
      </c>
      <c r="P801" s="1" t="s">
        <v>74</v>
      </c>
      <c r="Q801" s="1" t="s">
        <v>74</v>
      </c>
      <c r="R801" s="1" t="s">
        <v>74</v>
      </c>
      <c r="S801" s="1" t="s">
        <v>74</v>
      </c>
      <c r="T801" s="1" t="s">
        <v>74</v>
      </c>
      <c r="U801" s="1" t="s">
        <v>74</v>
      </c>
      <c r="V801" s="1" t="s">
        <v>6711</v>
      </c>
      <c r="W801" s="1" t="s">
        <v>74</v>
      </c>
      <c r="X801" s="1" t="s">
        <v>74</v>
      </c>
      <c r="Y801" s="1" t="s">
        <v>74</v>
      </c>
      <c r="Z801" s="1" t="s">
        <v>74</v>
      </c>
      <c r="AA801" s="1" t="s">
        <v>74</v>
      </c>
      <c r="AB801" s="1" t="s">
        <v>74</v>
      </c>
      <c r="AC801" s="1" t="s">
        <v>74</v>
      </c>
      <c r="AD801" s="1" t="s">
        <v>74</v>
      </c>
      <c r="AE801" s="1" t="s">
        <v>74</v>
      </c>
      <c r="AF801" s="1" t="s">
        <v>74</v>
      </c>
      <c r="AG801" s="1" t="s">
        <v>74</v>
      </c>
      <c r="AH801" s="1" t="s">
        <v>74</v>
      </c>
      <c r="AI801" s="1" t="s">
        <v>74</v>
      </c>
      <c r="AJ801" s="1" t="s">
        <v>74</v>
      </c>
      <c r="AK801" s="1" t="s">
        <v>74</v>
      </c>
      <c r="AL801" s="1" t="s">
        <v>74</v>
      </c>
      <c r="AM801" s="1" t="s">
        <v>74</v>
      </c>
      <c r="AN801" s="1" t="s">
        <v>74</v>
      </c>
      <c r="AO801" s="1" t="s">
        <v>1995</v>
      </c>
      <c r="AP801" s="1" t="s">
        <v>1996</v>
      </c>
      <c r="AQ801" s="1" t="s">
        <v>74</v>
      </c>
      <c r="AR801" s="1" t="s">
        <v>74</v>
      </c>
      <c r="AS801" s="1" t="s">
        <v>74</v>
      </c>
      <c r="AT801" s="1" t="s">
        <v>438</v>
      </c>
      <c r="AU801" s="1">
        <v>2025.0</v>
      </c>
      <c r="AV801" s="1">
        <v>23.0</v>
      </c>
      <c r="AW801" s="1">
        <v>49.0</v>
      </c>
      <c r="AX801" s="1" t="s">
        <v>74</v>
      </c>
      <c r="AY801" s="1" t="s">
        <v>74</v>
      </c>
      <c r="AZ801" s="1" t="s">
        <v>74</v>
      </c>
      <c r="BA801" s="1" t="s">
        <v>74</v>
      </c>
      <c r="BB801" s="1" t="s">
        <v>74</v>
      </c>
      <c r="BC801" s="1" t="s">
        <v>74</v>
      </c>
      <c r="BD801" s="1" t="s">
        <v>74</v>
      </c>
      <c r="BE801" s="1" t="s">
        <v>6712</v>
      </c>
      <c r="BF801" s="2" t="str">
        <f>HYPERLINK("http://dx.doi.org/10.21830/19006586.1402","http://dx.doi.org/10.21830/19006586.1402")</f>
        <v>http://dx.doi.org/10.21830/19006586.1402</v>
      </c>
      <c r="BG801" s="1" t="s">
        <v>74</v>
      </c>
      <c r="BH801" s="1" t="s">
        <v>74</v>
      </c>
      <c r="BI801" s="1" t="s">
        <v>74</v>
      </c>
      <c r="BJ801" s="1" t="s">
        <v>74</v>
      </c>
      <c r="BK801" s="1" t="s">
        <v>74</v>
      </c>
      <c r="BL801" s="1" t="s">
        <v>74</v>
      </c>
      <c r="BM801" s="1" t="s">
        <v>74</v>
      </c>
      <c r="BN801" s="1" t="s">
        <v>74</v>
      </c>
      <c r="BO801" s="1" t="s">
        <v>74</v>
      </c>
      <c r="BP801" s="1" t="s">
        <v>74</v>
      </c>
      <c r="BQ801" s="1" t="s">
        <v>74</v>
      </c>
      <c r="BR801" s="1" t="s">
        <v>74</v>
      </c>
      <c r="BS801" s="1" t="s">
        <v>6713</v>
      </c>
      <c r="BT801" s="1" t="str">
        <f>HYPERLINK("https%3A%2F%2Fwww.webofscience.com%2Fwos%2Fwoscc%2Ffull-record%2FWOS:001467812500005","View Full Record in Web of Science")</f>
        <v>View Full Record in Web of Science</v>
      </c>
    </row>
    <row r="802" ht="12.75" customHeight="1">
      <c r="A802" s="1" t="s">
        <v>72</v>
      </c>
      <c r="B802" s="1" t="s">
        <v>6714</v>
      </c>
      <c r="C802" s="1" t="s">
        <v>74</v>
      </c>
      <c r="D802" s="1" t="s">
        <v>74</v>
      </c>
      <c r="E802" s="1" t="s">
        <v>74</v>
      </c>
      <c r="F802" s="1" t="s">
        <v>6715</v>
      </c>
      <c r="G802" s="1" t="s">
        <v>74</v>
      </c>
      <c r="H802" s="1" t="s">
        <v>74</v>
      </c>
      <c r="I802" s="1" t="s">
        <v>6716</v>
      </c>
      <c r="J802" s="1" t="s">
        <v>1249</v>
      </c>
      <c r="K802" s="1" t="s">
        <v>74</v>
      </c>
      <c r="L802" s="1" t="s">
        <v>74</v>
      </c>
      <c r="M802" s="1" t="s">
        <v>74</v>
      </c>
      <c r="N802" s="1" t="s">
        <v>74</v>
      </c>
      <c r="O802" s="1" t="s">
        <v>74</v>
      </c>
      <c r="P802" s="1" t="s">
        <v>74</v>
      </c>
      <c r="Q802" s="1" t="s">
        <v>74</v>
      </c>
      <c r="R802" s="1" t="s">
        <v>74</v>
      </c>
      <c r="S802" s="1" t="s">
        <v>74</v>
      </c>
      <c r="T802" s="1" t="s">
        <v>74</v>
      </c>
      <c r="U802" s="1" t="s">
        <v>74</v>
      </c>
      <c r="V802" s="1" t="s">
        <v>6717</v>
      </c>
      <c r="W802" s="1" t="s">
        <v>74</v>
      </c>
      <c r="X802" s="1" t="s">
        <v>74</v>
      </c>
      <c r="Y802" s="1" t="s">
        <v>74</v>
      </c>
      <c r="Z802" s="1" t="s">
        <v>74</v>
      </c>
      <c r="AA802" s="1" t="s">
        <v>296</v>
      </c>
      <c r="AB802" s="1" t="s">
        <v>6718</v>
      </c>
      <c r="AC802" s="1" t="s">
        <v>74</v>
      </c>
      <c r="AD802" s="1" t="s">
        <v>74</v>
      </c>
      <c r="AE802" s="1" t="s">
        <v>74</v>
      </c>
      <c r="AF802" s="1" t="s">
        <v>74</v>
      </c>
      <c r="AG802" s="1" t="s">
        <v>74</v>
      </c>
      <c r="AH802" s="1" t="s">
        <v>74</v>
      </c>
      <c r="AI802" s="1" t="s">
        <v>74</v>
      </c>
      <c r="AJ802" s="1" t="s">
        <v>74</v>
      </c>
      <c r="AK802" s="1" t="s">
        <v>74</v>
      </c>
      <c r="AL802" s="1" t="s">
        <v>74</v>
      </c>
      <c r="AM802" s="1" t="s">
        <v>74</v>
      </c>
      <c r="AN802" s="1" t="s">
        <v>74</v>
      </c>
      <c r="AO802" s="1" t="s">
        <v>74</v>
      </c>
      <c r="AP802" s="1" t="s">
        <v>1251</v>
      </c>
      <c r="AQ802" s="1" t="s">
        <v>74</v>
      </c>
      <c r="AR802" s="1" t="s">
        <v>74</v>
      </c>
      <c r="AS802" s="1" t="s">
        <v>74</v>
      </c>
      <c r="AT802" s="1" t="s">
        <v>276</v>
      </c>
      <c r="AU802" s="1">
        <v>2024.0</v>
      </c>
      <c r="AV802" s="1">
        <v>12.0</v>
      </c>
      <c r="AW802" s="1">
        <v>9.0</v>
      </c>
      <c r="AX802" s="1" t="s">
        <v>74</v>
      </c>
      <c r="AY802" s="1" t="s">
        <v>74</v>
      </c>
      <c r="AZ802" s="1" t="s">
        <v>74</v>
      </c>
      <c r="BA802" s="1" t="s">
        <v>74</v>
      </c>
      <c r="BB802" s="1" t="s">
        <v>74</v>
      </c>
      <c r="BC802" s="1" t="s">
        <v>74</v>
      </c>
      <c r="BD802" s="1">
        <v>162.0</v>
      </c>
      <c r="BE802" s="1" t="s">
        <v>6719</v>
      </c>
      <c r="BF802" s="2" t="str">
        <f>HYPERLINK("http://dx.doi.org/10.3390/technologies12090162","http://dx.doi.org/10.3390/technologies12090162")</f>
        <v>http://dx.doi.org/10.3390/technologies12090162</v>
      </c>
      <c r="BG802" s="1" t="s">
        <v>74</v>
      </c>
      <c r="BH802" s="1" t="s">
        <v>74</v>
      </c>
      <c r="BI802" s="1" t="s">
        <v>74</v>
      </c>
      <c r="BJ802" s="1" t="s">
        <v>74</v>
      </c>
      <c r="BK802" s="1" t="s">
        <v>74</v>
      </c>
      <c r="BL802" s="1" t="s">
        <v>74</v>
      </c>
      <c r="BM802" s="1" t="s">
        <v>74</v>
      </c>
      <c r="BN802" s="1" t="s">
        <v>74</v>
      </c>
      <c r="BO802" s="1" t="s">
        <v>74</v>
      </c>
      <c r="BP802" s="1" t="s">
        <v>74</v>
      </c>
      <c r="BQ802" s="1" t="s">
        <v>74</v>
      </c>
      <c r="BR802" s="1" t="s">
        <v>74</v>
      </c>
      <c r="BS802" s="1" t="s">
        <v>6720</v>
      </c>
      <c r="BT802" s="1" t="str">
        <f>HYPERLINK("https%3A%2F%2Fwww.webofscience.com%2Fwos%2Fwoscc%2Ffull-record%2FWOS:001323132500001","View Full Record in Web of Science")</f>
        <v>View Full Record in Web of Science</v>
      </c>
    </row>
    <row r="803" ht="12.75" customHeight="1">
      <c r="A803" s="1" t="s">
        <v>72</v>
      </c>
      <c r="B803" s="1" t="s">
        <v>6721</v>
      </c>
      <c r="C803" s="1" t="s">
        <v>74</v>
      </c>
      <c r="D803" s="1" t="s">
        <v>74</v>
      </c>
      <c r="E803" s="1" t="s">
        <v>74</v>
      </c>
      <c r="F803" s="1" t="s">
        <v>6722</v>
      </c>
      <c r="G803" s="1" t="s">
        <v>74</v>
      </c>
      <c r="H803" s="1" t="s">
        <v>74</v>
      </c>
      <c r="I803" s="1" t="s">
        <v>6723</v>
      </c>
      <c r="J803" s="1" t="s">
        <v>6724</v>
      </c>
      <c r="K803" s="1" t="s">
        <v>74</v>
      </c>
      <c r="L803" s="1" t="s">
        <v>74</v>
      </c>
      <c r="M803" s="1" t="s">
        <v>74</v>
      </c>
      <c r="N803" s="1" t="s">
        <v>74</v>
      </c>
      <c r="O803" s="1" t="s">
        <v>74</v>
      </c>
      <c r="P803" s="1" t="s">
        <v>74</v>
      </c>
      <c r="Q803" s="1" t="s">
        <v>74</v>
      </c>
      <c r="R803" s="1" t="s">
        <v>74</v>
      </c>
      <c r="S803" s="1" t="s">
        <v>74</v>
      </c>
      <c r="T803" s="1" t="s">
        <v>74</v>
      </c>
      <c r="U803" s="1" t="s">
        <v>74</v>
      </c>
      <c r="V803" s="1" t="s">
        <v>6725</v>
      </c>
      <c r="W803" s="1" t="s">
        <v>74</v>
      </c>
      <c r="X803" s="1" t="s">
        <v>74</v>
      </c>
      <c r="Y803" s="1" t="s">
        <v>74</v>
      </c>
      <c r="Z803" s="1" t="s">
        <v>74</v>
      </c>
      <c r="AA803" s="1" t="s">
        <v>6726</v>
      </c>
      <c r="AB803" s="1" t="s">
        <v>6727</v>
      </c>
      <c r="AC803" s="1" t="s">
        <v>74</v>
      </c>
      <c r="AD803" s="1" t="s">
        <v>74</v>
      </c>
      <c r="AE803" s="1" t="s">
        <v>74</v>
      </c>
      <c r="AF803" s="1" t="s">
        <v>74</v>
      </c>
      <c r="AG803" s="1" t="s">
        <v>74</v>
      </c>
      <c r="AH803" s="1" t="s">
        <v>74</v>
      </c>
      <c r="AI803" s="1" t="s">
        <v>74</v>
      </c>
      <c r="AJ803" s="1" t="s">
        <v>74</v>
      </c>
      <c r="AK803" s="1" t="s">
        <v>74</v>
      </c>
      <c r="AL803" s="1" t="s">
        <v>74</v>
      </c>
      <c r="AM803" s="1" t="s">
        <v>74</v>
      </c>
      <c r="AN803" s="1" t="s">
        <v>74</v>
      </c>
      <c r="AO803" s="1" t="s">
        <v>6728</v>
      </c>
      <c r="AP803" s="1" t="s">
        <v>74</v>
      </c>
      <c r="AQ803" s="1" t="s">
        <v>74</v>
      </c>
      <c r="AR803" s="1" t="s">
        <v>74</v>
      </c>
      <c r="AS803" s="1" t="s">
        <v>74</v>
      </c>
      <c r="AT803" s="1" t="s">
        <v>6729</v>
      </c>
      <c r="AU803" s="1">
        <v>2024.0</v>
      </c>
      <c r="AV803" s="1">
        <v>11.0</v>
      </c>
      <c r="AW803" s="1">
        <v>16.0</v>
      </c>
      <c r="AX803" s="1" t="s">
        <v>74</v>
      </c>
      <c r="AY803" s="1" t="s">
        <v>74</v>
      </c>
      <c r="AZ803" s="1" t="s">
        <v>74</v>
      </c>
      <c r="BA803" s="1" t="s">
        <v>74</v>
      </c>
      <c r="BB803" s="1" t="s">
        <v>74</v>
      </c>
      <c r="BC803" s="1" t="s">
        <v>74</v>
      </c>
      <c r="BD803" s="1" t="s">
        <v>74</v>
      </c>
      <c r="BE803" s="1" t="s">
        <v>6730</v>
      </c>
      <c r="BF803" s="2" t="str">
        <f>HYPERLINK("http://dx.doi.org/10.1002/celc.202400186","http://dx.doi.org/10.1002/celc.202400186")</f>
        <v>http://dx.doi.org/10.1002/celc.202400186</v>
      </c>
      <c r="BG803" s="1" t="s">
        <v>74</v>
      </c>
      <c r="BH803" s="1" t="s">
        <v>278</v>
      </c>
      <c r="BI803" s="1" t="s">
        <v>74</v>
      </c>
      <c r="BJ803" s="1" t="s">
        <v>74</v>
      </c>
      <c r="BK803" s="1" t="s">
        <v>74</v>
      </c>
      <c r="BL803" s="1" t="s">
        <v>74</v>
      </c>
      <c r="BM803" s="1" t="s">
        <v>74</v>
      </c>
      <c r="BN803" s="1" t="s">
        <v>74</v>
      </c>
      <c r="BO803" s="1" t="s">
        <v>74</v>
      </c>
      <c r="BP803" s="1" t="s">
        <v>74</v>
      </c>
      <c r="BQ803" s="1" t="s">
        <v>74</v>
      </c>
      <c r="BR803" s="1" t="s">
        <v>74</v>
      </c>
      <c r="BS803" s="1" t="s">
        <v>6731</v>
      </c>
      <c r="BT803" s="1" t="str">
        <f>HYPERLINK("https%3A%2F%2Fwww.webofscience.com%2Fwos%2Fwoscc%2Ffull-record%2FWOS:001259841800001","View Full Record in Web of Science")</f>
        <v>View Full Record in Web of Science</v>
      </c>
    </row>
    <row r="804" ht="12.75" customHeight="1">
      <c r="A804" s="1" t="s">
        <v>72</v>
      </c>
      <c r="B804" s="1" t="s">
        <v>6732</v>
      </c>
      <c r="C804" s="1" t="s">
        <v>74</v>
      </c>
      <c r="D804" s="1" t="s">
        <v>74</v>
      </c>
      <c r="E804" s="1" t="s">
        <v>74</v>
      </c>
      <c r="F804" s="1" t="s">
        <v>6733</v>
      </c>
      <c r="G804" s="1" t="s">
        <v>74</v>
      </c>
      <c r="H804" s="1" t="s">
        <v>74</v>
      </c>
      <c r="I804" s="1" t="s">
        <v>6734</v>
      </c>
      <c r="J804" s="1" t="s">
        <v>6735</v>
      </c>
      <c r="K804" s="1" t="s">
        <v>74</v>
      </c>
      <c r="L804" s="1" t="s">
        <v>74</v>
      </c>
      <c r="M804" s="1" t="s">
        <v>74</v>
      </c>
      <c r="N804" s="1" t="s">
        <v>74</v>
      </c>
      <c r="O804" s="1" t="s">
        <v>74</v>
      </c>
      <c r="P804" s="1" t="s">
        <v>74</v>
      </c>
      <c r="Q804" s="1" t="s">
        <v>74</v>
      </c>
      <c r="R804" s="1" t="s">
        <v>74</v>
      </c>
      <c r="S804" s="1" t="s">
        <v>74</v>
      </c>
      <c r="T804" s="1" t="s">
        <v>74</v>
      </c>
      <c r="U804" s="1" t="s">
        <v>74</v>
      </c>
      <c r="V804" s="1" t="s">
        <v>6736</v>
      </c>
      <c r="W804" s="1" t="s">
        <v>74</v>
      </c>
      <c r="X804" s="1" t="s">
        <v>74</v>
      </c>
      <c r="Y804" s="1" t="s">
        <v>74</v>
      </c>
      <c r="Z804" s="1" t="s">
        <v>74</v>
      </c>
      <c r="AA804" s="1" t="s">
        <v>6737</v>
      </c>
      <c r="AB804" s="1" t="s">
        <v>6738</v>
      </c>
      <c r="AC804" s="1" t="s">
        <v>74</v>
      </c>
      <c r="AD804" s="1" t="s">
        <v>74</v>
      </c>
      <c r="AE804" s="1" t="s">
        <v>74</v>
      </c>
      <c r="AF804" s="1" t="s">
        <v>74</v>
      </c>
      <c r="AG804" s="1" t="s">
        <v>74</v>
      </c>
      <c r="AH804" s="1" t="s">
        <v>74</v>
      </c>
      <c r="AI804" s="1" t="s">
        <v>74</v>
      </c>
      <c r="AJ804" s="1" t="s">
        <v>74</v>
      </c>
      <c r="AK804" s="1" t="s">
        <v>74</v>
      </c>
      <c r="AL804" s="1" t="s">
        <v>74</v>
      </c>
      <c r="AM804" s="1" t="s">
        <v>74</v>
      </c>
      <c r="AN804" s="1" t="s">
        <v>74</v>
      </c>
      <c r="AO804" s="1" t="s">
        <v>6739</v>
      </c>
      <c r="AP804" s="1" t="s">
        <v>6740</v>
      </c>
      <c r="AQ804" s="1" t="s">
        <v>74</v>
      </c>
      <c r="AR804" s="1" t="s">
        <v>74</v>
      </c>
      <c r="AS804" s="1" t="s">
        <v>74</v>
      </c>
      <c r="AT804" s="1" t="s">
        <v>6741</v>
      </c>
      <c r="AU804" s="1">
        <v>2024.0</v>
      </c>
      <c r="AV804" s="1">
        <v>37.0</v>
      </c>
      <c r="AW804" s="1">
        <v>2.0</v>
      </c>
      <c r="AX804" s="1" t="s">
        <v>74</v>
      </c>
      <c r="AY804" s="1" t="s">
        <v>74</v>
      </c>
      <c r="AZ804" s="1" t="s">
        <v>74</v>
      </c>
      <c r="BA804" s="1" t="s">
        <v>74</v>
      </c>
      <c r="BB804" s="1">
        <v>265.0</v>
      </c>
      <c r="BC804" s="1">
        <v>286.0</v>
      </c>
      <c r="BD804" s="1" t="s">
        <v>74</v>
      </c>
      <c r="BE804" s="1" t="s">
        <v>6742</v>
      </c>
      <c r="BF804" s="2" t="str">
        <f>HYPERLINK("http://dx.doi.org/10.1108/ARLA-03-2023-0051","http://dx.doi.org/10.1108/ARLA-03-2023-0051")</f>
        <v>http://dx.doi.org/10.1108/ARLA-03-2023-0051</v>
      </c>
      <c r="BG804" s="1" t="s">
        <v>74</v>
      </c>
      <c r="BH804" s="1" t="s">
        <v>6743</v>
      </c>
      <c r="BI804" s="1" t="s">
        <v>74</v>
      </c>
      <c r="BJ804" s="1" t="s">
        <v>74</v>
      </c>
      <c r="BK804" s="1" t="s">
        <v>74</v>
      </c>
      <c r="BL804" s="1" t="s">
        <v>74</v>
      </c>
      <c r="BM804" s="1" t="s">
        <v>74</v>
      </c>
      <c r="BN804" s="1" t="s">
        <v>74</v>
      </c>
      <c r="BO804" s="1" t="s">
        <v>74</v>
      </c>
      <c r="BP804" s="1" t="s">
        <v>74</v>
      </c>
      <c r="BQ804" s="1" t="s">
        <v>74</v>
      </c>
      <c r="BR804" s="1" t="s">
        <v>74</v>
      </c>
      <c r="BS804" s="1" t="s">
        <v>6744</v>
      </c>
      <c r="BT804" s="1" t="str">
        <f>HYPERLINK("https%3A%2F%2Fwww.webofscience.com%2Fwos%2Fwoscc%2Ffull-record%2FWOS:001207439100001","View Full Record in Web of Science")</f>
        <v>View Full Record in Web of Science</v>
      </c>
    </row>
    <row r="805" ht="12.75" customHeight="1">
      <c r="A805" s="1" t="s">
        <v>72</v>
      </c>
      <c r="B805" s="1" t="s">
        <v>6745</v>
      </c>
      <c r="C805" s="1" t="s">
        <v>74</v>
      </c>
      <c r="D805" s="1" t="s">
        <v>74</v>
      </c>
      <c r="E805" s="1" t="s">
        <v>74</v>
      </c>
      <c r="F805" s="1" t="s">
        <v>6746</v>
      </c>
      <c r="G805" s="1" t="s">
        <v>74</v>
      </c>
      <c r="H805" s="1" t="s">
        <v>74</v>
      </c>
      <c r="I805" s="1" t="s">
        <v>6747</v>
      </c>
      <c r="J805" s="1" t="s">
        <v>986</v>
      </c>
      <c r="K805" s="1" t="s">
        <v>74</v>
      </c>
      <c r="L805" s="1" t="s">
        <v>74</v>
      </c>
      <c r="M805" s="1" t="s">
        <v>74</v>
      </c>
      <c r="N805" s="1" t="s">
        <v>74</v>
      </c>
      <c r="O805" s="1" t="s">
        <v>74</v>
      </c>
      <c r="P805" s="1" t="s">
        <v>74</v>
      </c>
      <c r="Q805" s="1" t="s">
        <v>74</v>
      </c>
      <c r="R805" s="1" t="s">
        <v>74</v>
      </c>
      <c r="S805" s="1" t="s">
        <v>74</v>
      </c>
      <c r="T805" s="1" t="s">
        <v>74</v>
      </c>
      <c r="U805" s="1" t="s">
        <v>74</v>
      </c>
      <c r="V805" s="1" t="s">
        <v>6748</v>
      </c>
      <c r="W805" s="1" t="s">
        <v>74</v>
      </c>
      <c r="X805" s="1" t="s">
        <v>74</v>
      </c>
      <c r="Y805" s="1" t="s">
        <v>74</v>
      </c>
      <c r="Z805" s="1" t="s">
        <v>74</v>
      </c>
      <c r="AA805" s="1" t="s">
        <v>6749</v>
      </c>
      <c r="AB805" s="1" t="s">
        <v>74</v>
      </c>
      <c r="AC805" s="1" t="s">
        <v>74</v>
      </c>
      <c r="AD805" s="1" t="s">
        <v>74</v>
      </c>
      <c r="AE805" s="1" t="s">
        <v>74</v>
      </c>
      <c r="AF805" s="1" t="s">
        <v>74</v>
      </c>
      <c r="AG805" s="1" t="s">
        <v>74</v>
      </c>
      <c r="AH805" s="1" t="s">
        <v>74</v>
      </c>
      <c r="AI805" s="1" t="s">
        <v>74</v>
      </c>
      <c r="AJ805" s="1" t="s">
        <v>74</v>
      </c>
      <c r="AK805" s="1" t="s">
        <v>74</v>
      </c>
      <c r="AL805" s="1" t="s">
        <v>74</v>
      </c>
      <c r="AM805" s="1" t="s">
        <v>74</v>
      </c>
      <c r="AN805" s="1" t="s">
        <v>74</v>
      </c>
      <c r="AO805" s="1" t="s">
        <v>990</v>
      </c>
      <c r="AP805" s="1" t="s">
        <v>991</v>
      </c>
      <c r="AQ805" s="1" t="s">
        <v>74</v>
      </c>
      <c r="AR805" s="1" t="s">
        <v>74</v>
      </c>
      <c r="AS805" s="1" t="s">
        <v>74</v>
      </c>
      <c r="AT805" s="1" t="s">
        <v>6750</v>
      </c>
      <c r="AU805" s="1">
        <v>2024.0</v>
      </c>
      <c r="AV805" s="1">
        <v>383.0</v>
      </c>
      <c r="AW805" s="1" t="s">
        <v>74</v>
      </c>
      <c r="AX805" s="1" t="s">
        <v>74</v>
      </c>
      <c r="AY805" s="1" t="s">
        <v>74</v>
      </c>
      <c r="AZ805" s="1" t="s">
        <v>74</v>
      </c>
      <c r="BA805" s="1" t="s">
        <v>74</v>
      </c>
      <c r="BB805" s="1">
        <v>64.0</v>
      </c>
      <c r="BC805" s="1">
        <v>72.0</v>
      </c>
      <c r="BD805" s="1" t="s">
        <v>74</v>
      </c>
      <c r="BE805" s="1" t="s">
        <v>6751</v>
      </c>
      <c r="BF805" s="2" t="str">
        <f>HYPERLINK("http://dx.doi.org/10.1016/j.jbiotec.2024.01.017","http://dx.doi.org/10.1016/j.jbiotec.2024.01.017")</f>
        <v>http://dx.doi.org/10.1016/j.jbiotec.2024.01.017</v>
      </c>
      <c r="BG805" s="1" t="s">
        <v>74</v>
      </c>
      <c r="BH805" s="1" t="s">
        <v>6752</v>
      </c>
      <c r="BI805" s="1" t="s">
        <v>74</v>
      </c>
      <c r="BJ805" s="1" t="s">
        <v>74</v>
      </c>
      <c r="BK805" s="1" t="s">
        <v>74</v>
      </c>
      <c r="BL805" s="1" t="s">
        <v>74</v>
      </c>
      <c r="BM805" s="1" t="s">
        <v>74</v>
      </c>
      <c r="BN805" s="1">
        <v>3.8311245E7</v>
      </c>
      <c r="BO805" s="1" t="s">
        <v>74</v>
      </c>
      <c r="BP805" s="1" t="s">
        <v>74</v>
      </c>
      <c r="BQ805" s="1" t="s">
        <v>74</v>
      </c>
      <c r="BR805" s="1" t="s">
        <v>74</v>
      </c>
      <c r="BS805" s="1" t="s">
        <v>6753</v>
      </c>
      <c r="BT805" s="1" t="str">
        <f>HYPERLINK("https%3A%2F%2Fwww.webofscience.com%2Fwos%2Fwoscc%2Ffull-record%2FWOS:001188200000001","View Full Record in Web of Science")</f>
        <v>View Full Record in Web of Science</v>
      </c>
    </row>
    <row r="806" ht="12.75" customHeight="1">
      <c r="A806" s="1" t="s">
        <v>72</v>
      </c>
      <c r="B806" s="1" t="s">
        <v>6754</v>
      </c>
      <c r="C806" s="1" t="s">
        <v>74</v>
      </c>
      <c r="D806" s="1" t="s">
        <v>74</v>
      </c>
      <c r="E806" s="1" t="s">
        <v>74</v>
      </c>
      <c r="F806" s="1" t="s">
        <v>6755</v>
      </c>
      <c r="G806" s="1" t="s">
        <v>74</v>
      </c>
      <c r="H806" s="1" t="s">
        <v>74</v>
      </c>
      <c r="I806" s="1" t="s">
        <v>6756</v>
      </c>
      <c r="J806" s="1" t="s">
        <v>3501</v>
      </c>
      <c r="K806" s="1" t="s">
        <v>74</v>
      </c>
      <c r="L806" s="1" t="s">
        <v>74</v>
      </c>
      <c r="M806" s="1" t="s">
        <v>74</v>
      </c>
      <c r="N806" s="1" t="s">
        <v>74</v>
      </c>
      <c r="O806" s="1" t="s">
        <v>74</v>
      </c>
      <c r="P806" s="1" t="s">
        <v>74</v>
      </c>
      <c r="Q806" s="1" t="s">
        <v>74</v>
      </c>
      <c r="R806" s="1" t="s">
        <v>74</v>
      </c>
      <c r="S806" s="1" t="s">
        <v>74</v>
      </c>
      <c r="T806" s="1" t="s">
        <v>74</v>
      </c>
      <c r="U806" s="1" t="s">
        <v>74</v>
      </c>
      <c r="V806" s="1" t="s">
        <v>74</v>
      </c>
      <c r="W806" s="1" t="s">
        <v>74</v>
      </c>
      <c r="X806" s="1" t="s">
        <v>74</v>
      </c>
      <c r="Y806" s="1" t="s">
        <v>74</v>
      </c>
      <c r="Z806" s="1" t="s">
        <v>74</v>
      </c>
      <c r="AA806" s="1" t="s">
        <v>6757</v>
      </c>
      <c r="AB806" s="1" t="s">
        <v>74</v>
      </c>
      <c r="AC806" s="1" t="s">
        <v>74</v>
      </c>
      <c r="AD806" s="1" t="s">
        <v>74</v>
      </c>
      <c r="AE806" s="1" t="s">
        <v>74</v>
      </c>
      <c r="AF806" s="1" t="s">
        <v>74</v>
      </c>
      <c r="AG806" s="1" t="s">
        <v>74</v>
      </c>
      <c r="AH806" s="1" t="s">
        <v>74</v>
      </c>
      <c r="AI806" s="1" t="s">
        <v>74</v>
      </c>
      <c r="AJ806" s="1" t="s">
        <v>74</v>
      </c>
      <c r="AK806" s="1" t="s">
        <v>74</v>
      </c>
      <c r="AL806" s="1" t="s">
        <v>74</v>
      </c>
      <c r="AM806" s="1" t="s">
        <v>74</v>
      </c>
      <c r="AN806" s="1" t="s">
        <v>74</v>
      </c>
      <c r="AO806" s="1" t="s">
        <v>3502</v>
      </c>
      <c r="AP806" s="1" t="s">
        <v>3503</v>
      </c>
      <c r="AQ806" s="1" t="s">
        <v>74</v>
      </c>
      <c r="AR806" s="1" t="s">
        <v>74</v>
      </c>
      <c r="AS806" s="1" t="s">
        <v>74</v>
      </c>
      <c r="AT806" s="1" t="s">
        <v>74</v>
      </c>
      <c r="AU806" s="1">
        <v>2024.0</v>
      </c>
      <c r="AV806" s="1" t="s">
        <v>74</v>
      </c>
      <c r="AW806" s="1">
        <v>50.0</v>
      </c>
      <c r="AX806" s="1" t="s">
        <v>74</v>
      </c>
      <c r="AY806" s="1" t="s">
        <v>74</v>
      </c>
      <c r="AZ806" s="1" t="s">
        <v>74</v>
      </c>
      <c r="BA806" s="1" t="s">
        <v>74</v>
      </c>
      <c r="BB806" s="1">
        <v>122.0</v>
      </c>
      <c r="BC806" s="1">
        <v>123.0</v>
      </c>
      <c r="BD806" s="1" t="s">
        <v>74</v>
      </c>
      <c r="BE806" s="1" t="s">
        <v>74</v>
      </c>
      <c r="BF806" s="1" t="s">
        <v>74</v>
      </c>
      <c r="BG806" s="1" t="s">
        <v>74</v>
      </c>
      <c r="BH806" s="1" t="s">
        <v>74</v>
      </c>
      <c r="BI806" s="1" t="s">
        <v>74</v>
      </c>
      <c r="BJ806" s="1" t="s">
        <v>74</v>
      </c>
      <c r="BK806" s="1" t="s">
        <v>74</v>
      </c>
      <c r="BL806" s="1" t="s">
        <v>74</v>
      </c>
      <c r="BM806" s="1" t="s">
        <v>74</v>
      </c>
      <c r="BN806" s="1" t="s">
        <v>74</v>
      </c>
      <c r="BO806" s="1" t="s">
        <v>74</v>
      </c>
      <c r="BP806" s="1" t="s">
        <v>74</v>
      </c>
      <c r="BQ806" s="1" t="s">
        <v>74</v>
      </c>
      <c r="BR806" s="1" t="s">
        <v>74</v>
      </c>
      <c r="BS806" s="1" t="s">
        <v>6758</v>
      </c>
      <c r="BT806" s="1" t="str">
        <f>HYPERLINK("https%3A%2F%2Fwww.webofscience.com%2Fwos%2Fwoscc%2Ffull-record%2FWOS:001462679800002","View Full Record in Web of Science")</f>
        <v>View Full Record in Web of Science</v>
      </c>
    </row>
    <row r="807" ht="12.75" customHeight="1">
      <c r="A807" s="1" t="s">
        <v>72</v>
      </c>
      <c r="B807" s="1" t="s">
        <v>6759</v>
      </c>
      <c r="C807" s="1" t="s">
        <v>74</v>
      </c>
      <c r="D807" s="1" t="s">
        <v>74</v>
      </c>
      <c r="E807" s="1" t="s">
        <v>74</v>
      </c>
      <c r="F807" s="1" t="s">
        <v>6760</v>
      </c>
      <c r="G807" s="1" t="s">
        <v>74</v>
      </c>
      <c r="H807" s="1" t="s">
        <v>74</v>
      </c>
      <c r="I807" s="1" t="s">
        <v>6761</v>
      </c>
      <c r="J807" s="1" t="s">
        <v>294</v>
      </c>
      <c r="K807" s="1" t="s">
        <v>74</v>
      </c>
      <c r="L807" s="1" t="s">
        <v>74</v>
      </c>
      <c r="M807" s="1" t="s">
        <v>74</v>
      </c>
      <c r="N807" s="1" t="s">
        <v>74</v>
      </c>
      <c r="O807" s="1" t="s">
        <v>74</v>
      </c>
      <c r="P807" s="1" t="s">
        <v>74</v>
      </c>
      <c r="Q807" s="1" t="s">
        <v>74</v>
      </c>
      <c r="R807" s="1" t="s">
        <v>74</v>
      </c>
      <c r="S807" s="1" t="s">
        <v>74</v>
      </c>
      <c r="T807" s="1" t="s">
        <v>74</v>
      </c>
      <c r="U807" s="1" t="s">
        <v>74</v>
      </c>
      <c r="V807" s="1" t="s">
        <v>6762</v>
      </c>
      <c r="W807" s="1" t="s">
        <v>74</v>
      </c>
      <c r="X807" s="1" t="s">
        <v>74</v>
      </c>
      <c r="Y807" s="1" t="s">
        <v>74</v>
      </c>
      <c r="Z807" s="1" t="s">
        <v>74</v>
      </c>
      <c r="AA807" s="1" t="s">
        <v>6763</v>
      </c>
      <c r="AB807" s="1" t="s">
        <v>6764</v>
      </c>
      <c r="AC807" s="1" t="s">
        <v>74</v>
      </c>
      <c r="AD807" s="1" t="s">
        <v>74</v>
      </c>
      <c r="AE807" s="1" t="s">
        <v>74</v>
      </c>
      <c r="AF807" s="1" t="s">
        <v>74</v>
      </c>
      <c r="AG807" s="1" t="s">
        <v>74</v>
      </c>
      <c r="AH807" s="1" t="s">
        <v>74</v>
      </c>
      <c r="AI807" s="1" t="s">
        <v>74</v>
      </c>
      <c r="AJ807" s="1" t="s">
        <v>74</v>
      </c>
      <c r="AK807" s="1" t="s">
        <v>74</v>
      </c>
      <c r="AL807" s="1" t="s">
        <v>74</v>
      </c>
      <c r="AM807" s="1" t="s">
        <v>74</v>
      </c>
      <c r="AN807" s="1" t="s">
        <v>74</v>
      </c>
      <c r="AO807" s="1" t="s">
        <v>74</v>
      </c>
      <c r="AP807" s="1" t="s">
        <v>298</v>
      </c>
      <c r="AQ807" s="1" t="s">
        <v>74</v>
      </c>
      <c r="AR807" s="1" t="s">
        <v>74</v>
      </c>
      <c r="AS807" s="1" t="s">
        <v>74</v>
      </c>
      <c r="AT807" s="1" t="s">
        <v>88</v>
      </c>
      <c r="AU807" s="1">
        <v>2023.0</v>
      </c>
      <c r="AV807" s="1">
        <v>23.0</v>
      </c>
      <c r="AW807" s="1">
        <v>24.0</v>
      </c>
      <c r="AX807" s="1" t="s">
        <v>74</v>
      </c>
      <c r="AY807" s="1" t="s">
        <v>74</v>
      </c>
      <c r="AZ807" s="1" t="s">
        <v>74</v>
      </c>
      <c r="BA807" s="1" t="s">
        <v>74</v>
      </c>
      <c r="BB807" s="1" t="s">
        <v>74</v>
      </c>
      <c r="BC807" s="1" t="s">
        <v>74</v>
      </c>
      <c r="BD807" s="1">
        <v>9646.0</v>
      </c>
      <c r="BE807" s="1" t="s">
        <v>6765</v>
      </c>
      <c r="BF807" s="2" t="str">
        <f>HYPERLINK("http://dx.doi.org/10.3390/s23249646","http://dx.doi.org/10.3390/s23249646")</f>
        <v>http://dx.doi.org/10.3390/s23249646</v>
      </c>
      <c r="BG807" s="1" t="s">
        <v>74</v>
      </c>
      <c r="BH807" s="1" t="s">
        <v>74</v>
      </c>
      <c r="BI807" s="1" t="s">
        <v>74</v>
      </c>
      <c r="BJ807" s="1" t="s">
        <v>74</v>
      </c>
      <c r="BK807" s="1" t="s">
        <v>74</v>
      </c>
      <c r="BL807" s="1" t="s">
        <v>74</v>
      </c>
      <c r="BM807" s="1" t="s">
        <v>74</v>
      </c>
      <c r="BN807" s="1">
        <v>3.8139492E7</v>
      </c>
      <c r="BO807" s="1" t="s">
        <v>74</v>
      </c>
      <c r="BP807" s="1" t="s">
        <v>74</v>
      </c>
      <c r="BQ807" s="1" t="s">
        <v>74</v>
      </c>
      <c r="BR807" s="1" t="s">
        <v>74</v>
      </c>
      <c r="BS807" s="1" t="s">
        <v>6766</v>
      </c>
      <c r="BT807" s="1" t="str">
        <f>HYPERLINK("https%3A%2F%2Fwww.webofscience.com%2Fwos%2Fwoscc%2Ffull-record%2FWOS:001131435000001","View Full Record in Web of Science")</f>
        <v>View Full Record in Web of Science</v>
      </c>
    </row>
    <row r="808" ht="12.75" customHeight="1">
      <c r="A808" s="1" t="s">
        <v>72</v>
      </c>
      <c r="B808" s="1" t="s">
        <v>6767</v>
      </c>
      <c r="C808" s="1" t="s">
        <v>74</v>
      </c>
      <c r="D808" s="1" t="s">
        <v>74</v>
      </c>
      <c r="E808" s="1" t="s">
        <v>74</v>
      </c>
      <c r="F808" s="1" t="s">
        <v>6768</v>
      </c>
      <c r="G808" s="1" t="s">
        <v>74</v>
      </c>
      <c r="H808" s="1" t="s">
        <v>74</v>
      </c>
      <c r="I808" s="1" t="s">
        <v>6769</v>
      </c>
      <c r="J808" s="1" t="s">
        <v>6770</v>
      </c>
      <c r="K808" s="1" t="s">
        <v>74</v>
      </c>
      <c r="L808" s="1" t="s">
        <v>74</v>
      </c>
      <c r="M808" s="1" t="s">
        <v>74</v>
      </c>
      <c r="N808" s="1" t="s">
        <v>74</v>
      </c>
      <c r="O808" s="1" t="s">
        <v>74</v>
      </c>
      <c r="P808" s="1" t="s">
        <v>74</v>
      </c>
      <c r="Q808" s="1" t="s">
        <v>74</v>
      </c>
      <c r="R808" s="1" t="s">
        <v>74</v>
      </c>
      <c r="S808" s="1" t="s">
        <v>74</v>
      </c>
      <c r="T808" s="1" t="s">
        <v>74</v>
      </c>
      <c r="U808" s="1" t="s">
        <v>74</v>
      </c>
      <c r="V808" s="1" t="s">
        <v>6771</v>
      </c>
      <c r="W808" s="1" t="s">
        <v>74</v>
      </c>
      <c r="X808" s="1" t="s">
        <v>74</v>
      </c>
      <c r="Y808" s="1" t="s">
        <v>74</v>
      </c>
      <c r="Z808" s="1" t="s">
        <v>74</v>
      </c>
      <c r="AA808" s="1" t="s">
        <v>6772</v>
      </c>
      <c r="AB808" s="1" t="s">
        <v>3008</v>
      </c>
      <c r="AC808" s="1" t="s">
        <v>74</v>
      </c>
      <c r="AD808" s="1" t="s">
        <v>74</v>
      </c>
      <c r="AE808" s="1" t="s">
        <v>74</v>
      </c>
      <c r="AF808" s="1" t="s">
        <v>74</v>
      </c>
      <c r="AG808" s="1" t="s">
        <v>74</v>
      </c>
      <c r="AH808" s="1" t="s">
        <v>74</v>
      </c>
      <c r="AI808" s="1" t="s">
        <v>74</v>
      </c>
      <c r="AJ808" s="1" t="s">
        <v>74</v>
      </c>
      <c r="AK808" s="1" t="s">
        <v>74</v>
      </c>
      <c r="AL808" s="1" t="s">
        <v>74</v>
      </c>
      <c r="AM808" s="1" t="s">
        <v>74</v>
      </c>
      <c r="AN808" s="1" t="s">
        <v>74</v>
      </c>
      <c r="AO808" s="1" t="s">
        <v>6773</v>
      </c>
      <c r="AP808" s="1" t="s">
        <v>6774</v>
      </c>
      <c r="AQ808" s="1" t="s">
        <v>74</v>
      </c>
      <c r="AR808" s="1" t="s">
        <v>74</v>
      </c>
      <c r="AS808" s="1" t="s">
        <v>74</v>
      </c>
      <c r="AT808" s="1" t="s">
        <v>755</v>
      </c>
      <c r="AU808" s="1">
        <v>2023.0</v>
      </c>
      <c r="AV808" s="1">
        <v>184.0</v>
      </c>
      <c r="AW808" s="1" t="s">
        <v>74</v>
      </c>
      <c r="AX808" s="1" t="s">
        <v>74</v>
      </c>
      <c r="AY808" s="1" t="s">
        <v>74</v>
      </c>
      <c r="AZ808" s="1" t="s">
        <v>74</v>
      </c>
      <c r="BA808" s="1" t="s">
        <v>74</v>
      </c>
      <c r="BB808" s="1" t="s">
        <v>74</v>
      </c>
      <c r="BC808" s="1" t="s">
        <v>74</v>
      </c>
      <c r="BD808" s="1">
        <v>115115.0</v>
      </c>
      <c r="BE808" s="1" t="s">
        <v>6775</v>
      </c>
      <c r="BF808" s="2" t="str">
        <f>HYPERLINK("http://dx.doi.org/10.1016/j.lwt.2023.115115","http://dx.doi.org/10.1016/j.lwt.2023.115115")</f>
        <v>http://dx.doi.org/10.1016/j.lwt.2023.115115</v>
      </c>
      <c r="BG808" s="1" t="s">
        <v>74</v>
      </c>
      <c r="BH808" s="1" t="s">
        <v>1319</v>
      </c>
      <c r="BI808" s="1" t="s">
        <v>74</v>
      </c>
      <c r="BJ808" s="1" t="s">
        <v>74</v>
      </c>
      <c r="BK808" s="1" t="s">
        <v>74</v>
      </c>
      <c r="BL808" s="1" t="s">
        <v>74</v>
      </c>
      <c r="BM808" s="1" t="s">
        <v>74</v>
      </c>
      <c r="BN808" s="1" t="s">
        <v>74</v>
      </c>
      <c r="BO808" s="1" t="s">
        <v>74</v>
      </c>
      <c r="BP808" s="1" t="s">
        <v>74</v>
      </c>
      <c r="BQ808" s="1" t="s">
        <v>74</v>
      </c>
      <c r="BR808" s="1" t="s">
        <v>74</v>
      </c>
      <c r="BS808" s="1" t="s">
        <v>6776</v>
      </c>
      <c r="BT808" s="1" t="str">
        <f>HYPERLINK("https%3A%2F%2Fwww.webofscience.com%2Fwos%2Fwoscc%2Ffull-record%2FWOS:001069620600001","View Full Record in Web of Science")</f>
        <v>View Full Record in Web of Science</v>
      </c>
    </row>
    <row r="809" ht="12.75" customHeight="1">
      <c r="A809" s="1" t="s">
        <v>454</v>
      </c>
      <c r="B809" s="1" t="s">
        <v>6777</v>
      </c>
      <c r="C809" s="1" t="s">
        <v>6778</v>
      </c>
      <c r="D809" s="1" t="s">
        <v>74</v>
      </c>
      <c r="E809" s="1" t="s">
        <v>74</v>
      </c>
      <c r="F809" s="1" t="s">
        <v>6779</v>
      </c>
      <c r="G809" s="1" t="s">
        <v>6778</v>
      </c>
      <c r="H809" s="1" t="s">
        <v>74</v>
      </c>
      <c r="I809" s="1" t="s">
        <v>6780</v>
      </c>
      <c r="J809" s="1" t="s">
        <v>6781</v>
      </c>
      <c r="K809" s="1" t="s">
        <v>6782</v>
      </c>
      <c r="L809" s="1" t="s">
        <v>74</v>
      </c>
      <c r="M809" s="1" t="s">
        <v>74</v>
      </c>
      <c r="N809" s="1" t="s">
        <v>74</v>
      </c>
      <c r="O809" s="1" t="s">
        <v>74</v>
      </c>
      <c r="P809" s="1" t="s">
        <v>74</v>
      </c>
      <c r="Q809" s="1" t="s">
        <v>74</v>
      </c>
      <c r="R809" s="1" t="s">
        <v>74</v>
      </c>
      <c r="S809" s="1" t="s">
        <v>74</v>
      </c>
      <c r="T809" s="1" t="s">
        <v>74</v>
      </c>
      <c r="U809" s="1" t="s">
        <v>74</v>
      </c>
      <c r="V809" s="1" t="s">
        <v>74</v>
      </c>
      <c r="W809" s="1" t="s">
        <v>74</v>
      </c>
      <c r="X809" s="1" t="s">
        <v>74</v>
      </c>
      <c r="Y809" s="1" t="s">
        <v>74</v>
      </c>
      <c r="Z809" s="1" t="s">
        <v>74</v>
      </c>
      <c r="AA809" s="1" t="s">
        <v>74</v>
      </c>
      <c r="AB809" s="1" t="s">
        <v>74</v>
      </c>
      <c r="AC809" s="1" t="s">
        <v>74</v>
      </c>
      <c r="AD809" s="1" t="s">
        <v>74</v>
      </c>
      <c r="AE809" s="1" t="s">
        <v>74</v>
      </c>
      <c r="AF809" s="1" t="s">
        <v>74</v>
      </c>
      <c r="AG809" s="1" t="s">
        <v>74</v>
      </c>
      <c r="AH809" s="1" t="s">
        <v>74</v>
      </c>
      <c r="AI809" s="1" t="s">
        <v>74</v>
      </c>
      <c r="AJ809" s="1" t="s">
        <v>74</v>
      </c>
      <c r="AK809" s="1" t="s">
        <v>74</v>
      </c>
      <c r="AL809" s="1" t="s">
        <v>74</v>
      </c>
      <c r="AM809" s="1" t="s">
        <v>74</v>
      </c>
      <c r="AN809" s="1" t="s">
        <v>74</v>
      </c>
      <c r="AO809" s="1" t="s">
        <v>74</v>
      </c>
      <c r="AP809" s="1" t="s">
        <v>74</v>
      </c>
      <c r="AQ809" s="1" t="s">
        <v>6783</v>
      </c>
      <c r="AR809" s="1" t="s">
        <v>74</v>
      </c>
      <c r="AS809" s="1" t="s">
        <v>74</v>
      </c>
      <c r="AT809" s="1" t="s">
        <v>74</v>
      </c>
      <c r="AU809" s="1">
        <v>2023.0</v>
      </c>
      <c r="AV809" s="1" t="s">
        <v>74</v>
      </c>
      <c r="AW809" s="1" t="s">
        <v>74</v>
      </c>
      <c r="AX809" s="1" t="s">
        <v>74</v>
      </c>
      <c r="AY809" s="1" t="s">
        <v>74</v>
      </c>
      <c r="AZ809" s="1" t="s">
        <v>74</v>
      </c>
      <c r="BA809" s="1" t="s">
        <v>74</v>
      </c>
      <c r="BB809" s="1">
        <v>111.0</v>
      </c>
      <c r="BC809" s="1">
        <v>132.0</v>
      </c>
      <c r="BD809" s="1" t="s">
        <v>74</v>
      </c>
      <c r="BE809" s="1" t="s">
        <v>6784</v>
      </c>
      <c r="BF809" s="2" t="str">
        <f>HYPERLINK("http://dx.doi.org/10.4324/9781003355557-7","http://dx.doi.org/10.4324/9781003355557-7")</f>
        <v>http://dx.doi.org/10.4324/9781003355557-7</v>
      </c>
      <c r="BG809" s="1" t="s">
        <v>6785</v>
      </c>
      <c r="BH809" s="1" t="s">
        <v>74</v>
      </c>
      <c r="BI809" s="1" t="s">
        <v>74</v>
      </c>
      <c r="BJ809" s="1" t="s">
        <v>74</v>
      </c>
      <c r="BK809" s="1" t="s">
        <v>74</v>
      </c>
      <c r="BL809" s="1" t="s">
        <v>74</v>
      </c>
      <c r="BM809" s="1" t="s">
        <v>74</v>
      </c>
      <c r="BN809" s="1" t="s">
        <v>74</v>
      </c>
      <c r="BO809" s="1" t="s">
        <v>74</v>
      </c>
      <c r="BP809" s="1" t="s">
        <v>74</v>
      </c>
      <c r="BQ809" s="1" t="s">
        <v>74</v>
      </c>
      <c r="BR809" s="1" t="s">
        <v>74</v>
      </c>
      <c r="BS809" s="1" t="s">
        <v>6786</v>
      </c>
      <c r="BT809" s="1" t="str">
        <f>HYPERLINK("https%3A%2F%2Fwww.webofscience.com%2Fwos%2Fwoscc%2Ffull-record%2FWOS:001198018700005","View Full Record in Web of Science")</f>
        <v>View Full Record in Web of Science</v>
      </c>
    </row>
    <row r="810" ht="12.75" customHeight="1">
      <c r="A810" s="1" t="s">
        <v>72</v>
      </c>
      <c r="B810" s="1" t="s">
        <v>6787</v>
      </c>
      <c r="C810" s="1" t="s">
        <v>74</v>
      </c>
      <c r="D810" s="1" t="s">
        <v>74</v>
      </c>
      <c r="E810" s="1" t="s">
        <v>74</v>
      </c>
      <c r="F810" s="1" t="s">
        <v>6788</v>
      </c>
      <c r="G810" s="1" t="s">
        <v>74</v>
      </c>
      <c r="H810" s="1" t="s">
        <v>74</v>
      </c>
      <c r="I810" s="1" t="s">
        <v>6789</v>
      </c>
      <c r="J810" s="1" t="s">
        <v>6790</v>
      </c>
      <c r="K810" s="1" t="s">
        <v>74</v>
      </c>
      <c r="L810" s="1" t="s">
        <v>74</v>
      </c>
      <c r="M810" s="1" t="s">
        <v>74</v>
      </c>
      <c r="N810" s="1" t="s">
        <v>74</v>
      </c>
      <c r="O810" s="1" t="s">
        <v>74</v>
      </c>
      <c r="P810" s="1" t="s">
        <v>74</v>
      </c>
      <c r="Q810" s="1" t="s">
        <v>74</v>
      </c>
      <c r="R810" s="1" t="s">
        <v>74</v>
      </c>
      <c r="S810" s="1" t="s">
        <v>74</v>
      </c>
      <c r="T810" s="1" t="s">
        <v>74</v>
      </c>
      <c r="U810" s="1" t="s">
        <v>74</v>
      </c>
      <c r="V810" s="1" t="s">
        <v>6791</v>
      </c>
      <c r="W810" s="1" t="s">
        <v>74</v>
      </c>
      <c r="X810" s="1" t="s">
        <v>74</v>
      </c>
      <c r="Y810" s="1" t="s">
        <v>74</v>
      </c>
      <c r="Z810" s="1" t="s">
        <v>74</v>
      </c>
      <c r="AA810" s="1" t="s">
        <v>6792</v>
      </c>
      <c r="AB810" s="1" t="s">
        <v>6793</v>
      </c>
      <c r="AC810" s="1" t="s">
        <v>74</v>
      </c>
      <c r="AD810" s="1" t="s">
        <v>74</v>
      </c>
      <c r="AE810" s="1" t="s">
        <v>74</v>
      </c>
      <c r="AF810" s="1" t="s">
        <v>74</v>
      </c>
      <c r="AG810" s="1" t="s">
        <v>74</v>
      </c>
      <c r="AH810" s="1" t="s">
        <v>74</v>
      </c>
      <c r="AI810" s="1" t="s">
        <v>74</v>
      </c>
      <c r="AJ810" s="1" t="s">
        <v>74</v>
      </c>
      <c r="AK810" s="1" t="s">
        <v>74</v>
      </c>
      <c r="AL810" s="1" t="s">
        <v>74</v>
      </c>
      <c r="AM810" s="1" t="s">
        <v>74</v>
      </c>
      <c r="AN810" s="1" t="s">
        <v>74</v>
      </c>
      <c r="AO810" s="1" t="s">
        <v>6794</v>
      </c>
      <c r="AP810" s="1" t="s">
        <v>6795</v>
      </c>
      <c r="AQ810" s="1" t="s">
        <v>74</v>
      </c>
      <c r="AR810" s="1" t="s">
        <v>74</v>
      </c>
      <c r="AS810" s="1" t="s">
        <v>74</v>
      </c>
      <c r="AT810" s="1" t="s">
        <v>370</v>
      </c>
      <c r="AU810" s="1">
        <v>2022.0</v>
      </c>
      <c r="AV810" s="1">
        <v>136.0</v>
      </c>
      <c r="AW810" s="1" t="s">
        <v>74</v>
      </c>
      <c r="AX810" s="1" t="s">
        <v>74</v>
      </c>
      <c r="AY810" s="1" t="s">
        <v>74</v>
      </c>
      <c r="AZ810" s="1" t="s">
        <v>74</v>
      </c>
      <c r="BA810" s="1" t="s">
        <v>74</v>
      </c>
      <c r="BB810" s="1" t="s">
        <v>74</v>
      </c>
      <c r="BC810" s="1" t="s">
        <v>74</v>
      </c>
      <c r="BD810" s="1">
        <v>104400.0</v>
      </c>
      <c r="BE810" s="1" t="s">
        <v>6796</v>
      </c>
      <c r="BF810" s="2" t="str">
        <f>HYPERLINK("http://dx.doi.org/10.1016/j.jtice.2022.104400","http://dx.doi.org/10.1016/j.jtice.2022.104400")</f>
        <v>http://dx.doi.org/10.1016/j.jtice.2022.104400</v>
      </c>
      <c r="BG810" s="1" t="s">
        <v>74</v>
      </c>
      <c r="BH810" s="1" t="s">
        <v>6797</v>
      </c>
      <c r="BI810" s="1" t="s">
        <v>74</v>
      </c>
      <c r="BJ810" s="1" t="s">
        <v>74</v>
      </c>
      <c r="BK810" s="1" t="s">
        <v>74</v>
      </c>
      <c r="BL810" s="1" t="s">
        <v>74</v>
      </c>
      <c r="BM810" s="1" t="s">
        <v>74</v>
      </c>
      <c r="BN810" s="1" t="s">
        <v>74</v>
      </c>
      <c r="BO810" s="1" t="s">
        <v>74</v>
      </c>
      <c r="BP810" s="1" t="s">
        <v>74</v>
      </c>
      <c r="BQ810" s="1" t="s">
        <v>74</v>
      </c>
      <c r="BR810" s="1" t="s">
        <v>74</v>
      </c>
      <c r="BS810" s="1" t="s">
        <v>6798</v>
      </c>
      <c r="BT810" s="1" t="str">
        <f>HYPERLINK("https%3A%2F%2Fwww.webofscience.com%2Fwos%2Fwoscc%2Ffull-record%2FWOS:000810369200002","View Full Record in Web of Science")</f>
        <v>View Full Record in Web of Science</v>
      </c>
    </row>
    <row r="811" ht="12.75" customHeight="1">
      <c r="A811" s="1" t="s">
        <v>72</v>
      </c>
      <c r="B811" s="1" t="s">
        <v>6799</v>
      </c>
      <c r="C811" s="1" t="s">
        <v>74</v>
      </c>
      <c r="D811" s="1" t="s">
        <v>74</v>
      </c>
      <c r="E811" s="1" t="s">
        <v>74</v>
      </c>
      <c r="F811" s="1" t="s">
        <v>6800</v>
      </c>
      <c r="G811" s="1" t="s">
        <v>74</v>
      </c>
      <c r="H811" s="1" t="s">
        <v>74</v>
      </c>
      <c r="I811" s="1" t="s">
        <v>6801</v>
      </c>
      <c r="J811" s="1" t="s">
        <v>6802</v>
      </c>
      <c r="K811" s="1" t="s">
        <v>74</v>
      </c>
      <c r="L811" s="1" t="s">
        <v>74</v>
      </c>
      <c r="M811" s="1" t="s">
        <v>74</v>
      </c>
      <c r="N811" s="1" t="s">
        <v>74</v>
      </c>
      <c r="O811" s="1" t="s">
        <v>74</v>
      </c>
      <c r="P811" s="1" t="s">
        <v>74</v>
      </c>
      <c r="Q811" s="1" t="s">
        <v>74</v>
      </c>
      <c r="R811" s="1" t="s">
        <v>74</v>
      </c>
      <c r="S811" s="1" t="s">
        <v>74</v>
      </c>
      <c r="T811" s="1" t="s">
        <v>74</v>
      </c>
      <c r="U811" s="1" t="s">
        <v>74</v>
      </c>
      <c r="V811" s="1" t="s">
        <v>6803</v>
      </c>
      <c r="W811" s="1" t="s">
        <v>74</v>
      </c>
      <c r="X811" s="1" t="s">
        <v>74</v>
      </c>
      <c r="Y811" s="1" t="s">
        <v>74</v>
      </c>
      <c r="Z811" s="1" t="s">
        <v>74</v>
      </c>
      <c r="AA811" s="1" t="s">
        <v>296</v>
      </c>
      <c r="AB811" s="1" t="s">
        <v>6804</v>
      </c>
      <c r="AC811" s="1" t="s">
        <v>74</v>
      </c>
      <c r="AD811" s="1" t="s">
        <v>74</v>
      </c>
      <c r="AE811" s="1" t="s">
        <v>74</v>
      </c>
      <c r="AF811" s="1" t="s">
        <v>74</v>
      </c>
      <c r="AG811" s="1" t="s">
        <v>74</v>
      </c>
      <c r="AH811" s="1" t="s">
        <v>74</v>
      </c>
      <c r="AI811" s="1" t="s">
        <v>74</v>
      </c>
      <c r="AJ811" s="1" t="s">
        <v>74</v>
      </c>
      <c r="AK811" s="1" t="s">
        <v>74</v>
      </c>
      <c r="AL811" s="1" t="s">
        <v>74</v>
      </c>
      <c r="AM811" s="1" t="s">
        <v>74</v>
      </c>
      <c r="AN811" s="1" t="s">
        <v>74</v>
      </c>
      <c r="AO811" s="1" t="s">
        <v>6805</v>
      </c>
      <c r="AP811" s="1" t="s">
        <v>6806</v>
      </c>
      <c r="AQ811" s="1" t="s">
        <v>74</v>
      </c>
      <c r="AR811" s="1" t="s">
        <v>74</v>
      </c>
      <c r="AS811" s="1" t="s">
        <v>74</v>
      </c>
      <c r="AT811" s="1" t="s">
        <v>429</v>
      </c>
      <c r="AU811" s="1">
        <v>2022.0</v>
      </c>
      <c r="AV811" s="1">
        <v>28.0</v>
      </c>
      <c r="AW811" s="1">
        <v>4.0</v>
      </c>
      <c r="AX811" s="1" t="s">
        <v>74</v>
      </c>
      <c r="AY811" s="1" t="s">
        <v>74</v>
      </c>
      <c r="AZ811" s="1" t="s">
        <v>74</v>
      </c>
      <c r="BA811" s="1" t="s">
        <v>74</v>
      </c>
      <c r="BB811" s="1">
        <v>1429.0</v>
      </c>
      <c r="BC811" s="1">
        <v>1438.0</v>
      </c>
      <c r="BD811" s="1" t="s">
        <v>74</v>
      </c>
      <c r="BE811" s="1" t="s">
        <v>6807</v>
      </c>
      <c r="BF811" s="2" t="str">
        <f>HYPERLINK("http://dx.doi.org/10.1007/s11276-022-02912-2","http://dx.doi.org/10.1007/s11276-022-02912-2")</f>
        <v>http://dx.doi.org/10.1007/s11276-022-02912-2</v>
      </c>
      <c r="BG811" s="1" t="s">
        <v>74</v>
      </c>
      <c r="BH811" s="1" t="s">
        <v>6808</v>
      </c>
      <c r="BI811" s="1" t="s">
        <v>74</v>
      </c>
      <c r="BJ811" s="1" t="s">
        <v>74</v>
      </c>
      <c r="BK811" s="1" t="s">
        <v>74</v>
      </c>
      <c r="BL811" s="1" t="s">
        <v>74</v>
      </c>
      <c r="BM811" s="1" t="s">
        <v>74</v>
      </c>
      <c r="BN811" s="1" t="s">
        <v>74</v>
      </c>
      <c r="BO811" s="1" t="s">
        <v>74</v>
      </c>
      <c r="BP811" s="1" t="s">
        <v>74</v>
      </c>
      <c r="BQ811" s="1" t="s">
        <v>74</v>
      </c>
      <c r="BR811" s="1" t="s">
        <v>74</v>
      </c>
      <c r="BS811" s="1" t="s">
        <v>6809</v>
      </c>
      <c r="BT811" s="1" t="str">
        <f>HYPERLINK("https%3A%2F%2Fwww.webofscience.com%2Fwos%2Fwoscc%2Ffull-record%2FWOS:000755408900002","View Full Record in Web of Science")</f>
        <v>View Full Record in Web of Science</v>
      </c>
    </row>
    <row r="812" ht="12.75" customHeight="1">
      <c r="A812" s="1" t="s">
        <v>72</v>
      </c>
      <c r="B812" s="1" t="s">
        <v>6810</v>
      </c>
      <c r="C812" s="1" t="s">
        <v>74</v>
      </c>
      <c r="D812" s="1" t="s">
        <v>74</v>
      </c>
      <c r="E812" s="1" t="s">
        <v>74</v>
      </c>
      <c r="F812" s="1" t="s">
        <v>6811</v>
      </c>
      <c r="G812" s="1" t="s">
        <v>74</v>
      </c>
      <c r="H812" s="1" t="s">
        <v>74</v>
      </c>
      <c r="I812" s="1" t="s">
        <v>6812</v>
      </c>
      <c r="J812" s="1" t="s">
        <v>6813</v>
      </c>
      <c r="K812" s="1" t="s">
        <v>74</v>
      </c>
      <c r="L812" s="1" t="s">
        <v>74</v>
      </c>
      <c r="M812" s="1" t="s">
        <v>74</v>
      </c>
      <c r="N812" s="1" t="s">
        <v>74</v>
      </c>
      <c r="O812" s="1" t="s">
        <v>74</v>
      </c>
      <c r="P812" s="1" t="s">
        <v>74</v>
      </c>
      <c r="Q812" s="1" t="s">
        <v>74</v>
      </c>
      <c r="R812" s="1" t="s">
        <v>74</v>
      </c>
      <c r="S812" s="1" t="s">
        <v>74</v>
      </c>
      <c r="T812" s="1" t="s">
        <v>74</v>
      </c>
      <c r="U812" s="1" t="s">
        <v>74</v>
      </c>
      <c r="V812" s="1" t="s">
        <v>6814</v>
      </c>
      <c r="W812" s="1" t="s">
        <v>74</v>
      </c>
      <c r="X812" s="1" t="s">
        <v>74</v>
      </c>
      <c r="Y812" s="1" t="s">
        <v>74</v>
      </c>
      <c r="Z812" s="1" t="s">
        <v>74</v>
      </c>
      <c r="AA812" s="1" t="s">
        <v>74</v>
      </c>
      <c r="AB812" s="1" t="s">
        <v>74</v>
      </c>
      <c r="AC812" s="1" t="s">
        <v>74</v>
      </c>
      <c r="AD812" s="1" t="s">
        <v>74</v>
      </c>
      <c r="AE812" s="1" t="s">
        <v>74</v>
      </c>
      <c r="AF812" s="1" t="s">
        <v>74</v>
      </c>
      <c r="AG812" s="1" t="s">
        <v>74</v>
      </c>
      <c r="AH812" s="1" t="s">
        <v>74</v>
      </c>
      <c r="AI812" s="1" t="s">
        <v>74</v>
      </c>
      <c r="AJ812" s="1" t="s">
        <v>74</v>
      </c>
      <c r="AK812" s="1" t="s">
        <v>74</v>
      </c>
      <c r="AL812" s="1" t="s">
        <v>74</v>
      </c>
      <c r="AM812" s="1" t="s">
        <v>74</v>
      </c>
      <c r="AN812" s="1" t="s">
        <v>74</v>
      </c>
      <c r="AO812" s="1" t="s">
        <v>6815</v>
      </c>
      <c r="AP812" s="1" t="s">
        <v>6816</v>
      </c>
      <c r="AQ812" s="1" t="s">
        <v>74</v>
      </c>
      <c r="AR812" s="1" t="s">
        <v>74</v>
      </c>
      <c r="AS812" s="1" t="s">
        <v>74</v>
      </c>
      <c r="AT812" s="1" t="s">
        <v>74</v>
      </c>
      <c r="AU812" s="1">
        <v>2022.0</v>
      </c>
      <c r="AV812" s="1">
        <v>71.0</v>
      </c>
      <c r="AW812" s="1">
        <v>180.0</v>
      </c>
      <c r="AX812" s="1" t="s">
        <v>74</v>
      </c>
      <c r="AY812" s="1" t="s">
        <v>74</v>
      </c>
      <c r="AZ812" s="1" t="s">
        <v>74</v>
      </c>
      <c r="BA812" s="1" t="s">
        <v>74</v>
      </c>
      <c r="BB812" s="1">
        <v>35.0</v>
      </c>
      <c r="BC812" s="1">
        <v>57.0</v>
      </c>
      <c r="BD812" s="1" t="s">
        <v>74</v>
      </c>
      <c r="BE812" s="1" t="s">
        <v>6817</v>
      </c>
      <c r="BF812" s="2" t="str">
        <f>HYPERLINK("http://dx.doi.org/10.15446/ideasyvalores.v71n180.84401","http://dx.doi.org/10.15446/ideasyvalores.v71n180.84401")</f>
        <v>http://dx.doi.org/10.15446/ideasyvalores.v71n180.84401</v>
      </c>
      <c r="BG812" s="1" t="s">
        <v>74</v>
      </c>
      <c r="BH812" s="1" t="s">
        <v>74</v>
      </c>
      <c r="BI812" s="1" t="s">
        <v>74</v>
      </c>
      <c r="BJ812" s="1" t="s">
        <v>74</v>
      </c>
      <c r="BK812" s="1" t="s">
        <v>74</v>
      </c>
      <c r="BL812" s="1" t="s">
        <v>74</v>
      </c>
      <c r="BM812" s="1" t="s">
        <v>74</v>
      </c>
      <c r="BN812" s="1" t="s">
        <v>74</v>
      </c>
      <c r="BO812" s="1" t="s">
        <v>74</v>
      </c>
      <c r="BP812" s="1" t="s">
        <v>74</v>
      </c>
      <c r="BQ812" s="1" t="s">
        <v>74</v>
      </c>
      <c r="BR812" s="1" t="s">
        <v>74</v>
      </c>
      <c r="BS812" s="1" t="s">
        <v>6818</v>
      </c>
      <c r="BT812" s="1" t="str">
        <f>HYPERLINK("https%3A%2F%2Fwww.webofscience.com%2Fwos%2Fwoscc%2Ffull-record%2FWOS:000887267400002","View Full Record in Web of Science")</f>
        <v>View Full Record in Web of Science</v>
      </c>
    </row>
    <row r="813" ht="12.75" customHeight="1">
      <c r="A813" s="1" t="s">
        <v>72</v>
      </c>
      <c r="B813" s="1" t="s">
        <v>6819</v>
      </c>
      <c r="C813" s="1" t="s">
        <v>74</v>
      </c>
      <c r="D813" s="1" t="s">
        <v>74</v>
      </c>
      <c r="E813" s="1" t="s">
        <v>74</v>
      </c>
      <c r="F813" s="1" t="s">
        <v>6820</v>
      </c>
      <c r="G813" s="1" t="s">
        <v>74</v>
      </c>
      <c r="H813" s="1" t="s">
        <v>74</v>
      </c>
      <c r="I813" s="1" t="s">
        <v>6821</v>
      </c>
      <c r="J813" s="1" t="s">
        <v>6822</v>
      </c>
      <c r="K813" s="1" t="s">
        <v>74</v>
      </c>
      <c r="L813" s="1" t="s">
        <v>74</v>
      </c>
      <c r="M813" s="1" t="s">
        <v>74</v>
      </c>
      <c r="N813" s="1" t="s">
        <v>74</v>
      </c>
      <c r="O813" s="1" t="s">
        <v>74</v>
      </c>
      <c r="P813" s="1" t="s">
        <v>74</v>
      </c>
      <c r="Q813" s="1" t="s">
        <v>74</v>
      </c>
      <c r="R813" s="1" t="s">
        <v>74</v>
      </c>
      <c r="S813" s="1" t="s">
        <v>74</v>
      </c>
      <c r="T813" s="1" t="s">
        <v>74</v>
      </c>
      <c r="U813" s="1" t="s">
        <v>74</v>
      </c>
      <c r="V813" s="1" t="s">
        <v>6823</v>
      </c>
      <c r="W813" s="1" t="s">
        <v>74</v>
      </c>
      <c r="X813" s="1" t="s">
        <v>74</v>
      </c>
      <c r="Y813" s="1" t="s">
        <v>74</v>
      </c>
      <c r="Z813" s="1" t="s">
        <v>74</v>
      </c>
      <c r="AA813" s="1" t="s">
        <v>5272</v>
      </c>
      <c r="AB813" s="1" t="s">
        <v>6824</v>
      </c>
      <c r="AC813" s="1" t="s">
        <v>74</v>
      </c>
      <c r="AD813" s="1" t="s">
        <v>74</v>
      </c>
      <c r="AE813" s="1" t="s">
        <v>74</v>
      </c>
      <c r="AF813" s="1" t="s">
        <v>74</v>
      </c>
      <c r="AG813" s="1" t="s">
        <v>74</v>
      </c>
      <c r="AH813" s="1" t="s">
        <v>74</v>
      </c>
      <c r="AI813" s="1" t="s">
        <v>74</v>
      </c>
      <c r="AJ813" s="1" t="s">
        <v>74</v>
      </c>
      <c r="AK813" s="1" t="s">
        <v>74</v>
      </c>
      <c r="AL813" s="1" t="s">
        <v>74</v>
      </c>
      <c r="AM813" s="1" t="s">
        <v>74</v>
      </c>
      <c r="AN813" s="1" t="s">
        <v>74</v>
      </c>
      <c r="AO813" s="1" t="s">
        <v>6825</v>
      </c>
      <c r="AP813" s="1" t="s">
        <v>6826</v>
      </c>
      <c r="AQ813" s="1" t="s">
        <v>74</v>
      </c>
      <c r="AR813" s="1" t="s">
        <v>74</v>
      </c>
      <c r="AS813" s="1" t="s">
        <v>74</v>
      </c>
      <c r="AT813" s="1" t="s">
        <v>6827</v>
      </c>
      <c r="AU813" s="1">
        <v>2021.0</v>
      </c>
      <c r="AV813" s="1">
        <v>929.0</v>
      </c>
      <c r="AW813" s="1" t="s">
        <v>74</v>
      </c>
      <c r="AX813" s="1" t="s">
        <v>74</v>
      </c>
      <c r="AY813" s="1" t="s">
        <v>74</v>
      </c>
      <c r="AZ813" s="1" t="s">
        <v>74</v>
      </c>
      <c r="BA813" s="1" t="s">
        <v>74</v>
      </c>
      <c r="BB813" s="1" t="s">
        <v>74</v>
      </c>
      <c r="BC813" s="1" t="s">
        <v>74</v>
      </c>
      <c r="BD813" s="1" t="s">
        <v>6828</v>
      </c>
      <c r="BE813" s="1" t="s">
        <v>6829</v>
      </c>
      <c r="BF813" s="2" t="str">
        <f>HYPERLINK("http://dx.doi.org/10.1017/jfm.2021.859","http://dx.doi.org/10.1017/jfm.2021.859")</f>
        <v>http://dx.doi.org/10.1017/jfm.2021.859</v>
      </c>
      <c r="BG813" s="1" t="s">
        <v>74</v>
      </c>
      <c r="BH813" s="1" t="s">
        <v>74</v>
      </c>
      <c r="BI813" s="1" t="s">
        <v>74</v>
      </c>
      <c r="BJ813" s="1" t="s">
        <v>74</v>
      </c>
      <c r="BK813" s="1" t="s">
        <v>74</v>
      </c>
      <c r="BL813" s="1" t="s">
        <v>74</v>
      </c>
      <c r="BM813" s="1" t="s">
        <v>74</v>
      </c>
      <c r="BN813" s="1" t="s">
        <v>74</v>
      </c>
      <c r="BO813" s="1" t="s">
        <v>74</v>
      </c>
      <c r="BP813" s="1" t="s">
        <v>74</v>
      </c>
      <c r="BQ813" s="1" t="s">
        <v>74</v>
      </c>
      <c r="BR813" s="1" t="s">
        <v>74</v>
      </c>
      <c r="BS813" s="1" t="s">
        <v>6830</v>
      </c>
      <c r="BT813" s="1" t="str">
        <f>HYPERLINK("https%3A%2F%2Fwww.webofscience.com%2Fwos%2Fwoscc%2Ffull-record%2FWOS:000721289400001","View Full Record in Web of Science")</f>
        <v>View Full Record in Web of Science</v>
      </c>
    </row>
    <row r="814" ht="12.75" customHeight="1">
      <c r="A814" s="1" t="s">
        <v>72</v>
      </c>
      <c r="B814" s="1" t="s">
        <v>6831</v>
      </c>
      <c r="C814" s="1" t="s">
        <v>74</v>
      </c>
      <c r="D814" s="1" t="s">
        <v>74</v>
      </c>
      <c r="E814" s="1" t="s">
        <v>74</v>
      </c>
      <c r="F814" s="1" t="s">
        <v>6832</v>
      </c>
      <c r="G814" s="1" t="s">
        <v>74</v>
      </c>
      <c r="H814" s="1" t="s">
        <v>74</v>
      </c>
      <c r="I814" s="1" t="s">
        <v>6833</v>
      </c>
      <c r="J814" s="1" t="s">
        <v>294</v>
      </c>
      <c r="K814" s="1" t="s">
        <v>74</v>
      </c>
      <c r="L814" s="1" t="s">
        <v>74</v>
      </c>
      <c r="M814" s="1" t="s">
        <v>74</v>
      </c>
      <c r="N814" s="1" t="s">
        <v>74</v>
      </c>
      <c r="O814" s="1" t="s">
        <v>74</v>
      </c>
      <c r="P814" s="1" t="s">
        <v>74</v>
      </c>
      <c r="Q814" s="1" t="s">
        <v>74</v>
      </c>
      <c r="R814" s="1" t="s">
        <v>74</v>
      </c>
      <c r="S814" s="1" t="s">
        <v>74</v>
      </c>
      <c r="T814" s="1" t="s">
        <v>74</v>
      </c>
      <c r="U814" s="1" t="s">
        <v>74</v>
      </c>
      <c r="V814" s="1" t="s">
        <v>6834</v>
      </c>
      <c r="W814" s="1" t="s">
        <v>74</v>
      </c>
      <c r="X814" s="1" t="s">
        <v>74</v>
      </c>
      <c r="Y814" s="1" t="s">
        <v>74</v>
      </c>
      <c r="Z814" s="1" t="s">
        <v>74</v>
      </c>
      <c r="AA814" s="1" t="s">
        <v>296</v>
      </c>
      <c r="AB814" s="1" t="s">
        <v>486</v>
      </c>
      <c r="AC814" s="1" t="s">
        <v>74</v>
      </c>
      <c r="AD814" s="1" t="s">
        <v>74</v>
      </c>
      <c r="AE814" s="1" t="s">
        <v>74</v>
      </c>
      <c r="AF814" s="1" t="s">
        <v>74</v>
      </c>
      <c r="AG814" s="1" t="s">
        <v>74</v>
      </c>
      <c r="AH814" s="1" t="s">
        <v>74</v>
      </c>
      <c r="AI814" s="1" t="s">
        <v>74</v>
      </c>
      <c r="AJ814" s="1" t="s">
        <v>74</v>
      </c>
      <c r="AK814" s="1" t="s">
        <v>74</v>
      </c>
      <c r="AL814" s="1" t="s">
        <v>74</v>
      </c>
      <c r="AM814" s="1" t="s">
        <v>74</v>
      </c>
      <c r="AN814" s="1" t="s">
        <v>74</v>
      </c>
      <c r="AO814" s="1" t="s">
        <v>74</v>
      </c>
      <c r="AP814" s="1" t="s">
        <v>298</v>
      </c>
      <c r="AQ814" s="1" t="s">
        <v>74</v>
      </c>
      <c r="AR814" s="1" t="s">
        <v>74</v>
      </c>
      <c r="AS814" s="1" t="s">
        <v>74</v>
      </c>
      <c r="AT814" s="1" t="s">
        <v>161</v>
      </c>
      <c r="AU814" s="1">
        <v>2021.0</v>
      </c>
      <c r="AV814" s="1">
        <v>21.0</v>
      </c>
      <c r="AW814" s="1">
        <v>19.0</v>
      </c>
      <c r="AX814" s="1" t="s">
        <v>74</v>
      </c>
      <c r="AY814" s="1" t="s">
        <v>74</v>
      </c>
      <c r="AZ814" s="1" t="s">
        <v>74</v>
      </c>
      <c r="BA814" s="1" t="s">
        <v>74</v>
      </c>
      <c r="BB814" s="1" t="s">
        <v>74</v>
      </c>
      <c r="BC814" s="1" t="s">
        <v>74</v>
      </c>
      <c r="BD814" s="1">
        <v>6585.0</v>
      </c>
      <c r="BE814" s="1" t="s">
        <v>6835</v>
      </c>
      <c r="BF814" s="2" t="str">
        <f>HYPERLINK("http://dx.doi.org/10.3390/s21196585","http://dx.doi.org/10.3390/s21196585")</f>
        <v>http://dx.doi.org/10.3390/s21196585</v>
      </c>
      <c r="BG814" s="1" t="s">
        <v>74</v>
      </c>
      <c r="BH814" s="1" t="s">
        <v>74</v>
      </c>
      <c r="BI814" s="1" t="s">
        <v>74</v>
      </c>
      <c r="BJ814" s="1" t="s">
        <v>74</v>
      </c>
      <c r="BK814" s="1" t="s">
        <v>74</v>
      </c>
      <c r="BL814" s="1" t="s">
        <v>74</v>
      </c>
      <c r="BM814" s="1" t="s">
        <v>74</v>
      </c>
      <c r="BN814" s="1">
        <v>3.4640905E7</v>
      </c>
      <c r="BO814" s="1" t="s">
        <v>74</v>
      </c>
      <c r="BP814" s="1" t="s">
        <v>74</v>
      </c>
      <c r="BQ814" s="1" t="s">
        <v>74</v>
      </c>
      <c r="BR814" s="1" t="s">
        <v>74</v>
      </c>
      <c r="BS814" s="1" t="s">
        <v>6836</v>
      </c>
      <c r="BT814" s="1" t="str">
        <f>HYPERLINK("https%3A%2F%2Fwww.webofscience.com%2Fwos%2Fwoscc%2Ffull-record%2FWOS:000707816500001","View Full Record in Web of Science")</f>
        <v>View Full Record in Web of Science</v>
      </c>
    </row>
    <row r="815" ht="12.75" customHeight="1">
      <c r="A815" s="1" t="s">
        <v>72</v>
      </c>
      <c r="B815" s="1" t="s">
        <v>6837</v>
      </c>
      <c r="C815" s="1" t="s">
        <v>74</v>
      </c>
      <c r="D815" s="1" t="s">
        <v>74</v>
      </c>
      <c r="E815" s="1" t="s">
        <v>74</v>
      </c>
      <c r="F815" s="1" t="s">
        <v>6838</v>
      </c>
      <c r="G815" s="1" t="s">
        <v>74</v>
      </c>
      <c r="H815" s="1" t="s">
        <v>74</v>
      </c>
      <c r="I815" s="1" t="s">
        <v>6839</v>
      </c>
      <c r="J815" s="1" t="s">
        <v>6840</v>
      </c>
      <c r="K815" s="1" t="s">
        <v>74</v>
      </c>
      <c r="L815" s="1" t="s">
        <v>74</v>
      </c>
      <c r="M815" s="1" t="s">
        <v>74</v>
      </c>
      <c r="N815" s="1" t="s">
        <v>74</v>
      </c>
      <c r="O815" s="1" t="s">
        <v>74</v>
      </c>
      <c r="P815" s="1" t="s">
        <v>74</v>
      </c>
      <c r="Q815" s="1" t="s">
        <v>74</v>
      </c>
      <c r="R815" s="1" t="s">
        <v>74</v>
      </c>
      <c r="S815" s="1" t="s">
        <v>74</v>
      </c>
      <c r="T815" s="1" t="s">
        <v>74</v>
      </c>
      <c r="U815" s="1" t="s">
        <v>74</v>
      </c>
      <c r="V815" s="1" t="s">
        <v>6841</v>
      </c>
      <c r="W815" s="1" t="s">
        <v>74</v>
      </c>
      <c r="X815" s="1" t="s">
        <v>74</v>
      </c>
      <c r="Y815" s="1" t="s">
        <v>74</v>
      </c>
      <c r="Z815" s="1" t="s">
        <v>74</v>
      </c>
      <c r="AA815" s="1" t="s">
        <v>74</v>
      </c>
      <c r="AB815" s="1" t="s">
        <v>74</v>
      </c>
      <c r="AC815" s="1" t="s">
        <v>74</v>
      </c>
      <c r="AD815" s="1" t="s">
        <v>74</v>
      </c>
      <c r="AE815" s="1" t="s">
        <v>74</v>
      </c>
      <c r="AF815" s="1" t="s">
        <v>74</v>
      </c>
      <c r="AG815" s="1" t="s">
        <v>74</v>
      </c>
      <c r="AH815" s="1" t="s">
        <v>74</v>
      </c>
      <c r="AI815" s="1" t="s">
        <v>74</v>
      </c>
      <c r="AJ815" s="1" t="s">
        <v>74</v>
      </c>
      <c r="AK815" s="1" t="s">
        <v>74</v>
      </c>
      <c r="AL815" s="1" t="s">
        <v>74</v>
      </c>
      <c r="AM815" s="1" t="s">
        <v>74</v>
      </c>
      <c r="AN815" s="1" t="s">
        <v>74</v>
      </c>
      <c r="AO815" s="1" t="s">
        <v>6842</v>
      </c>
      <c r="AP815" s="1" t="s">
        <v>6843</v>
      </c>
      <c r="AQ815" s="1" t="s">
        <v>74</v>
      </c>
      <c r="AR815" s="1" t="s">
        <v>74</v>
      </c>
      <c r="AS815" s="1" t="s">
        <v>74</v>
      </c>
      <c r="AT815" s="1" t="s">
        <v>299</v>
      </c>
      <c r="AU815" s="1">
        <v>2022.0</v>
      </c>
      <c r="AV815" s="1">
        <v>126.0</v>
      </c>
      <c r="AW815" s="1" t="s">
        <v>74</v>
      </c>
      <c r="AX815" s="1" t="s">
        <v>74</v>
      </c>
      <c r="AY815" s="1" t="s">
        <v>74</v>
      </c>
      <c r="AZ815" s="1" t="s">
        <v>74</v>
      </c>
      <c r="BA815" s="1" t="s">
        <v>74</v>
      </c>
      <c r="BB815" s="1" t="s">
        <v>74</v>
      </c>
      <c r="BC815" s="1" t="s">
        <v>74</v>
      </c>
      <c r="BD815" s="1">
        <v>104262.0</v>
      </c>
      <c r="BE815" s="1" t="s">
        <v>6844</v>
      </c>
      <c r="BF815" s="2" t="str">
        <f>HYPERLINK("http://dx.doi.org/10.1016/j.dci.2021.104262","http://dx.doi.org/10.1016/j.dci.2021.104262")</f>
        <v>http://dx.doi.org/10.1016/j.dci.2021.104262</v>
      </c>
      <c r="BG815" s="1" t="s">
        <v>74</v>
      </c>
      <c r="BH815" s="1" t="s">
        <v>2834</v>
      </c>
      <c r="BI815" s="1" t="s">
        <v>74</v>
      </c>
      <c r="BJ815" s="1" t="s">
        <v>74</v>
      </c>
      <c r="BK815" s="1" t="s">
        <v>74</v>
      </c>
      <c r="BL815" s="1" t="s">
        <v>74</v>
      </c>
      <c r="BM815" s="1" t="s">
        <v>74</v>
      </c>
      <c r="BN815" s="1">
        <v>3.4543663E7</v>
      </c>
      <c r="BO815" s="1" t="s">
        <v>74</v>
      </c>
      <c r="BP815" s="1" t="s">
        <v>74</v>
      </c>
      <c r="BQ815" s="1" t="s">
        <v>74</v>
      </c>
      <c r="BR815" s="1" t="s">
        <v>74</v>
      </c>
      <c r="BS815" s="1" t="s">
        <v>6845</v>
      </c>
      <c r="BT815" s="1" t="str">
        <f>HYPERLINK("https%3A%2F%2Fwww.webofscience.com%2Fwos%2Fwoscc%2Ffull-record%2FWOS:000701875600005","View Full Record in Web of Science")</f>
        <v>View Full Record in Web of Science</v>
      </c>
    </row>
    <row r="816" ht="12.75" customHeight="1">
      <c r="A816" s="1" t="s">
        <v>72</v>
      </c>
      <c r="B816" s="1" t="s">
        <v>6846</v>
      </c>
      <c r="C816" s="1" t="s">
        <v>74</v>
      </c>
      <c r="D816" s="1" t="s">
        <v>74</v>
      </c>
      <c r="E816" s="1" t="s">
        <v>74</v>
      </c>
      <c r="F816" s="1" t="s">
        <v>6847</v>
      </c>
      <c r="G816" s="1" t="s">
        <v>74</v>
      </c>
      <c r="H816" s="1" t="s">
        <v>74</v>
      </c>
      <c r="I816" s="1" t="s">
        <v>6848</v>
      </c>
      <c r="J816" s="1" t="s">
        <v>6849</v>
      </c>
      <c r="K816" s="1" t="s">
        <v>74</v>
      </c>
      <c r="L816" s="1" t="s">
        <v>74</v>
      </c>
      <c r="M816" s="1" t="s">
        <v>74</v>
      </c>
      <c r="N816" s="1" t="s">
        <v>74</v>
      </c>
      <c r="O816" s="1" t="s">
        <v>74</v>
      </c>
      <c r="P816" s="1" t="s">
        <v>74</v>
      </c>
      <c r="Q816" s="1" t="s">
        <v>74</v>
      </c>
      <c r="R816" s="1" t="s">
        <v>74</v>
      </c>
      <c r="S816" s="1" t="s">
        <v>74</v>
      </c>
      <c r="T816" s="1" t="s">
        <v>74</v>
      </c>
      <c r="U816" s="1" t="s">
        <v>74</v>
      </c>
      <c r="V816" s="1" t="s">
        <v>74</v>
      </c>
      <c r="W816" s="1" t="s">
        <v>74</v>
      </c>
      <c r="X816" s="1" t="s">
        <v>74</v>
      </c>
      <c r="Y816" s="1" t="s">
        <v>74</v>
      </c>
      <c r="Z816" s="1" t="s">
        <v>74</v>
      </c>
      <c r="AA816" s="1" t="s">
        <v>74</v>
      </c>
      <c r="AB816" s="1" t="s">
        <v>6850</v>
      </c>
      <c r="AC816" s="1" t="s">
        <v>74</v>
      </c>
      <c r="AD816" s="1" t="s">
        <v>74</v>
      </c>
      <c r="AE816" s="1" t="s">
        <v>74</v>
      </c>
      <c r="AF816" s="1" t="s">
        <v>74</v>
      </c>
      <c r="AG816" s="1" t="s">
        <v>74</v>
      </c>
      <c r="AH816" s="1" t="s">
        <v>74</v>
      </c>
      <c r="AI816" s="1" t="s">
        <v>74</v>
      </c>
      <c r="AJ816" s="1" t="s">
        <v>74</v>
      </c>
      <c r="AK816" s="1" t="s">
        <v>74</v>
      </c>
      <c r="AL816" s="1" t="s">
        <v>74</v>
      </c>
      <c r="AM816" s="1" t="s">
        <v>74</v>
      </c>
      <c r="AN816" s="1" t="s">
        <v>74</v>
      </c>
      <c r="AO816" s="1" t="s">
        <v>6851</v>
      </c>
      <c r="AP816" s="1" t="s">
        <v>6852</v>
      </c>
      <c r="AQ816" s="1" t="s">
        <v>74</v>
      </c>
      <c r="AR816" s="1" t="s">
        <v>74</v>
      </c>
      <c r="AS816" s="1" t="s">
        <v>74</v>
      </c>
      <c r="AT816" s="1" t="s">
        <v>1176</v>
      </c>
      <c r="AU816" s="1">
        <v>2021.0</v>
      </c>
      <c r="AV816" s="1">
        <v>38.0</v>
      </c>
      <c r="AW816" s="1">
        <v>4.0</v>
      </c>
      <c r="AX816" s="1" t="s">
        <v>74</v>
      </c>
      <c r="AY816" s="1" t="s">
        <v>74</v>
      </c>
      <c r="AZ816" s="1" t="s">
        <v>74</v>
      </c>
      <c r="BA816" s="1" t="s">
        <v>74</v>
      </c>
      <c r="BB816" s="1">
        <v>584.0</v>
      </c>
      <c r="BC816" s="1">
        <v>585.0</v>
      </c>
      <c r="BD816" s="1" t="s">
        <v>74</v>
      </c>
      <c r="BE816" s="1" t="s">
        <v>74</v>
      </c>
      <c r="BF816" s="1" t="s">
        <v>74</v>
      </c>
      <c r="BG816" s="1" t="s">
        <v>74</v>
      </c>
      <c r="BH816" s="1" t="s">
        <v>74</v>
      </c>
      <c r="BI816" s="1" t="s">
        <v>74</v>
      </c>
      <c r="BJ816" s="1" t="s">
        <v>74</v>
      </c>
      <c r="BK816" s="1" t="s">
        <v>74</v>
      </c>
      <c r="BL816" s="1" t="s">
        <v>74</v>
      </c>
      <c r="BM816" s="1" t="s">
        <v>74</v>
      </c>
      <c r="BN816" s="1">
        <v>3.4652409E7</v>
      </c>
      <c r="BO816" s="1" t="s">
        <v>74</v>
      </c>
      <c r="BP816" s="1" t="s">
        <v>74</v>
      </c>
      <c r="BQ816" s="1" t="s">
        <v>74</v>
      </c>
      <c r="BR816" s="1" t="s">
        <v>74</v>
      </c>
      <c r="BS816" s="1" t="s">
        <v>6853</v>
      </c>
      <c r="BT816" s="1" t="str">
        <f>HYPERLINK("https%3A%2F%2Fwww.webofscience.com%2Fwos%2Fwoscc%2Ffull-record%2FWOS:000708129800019","View Full Record in Web of Science")</f>
        <v>View Full Record in Web of Science</v>
      </c>
    </row>
    <row r="817" ht="12.75" customHeight="1">
      <c r="A817" s="1" t="s">
        <v>72</v>
      </c>
      <c r="B817" s="1" t="s">
        <v>6854</v>
      </c>
      <c r="C817" s="1" t="s">
        <v>74</v>
      </c>
      <c r="D817" s="1" t="s">
        <v>74</v>
      </c>
      <c r="E817" s="1" t="s">
        <v>74</v>
      </c>
      <c r="F817" s="1" t="s">
        <v>6855</v>
      </c>
      <c r="G817" s="1" t="s">
        <v>74</v>
      </c>
      <c r="H817" s="1" t="s">
        <v>74</v>
      </c>
      <c r="I817" s="1" t="s">
        <v>6856</v>
      </c>
      <c r="J817" s="1" t="s">
        <v>3678</v>
      </c>
      <c r="K817" s="1" t="s">
        <v>74</v>
      </c>
      <c r="L817" s="1" t="s">
        <v>74</v>
      </c>
      <c r="M817" s="1" t="s">
        <v>74</v>
      </c>
      <c r="N817" s="1" t="s">
        <v>74</v>
      </c>
      <c r="O817" s="1" t="s">
        <v>74</v>
      </c>
      <c r="P817" s="1" t="s">
        <v>74</v>
      </c>
      <c r="Q817" s="1" t="s">
        <v>74</v>
      </c>
      <c r="R817" s="1" t="s">
        <v>74</v>
      </c>
      <c r="S817" s="1" t="s">
        <v>74</v>
      </c>
      <c r="T817" s="1" t="s">
        <v>74</v>
      </c>
      <c r="U817" s="1" t="s">
        <v>74</v>
      </c>
      <c r="V817" s="1" t="s">
        <v>74</v>
      </c>
      <c r="W817" s="1" t="s">
        <v>74</v>
      </c>
      <c r="X817" s="1" t="s">
        <v>74</v>
      </c>
      <c r="Y817" s="1" t="s">
        <v>74</v>
      </c>
      <c r="Z817" s="1" t="s">
        <v>74</v>
      </c>
      <c r="AA817" s="1" t="s">
        <v>74</v>
      </c>
      <c r="AB817" s="1" t="s">
        <v>74</v>
      </c>
      <c r="AC817" s="1" t="s">
        <v>74</v>
      </c>
      <c r="AD817" s="1" t="s">
        <v>74</v>
      </c>
      <c r="AE817" s="1" t="s">
        <v>74</v>
      </c>
      <c r="AF817" s="1" t="s">
        <v>74</v>
      </c>
      <c r="AG817" s="1" t="s">
        <v>74</v>
      </c>
      <c r="AH817" s="1" t="s">
        <v>74</v>
      </c>
      <c r="AI817" s="1" t="s">
        <v>74</v>
      </c>
      <c r="AJ817" s="1" t="s">
        <v>74</v>
      </c>
      <c r="AK817" s="1" t="s">
        <v>74</v>
      </c>
      <c r="AL817" s="1" t="s">
        <v>74</v>
      </c>
      <c r="AM817" s="1" t="s">
        <v>74</v>
      </c>
      <c r="AN817" s="1" t="s">
        <v>74</v>
      </c>
      <c r="AO817" s="1" t="s">
        <v>3681</v>
      </c>
      <c r="AP817" s="1" t="s">
        <v>3682</v>
      </c>
      <c r="AQ817" s="1" t="s">
        <v>74</v>
      </c>
      <c r="AR817" s="1" t="s">
        <v>74</v>
      </c>
      <c r="AS817" s="1" t="s">
        <v>74</v>
      </c>
      <c r="AT817" s="1" t="s">
        <v>4135</v>
      </c>
      <c r="AU817" s="1">
        <v>2021.0</v>
      </c>
      <c r="AV817" s="1">
        <v>49.0</v>
      </c>
      <c r="AW817" s="1">
        <v>2.0</v>
      </c>
      <c r="AX817" s="1" t="s">
        <v>74</v>
      </c>
      <c r="AY817" s="1" t="s">
        <v>74</v>
      </c>
      <c r="AZ817" s="1" t="s">
        <v>74</v>
      </c>
      <c r="BA817" s="1" t="s">
        <v>74</v>
      </c>
      <c r="BB817" s="1">
        <v>228.0</v>
      </c>
      <c r="BC817" s="1">
        <v>229.0</v>
      </c>
      <c r="BD817" s="1" t="s">
        <v>74</v>
      </c>
      <c r="BE817" s="1" t="s">
        <v>6857</v>
      </c>
      <c r="BF817" s="2" t="str">
        <f>HYPERLINK("http://dx.doi.org/10.15586/aei.v49i2.205","http://dx.doi.org/10.15586/aei.v49i2.205")</f>
        <v>http://dx.doi.org/10.15586/aei.v49i2.205</v>
      </c>
      <c r="BG817" s="1" t="s">
        <v>74</v>
      </c>
      <c r="BH817" s="1" t="s">
        <v>74</v>
      </c>
      <c r="BI817" s="1" t="s">
        <v>74</v>
      </c>
      <c r="BJ817" s="1" t="s">
        <v>74</v>
      </c>
      <c r="BK817" s="1" t="s">
        <v>74</v>
      </c>
      <c r="BL817" s="1" t="s">
        <v>74</v>
      </c>
      <c r="BM817" s="1" t="s">
        <v>74</v>
      </c>
      <c r="BN817" s="1">
        <v>3.3641313E7</v>
      </c>
      <c r="BO817" s="1" t="s">
        <v>74</v>
      </c>
      <c r="BP817" s="1" t="s">
        <v>74</v>
      </c>
      <c r="BQ817" s="1" t="s">
        <v>74</v>
      </c>
      <c r="BR817" s="1" t="s">
        <v>74</v>
      </c>
      <c r="BS817" s="1" t="s">
        <v>6858</v>
      </c>
      <c r="BT817" s="1" t="str">
        <f>HYPERLINK("https%3A%2F%2Fwww.webofscience.com%2Fwos%2Fwoscc%2Ffull-record%2FWOS:000624917300028","View Full Record in Web of Science")</f>
        <v>View Full Record in Web of Science</v>
      </c>
    </row>
    <row r="818" ht="12.75" customHeight="1">
      <c r="A818" s="1" t="s">
        <v>91</v>
      </c>
      <c r="B818" s="1" t="s">
        <v>6859</v>
      </c>
      <c r="C818" s="1" t="s">
        <v>74</v>
      </c>
      <c r="D818" s="1" t="s">
        <v>74</v>
      </c>
      <c r="E818" s="1" t="s">
        <v>442</v>
      </c>
      <c r="F818" s="1" t="s">
        <v>6860</v>
      </c>
      <c r="G818" s="1" t="s">
        <v>74</v>
      </c>
      <c r="H818" s="1" t="s">
        <v>74</v>
      </c>
      <c r="I818" s="1" t="s">
        <v>6861</v>
      </c>
      <c r="J818" s="1" t="s">
        <v>3656</v>
      </c>
      <c r="K818" s="1" t="s">
        <v>74</v>
      </c>
      <c r="L818" s="1" t="s">
        <v>74</v>
      </c>
      <c r="M818" s="1" t="s">
        <v>74</v>
      </c>
      <c r="N818" s="1" t="s">
        <v>74</v>
      </c>
      <c r="O818" s="1" t="s">
        <v>3657</v>
      </c>
      <c r="P818" s="1" t="s">
        <v>3658</v>
      </c>
      <c r="Q818" s="1" t="s">
        <v>3659</v>
      </c>
      <c r="R818" s="1" t="s">
        <v>74</v>
      </c>
      <c r="S818" s="1" t="s">
        <v>74</v>
      </c>
      <c r="T818" s="1" t="s">
        <v>74</v>
      </c>
      <c r="U818" s="1" t="s">
        <v>74</v>
      </c>
      <c r="V818" s="1" t="s">
        <v>6862</v>
      </c>
      <c r="W818" s="1" t="s">
        <v>74</v>
      </c>
      <c r="X818" s="1" t="s">
        <v>74</v>
      </c>
      <c r="Y818" s="1" t="s">
        <v>74</v>
      </c>
      <c r="Z818" s="1" t="s">
        <v>74</v>
      </c>
      <c r="AA818" s="1" t="s">
        <v>74</v>
      </c>
      <c r="AB818" s="1" t="s">
        <v>1036</v>
      </c>
      <c r="AC818" s="1" t="s">
        <v>74</v>
      </c>
      <c r="AD818" s="1" t="s">
        <v>74</v>
      </c>
      <c r="AE818" s="1" t="s">
        <v>74</v>
      </c>
      <c r="AF818" s="1" t="s">
        <v>74</v>
      </c>
      <c r="AG818" s="1" t="s">
        <v>74</v>
      </c>
      <c r="AH818" s="1" t="s">
        <v>74</v>
      </c>
      <c r="AI818" s="1" t="s">
        <v>74</v>
      </c>
      <c r="AJ818" s="1" t="s">
        <v>74</v>
      </c>
      <c r="AK818" s="1" t="s">
        <v>74</v>
      </c>
      <c r="AL818" s="1" t="s">
        <v>74</v>
      </c>
      <c r="AM818" s="1" t="s">
        <v>74</v>
      </c>
      <c r="AN818" s="1" t="s">
        <v>74</v>
      </c>
      <c r="AO818" s="1" t="s">
        <v>74</v>
      </c>
      <c r="AP818" s="1" t="s">
        <v>74</v>
      </c>
      <c r="AQ818" s="1" t="s">
        <v>3661</v>
      </c>
      <c r="AR818" s="1" t="s">
        <v>74</v>
      </c>
      <c r="AS818" s="1" t="s">
        <v>74</v>
      </c>
      <c r="AT818" s="1" t="s">
        <v>74</v>
      </c>
      <c r="AU818" s="1">
        <v>2021.0</v>
      </c>
      <c r="AV818" s="1" t="s">
        <v>74</v>
      </c>
      <c r="AW818" s="1" t="s">
        <v>74</v>
      </c>
      <c r="AX818" s="1" t="s">
        <v>74</v>
      </c>
      <c r="AY818" s="1" t="s">
        <v>74</v>
      </c>
      <c r="AZ818" s="1" t="s">
        <v>74</v>
      </c>
      <c r="BA818" s="1" t="s">
        <v>74</v>
      </c>
      <c r="BB818" s="1" t="s">
        <v>74</v>
      </c>
      <c r="BC818" s="1" t="s">
        <v>74</v>
      </c>
      <c r="BD818" s="1" t="s">
        <v>74</v>
      </c>
      <c r="BE818" s="1" t="s">
        <v>6863</v>
      </c>
      <c r="BF818" s="2" t="str">
        <f>HYPERLINK("http://dx.doi.org/10.1109/LA-CCI48322.2021.9769832","http://dx.doi.org/10.1109/LA-CCI48322.2021.9769832")</f>
        <v>http://dx.doi.org/10.1109/LA-CCI48322.2021.9769832</v>
      </c>
      <c r="BG818" s="1" t="s">
        <v>74</v>
      </c>
      <c r="BH818" s="1" t="s">
        <v>74</v>
      </c>
      <c r="BI818" s="1" t="s">
        <v>74</v>
      </c>
      <c r="BJ818" s="1" t="s">
        <v>74</v>
      </c>
      <c r="BK818" s="1" t="s">
        <v>74</v>
      </c>
      <c r="BL818" s="1" t="s">
        <v>74</v>
      </c>
      <c r="BM818" s="1" t="s">
        <v>74</v>
      </c>
      <c r="BN818" s="1" t="s">
        <v>74</v>
      </c>
      <c r="BO818" s="1" t="s">
        <v>74</v>
      </c>
      <c r="BP818" s="1" t="s">
        <v>74</v>
      </c>
      <c r="BQ818" s="1" t="s">
        <v>74</v>
      </c>
      <c r="BR818" s="1" t="s">
        <v>74</v>
      </c>
      <c r="BS818" s="1" t="s">
        <v>6864</v>
      </c>
      <c r="BT818" s="1" t="str">
        <f>HYPERLINK("https%3A%2F%2Fwww.webofscience.com%2Fwos%2Fwoscc%2Ffull-record%2FWOS:000925148800034","View Full Record in Web of Science")</f>
        <v>View Full Record in Web of Science</v>
      </c>
    </row>
    <row r="819" ht="12.75" customHeight="1">
      <c r="A819" s="1" t="s">
        <v>72</v>
      </c>
      <c r="B819" s="1" t="s">
        <v>6865</v>
      </c>
      <c r="C819" s="1" t="s">
        <v>74</v>
      </c>
      <c r="D819" s="1" t="s">
        <v>74</v>
      </c>
      <c r="E819" s="1" t="s">
        <v>74</v>
      </c>
      <c r="F819" s="1" t="s">
        <v>6866</v>
      </c>
      <c r="G819" s="1" t="s">
        <v>74</v>
      </c>
      <c r="H819" s="1" t="s">
        <v>74</v>
      </c>
      <c r="I819" s="1" t="s">
        <v>6867</v>
      </c>
      <c r="J819" s="1" t="s">
        <v>6868</v>
      </c>
      <c r="K819" s="1" t="s">
        <v>74</v>
      </c>
      <c r="L819" s="1" t="s">
        <v>74</v>
      </c>
      <c r="M819" s="1" t="s">
        <v>74</v>
      </c>
      <c r="N819" s="1" t="s">
        <v>74</v>
      </c>
      <c r="O819" s="1" t="s">
        <v>74</v>
      </c>
      <c r="P819" s="1" t="s">
        <v>74</v>
      </c>
      <c r="Q819" s="1" t="s">
        <v>74</v>
      </c>
      <c r="R819" s="1" t="s">
        <v>74</v>
      </c>
      <c r="S819" s="1" t="s">
        <v>74</v>
      </c>
      <c r="T819" s="1" t="s">
        <v>74</v>
      </c>
      <c r="U819" s="1" t="s">
        <v>74</v>
      </c>
      <c r="V819" s="1" t="s">
        <v>6869</v>
      </c>
      <c r="W819" s="1" t="s">
        <v>74</v>
      </c>
      <c r="X819" s="1" t="s">
        <v>74</v>
      </c>
      <c r="Y819" s="1" t="s">
        <v>74</v>
      </c>
      <c r="Z819" s="1" t="s">
        <v>74</v>
      </c>
      <c r="AA819" s="1" t="s">
        <v>74</v>
      </c>
      <c r="AB819" s="1" t="s">
        <v>74</v>
      </c>
      <c r="AC819" s="1" t="s">
        <v>74</v>
      </c>
      <c r="AD819" s="1" t="s">
        <v>74</v>
      </c>
      <c r="AE819" s="1" t="s">
        <v>74</v>
      </c>
      <c r="AF819" s="1" t="s">
        <v>74</v>
      </c>
      <c r="AG819" s="1" t="s">
        <v>74</v>
      </c>
      <c r="AH819" s="1" t="s">
        <v>74</v>
      </c>
      <c r="AI819" s="1" t="s">
        <v>74</v>
      </c>
      <c r="AJ819" s="1" t="s">
        <v>74</v>
      </c>
      <c r="AK819" s="1" t="s">
        <v>74</v>
      </c>
      <c r="AL819" s="1" t="s">
        <v>74</v>
      </c>
      <c r="AM819" s="1" t="s">
        <v>74</v>
      </c>
      <c r="AN819" s="1" t="s">
        <v>74</v>
      </c>
      <c r="AO819" s="1" t="s">
        <v>6870</v>
      </c>
      <c r="AP819" s="1" t="s">
        <v>74</v>
      </c>
      <c r="AQ819" s="1" t="s">
        <v>74</v>
      </c>
      <c r="AR819" s="1" t="s">
        <v>74</v>
      </c>
      <c r="AS819" s="1" t="s">
        <v>74</v>
      </c>
      <c r="AT819" s="1" t="s">
        <v>915</v>
      </c>
      <c r="AU819" s="1">
        <v>2020.0</v>
      </c>
      <c r="AV819" s="1">
        <v>11.0</v>
      </c>
      <c r="AW819" s="1">
        <v>2.0</v>
      </c>
      <c r="AX819" s="1" t="s">
        <v>74</v>
      </c>
      <c r="AY819" s="1" t="s">
        <v>74</v>
      </c>
      <c r="AZ819" s="1" t="s">
        <v>74</v>
      </c>
      <c r="BA819" s="1" t="s">
        <v>74</v>
      </c>
      <c r="BB819" s="1">
        <v>55.0</v>
      </c>
      <c r="BC819" s="1">
        <v>72.0</v>
      </c>
      <c r="BD819" s="1" t="s">
        <v>74</v>
      </c>
      <c r="BE819" s="1" t="s">
        <v>74</v>
      </c>
      <c r="BF819" s="1" t="s">
        <v>74</v>
      </c>
      <c r="BG819" s="1" t="s">
        <v>74</v>
      </c>
      <c r="BH819" s="1" t="s">
        <v>74</v>
      </c>
      <c r="BI819" s="1" t="s">
        <v>74</v>
      </c>
      <c r="BJ819" s="1" t="s">
        <v>74</v>
      </c>
      <c r="BK819" s="1" t="s">
        <v>74</v>
      </c>
      <c r="BL819" s="1" t="s">
        <v>74</v>
      </c>
      <c r="BM819" s="1" t="s">
        <v>74</v>
      </c>
      <c r="BN819" s="1" t="s">
        <v>74</v>
      </c>
      <c r="BO819" s="1" t="s">
        <v>74</v>
      </c>
      <c r="BP819" s="1" t="s">
        <v>74</v>
      </c>
      <c r="BQ819" s="1" t="s">
        <v>74</v>
      </c>
      <c r="BR819" s="1" t="s">
        <v>74</v>
      </c>
      <c r="BS819" s="1" t="s">
        <v>6871</v>
      </c>
      <c r="BT819" s="1" t="str">
        <f>HYPERLINK("https%3A%2F%2Fwww.webofscience.com%2Fwos%2Fwoscc%2Ffull-record%2FWOS:000606328800003","View Full Record in Web of Science")</f>
        <v>View Full Record in Web of Science</v>
      </c>
    </row>
    <row r="820" ht="12.75" customHeight="1">
      <c r="A820" s="1" t="s">
        <v>72</v>
      </c>
      <c r="B820" s="1" t="s">
        <v>1421</v>
      </c>
      <c r="C820" s="1" t="s">
        <v>74</v>
      </c>
      <c r="D820" s="1" t="s">
        <v>74</v>
      </c>
      <c r="E820" s="1" t="s">
        <v>74</v>
      </c>
      <c r="F820" s="1" t="s">
        <v>1422</v>
      </c>
      <c r="G820" s="1" t="s">
        <v>74</v>
      </c>
      <c r="H820" s="1" t="s">
        <v>74</v>
      </c>
      <c r="I820" s="1" t="s">
        <v>6872</v>
      </c>
      <c r="J820" s="1" t="s">
        <v>6873</v>
      </c>
      <c r="K820" s="1" t="s">
        <v>74</v>
      </c>
      <c r="L820" s="1" t="s">
        <v>74</v>
      </c>
      <c r="M820" s="1" t="s">
        <v>74</v>
      </c>
      <c r="N820" s="1" t="s">
        <v>74</v>
      </c>
      <c r="O820" s="1" t="s">
        <v>74</v>
      </c>
      <c r="P820" s="1" t="s">
        <v>74</v>
      </c>
      <c r="Q820" s="1" t="s">
        <v>74</v>
      </c>
      <c r="R820" s="1" t="s">
        <v>74</v>
      </c>
      <c r="S820" s="1" t="s">
        <v>74</v>
      </c>
      <c r="T820" s="1" t="s">
        <v>74</v>
      </c>
      <c r="U820" s="1" t="s">
        <v>74</v>
      </c>
      <c r="V820" s="1" t="s">
        <v>74</v>
      </c>
      <c r="W820" s="1" t="s">
        <v>74</v>
      </c>
      <c r="X820" s="1" t="s">
        <v>74</v>
      </c>
      <c r="Y820" s="1" t="s">
        <v>74</v>
      </c>
      <c r="Z820" s="1" t="s">
        <v>74</v>
      </c>
      <c r="AA820" s="1" t="s">
        <v>74</v>
      </c>
      <c r="AB820" s="1" t="s">
        <v>74</v>
      </c>
      <c r="AC820" s="1" t="s">
        <v>74</v>
      </c>
      <c r="AD820" s="1" t="s">
        <v>74</v>
      </c>
      <c r="AE820" s="1" t="s">
        <v>74</v>
      </c>
      <c r="AF820" s="1" t="s">
        <v>74</v>
      </c>
      <c r="AG820" s="1" t="s">
        <v>74</v>
      </c>
      <c r="AH820" s="1" t="s">
        <v>74</v>
      </c>
      <c r="AI820" s="1" t="s">
        <v>74</v>
      </c>
      <c r="AJ820" s="1" t="s">
        <v>74</v>
      </c>
      <c r="AK820" s="1" t="s">
        <v>74</v>
      </c>
      <c r="AL820" s="1" t="s">
        <v>74</v>
      </c>
      <c r="AM820" s="1" t="s">
        <v>74</v>
      </c>
      <c r="AN820" s="1" t="s">
        <v>74</v>
      </c>
      <c r="AO820" s="1" t="s">
        <v>6874</v>
      </c>
      <c r="AP820" s="1" t="s">
        <v>6875</v>
      </c>
      <c r="AQ820" s="1" t="s">
        <v>74</v>
      </c>
      <c r="AR820" s="1" t="s">
        <v>74</v>
      </c>
      <c r="AS820" s="1" t="s">
        <v>74</v>
      </c>
      <c r="AT820" s="1" t="s">
        <v>3000</v>
      </c>
      <c r="AU820" s="1">
        <v>2020.0</v>
      </c>
      <c r="AV820" s="1">
        <v>87.0</v>
      </c>
      <c r="AW820" s="1">
        <v>272.0</v>
      </c>
      <c r="AX820" s="1" t="s">
        <v>74</v>
      </c>
      <c r="AY820" s="1" t="s">
        <v>74</v>
      </c>
      <c r="AZ820" s="1" t="s">
        <v>74</v>
      </c>
      <c r="BA820" s="1" t="s">
        <v>74</v>
      </c>
      <c r="BB820" s="1">
        <v>945.0</v>
      </c>
      <c r="BC820" s="1">
        <v>960.0</v>
      </c>
      <c r="BD820" s="1" t="s">
        <v>74</v>
      </c>
      <c r="BE820" s="1" t="s">
        <v>74</v>
      </c>
      <c r="BF820" s="1" t="s">
        <v>74</v>
      </c>
      <c r="BG820" s="1" t="s">
        <v>74</v>
      </c>
      <c r="BH820" s="1" t="s">
        <v>74</v>
      </c>
      <c r="BI820" s="1" t="s">
        <v>74</v>
      </c>
      <c r="BJ820" s="1" t="s">
        <v>74</v>
      </c>
      <c r="BK820" s="1" t="s">
        <v>74</v>
      </c>
      <c r="BL820" s="1" t="s">
        <v>74</v>
      </c>
      <c r="BM820" s="1" t="s">
        <v>74</v>
      </c>
      <c r="BN820" s="1" t="s">
        <v>74</v>
      </c>
      <c r="BO820" s="1" t="s">
        <v>74</v>
      </c>
      <c r="BP820" s="1" t="s">
        <v>74</v>
      </c>
      <c r="BQ820" s="1" t="s">
        <v>74</v>
      </c>
      <c r="BR820" s="1" t="s">
        <v>74</v>
      </c>
      <c r="BS820" s="1" t="s">
        <v>6876</v>
      </c>
      <c r="BT820" s="1" t="str">
        <f>HYPERLINK("https%3A%2F%2Fwww.webofscience.com%2Fwos%2Fwoscc%2Ffull-record%2FWOS:000575510200020","View Full Record in Web of Science")</f>
        <v>View Full Record in Web of Science</v>
      </c>
    </row>
    <row r="821" ht="12.75" customHeight="1">
      <c r="A821" s="1" t="s">
        <v>72</v>
      </c>
      <c r="B821" s="1" t="s">
        <v>6877</v>
      </c>
      <c r="C821" s="1" t="s">
        <v>74</v>
      </c>
      <c r="D821" s="1" t="s">
        <v>74</v>
      </c>
      <c r="E821" s="1" t="s">
        <v>74</v>
      </c>
      <c r="F821" s="1" t="s">
        <v>6878</v>
      </c>
      <c r="G821" s="1" t="s">
        <v>74</v>
      </c>
      <c r="H821" s="1" t="s">
        <v>74</v>
      </c>
      <c r="I821" s="1" t="s">
        <v>6879</v>
      </c>
      <c r="J821" s="1" t="s">
        <v>6880</v>
      </c>
      <c r="K821" s="1" t="s">
        <v>74</v>
      </c>
      <c r="L821" s="1" t="s">
        <v>74</v>
      </c>
      <c r="M821" s="1" t="s">
        <v>74</v>
      </c>
      <c r="N821" s="1" t="s">
        <v>74</v>
      </c>
      <c r="O821" s="1" t="s">
        <v>74</v>
      </c>
      <c r="P821" s="1" t="s">
        <v>74</v>
      </c>
      <c r="Q821" s="1" t="s">
        <v>74</v>
      </c>
      <c r="R821" s="1" t="s">
        <v>74</v>
      </c>
      <c r="S821" s="1" t="s">
        <v>74</v>
      </c>
      <c r="T821" s="1" t="s">
        <v>74</v>
      </c>
      <c r="U821" s="1" t="s">
        <v>74</v>
      </c>
      <c r="V821" s="1" t="s">
        <v>6881</v>
      </c>
      <c r="W821" s="1" t="s">
        <v>74</v>
      </c>
      <c r="X821" s="1" t="s">
        <v>74</v>
      </c>
      <c r="Y821" s="1" t="s">
        <v>74</v>
      </c>
      <c r="Z821" s="1" t="s">
        <v>74</v>
      </c>
      <c r="AA821" s="1" t="s">
        <v>74</v>
      </c>
      <c r="AB821" s="1" t="s">
        <v>74</v>
      </c>
      <c r="AC821" s="1" t="s">
        <v>74</v>
      </c>
      <c r="AD821" s="1" t="s">
        <v>74</v>
      </c>
      <c r="AE821" s="1" t="s">
        <v>74</v>
      </c>
      <c r="AF821" s="1" t="s">
        <v>74</v>
      </c>
      <c r="AG821" s="1" t="s">
        <v>74</v>
      </c>
      <c r="AH821" s="1" t="s">
        <v>74</v>
      </c>
      <c r="AI821" s="1" t="s">
        <v>74</v>
      </c>
      <c r="AJ821" s="1" t="s">
        <v>74</v>
      </c>
      <c r="AK821" s="1" t="s">
        <v>74</v>
      </c>
      <c r="AL821" s="1" t="s">
        <v>74</v>
      </c>
      <c r="AM821" s="1" t="s">
        <v>74</v>
      </c>
      <c r="AN821" s="1" t="s">
        <v>74</v>
      </c>
      <c r="AO821" s="1" t="s">
        <v>6882</v>
      </c>
      <c r="AP821" s="1" t="s">
        <v>6883</v>
      </c>
      <c r="AQ821" s="1" t="s">
        <v>74</v>
      </c>
      <c r="AR821" s="1" t="s">
        <v>74</v>
      </c>
      <c r="AS821" s="1" t="s">
        <v>74</v>
      </c>
      <c r="AT821" s="1" t="s">
        <v>180</v>
      </c>
      <c r="AU821" s="1">
        <v>2020.0</v>
      </c>
      <c r="AV821" s="1" t="s">
        <v>74</v>
      </c>
      <c r="AW821" s="1">
        <v>48.0</v>
      </c>
      <c r="AX821" s="1" t="s">
        <v>74</v>
      </c>
      <c r="AY821" s="1" t="s">
        <v>74</v>
      </c>
      <c r="AZ821" s="1" t="s">
        <v>74</v>
      </c>
      <c r="BA821" s="1" t="s">
        <v>74</v>
      </c>
      <c r="BB821" s="1">
        <v>202.0</v>
      </c>
      <c r="BC821" s="1">
        <v>216.0</v>
      </c>
      <c r="BD821" s="1" t="s">
        <v>74</v>
      </c>
      <c r="BE821" s="1" t="s">
        <v>6884</v>
      </c>
      <c r="BF821" s="2" t="str">
        <f>HYPERLINK("http://dx.doi.org/10.7764/onomazein.48.09","http://dx.doi.org/10.7764/onomazein.48.09")</f>
        <v>http://dx.doi.org/10.7764/onomazein.48.09</v>
      </c>
      <c r="BG821" s="1" t="s">
        <v>74</v>
      </c>
      <c r="BH821" s="1" t="s">
        <v>74</v>
      </c>
      <c r="BI821" s="1" t="s">
        <v>74</v>
      </c>
      <c r="BJ821" s="1" t="s">
        <v>74</v>
      </c>
      <c r="BK821" s="1" t="s">
        <v>74</v>
      </c>
      <c r="BL821" s="1" t="s">
        <v>74</v>
      </c>
      <c r="BM821" s="1" t="s">
        <v>74</v>
      </c>
      <c r="BN821" s="1" t="s">
        <v>74</v>
      </c>
      <c r="BO821" s="1" t="s">
        <v>74</v>
      </c>
      <c r="BP821" s="1" t="s">
        <v>74</v>
      </c>
      <c r="BQ821" s="1" t="s">
        <v>74</v>
      </c>
      <c r="BR821" s="1" t="s">
        <v>74</v>
      </c>
      <c r="BS821" s="1" t="s">
        <v>6885</v>
      </c>
      <c r="BT821" s="1" t="str">
        <f>HYPERLINK("https%3A%2F%2Fwww.webofscience.com%2Fwos%2Fwoscc%2Ffull-record%2FWOS:000553244700009","View Full Record in Web of Science")</f>
        <v>View Full Record in Web of Science</v>
      </c>
    </row>
    <row r="822" ht="12.75" customHeight="1">
      <c r="A822" s="1" t="s">
        <v>72</v>
      </c>
      <c r="B822" s="1" t="s">
        <v>6886</v>
      </c>
      <c r="C822" s="1" t="s">
        <v>74</v>
      </c>
      <c r="D822" s="1" t="s">
        <v>74</v>
      </c>
      <c r="E822" s="1" t="s">
        <v>74</v>
      </c>
      <c r="F822" s="1" t="s">
        <v>6887</v>
      </c>
      <c r="G822" s="1" t="s">
        <v>74</v>
      </c>
      <c r="H822" s="1" t="s">
        <v>74</v>
      </c>
      <c r="I822" s="1" t="s">
        <v>6888</v>
      </c>
      <c r="J822" s="1" t="s">
        <v>6889</v>
      </c>
      <c r="K822" s="1" t="s">
        <v>74</v>
      </c>
      <c r="L822" s="1" t="s">
        <v>74</v>
      </c>
      <c r="M822" s="1" t="s">
        <v>74</v>
      </c>
      <c r="N822" s="1" t="s">
        <v>74</v>
      </c>
      <c r="O822" s="1" t="s">
        <v>74</v>
      </c>
      <c r="P822" s="1" t="s">
        <v>74</v>
      </c>
      <c r="Q822" s="1" t="s">
        <v>74</v>
      </c>
      <c r="R822" s="1" t="s">
        <v>74</v>
      </c>
      <c r="S822" s="1" t="s">
        <v>74</v>
      </c>
      <c r="T822" s="1" t="s">
        <v>74</v>
      </c>
      <c r="U822" s="1" t="s">
        <v>74</v>
      </c>
      <c r="V822" s="1" t="s">
        <v>6890</v>
      </c>
      <c r="W822" s="1" t="s">
        <v>74</v>
      </c>
      <c r="X822" s="1" t="s">
        <v>74</v>
      </c>
      <c r="Y822" s="1" t="s">
        <v>74</v>
      </c>
      <c r="Z822" s="1" t="s">
        <v>74</v>
      </c>
      <c r="AA822" s="1" t="s">
        <v>5257</v>
      </c>
      <c r="AB822" s="1" t="s">
        <v>74</v>
      </c>
      <c r="AC822" s="1" t="s">
        <v>74</v>
      </c>
      <c r="AD822" s="1" t="s">
        <v>74</v>
      </c>
      <c r="AE822" s="1" t="s">
        <v>74</v>
      </c>
      <c r="AF822" s="1" t="s">
        <v>74</v>
      </c>
      <c r="AG822" s="1" t="s">
        <v>74</v>
      </c>
      <c r="AH822" s="1" t="s">
        <v>74</v>
      </c>
      <c r="AI822" s="1" t="s">
        <v>74</v>
      </c>
      <c r="AJ822" s="1" t="s">
        <v>74</v>
      </c>
      <c r="AK822" s="1" t="s">
        <v>74</v>
      </c>
      <c r="AL822" s="1" t="s">
        <v>74</v>
      </c>
      <c r="AM822" s="1" t="s">
        <v>74</v>
      </c>
      <c r="AN822" s="1" t="s">
        <v>74</v>
      </c>
      <c r="AO822" s="1" t="s">
        <v>6891</v>
      </c>
      <c r="AP822" s="1" t="s">
        <v>6892</v>
      </c>
      <c r="AQ822" s="1" t="s">
        <v>74</v>
      </c>
      <c r="AR822" s="1" t="s">
        <v>74</v>
      </c>
      <c r="AS822" s="1" t="s">
        <v>74</v>
      </c>
      <c r="AT822" s="1" t="s">
        <v>347</v>
      </c>
      <c r="AU822" s="1">
        <v>2020.0</v>
      </c>
      <c r="AV822" s="1" t="s">
        <v>74</v>
      </c>
      <c r="AW822" s="1">
        <v>72.0</v>
      </c>
      <c r="AX822" s="1" t="s">
        <v>74</v>
      </c>
      <c r="AY822" s="1" t="s">
        <v>74</v>
      </c>
      <c r="AZ822" s="1" t="s">
        <v>74</v>
      </c>
      <c r="BA822" s="1" t="s">
        <v>74</v>
      </c>
      <c r="BB822" s="1">
        <v>2.0</v>
      </c>
      <c r="BC822" s="1">
        <v>17.0</v>
      </c>
      <c r="BD822" s="1" t="s">
        <v>74</v>
      </c>
      <c r="BE822" s="1" t="s">
        <v>6893</v>
      </c>
      <c r="BF822" s="2" t="str">
        <f>HYPERLINK("http://dx.doi.org/10.7440/res72.2020.01","http://dx.doi.org/10.7440/res72.2020.01")</f>
        <v>http://dx.doi.org/10.7440/res72.2020.01</v>
      </c>
      <c r="BG822" s="1" t="s">
        <v>74</v>
      </c>
      <c r="BH822" s="1" t="s">
        <v>74</v>
      </c>
      <c r="BI822" s="1" t="s">
        <v>74</v>
      </c>
      <c r="BJ822" s="1" t="s">
        <v>74</v>
      </c>
      <c r="BK822" s="1" t="s">
        <v>74</v>
      </c>
      <c r="BL822" s="1" t="s">
        <v>74</v>
      </c>
      <c r="BM822" s="1" t="s">
        <v>74</v>
      </c>
      <c r="BN822" s="1" t="s">
        <v>74</v>
      </c>
      <c r="BO822" s="1" t="s">
        <v>74</v>
      </c>
      <c r="BP822" s="1" t="s">
        <v>74</v>
      </c>
      <c r="BQ822" s="1" t="s">
        <v>74</v>
      </c>
      <c r="BR822" s="1" t="s">
        <v>74</v>
      </c>
      <c r="BS822" s="1" t="s">
        <v>6894</v>
      </c>
      <c r="BT822" s="1" t="str">
        <f>HYPERLINK("https%3A%2F%2Fwww.webofscience.com%2Fwos%2Fwoscc%2Ffull-record%2FWOS:000522732900001","View Full Record in Web of Science")</f>
        <v>View Full Record in Web of Science</v>
      </c>
    </row>
    <row r="823" ht="12.75" customHeight="1">
      <c r="A823" s="1" t="s">
        <v>72</v>
      </c>
      <c r="B823" s="1" t="s">
        <v>6895</v>
      </c>
      <c r="C823" s="1" t="s">
        <v>74</v>
      </c>
      <c r="D823" s="1" t="s">
        <v>74</v>
      </c>
      <c r="E823" s="1" t="s">
        <v>74</v>
      </c>
      <c r="F823" s="1" t="s">
        <v>6896</v>
      </c>
      <c r="G823" s="1" t="s">
        <v>74</v>
      </c>
      <c r="H823" s="1" t="s">
        <v>74</v>
      </c>
      <c r="I823" s="1" t="s">
        <v>6897</v>
      </c>
      <c r="J823" s="1" t="s">
        <v>4146</v>
      </c>
      <c r="K823" s="1" t="s">
        <v>74</v>
      </c>
      <c r="L823" s="1" t="s">
        <v>74</v>
      </c>
      <c r="M823" s="1" t="s">
        <v>74</v>
      </c>
      <c r="N823" s="1" t="s">
        <v>74</v>
      </c>
      <c r="O823" s="1" t="s">
        <v>74</v>
      </c>
      <c r="P823" s="1" t="s">
        <v>74</v>
      </c>
      <c r="Q823" s="1" t="s">
        <v>74</v>
      </c>
      <c r="R823" s="1" t="s">
        <v>74</v>
      </c>
      <c r="S823" s="1" t="s">
        <v>74</v>
      </c>
      <c r="T823" s="1" t="s">
        <v>74</v>
      </c>
      <c r="U823" s="1" t="s">
        <v>74</v>
      </c>
      <c r="V823" s="1" t="s">
        <v>6898</v>
      </c>
      <c r="W823" s="1" t="s">
        <v>74</v>
      </c>
      <c r="X823" s="1" t="s">
        <v>74</v>
      </c>
      <c r="Y823" s="1" t="s">
        <v>74</v>
      </c>
      <c r="Z823" s="1" t="s">
        <v>74</v>
      </c>
      <c r="AA823" s="1" t="s">
        <v>6899</v>
      </c>
      <c r="AB823" s="1" t="s">
        <v>6900</v>
      </c>
      <c r="AC823" s="1" t="s">
        <v>74</v>
      </c>
      <c r="AD823" s="1" t="s">
        <v>74</v>
      </c>
      <c r="AE823" s="1" t="s">
        <v>74</v>
      </c>
      <c r="AF823" s="1" t="s">
        <v>74</v>
      </c>
      <c r="AG823" s="1" t="s">
        <v>74</v>
      </c>
      <c r="AH823" s="1" t="s">
        <v>74</v>
      </c>
      <c r="AI823" s="1" t="s">
        <v>74</v>
      </c>
      <c r="AJ823" s="1" t="s">
        <v>74</v>
      </c>
      <c r="AK823" s="1" t="s">
        <v>74</v>
      </c>
      <c r="AL823" s="1" t="s">
        <v>74</v>
      </c>
      <c r="AM823" s="1" t="s">
        <v>74</v>
      </c>
      <c r="AN823" s="1" t="s">
        <v>74</v>
      </c>
      <c r="AO823" s="1" t="s">
        <v>4148</v>
      </c>
      <c r="AP823" s="1" t="s">
        <v>4149</v>
      </c>
      <c r="AQ823" s="1" t="s">
        <v>74</v>
      </c>
      <c r="AR823" s="1" t="s">
        <v>74</v>
      </c>
      <c r="AS823" s="1" t="s">
        <v>74</v>
      </c>
      <c r="AT823" s="1" t="s">
        <v>6901</v>
      </c>
      <c r="AU823" s="1">
        <v>2020.0</v>
      </c>
      <c r="AV823" s="1">
        <v>53.0</v>
      </c>
      <c r="AW823" s="1">
        <v>1.0</v>
      </c>
      <c r="AX823" s="1" t="s">
        <v>74</v>
      </c>
      <c r="AY823" s="1" t="s">
        <v>74</v>
      </c>
      <c r="AZ823" s="1" t="s">
        <v>74</v>
      </c>
      <c r="BA823" s="1" t="s">
        <v>74</v>
      </c>
      <c r="BB823" s="1" t="s">
        <v>74</v>
      </c>
      <c r="BC823" s="1" t="s">
        <v>74</v>
      </c>
      <c r="BD823" s="1">
        <v>2.0</v>
      </c>
      <c r="BE823" s="1" t="s">
        <v>6902</v>
      </c>
      <c r="BF823" s="2" t="str">
        <f>HYPERLINK("http://dx.doi.org/10.1186/s40659-019-0270-3","http://dx.doi.org/10.1186/s40659-019-0270-3")</f>
        <v>http://dx.doi.org/10.1186/s40659-019-0270-3</v>
      </c>
      <c r="BG823" s="1" t="s">
        <v>74</v>
      </c>
      <c r="BH823" s="1" t="s">
        <v>74</v>
      </c>
      <c r="BI823" s="1" t="s">
        <v>74</v>
      </c>
      <c r="BJ823" s="1" t="s">
        <v>74</v>
      </c>
      <c r="BK823" s="1" t="s">
        <v>74</v>
      </c>
      <c r="BL823" s="1" t="s">
        <v>74</v>
      </c>
      <c r="BM823" s="1" t="s">
        <v>74</v>
      </c>
      <c r="BN823" s="1">
        <v>3.1918759E7</v>
      </c>
      <c r="BO823" s="1" t="s">
        <v>74</v>
      </c>
      <c r="BP823" s="1" t="s">
        <v>74</v>
      </c>
      <c r="BQ823" s="1" t="s">
        <v>74</v>
      </c>
      <c r="BR823" s="1" t="s">
        <v>74</v>
      </c>
      <c r="BS823" s="1" t="s">
        <v>6903</v>
      </c>
      <c r="BT823" s="1" t="str">
        <f>HYPERLINK("https%3A%2F%2Fwww.webofscience.com%2Fwos%2Fwoscc%2Ffull-record%2FWOS:000511929200001","View Full Record in Web of Science")</f>
        <v>View Full Record in Web of Science</v>
      </c>
    </row>
    <row r="824" ht="12.75" customHeight="1">
      <c r="A824" s="1" t="s">
        <v>72</v>
      </c>
      <c r="B824" s="1" t="s">
        <v>6904</v>
      </c>
      <c r="C824" s="1" t="s">
        <v>74</v>
      </c>
      <c r="D824" s="1" t="s">
        <v>74</v>
      </c>
      <c r="E824" s="1" t="s">
        <v>74</v>
      </c>
      <c r="F824" s="1" t="s">
        <v>6905</v>
      </c>
      <c r="G824" s="1" t="s">
        <v>74</v>
      </c>
      <c r="H824" s="1" t="s">
        <v>74</v>
      </c>
      <c r="I824" s="1" t="s">
        <v>6906</v>
      </c>
      <c r="J824" s="1" t="s">
        <v>6907</v>
      </c>
      <c r="K824" s="1" t="s">
        <v>74</v>
      </c>
      <c r="L824" s="1" t="s">
        <v>74</v>
      </c>
      <c r="M824" s="1" t="s">
        <v>74</v>
      </c>
      <c r="N824" s="1" t="s">
        <v>74</v>
      </c>
      <c r="O824" s="1" t="s">
        <v>74</v>
      </c>
      <c r="P824" s="1" t="s">
        <v>74</v>
      </c>
      <c r="Q824" s="1" t="s">
        <v>74</v>
      </c>
      <c r="R824" s="1" t="s">
        <v>74</v>
      </c>
      <c r="S824" s="1" t="s">
        <v>74</v>
      </c>
      <c r="T824" s="1" t="s">
        <v>74</v>
      </c>
      <c r="U824" s="1" t="s">
        <v>74</v>
      </c>
      <c r="V824" s="1" t="s">
        <v>6908</v>
      </c>
      <c r="W824" s="1" t="s">
        <v>74</v>
      </c>
      <c r="X824" s="1" t="s">
        <v>74</v>
      </c>
      <c r="Y824" s="1" t="s">
        <v>74</v>
      </c>
      <c r="Z824" s="1" t="s">
        <v>74</v>
      </c>
      <c r="AA824" s="1" t="s">
        <v>74</v>
      </c>
      <c r="AB824" s="1" t="s">
        <v>74</v>
      </c>
      <c r="AC824" s="1" t="s">
        <v>74</v>
      </c>
      <c r="AD824" s="1" t="s">
        <v>74</v>
      </c>
      <c r="AE824" s="1" t="s">
        <v>74</v>
      </c>
      <c r="AF824" s="1" t="s">
        <v>74</v>
      </c>
      <c r="AG824" s="1" t="s">
        <v>74</v>
      </c>
      <c r="AH824" s="1" t="s">
        <v>74</v>
      </c>
      <c r="AI824" s="1" t="s">
        <v>74</v>
      </c>
      <c r="AJ824" s="1" t="s">
        <v>74</v>
      </c>
      <c r="AK824" s="1" t="s">
        <v>74</v>
      </c>
      <c r="AL824" s="1" t="s">
        <v>74</v>
      </c>
      <c r="AM824" s="1" t="s">
        <v>74</v>
      </c>
      <c r="AN824" s="1" t="s">
        <v>74</v>
      </c>
      <c r="AO824" s="1" t="s">
        <v>74</v>
      </c>
      <c r="AP824" s="1" t="s">
        <v>6909</v>
      </c>
      <c r="AQ824" s="1" t="s">
        <v>74</v>
      </c>
      <c r="AR824" s="1" t="s">
        <v>74</v>
      </c>
      <c r="AS824" s="1" t="s">
        <v>74</v>
      </c>
      <c r="AT824" s="1" t="s">
        <v>74</v>
      </c>
      <c r="AU824" s="1">
        <v>2020.0</v>
      </c>
      <c r="AV824" s="1">
        <v>41.0</v>
      </c>
      <c r="AW824" s="1">
        <v>2.0</v>
      </c>
      <c r="AX824" s="1" t="s">
        <v>74</v>
      </c>
      <c r="AY824" s="1" t="s">
        <v>74</v>
      </c>
      <c r="AZ824" s="1" t="s">
        <v>74</v>
      </c>
      <c r="BA824" s="1" t="s">
        <v>74</v>
      </c>
      <c r="BB824" s="1">
        <v>9.0</v>
      </c>
      <c r="BC824" s="1">
        <v>18.0</v>
      </c>
      <c r="BD824" s="1" t="s">
        <v>74</v>
      </c>
      <c r="BE824" s="1" t="s">
        <v>6910</v>
      </c>
      <c r="BF824" s="2" t="str">
        <f>HYPERLINK("http://dx.doi.org/10.5093/rhp2020a6","http://dx.doi.org/10.5093/rhp2020a6")</f>
        <v>http://dx.doi.org/10.5093/rhp2020a6</v>
      </c>
      <c r="BG824" s="1" t="s">
        <v>74</v>
      </c>
      <c r="BH824" s="1" t="s">
        <v>74</v>
      </c>
      <c r="BI824" s="1" t="s">
        <v>74</v>
      </c>
      <c r="BJ824" s="1" t="s">
        <v>74</v>
      </c>
      <c r="BK824" s="1" t="s">
        <v>74</v>
      </c>
      <c r="BL824" s="1" t="s">
        <v>74</v>
      </c>
      <c r="BM824" s="1" t="s">
        <v>74</v>
      </c>
      <c r="BN824" s="1" t="s">
        <v>74</v>
      </c>
      <c r="BO824" s="1" t="s">
        <v>74</v>
      </c>
      <c r="BP824" s="1" t="s">
        <v>74</v>
      </c>
      <c r="BQ824" s="1" t="s">
        <v>74</v>
      </c>
      <c r="BR824" s="1" t="s">
        <v>74</v>
      </c>
      <c r="BS824" s="1" t="s">
        <v>6911</v>
      </c>
      <c r="BT824" s="1" t="str">
        <f>HYPERLINK("https%3A%2F%2Fwww.webofscience.com%2Fwos%2Fwoscc%2Ffull-record%2FWOS:000536692800002","View Full Record in Web of Science")</f>
        <v>View Full Record in Web of Science</v>
      </c>
    </row>
    <row r="825" ht="12.75" customHeight="1">
      <c r="A825" s="1" t="s">
        <v>72</v>
      </c>
      <c r="B825" s="1" t="s">
        <v>6912</v>
      </c>
      <c r="C825" s="1" t="s">
        <v>74</v>
      </c>
      <c r="D825" s="1" t="s">
        <v>74</v>
      </c>
      <c r="E825" s="1" t="s">
        <v>74</v>
      </c>
      <c r="F825" s="1" t="s">
        <v>6913</v>
      </c>
      <c r="G825" s="1" t="s">
        <v>74</v>
      </c>
      <c r="H825" s="1" t="s">
        <v>74</v>
      </c>
      <c r="I825" s="1" t="s">
        <v>6914</v>
      </c>
      <c r="J825" s="1" t="s">
        <v>6915</v>
      </c>
      <c r="K825" s="1" t="s">
        <v>74</v>
      </c>
      <c r="L825" s="1" t="s">
        <v>74</v>
      </c>
      <c r="M825" s="1" t="s">
        <v>74</v>
      </c>
      <c r="N825" s="1" t="s">
        <v>74</v>
      </c>
      <c r="O825" s="1" t="s">
        <v>74</v>
      </c>
      <c r="P825" s="1" t="s">
        <v>74</v>
      </c>
      <c r="Q825" s="1" t="s">
        <v>74</v>
      </c>
      <c r="R825" s="1" t="s">
        <v>74</v>
      </c>
      <c r="S825" s="1" t="s">
        <v>74</v>
      </c>
      <c r="T825" s="1" t="s">
        <v>74</v>
      </c>
      <c r="U825" s="1" t="s">
        <v>74</v>
      </c>
      <c r="V825" s="1" t="s">
        <v>6916</v>
      </c>
      <c r="W825" s="1" t="s">
        <v>74</v>
      </c>
      <c r="X825" s="1" t="s">
        <v>74</v>
      </c>
      <c r="Y825" s="1" t="s">
        <v>74</v>
      </c>
      <c r="Z825" s="1" t="s">
        <v>74</v>
      </c>
      <c r="AA825" s="1" t="s">
        <v>74</v>
      </c>
      <c r="AB825" s="1" t="s">
        <v>74</v>
      </c>
      <c r="AC825" s="1" t="s">
        <v>74</v>
      </c>
      <c r="AD825" s="1" t="s">
        <v>74</v>
      </c>
      <c r="AE825" s="1" t="s">
        <v>74</v>
      </c>
      <c r="AF825" s="1" t="s">
        <v>74</v>
      </c>
      <c r="AG825" s="1" t="s">
        <v>74</v>
      </c>
      <c r="AH825" s="1" t="s">
        <v>74</v>
      </c>
      <c r="AI825" s="1" t="s">
        <v>74</v>
      </c>
      <c r="AJ825" s="1" t="s">
        <v>74</v>
      </c>
      <c r="AK825" s="1" t="s">
        <v>74</v>
      </c>
      <c r="AL825" s="1" t="s">
        <v>74</v>
      </c>
      <c r="AM825" s="1" t="s">
        <v>74</v>
      </c>
      <c r="AN825" s="1" t="s">
        <v>74</v>
      </c>
      <c r="AO825" s="1" t="s">
        <v>6917</v>
      </c>
      <c r="AP825" s="1" t="s">
        <v>6918</v>
      </c>
      <c r="AQ825" s="1" t="s">
        <v>74</v>
      </c>
      <c r="AR825" s="1" t="s">
        <v>74</v>
      </c>
      <c r="AS825" s="1" t="s">
        <v>74</v>
      </c>
      <c r="AT825" s="1" t="s">
        <v>74</v>
      </c>
      <c r="AU825" s="1">
        <v>2020.0</v>
      </c>
      <c r="AV825" s="1">
        <v>22.0</v>
      </c>
      <c r="AW825" s="1" t="s">
        <v>74</v>
      </c>
      <c r="AX825" s="1" t="s">
        <v>74</v>
      </c>
      <c r="AY825" s="1" t="s">
        <v>74</v>
      </c>
      <c r="AZ825" s="1" t="s">
        <v>74</v>
      </c>
      <c r="BA825" s="1" t="s">
        <v>74</v>
      </c>
      <c r="BB825" s="1">
        <v>363.0</v>
      </c>
      <c r="BC825" s="1">
        <v>393.0</v>
      </c>
      <c r="BD825" s="1" t="s">
        <v>74</v>
      </c>
      <c r="BE825" s="1" t="s">
        <v>6919</v>
      </c>
      <c r="BF825" s="2" t="str">
        <f>HYPERLINK("http://dx.doi.org/10.14198/PASADO2021.22.13","http://dx.doi.org/10.14198/PASADO2021.22.13")</f>
        <v>http://dx.doi.org/10.14198/PASADO2021.22.13</v>
      </c>
      <c r="BG825" s="1" t="s">
        <v>74</v>
      </c>
      <c r="BH825" s="1" t="s">
        <v>74</v>
      </c>
      <c r="BI825" s="1" t="s">
        <v>74</v>
      </c>
      <c r="BJ825" s="1" t="s">
        <v>74</v>
      </c>
      <c r="BK825" s="1" t="s">
        <v>74</v>
      </c>
      <c r="BL825" s="1" t="s">
        <v>74</v>
      </c>
      <c r="BM825" s="1" t="s">
        <v>74</v>
      </c>
      <c r="BN825" s="1" t="s">
        <v>74</v>
      </c>
      <c r="BO825" s="1" t="s">
        <v>74</v>
      </c>
      <c r="BP825" s="1" t="s">
        <v>74</v>
      </c>
      <c r="BQ825" s="1" t="s">
        <v>74</v>
      </c>
      <c r="BR825" s="1" t="s">
        <v>74</v>
      </c>
      <c r="BS825" s="1" t="s">
        <v>6920</v>
      </c>
      <c r="BT825" s="1" t="str">
        <f>HYPERLINK("https%3A%2F%2Fwww.webofscience.com%2Fwos%2Fwoscc%2Ffull-record%2FWOS:000614141500014","View Full Record in Web of Science")</f>
        <v>View Full Record in Web of Science</v>
      </c>
    </row>
    <row r="826" ht="12.75" customHeight="1">
      <c r="A826" s="1" t="s">
        <v>72</v>
      </c>
      <c r="B826" s="1" t="s">
        <v>6921</v>
      </c>
      <c r="C826" s="1" t="s">
        <v>74</v>
      </c>
      <c r="D826" s="1" t="s">
        <v>74</v>
      </c>
      <c r="E826" s="1" t="s">
        <v>74</v>
      </c>
      <c r="F826" s="1" t="s">
        <v>6165</v>
      </c>
      <c r="G826" s="1" t="s">
        <v>74</v>
      </c>
      <c r="H826" s="1" t="s">
        <v>74</v>
      </c>
      <c r="I826" s="1" t="s">
        <v>6922</v>
      </c>
      <c r="J826" s="1" t="s">
        <v>6923</v>
      </c>
      <c r="K826" s="1" t="s">
        <v>74</v>
      </c>
      <c r="L826" s="1" t="s">
        <v>74</v>
      </c>
      <c r="M826" s="1" t="s">
        <v>74</v>
      </c>
      <c r="N826" s="1" t="s">
        <v>74</v>
      </c>
      <c r="O826" s="1" t="s">
        <v>74</v>
      </c>
      <c r="P826" s="1" t="s">
        <v>74</v>
      </c>
      <c r="Q826" s="1" t="s">
        <v>74</v>
      </c>
      <c r="R826" s="1" t="s">
        <v>74</v>
      </c>
      <c r="S826" s="1" t="s">
        <v>74</v>
      </c>
      <c r="T826" s="1" t="s">
        <v>74</v>
      </c>
      <c r="U826" s="1" t="s">
        <v>74</v>
      </c>
      <c r="V826" s="1" t="s">
        <v>6924</v>
      </c>
      <c r="W826" s="1" t="s">
        <v>74</v>
      </c>
      <c r="X826" s="1" t="s">
        <v>74</v>
      </c>
      <c r="Y826" s="1" t="s">
        <v>74</v>
      </c>
      <c r="Z826" s="1" t="s">
        <v>74</v>
      </c>
      <c r="AA826" s="1" t="s">
        <v>6169</v>
      </c>
      <c r="AB826" s="1" t="s">
        <v>6925</v>
      </c>
      <c r="AC826" s="1" t="s">
        <v>74</v>
      </c>
      <c r="AD826" s="1" t="s">
        <v>74</v>
      </c>
      <c r="AE826" s="1" t="s">
        <v>74</v>
      </c>
      <c r="AF826" s="1" t="s">
        <v>74</v>
      </c>
      <c r="AG826" s="1" t="s">
        <v>74</v>
      </c>
      <c r="AH826" s="1" t="s">
        <v>74</v>
      </c>
      <c r="AI826" s="1" t="s">
        <v>74</v>
      </c>
      <c r="AJ826" s="1" t="s">
        <v>74</v>
      </c>
      <c r="AK826" s="1" t="s">
        <v>74</v>
      </c>
      <c r="AL826" s="1" t="s">
        <v>74</v>
      </c>
      <c r="AM826" s="1" t="s">
        <v>74</v>
      </c>
      <c r="AN826" s="1" t="s">
        <v>74</v>
      </c>
      <c r="AO826" s="1" t="s">
        <v>6926</v>
      </c>
      <c r="AP826" s="1" t="s">
        <v>74</v>
      </c>
      <c r="AQ826" s="1" t="s">
        <v>74</v>
      </c>
      <c r="AR826" s="1" t="s">
        <v>74</v>
      </c>
      <c r="AS826" s="1" t="s">
        <v>74</v>
      </c>
      <c r="AT826" s="1" t="s">
        <v>180</v>
      </c>
      <c r="AU826" s="1">
        <v>2019.0</v>
      </c>
      <c r="AV826" s="1">
        <v>9.0</v>
      </c>
      <c r="AW826" s="1">
        <v>2.0</v>
      </c>
      <c r="AX826" s="1" t="s">
        <v>74</v>
      </c>
      <c r="AY826" s="1" t="s">
        <v>74</v>
      </c>
      <c r="AZ826" s="1" t="s">
        <v>74</v>
      </c>
      <c r="BA826" s="1" t="s">
        <v>74</v>
      </c>
      <c r="BB826" s="1" t="s">
        <v>74</v>
      </c>
      <c r="BC826" s="1" t="s">
        <v>74</v>
      </c>
      <c r="BD826" s="1" t="s">
        <v>6927</v>
      </c>
      <c r="BE826" s="1" t="s">
        <v>6928</v>
      </c>
      <c r="BF826" s="2" t="str">
        <f>HYPERLINK("http://dx.doi.org/10.1136/bmjopen-2018-023983","http://dx.doi.org/10.1136/bmjopen-2018-023983")</f>
        <v>http://dx.doi.org/10.1136/bmjopen-2018-023983</v>
      </c>
      <c r="BG826" s="1" t="s">
        <v>74</v>
      </c>
      <c r="BH826" s="1" t="s">
        <v>74</v>
      </c>
      <c r="BI826" s="1" t="s">
        <v>74</v>
      </c>
      <c r="BJ826" s="1" t="s">
        <v>74</v>
      </c>
      <c r="BK826" s="1" t="s">
        <v>74</v>
      </c>
      <c r="BL826" s="1" t="s">
        <v>74</v>
      </c>
      <c r="BM826" s="1" t="s">
        <v>74</v>
      </c>
      <c r="BN826" s="1">
        <v>3.0798307E7</v>
      </c>
      <c r="BO826" s="1" t="s">
        <v>74</v>
      </c>
      <c r="BP826" s="1" t="s">
        <v>74</v>
      </c>
      <c r="BQ826" s="1" t="s">
        <v>74</v>
      </c>
      <c r="BR826" s="1" t="s">
        <v>74</v>
      </c>
      <c r="BS826" s="1" t="s">
        <v>6929</v>
      </c>
      <c r="BT826" s="1" t="str">
        <f>HYPERLINK("https%3A%2F%2Fwww.webofscience.com%2Fwos%2Fwoscc%2Ffull-record%2FWOS:000471124600101","View Full Record in Web of Science")</f>
        <v>View Full Record in Web of Science</v>
      </c>
    </row>
    <row r="827" ht="12.75" customHeight="1">
      <c r="A827" s="1" t="s">
        <v>72</v>
      </c>
      <c r="B827" s="1" t="s">
        <v>6930</v>
      </c>
      <c r="C827" s="1" t="s">
        <v>74</v>
      </c>
      <c r="D827" s="1" t="s">
        <v>74</v>
      </c>
      <c r="E827" s="1" t="s">
        <v>74</v>
      </c>
      <c r="F827" s="1" t="s">
        <v>6931</v>
      </c>
      <c r="G827" s="1" t="s">
        <v>74</v>
      </c>
      <c r="H827" s="1" t="s">
        <v>74</v>
      </c>
      <c r="I827" s="1" t="s">
        <v>6932</v>
      </c>
      <c r="J827" s="1" t="s">
        <v>6933</v>
      </c>
      <c r="K827" s="1" t="s">
        <v>74</v>
      </c>
      <c r="L827" s="1" t="s">
        <v>74</v>
      </c>
      <c r="M827" s="1" t="s">
        <v>74</v>
      </c>
      <c r="N827" s="1" t="s">
        <v>74</v>
      </c>
      <c r="O827" s="1" t="s">
        <v>74</v>
      </c>
      <c r="P827" s="1" t="s">
        <v>74</v>
      </c>
      <c r="Q827" s="1" t="s">
        <v>74</v>
      </c>
      <c r="R827" s="1" t="s">
        <v>74</v>
      </c>
      <c r="S827" s="1" t="s">
        <v>74</v>
      </c>
      <c r="T827" s="1" t="s">
        <v>74</v>
      </c>
      <c r="U827" s="1" t="s">
        <v>74</v>
      </c>
      <c r="V827" s="1" t="s">
        <v>6934</v>
      </c>
      <c r="W827" s="1" t="s">
        <v>74</v>
      </c>
      <c r="X827" s="1" t="s">
        <v>74</v>
      </c>
      <c r="Y827" s="1" t="s">
        <v>74</v>
      </c>
      <c r="Z827" s="1" t="s">
        <v>74</v>
      </c>
      <c r="AA827" s="1" t="s">
        <v>6935</v>
      </c>
      <c r="AB827" s="1" t="s">
        <v>6936</v>
      </c>
      <c r="AC827" s="1" t="s">
        <v>74</v>
      </c>
      <c r="AD827" s="1" t="s">
        <v>74</v>
      </c>
      <c r="AE827" s="1" t="s">
        <v>74</v>
      </c>
      <c r="AF827" s="1" t="s">
        <v>74</v>
      </c>
      <c r="AG827" s="1" t="s">
        <v>74</v>
      </c>
      <c r="AH827" s="1" t="s">
        <v>74</v>
      </c>
      <c r="AI827" s="1" t="s">
        <v>74</v>
      </c>
      <c r="AJ827" s="1" t="s">
        <v>74</v>
      </c>
      <c r="AK827" s="1" t="s">
        <v>74</v>
      </c>
      <c r="AL827" s="1" t="s">
        <v>74</v>
      </c>
      <c r="AM827" s="1" t="s">
        <v>74</v>
      </c>
      <c r="AN827" s="1" t="s">
        <v>74</v>
      </c>
      <c r="AO827" s="1" t="s">
        <v>6937</v>
      </c>
      <c r="AP827" s="1" t="s">
        <v>6938</v>
      </c>
      <c r="AQ827" s="1" t="s">
        <v>74</v>
      </c>
      <c r="AR827" s="1" t="s">
        <v>74</v>
      </c>
      <c r="AS827" s="1" t="s">
        <v>74</v>
      </c>
      <c r="AT827" s="1" t="s">
        <v>180</v>
      </c>
      <c r="AU827" s="1">
        <v>2019.0</v>
      </c>
      <c r="AV827" s="1">
        <v>136.0</v>
      </c>
      <c r="AW827" s="1" t="s">
        <v>74</v>
      </c>
      <c r="AX827" s="1" t="s">
        <v>74</v>
      </c>
      <c r="AY827" s="1" t="s">
        <v>74</v>
      </c>
      <c r="AZ827" s="1" t="s">
        <v>74</v>
      </c>
      <c r="BA827" s="1" t="s">
        <v>74</v>
      </c>
      <c r="BB827" s="1">
        <v>621.0</v>
      </c>
      <c r="BC827" s="1">
        <v>631.0</v>
      </c>
      <c r="BD827" s="1" t="s">
        <v>74</v>
      </c>
      <c r="BE827" s="1" t="s">
        <v>6939</v>
      </c>
      <c r="BF827" s="2" t="str">
        <f>HYPERLINK("http://dx.doi.org/10.1016/j.renene.2018.12.103","http://dx.doi.org/10.1016/j.renene.2018.12.103")</f>
        <v>http://dx.doi.org/10.1016/j.renene.2018.12.103</v>
      </c>
      <c r="BG827" s="1" t="s">
        <v>74</v>
      </c>
      <c r="BH827" s="1" t="s">
        <v>74</v>
      </c>
      <c r="BI827" s="1" t="s">
        <v>74</v>
      </c>
      <c r="BJ827" s="1" t="s">
        <v>74</v>
      </c>
      <c r="BK827" s="1" t="s">
        <v>74</v>
      </c>
      <c r="BL827" s="1" t="s">
        <v>74</v>
      </c>
      <c r="BM827" s="1" t="s">
        <v>74</v>
      </c>
      <c r="BN827" s="1" t="s">
        <v>74</v>
      </c>
      <c r="BO827" s="1" t="s">
        <v>74</v>
      </c>
      <c r="BP827" s="1" t="s">
        <v>74</v>
      </c>
      <c r="BQ827" s="1" t="s">
        <v>74</v>
      </c>
      <c r="BR827" s="1" t="s">
        <v>74</v>
      </c>
      <c r="BS827" s="1" t="s">
        <v>6940</v>
      </c>
      <c r="BT827" s="1" t="str">
        <f>HYPERLINK("https%3A%2F%2Fwww.webofscience.com%2Fwos%2Fwoscc%2Ffull-record%2FWOS:000460847800053","View Full Record in Web of Science")</f>
        <v>View Full Record in Web of Science</v>
      </c>
    </row>
    <row r="828" ht="12.75" customHeight="1">
      <c r="A828" s="1" t="s">
        <v>72</v>
      </c>
      <c r="B828" s="1" t="s">
        <v>1565</v>
      </c>
      <c r="C828" s="1" t="s">
        <v>74</v>
      </c>
      <c r="D828" s="1" t="s">
        <v>74</v>
      </c>
      <c r="E828" s="1" t="s">
        <v>74</v>
      </c>
      <c r="F828" s="1" t="s">
        <v>1567</v>
      </c>
      <c r="G828" s="1" t="s">
        <v>74</v>
      </c>
      <c r="H828" s="1" t="s">
        <v>74</v>
      </c>
      <c r="I828" s="1" t="s">
        <v>6941</v>
      </c>
      <c r="J828" s="1" t="s">
        <v>4620</v>
      </c>
      <c r="K828" s="1" t="s">
        <v>74</v>
      </c>
      <c r="L828" s="1" t="s">
        <v>74</v>
      </c>
      <c r="M828" s="1" t="s">
        <v>74</v>
      </c>
      <c r="N828" s="1" t="s">
        <v>74</v>
      </c>
      <c r="O828" s="1" t="s">
        <v>74</v>
      </c>
      <c r="P828" s="1" t="s">
        <v>74</v>
      </c>
      <c r="Q828" s="1" t="s">
        <v>74</v>
      </c>
      <c r="R828" s="1" t="s">
        <v>74</v>
      </c>
      <c r="S828" s="1" t="s">
        <v>74</v>
      </c>
      <c r="T828" s="1" t="s">
        <v>74</v>
      </c>
      <c r="U828" s="1" t="s">
        <v>74</v>
      </c>
      <c r="V828" s="1" t="s">
        <v>74</v>
      </c>
      <c r="W828" s="1" t="s">
        <v>74</v>
      </c>
      <c r="X828" s="1" t="s">
        <v>74</v>
      </c>
      <c r="Y828" s="1" t="s">
        <v>74</v>
      </c>
      <c r="Z828" s="1" t="s">
        <v>74</v>
      </c>
      <c r="AA828" s="1" t="s">
        <v>1571</v>
      </c>
      <c r="AB828" s="1" t="s">
        <v>74</v>
      </c>
      <c r="AC828" s="1" t="s">
        <v>74</v>
      </c>
      <c r="AD828" s="1" t="s">
        <v>74</v>
      </c>
      <c r="AE828" s="1" t="s">
        <v>74</v>
      </c>
      <c r="AF828" s="1" t="s">
        <v>74</v>
      </c>
      <c r="AG828" s="1" t="s">
        <v>74</v>
      </c>
      <c r="AH828" s="1" t="s">
        <v>74</v>
      </c>
      <c r="AI828" s="1" t="s">
        <v>74</v>
      </c>
      <c r="AJ828" s="1" t="s">
        <v>74</v>
      </c>
      <c r="AK828" s="1" t="s">
        <v>74</v>
      </c>
      <c r="AL828" s="1" t="s">
        <v>74</v>
      </c>
      <c r="AM828" s="1" t="s">
        <v>74</v>
      </c>
      <c r="AN828" s="1" t="s">
        <v>74</v>
      </c>
      <c r="AO828" s="1" t="s">
        <v>4621</v>
      </c>
      <c r="AP828" s="1" t="s">
        <v>4622</v>
      </c>
      <c r="AQ828" s="1" t="s">
        <v>74</v>
      </c>
      <c r="AR828" s="1" t="s">
        <v>74</v>
      </c>
      <c r="AS828" s="1" t="s">
        <v>74</v>
      </c>
      <c r="AT828" s="1" t="s">
        <v>429</v>
      </c>
      <c r="AU828" s="1">
        <v>2019.0</v>
      </c>
      <c r="AV828" s="1">
        <v>51.0</v>
      </c>
      <c r="AW828" s="1">
        <v>2.0</v>
      </c>
      <c r="AX828" s="1" t="s">
        <v>74</v>
      </c>
      <c r="AY828" s="1" t="s">
        <v>74</v>
      </c>
      <c r="AZ828" s="1" t="s">
        <v>74</v>
      </c>
      <c r="BA828" s="1" t="s">
        <v>74</v>
      </c>
      <c r="BB828" s="1">
        <v>457.0</v>
      </c>
      <c r="BC828" s="1">
        <v>459.0</v>
      </c>
      <c r="BD828" s="1" t="s">
        <v>74</v>
      </c>
      <c r="BE828" s="1" t="s">
        <v>6942</v>
      </c>
      <c r="BF828" s="2" t="str">
        <f>HYPERLINK("http://dx.doi.org/10.1017/S0022216X19000439","http://dx.doi.org/10.1017/S0022216X19000439")</f>
        <v>http://dx.doi.org/10.1017/S0022216X19000439</v>
      </c>
      <c r="BG828" s="1" t="s">
        <v>74</v>
      </c>
      <c r="BH828" s="1" t="s">
        <v>74</v>
      </c>
      <c r="BI828" s="1" t="s">
        <v>74</v>
      </c>
      <c r="BJ828" s="1" t="s">
        <v>74</v>
      </c>
      <c r="BK828" s="1" t="s">
        <v>74</v>
      </c>
      <c r="BL828" s="1" t="s">
        <v>74</v>
      </c>
      <c r="BM828" s="1" t="s">
        <v>74</v>
      </c>
      <c r="BN828" s="1" t="s">
        <v>74</v>
      </c>
      <c r="BO828" s="1" t="s">
        <v>74</v>
      </c>
      <c r="BP828" s="1" t="s">
        <v>74</v>
      </c>
      <c r="BQ828" s="1" t="s">
        <v>74</v>
      </c>
      <c r="BR828" s="1" t="s">
        <v>74</v>
      </c>
      <c r="BS828" s="1" t="s">
        <v>6943</v>
      </c>
      <c r="BT828" s="1" t="str">
        <f>HYPERLINK("https%3A%2F%2Fwww.webofscience.com%2Fwos%2Fwoscc%2Ffull-record%2FWOS:000474831100015","View Full Record in Web of Science")</f>
        <v>View Full Record in Web of Science</v>
      </c>
    </row>
    <row r="829" ht="12.75" customHeight="1">
      <c r="A829" s="1" t="s">
        <v>72</v>
      </c>
      <c r="B829" s="1" t="s">
        <v>6944</v>
      </c>
      <c r="C829" s="1" t="s">
        <v>74</v>
      </c>
      <c r="D829" s="1" t="s">
        <v>74</v>
      </c>
      <c r="E829" s="1" t="s">
        <v>74</v>
      </c>
      <c r="F829" s="1" t="s">
        <v>6945</v>
      </c>
      <c r="G829" s="1" t="s">
        <v>74</v>
      </c>
      <c r="H829" s="1" t="s">
        <v>74</v>
      </c>
      <c r="I829" s="1" t="s">
        <v>6946</v>
      </c>
      <c r="J829" s="1" t="s">
        <v>6947</v>
      </c>
      <c r="K829" s="1" t="s">
        <v>74</v>
      </c>
      <c r="L829" s="1" t="s">
        <v>74</v>
      </c>
      <c r="M829" s="1" t="s">
        <v>74</v>
      </c>
      <c r="N829" s="1" t="s">
        <v>74</v>
      </c>
      <c r="O829" s="1" t="s">
        <v>74</v>
      </c>
      <c r="P829" s="1" t="s">
        <v>74</v>
      </c>
      <c r="Q829" s="1" t="s">
        <v>74</v>
      </c>
      <c r="R829" s="1" t="s">
        <v>74</v>
      </c>
      <c r="S829" s="1" t="s">
        <v>74</v>
      </c>
      <c r="T829" s="1" t="s">
        <v>74</v>
      </c>
      <c r="U829" s="1" t="s">
        <v>74</v>
      </c>
      <c r="V829" s="1" t="s">
        <v>74</v>
      </c>
      <c r="W829" s="1" t="s">
        <v>74</v>
      </c>
      <c r="X829" s="1" t="s">
        <v>74</v>
      </c>
      <c r="Y829" s="1" t="s">
        <v>74</v>
      </c>
      <c r="Z829" s="1" t="s">
        <v>74</v>
      </c>
      <c r="AA829" s="1" t="s">
        <v>6948</v>
      </c>
      <c r="AB829" s="1" t="s">
        <v>6949</v>
      </c>
      <c r="AC829" s="1" t="s">
        <v>74</v>
      </c>
      <c r="AD829" s="1" t="s">
        <v>74</v>
      </c>
      <c r="AE829" s="1" t="s">
        <v>74</v>
      </c>
      <c r="AF829" s="1" t="s">
        <v>74</v>
      </c>
      <c r="AG829" s="1" t="s">
        <v>74</v>
      </c>
      <c r="AH829" s="1" t="s">
        <v>74</v>
      </c>
      <c r="AI829" s="1" t="s">
        <v>74</v>
      </c>
      <c r="AJ829" s="1" t="s">
        <v>74</v>
      </c>
      <c r="AK829" s="1" t="s">
        <v>74</v>
      </c>
      <c r="AL829" s="1" t="s">
        <v>74</v>
      </c>
      <c r="AM829" s="1" t="s">
        <v>74</v>
      </c>
      <c r="AN829" s="1" t="s">
        <v>74</v>
      </c>
      <c r="AO829" s="1" t="s">
        <v>6950</v>
      </c>
      <c r="AP829" s="1" t="s">
        <v>6951</v>
      </c>
      <c r="AQ829" s="1" t="s">
        <v>74</v>
      </c>
      <c r="AR829" s="1" t="s">
        <v>74</v>
      </c>
      <c r="AS829" s="1" t="s">
        <v>74</v>
      </c>
      <c r="AT829" s="1" t="s">
        <v>74</v>
      </c>
      <c r="AU829" s="1">
        <v>2019.0</v>
      </c>
      <c r="AV829" s="1">
        <v>28.0</v>
      </c>
      <c r="AW829" s="1">
        <v>3.0</v>
      </c>
      <c r="AX829" s="1" t="s">
        <v>74</v>
      </c>
      <c r="AY829" s="1" t="s">
        <v>74</v>
      </c>
      <c r="AZ829" s="1" t="s">
        <v>564</v>
      </c>
      <c r="BA829" s="1" t="s">
        <v>74</v>
      </c>
      <c r="BB829" s="1">
        <v>375.0</v>
      </c>
      <c r="BC829" s="1">
        <v>382.0</v>
      </c>
      <c r="BD829" s="1" t="s">
        <v>74</v>
      </c>
      <c r="BE829" s="1" t="s">
        <v>6952</v>
      </c>
      <c r="BF829" s="2" t="str">
        <f>HYPERLINK("http://dx.doi.org/10.1080/09505431.2019.1645824","http://dx.doi.org/10.1080/09505431.2019.1645824")</f>
        <v>http://dx.doi.org/10.1080/09505431.2019.1645824</v>
      </c>
      <c r="BG829" s="1" t="s">
        <v>74</v>
      </c>
      <c r="BH829" s="1" t="s">
        <v>74</v>
      </c>
      <c r="BI829" s="1" t="s">
        <v>74</v>
      </c>
      <c r="BJ829" s="1" t="s">
        <v>74</v>
      </c>
      <c r="BK829" s="1" t="s">
        <v>74</v>
      </c>
      <c r="BL829" s="1" t="s">
        <v>74</v>
      </c>
      <c r="BM829" s="1" t="s">
        <v>74</v>
      </c>
      <c r="BN829" s="1" t="s">
        <v>74</v>
      </c>
      <c r="BO829" s="1" t="s">
        <v>74</v>
      </c>
      <c r="BP829" s="1" t="s">
        <v>74</v>
      </c>
      <c r="BQ829" s="1" t="s">
        <v>74</v>
      </c>
      <c r="BR829" s="1" t="s">
        <v>74</v>
      </c>
      <c r="BS829" s="1" t="s">
        <v>6953</v>
      </c>
      <c r="BT829" s="1" t="str">
        <f>HYPERLINK("https%3A%2F%2Fwww.webofscience.com%2Fwos%2Fwoscc%2Ffull-record%2FWOS:000483804600001","View Full Record in Web of Science")</f>
        <v>View Full Record in Web of Science</v>
      </c>
    </row>
    <row r="830" ht="12.75" customHeight="1">
      <c r="A830" s="1" t="s">
        <v>72</v>
      </c>
      <c r="B830" s="1" t="s">
        <v>2224</v>
      </c>
      <c r="C830" s="1" t="s">
        <v>74</v>
      </c>
      <c r="D830" s="1" t="s">
        <v>74</v>
      </c>
      <c r="E830" s="1" t="s">
        <v>74</v>
      </c>
      <c r="F830" s="1" t="s">
        <v>2225</v>
      </c>
      <c r="G830" s="1" t="s">
        <v>74</v>
      </c>
      <c r="H830" s="1" t="s">
        <v>74</v>
      </c>
      <c r="I830" s="1" t="s">
        <v>6954</v>
      </c>
      <c r="J830" s="1" t="s">
        <v>6955</v>
      </c>
      <c r="K830" s="1" t="s">
        <v>74</v>
      </c>
      <c r="L830" s="1" t="s">
        <v>74</v>
      </c>
      <c r="M830" s="1" t="s">
        <v>74</v>
      </c>
      <c r="N830" s="1" t="s">
        <v>74</v>
      </c>
      <c r="O830" s="1" t="s">
        <v>74</v>
      </c>
      <c r="P830" s="1" t="s">
        <v>74</v>
      </c>
      <c r="Q830" s="1" t="s">
        <v>74</v>
      </c>
      <c r="R830" s="1" t="s">
        <v>74</v>
      </c>
      <c r="S830" s="1" t="s">
        <v>74</v>
      </c>
      <c r="T830" s="1" t="s">
        <v>74</v>
      </c>
      <c r="U830" s="1" t="s">
        <v>74</v>
      </c>
      <c r="V830" s="1" t="s">
        <v>6956</v>
      </c>
      <c r="W830" s="1" t="s">
        <v>74</v>
      </c>
      <c r="X830" s="1" t="s">
        <v>74</v>
      </c>
      <c r="Y830" s="1" t="s">
        <v>74</v>
      </c>
      <c r="Z830" s="1" t="s">
        <v>74</v>
      </c>
      <c r="AA830" s="1" t="s">
        <v>2229</v>
      </c>
      <c r="AB830" s="1" t="s">
        <v>2230</v>
      </c>
      <c r="AC830" s="1" t="s">
        <v>74</v>
      </c>
      <c r="AD830" s="1" t="s">
        <v>74</v>
      </c>
      <c r="AE830" s="1" t="s">
        <v>74</v>
      </c>
      <c r="AF830" s="1" t="s">
        <v>74</v>
      </c>
      <c r="AG830" s="1" t="s">
        <v>74</v>
      </c>
      <c r="AH830" s="1" t="s">
        <v>74</v>
      </c>
      <c r="AI830" s="1" t="s">
        <v>74</v>
      </c>
      <c r="AJ830" s="1" t="s">
        <v>74</v>
      </c>
      <c r="AK830" s="1" t="s">
        <v>74</v>
      </c>
      <c r="AL830" s="1" t="s">
        <v>74</v>
      </c>
      <c r="AM830" s="1" t="s">
        <v>74</v>
      </c>
      <c r="AN830" s="1" t="s">
        <v>74</v>
      </c>
      <c r="AO830" s="1" t="s">
        <v>6957</v>
      </c>
      <c r="AP830" s="1" t="s">
        <v>6958</v>
      </c>
      <c r="AQ830" s="1" t="s">
        <v>74</v>
      </c>
      <c r="AR830" s="1" t="s">
        <v>74</v>
      </c>
      <c r="AS830" s="1" t="s">
        <v>74</v>
      </c>
      <c r="AT830" s="1" t="s">
        <v>180</v>
      </c>
      <c r="AU830" s="1">
        <v>2018.0</v>
      </c>
      <c r="AV830" s="1">
        <v>67.0</v>
      </c>
      <c r="AW830" s="1" t="s">
        <v>74</v>
      </c>
      <c r="AX830" s="1" t="s">
        <v>74</v>
      </c>
      <c r="AY830" s="1" t="s">
        <v>74</v>
      </c>
      <c r="AZ830" s="1" t="s">
        <v>74</v>
      </c>
      <c r="BA830" s="1" t="s">
        <v>74</v>
      </c>
      <c r="BB830" s="1">
        <v>261.0</v>
      </c>
      <c r="BC830" s="1">
        <v>275.0</v>
      </c>
      <c r="BD830" s="1" t="s">
        <v>74</v>
      </c>
      <c r="BE830" s="1" t="s">
        <v>6959</v>
      </c>
      <c r="BF830" s="2" t="str">
        <f>HYPERLINK("http://dx.doi.org/10.1016/j.asoc.2018.03.008","http://dx.doi.org/10.1016/j.asoc.2018.03.008")</f>
        <v>http://dx.doi.org/10.1016/j.asoc.2018.03.008</v>
      </c>
      <c r="BG830" s="1" t="s">
        <v>74</v>
      </c>
      <c r="BH830" s="1" t="s">
        <v>74</v>
      </c>
      <c r="BI830" s="1" t="s">
        <v>74</v>
      </c>
      <c r="BJ830" s="1" t="s">
        <v>74</v>
      </c>
      <c r="BK830" s="1" t="s">
        <v>74</v>
      </c>
      <c r="BL830" s="1" t="s">
        <v>74</v>
      </c>
      <c r="BM830" s="1" t="s">
        <v>74</v>
      </c>
      <c r="BN830" s="1" t="s">
        <v>74</v>
      </c>
      <c r="BO830" s="1" t="s">
        <v>74</v>
      </c>
      <c r="BP830" s="1" t="s">
        <v>74</v>
      </c>
      <c r="BQ830" s="1" t="s">
        <v>74</v>
      </c>
      <c r="BR830" s="1" t="s">
        <v>74</v>
      </c>
      <c r="BS830" s="1" t="s">
        <v>6960</v>
      </c>
      <c r="BT830" s="1" t="str">
        <f>HYPERLINK("https%3A%2F%2Fwww.webofscience.com%2Fwos%2Fwoscc%2Ffull-record%2FWOS:000431913000019","View Full Record in Web of Science")</f>
        <v>View Full Record in Web of Science</v>
      </c>
    </row>
    <row r="831" ht="12.75" customHeight="1">
      <c r="A831" s="1" t="s">
        <v>454</v>
      </c>
      <c r="B831" s="1" t="s">
        <v>6961</v>
      </c>
      <c r="C831" s="1" t="s">
        <v>1480</v>
      </c>
      <c r="D831" s="1" t="s">
        <v>74</v>
      </c>
      <c r="E831" s="1" t="s">
        <v>74</v>
      </c>
      <c r="F831" s="1" t="s">
        <v>6962</v>
      </c>
      <c r="G831" s="1" t="s">
        <v>1480</v>
      </c>
      <c r="H831" s="1" t="s">
        <v>74</v>
      </c>
      <c r="I831" s="1" t="s">
        <v>6963</v>
      </c>
      <c r="J831" s="1" t="s">
        <v>1483</v>
      </c>
      <c r="K831" s="1" t="s">
        <v>74</v>
      </c>
      <c r="L831" s="1" t="s">
        <v>74</v>
      </c>
      <c r="M831" s="1" t="s">
        <v>74</v>
      </c>
      <c r="N831" s="1" t="s">
        <v>74</v>
      </c>
      <c r="O831" s="1" t="s">
        <v>74</v>
      </c>
      <c r="P831" s="1" t="s">
        <v>74</v>
      </c>
      <c r="Q831" s="1" t="s">
        <v>74</v>
      </c>
      <c r="R831" s="1" t="s">
        <v>74</v>
      </c>
      <c r="S831" s="1" t="s">
        <v>74</v>
      </c>
      <c r="T831" s="1" t="s">
        <v>74</v>
      </c>
      <c r="U831" s="1" t="s">
        <v>74</v>
      </c>
      <c r="V831" s="1" t="s">
        <v>6964</v>
      </c>
      <c r="W831" s="1" t="s">
        <v>74</v>
      </c>
      <c r="X831" s="1" t="s">
        <v>74</v>
      </c>
      <c r="Y831" s="1" t="s">
        <v>74</v>
      </c>
      <c r="Z831" s="1" t="s">
        <v>74</v>
      </c>
      <c r="AA831" s="1" t="s">
        <v>74</v>
      </c>
      <c r="AB831" s="1" t="s">
        <v>74</v>
      </c>
      <c r="AC831" s="1" t="s">
        <v>74</v>
      </c>
      <c r="AD831" s="1" t="s">
        <v>74</v>
      </c>
      <c r="AE831" s="1" t="s">
        <v>74</v>
      </c>
      <c r="AF831" s="1" t="s">
        <v>74</v>
      </c>
      <c r="AG831" s="1" t="s">
        <v>74</v>
      </c>
      <c r="AH831" s="1" t="s">
        <v>74</v>
      </c>
      <c r="AI831" s="1" t="s">
        <v>74</v>
      </c>
      <c r="AJ831" s="1" t="s">
        <v>74</v>
      </c>
      <c r="AK831" s="1" t="s">
        <v>74</v>
      </c>
      <c r="AL831" s="1" t="s">
        <v>74</v>
      </c>
      <c r="AM831" s="1" t="s">
        <v>74</v>
      </c>
      <c r="AN831" s="1" t="s">
        <v>74</v>
      </c>
      <c r="AO831" s="1" t="s">
        <v>74</v>
      </c>
      <c r="AP831" s="1" t="s">
        <v>74</v>
      </c>
      <c r="AQ831" s="1" t="s">
        <v>1485</v>
      </c>
      <c r="AR831" s="1" t="s">
        <v>74</v>
      </c>
      <c r="AS831" s="1" t="s">
        <v>74</v>
      </c>
      <c r="AT831" s="1" t="s">
        <v>74</v>
      </c>
      <c r="AU831" s="1">
        <v>2018.0</v>
      </c>
      <c r="AV831" s="1" t="s">
        <v>74</v>
      </c>
      <c r="AW831" s="1" t="s">
        <v>74</v>
      </c>
      <c r="AX831" s="1" t="s">
        <v>74</v>
      </c>
      <c r="AY831" s="1" t="s">
        <v>74</v>
      </c>
      <c r="AZ831" s="1" t="s">
        <v>74</v>
      </c>
      <c r="BA831" s="1" t="s">
        <v>74</v>
      </c>
      <c r="BB831" s="1">
        <v>154.0</v>
      </c>
      <c r="BC831" s="1">
        <v>165.0</v>
      </c>
      <c r="BD831" s="1" t="s">
        <v>74</v>
      </c>
      <c r="BE831" s="1" t="s">
        <v>74</v>
      </c>
      <c r="BF831" s="1" t="s">
        <v>74</v>
      </c>
      <c r="BG831" s="1" t="s">
        <v>74</v>
      </c>
      <c r="BH831" s="1" t="s">
        <v>74</v>
      </c>
      <c r="BI831" s="1" t="s">
        <v>74</v>
      </c>
      <c r="BJ831" s="1" t="s">
        <v>74</v>
      </c>
      <c r="BK831" s="1" t="s">
        <v>74</v>
      </c>
      <c r="BL831" s="1" t="s">
        <v>74</v>
      </c>
      <c r="BM831" s="1" t="s">
        <v>74</v>
      </c>
      <c r="BN831" s="1" t="s">
        <v>74</v>
      </c>
      <c r="BO831" s="1" t="s">
        <v>74</v>
      </c>
      <c r="BP831" s="1" t="s">
        <v>74</v>
      </c>
      <c r="BQ831" s="1" t="s">
        <v>74</v>
      </c>
      <c r="BR831" s="1" t="s">
        <v>74</v>
      </c>
      <c r="BS831" s="1" t="s">
        <v>6965</v>
      </c>
      <c r="BT831" s="1" t="str">
        <f>HYPERLINK("https%3A%2F%2Fwww.webofscience.com%2Fwos%2Fwoscc%2Ffull-record%2FWOS:000483366800012","View Full Record in Web of Science")</f>
        <v>View Full Record in Web of Science</v>
      </c>
    </row>
    <row r="832" ht="12.75" customHeight="1">
      <c r="A832" s="1" t="s">
        <v>91</v>
      </c>
      <c r="B832" s="1" t="s">
        <v>6966</v>
      </c>
      <c r="C832" s="1" t="s">
        <v>74</v>
      </c>
      <c r="D832" s="1" t="s">
        <v>3842</v>
      </c>
      <c r="E832" s="1" t="s">
        <v>74</v>
      </c>
      <c r="F832" s="1" t="s">
        <v>6967</v>
      </c>
      <c r="G832" s="1" t="s">
        <v>74</v>
      </c>
      <c r="H832" s="1" t="s">
        <v>74</v>
      </c>
      <c r="I832" s="1" t="s">
        <v>6968</v>
      </c>
      <c r="J832" s="1" t="s">
        <v>3845</v>
      </c>
      <c r="K832" s="1" t="s">
        <v>74</v>
      </c>
      <c r="L832" s="1" t="s">
        <v>74</v>
      </c>
      <c r="M832" s="1" t="s">
        <v>74</v>
      </c>
      <c r="N832" s="1" t="s">
        <v>74</v>
      </c>
      <c r="O832" s="1" t="s">
        <v>3846</v>
      </c>
      <c r="P832" s="1" t="s">
        <v>3847</v>
      </c>
      <c r="Q832" s="1" t="s">
        <v>3848</v>
      </c>
      <c r="R832" s="1" t="s">
        <v>3849</v>
      </c>
      <c r="S832" s="1" t="s">
        <v>74</v>
      </c>
      <c r="T832" s="1" t="s">
        <v>74</v>
      </c>
      <c r="U832" s="1" t="s">
        <v>74</v>
      </c>
      <c r="V832" s="1" t="s">
        <v>6969</v>
      </c>
      <c r="W832" s="1" t="s">
        <v>74</v>
      </c>
      <c r="X832" s="1" t="s">
        <v>74</v>
      </c>
      <c r="Y832" s="1" t="s">
        <v>74</v>
      </c>
      <c r="Z832" s="1" t="s">
        <v>74</v>
      </c>
      <c r="AA832" s="1" t="s">
        <v>74</v>
      </c>
      <c r="AB832" s="1" t="s">
        <v>74</v>
      </c>
      <c r="AC832" s="1" t="s">
        <v>74</v>
      </c>
      <c r="AD832" s="1" t="s">
        <v>74</v>
      </c>
      <c r="AE832" s="1" t="s">
        <v>74</v>
      </c>
      <c r="AF832" s="1" t="s">
        <v>74</v>
      </c>
      <c r="AG832" s="1" t="s">
        <v>74</v>
      </c>
      <c r="AH832" s="1" t="s">
        <v>74</v>
      </c>
      <c r="AI832" s="1" t="s">
        <v>74</v>
      </c>
      <c r="AJ832" s="1" t="s">
        <v>74</v>
      </c>
      <c r="AK832" s="1" t="s">
        <v>74</v>
      </c>
      <c r="AL832" s="1" t="s">
        <v>74</v>
      </c>
      <c r="AM832" s="1" t="s">
        <v>74</v>
      </c>
      <c r="AN832" s="1" t="s">
        <v>74</v>
      </c>
      <c r="AO832" s="1" t="s">
        <v>74</v>
      </c>
      <c r="AP832" s="1" t="s">
        <v>74</v>
      </c>
      <c r="AQ832" s="1" t="s">
        <v>3852</v>
      </c>
      <c r="AR832" s="1" t="s">
        <v>74</v>
      </c>
      <c r="AS832" s="1" t="s">
        <v>74</v>
      </c>
      <c r="AT832" s="1" t="s">
        <v>74</v>
      </c>
      <c r="AU832" s="1">
        <v>2018.0</v>
      </c>
      <c r="AV832" s="1" t="s">
        <v>74</v>
      </c>
      <c r="AW832" s="1" t="s">
        <v>74</v>
      </c>
      <c r="AX832" s="1" t="s">
        <v>74</v>
      </c>
      <c r="AY832" s="1" t="s">
        <v>74</v>
      </c>
      <c r="AZ832" s="1" t="s">
        <v>74</v>
      </c>
      <c r="BA832" s="1" t="s">
        <v>74</v>
      </c>
      <c r="BB832" s="1" t="s">
        <v>74</v>
      </c>
      <c r="BC832" s="1" t="s">
        <v>74</v>
      </c>
      <c r="BD832" s="1" t="s">
        <v>74</v>
      </c>
      <c r="BE832" s="1" t="s">
        <v>74</v>
      </c>
      <c r="BF832" s="1" t="s">
        <v>74</v>
      </c>
      <c r="BG832" s="1" t="s">
        <v>74</v>
      </c>
      <c r="BH832" s="1" t="s">
        <v>74</v>
      </c>
      <c r="BI832" s="1" t="s">
        <v>74</v>
      </c>
      <c r="BJ832" s="1" t="s">
        <v>74</v>
      </c>
      <c r="BK832" s="1" t="s">
        <v>74</v>
      </c>
      <c r="BL832" s="1" t="s">
        <v>74</v>
      </c>
      <c r="BM832" s="1" t="s">
        <v>74</v>
      </c>
      <c r="BN832" s="1" t="s">
        <v>74</v>
      </c>
      <c r="BO832" s="1" t="s">
        <v>74</v>
      </c>
      <c r="BP832" s="1" t="s">
        <v>74</v>
      </c>
      <c r="BQ832" s="1" t="s">
        <v>74</v>
      </c>
      <c r="BR832" s="1" t="s">
        <v>74</v>
      </c>
      <c r="BS832" s="1" t="s">
        <v>6970</v>
      </c>
      <c r="BT832" s="1" t="str">
        <f>HYPERLINK("https%3A%2F%2Fwww.webofscience.com%2Fwos%2Fwoscc%2Ffull-record%2FWOS:000458417600023","View Full Record in Web of Science")</f>
        <v>View Full Record in Web of Science</v>
      </c>
    </row>
    <row r="833" ht="12.75" customHeight="1">
      <c r="A833" s="1" t="s">
        <v>454</v>
      </c>
      <c r="B833" s="1" t="s">
        <v>3868</v>
      </c>
      <c r="C833" s="1" t="s">
        <v>3868</v>
      </c>
      <c r="D833" s="1" t="s">
        <v>74</v>
      </c>
      <c r="E833" s="1" t="s">
        <v>74</v>
      </c>
      <c r="F833" s="1" t="s">
        <v>3869</v>
      </c>
      <c r="G833" s="1" t="s">
        <v>3868</v>
      </c>
      <c r="H833" s="1" t="s">
        <v>74</v>
      </c>
      <c r="I833" s="1" t="s">
        <v>6971</v>
      </c>
      <c r="J833" s="1" t="s">
        <v>3871</v>
      </c>
      <c r="K833" s="1" t="s">
        <v>74</v>
      </c>
      <c r="L833" s="1" t="s">
        <v>74</v>
      </c>
      <c r="M833" s="1" t="s">
        <v>74</v>
      </c>
      <c r="N833" s="1" t="s">
        <v>74</v>
      </c>
      <c r="O833" s="1" t="s">
        <v>74</v>
      </c>
      <c r="P833" s="1" t="s">
        <v>74</v>
      </c>
      <c r="Q833" s="1" t="s">
        <v>74</v>
      </c>
      <c r="R833" s="1" t="s">
        <v>74</v>
      </c>
      <c r="S833" s="1" t="s">
        <v>74</v>
      </c>
      <c r="T833" s="1" t="s">
        <v>74</v>
      </c>
      <c r="U833" s="1" t="s">
        <v>74</v>
      </c>
      <c r="V833" s="1" t="s">
        <v>74</v>
      </c>
      <c r="W833" s="1" t="s">
        <v>74</v>
      </c>
      <c r="X833" s="1" t="s">
        <v>74</v>
      </c>
      <c r="Y833" s="1" t="s">
        <v>74</v>
      </c>
      <c r="Z833" s="1" t="s">
        <v>74</v>
      </c>
      <c r="AA833" s="1" t="s">
        <v>74</v>
      </c>
      <c r="AB833" s="1" t="s">
        <v>74</v>
      </c>
      <c r="AC833" s="1" t="s">
        <v>74</v>
      </c>
      <c r="AD833" s="1" t="s">
        <v>74</v>
      </c>
      <c r="AE833" s="1" t="s">
        <v>74</v>
      </c>
      <c r="AF833" s="1" t="s">
        <v>74</v>
      </c>
      <c r="AG833" s="1" t="s">
        <v>74</v>
      </c>
      <c r="AH833" s="1" t="s">
        <v>74</v>
      </c>
      <c r="AI833" s="1" t="s">
        <v>74</v>
      </c>
      <c r="AJ833" s="1" t="s">
        <v>74</v>
      </c>
      <c r="AK833" s="1" t="s">
        <v>74</v>
      </c>
      <c r="AL833" s="1" t="s">
        <v>74</v>
      </c>
      <c r="AM833" s="1" t="s">
        <v>74</v>
      </c>
      <c r="AN833" s="1" t="s">
        <v>74</v>
      </c>
      <c r="AO833" s="1" t="s">
        <v>74</v>
      </c>
      <c r="AP833" s="1" t="s">
        <v>74</v>
      </c>
      <c r="AQ833" s="1" t="s">
        <v>3872</v>
      </c>
      <c r="AR833" s="1" t="s">
        <v>74</v>
      </c>
      <c r="AS833" s="1" t="s">
        <v>74</v>
      </c>
      <c r="AT833" s="1" t="s">
        <v>74</v>
      </c>
      <c r="AU833" s="1">
        <v>2018.0</v>
      </c>
      <c r="AV833" s="1" t="s">
        <v>74</v>
      </c>
      <c r="AW833" s="1" t="s">
        <v>74</v>
      </c>
      <c r="AX833" s="1" t="s">
        <v>74</v>
      </c>
      <c r="AY833" s="1" t="s">
        <v>74</v>
      </c>
      <c r="AZ833" s="1" t="s">
        <v>74</v>
      </c>
      <c r="BA833" s="1" t="s">
        <v>74</v>
      </c>
      <c r="BB833" s="1">
        <v>27.0</v>
      </c>
      <c r="BC833" s="1">
        <v>74.0</v>
      </c>
      <c r="BD833" s="1" t="s">
        <v>74</v>
      </c>
      <c r="BE833" s="1" t="s">
        <v>74</v>
      </c>
      <c r="BF833" s="1" t="s">
        <v>74</v>
      </c>
      <c r="BG833" s="1" t="s">
        <v>74</v>
      </c>
      <c r="BH833" s="1" t="s">
        <v>74</v>
      </c>
      <c r="BI833" s="1" t="s">
        <v>74</v>
      </c>
      <c r="BJ833" s="1" t="s">
        <v>74</v>
      </c>
      <c r="BK833" s="1" t="s">
        <v>74</v>
      </c>
      <c r="BL833" s="1" t="s">
        <v>74</v>
      </c>
      <c r="BM833" s="1" t="s">
        <v>74</v>
      </c>
      <c r="BN833" s="1" t="s">
        <v>74</v>
      </c>
      <c r="BO833" s="1" t="s">
        <v>74</v>
      </c>
      <c r="BP833" s="1" t="s">
        <v>74</v>
      </c>
      <c r="BQ833" s="1" t="s">
        <v>74</v>
      </c>
      <c r="BR833" s="1" t="s">
        <v>74</v>
      </c>
      <c r="BS833" s="1" t="s">
        <v>6972</v>
      </c>
      <c r="BT833" s="1" t="str">
        <f>HYPERLINK("https%3A%2F%2Fwww.webofscience.com%2Fwos%2Fwoscc%2Ffull-record%2FWOS:000608876200003","View Full Record in Web of Science")</f>
        <v>View Full Record in Web of Science</v>
      </c>
    </row>
    <row r="834" ht="12.75" customHeight="1">
      <c r="A834" s="1" t="s">
        <v>91</v>
      </c>
      <c r="B834" s="1" t="s">
        <v>6973</v>
      </c>
      <c r="C834" s="1" t="s">
        <v>74</v>
      </c>
      <c r="D834" s="1" t="s">
        <v>74</v>
      </c>
      <c r="E834" s="1" t="s">
        <v>442</v>
      </c>
      <c r="F834" s="1" t="s">
        <v>6974</v>
      </c>
      <c r="G834" s="1" t="s">
        <v>74</v>
      </c>
      <c r="H834" s="1" t="s">
        <v>74</v>
      </c>
      <c r="I834" s="1" t="s">
        <v>6975</v>
      </c>
      <c r="J834" s="1" t="s">
        <v>6976</v>
      </c>
      <c r="K834" s="1" t="s">
        <v>74</v>
      </c>
      <c r="L834" s="1" t="s">
        <v>74</v>
      </c>
      <c r="M834" s="1" t="s">
        <v>74</v>
      </c>
      <c r="N834" s="1" t="s">
        <v>74</v>
      </c>
      <c r="O834" s="1" t="s">
        <v>6977</v>
      </c>
      <c r="P834" s="1" t="s">
        <v>6978</v>
      </c>
      <c r="Q834" s="1" t="s">
        <v>3334</v>
      </c>
      <c r="R834" s="1" t="s">
        <v>6979</v>
      </c>
      <c r="S834" s="1" t="s">
        <v>74</v>
      </c>
      <c r="T834" s="1" t="s">
        <v>74</v>
      </c>
      <c r="U834" s="1" t="s">
        <v>74</v>
      </c>
      <c r="V834" s="1" t="s">
        <v>6980</v>
      </c>
      <c r="W834" s="1" t="s">
        <v>74</v>
      </c>
      <c r="X834" s="1" t="s">
        <v>74</v>
      </c>
      <c r="Y834" s="1" t="s">
        <v>74</v>
      </c>
      <c r="Z834" s="1" t="s">
        <v>74</v>
      </c>
      <c r="AA834" s="1" t="s">
        <v>74</v>
      </c>
      <c r="AB834" s="1" t="s">
        <v>2879</v>
      </c>
      <c r="AC834" s="1" t="s">
        <v>74</v>
      </c>
      <c r="AD834" s="1" t="s">
        <v>74</v>
      </c>
      <c r="AE834" s="1" t="s">
        <v>74</v>
      </c>
      <c r="AF834" s="1" t="s">
        <v>74</v>
      </c>
      <c r="AG834" s="1" t="s">
        <v>74</v>
      </c>
      <c r="AH834" s="1" t="s">
        <v>74</v>
      </c>
      <c r="AI834" s="1" t="s">
        <v>74</v>
      </c>
      <c r="AJ834" s="1" t="s">
        <v>74</v>
      </c>
      <c r="AK834" s="1" t="s">
        <v>74</v>
      </c>
      <c r="AL834" s="1" t="s">
        <v>74</v>
      </c>
      <c r="AM834" s="1" t="s">
        <v>74</v>
      </c>
      <c r="AN834" s="1" t="s">
        <v>74</v>
      </c>
      <c r="AO834" s="1" t="s">
        <v>74</v>
      </c>
      <c r="AP834" s="1" t="s">
        <v>74</v>
      </c>
      <c r="AQ834" s="1" t="s">
        <v>6981</v>
      </c>
      <c r="AR834" s="1" t="s">
        <v>74</v>
      </c>
      <c r="AS834" s="1" t="s">
        <v>74</v>
      </c>
      <c r="AT834" s="1" t="s">
        <v>74</v>
      </c>
      <c r="AU834" s="1">
        <v>2017.0</v>
      </c>
      <c r="AV834" s="1" t="s">
        <v>74</v>
      </c>
      <c r="AW834" s="1" t="s">
        <v>74</v>
      </c>
      <c r="AX834" s="1" t="s">
        <v>74</v>
      </c>
      <c r="AY834" s="1" t="s">
        <v>74</v>
      </c>
      <c r="AZ834" s="1" t="s">
        <v>74</v>
      </c>
      <c r="BA834" s="1" t="s">
        <v>74</v>
      </c>
      <c r="BB834" s="1" t="s">
        <v>74</v>
      </c>
      <c r="BC834" s="1" t="s">
        <v>74</v>
      </c>
      <c r="BD834" s="1" t="s">
        <v>74</v>
      </c>
      <c r="BE834" s="1" t="s">
        <v>74</v>
      </c>
      <c r="BF834" s="1" t="s">
        <v>74</v>
      </c>
      <c r="BG834" s="1" t="s">
        <v>74</v>
      </c>
      <c r="BH834" s="1" t="s">
        <v>74</v>
      </c>
      <c r="BI834" s="1" t="s">
        <v>74</v>
      </c>
      <c r="BJ834" s="1" t="s">
        <v>74</v>
      </c>
      <c r="BK834" s="1" t="s">
        <v>74</v>
      </c>
      <c r="BL834" s="1" t="s">
        <v>74</v>
      </c>
      <c r="BM834" s="1" t="s">
        <v>74</v>
      </c>
      <c r="BN834" s="1" t="s">
        <v>74</v>
      </c>
      <c r="BO834" s="1" t="s">
        <v>74</v>
      </c>
      <c r="BP834" s="1" t="s">
        <v>74</v>
      </c>
      <c r="BQ834" s="1" t="s">
        <v>74</v>
      </c>
      <c r="BR834" s="1" t="s">
        <v>74</v>
      </c>
      <c r="BS834" s="1" t="s">
        <v>6982</v>
      </c>
      <c r="BT834" s="1" t="str">
        <f>HYPERLINK("https%3A%2F%2Fwww.webofscience.com%2Fwos%2Fwoscc%2Ffull-record%2FWOS:000425925000011","View Full Record in Web of Science")</f>
        <v>View Full Record in Web of Science</v>
      </c>
    </row>
    <row r="835" ht="12.75" customHeight="1">
      <c r="A835" s="1" t="s">
        <v>91</v>
      </c>
      <c r="B835" s="1" t="s">
        <v>6983</v>
      </c>
      <c r="C835" s="1" t="s">
        <v>74</v>
      </c>
      <c r="D835" s="1" t="s">
        <v>6984</v>
      </c>
      <c r="E835" s="1" t="s">
        <v>74</v>
      </c>
      <c r="F835" s="1" t="s">
        <v>6985</v>
      </c>
      <c r="G835" s="1" t="s">
        <v>74</v>
      </c>
      <c r="H835" s="1" t="s">
        <v>74</v>
      </c>
      <c r="I835" s="1" t="s">
        <v>6986</v>
      </c>
      <c r="J835" s="1" t="s">
        <v>6987</v>
      </c>
      <c r="K835" s="1" t="s">
        <v>74</v>
      </c>
      <c r="L835" s="1" t="s">
        <v>74</v>
      </c>
      <c r="M835" s="1" t="s">
        <v>74</v>
      </c>
      <c r="N835" s="1" t="s">
        <v>74</v>
      </c>
      <c r="O835" s="1" t="s">
        <v>6988</v>
      </c>
      <c r="P835" s="1" t="s">
        <v>6989</v>
      </c>
      <c r="Q835" s="1" t="s">
        <v>6990</v>
      </c>
      <c r="R835" s="1" t="s">
        <v>6991</v>
      </c>
      <c r="S835" s="1" t="s">
        <v>74</v>
      </c>
      <c r="T835" s="1" t="s">
        <v>74</v>
      </c>
      <c r="U835" s="1" t="s">
        <v>74</v>
      </c>
      <c r="V835" s="1" t="s">
        <v>6992</v>
      </c>
      <c r="W835" s="1" t="s">
        <v>74</v>
      </c>
      <c r="X835" s="1" t="s">
        <v>74</v>
      </c>
      <c r="Y835" s="1" t="s">
        <v>74</v>
      </c>
      <c r="Z835" s="1" t="s">
        <v>74</v>
      </c>
      <c r="AA835" s="1" t="s">
        <v>6993</v>
      </c>
      <c r="AB835" s="1" t="s">
        <v>74</v>
      </c>
      <c r="AC835" s="1" t="s">
        <v>74</v>
      </c>
      <c r="AD835" s="1" t="s">
        <v>74</v>
      </c>
      <c r="AE835" s="1" t="s">
        <v>74</v>
      </c>
      <c r="AF835" s="1" t="s">
        <v>74</v>
      </c>
      <c r="AG835" s="1" t="s">
        <v>74</v>
      </c>
      <c r="AH835" s="1" t="s">
        <v>74</v>
      </c>
      <c r="AI835" s="1" t="s">
        <v>74</v>
      </c>
      <c r="AJ835" s="1" t="s">
        <v>74</v>
      </c>
      <c r="AK835" s="1" t="s">
        <v>74</v>
      </c>
      <c r="AL835" s="1" t="s">
        <v>74</v>
      </c>
      <c r="AM835" s="1" t="s">
        <v>74</v>
      </c>
      <c r="AN835" s="1" t="s">
        <v>74</v>
      </c>
      <c r="AO835" s="1" t="s">
        <v>74</v>
      </c>
      <c r="AP835" s="1" t="s">
        <v>74</v>
      </c>
      <c r="AQ835" s="1" t="s">
        <v>6994</v>
      </c>
      <c r="AR835" s="1" t="s">
        <v>74</v>
      </c>
      <c r="AS835" s="1" t="s">
        <v>74</v>
      </c>
      <c r="AT835" s="1" t="s">
        <v>74</v>
      </c>
      <c r="AU835" s="1">
        <v>2017.0</v>
      </c>
      <c r="AV835" s="1" t="s">
        <v>74</v>
      </c>
      <c r="AW835" s="1" t="s">
        <v>74</v>
      </c>
      <c r="AX835" s="1" t="s">
        <v>74</v>
      </c>
      <c r="AY835" s="1" t="s">
        <v>74</v>
      </c>
      <c r="AZ835" s="1" t="s">
        <v>74</v>
      </c>
      <c r="BA835" s="1" t="s">
        <v>74</v>
      </c>
      <c r="BB835" s="1">
        <v>671.0</v>
      </c>
      <c r="BC835" s="1">
        <v>676.0</v>
      </c>
      <c r="BD835" s="1" t="s">
        <v>74</v>
      </c>
      <c r="BE835" s="1" t="s">
        <v>74</v>
      </c>
      <c r="BF835" s="1" t="s">
        <v>74</v>
      </c>
      <c r="BG835" s="1" t="s">
        <v>74</v>
      </c>
      <c r="BH835" s="1" t="s">
        <v>74</v>
      </c>
      <c r="BI835" s="1" t="s">
        <v>74</v>
      </c>
      <c r="BJ835" s="1" t="s">
        <v>74</v>
      </c>
      <c r="BK835" s="1" t="s">
        <v>74</v>
      </c>
      <c r="BL835" s="1" t="s">
        <v>74</v>
      </c>
      <c r="BM835" s="1" t="s">
        <v>74</v>
      </c>
      <c r="BN835" s="1" t="s">
        <v>74</v>
      </c>
      <c r="BO835" s="1" t="s">
        <v>74</v>
      </c>
      <c r="BP835" s="1" t="s">
        <v>74</v>
      </c>
      <c r="BQ835" s="1" t="s">
        <v>74</v>
      </c>
      <c r="BR835" s="1" t="s">
        <v>74</v>
      </c>
      <c r="BS835" s="1" t="s">
        <v>6995</v>
      </c>
      <c r="BT835" s="1" t="str">
        <f>HYPERLINK("https%3A%2F%2Fwww.webofscience.com%2Fwos%2Fwoscc%2Ffull-record%2FWOS:000427886600121","View Full Record in Web of Science")</f>
        <v>View Full Record in Web of Science</v>
      </c>
    </row>
    <row r="836" ht="12.75" customHeight="1">
      <c r="A836" s="1" t="s">
        <v>91</v>
      </c>
      <c r="B836" s="1" t="s">
        <v>6996</v>
      </c>
      <c r="C836" s="1" t="s">
        <v>74</v>
      </c>
      <c r="D836" s="1" t="s">
        <v>6997</v>
      </c>
      <c r="E836" s="1" t="s">
        <v>74</v>
      </c>
      <c r="F836" s="1" t="s">
        <v>6998</v>
      </c>
      <c r="G836" s="1" t="s">
        <v>74</v>
      </c>
      <c r="H836" s="1" t="s">
        <v>74</v>
      </c>
      <c r="I836" s="1" t="s">
        <v>6999</v>
      </c>
      <c r="J836" s="1" t="s">
        <v>7000</v>
      </c>
      <c r="K836" s="1" t="s">
        <v>74</v>
      </c>
      <c r="L836" s="1" t="s">
        <v>74</v>
      </c>
      <c r="M836" s="1" t="s">
        <v>74</v>
      </c>
      <c r="N836" s="1" t="s">
        <v>74</v>
      </c>
      <c r="O836" s="1" t="s">
        <v>7001</v>
      </c>
      <c r="P836" s="1" t="s">
        <v>7002</v>
      </c>
      <c r="Q836" s="1" t="s">
        <v>7003</v>
      </c>
      <c r="R836" s="1" t="s">
        <v>74</v>
      </c>
      <c r="S836" s="1" t="s">
        <v>74</v>
      </c>
      <c r="T836" s="1" t="s">
        <v>74</v>
      </c>
      <c r="U836" s="1" t="s">
        <v>74</v>
      </c>
      <c r="V836" s="1" t="s">
        <v>74</v>
      </c>
      <c r="W836" s="1" t="s">
        <v>74</v>
      </c>
      <c r="X836" s="1" t="s">
        <v>74</v>
      </c>
      <c r="Y836" s="1" t="s">
        <v>74</v>
      </c>
      <c r="Z836" s="1" t="s">
        <v>74</v>
      </c>
      <c r="AA836" s="1" t="s">
        <v>74</v>
      </c>
      <c r="AB836" s="1" t="s">
        <v>74</v>
      </c>
      <c r="AC836" s="1" t="s">
        <v>74</v>
      </c>
      <c r="AD836" s="1" t="s">
        <v>74</v>
      </c>
      <c r="AE836" s="1" t="s">
        <v>74</v>
      </c>
      <c r="AF836" s="1" t="s">
        <v>74</v>
      </c>
      <c r="AG836" s="1" t="s">
        <v>74</v>
      </c>
      <c r="AH836" s="1" t="s">
        <v>74</v>
      </c>
      <c r="AI836" s="1" t="s">
        <v>74</v>
      </c>
      <c r="AJ836" s="1" t="s">
        <v>74</v>
      </c>
      <c r="AK836" s="1" t="s">
        <v>74</v>
      </c>
      <c r="AL836" s="1" t="s">
        <v>74</v>
      </c>
      <c r="AM836" s="1" t="s">
        <v>74</v>
      </c>
      <c r="AN836" s="1" t="s">
        <v>74</v>
      </c>
      <c r="AO836" s="1" t="s">
        <v>74</v>
      </c>
      <c r="AP836" s="1" t="s">
        <v>74</v>
      </c>
      <c r="AQ836" s="1" t="s">
        <v>7004</v>
      </c>
      <c r="AR836" s="1" t="s">
        <v>74</v>
      </c>
      <c r="AS836" s="1" t="s">
        <v>74</v>
      </c>
      <c r="AT836" s="1" t="s">
        <v>74</v>
      </c>
      <c r="AU836" s="1">
        <v>2017.0</v>
      </c>
      <c r="AV836" s="1" t="s">
        <v>74</v>
      </c>
      <c r="AW836" s="1" t="s">
        <v>74</v>
      </c>
      <c r="AX836" s="1" t="s">
        <v>74</v>
      </c>
      <c r="AY836" s="1" t="s">
        <v>74</v>
      </c>
      <c r="AZ836" s="1" t="s">
        <v>74</v>
      </c>
      <c r="BA836" s="1" t="s">
        <v>74</v>
      </c>
      <c r="BB836" s="1">
        <v>213.0</v>
      </c>
      <c r="BC836" s="1">
        <v>226.0</v>
      </c>
      <c r="BD836" s="1" t="s">
        <v>74</v>
      </c>
      <c r="BE836" s="1" t="s">
        <v>74</v>
      </c>
      <c r="BF836" s="1" t="s">
        <v>74</v>
      </c>
      <c r="BG836" s="1" t="s">
        <v>74</v>
      </c>
      <c r="BH836" s="1" t="s">
        <v>74</v>
      </c>
      <c r="BI836" s="1" t="s">
        <v>74</v>
      </c>
      <c r="BJ836" s="1" t="s">
        <v>74</v>
      </c>
      <c r="BK836" s="1" t="s">
        <v>74</v>
      </c>
      <c r="BL836" s="1" t="s">
        <v>74</v>
      </c>
      <c r="BM836" s="1" t="s">
        <v>74</v>
      </c>
      <c r="BN836" s="1" t="s">
        <v>74</v>
      </c>
      <c r="BO836" s="1" t="s">
        <v>74</v>
      </c>
      <c r="BP836" s="1" t="s">
        <v>74</v>
      </c>
      <c r="BQ836" s="1" t="s">
        <v>74</v>
      </c>
      <c r="BR836" s="1" t="s">
        <v>74</v>
      </c>
      <c r="BS836" s="1" t="s">
        <v>7005</v>
      </c>
      <c r="BT836" s="1" t="str">
        <f>HYPERLINK("https%3A%2F%2Fwww.webofscience.com%2Fwos%2Fwoscc%2Ffull-record%2FWOS:000417360300013","View Full Record in Web of Science")</f>
        <v>View Full Record in Web of Science</v>
      </c>
    </row>
    <row r="837" ht="12.75" customHeight="1">
      <c r="A837" s="1" t="s">
        <v>72</v>
      </c>
      <c r="B837" s="1" t="s">
        <v>1633</v>
      </c>
      <c r="C837" s="1" t="s">
        <v>74</v>
      </c>
      <c r="D837" s="1" t="s">
        <v>74</v>
      </c>
      <c r="E837" s="1" t="s">
        <v>74</v>
      </c>
      <c r="F837" s="1" t="s">
        <v>1635</v>
      </c>
      <c r="G837" s="1" t="s">
        <v>74</v>
      </c>
      <c r="H837" s="1" t="s">
        <v>74</v>
      </c>
      <c r="I837" s="1" t="s">
        <v>7006</v>
      </c>
      <c r="J837" s="1" t="s">
        <v>1271</v>
      </c>
      <c r="K837" s="1" t="s">
        <v>74</v>
      </c>
      <c r="L837" s="1" t="s">
        <v>74</v>
      </c>
      <c r="M837" s="1" t="s">
        <v>74</v>
      </c>
      <c r="N837" s="1" t="s">
        <v>74</v>
      </c>
      <c r="O837" s="1" t="s">
        <v>74</v>
      </c>
      <c r="P837" s="1" t="s">
        <v>74</v>
      </c>
      <c r="Q837" s="1" t="s">
        <v>74</v>
      </c>
      <c r="R837" s="1" t="s">
        <v>74</v>
      </c>
      <c r="S837" s="1" t="s">
        <v>74</v>
      </c>
      <c r="T837" s="1" t="s">
        <v>74</v>
      </c>
      <c r="U837" s="1" t="s">
        <v>74</v>
      </c>
      <c r="V837" s="1" t="s">
        <v>7007</v>
      </c>
      <c r="W837" s="1" t="s">
        <v>74</v>
      </c>
      <c r="X837" s="1" t="s">
        <v>74</v>
      </c>
      <c r="Y837" s="1" t="s">
        <v>74</v>
      </c>
      <c r="Z837" s="1" t="s">
        <v>74</v>
      </c>
      <c r="AA837" s="1" t="s">
        <v>1642</v>
      </c>
      <c r="AB837" s="1" t="s">
        <v>1643</v>
      </c>
      <c r="AC837" s="1" t="s">
        <v>74</v>
      </c>
      <c r="AD837" s="1" t="s">
        <v>74</v>
      </c>
      <c r="AE837" s="1" t="s">
        <v>74</v>
      </c>
      <c r="AF837" s="1" t="s">
        <v>74</v>
      </c>
      <c r="AG837" s="1" t="s">
        <v>74</v>
      </c>
      <c r="AH837" s="1" t="s">
        <v>74</v>
      </c>
      <c r="AI837" s="1" t="s">
        <v>74</v>
      </c>
      <c r="AJ837" s="1" t="s">
        <v>74</v>
      </c>
      <c r="AK837" s="1" t="s">
        <v>74</v>
      </c>
      <c r="AL837" s="1" t="s">
        <v>74</v>
      </c>
      <c r="AM837" s="1" t="s">
        <v>74</v>
      </c>
      <c r="AN837" s="1" t="s">
        <v>74</v>
      </c>
      <c r="AO837" s="1" t="s">
        <v>1273</v>
      </c>
      <c r="AP837" s="1" t="s">
        <v>1274</v>
      </c>
      <c r="AQ837" s="1" t="s">
        <v>74</v>
      </c>
      <c r="AR837" s="1" t="s">
        <v>74</v>
      </c>
      <c r="AS837" s="1" t="s">
        <v>74</v>
      </c>
      <c r="AT837" s="1" t="s">
        <v>161</v>
      </c>
      <c r="AU837" s="1">
        <v>2016.0</v>
      </c>
      <c r="AV837" s="1">
        <v>10.0</v>
      </c>
      <c r="AW837" s="1">
        <v>7.0</v>
      </c>
      <c r="AX837" s="1" t="s">
        <v>74</v>
      </c>
      <c r="AY837" s="1" t="s">
        <v>74</v>
      </c>
      <c r="AZ837" s="1" t="s">
        <v>74</v>
      </c>
      <c r="BA837" s="1" t="s">
        <v>74</v>
      </c>
      <c r="BB837" s="1">
        <v>1577.0</v>
      </c>
      <c r="BC837" s="1">
        <v>1590.0</v>
      </c>
      <c r="BD837" s="1" t="s">
        <v>74</v>
      </c>
      <c r="BE837" s="1" t="s">
        <v>7008</v>
      </c>
      <c r="BF837" s="2" t="str">
        <f>HYPERLINK("http://dx.doi.org/10.1007/s11785-016-0534-7","http://dx.doi.org/10.1007/s11785-016-0534-7")</f>
        <v>http://dx.doi.org/10.1007/s11785-016-0534-7</v>
      </c>
      <c r="BG837" s="1" t="s">
        <v>74</v>
      </c>
      <c r="BH837" s="1" t="s">
        <v>74</v>
      </c>
      <c r="BI837" s="1" t="s">
        <v>74</v>
      </c>
      <c r="BJ837" s="1" t="s">
        <v>74</v>
      </c>
      <c r="BK837" s="1" t="s">
        <v>74</v>
      </c>
      <c r="BL837" s="1" t="s">
        <v>74</v>
      </c>
      <c r="BM837" s="1" t="s">
        <v>74</v>
      </c>
      <c r="BN837" s="1" t="s">
        <v>74</v>
      </c>
      <c r="BO837" s="1" t="s">
        <v>74</v>
      </c>
      <c r="BP837" s="1" t="s">
        <v>74</v>
      </c>
      <c r="BQ837" s="1" t="s">
        <v>74</v>
      </c>
      <c r="BR837" s="1" t="s">
        <v>74</v>
      </c>
      <c r="BS837" s="1" t="s">
        <v>7009</v>
      </c>
      <c r="BT837" s="1" t="str">
        <f>HYPERLINK("https%3A%2F%2Fwww.webofscience.com%2Fwos%2Fwoscc%2Ffull-record%2FWOS:000385182700009","View Full Record in Web of Science")</f>
        <v>View Full Record in Web of Science</v>
      </c>
    </row>
    <row r="838" ht="12.75" customHeight="1">
      <c r="A838" s="1" t="s">
        <v>454</v>
      </c>
      <c r="B838" s="1" t="s">
        <v>7010</v>
      </c>
      <c r="C838" s="1" t="s">
        <v>74</v>
      </c>
      <c r="D838" s="1" t="s">
        <v>7011</v>
      </c>
      <c r="E838" s="1" t="s">
        <v>74</v>
      </c>
      <c r="F838" s="1" t="s">
        <v>7012</v>
      </c>
      <c r="G838" s="1" t="s">
        <v>74</v>
      </c>
      <c r="H838" s="1" t="s">
        <v>74</v>
      </c>
      <c r="I838" s="1" t="s">
        <v>7013</v>
      </c>
      <c r="J838" s="1" t="s">
        <v>7014</v>
      </c>
      <c r="K838" s="1" t="s">
        <v>74</v>
      </c>
      <c r="L838" s="1" t="s">
        <v>74</v>
      </c>
      <c r="M838" s="1" t="s">
        <v>74</v>
      </c>
      <c r="N838" s="1" t="s">
        <v>74</v>
      </c>
      <c r="O838" s="1" t="s">
        <v>74</v>
      </c>
      <c r="P838" s="1" t="s">
        <v>74</v>
      </c>
      <c r="Q838" s="1" t="s">
        <v>74</v>
      </c>
      <c r="R838" s="1" t="s">
        <v>74</v>
      </c>
      <c r="S838" s="1" t="s">
        <v>74</v>
      </c>
      <c r="T838" s="1" t="s">
        <v>74</v>
      </c>
      <c r="U838" s="1" t="s">
        <v>74</v>
      </c>
      <c r="V838" s="1" t="s">
        <v>74</v>
      </c>
      <c r="W838" s="1" t="s">
        <v>74</v>
      </c>
      <c r="X838" s="1" t="s">
        <v>74</v>
      </c>
      <c r="Y838" s="1" t="s">
        <v>74</v>
      </c>
      <c r="Z838" s="1" t="s">
        <v>74</v>
      </c>
      <c r="AA838" s="1" t="s">
        <v>7015</v>
      </c>
      <c r="AB838" s="1" t="s">
        <v>74</v>
      </c>
      <c r="AC838" s="1" t="s">
        <v>74</v>
      </c>
      <c r="AD838" s="1" t="s">
        <v>74</v>
      </c>
      <c r="AE838" s="1" t="s">
        <v>74</v>
      </c>
      <c r="AF838" s="1" t="s">
        <v>74</v>
      </c>
      <c r="AG838" s="1" t="s">
        <v>74</v>
      </c>
      <c r="AH838" s="1" t="s">
        <v>74</v>
      </c>
      <c r="AI838" s="1" t="s">
        <v>74</v>
      </c>
      <c r="AJ838" s="1" t="s">
        <v>74</v>
      </c>
      <c r="AK838" s="1" t="s">
        <v>74</v>
      </c>
      <c r="AL838" s="1" t="s">
        <v>74</v>
      </c>
      <c r="AM838" s="1" t="s">
        <v>74</v>
      </c>
      <c r="AN838" s="1" t="s">
        <v>74</v>
      </c>
      <c r="AO838" s="1" t="s">
        <v>74</v>
      </c>
      <c r="AP838" s="1" t="s">
        <v>74</v>
      </c>
      <c r="AQ838" s="1" t="s">
        <v>7016</v>
      </c>
      <c r="AR838" s="1" t="s">
        <v>74</v>
      </c>
      <c r="AS838" s="1" t="s">
        <v>74</v>
      </c>
      <c r="AT838" s="1" t="s">
        <v>74</v>
      </c>
      <c r="AU838" s="1">
        <v>2016.0</v>
      </c>
      <c r="AV838" s="1" t="s">
        <v>74</v>
      </c>
      <c r="AW838" s="1" t="s">
        <v>74</v>
      </c>
      <c r="AX838" s="1" t="s">
        <v>74</v>
      </c>
      <c r="AY838" s="1" t="s">
        <v>74</v>
      </c>
      <c r="AZ838" s="1" t="s">
        <v>74</v>
      </c>
      <c r="BA838" s="1" t="s">
        <v>74</v>
      </c>
      <c r="BB838" s="1">
        <v>1.0</v>
      </c>
      <c r="BC838" s="1">
        <v>8.0</v>
      </c>
      <c r="BD838" s="1" t="s">
        <v>74</v>
      </c>
      <c r="BE838" s="1" t="s">
        <v>74</v>
      </c>
      <c r="BF838" s="1" t="s">
        <v>74</v>
      </c>
      <c r="BG838" s="1" t="s">
        <v>7017</v>
      </c>
      <c r="BH838" s="1" t="s">
        <v>74</v>
      </c>
      <c r="BI838" s="1" t="s">
        <v>74</v>
      </c>
      <c r="BJ838" s="1" t="s">
        <v>74</v>
      </c>
      <c r="BK838" s="1" t="s">
        <v>74</v>
      </c>
      <c r="BL838" s="1" t="s">
        <v>74</v>
      </c>
      <c r="BM838" s="1" t="s">
        <v>74</v>
      </c>
      <c r="BN838" s="1" t="s">
        <v>74</v>
      </c>
      <c r="BO838" s="1" t="s">
        <v>74</v>
      </c>
      <c r="BP838" s="1" t="s">
        <v>74</v>
      </c>
      <c r="BQ838" s="1" t="s">
        <v>74</v>
      </c>
      <c r="BR838" s="1" t="s">
        <v>74</v>
      </c>
      <c r="BS838" s="1" t="s">
        <v>7018</v>
      </c>
      <c r="BT838" s="1" t="str">
        <f>HYPERLINK("https%3A%2F%2Fwww.webofscience.com%2Fwos%2Fwoscc%2Ffull-record%2FWOS:000445393000002","View Full Record in Web of Science")</f>
        <v>View Full Record in Web of Science</v>
      </c>
    </row>
    <row r="839" ht="12.75" customHeight="1">
      <c r="A839" s="1" t="s">
        <v>72</v>
      </c>
      <c r="B839" s="1" t="s">
        <v>7019</v>
      </c>
      <c r="C839" s="1" t="s">
        <v>74</v>
      </c>
      <c r="D839" s="1" t="s">
        <v>74</v>
      </c>
      <c r="E839" s="1" t="s">
        <v>74</v>
      </c>
      <c r="F839" s="1" t="s">
        <v>7020</v>
      </c>
      <c r="G839" s="1" t="s">
        <v>74</v>
      </c>
      <c r="H839" s="1" t="s">
        <v>74</v>
      </c>
      <c r="I839" s="1" t="s">
        <v>7021</v>
      </c>
      <c r="J839" s="1" t="s">
        <v>619</v>
      </c>
      <c r="K839" s="1" t="s">
        <v>74</v>
      </c>
      <c r="L839" s="1" t="s">
        <v>74</v>
      </c>
      <c r="M839" s="1" t="s">
        <v>74</v>
      </c>
      <c r="N839" s="1" t="s">
        <v>74</v>
      </c>
      <c r="O839" s="1" t="s">
        <v>74</v>
      </c>
      <c r="P839" s="1" t="s">
        <v>74</v>
      </c>
      <c r="Q839" s="1" t="s">
        <v>74</v>
      </c>
      <c r="R839" s="1" t="s">
        <v>74</v>
      </c>
      <c r="S839" s="1" t="s">
        <v>74</v>
      </c>
      <c r="T839" s="1" t="s">
        <v>74</v>
      </c>
      <c r="U839" s="1" t="s">
        <v>74</v>
      </c>
      <c r="V839" s="1" t="s">
        <v>7022</v>
      </c>
      <c r="W839" s="1" t="s">
        <v>74</v>
      </c>
      <c r="X839" s="1" t="s">
        <v>74</v>
      </c>
      <c r="Y839" s="1" t="s">
        <v>74</v>
      </c>
      <c r="Z839" s="1" t="s">
        <v>74</v>
      </c>
      <c r="AA839" s="1" t="s">
        <v>74</v>
      </c>
      <c r="AB839" s="1" t="s">
        <v>74</v>
      </c>
      <c r="AC839" s="1" t="s">
        <v>74</v>
      </c>
      <c r="AD839" s="1" t="s">
        <v>74</v>
      </c>
      <c r="AE839" s="1" t="s">
        <v>74</v>
      </c>
      <c r="AF839" s="1" t="s">
        <v>74</v>
      </c>
      <c r="AG839" s="1" t="s">
        <v>74</v>
      </c>
      <c r="AH839" s="1" t="s">
        <v>74</v>
      </c>
      <c r="AI839" s="1" t="s">
        <v>74</v>
      </c>
      <c r="AJ839" s="1" t="s">
        <v>74</v>
      </c>
      <c r="AK839" s="1" t="s">
        <v>74</v>
      </c>
      <c r="AL839" s="1" t="s">
        <v>74</v>
      </c>
      <c r="AM839" s="1" t="s">
        <v>74</v>
      </c>
      <c r="AN839" s="1" t="s">
        <v>74</v>
      </c>
      <c r="AO839" s="1" t="s">
        <v>620</v>
      </c>
      <c r="AP839" s="1" t="s">
        <v>74</v>
      </c>
      <c r="AQ839" s="1" t="s">
        <v>74</v>
      </c>
      <c r="AR839" s="1" t="s">
        <v>74</v>
      </c>
      <c r="AS839" s="1" t="s">
        <v>74</v>
      </c>
      <c r="AT839" s="1" t="s">
        <v>74</v>
      </c>
      <c r="AU839" s="1">
        <v>2016.0</v>
      </c>
      <c r="AV839" s="1" t="s">
        <v>74</v>
      </c>
      <c r="AW839" s="1">
        <v>59.0</v>
      </c>
      <c r="AX839" s="1" t="s">
        <v>74</v>
      </c>
      <c r="AY839" s="1" t="s">
        <v>74</v>
      </c>
      <c r="AZ839" s="1" t="s">
        <v>74</v>
      </c>
      <c r="BA839" s="1" t="s">
        <v>74</v>
      </c>
      <c r="BB839" s="1">
        <v>75.0</v>
      </c>
      <c r="BC839" s="1">
        <v>90.0</v>
      </c>
      <c r="BD839" s="1" t="s">
        <v>74</v>
      </c>
      <c r="BE839" s="1" t="s">
        <v>74</v>
      </c>
      <c r="BF839" s="1" t="s">
        <v>74</v>
      </c>
      <c r="BG839" s="1" t="s">
        <v>74</v>
      </c>
      <c r="BH839" s="1" t="s">
        <v>74</v>
      </c>
      <c r="BI839" s="1" t="s">
        <v>74</v>
      </c>
      <c r="BJ839" s="1" t="s">
        <v>74</v>
      </c>
      <c r="BK839" s="1" t="s">
        <v>74</v>
      </c>
      <c r="BL839" s="1" t="s">
        <v>74</v>
      </c>
      <c r="BM839" s="1" t="s">
        <v>74</v>
      </c>
      <c r="BN839" s="1" t="s">
        <v>74</v>
      </c>
      <c r="BO839" s="1" t="s">
        <v>74</v>
      </c>
      <c r="BP839" s="1" t="s">
        <v>74</v>
      </c>
      <c r="BQ839" s="1" t="s">
        <v>74</v>
      </c>
      <c r="BR839" s="1" t="s">
        <v>74</v>
      </c>
      <c r="BS839" s="1" t="s">
        <v>7023</v>
      </c>
      <c r="BT839" s="1" t="str">
        <f>HYPERLINK("https%3A%2F%2Fwww.webofscience.com%2Fwos%2Fwoscc%2Ffull-record%2FWOS:000390071800005","View Full Record in Web of Science")</f>
        <v>View Full Record in Web of Science</v>
      </c>
    </row>
    <row r="840" ht="12.75" customHeight="1">
      <c r="A840" s="1" t="s">
        <v>91</v>
      </c>
      <c r="B840" s="1" t="s">
        <v>7024</v>
      </c>
      <c r="C840" s="1" t="s">
        <v>74</v>
      </c>
      <c r="D840" s="1" t="s">
        <v>74</v>
      </c>
      <c r="E840" s="1" t="s">
        <v>7025</v>
      </c>
      <c r="F840" s="1" t="s">
        <v>7026</v>
      </c>
      <c r="G840" s="1" t="s">
        <v>74</v>
      </c>
      <c r="H840" s="1" t="s">
        <v>74</v>
      </c>
      <c r="I840" s="1" t="s">
        <v>7027</v>
      </c>
      <c r="J840" s="1" t="s">
        <v>7028</v>
      </c>
      <c r="K840" s="1" t="s">
        <v>74</v>
      </c>
      <c r="L840" s="1" t="s">
        <v>74</v>
      </c>
      <c r="M840" s="1" t="s">
        <v>74</v>
      </c>
      <c r="N840" s="1" t="s">
        <v>74</v>
      </c>
      <c r="O840" s="1" t="s">
        <v>7029</v>
      </c>
      <c r="P840" s="1" t="s">
        <v>7030</v>
      </c>
      <c r="Q840" s="1" t="s">
        <v>7031</v>
      </c>
      <c r="R840" s="1" t="s">
        <v>7032</v>
      </c>
      <c r="S840" s="1" t="s">
        <v>74</v>
      </c>
      <c r="T840" s="1" t="s">
        <v>74</v>
      </c>
      <c r="U840" s="1" t="s">
        <v>74</v>
      </c>
      <c r="V840" s="1" t="s">
        <v>7033</v>
      </c>
      <c r="W840" s="1" t="s">
        <v>74</v>
      </c>
      <c r="X840" s="1" t="s">
        <v>74</v>
      </c>
      <c r="Y840" s="1" t="s">
        <v>74</v>
      </c>
      <c r="Z840" s="1" t="s">
        <v>74</v>
      </c>
      <c r="AA840" s="1" t="s">
        <v>74</v>
      </c>
      <c r="AB840" s="1" t="s">
        <v>2382</v>
      </c>
      <c r="AC840" s="1" t="s">
        <v>74</v>
      </c>
      <c r="AD840" s="1" t="s">
        <v>74</v>
      </c>
      <c r="AE840" s="1" t="s">
        <v>74</v>
      </c>
      <c r="AF840" s="1" t="s">
        <v>74</v>
      </c>
      <c r="AG840" s="1" t="s">
        <v>74</v>
      </c>
      <c r="AH840" s="1" t="s">
        <v>74</v>
      </c>
      <c r="AI840" s="1" t="s">
        <v>74</v>
      </c>
      <c r="AJ840" s="1" t="s">
        <v>74</v>
      </c>
      <c r="AK840" s="1" t="s">
        <v>74</v>
      </c>
      <c r="AL840" s="1" t="s">
        <v>74</v>
      </c>
      <c r="AM840" s="1" t="s">
        <v>74</v>
      </c>
      <c r="AN840" s="1" t="s">
        <v>74</v>
      </c>
      <c r="AO840" s="1" t="s">
        <v>74</v>
      </c>
      <c r="AP840" s="1" t="s">
        <v>74</v>
      </c>
      <c r="AQ840" s="1" t="s">
        <v>7034</v>
      </c>
      <c r="AR840" s="1" t="s">
        <v>74</v>
      </c>
      <c r="AS840" s="1" t="s">
        <v>74</v>
      </c>
      <c r="AT840" s="1" t="s">
        <v>74</v>
      </c>
      <c r="AU840" s="1">
        <v>2016.0</v>
      </c>
      <c r="AV840" s="1" t="s">
        <v>74</v>
      </c>
      <c r="AW840" s="1" t="s">
        <v>74</v>
      </c>
      <c r="AX840" s="1" t="s">
        <v>74</v>
      </c>
      <c r="AY840" s="1" t="s">
        <v>74</v>
      </c>
      <c r="AZ840" s="1" t="s">
        <v>74</v>
      </c>
      <c r="BA840" s="1" t="s">
        <v>74</v>
      </c>
      <c r="BB840" s="1">
        <v>265.0</v>
      </c>
      <c r="BC840" s="1">
        <v>268.0</v>
      </c>
      <c r="BD840" s="1" t="s">
        <v>74</v>
      </c>
      <c r="BE840" s="1" t="s">
        <v>7035</v>
      </c>
      <c r="BF840" s="2" t="str">
        <f>HYPERLINK("http://dx.doi.org/10.1145/2854946.2854999","http://dx.doi.org/10.1145/2854946.2854999")</f>
        <v>http://dx.doi.org/10.1145/2854946.2854999</v>
      </c>
      <c r="BG840" s="1" t="s">
        <v>74</v>
      </c>
      <c r="BH840" s="1" t="s">
        <v>74</v>
      </c>
      <c r="BI840" s="1" t="s">
        <v>74</v>
      </c>
      <c r="BJ840" s="1" t="s">
        <v>74</v>
      </c>
      <c r="BK840" s="1" t="s">
        <v>74</v>
      </c>
      <c r="BL840" s="1" t="s">
        <v>74</v>
      </c>
      <c r="BM840" s="1" t="s">
        <v>74</v>
      </c>
      <c r="BN840" s="1" t="s">
        <v>74</v>
      </c>
      <c r="BO840" s="1" t="s">
        <v>74</v>
      </c>
      <c r="BP840" s="1" t="s">
        <v>74</v>
      </c>
      <c r="BQ840" s="1" t="s">
        <v>74</v>
      </c>
      <c r="BR840" s="1" t="s">
        <v>74</v>
      </c>
      <c r="BS840" s="1" t="s">
        <v>7036</v>
      </c>
      <c r="BT840" s="1" t="str">
        <f>HYPERLINK("https%3A%2F%2Fwww.webofscience.com%2Fwos%2Fwoscc%2Ffull-record%2FWOS:000389808700034","View Full Record in Web of Science")</f>
        <v>View Full Record in Web of Science</v>
      </c>
    </row>
    <row r="841" ht="12.75" customHeight="1">
      <c r="A841" s="1" t="s">
        <v>72</v>
      </c>
      <c r="B841" s="1" t="s">
        <v>7037</v>
      </c>
      <c r="C841" s="1" t="s">
        <v>74</v>
      </c>
      <c r="D841" s="1" t="s">
        <v>74</v>
      </c>
      <c r="E841" s="1" t="s">
        <v>74</v>
      </c>
      <c r="F841" s="1" t="s">
        <v>7038</v>
      </c>
      <c r="G841" s="1" t="s">
        <v>74</v>
      </c>
      <c r="H841" s="1" t="s">
        <v>74</v>
      </c>
      <c r="I841" s="1" t="s">
        <v>7039</v>
      </c>
      <c r="J841" s="1" t="s">
        <v>5525</v>
      </c>
      <c r="K841" s="1" t="s">
        <v>74</v>
      </c>
      <c r="L841" s="1" t="s">
        <v>74</v>
      </c>
      <c r="M841" s="1" t="s">
        <v>74</v>
      </c>
      <c r="N841" s="1" t="s">
        <v>74</v>
      </c>
      <c r="O841" s="1" t="s">
        <v>74</v>
      </c>
      <c r="P841" s="1" t="s">
        <v>74</v>
      </c>
      <c r="Q841" s="1" t="s">
        <v>74</v>
      </c>
      <c r="R841" s="1" t="s">
        <v>74</v>
      </c>
      <c r="S841" s="1" t="s">
        <v>74</v>
      </c>
      <c r="T841" s="1" t="s">
        <v>74</v>
      </c>
      <c r="U841" s="1" t="s">
        <v>74</v>
      </c>
      <c r="V841" s="1" t="s">
        <v>7040</v>
      </c>
      <c r="W841" s="1" t="s">
        <v>74</v>
      </c>
      <c r="X841" s="1" t="s">
        <v>74</v>
      </c>
      <c r="Y841" s="1" t="s">
        <v>74</v>
      </c>
      <c r="Z841" s="1" t="s">
        <v>74</v>
      </c>
      <c r="AA841" s="1" t="s">
        <v>854</v>
      </c>
      <c r="AB841" s="1" t="s">
        <v>7041</v>
      </c>
      <c r="AC841" s="1" t="s">
        <v>74</v>
      </c>
      <c r="AD841" s="1" t="s">
        <v>74</v>
      </c>
      <c r="AE841" s="1" t="s">
        <v>74</v>
      </c>
      <c r="AF841" s="1" t="s">
        <v>74</v>
      </c>
      <c r="AG841" s="1" t="s">
        <v>74</v>
      </c>
      <c r="AH841" s="1" t="s">
        <v>74</v>
      </c>
      <c r="AI841" s="1" t="s">
        <v>74</v>
      </c>
      <c r="AJ841" s="1" t="s">
        <v>74</v>
      </c>
      <c r="AK841" s="1" t="s">
        <v>74</v>
      </c>
      <c r="AL841" s="1" t="s">
        <v>74</v>
      </c>
      <c r="AM841" s="1" t="s">
        <v>74</v>
      </c>
      <c r="AN841" s="1" t="s">
        <v>74</v>
      </c>
      <c r="AO841" s="1" t="s">
        <v>5529</v>
      </c>
      <c r="AP841" s="1" t="s">
        <v>5530</v>
      </c>
      <c r="AQ841" s="1" t="s">
        <v>74</v>
      </c>
      <c r="AR841" s="1" t="s">
        <v>74</v>
      </c>
      <c r="AS841" s="1" t="s">
        <v>74</v>
      </c>
      <c r="AT841" s="1" t="s">
        <v>299</v>
      </c>
      <c r="AU841" s="1">
        <v>2016.0</v>
      </c>
      <c r="AV841" s="1">
        <v>159.0</v>
      </c>
      <c r="AW841" s="1" t="s">
        <v>74</v>
      </c>
      <c r="AX841" s="1" t="s">
        <v>74</v>
      </c>
      <c r="AY841" s="1" t="s">
        <v>74</v>
      </c>
      <c r="AZ841" s="1" t="s">
        <v>74</v>
      </c>
      <c r="BA841" s="1" t="s">
        <v>74</v>
      </c>
      <c r="BB841" s="1">
        <v>54.0</v>
      </c>
      <c r="BC841" s="1">
        <v>59.0</v>
      </c>
      <c r="BD841" s="1" t="s">
        <v>74</v>
      </c>
      <c r="BE841" s="1" t="s">
        <v>7042</v>
      </c>
      <c r="BF841" s="2" t="str">
        <f>HYPERLINK("http://dx.doi.org/10.1016/j.hydromet.2015.11.003","http://dx.doi.org/10.1016/j.hydromet.2015.11.003")</f>
        <v>http://dx.doi.org/10.1016/j.hydromet.2015.11.003</v>
      </c>
      <c r="BG841" s="1" t="s">
        <v>74</v>
      </c>
      <c r="BH841" s="1" t="s">
        <v>74</v>
      </c>
      <c r="BI841" s="1" t="s">
        <v>74</v>
      </c>
      <c r="BJ841" s="1" t="s">
        <v>74</v>
      </c>
      <c r="BK841" s="1" t="s">
        <v>74</v>
      </c>
      <c r="BL841" s="1" t="s">
        <v>74</v>
      </c>
      <c r="BM841" s="1" t="s">
        <v>74</v>
      </c>
      <c r="BN841" s="1" t="s">
        <v>74</v>
      </c>
      <c r="BO841" s="1" t="s">
        <v>74</v>
      </c>
      <c r="BP841" s="1" t="s">
        <v>74</v>
      </c>
      <c r="BQ841" s="1" t="s">
        <v>74</v>
      </c>
      <c r="BR841" s="1" t="s">
        <v>74</v>
      </c>
      <c r="BS841" s="1" t="s">
        <v>7043</v>
      </c>
      <c r="BT841" s="1" t="str">
        <f>HYPERLINK("https%3A%2F%2Fwww.webofscience.com%2Fwos%2Fwoscc%2Ffull-record%2FWOS:000368949800008","View Full Record in Web of Science")</f>
        <v>View Full Record in Web of Science</v>
      </c>
    </row>
    <row r="842" ht="12.75" customHeight="1">
      <c r="A842" s="1" t="s">
        <v>72</v>
      </c>
      <c r="B842" s="1" t="s">
        <v>7044</v>
      </c>
      <c r="C842" s="1" t="s">
        <v>74</v>
      </c>
      <c r="D842" s="1" t="s">
        <v>74</v>
      </c>
      <c r="E842" s="1" t="s">
        <v>74</v>
      </c>
      <c r="F842" s="1" t="s">
        <v>7045</v>
      </c>
      <c r="G842" s="1" t="s">
        <v>74</v>
      </c>
      <c r="H842" s="1" t="s">
        <v>74</v>
      </c>
      <c r="I842" s="1" t="s">
        <v>7046</v>
      </c>
      <c r="J842" s="1" t="s">
        <v>7047</v>
      </c>
      <c r="K842" s="1" t="s">
        <v>74</v>
      </c>
      <c r="L842" s="1" t="s">
        <v>74</v>
      </c>
      <c r="M842" s="1" t="s">
        <v>74</v>
      </c>
      <c r="N842" s="1" t="s">
        <v>74</v>
      </c>
      <c r="O842" s="1" t="s">
        <v>74</v>
      </c>
      <c r="P842" s="1" t="s">
        <v>74</v>
      </c>
      <c r="Q842" s="1" t="s">
        <v>74</v>
      </c>
      <c r="R842" s="1" t="s">
        <v>74</v>
      </c>
      <c r="S842" s="1" t="s">
        <v>74</v>
      </c>
      <c r="T842" s="1" t="s">
        <v>74</v>
      </c>
      <c r="U842" s="1" t="s">
        <v>74</v>
      </c>
      <c r="V842" s="1" t="s">
        <v>7048</v>
      </c>
      <c r="W842" s="1" t="s">
        <v>74</v>
      </c>
      <c r="X842" s="1" t="s">
        <v>74</v>
      </c>
      <c r="Y842" s="1" t="s">
        <v>74</v>
      </c>
      <c r="Z842" s="1" t="s">
        <v>74</v>
      </c>
      <c r="AA842" s="1" t="s">
        <v>7049</v>
      </c>
      <c r="AB842" s="1" t="s">
        <v>7050</v>
      </c>
      <c r="AC842" s="1" t="s">
        <v>74</v>
      </c>
      <c r="AD842" s="1" t="s">
        <v>74</v>
      </c>
      <c r="AE842" s="1" t="s">
        <v>74</v>
      </c>
      <c r="AF842" s="1" t="s">
        <v>74</v>
      </c>
      <c r="AG842" s="1" t="s">
        <v>74</v>
      </c>
      <c r="AH842" s="1" t="s">
        <v>74</v>
      </c>
      <c r="AI842" s="1" t="s">
        <v>74</v>
      </c>
      <c r="AJ842" s="1" t="s">
        <v>74</v>
      </c>
      <c r="AK842" s="1" t="s">
        <v>74</v>
      </c>
      <c r="AL842" s="1" t="s">
        <v>74</v>
      </c>
      <c r="AM842" s="1" t="s">
        <v>74</v>
      </c>
      <c r="AN842" s="1" t="s">
        <v>74</v>
      </c>
      <c r="AO842" s="1" t="s">
        <v>7051</v>
      </c>
      <c r="AP842" s="1" t="s">
        <v>7052</v>
      </c>
      <c r="AQ842" s="1" t="s">
        <v>74</v>
      </c>
      <c r="AR842" s="1" t="s">
        <v>74</v>
      </c>
      <c r="AS842" s="1" t="s">
        <v>74</v>
      </c>
      <c r="AT842" s="1" t="s">
        <v>88</v>
      </c>
      <c r="AU842" s="1">
        <v>2015.0</v>
      </c>
      <c r="AV842" s="1">
        <v>99.0</v>
      </c>
      <c r="AW842" s="1" t="s">
        <v>74</v>
      </c>
      <c r="AX842" s="1" t="s">
        <v>74</v>
      </c>
      <c r="AY842" s="1" t="s">
        <v>74</v>
      </c>
      <c r="AZ842" s="1" t="s">
        <v>74</v>
      </c>
      <c r="BA842" s="1" t="s">
        <v>74</v>
      </c>
      <c r="BB842" s="1">
        <v>15.0</v>
      </c>
      <c r="BC842" s="1">
        <v>27.0</v>
      </c>
      <c r="BD842" s="1" t="s">
        <v>74</v>
      </c>
      <c r="BE842" s="1" t="s">
        <v>7053</v>
      </c>
      <c r="BF842" s="2" t="str">
        <f>HYPERLINK("http://dx.doi.org/10.1016/j.neuropharm.2015.07.003","http://dx.doi.org/10.1016/j.neuropharm.2015.07.003")</f>
        <v>http://dx.doi.org/10.1016/j.neuropharm.2015.07.003</v>
      </c>
      <c r="BG842" s="1" t="s">
        <v>74</v>
      </c>
      <c r="BH842" s="1" t="s">
        <v>74</v>
      </c>
      <c r="BI842" s="1" t="s">
        <v>74</v>
      </c>
      <c r="BJ842" s="1" t="s">
        <v>74</v>
      </c>
      <c r="BK842" s="1" t="s">
        <v>74</v>
      </c>
      <c r="BL842" s="1" t="s">
        <v>74</v>
      </c>
      <c r="BM842" s="1" t="s">
        <v>74</v>
      </c>
      <c r="BN842" s="1">
        <v>2.616592E7</v>
      </c>
      <c r="BO842" s="1" t="s">
        <v>74</v>
      </c>
      <c r="BP842" s="1" t="s">
        <v>74</v>
      </c>
      <c r="BQ842" s="1" t="s">
        <v>74</v>
      </c>
      <c r="BR842" s="1" t="s">
        <v>74</v>
      </c>
      <c r="BS842" s="1" t="s">
        <v>7054</v>
      </c>
      <c r="BT842" s="1" t="str">
        <f>HYPERLINK("https%3A%2F%2Fwww.webofscience.com%2Fwos%2Fwoscc%2Ffull-record%2FWOS:000366066800003","View Full Record in Web of Science")</f>
        <v>View Full Record in Web of Science</v>
      </c>
    </row>
    <row r="843" ht="12.75" customHeight="1">
      <c r="A843" s="1" t="s">
        <v>72</v>
      </c>
      <c r="B843" s="1" t="s">
        <v>7055</v>
      </c>
      <c r="C843" s="1" t="s">
        <v>74</v>
      </c>
      <c r="D843" s="1" t="s">
        <v>74</v>
      </c>
      <c r="E843" s="1" t="s">
        <v>74</v>
      </c>
      <c r="F843" s="1" t="s">
        <v>7056</v>
      </c>
      <c r="G843" s="1" t="s">
        <v>74</v>
      </c>
      <c r="H843" s="1" t="s">
        <v>74</v>
      </c>
      <c r="I843" s="1" t="s">
        <v>7057</v>
      </c>
      <c r="J843" s="1" t="s">
        <v>7058</v>
      </c>
      <c r="K843" s="1" t="s">
        <v>74</v>
      </c>
      <c r="L843" s="1" t="s">
        <v>74</v>
      </c>
      <c r="M843" s="1" t="s">
        <v>74</v>
      </c>
      <c r="N843" s="1" t="s">
        <v>74</v>
      </c>
      <c r="O843" s="1" t="s">
        <v>74</v>
      </c>
      <c r="P843" s="1" t="s">
        <v>74</v>
      </c>
      <c r="Q843" s="1" t="s">
        <v>74</v>
      </c>
      <c r="R843" s="1" t="s">
        <v>74</v>
      </c>
      <c r="S843" s="1" t="s">
        <v>74</v>
      </c>
      <c r="T843" s="1" t="s">
        <v>74</v>
      </c>
      <c r="U843" s="1" t="s">
        <v>74</v>
      </c>
      <c r="V843" s="1" t="s">
        <v>74</v>
      </c>
      <c r="W843" s="1" t="s">
        <v>74</v>
      </c>
      <c r="X843" s="1" t="s">
        <v>74</v>
      </c>
      <c r="Y843" s="1" t="s">
        <v>74</v>
      </c>
      <c r="Z843" s="1" t="s">
        <v>74</v>
      </c>
      <c r="AA843" s="1" t="s">
        <v>74</v>
      </c>
      <c r="AB843" s="1" t="s">
        <v>74</v>
      </c>
      <c r="AC843" s="1" t="s">
        <v>74</v>
      </c>
      <c r="AD843" s="1" t="s">
        <v>74</v>
      </c>
      <c r="AE843" s="1" t="s">
        <v>74</v>
      </c>
      <c r="AF843" s="1" t="s">
        <v>74</v>
      </c>
      <c r="AG843" s="1" t="s">
        <v>74</v>
      </c>
      <c r="AH843" s="1" t="s">
        <v>74</v>
      </c>
      <c r="AI843" s="1" t="s">
        <v>74</v>
      </c>
      <c r="AJ843" s="1" t="s">
        <v>74</v>
      </c>
      <c r="AK843" s="1" t="s">
        <v>74</v>
      </c>
      <c r="AL843" s="1" t="s">
        <v>74</v>
      </c>
      <c r="AM843" s="1" t="s">
        <v>74</v>
      </c>
      <c r="AN843" s="1" t="s">
        <v>74</v>
      </c>
      <c r="AO843" s="1" t="s">
        <v>7059</v>
      </c>
      <c r="AP843" s="1" t="s">
        <v>7060</v>
      </c>
      <c r="AQ843" s="1" t="s">
        <v>74</v>
      </c>
      <c r="AR843" s="1" t="s">
        <v>74</v>
      </c>
      <c r="AS843" s="1" t="s">
        <v>74</v>
      </c>
      <c r="AT843" s="1" t="s">
        <v>810</v>
      </c>
      <c r="AU843" s="1">
        <v>2015.0</v>
      </c>
      <c r="AV843" s="1">
        <v>35.0</v>
      </c>
      <c r="AW843" s="1">
        <v>105.0</v>
      </c>
      <c r="AX843" s="1" t="s">
        <v>74</v>
      </c>
      <c r="AY843" s="1" t="s">
        <v>74</v>
      </c>
      <c r="AZ843" s="1" t="s">
        <v>74</v>
      </c>
      <c r="BA843" s="1" t="s">
        <v>74</v>
      </c>
      <c r="BB843" s="1">
        <v>389.0</v>
      </c>
      <c r="BC843" s="1">
        <v>392.0</v>
      </c>
      <c r="BD843" s="1" t="s">
        <v>74</v>
      </c>
      <c r="BE843" s="1" t="s">
        <v>74</v>
      </c>
      <c r="BF843" s="1" t="s">
        <v>74</v>
      </c>
      <c r="BG843" s="1" t="s">
        <v>74</v>
      </c>
      <c r="BH843" s="1" t="s">
        <v>74</v>
      </c>
      <c r="BI843" s="1" t="s">
        <v>74</v>
      </c>
      <c r="BJ843" s="1" t="s">
        <v>74</v>
      </c>
      <c r="BK843" s="1" t="s">
        <v>74</v>
      </c>
      <c r="BL843" s="1" t="s">
        <v>74</v>
      </c>
      <c r="BM843" s="1" t="s">
        <v>74</v>
      </c>
      <c r="BN843" s="1" t="s">
        <v>74</v>
      </c>
      <c r="BO843" s="1" t="s">
        <v>74</v>
      </c>
      <c r="BP843" s="1" t="s">
        <v>74</v>
      </c>
      <c r="BQ843" s="1" t="s">
        <v>74</v>
      </c>
      <c r="BR843" s="1" t="s">
        <v>74</v>
      </c>
      <c r="BS843" s="1" t="s">
        <v>7061</v>
      </c>
      <c r="BT843" s="1" t="str">
        <f>HYPERLINK("https%3A%2F%2Fwww.webofscience.com%2Fwos%2Fwoscc%2Ffull-record%2FWOS:000368917400013","View Full Record in Web of Science")</f>
        <v>View Full Record in Web of Science</v>
      </c>
    </row>
    <row r="844" ht="12.75" customHeight="1">
      <c r="A844" s="1" t="s">
        <v>91</v>
      </c>
      <c r="B844" s="1" t="s">
        <v>7062</v>
      </c>
      <c r="C844" s="1" t="s">
        <v>74</v>
      </c>
      <c r="D844" s="1" t="s">
        <v>7063</v>
      </c>
      <c r="E844" s="1" t="s">
        <v>74</v>
      </c>
      <c r="F844" s="1" t="s">
        <v>7064</v>
      </c>
      <c r="G844" s="1" t="s">
        <v>74</v>
      </c>
      <c r="H844" s="1" t="s">
        <v>74</v>
      </c>
      <c r="I844" s="1" t="s">
        <v>7065</v>
      </c>
      <c r="J844" s="1" t="s">
        <v>7066</v>
      </c>
      <c r="K844" s="1" t="s">
        <v>3982</v>
      </c>
      <c r="L844" s="1" t="s">
        <v>74</v>
      </c>
      <c r="M844" s="1" t="s">
        <v>74</v>
      </c>
      <c r="N844" s="1" t="s">
        <v>74</v>
      </c>
      <c r="O844" s="1" t="s">
        <v>7067</v>
      </c>
      <c r="P844" s="1" t="s">
        <v>7068</v>
      </c>
      <c r="Q844" s="1" t="s">
        <v>7069</v>
      </c>
      <c r="R844" s="1" t="s">
        <v>7070</v>
      </c>
      <c r="S844" s="1" t="s">
        <v>74</v>
      </c>
      <c r="T844" s="1" t="s">
        <v>74</v>
      </c>
      <c r="U844" s="1" t="s">
        <v>74</v>
      </c>
      <c r="V844" s="1" t="s">
        <v>7071</v>
      </c>
      <c r="W844" s="1" t="s">
        <v>74</v>
      </c>
      <c r="X844" s="1" t="s">
        <v>74</v>
      </c>
      <c r="Y844" s="1" t="s">
        <v>74</v>
      </c>
      <c r="Z844" s="1" t="s">
        <v>74</v>
      </c>
      <c r="AA844" s="1" t="s">
        <v>7072</v>
      </c>
      <c r="AB844" s="1" t="s">
        <v>7073</v>
      </c>
      <c r="AC844" s="1" t="s">
        <v>74</v>
      </c>
      <c r="AD844" s="1" t="s">
        <v>74</v>
      </c>
      <c r="AE844" s="1" t="s">
        <v>74</v>
      </c>
      <c r="AF844" s="1" t="s">
        <v>74</v>
      </c>
      <c r="AG844" s="1" t="s">
        <v>74</v>
      </c>
      <c r="AH844" s="1" t="s">
        <v>74</v>
      </c>
      <c r="AI844" s="1" t="s">
        <v>74</v>
      </c>
      <c r="AJ844" s="1" t="s">
        <v>74</v>
      </c>
      <c r="AK844" s="1" t="s">
        <v>74</v>
      </c>
      <c r="AL844" s="1" t="s">
        <v>74</v>
      </c>
      <c r="AM844" s="1" t="s">
        <v>74</v>
      </c>
      <c r="AN844" s="1" t="s">
        <v>74</v>
      </c>
      <c r="AO844" s="1" t="s">
        <v>3989</v>
      </c>
      <c r="AP844" s="1" t="s">
        <v>74</v>
      </c>
      <c r="AQ844" s="1" t="s">
        <v>74</v>
      </c>
      <c r="AR844" s="1" t="s">
        <v>74</v>
      </c>
      <c r="AS844" s="1" t="s">
        <v>74</v>
      </c>
      <c r="AT844" s="1" t="s">
        <v>74</v>
      </c>
      <c r="AU844" s="1">
        <v>2015.0</v>
      </c>
      <c r="AV844" s="1">
        <v>55.0</v>
      </c>
      <c r="AW844" s="1" t="s">
        <v>74</v>
      </c>
      <c r="AX844" s="1" t="s">
        <v>74</v>
      </c>
      <c r="AY844" s="1" t="s">
        <v>74</v>
      </c>
      <c r="AZ844" s="1" t="s">
        <v>74</v>
      </c>
      <c r="BA844" s="1" t="s">
        <v>74</v>
      </c>
      <c r="BB844" s="1">
        <v>28.0</v>
      </c>
      <c r="BC844" s="1">
        <v>34.0</v>
      </c>
      <c r="BD844" s="1" t="s">
        <v>74</v>
      </c>
      <c r="BE844" s="1" t="s">
        <v>7074</v>
      </c>
      <c r="BF844" s="2" t="str">
        <f>HYPERLINK("http://dx.doi.org/10.1016/j.procs.2015.07.166","http://dx.doi.org/10.1016/j.procs.2015.07.166")</f>
        <v>http://dx.doi.org/10.1016/j.procs.2015.07.166</v>
      </c>
      <c r="BG844" s="1" t="s">
        <v>74</v>
      </c>
      <c r="BH844" s="1" t="s">
        <v>74</v>
      </c>
      <c r="BI844" s="1" t="s">
        <v>74</v>
      </c>
      <c r="BJ844" s="1" t="s">
        <v>74</v>
      </c>
      <c r="BK844" s="1" t="s">
        <v>74</v>
      </c>
      <c r="BL844" s="1" t="s">
        <v>74</v>
      </c>
      <c r="BM844" s="1" t="s">
        <v>74</v>
      </c>
      <c r="BN844" s="1" t="s">
        <v>74</v>
      </c>
      <c r="BO844" s="1" t="s">
        <v>74</v>
      </c>
      <c r="BP844" s="1" t="s">
        <v>74</v>
      </c>
      <c r="BQ844" s="1" t="s">
        <v>74</v>
      </c>
      <c r="BR844" s="1" t="s">
        <v>74</v>
      </c>
      <c r="BS844" s="1" t="s">
        <v>7075</v>
      </c>
      <c r="BT844" s="1" t="str">
        <f>HYPERLINK("https%3A%2F%2Fwww.webofscience.com%2Fwos%2Fwoscc%2Ffull-record%2FWOS:000360101400003","View Full Record in Web of Science")</f>
        <v>View Full Record in Web of Science</v>
      </c>
    </row>
    <row r="845" ht="12.75" customHeight="1">
      <c r="A845" s="1" t="s">
        <v>91</v>
      </c>
      <c r="B845" s="1" t="s">
        <v>7076</v>
      </c>
      <c r="C845" s="1" t="s">
        <v>74</v>
      </c>
      <c r="D845" s="1" t="s">
        <v>7077</v>
      </c>
      <c r="E845" s="1" t="s">
        <v>74</v>
      </c>
      <c r="F845" s="1" t="s">
        <v>7078</v>
      </c>
      <c r="G845" s="1" t="s">
        <v>74</v>
      </c>
      <c r="H845" s="1" t="s">
        <v>74</v>
      </c>
      <c r="I845" s="1" t="s">
        <v>7079</v>
      </c>
      <c r="J845" s="1" t="s">
        <v>7080</v>
      </c>
      <c r="K845" s="1" t="s">
        <v>7081</v>
      </c>
      <c r="L845" s="1" t="s">
        <v>74</v>
      </c>
      <c r="M845" s="1" t="s">
        <v>74</v>
      </c>
      <c r="N845" s="1" t="s">
        <v>74</v>
      </c>
      <c r="O845" s="1" t="s">
        <v>7082</v>
      </c>
      <c r="P845" s="1" t="s">
        <v>7083</v>
      </c>
      <c r="Q845" s="1" t="s">
        <v>7084</v>
      </c>
      <c r="R845" s="1" t="s">
        <v>74</v>
      </c>
      <c r="S845" s="1" t="s">
        <v>7085</v>
      </c>
      <c r="T845" s="1" t="s">
        <v>74</v>
      </c>
      <c r="U845" s="1" t="s">
        <v>74</v>
      </c>
      <c r="V845" s="1" t="s">
        <v>7086</v>
      </c>
      <c r="W845" s="1" t="s">
        <v>74</v>
      </c>
      <c r="X845" s="1" t="s">
        <v>74</v>
      </c>
      <c r="Y845" s="1" t="s">
        <v>74</v>
      </c>
      <c r="Z845" s="1" t="s">
        <v>74</v>
      </c>
      <c r="AA845" s="1" t="s">
        <v>74</v>
      </c>
      <c r="AB845" s="1" t="s">
        <v>74</v>
      </c>
      <c r="AC845" s="1" t="s">
        <v>74</v>
      </c>
      <c r="AD845" s="1" t="s">
        <v>74</v>
      </c>
      <c r="AE845" s="1" t="s">
        <v>74</v>
      </c>
      <c r="AF845" s="1" t="s">
        <v>74</v>
      </c>
      <c r="AG845" s="1" t="s">
        <v>74</v>
      </c>
      <c r="AH845" s="1" t="s">
        <v>74</v>
      </c>
      <c r="AI845" s="1" t="s">
        <v>74</v>
      </c>
      <c r="AJ845" s="1" t="s">
        <v>74</v>
      </c>
      <c r="AK845" s="1" t="s">
        <v>74</v>
      </c>
      <c r="AL845" s="1" t="s">
        <v>74</v>
      </c>
      <c r="AM845" s="1" t="s">
        <v>74</v>
      </c>
      <c r="AN845" s="1" t="s">
        <v>74</v>
      </c>
      <c r="AO845" s="1" t="s">
        <v>7087</v>
      </c>
      <c r="AP845" s="1" t="s">
        <v>74</v>
      </c>
      <c r="AQ845" s="1" t="s">
        <v>7088</v>
      </c>
      <c r="AR845" s="1" t="s">
        <v>74</v>
      </c>
      <c r="AS845" s="1" t="s">
        <v>74</v>
      </c>
      <c r="AT845" s="1" t="s">
        <v>74</v>
      </c>
      <c r="AU845" s="1">
        <v>2015.0</v>
      </c>
      <c r="AV845" s="1" t="s">
        <v>74</v>
      </c>
      <c r="AW845" s="1" t="s">
        <v>74</v>
      </c>
      <c r="AX845" s="1" t="s">
        <v>74</v>
      </c>
      <c r="AY845" s="1" t="s">
        <v>74</v>
      </c>
      <c r="AZ845" s="1" t="s">
        <v>74</v>
      </c>
      <c r="BA845" s="1" t="s">
        <v>74</v>
      </c>
      <c r="BB845" s="1">
        <v>1011.0</v>
      </c>
      <c r="BC845" s="1">
        <v>1016.0</v>
      </c>
      <c r="BD845" s="1" t="s">
        <v>74</v>
      </c>
      <c r="BE845" s="1" t="s">
        <v>74</v>
      </c>
      <c r="BF845" s="1" t="s">
        <v>74</v>
      </c>
      <c r="BG845" s="1" t="s">
        <v>74</v>
      </c>
      <c r="BH845" s="1" t="s">
        <v>74</v>
      </c>
      <c r="BI845" s="1" t="s">
        <v>74</v>
      </c>
      <c r="BJ845" s="1" t="s">
        <v>74</v>
      </c>
      <c r="BK845" s="1" t="s">
        <v>74</v>
      </c>
      <c r="BL845" s="1" t="s">
        <v>74</v>
      </c>
      <c r="BM845" s="1" t="s">
        <v>74</v>
      </c>
      <c r="BN845" s="1" t="s">
        <v>74</v>
      </c>
      <c r="BO845" s="1" t="s">
        <v>74</v>
      </c>
      <c r="BP845" s="1" t="s">
        <v>74</v>
      </c>
      <c r="BQ845" s="1" t="s">
        <v>74</v>
      </c>
      <c r="BR845" s="1" t="s">
        <v>74</v>
      </c>
      <c r="BS845" s="1" t="s">
        <v>7089</v>
      </c>
      <c r="BT845" s="1" t="str">
        <f>HYPERLINK("https%3A%2F%2Fwww.webofscience.com%2Fwos%2Fwoscc%2Ffull-record%2FWOS:000371802400122","View Full Record in Web of Science")</f>
        <v>View Full Record in Web of Science</v>
      </c>
    </row>
    <row r="846" ht="12.75" customHeight="1">
      <c r="A846" s="1" t="s">
        <v>91</v>
      </c>
      <c r="B846" s="1" t="s">
        <v>7090</v>
      </c>
      <c r="C846" s="1" t="s">
        <v>74</v>
      </c>
      <c r="D846" s="1" t="s">
        <v>74</v>
      </c>
      <c r="E846" s="1" t="s">
        <v>442</v>
      </c>
      <c r="F846" s="1" t="s">
        <v>7091</v>
      </c>
      <c r="G846" s="1" t="s">
        <v>74</v>
      </c>
      <c r="H846" s="1" t="s">
        <v>74</v>
      </c>
      <c r="I846" s="1" t="s">
        <v>7092</v>
      </c>
      <c r="J846" s="1" t="s">
        <v>7093</v>
      </c>
      <c r="K846" s="1" t="s">
        <v>1719</v>
      </c>
      <c r="L846" s="1" t="s">
        <v>74</v>
      </c>
      <c r="M846" s="1" t="s">
        <v>74</v>
      </c>
      <c r="N846" s="1" t="s">
        <v>74</v>
      </c>
      <c r="O846" s="1" t="s">
        <v>7094</v>
      </c>
      <c r="P846" s="1" t="s">
        <v>7095</v>
      </c>
      <c r="Q846" s="1" t="s">
        <v>1758</v>
      </c>
      <c r="R846" s="1" t="s">
        <v>442</v>
      </c>
      <c r="S846" s="1" t="s">
        <v>74</v>
      </c>
      <c r="T846" s="1" t="s">
        <v>74</v>
      </c>
      <c r="U846" s="1" t="s">
        <v>74</v>
      </c>
      <c r="V846" s="1" t="s">
        <v>74</v>
      </c>
      <c r="W846" s="1" t="s">
        <v>74</v>
      </c>
      <c r="X846" s="1" t="s">
        <v>74</v>
      </c>
      <c r="Y846" s="1" t="s">
        <v>74</v>
      </c>
      <c r="Z846" s="1" t="s">
        <v>74</v>
      </c>
      <c r="AA846" s="1" t="s">
        <v>1724</v>
      </c>
      <c r="AB846" s="1" t="s">
        <v>74</v>
      </c>
      <c r="AC846" s="1" t="s">
        <v>74</v>
      </c>
      <c r="AD846" s="1" t="s">
        <v>74</v>
      </c>
      <c r="AE846" s="1" t="s">
        <v>74</v>
      </c>
      <c r="AF846" s="1" t="s">
        <v>74</v>
      </c>
      <c r="AG846" s="1" t="s">
        <v>74</v>
      </c>
      <c r="AH846" s="1" t="s">
        <v>74</v>
      </c>
      <c r="AI846" s="1" t="s">
        <v>74</v>
      </c>
      <c r="AJ846" s="1" t="s">
        <v>74</v>
      </c>
      <c r="AK846" s="1" t="s">
        <v>74</v>
      </c>
      <c r="AL846" s="1" t="s">
        <v>74</v>
      </c>
      <c r="AM846" s="1" t="s">
        <v>74</v>
      </c>
      <c r="AN846" s="1" t="s">
        <v>74</v>
      </c>
      <c r="AO846" s="1" t="s">
        <v>1726</v>
      </c>
      <c r="AP846" s="1" t="s">
        <v>74</v>
      </c>
      <c r="AQ846" s="1" t="s">
        <v>7096</v>
      </c>
      <c r="AR846" s="1" t="s">
        <v>74</v>
      </c>
      <c r="AS846" s="1" t="s">
        <v>74</v>
      </c>
      <c r="AT846" s="1" t="s">
        <v>74</v>
      </c>
      <c r="AU846" s="1">
        <v>2015.0</v>
      </c>
      <c r="AV846" s="1" t="s">
        <v>74</v>
      </c>
      <c r="AW846" s="1" t="s">
        <v>74</v>
      </c>
      <c r="AX846" s="1" t="s">
        <v>74</v>
      </c>
      <c r="AY846" s="1" t="s">
        <v>74</v>
      </c>
      <c r="AZ846" s="1" t="s">
        <v>74</v>
      </c>
      <c r="BA846" s="1" t="s">
        <v>74</v>
      </c>
      <c r="BB846" s="1" t="s">
        <v>74</v>
      </c>
      <c r="BC846" s="1" t="s">
        <v>74</v>
      </c>
      <c r="BD846" s="1" t="s">
        <v>74</v>
      </c>
      <c r="BE846" s="1" t="s">
        <v>74</v>
      </c>
      <c r="BF846" s="1" t="s">
        <v>74</v>
      </c>
      <c r="BG846" s="1" t="s">
        <v>74</v>
      </c>
      <c r="BH846" s="1" t="s">
        <v>74</v>
      </c>
      <c r="BI846" s="1" t="s">
        <v>74</v>
      </c>
      <c r="BJ846" s="1" t="s">
        <v>74</v>
      </c>
      <c r="BK846" s="1" t="s">
        <v>74</v>
      </c>
      <c r="BL846" s="1" t="s">
        <v>74</v>
      </c>
      <c r="BM846" s="1" t="s">
        <v>74</v>
      </c>
      <c r="BN846" s="1" t="s">
        <v>74</v>
      </c>
      <c r="BO846" s="1" t="s">
        <v>74</v>
      </c>
      <c r="BP846" s="1" t="s">
        <v>74</v>
      </c>
      <c r="BQ846" s="1" t="s">
        <v>74</v>
      </c>
      <c r="BR846" s="1" t="s">
        <v>74</v>
      </c>
      <c r="BS846" s="1" t="s">
        <v>7097</v>
      </c>
      <c r="BT846" s="1" t="str">
        <f>HYPERLINK("https%3A%2F%2Fwww.webofscience.com%2Fwos%2Fwoscc%2Ffull-record%2FWOS:000413680600211","View Full Record in Web of Science")</f>
        <v>View Full Record in Web of Science</v>
      </c>
    </row>
    <row r="847" ht="12.75" customHeight="1">
      <c r="A847" s="1" t="s">
        <v>72</v>
      </c>
      <c r="B847" s="1" t="s">
        <v>7098</v>
      </c>
      <c r="C847" s="1" t="s">
        <v>74</v>
      </c>
      <c r="D847" s="1" t="s">
        <v>74</v>
      </c>
      <c r="E847" s="1" t="s">
        <v>74</v>
      </c>
      <c r="F847" s="1" t="s">
        <v>7099</v>
      </c>
      <c r="G847" s="1" t="s">
        <v>74</v>
      </c>
      <c r="H847" s="1" t="s">
        <v>74</v>
      </c>
      <c r="I847" s="1" t="s">
        <v>7100</v>
      </c>
      <c r="J847" s="1" t="s">
        <v>2253</v>
      </c>
      <c r="K847" s="1" t="s">
        <v>74</v>
      </c>
      <c r="L847" s="1" t="s">
        <v>74</v>
      </c>
      <c r="M847" s="1" t="s">
        <v>74</v>
      </c>
      <c r="N847" s="1" t="s">
        <v>74</v>
      </c>
      <c r="O847" s="1" t="s">
        <v>74</v>
      </c>
      <c r="P847" s="1" t="s">
        <v>74</v>
      </c>
      <c r="Q847" s="1" t="s">
        <v>74</v>
      </c>
      <c r="R847" s="1" t="s">
        <v>74</v>
      </c>
      <c r="S847" s="1" t="s">
        <v>74</v>
      </c>
      <c r="T847" s="1" t="s">
        <v>74</v>
      </c>
      <c r="U847" s="1" t="s">
        <v>74</v>
      </c>
      <c r="V847" s="1" t="s">
        <v>7101</v>
      </c>
      <c r="W847" s="1" t="s">
        <v>74</v>
      </c>
      <c r="X847" s="1" t="s">
        <v>74</v>
      </c>
      <c r="Y847" s="1" t="s">
        <v>74</v>
      </c>
      <c r="Z847" s="1" t="s">
        <v>74</v>
      </c>
      <c r="AA847" s="1" t="s">
        <v>74</v>
      </c>
      <c r="AB847" s="1" t="s">
        <v>74</v>
      </c>
      <c r="AC847" s="1" t="s">
        <v>74</v>
      </c>
      <c r="AD847" s="1" t="s">
        <v>74</v>
      </c>
      <c r="AE847" s="1" t="s">
        <v>74</v>
      </c>
      <c r="AF847" s="1" t="s">
        <v>74</v>
      </c>
      <c r="AG847" s="1" t="s">
        <v>74</v>
      </c>
      <c r="AH847" s="1" t="s">
        <v>74</v>
      </c>
      <c r="AI847" s="1" t="s">
        <v>74</v>
      </c>
      <c r="AJ847" s="1" t="s">
        <v>74</v>
      </c>
      <c r="AK847" s="1" t="s">
        <v>74</v>
      </c>
      <c r="AL847" s="1" t="s">
        <v>74</v>
      </c>
      <c r="AM847" s="1" t="s">
        <v>74</v>
      </c>
      <c r="AN847" s="1" t="s">
        <v>74</v>
      </c>
      <c r="AO847" s="1" t="s">
        <v>2255</v>
      </c>
      <c r="AP847" s="1" t="s">
        <v>2256</v>
      </c>
      <c r="AQ847" s="1" t="s">
        <v>74</v>
      </c>
      <c r="AR847" s="1" t="s">
        <v>74</v>
      </c>
      <c r="AS847" s="1" t="s">
        <v>74</v>
      </c>
      <c r="AT847" s="1" t="s">
        <v>74</v>
      </c>
      <c r="AU847" s="1">
        <v>2015.0</v>
      </c>
      <c r="AV847" s="1">
        <v>20.0</v>
      </c>
      <c r="AW847" s="1">
        <v>2.0</v>
      </c>
      <c r="AX847" s="1" t="s">
        <v>74</v>
      </c>
      <c r="AY847" s="1" t="s">
        <v>74</v>
      </c>
      <c r="AZ847" s="1" t="s">
        <v>74</v>
      </c>
      <c r="BA847" s="1" t="s">
        <v>74</v>
      </c>
      <c r="BB847" s="1">
        <v>345.0</v>
      </c>
      <c r="BC847" s="1">
        <v>367.0</v>
      </c>
      <c r="BD847" s="1" t="s">
        <v>74</v>
      </c>
      <c r="BE847" s="1" t="s">
        <v>7102</v>
      </c>
      <c r="BF847" s="2" t="str">
        <f>HYPERLINK("http://dx.doi.org/10.5209/rev_HICS.2015.v20.n2.51388","http://dx.doi.org/10.5209/rev_HICS.2015.v20.n2.51388")</f>
        <v>http://dx.doi.org/10.5209/rev_HICS.2015.v20.n2.51388</v>
      </c>
      <c r="BG847" s="1" t="s">
        <v>74</v>
      </c>
      <c r="BH847" s="1" t="s">
        <v>74</v>
      </c>
      <c r="BI847" s="1" t="s">
        <v>74</v>
      </c>
      <c r="BJ847" s="1" t="s">
        <v>74</v>
      </c>
      <c r="BK847" s="1" t="s">
        <v>74</v>
      </c>
      <c r="BL847" s="1" t="s">
        <v>74</v>
      </c>
      <c r="BM847" s="1" t="s">
        <v>74</v>
      </c>
      <c r="BN847" s="1" t="s">
        <v>74</v>
      </c>
      <c r="BO847" s="1" t="s">
        <v>74</v>
      </c>
      <c r="BP847" s="1" t="s">
        <v>74</v>
      </c>
      <c r="BQ847" s="1" t="s">
        <v>74</v>
      </c>
      <c r="BR847" s="1" t="s">
        <v>74</v>
      </c>
      <c r="BS847" s="1" t="s">
        <v>7103</v>
      </c>
      <c r="BT847" s="1" t="str">
        <f>HYPERLINK("https%3A%2F%2Fwww.webofscience.com%2Fwos%2Fwoscc%2Ffull-record%2FWOS:000370549800004","View Full Record in Web of Science")</f>
        <v>View Full Record in Web of Science</v>
      </c>
    </row>
    <row r="848" ht="12.75" customHeight="1">
      <c r="A848" s="1" t="s">
        <v>72</v>
      </c>
      <c r="B848" s="1" t="s">
        <v>7104</v>
      </c>
      <c r="C848" s="1" t="s">
        <v>74</v>
      </c>
      <c r="D848" s="1" t="s">
        <v>74</v>
      </c>
      <c r="E848" s="1" t="s">
        <v>74</v>
      </c>
      <c r="F848" s="1" t="s">
        <v>7105</v>
      </c>
      <c r="G848" s="1" t="s">
        <v>74</v>
      </c>
      <c r="H848" s="1" t="s">
        <v>74</v>
      </c>
      <c r="I848" s="1" t="s">
        <v>7106</v>
      </c>
      <c r="J848" s="1" t="s">
        <v>7107</v>
      </c>
      <c r="K848" s="1" t="s">
        <v>74</v>
      </c>
      <c r="L848" s="1" t="s">
        <v>74</v>
      </c>
      <c r="M848" s="1" t="s">
        <v>74</v>
      </c>
      <c r="N848" s="1" t="s">
        <v>74</v>
      </c>
      <c r="O848" s="1" t="s">
        <v>74</v>
      </c>
      <c r="P848" s="1" t="s">
        <v>74</v>
      </c>
      <c r="Q848" s="1" t="s">
        <v>74</v>
      </c>
      <c r="R848" s="1" t="s">
        <v>74</v>
      </c>
      <c r="S848" s="1" t="s">
        <v>74</v>
      </c>
      <c r="T848" s="1" t="s">
        <v>74</v>
      </c>
      <c r="U848" s="1" t="s">
        <v>74</v>
      </c>
      <c r="V848" s="1" t="s">
        <v>7108</v>
      </c>
      <c r="W848" s="1" t="s">
        <v>74</v>
      </c>
      <c r="X848" s="1" t="s">
        <v>74</v>
      </c>
      <c r="Y848" s="1" t="s">
        <v>74</v>
      </c>
      <c r="Z848" s="1" t="s">
        <v>74</v>
      </c>
      <c r="AA848" s="1" t="s">
        <v>74</v>
      </c>
      <c r="AB848" s="1" t="s">
        <v>74</v>
      </c>
      <c r="AC848" s="1" t="s">
        <v>74</v>
      </c>
      <c r="AD848" s="1" t="s">
        <v>74</v>
      </c>
      <c r="AE848" s="1" t="s">
        <v>74</v>
      </c>
      <c r="AF848" s="1" t="s">
        <v>74</v>
      </c>
      <c r="AG848" s="1" t="s">
        <v>74</v>
      </c>
      <c r="AH848" s="1" t="s">
        <v>74</v>
      </c>
      <c r="AI848" s="1" t="s">
        <v>74</v>
      </c>
      <c r="AJ848" s="1" t="s">
        <v>74</v>
      </c>
      <c r="AK848" s="1" t="s">
        <v>74</v>
      </c>
      <c r="AL848" s="1" t="s">
        <v>74</v>
      </c>
      <c r="AM848" s="1" t="s">
        <v>74</v>
      </c>
      <c r="AN848" s="1" t="s">
        <v>74</v>
      </c>
      <c r="AO848" s="1" t="s">
        <v>4003</v>
      </c>
      <c r="AP848" s="1" t="s">
        <v>74</v>
      </c>
      <c r="AQ848" s="1" t="s">
        <v>74</v>
      </c>
      <c r="AR848" s="1" t="s">
        <v>74</v>
      </c>
      <c r="AS848" s="1" t="s">
        <v>74</v>
      </c>
      <c r="AT848" s="1" t="s">
        <v>88</v>
      </c>
      <c r="AU848" s="1">
        <v>2014.0</v>
      </c>
      <c r="AV848" s="1" t="s">
        <v>74</v>
      </c>
      <c r="AW848" s="1">
        <v>39.0</v>
      </c>
      <c r="AX848" s="1" t="s">
        <v>74</v>
      </c>
      <c r="AY848" s="1" t="s">
        <v>74</v>
      </c>
      <c r="AZ848" s="1" t="s">
        <v>74</v>
      </c>
      <c r="BA848" s="1" t="s">
        <v>74</v>
      </c>
      <c r="BB848" s="1">
        <v>189.0</v>
      </c>
      <c r="BC848" s="1">
        <v>202.0</v>
      </c>
      <c r="BD848" s="1" t="s">
        <v>74</v>
      </c>
      <c r="BE848" s="1" t="s">
        <v>74</v>
      </c>
      <c r="BF848" s="1" t="s">
        <v>74</v>
      </c>
      <c r="BG848" s="1" t="s">
        <v>74</v>
      </c>
      <c r="BH848" s="1" t="s">
        <v>74</v>
      </c>
      <c r="BI848" s="1" t="s">
        <v>74</v>
      </c>
      <c r="BJ848" s="1" t="s">
        <v>74</v>
      </c>
      <c r="BK848" s="1" t="s">
        <v>74</v>
      </c>
      <c r="BL848" s="1" t="s">
        <v>74</v>
      </c>
      <c r="BM848" s="1" t="s">
        <v>74</v>
      </c>
      <c r="BN848" s="1" t="s">
        <v>74</v>
      </c>
      <c r="BO848" s="1" t="s">
        <v>74</v>
      </c>
      <c r="BP848" s="1" t="s">
        <v>74</v>
      </c>
      <c r="BQ848" s="1" t="s">
        <v>74</v>
      </c>
      <c r="BR848" s="1" t="s">
        <v>74</v>
      </c>
      <c r="BS848" s="1" t="s">
        <v>7109</v>
      </c>
      <c r="BT848" s="1" t="str">
        <f>HYPERLINK("https%3A%2F%2Fwww.webofscience.com%2Fwos%2Fwoscc%2Ffull-record%2FWOS:000348909300013","View Full Record in Web of Science")</f>
        <v>View Full Record in Web of Science</v>
      </c>
    </row>
    <row r="849" ht="12.75" customHeight="1">
      <c r="A849" s="1" t="s">
        <v>72</v>
      </c>
      <c r="B849" s="1" t="s">
        <v>7110</v>
      </c>
      <c r="C849" s="1" t="s">
        <v>74</v>
      </c>
      <c r="D849" s="1" t="s">
        <v>74</v>
      </c>
      <c r="E849" s="1" t="s">
        <v>74</v>
      </c>
      <c r="F849" s="1" t="s">
        <v>7111</v>
      </c>
      <c r="G849" s="1" t="s">
        <v>74</v>
      </c>
      <c r="H849" s="1" t="s">
        <v>74</v>
      </c>
      <c r="I849" s="1" t="s">
        <v>7112</v>
      </c>
      <c r="J849" s="1" t="s">
        <v>1050</v>
      </c>
      <c r="K849" s="1" t="s">
        <v>74</v>
      </c>
      <c r="L849" s="1" t="s">
        <v>74</v>
      </c>
      <c r="M849" s="1" t="s">
        <v>74</v>
      </c>
      <c r="N849" s="1" t="s">
        <v>74</v>
      </c>
      <c r="O849" s="1" t="s">
        <v>74</v>
      </c>
      <c r="P849" s="1" t="s">
        <v>74</v>
      </c>
      <c r="Q849" s="1" t="s">
        <v>74</v>
      </c>
      <c r="R849" s="1" t="s">
        <v>74</v>
      </c>
      <c r="S849" s="1" t="s">
        <v>74</v>
      </c>
      <c r="T849" s="1" t="s">
        <v>74</v>
      </c>
      <c r="U849" s="1" t="s">
        <v>74</v>
      </c>
      <c r="V849" s="1" t="s">
        <v>7113</v>
      </c>
      <c r="W849" s="1" t="s">
        <v>74</v>
      </c>
      <c r="X849" s="1" t="s">
        <v>74</v>
      </c>
      <c r="Y849" s="1" t="s">
        <v>74</v>
      </c>
      <c r="Z849" s="1" t="s">
        <v>74</v>
      </c>
      <c r="AA849" s="1" t="s">
        <v>2208</v>
      </c>
      <c r="AB849" s="1" t="s">
        <v>5425</v>
      </c>
      <c r="AC849" s="1" t="s">
        <v>74</v>
      </c>
      <c r="AD849" s="1" t="s">
        <v>74</v>
      </c>
      <c r="AE849" s="1" t="s">
        <v>74</v>
      </c>
      <c r="AF849" s="1" t="s">
        <v>74</v>
      </c>
      <c r="AG849" s="1" t="s">
        <v>74</v>
      </c>
      <c r="AH849" s="1" t="s">
        <v>74</v>
      </c>
      <c r="AI849" s="1" t="s">
        <v>74</v>
      </c>
      <c r="AJ849" s="1" t="s">
        <v>74</v>
      </c>
      <c r="AK849" s="1" t="s">
        <v>74</v>
      </c>
      <c r="AL849" s="1" t="s">
        <v>74</v>
      </c>
      <c r="AM849" s="1" t="s">
        <v>74</v>
      </c>
      <c r="AN849" s="1" t="s">
        <v>74</v>
      </c>
      <c r="AO849" s="1" t="s">
        <v>1054</v>
      </c>
      <c r="AP849" s="1" t="s">
        <v>74</v>
      </c>
      <c r="AQ849" s="1" t="s">
        <v>74</v>
      </c>
      <c r="AR849" s="1" t="s">
        <v>74</v>
      </c>
      <c r="AS849" s="1" t="s">
        <v>74</v>
      </c>
      <c r="AT849" s="1" t="s">
        <v>88</v>
      </c>
      <c r="AU849" s="1">
        <v>2014.0</v>
      </c>
      <c r="AV849" s="1">
        <v>59.0</v>
      </c>
      <c r="AW849" s="1">
        <v>4.0</v>
      </c>
      <c r="AX849" s="1" t="s">
        <v>74</v>
      </c>
      <c r="AY849" s="1" t="s">
        <v>74</v>
      </c>
      <c r="AZ849" s="1" t="s">
        <v>74</v>
      </c>
      <c r="BA849" s="1" t="s">
        <v>74</v>
      </c>
      <c r="BB849" s="1">
        <v>2681.0</v>
      </c>
      <c r="BC849" s="1">
        <v>2685.0</v>
      </c>
      <c r="BD849" s="1" t="s">
        <v>74</v>
      </c>
      <c r="BE849" s="1" t="s">
        <v>7114</v>
      </c>
      <c r="BF849" s="2" t="str">
        <f>HYPERLINK("http://dx.doi.org/10.4067/S0717-97072014000400011","http://dx.doi.org/10.4067/S0717-97072014000400011")</f>
        <v>http://dx.doi.org/10.4067/S0717-97072014000400011</v>
      </c>
      <c r="BG849" s="1" t="s">
        <v>74</v>
      </c>
      <c r="BH849" s="1" t="s">
        <v>74</v>
      </c>
      <c r="BI849" s="1" t="s">
        <v>74</v>
      </c>
      <c r="BJ849" s="1" t="s">
        <v>74</v>
      </c>
      <c r="BK849" s="1" t="s">
        <v>74</v>
      </c>
      <c r="BL849" s="1" t="s">
        <v>74</v>
      </c>
      <c r="BM849" s="1" t="s">
        <v>74</v>
      </c>
      <c r="BN849" s="1" t="s">
        <v>74</v>
      </c>
      <c r="BO849" s="1" t="s">
        <v>74</v>
      </c>
      <c r="BP849" s="1" t="s">
        <v>74</v>
      </c>
      <c r="BQ849" s="1" t="s">
        <v>74</v>
      </c>
      <c r="BR849" s="1" t="s">
        <v>74</v>
      </c>
      <c r="BS849" s="1" t="s">
        <v>7115</v>
      </c>
      <c r="BT849" s="1" t="str">
        <f>HYPERLINK("https%3A%2F%2Fwww.webofscience.com%2Fwos%2Fwoscc%2Ffull-record%2FWOS:000347834700010","View Full Record in Web of Science")</f>
        <v>View Full Record in Web of Science</v>
      </c>
    </row>
    <row r="850" ht="12.75" customHeight="1">
      <c r="A850" s="1" t="s">
        <v>72</v>
      </c>
      <c r="B850" s="1" t="s">
        <v>7116</v>
      </c>
      <c r="C850" s="1" t="s">
        <v>74</v>
      </c>
      <c r="D850" s="1" t="s">
        <v>74</v>
      </c>
      <c r="E850" s="1" t="s">
        <v>74</v>
      </c>
      <c r="F850" s="1" t="s">
        <v>7117</v>
      </c>
      <c r="G850" s="1" t="s">
        <v>74</v>
      </c>
      <c r="H850" s="1" t="s">
        <v>74</v>
      </c>
      <c r="I850" s="1" t="s">
        <v>7118</v>
      </c>
      <c r="J850" s="1" t="s">
        <v>1050</v>
      </c>
      <c r="K850" s="1" t="s">
        <v>74</v>
      </c>
      <c r="L850" s="1" t="s">
        <v>74</v>
      </c>
      <c r="M850" s="1" t="s">
        <v>74</v>
      </c>
      <c r="N850" s="1" t="s">
        <v>74</v>
      </c>
      <c r="O850" s="1" t="s">
        <v>74</v>
      </c>
      <c r="P850" s="1" t="s">
        <v>74</v>
      </c>
      <c r="Q850" s="1" t="s">
        <v>74</v>
      </c>
      <c r="R850" s="1" t="s">
        <v>74</v>
      </c>
      <c r="S850" s="1" t="s">
        <v>74</v>
      </c>
      <c r="T850" s="1" t="s">
        <v>74</v>
      </c>
      <c r="U850" s="1" t="s">
        <v>74</v>
      </c>
      <c r="V850" s="1" t="s">
        <v>7119</v>
      </c>
      <c r="W850" s="1" t="s">
        <v>74</v>
      </c>
      <c r="X850" s="1" t="s">
        <v>74</v>
      </c>
      <c r="Y850" s="1" t="s">
        <v>74</v>
      </c>
      <c r="Z850" s="1" t="s">
        <v>74</v>
      </c>
      <c r="AA850" s="1" t="s">
        <v>7120</v>
      </c>
      <c r="AB850" s="1" t="s">
        <v>7121</v>
      </c>
      <c r="AC850" s="1" t="s">
        <v>74</v>
      </c>
      <c r="AD850" s="1" t="s">
        <v>74</v>
      </c>
      <c r="AE850" s="1" t="s">
        <v>74</v>
      </c>
      <c r="AF850" s="1" t="s">
        <v>74</v>
      </c>
      <c r="AG850" s="1" t="s">
        <v>74</v>
      </c>
      <c r="AH850" s="1" t="s">
        <v>74</v>
      </c>
      <c r="AI850" s="1" t="s">
        <v>74</v>
      </c>
      <c r="AJ850" s="1" t="s">
        <v>74</v>
      </c>
      <c r="AK850" s="1" t="s">
        <v>74</v>
      </c>
      <c r="AL850" s="1" t="s">
        <v>74</v>
      </c>
      <c r="AM850" s="1" t="s">
        <v>74</v>
      </c>
      <c r="AN850" s="1" t="s">
        <v>74</v>
      </c>
      <c r="AO850" s="1" t="s">
        <v>1054</v>
      </c>
      <c r="AP850" s="1" t="s">
        <v>74</v>
      </c>
      <c r="AQ850" s="1" t="s">
        <v>74</v>
      </c>
      <c r="AR850" s="1" t="s">
        <v>74</v>
      </c>
      <c r="AS850" s="1" t="s">
        <v>74</v>
      </c>
      <c r="AT850" s="1" t="s">
        <v>370</v>
      </c>
      <c r="AU850" s="1">
        <v>2014.0</v>
      </c>
      <c r="AV850" s="1">
        <v>59.0</v>
      </c>
      <c r="AW850" s="1">
        <v>2.0</v>
      </c>
      <c r="AX850" s="1" t="s">
        <v>74</v>
      </c>
      <c r="AY850" s="1" t="s">
        <v>74</v>
      </c>
      <c r="AZ850" s="1" t="s">
        <v>74</v>
      </c>
      <c r="BA850" s="1" t="s">
        <v>74</v>
      </c>
      <c r="BB850" s="1">
        <v>2507.0</v>
      </c>
      <c r="BC850" s="1">
        <v>2511.0</v>
      </c>
      <c r="BD850" s="1" t="s">
        <v>74</v>
      </c>
      <c r="BE850" s="1" t="s">
        <v>7122</v>
      </c>
      <c r="BF850" s="2" t="str">
        <f>HYPERLINK("http://dx.doi.org/10.4067/S0717-97072014000200024","http://dx.doi.org/10.4067/S0717-97072014000200024")</f>
        <v>http://dx.doi.org/10.4067/S0717-97072014000200024</v>
      </c>
      <c r="BG850" s="1" t="s">
        <v>74</v>
      </c>
      <c r="BH850" s="1" t="s">
        <v>74</v>
      </c>
      <c r="BI850" s="1" t="s">
        <v>74</v>
      </c>
      <c r="BJ850" s="1" t="s">
        <v>74</v>
      </c>
      <c r="BK850" s="1" t="s">
        <v>74</v>
      </c>
      <c r="BL850" s="1" t="s">
        <v>74</v>
      </c>
      <c r="BM850" s="1" t="s">
        <v>74</v>
      </c>
      <c r="BN850" s="1" t="s">
        <v>74</v>
      </c>
      <c r="BO850" s="1" t="s">
        <v>74</v>
      </c>
      <c r="BP850" s="1" t="s">
        <v>74</v>
      </c>
      <c r="BQ850" s="1" t="s">
        <v>74</v>
      </c>
      <c r="BR850" s="1" t="s">
        <v>74</v>
      </c>
      <c r="BS850" s="1" t="s">
        <v>7123</v>
      </c>
      <c r="BT850" s="1" t="str">
        <f>HYPERLINK("https%3A%2F%2Fwww.webofscience.com%2Fwos%2Fwoscc%2Ffull-record%2FWOS:000342613100024","View Full Record in Web of Science")</f>
        <v>View Full Record in Web of Science</v>
      </c>
    </row>
    <row r="851" ht="12.75" customHeight="1">
      <c r="A851" s="1" t="s">
        <v>72</v>
      </c>
      <c r="B851" s="1" t="s">
        <v>7124</v>
      </c>
      <c r="C851" s="1" t="s">
        <v>74</v>
      </c>
      <c r="D851" s="1" t="s">
        <v>74</v>
      </c>
      <c r="E851" s="1" t="s">
        <v>74</v>
      </c>
      <c r="F851" s="1" t="s">
        <v>7125</v>
      </c>
      <c r="G851" s="1" t="s">
        <v>74</v>
      </c>
      <c r="H851" s="1" t="s">
        <v>74</v>
      </c>
      <c r="I851" s="1" t="s">
        <v>7126</v>
      </c>
      <c r="J851" s="1" t="s">
        <v>912</v>
      </c>
      <c r="K851" s="1" t="s">
        <v>74</v>
      </c>
      <c r="L851" s="1" t="s">
        <v>74</v>
      </c>
      <c r="M851" s="1" t="s">
        <v>74</v>
      </c>
      <c r="N851" s="1" t="s">
        <v>74</v>
      </c>
      <c r="O851" s="1" t="s">
        <v>74</v>
      </c>
      <c r="P851" s="1" t="s">
        <v>74</v>
      </c>
      <c r="Q851" s="1" t="s">
        <v>74</v>
      </c>
      <c r="R851" s="1" t="s">
        <v>74</v>
      </c>
      <c r="S851" s="1" t="s">
        <v>74</v>
      </c>
      <c r="T851" s="1" t="s">
        <v>74</v>
      </c>
      <c r="U851" s="1" t="s">
        <v>74</v>
      </c>
      <c r="V851" s="1" t="s">
        <v>7127</v>
      </c>
      <c r="W851" s="1" t="s">
        <v>74</v>
      </c>
      <c r="X851" s="1" t="s">
        <v>74</v>
      </c>
      <c r="Y851" s="1" t="s">
        <v>74</v>
      </c>
      <c r="Z851" s="1" t="s">
        <v>74</v>
      </c>
      <c r="AA851" s="1" t="s">
        <v>74</v>
      </c>
      <c r="AB851" s="1" t="s">
        <v>74</v>
      </c>
      <c r="AC851" s="1" t="s">
        <v>74</v>
      </c>
      <c r="AD851" s="1" t="s">
        <v>74</v>
      </c>
      <c r="AE851" s="1" t="s">
        <v>74</v>
      </c>
      <c r="AF851" s="1" t="s">
        <v>74</v>
      </c>
      <c r="AG851" s="1" t="s">
        <v>74</v>
      </c>
      <c r="AH851" s="1" t="s">
        <v>74</v>
      </c>
      <c r="AI851" s="1" t="s">
        <v>74</v>
      </c>
      <c r="AJ851" s="1" t="s">
        <v>74</v>
      </c>
      <c r="AK851" s="1" t="s">
        <v>74</v>
      </c>
      <c r="AL851" s="1" t="s">
        <v>74</v>
      </c>
      <c r="AM851" s="1" t="s">
        <v>74</v>
      </c>
      <c r="AN851" s="1" t="s">
        <v>74</v>
      </c>
      <c r="AO851" s="1" t="s">
        <v>3995</v>
      </c>
      <c r="AP851" s="1" t="s">
        <v>74</v>
      </c>
      <c r="AQ851" s="1" t="s">
        <v>74</v>
      </c>
      <c r="AR851" s="1" t="s">
        <v>74</v>
      </c>
      <c r="AS851" s="1" t="s">
        <v>74</v>
      </c>
      <c r="AT851" s="1" t="s">
        <v>915</v>
      </c>
      <c r="AU851" s="1">
        <v>2014.0</v>
      </c>
      <c r="AV851" s="1">
        <v>47.0</v>
      </c>
      <c r="AW851" s="1">
        <v>2.0</v>
      </c>
      <c r="AX851" s="1" t="s">
        <v>74</v>
      </c>
      <c r="AY851" s="1" t="s">
        <v>74</v>
      </c>
      <c r="AZ851" s="1" t="s">
        <v>74</v>
      </c>
      <c r="BA851" s="1" t="s">
        <v>74</v>
      </c>
      <c r="BB851" s="1">
        <v>401.0</v>
      </c>
      <c r="BC851" s="1">
        <v>441.0</v>
      </c>
      <c r="BD851" s="1" t="s">
        <v>74</v>
      </c>
      <c r="BE851" s="1" t="s">
        <v>7128</v>
      </c>
      <c r="BF851" s="2" t="str">
        <f>HYPERLINK("http://dx.doi.org/10.4067/S0717-71942014000200005","http://dx.doi.org/10.4067/S0717-71942014000200005")</f>
        <v>http://dx.doi.org/10.4067/S0717-71942014000200005</v>
      </c>
      <c r="BG851" s="1" t="s">
        <v>74</v>
      </c>
      <c r="BH851" s="1" t="s">
        <v>74</v>
      </c>
      <c r="BI851" s="1" t="s">
        <v>74</v>
      </c>
      <c r="BJ851" s="1" t="s">
        <v>74</v>
      </c>
      <c r="BK851" s="1" t="s">
        <v>74</v>
      </c>
      <c r="BL851" s="1" t="s">
        <v>74</v>
      </c>
      <c r="BM851" s="1" t="s">
        <v>74</v>
      </c>
      <c r="BN851" s="1" t="s">
        <v>74</v>
      </c>
      <c r="BO851" s="1" t="s">
        <v>74</v>
      </c>
      <c r="BP851" s="1" t="s">
        <v>74</v>
      </c>
      <c r="BQ851" s="1" t="s">
        <v>74</v>
      </c>
      <c r="BR851" s="1" t="s">
        <v>74</v>
      </c>
      <c r="BS851" s="1" t="s">
        <v>7129</v>
      </c>
      <c r="BT851" s="1" t="str">
        <f>HYPERLINK("https%3A%2F%2Fwww.webofscience.com%2Fwos%2Fwoscc%2Ffull-record%2FWOS:000348694600005","View Full Record in Web of Science")</f>
        <v>View Full Record in Web of Science</v>
      </c>
    </row>
    <row r="852" ht="12.75" customHeight="1">
      <c r="A852" s="1" t="s">
        <v>72</v>
      </c>
      <c r="B852" s="1" t="s">
        <v>7130</v>
      </c>
      <c r="C852" s="1" t="s">
        <v>74</v>
      </c>
      <c r="D852" s="1" t="s">
        <v>74</v>
      </c>
      <c r="E852" s="1" t="s">
        <v>74</v>
      </c>
      <c r="F852" s="1" t="s">
        <v>7131</v>
      </c>
      <c r="G852" s="1" t="s">
        <v>74</v>
      </c>
      <c r="H852" s="1" t="s">
        <v>74</v>
      </c>
      <c r="I852" s="1" t="s">
        <v>7132</v>
      </c>
      <c r="J852" s="1" t="s">
        <v>7133</v>
      </c>
      <c r="K852" s="1" t="s">
        <v>74</v>
      </c>
      <c r="L852" s="1" t="s">
        <v>74</v>
      </c>
      <c r="M852" s="1" t="s">
        <v>74</v>
      </c>
      <c r="N852" s="1" t="s">
        <v>74</v>
      </c>
      <c r="O852" s="1" t="s">
        <v>74</v>
      </c>
      <c r="P852" s="1" t="s">
        <v>74</v>
      </c>
      <c r="Q852" s="1" t="s">
        <v>74</v>
      </c>
      <c r="R852" s="1" t="s">
        <v>74</v>
      </c>
      <c r="S852" s="1" t="s">
        <v>74</v>
      </c>
      <c r="T852" s="1" t="s">
        <v>74</v>
      </c>
      <c r="U852" s="1" t="s">
        <v>74</v>
      </c>
      <c r="V852" s="1" t="s">
        <v>7134</v>
      </c>
      <c r="W852" s="1" t="s">
        <v>74</v>
      </c>
      <c r="X852" s="1" t="s">
        <v>74</v>
      </c>
      <c r="Y852" s="1" t="s">
        <v>74</v>
      </c>
      <c r="Z852" s="1" t="s">
        <v>74</v>
      </c>
      <c r="AA852" s="1" t="s">
        <v>7135</v>
      </c>
      <c r="AB852" s="1" t="s">
        <v>7136</v>
      </c>
      <c r="AC852" s="1" t="s">
        <v>74</v>
      </c>
      <c r="AD852" s="1" t="s">
        <v>74</v>
      </c>
      <c r="AE852" s="1" t="s">
        <v>74</v>
      </c>
      <c r="AF852" s="1" t="s">
        <v>74</v>
      </c>
      <c r="AG852" s="1" t="s">
        <v>74</v>
      </c>
      <c r="AH852" s="1" t="s">
        <v>74</v>
      </c>
      <c r="AI852" s="1" t="s">
        <v>74</v>
      </c>
      <c r="AJ852" s="1" t="s">
        <v>74</v>
      </c>
      <c r="AK852" s="1" t="s">
        <v>74</v>
      </c>
      <c r="AL852" s="1" t="s">
        <v>74</v>
      </c>
      <c r="AM852" s="1" t="s">
        <v>74</v>
      </c>
      <c r="AN852" s="1" t="s">
        <v>74</v>
      </c>
      <c r="AO852" s="1" t="s">
        <v>7137</v>
      </c>
      <c r="AP852" s="1" t="s">
        <v>74</v>
      </c>
      <c r="AQ852" s="1" t="s">
        <v>74</v>
      </c>
      <c r="AR852" s="1" t="s">
        <v>74</v>
      </c>
      <c r="AS852" s="1" t="s">
        <v>74</v>
      </c>
      <c r="AT852" s="1" t="s">
        <v>74</v>
      </c>
      <c r="AU852" s="1">
        <v>2014.0</v>
      </c>
      <c r="AV852" s="1">
        <v>14.0</v>
      </c>
      <c r="AW852" s="1">
        <v>3.0</v>
      </c>
      <c r="AX852" s="1" t="s">
        <v>74</v>
      </c>
      <c r="AY852" s="1" t="s">
        <v>74</v>
      </c>
      <c r="AZ852" s="1" t="s">
        <v>74</v>
      </c>
      <c r="BA852" s="1" t="s">
        <v>74</v>
      </c>
      <c r="BB852" s="1">
        <v>1745.0</v>
      </c>
      <c r="BC852" s="1">
        <v>1758.0</v>
      </c>
      <c r="BD852" s="1" t="s">
        <v>74</v>
      </c>
      <c r="BE852" s="1" t="s">
        <v>7138</v>
      </c>
      <c r="BF852" s="2" t="str">
        <f>HYPERLINK("http://dx.doi.org/10.2140/agt.2014.14.1745","http://dx.doi.org/10.2140/agt.2014.14.1745")</f>
        <v>http://dx.doi.org/10.2140/agt.2014.14.1745</v>
      </c>
      <c r="BG852" s="1" t="s">
        <v>74</v>
      </c>
      <c r="BH852" s="1" t="s">
        <v>74</v>
      </c>
      <c r="BI852" s="1" t="s">
        <v>74</v>
      </c>
      <c r="BJ852" s="1" t="s">
        <v>74</v>
      </c>
      <c r="BK852" s="1" t="s">
        <v>74</v>
      </c>
      <c r="BL852" s="1" t="s">
        <v>74</v>
      </c>
      <c r="BM852" s="1" t="s">
        <v>74</v>
      </c>
      <c r="BN852" s="1" t="s">
        <v>74</v>
      </c>
      <c r="BO852" s="1" t="s">
        <v>74</v>
      </c>
      <c r="BP852" s="1" t="s">
        <v>74</v>
      </c>
      <c r="BQ852" s="1" t="s">
        <v>74</v>
      </c>
      <c r="BR852" s="1" t="s">
        <v>74</v>
      </c>
      <c r="BS852" s="1" t="s">
        <v>7139</v>
      </c>
      <c r="BT852" s="1" t="str">
        <f>HYPERLINK("https%3A%2F%2Fwww.webofscience.com%2Fwos%2Fwoscc%2Ffull-record%2FWOS:000336918500016","View Full Record in Web of Science")</f>
        <v>View Full Record in Web of Science</v>
      </c>
    </row>
    <row r="853" ht="12.75" customHeight="1">
      <c r="A853" s="1" t="s">
        <v>72</v>
      </c>
      <c r="B853" s="1" t="s">
        <v>7140</v>
      </c>
      <c r="C853" s="1" t="s">
        <v>74</v>
      </c>
      <c r="D853" s="1" t="s">
        <v>74</v>
      </c>
      <c r="E853" s="1" t="s">
        <v>74</v>
      </c>
      <c r="F853" s="1" t="s">
        <v>7141</v>
      </c>
      <c r="G853" s="1" t="s">
        <v>74</v>
      </c>
      <c r="H853" s="1" t="s">
        <v>74</v>
      </c>
      <c r="I853" s="1" t="s">
        <v>7142</v>
      </c>
      <c r="J853" s="1" t="s">
        <v>1050</v>
      </c>
      <c r="K853" s="1" t="s">
        <v>74</v>
      </c>
      <c r="L853" s="1" t="s">
        <v>74</v>
      </c>
      <c r="M853" s="1" t="s">
        <v>74</v>
      </c>
      <c r="N853" s="1" t="s">
        <v>74</v>
      </c>
      <c r="O853" s="1" t="s">
        <v>74</v>
      </c>
      <c r="P853" s="1" t="s">
        <v>74</v>
      </c>
      <c r="Q853" s="1" t="s">
        <v>74</v>
      </c>
      <c r="R853" s="1" t="s">
        <v>74</v>
      </c>
      <c r="S853" s="1" t="s">
        <v>74</v>
      </c>
      <c r="T853" s="1" t="s">
        <v>74</v>
      </c>
      <c r="U853" s="1" t="s">
        <v>74</v>
      </c>
      <c r="V853" s="1" t="s">
        <v>7143</v>
      </c>
      <c r="W853" s="1" t="s">
        <v>74</v>
      </c>
      <c r="X853" s="1" t="s">
        <v>74</v>
      </c>
      <c r="Y853" s="1" t="s">
        <v>74</v>
      </c>
      <c r="Z853" s="1" t="s">
        <v>74</v>
      </c>
      <c r="AA853" s="1" t="s">
        <v>7144</v>
      </c>
      <c r="AB853" s="1" t="s">
        <v>1015</v>
      </c>
      <c r="AC853" s="1" t="s">
        <v>74</v>
      </c>
      <c r="AD853" s="1" t="s">
        <v>74</v>
      </c>
      <c r="AE853" s="1" t="s">
        <v>74</v>
      </c>
      <c r="AF853" s="1" t="s">
        <v>74</v>
      </c>
      <c r="AG853" s="1" t="s">
        <v>74</v>
      </c>
      <c r="AH853" s="1" t="s">
        <v>74</v>
      </c>
      <c r="AI853" s="1" t="s">
        <v>74</v>
      </c>
      <c r="AJ853" s="1" t="s">
        <v>74</v>
      </c>
      <c r="AK853" s="1" t="s">
        <v>74</v>
      </c>
      <c r="AL853" s="1" t="s">
        <v>74</v>
      </c>
      <c r="AM853" s="1" t="s">
        <v>74</v>
      </c>
      <c r="AN853" s="1" t="s">
        <v>74</v>
      </c>
      <c r="AO853" s="1" t="s">
        <v>1054</v>
      </c>
      <c r="AP853" s="1" t="s">
        <v>74</v>
      </c>
      <c r="AQ853" s="1" t="s">
        <v>74</v>
      </c>
      <c r="AR853" s="1" t="s">
        <v>74</v>
      </c>
      <c r="AS853" s="1" t="s">
        <v>74</v>
      </c>
      <c r="AT853" s="1" t="s">
        <v>88</v>
      </c>
      <c r="AU853" s="1">
        <v>2013.0</v>
      </c>
      <c r="AV853" s="1">
        <v>58.0</v>
      </c>
      <c r="AW853" s="1">
        <v>4.0</v>
      </c>
      <c r="AX853" s="1" t="s">
        <v>74</v>
      </c>
      <c r="AY853" s="1" t="s">
        <v>74</v>
      </c>
      <c r="AZ853" s="1" t="s">
        <v>74</v>
      </c>
      <c r="BA853" s="1" t="s">
        <v>74</v>
      </c>
      <c r="BB853" s="1">
        <v>2089.0</v>
      </c>
      <c r="BC853" s="1">
        <v>2091.0</v>
      </c>
      <c r="BD853" s="1" t="s">
        <v>74</v>
      </c>
      <c r="BE853" s="1" t="s">
        <v>7145</v>
      </c>
      <c r="BF853" s="2" t="str">
        <f>HYPERLINK("http://dx.doi.org/10.4067/S0717-97072013000400041","http://dx.doi.org/10.4067/S0717-97072013000400041")</f>
        <v>http://dx.doi.org/10.4067/S0717-97072013000400041</v>
      </c>
      <c r="BG853" s="1" t="s">
        <v>74</v>
      </c>
      <c r="BH853" s="1" t="s">
        <v>74</v>
      </c>
      <c r="BI853" s="1" t="s">
        <v>74</v>
      </c>
      <c r="BJ853" s="1" t="s">
        <v>74</v>
      </c>
      <c r="BK853" s="1" t="s">
        <v>74</v>
      </c>
      <c r="BL853" s="1" t="s">
        <v>74</v>
      </c>
      <c r="BM853" s="1" t="s">
        <v>74</v>
      </c>
      <c r="BN853" s="1" t="s">
        <v>74</v>
      </c>
      <c r="BO853" s="1" t="s">
        <v>74</v>
      </c>
      <c r="BP853" s="1" t="s">
        <v>74</v>
      </c>
      <c r="BQ853" s="1" t="s">
        <v>74</v>
      </c>
      <c r="BR853" s="1" t="s">
        <v>74</v>
      </c>
      <c r="BS853" s="1" t="s">
        <v>7146</v>
      </c>
      <c r="BT853" s="1" t="str">
        <f>HYPERLINK("https%3A%2F%2Fwww.webofscience.com%2Fwos%2Fwoscc%2Ffull-record%2FWOS:000331238800037","View Full Record in Web of Science")</f>
        <v>View Full Record in Web of Science</v>
      </c>
    </row>
    <row r="854" ht="12.75" customHeight="1">
      <c r="A854" s="1" t="s">
        <v>72</v>
      </c>
      <c r="B854" s="1" t="s">
        <v>7147</v>
      </c>
      <c r="C854" s="1" t="s">
        <v>74</v>
      </c>
      <c r="D854" s="1" t="s">
        <v>74</v>
      </c>
      <c r="E854" s="1" t="s">
        <v>74</v>
      </c>
      <c r="F854" s="1" t="s">
        <v>7148</v>
      </c>
      <c r="G854" s="1" t="s">
        <v>74</v>
      </c>
      <c r="H854" s="1" t="s">
        <v>74</v>
      </c>
      <c r="I854" s="1" t="s">
        <v>7149</v>
      </c>
      <c r="J854" s="1" t="s">
        <v>1050</v>
      </c>
      <c r="K854" s="1" t="s">
        <v>74</v>
      </c>
      <c r="L854" s="1" t="s">
        <v>74</v>
      </c>
      <c r="M854" s="1" t="s">
        <v>74</v>
      </c>
      <c r="N854" s="1" t="s">
        <v>74</v>
      </c>
      <c r="O854" s="1" t="s">
        <v>74</v>
      </c>
      <c r="P854" s="1" t="s">
        <v>74</v>
      </c>
      <c r="Q854" s="1" t="s">
        <v>74</v>
      </c>
      <c r="R854" s="1" t="s">
        <v>74</v>
      </c>
      <c r="S854" s="1" t="s">
        <v>74</v>
      </c>
      <c r="T854" s="1" t="s">
        <v>74</v>
      </c>
      <c r="U854" s="1" t="s">
        <v>74</v>
      </c>
      <c r="V854" s="1" t="s">
        <v>7150</v>
      </c>
      <c r="W854" s="1" t="s">
        <v>74</v>
      </c>
      <c r="X854" s="1" t="s">
        <v>74</v>
      </c>
      <c r="Y854" s="1" t="s">
        <v>74</v>
      </c>
      <c r="Z854" s="1" t="s">
        <v>74</v>
      </c>
      <c r="AA854" s="1" t="s">
        <v>7151</v>
      </c>
      <c r="AB854" s="1" t="s">
        <v>7152</v>
      </c>
      <c r="AC854" s="1" t="s">
        <v>74</v>
      </c>
      <c r="AD854" s="1" t="s">
        <v>74</v>
      </c>
      <c r="AE854" s="1" t="s">
        <v>74</v>
      </c>
      <c r="AF854" s="1" t="s">
        <v>74</v>
      </c>
      <c r="AG854" s="1" t="s">
        <v>74</v>
      </c>
      <c r="AH854" s="1" t="s">
        <v>74</v>
      </c>
      <c r="AI854" s="1" t="s">
        <v>74</v>
      </c>
      <c r="AJ854" s="1" t="s">
        <v>74</v>
      </c>
      <c r="AK854" s="1" t="s">
        <v>74</v>
      </c>
      <c r="AL854" s="1" t="s">
        <v>74</v>
      </c>
      <c r="AM854" s="1" t="s">
        <v>74</v>
      </c>
      <c r="AN854" s="1" t="s">
        <v>74</v>
      </c>
      <c r="AO854" s="1" t="s">
        <v>1054</v>
      </c>
      <c r="AP854" s="1" t="s">
        <v>74</v>
      </c>
      <c r="AQ854" s="1" t="s">
        <v>74</v>
      </c>
      <c r="AR854" s="1" t="s">
        <v>74</v>
      </c>
      <c r="AS854" s="1" t="s">
        <v>74</v>
      </c>
      <c r="AT854" s="1" t="s">
        <v>88</v>
      </c>
      <c r="AU854" s="1">
        <v>2013.0</v>
      </c>
      <c r="AV854" s="1">
        <v>58.0</v>
      </c>
      <c r="AW854" s="1">
        <v>4.0</v>
      </c>
      <c r="AX854" s="1" t="s">
        <v>74</v>
      </c>
      <c r="AY854" s="1" t="s">
        <v>74</v>
      </c>
      <c r="AZ854" s="1" t="s">
        <v>74</v>
      </c>
      <c r="BA854" s="1" t="s">
        <v>74</v>
      </c>
      <c r="BB854" s="1">
        <v>1998.0</v>
      </c>
      <c r="BC854" s="1">
        <v>2000.0</v>
      </c>
      <c r="BD854" s="1" t="s">
        <v>74</v>
      </c>
      <c r="BE854" s="1" t="s">
        <v>7153</v>
      </c>
      <c r="BF854" s="2" t="str">
        <f>HYPERLINK("http://dx.doi.org/10.4067/S0717-97072013000400020","http://dx.doi.org/10.4067/S0717-97072013000400020")</f>
        <v>http://dx.doi.org/10.4067/S0717-97072013000400020</v>
      </c>
      <c r="BG854" s="1" t="s">
        <v>74</v>
      </c>
      <c r="BH854" s="1" t="s">
        <v>74</v>
      </c>
      <c r="BI854" s="1" t="s">
        <v>74</v>
      </c>
      <c r="BJ854" s="1" t="s">
        <v>74</v>
      </c>
      <c r="BK854" s="1" t="s">
        <v>74</v>
      </c>
      <c r="BL854" s="1" t="s">
        <v>74</v>
      </c>
      <c r="BM854" s="1" t="s">
        <v>74</v>
      </c>
      <c r="BN854" s="1" t="s">
        <v>74</v>
      </c>
      <c r="BO854" s="1" t="s">
        <v>74</v>
      </c>
      <c r="BP854" s="1" t="s">
        <v>74</v>
      </c>
      <c r="BQ854" s="1" t="s">
        <v>74</v>
      </c>
      <c r="BR854" s="1" t="s">
        <v>74</v>
      </c>
      <c r="BS854" s="1" t="s">
        <v>7154</v>
      </c>
      <c r="BT854" s="1" t="str">
        <f>HYPERLINK("https%3A%2F%2Fwww.webofscience.com%2Fwos%2Fwoscc%2Ffull-record%2FWOS:000331238800016","View Full Record in Web of Science")</f>
        <v>View Full Record in Web of Science</v>
      </c>
    </row>
    <row r="855" ht="12.75" customHeight="1">
      <c r="A855" s="1" t="s">
        <v>72</v>
      </c>
      <c r="B855" s="1" t="s">
        <v>7155</v>
      </c>
      <c r="C855" s="1" t="s">
        <v>74</v>
      </c>
      <c r="D855" s="1" t="s">
        <v>74</v>
      </c>
      <c r="E855" s="1" t="s">
        <v>74</v>
      </c>
      <c r="F855" s="1" t="s">
        <v>7156</v>
      </c>
      <c r="G855" s="1" t="s">
        <v>74</v>
      </c>
      <c r="H855" s="1" t="s">
        <v>74</v>
      </c>
      <c r="I855" s="1" t="s">
        <v>7157</v>
      </c>
      <c r="J855" s="1" t="s">
        <v>750</v>
      </c>
      <c r="K855" s="1" t="s">
        <v>74</v>
      </c>
      <c r="L855" s="1" t="s">
        <v>74</v>
      </c>
      <c r="M855" s="1" t="s">
        <v>74</v>
      </c>
      <c r="N855" s="1" t="s">
        <v>74</v>
      </c>
      <c r="O855" s="1" t="s">
        <v>74</v>
      </c>
      <c r="P855" s="1" t="s">
        <v>74</v>
      </c>
      <c r="Q855" s="1" t="s">
        <v>74</v>
      </c>
      <c r="R855" s="1" t="s">
        <v>74</v>
      </c>
      <c r="S855" s="1" t="s">
        <v>74</v>
      </c>
      <c r="T855" s="1" t="s">
        <v>74</v>
      </c>
      <c r="U855" s="1" t="s">
        <v>74</v>
      </c>
      <c r="V855" s="1" t="s">
        <v>7158</v>
      </c>
      <c r="W855" s="1" t="s">
        <v>74</v>
      </c>
      <c r="X855" s="1" t="s">
        <v>74</v>
      </c>
      <c r="Y855" s="1" t="s">
        <v>74</v>
      </c>
      <c r="Z855" s="1" t="s">
        <v>74</v>
      </c>
      <c r="AA855" s="1" t="s">
        <v>7159</v>
      </c>
      <c r="AB855" s="1" t="s">
        <v>7160</v>
      </c>
      <c r="AC855" s="1" t="s">
        <v>74</v>
      </c>
      <c r="AD855" s="1" t="s">
        <v>74</v>
      </c>
      <c r="AE855" s="1" t="s">
        <v>74</v>
      </c>
      <c r="AF855" s="1" t="s">
        <v>74</v>
      </c>
      <c r="AG855" s="1" t="s">
        <v>74</v>
      </c>
      <c r="AH855" s="1" t="s">
        <v>74</v>
      </c>
      <c r="AI855" s="1" t="s">
        <v>74</v>
      </c>
      <c r="AJ855" s="1" t="s">
        <v>74</v>
      </c>
      <c r="AK855" s="1" t="s">
        <v>74</v>
      </c>
      <c r="AL855" s="1" t="s">
        <v>74</v>
      </c>
      <c r="AM855" s="1" t="s">
        <v>74</v>
      </c>
      <c r="AN855" s="1" t="s">
        <v>74</v>
      </c>
      <c r="AO855" s="1" t="s">
        <v>754</v>
      </c>
      <c r="AP855" s="1" t="s">
        <v>74</v>
      </c>
      <c r="AQ855" s="1" t="s">
        <v>74</v>
      </c>
      <c r="AR855" s="1" t="s">
        <v>74</v>
      </c>
      <c r="AS855" s="1" t="s">
        <v>74</v>
      </c>
      <c r="AT855" s="1" t="s">
        <v>755</v>
      </c>
      <c r="AU855" s="1">
        <v>2013.0</v>
      </c>
      <c r="AV855" s="1">
        <v>16.0</v>
      </c>
      <c r="AW855" s="1">
        <v>4.0</v>
      </c>
      <c r="AX855" s="1" t="s">
        <v>74</v>
      </c>
      <c r="AY855" s="1" t="s">
        <v>74</v>
      </c>
      <c r="AZ855" s="1" t="s">
        <v>74</v>
      </c>
      <c r="BA855" s="1" t="s">
        <v>74</v>
      </c>
      <c r="BB855" s="1" t="s">
        <v>74</v>
      </c>
      <c r="BC855" s="1" t="s">
        <v>74</v>
      </c>
      <c r="BD855" s="1">
        <v>8.0</v>
      </c>
      <c r="BE855" s="1" t="s">
        <v>7161</v>
      </c>
      <c r="BF855" s="2" t="str">
        <f>HYPERLINK("http://dx.doi.org/10.2225/vol16-issue4-fulltext-8","http://dx.doi.org/10.2225/vol16-issue4-fulltext-8")</f>
        <v>http://dx.doi.org/10.2225/vol16-issue4-fulltext-8</v>
      </c>
      <c r="BG855" s="1" t="s">
        <v>74</v>
      </c>
      <c r="BH855" s="1" t="s">
        <v>74</v>
      </c>
      <c r="BI855" s="1" t="s">
        <v>74</v>
      </c>
      <c r="BJ855" s="1" t="s">
        <v>74</v>
      </c>
      <c r="BK855" s="1" t="s">
        <v>74</v>
      </c>
      <c r="BL855" s="1" t="s">
        <v>74</v>
      </c>
      <c r="BM855" s="1" t="s">
        <v>74</v>
      </c>
      <c r="BN855" s="1" t="s">
        <v>74</v>
      </c>
      <c r="BO855" s="1" t="s">
        <v>74</v>
      </c>
      <c r="BP855" s="1" t="s">
        <v>74</v>
      </c>
      <c r="BQ855" s="1" t="s">
        <v>74</v>
      </c>
      <c r="BR855" s="1" t="s">
        <v>74</v>
      </c>
      <c r="BS855" s="1" t="s">
        <v>7162</v>
      </c>
      <c r="BT855" s="1" t="str">
        <f>HYPERLINK("https%3A%2F%2Fwww.webofscience.com%2Fwos%2Fwoscc%2Ffull-record%2FWOS:000328339600013","View Full Record in Web of Science")</f>
        <v>View Full Record in Web of Science</v>
      </c>
    </row>
    <row r="856" ht="12.75" customHeight="1">
      <c r="A856" s="1" t="s">
        <v>72</v>
      </c>
      <c r="B856" s="1" t="s">
        <v>7163</v>
      </c>
      <c r="C856" s="1" t="s">
        <v>74</v>
      </c>
      <c r="D856" s="1" t="s">
        <v>74</v>
      </c>
      <c r="E856" s="1" t="s">
        <v>74</v>
      </c>
      <c r="F856" s="1" t="s">
        <v>7164</v>
      </c>
      <c r="G856" s="1" t="s">
        <v>74</v>
      </c>
      <c r="H856" s="1" t="s">
        <v>74</v>
      </c>
      <c r="I856" s="1" t="s">
        <v>7165</v>
      </c>
      <c r="J856" s="1" t="s">
        <v>900</v>
      </c>
      <c r="K856" s="1" t="s">
        <v>74</v>
      </c>
      <c r="L856" s="1" t="s">
        <v>74</v>
      </c>
      <c r="M856" s="1" t="s">
        <v>74</v>
      </c>
      <c r="N856" s="1" t="s">
        <v>74</v>
      </c>
      <c r="O856" s="1" t="s">
        <v>74</v>
      </c>
      <c r="P856" s="1" t="s">
        <v>74</v>
      </c>
      <c r="Q856" s="1" t="s">
        <v>74</v>
      </c>
      <c r="R856" s="1" t="s">
        <v>74</v>
      </c>
      <c r="S856" s="1" t="s">
        <v>74</v>
      </c>
      <c r="T856" s="1" t="s">
        <v>74</v>
      </c>
      <c r="U856" s="1" t="s">
        <v>74</v>
      </c>
      <c r="V856" s="1" t="s">
        <v>7166</v>
      </c>
      <c r="W856" s="1" t="s">
        <v>74</v>
      </c>
      <c r="X856" s="1" t="s">
        <v>74</v>
      </c>
      <c r="Y856" s="1" t="s">
        <v>74</v>
      </c>
      <c r="Z856" s="1" t="s">
        <v>74</v>
      </c>
      <c r="AA856" s="1" t="s">
        <v>74</v>
      </c>
      <c r="AB856" s="1" t="s">
        <v>7167</v>
      </c>
      <c r="AC856" s="1" t="s">
        <v>74</v>
      </c>
      <c r="AD856" s="1" t="s">
        <v>74</v>
      </c>
      <c r="AE856" s="1" t="s">
        <v>74</v>
      </c>
      <c r="AF856" s="1" t="s">
        <v>74</v>
      </c>
      <c r="AG856" s="1" t="s">
        <v>74</v>
      </c>
      <c r="AH856" s="1" t="s">
        <v>74</v>
      </c>
      <c r="AI856" s="1" t="s">
        <v>74</v>
      </c>
      <c r="AJ856" s="1" t="s">
        <v>74</v>
      </c>
      <c r="AK856" s="1" t="s">
        <v>74</v>
      </c>
      <c r="AL856" s="1" t="s">
        <v>74</v>
      </c>
      <c r="AM856" s="1" t="s">
        <v>74</v>
      </c>
      <c r="AN856" s="1" t="s">
        <v>74</v>
      </c>
      <c r="AO856" s="1" t="s">
        <v>904</v>
      </c>
      <c r="AP856" s="1" t="s">
        <v>905</v>
      </c>
      <c r="AQ856" s="1" t="s">
        <v>74</v>
      </c>
      <c r="AR856" s="1" t="s">
        <v>74</v>
      </c>
      <c r="AS856" s="1" t="s">
        <v>74</v>
      </c>
      <c r="AT856" s="1" t="s">
        <v>148</v>
      </c>
      <c r="AU856" s="1">
        <v>2013.0</v>
      </c>
      <c r="AV856" s="1">
        <v>79.0</v>
      </c>
      <c r="AW856" s="1" t="s">
        <v>74</v>
      </c>
      <c r="AX856" s="1" t="s">
        <v>74</v>
      </c>
      <c r="AY856" s="1" t="s">
        <v>74</v>
      </c>
      <c r="AZ856" s="1" t="s">
        <v>74</v>
      </c>
      <c r="BA856" s="1" t="s">
        <v>74</v>
      </c>
      <c r="BB856" s="1">
        <v>190.0</v>
      </c>
      <c r="BC856" s="1">
        <v>203.0</v>
      </c>
      <c r="BD856" s="1" t="s">
        <v>74</v>
      </c>
      <c r="BE856" s="1" t="s">
        <v>7168</v>
      </c>
      <c r="BF856" s="2" t="str">
        <f>HYPERLINK("http://dx.doi.org/10.1016/j.na.2012.10.022","http://dx.doi.org/10.1016/j.na.2012.10.022")</f>
        <v>http://dx.doi.org/10.1016/j.na.2012.10.022</v>
      </c>
      <c r="BG856" s="1" t="s">
        <v>74</v>
      </c>
      <c r="BH856" s="1" t="s">
        <v>74</v>
      </c>
      <c r="BI856" s="1" t="s">
        <v>74</v>
      </c>
      <c r="BJ856" s="1" t="s">
        <v>74</v>
      </c>
      <c r="BK856" s="1" t="s">
        <v>74</v>
      </c>
      <c r="BL856" s="1" t="s">
        <v>74</v>
      </c>
      <c r="BM856" s="1" t="s">
        <v>74</v>
      </c>
      <c r="BN856" s="1" t="s">
        <v>74</v>
      </c>
      <c r="BO856" s="1" t="s">
        <v>74</v>
      </c>
      <c r="BP856" s="1" t="s">
        <v>74</v>
      </c>
      <c r="BQ856" s="1" t="s">
        <v>74</v>
      </c>
      <c r="BR856" s="1" t="s">
        <v>74</v>
      </c>
      <c r="BS856" s="1" t="s">
        <v>7169</v>
      </c>
      <c r="BT856" s="1" t="str">
        <f>HYPERLINK("https%3A%2F%2Fwww.webofscience.com%2Fwos%2Fwoscc%2Ffull-record%2FWOS:000313933400015","View Full Record in Web of Science")</f>
        <v>View Full Record in Web of Science</v>
      </c>
    </row>
    <row r="857" ht="12.75" customHeight="1">
      <c r="A857" s="1" t="s">
        <v>72</v>
      </c>
      <c r="B857" s="1" t="s">
        <v>7170</v>
      </c>
      <c r="C857" s="1" t="s">
        <v>74</v>
      </c>
      <c r="D857" s="1" t="s">
        <v>74</v>
      </c>
      <c r="E857" s="1" t="s">
        <v>74</v>
      </c>
      <c r="F857" s="1" t="s">
        <v>7171</v>
      </c>
      <c r="G857" s="1" t="s">
        <v>74</v>
      </c>
      <c r="H857" s="1" t="s">
        <v>74</v>
      </c>
      <c r="I857" s="1" t="s">
        <v>7172</v>
      </c>
      <c r="J857" s="1" t="s">
        <v>7173</v>
      </c>
      <c r="K857" s="1" t="s">
        <v>74</v>
      </c>
      <c r="L857" s="1" t="s">
        <v>74</v>
      </c>
      <c r="M857" s="1" t="s">
        <v>74</v>
      </c>
      <c r="N857" s="1" t="s">
        <v>74</v>
      </c>
      <c r="O857" s="1" t="s">
        <v>74</v>
      </c>
      <c r="P857" s="1" t="s">
        <v>74</v>
      </c>
      <c r="Q857" s="1" t="s">
        <v>74</v>
      </c>
      <c r="R857" s="1" t="s">
        <v>74</v>
      </c>
      <c r="S857" s="1" t="s">
        <v>74</v>
      </c>
      <c r="T857" s="1" t="s">
        <v>74</v>
      </c>
      <c r="U857" s="1" t="s">
        <v>74</v>
      </c>
      <c r="V857" s="1" t="s">
        <v>7174</v>
      </c>
      <c r="W857" s="1" t="s">
        <v>74</v>
      </c>
      <c r="X857" s="1" t="s">
        <v>74</v>
      </c>
      <c r="Y857" s="1" t="s">
        <v>74</v>
      </c>
      <c r="Z857" s="1" t="s">
        <v>74</v>
      </c>
      <c r="AA857" s="1" t="s">
        <v>7175</v>
      </c>
      <c r="AB857" s="1" t="s">
        <v>4661</v>
      </c>
      <c r="AC857" s="1" t="s">
        <v>74</v>
      </c>
      <c r="AD857" s="1" t="s">
        <v>74</v>
      </c>
      <c r="AE857" s="1" t="s">
        <v>74</v>
      </c>
      <c r="AF857" s="1" t="s">
        <v>74</v>
      </c>
      <c r="AG857" s="1" t="s">
        <v>74</v>
      </c>
      <c r="AH857" s="1" t="s">
        <v>74</v>
      </c>
      <c r="AI857" s="1" t="s">
        <v>74</v>
      </c>
      <c r="AJ857" s="1" t="s">
        <v>74</v>
      </c>
      <c r="AK857" s="1" t="s">
        <v>74</v>
      </c>
      <c r="AL857" s="1" t="s">
        <v>74</v>
      </c>
      <c r="AM857" s="1" t="s">
        <v>74</v>
      </c>
      <c r="AN857" s="1" t="s">
        <v>74</v>
      </c>
      <c r="AO857" s="1" t="s">
        <v>7176</v>
      </c>
      <c r="AP857" s="1" t="s">
        <v>74</v>
      </c>
      <c r="AQ857" s="1" t="s">
        <v>74</v>
      </c>
      <c r="AR857" s="1" t="s">
        <v>74</v>
      </c>
      <c r="AS857" s="1" t="s">
        <v>74</v>
      </c>
      <c r="AT857" s="1" t="s">
        <v>276</v>
      </c>
      <c r="AU857" s="1">
        <v>2012.0</v>
      </c>
      <c r="AV857" s="1">
        <v>165.0</v>
      </c>
      <c r="AW857" s="1">
        <v>6.0</v>
      </c>
      <c r="AX857" s="1" t="s">
        <v>74</v>
      </c>
      <c r="AY857" s="1" t="s">
        <v>74</v>
      </c>
      <c r="AZ857" s="1" t="s">
        <v>74</v>
      </c>
      <c r="BA857" s="1" t="s">
        <v>74</v>
      </c>
      <c r="BB857" s="1">
        <v>656.0</v>
      </c>
      <c r="BC857" s="1">
        <v>661.0</v>
      </c>
      <c r="BD857" s="1" t="s">
        <v>74</v>
      </c>
      <c r="BE857" s="1" t="s">
        <v>7177</v>
      </c>
      <c r="BF857" s="2" t="str">
        <f>HYPERLINK("http://dx.doi.org/10.1016/j.chemphyslip.2012.07.001","http://dx.doi.org/10.1016/j.chemphyslip.2012.07.001")</f>
        <v>http://dx.doi.org/10.1016/j.chemphyslip.2012.07.001</v>
      </c>
      <c r="BG857" s="1" t="s">
        <v>74</v>
      </c>
      <c r="BH857" s="1" t="s">
        <v>74</v>
      </c>
      <c r="BI857" s="1" t="s">
        <v>74</v>
      </c>
      <c r="BJ857" s="1" t="s">
        <v>74</v>
      </c>
      <c r="BK857" s="1" t="s">
        <v>74</v>
      </c>
      <c r="BL857" s="1" t="s">
        <v>74</v>
      </c>
      <c r="BM857" s="1" t="s">
        <v>74</v>
      </c>
      <c r="BN857" s="1">
        <v>2.279635E7</v>
      </c>
      <c r="BO857" s="1" t="s">
        <v>74</v>
      </c>
      <c r="BP857" s="1" t="s">
        <v>74</v>
      </c>
      <c r="BQ857" s="1" t="s">
        <v>74</v>
      </c>
      <c r="BR857" s="1" t="s">
        <v>74</v>
      </c>
      <c r="BS857" s="1" t="s">
        <v>7178</v>
      </c>
      <c r="BT857" s="1" t="str">
        <f>HYPERLINK("https%3A%2F%2Fwww.webofscience.com%2Fwos%2Fwoscc%2Ffull-record%2FWOS:000309084400005","View Full Record in Web of Science")</f>
        <v>View Full Record in Web of Science</v>
      </c>
    </row>
    <row r="858" ht="12.75" customHeight="1">
      <c r="A858" s="1" t="s">
        <v>72</v>
      </c>
      <c r="B858" s="1" t="s">
        <v>7179</v>
      </c>
      <c r="C858" s="1" t="s">
        <v>74</v>
      </c>
      <c r="D858" s="1" t="s">
        <v>74</v>
      </c>
      <c r="E858" s="1" t="s">
        <v>74</v>
      </c>
      <c r="F858" s="1" t="s">
        <v>7180</v>
      </c>
      <c r="G858" s="1" t="s">
        <v>74</v>
      </c>
      <c r="H858" s="1" t="s">
        <v>74</v>
      </c>
      <c r="I858" s="1" t="s">
        <v>7181</v>
      </c>
      <c r="J858" s="1" t="s">
        <v>2502</v>
      </c>
      <c r="K858" s="1" t="s">
        <v>74</v>
      </c>
      <c r="L858" s="1" t="s">
        <v>74</v>
      </c>
      <c r="M858" s="1" t="s">
        <v>74</v>
      </c>
      <c r="N858" s="1" t="s">
        <v>74</v>
      </c>
      <c r="O858" s="1" t="s">
        <v>74</v>
      </c>
      <c r="P858" s="1" t="s">
        <v>74</v>
      </c>
      <c r="Q858" s="1" t="s">
        <v>74</v>
      </c>
      <c r="R858" s="1" t="s">
        <v>74</v>
      </c>
      <c r="S858" s="1" t="s">
        <v>74</v>
      </c>
      <c r="T858" s="1" t="s">
        <v>74</v>
      </c>
      <c r="U858" s="1" t="s">
        <v>74</v>
      </c>
      <c r="V858" s="1" t="s">
        <v>7182</v>
      </c>
      <c r="W858" s="1" t="s">
        <v>74</v>
      </c>
      <c r="X858" s="1" t="s">
        <v>74</v>
      </c>
      <c r="Y858" s="1" t="s">
        <v>74</v>
      </c>
      <c r="Z858" s="1" t="s">
        <v>74</v>
      </c>
      <c r="AA858" s="1" t="s">
        <v>7183</v>
      </c>
      <c r="AB858" s="1" t="s">
        <v>7184</v>
      </c>
      <c r="AC858" s="1" t="s">
        <v>74</v>
      </c>
      <c r="AD858" s="1" t="s">
        <v>74</v>
      </c>
      <c r="AE858" s="1" t="s">
        <v>74</v>
      </c>
      <c r="AF858" s="1" t="s">
        <v>74</v>
      </c>
      <c r="AG858" s="1" t="s">
        <v>74</v>
      </c>
      <c r="AH858" s="1" t="s">
        <v>74</v>
      </c>
      <c r="AI858" s="1" t="s">
        <v>74</v>
      </c>
      <c r="AJ858" s="1" t="s">
        <v>74</v>
      </c>
      <c r="AK858" s="1" t="s">
        <v>74</v>
      </c>
      <c r="AL858" s="1" t="s">
        <v>74</v>
      </c>
      <c r="AM858" s="1" t="s">
        <v>74</v>
      </c>
      <c r="AN858" s="1" t="s">
        <v>74</v>
      </c>
      <c r="AO858" s="1" t="s">
        <v>2505</v>
      </c>
      <c r="AP858" s="1" t="s">
        <v>74</v>
      </c>
      <c r="AQ858" s="1" t="s">
        <v>74</v>
      </c>
      <c r="AR858" s="1" t="s">
        <v>74</v>
      </c>
      <c r="AS858" s="1" t="s">
        <v>74</v>
      </c>
      <c r="AT858" s="1" t="s">
        <v>370</v>
      </c>
      <c r="AU858" s="1">
        <v>2012.0</v>
      </c>
      <c r="AV858" s="1">
        <v>11.0</v>
      </c>
      <c r="AW858" s="1">
        <v>4.0</v>
      </c>
      <c r="AX858" s="1" t="s">
        <v>74</v>
      </c>
      <c r="AY858" s="1" t="s">
        <v>74</v>
      </c>
      <c r="AZ858" s="1" t="s">
        <v>74</v>
      </c>
      <c r="BA858" s="1" t="s">
        <v>74</v>
      </c>
      <c r="BB858" s="1">
        <v>369.0</v>
      </c>
      <c r="BC858" s="1">
        <v>376.0</v>
      </c>
      <c r="BD858" s="1" t="s">
        <v>74</v>
      </c>
      <c r="BE858" s="1" t="s">
        <v>74</v>
      </c>
      <c r="BF858" s="1" t="s">
        <v>74</v>
      </c>
      <c r="BG858" s="1" t="s">
        <v>74</v>
      </c>
      <c r="BH858" s="1" t="s">
        <v>74</v>
      </c>
      <c r="BI858" s="1" t="s">
        <v>74</v>
      </c>
      <c r="BJ858" s="1" t="s">
        <v>74</v>
      </c>
      <c r="BK858" s="1" t="s">
        <v>74</v>
      </c>
      <c r="BL858" s="1" t="s">
        <v>74</v>
      </c>
      <c r="BM858" s="1" t="s">
        <v>74</v>
      </c>
      <c r="BN858" s="1" t="s">
        <v>74</v>
      </c>
      <c r="BO858" s="1" t="s">
        <v>74</v>
      </c>
      <c r="BP858" s="1" t="s">
        <v>74</v>
      </c>
      <c r="BQ858" s="1" t="s">
        <v>74</v>
      </c>
      <c r="BR858" s="1" t="s">
        <v>74</v>
      </c>
      <c r="BS858" s="1" t="s">
        <v>7185</v>
      </c>
      <c r="BT858" s="1" t="str">
        <f>HYPERLINK("https%3A%2F%2Fwww.webofscience.com%2Fwos%2Fwoscc%2Ffull-record%2FWOS:000306704900009","View Full Record in Web of Science")</f>
        <v>View Full Record in Web of Science</v>
      </c>
    </row>
    <row r="859" ht="12.75" customHeight="1">
      <c r="A859" s="1" t="s">
        <v>72</v>
      </c>
      <c r="B859" s="1" t="s">
        <v>2499</v>
      </c>
      <c r="C859" s="1" t="s">
        <v>74</v>
      </c>
      <c r="D859" s="1" t="s">
        <v>74</v>
      </c>
      <c r="E859" s="1" t="s">
        <v>74</v>
      </c>
      <c r="F859" s="1" t="s">
        <v>2500</v>
      </c>
      <c r="G859" s="1" t="s">
        <v>74</v>
      </c>
      <c r="H859" s="1" t="s">
        <v>74</v>
      </c>
      <c r="I859" s="1" t="s">
        <v>7186</v>
      </c>
      <c r="J859" s="1" t="s">
        <v>2502</v>
      </c>
      <c r="K859" s="1" t="s">
        <v>74</v>
      </c>
      <c r="L859" s="1" t="s">
        <v>74</v>
      </c>
      <c r="M859" s="1" t="s">
        <v>74</v>
      </c>
      <c r="N859" s="1" t="s">
        <v>74</v>
      </c>
      <c r="O859" s="1" t="s">
        <v>74</v>
      </c>
      <c r="P859" s="1" t="s">
        <v>74</v>
      </c>
      <c r="Q859" s="1" t="s">
        <v>74</v>
      </c>
      <c r="R859" s="1" t="s">
        <v>74</v>
      </c>
      <c r="S859" s="1" t="s">
        <v>74</v>
      </c>
      <c r="T859" s="1" t="s">
        <v>74</v>
      </c>
      <c r="U859" s="1" t="s">
        <v>74</v>
      </c>
      <c r="V859" s="1" t="s">
        <v>74</v>
      </c>
      <c r="W859" s="1" t="s">
        <v>74</v>
      </c>
      <c r="X859" s="1" t="s">
        <v>74</v>
      </c>
      <c r="Y859" s="1" t="s">
        <v>74</v>
      </c>
      <c r="Z859" s="1" t="s">
        <v>74</v>
      </c>
      <c r="AA859" s="1" t="s">
        <v>7187</v>
      </c>
      <c r="AB859" s="1" t="s">
        <v>2504</v>
      </c>
      <c r="AC859" s="1" t="s">
        <v>74</v>
      </c>
      <c r="AD859" s="1" t="s">
        <v>74</v>
      </c>
      <c r="AE859" s="1" t="s">
        <v>74</v>
      </c>
      <c r="AF859" s="1" t="s">
        <v>74</v>
      </c>
      <c r="AG859" s="1" t="s">
        <v>74</v>
      </c>
      <c r="AH859" s="1" t="s">
        <v>74</v>
      </c>
      <c r="AI859" s="1" t="s">
        <v>74</v>
      </c>
      <c r="AJ859" s="1" t="s">
        <v>74</v>
      </c>
      <c r="AK859" s="1" t="s">
        <v>74</v>
      </c>
      <c r="AL859" s="1" t="s">
        <v>74</v>
      </c>
      <c r="AM859" s="1" t="s">
        <v>74</v>
      </c>
      <c r="AN859" s="1" t="s">
        <v>74</v>
      </c>
      <c r="AO859" s="1" t="s">
        <v>2505</v>
      </c>
      <c r="AP859" s="1" t="s">
        <v>74</v>
      </c>
      <c r="AQ859" s="1" t="s">
        <v>74</v>
      </c>
      <c r="AR859" s="1" t="s">
        <v>74</v>
      </c>
      <c r="AS859" s="1" t="s">
        <v>74</v>
      </c>
      <c r="AT859" s="1" t="s">
        <v>429</v>
      </c>
      <c r="AU859" s="1">
        <v>2012.0</v>
      </c>
      <c r="AV859" s="1">
        <v>11.0</v>
      </c>
      <c r="AW859" s="1">
        <v>3.0</v>
      </c>
      <c r="AX859" s="1" t="s">
        <v>74</v>
      </c>
      <c r="AY859" s="1" t="s">
        <v>74</v>
      </c>
      <c r="AZ859" s="1" t="s">
        <v>74</v>
      </c>
      <c r="BA859" s="1" t="s">
        <v>74</v>
      </c>
      <c r="BB859" s="1">
        <v>206.0</v>
      </c>
      <c r="BC859" s="1">
        <v>207.0</v>
      </c>
      <c r="BD859" s="1" t="s">
        <v>74</v>
      </c>
      <c r="BE859" s="1" t="s">
        <v>74</v>
      </c>
      <c r="BF859" s="1" t="s">
        <v>74</v>
      </c>
      <c r="BG859" s="1" t="s">
        <v>74</v>
      </c>
      <c r="BH859" s="1" t="s">
        <v>74</v>
      </c>
      <c r="BI859" s="1" t="s">
        <v>74</v>
      </c>
      <c r="BJ859" s="1" t="s">
        <v>74</v>
      </c>
      <c r="BK859" s="1" t="s">
        <v>74</v>
      </c>
      <c r="BL859" s="1" t="s">
        <v>74</v>
      </c>
      <c r="BM859" s="1" t="s">
        <v>74</v>
      </c>
      <c r="BN859" s="1" t="s">
        <v>74</v>
      </c>
      <c r="BO859" s="1" t="s">
        <v>74</v>
      </c>
      <c r="BP859" s="1" t="s">
        <v>74</v>
      </c>
      <c r="BQ859" s="1" t="s">
        <v>74</v>
      </c>
      <c r="BR859" s="1" t="s">
        <v>74</v>
      </c>
      <c r="BS859" s="1" t="s">
        <v>7188</v>
      </c>
      <c r="BT859" s="1" t="str">
        <f>HYPERLINK("https%3A%2F%2Fwww.webofscience.com%2Fwos%2Fwoscc%2Ffull-record%2FWOS:000304713000001","View Full Record in Web of Science")</f>
        <v>View Full Record in Web of Science</v>
      </c>
    </row>
    <row r="860" ht="12.75" customHeight="1">
      <c r="A860" s="1" t="s">
        <v>72</v>
      </c>
      <c r="B860" s="1" t="s">
        <v>7189</v>
      </c>
      <c r="C860" s="1" t="s">
        <v>74</v>
      </c>
      <c r="D860" s="1" t="s">
        <v>74</v>
      </c>
      <c r="E860" s="1" t="s">
        <v>74</v>
      </c>
      <c r="F860" s="1" t="s">
        <v>7190</v>
      </c>
      <c r="G860" s="1" t="s">
        <v>74</v>
      </c>
      <c r="H860" s="1" t="s">
        <v>74</v>
      </c>
      <c r="I860" s="1" t="s">
        <v>7191</v>
      </c>
      <c r="J860" s="1" t="s">
        <v>1766</v>
      </c>
      <c r="K860" s="1" t="s">
        <v>74</v>
      </c>
      <c r="L860" s="1" t="s">
        <v>74</v>
      </c>
      <c r="M860" s="1" t="s">
        <v>74</v>
      </c>
      <c r="N860" s="1" t="s">
        <v>74</v>
      </c>
      <c r="O860" s="1" t="s">
        <v>74</v>
      </c>
      <c r="P860" s="1" t="s">
        <v>74</v>
      </c>
      <c r="Q860" s="1" t="s">
        <v>74</v>
      </c>
      <c r="R860" s="1" t="s">
        <v>74</v>
      </c>
      <c r="S860" s="1" t="s">
        <v>74</v>
      </c>
      <c r="T860" s="1" t="s">
        <v>74</v>
      </c>
      <c r="U860" s="1" t="s">
        <v>74</v>
      </c>
      <c r="V860" s="1" t="s">
        <v>7192</v>
      </c>
      <c r="W860" s="1" t="s">
        <v>74</v>
      </c>
      <c r="X860" s="1" t="s">
        <v>74</v>
      </c>
      <c r="Y860" s="1" t="s">
        <v>74</v>
      </c>
      <c r="Z860" s="1" t="s">
        <v>74</v>
      </c>
      <c r="AA860" s="1" t="s">
        <v>74</v>
      </c>
      <c r="AB860" s="1" t="s">
        <v>7193</v>
      </c>
      <c r="AC860" s="1" t="s">
        <v>74</v>
      </c>
      <c r="AD860" s="1" t="s">
        <v>74</v>
      </c>
      <c r="AE860" s="1" t="s">
        <v>74</v>
      </c>
      <c r="AF860" s="1" t="s">
        <v>74</v>
      </c>
      <c r="AG860" s="1" t="s">
        <v>74</v>
      </c>
      <c r="AH860" s="1" t="s">
        <v>74</v>
      </c>
      <c r="AI860" s="1" t="s">
        <v>74</v>
      </c>
      <c r="AJ860" s="1" t="s">
        <v>74</v>
      </c>
      <c r="AK860" s="1" t="s">
        <v>74</v>
      </c>
      <c r="AL860" s="1" t="s">
        <v>74</v>
      </c>
      <c r="AM860" s="1" t="s">
        <v>74</v>
      </c>
      <c r="AN860" s="1" t="s">
        <v>74</v>
      </c>
      <c r="AO860" s="1" t="s">
        <v>1769</v>
      </c>
      <c r="AP860" s="1" t="s">
        <v>1770</v>
      </c>
      <c r="AQ860" s="1" t="s">
        <v>74</v>
      </c>
      <c r="AR860" s="1" t="s">
        <v>74</v>
      </c>
      <c r="AS860" s="1" t="s">
        <v>74</v>
      </c>
      <c r="AT860" s="1" t="s">
        <v>347</v>
      </c>
      <c r="AU860" s="1">
        <v>2012.0</v>
      </c>
      <c r="AV860" s="1">
        <v>109.0</v>
      </c>
      <c r="AW860" s="1">
        <v>4.0</v>
      </c>
      <c r="AX860" s="1" t="s">
        <v>74</v>
      </c>
      <c r="AY860" s="1" t="s">
        <v>74</v>
      </c>
      <c r="AZ860" s="1" t="s">
        <v>74</v>
      </c>
      <c r="BA860" s="1" t="s">
        <v>74</v>
      </c>
      <c r="BB860" s="1">
        <v>659.0</v>
      </c>
      <c r="BC860" s="1">
        <v>667.0</v>
      </c>
      <c r="BD860" s="1" t="s">
        <v>74</v>
      </c>
      <c r="BE860" s="1" t="s">
        <v>7194</v>
      </c>
      <c r="BF860" s="2" t="str">
        <f>HYPERLINK("http://dx.doi.org/10.1016/j.jfoodeng.2011.11.030","http://dx.doi.org/10.1016/j.jfoodeng.2011.11.030")</f>
        <v>http://dx.doi.org/10.1016/j.jfoodeng.2011.11.030</v>
      </c>
      <c r="BG860" s="1" t="s">
        <v>74</v>
      </c>
      <c r="BH860" s="1" t="s">
        <v>74</v>
      </c>
      <c r="BI860" s="1" t="s">
        <v>74</v>
      </c>
      <c r="BJ860" s="1" t="s">
        <v>74</v>
      </c>
      <c r="BK860" s="1" t="s">
        <v>74</v>
      </c>
      <c r="BL860" s="1" t="s">
        <v>74</v>
      </c>
      <c r="BM860" s="1" t="s">
        <v>74</v>
      </c>
      <c r="BN860" s="1" t="s">
        <v>74</v>
      </c>
      <c r="BO860" s="1" t="s">
        <v>74</v>
      </c>
      <c r="BP860" s="1" t="s">
        <v>74</v>
      </c>
      <c r="BQ860" s="1" t="s">
        <v>74</v>
      </c>
      <c r="BR860" s="1" t="s">
        <v>74</v>
      </c>
      <c r="BS860" s="1" t="s">
        <v>7195</v>
      </c>
      <c r="BT860" s="1" t="str">
        <f>HYPERLINK("https%3A%2F%2Fwww.webofscience.com%2Fwos%2Fwoscc%2Ffull-record%2FWOS:000300077300003","View Full Record in Web of Science")</f>
        <v>View Full Record in Web of Science</v>
      </c>
    </row>
    <row r="861" ht="12.75" customHeight="1">
      <c r="A861" s="1" t="s">
        <v>72</v>
      </c>
      <c r="B861" s="1" t="s">
        <v>7196</v>
      </c>
      <c r="C861" s="1" t="s">
        <v>74</v>
      </c>
      <c r="D861" s="1" t="s">
        <v>74</v>
      </c>
      <c r="E861" s="1" t="s">
        <v>74</v>
      </c>
      <c r="F861" s="1" t="s">
        <v>7197</v>
      </c>
      <c r="G861" s="1" t="s">
        <v>74</v>
      </c>
      <c r="H861" s="1" t="s">
        <v>74</v>
      </c>
      <c r="I861" s="1" t="s">
        <v>7198</v>
      </c>
      <c r="J861" s="1" t="s">
        <v>7199</v>
      </c>
      <c r="K861" s="1" t="s">
        <v>74</v>
      </c>
      <c r="L861" s="1" t="s">
        <v>74</v>
      </c>
      <c r="M861" s="1" t="s">
        <v>74</v>
      </c>
      <c r="N861" s="1" t="s">
        <v>74</v>
      </c>
      <c r="O861" s="1" t="s">
        <v>74</v>
      </c>
      <c r="P861" s="1" t="s">
        <v>74</v>
      </c>
      <c r="Q861" s="1" t="s">
        <v>74</v>
      </c>
      <c r="R861" s="1" t="s">
        <v>74</v>
      </c>
      <c r="S861" s="1" t="s">
        <v>74</v>
      </c>
      <c r="T861" s="1" t="s">
        <v>74</v>
      </c>
      <c r="U861" s="1" t="s">
        <v>74</v>
      </c>
      <c r="V861" s="1" t="s">
        <v>7200</v>
      </c>
      <c r="W861" s="1" t="s">
        <v>74</v>
      </c>
      <c r="X861" s="1" t="s">
        <v>74</v>
      </c>
      <c r="Y861" s="1" t="s">
        <v>74</v>
      </c>
      <c r="Z861" s="1" t="s">
        <v>74</v>
      </c>
      <c r="AA861" s="1" t="s">
        <v>74</v>
      </c>
      <c r="AB861" s="1" t="s">
        <v>74</v>
      </c>
      <c r="AC861" s="1" t="s">
        <v>74</v>
      </c>
      <c r="AD861" s="1" t="s">
        <v>74</v>
      </c>
      <c r="AE861" s="1" t="s">
        <v>74</v>
      </c>
      <c r="AF861" s="1" t="s">
        <v>74</v>
      </c>
      <c r="AG861" s="1" t="s">
        <v>74</v>
      </c>
      <c r="AH861" s="1" t="s">
        <v>74</v>
      </c>
      <c r="AI861" s="1" t="s">
        <v>74</v>
      </c>
      <c r="AJ861" s="1" t="s">
        <v>74</v>
      </c>
      <c r="AK861" s="1" t="s">
        <v>74</v>
      </c>
      <c r="AL861" s="1" t="s">
        <v>74</v>
      </c>
      <c r="AM861" s="1" t="s">
        <v>74</v>
      </c>
      <c r="AN861" s="1" t="s">
        <v>74</v>
      </c>
      <c r="AO861" s="1" t="s">
        <v>7201</v>
      </c>
      <c r="AP861" s="1" t="s">
        <v>74</v>
      </c>
      <c r="AQ861" s="1" t="s">
        <v>74</v>
      </c>
      <c r="AR861" s="1" t="s">
        <v>74</v>
      </c>
      <c r="AS861" s="1" t="s">
        <v>74</v>
      </c>
      <c r="AT861" s="1" t="s">
        <v>148</v>
      </c>
      <c r="AU861" s="1">
        <v>2012.0</v>
      </c>
      <c r="AV861" s="1">
        <v>62.0</v>
      </c>
      <c r="AW861" s="1">
        <v>1.0</v>
      </c>
      <c r="AX861" s="1" t="s">
        <v>74</v>
      </c>
      <c r="AY861" s="1" t="s">
        <v>74</v>
      </c>
      <c r="AZ861" s="1" t="s">
        <v>74</v>
      </c>
      <c r="BA861" s="1" t="s">
        <v>74</v>
      </c>
      <c r="BB861" s="1">
        <v>44.0</v>
      </c>
      <c r="BC861" s="1">
        <v>52.0</v>
      </c>
      <c r="BD861" s="1" t="s">
        <v>74</v>
      </c>
      <c r="BE861" s="1" t="s">
        <v>74</v>
      </c>
      <c r="BF861" s="1" t="s">
        <v>74</v>
      </c>
      <c r="BG861" s="1" t="s">
        <v>74</v>
      </c>
      <c r="BH861" s="1" t="s">
        <v>74</v>
      </c>
      <c r="BI861" s="1" t="s">
        <v>74</v>
      </c>
      <c r="BJ861" s="1" t="s">
        <v>74</v>
      </c>
      <c r="BK861" s="1" t="s">
        <v>74</v>
      </c>
      <c r="BL861" s="1" t="s">
        <v>74</v>
      </c>
      <c r="BM861" s="1" t="s">
        <v>74</v>
      </c>
      <c r="BN861" s="1">
        <v>2.3477207E7</v>
      </c>
      <c r="BO861" s="1" t="s">
        <v>74</v>
      </c>
      <c r="BP861" s="1" t="s">
        <v>74</v>
      </c>
      <c r="BQ861" s="1" t="s">
        <v>74</v>
      </c>
      <c r="BR861" s="1" t="s">
        <v>74</v>
      </c>
      <c r="BS861" s="1" t="s">
        <v>7202</v>
      </c>
      <c r="BT861" s="1" t="str">
        <f>HYPERLINK("https%3A%2F%2Fwww.webofscience.com%2Fwos%2Fwoscc%2Ffull-record%2FWOS:000208836700007","View Full Record in Web of Science")</f>
        <v>View Full Record in Web of Science</v>
      </c>
    </row>
    <row r="862" ht="12.75" customHeight="1">
      <c r="A862" s="1" t="s">
        <v>72</v>
      </c>
      <c r="B862" s="1" t="s">
        <v>7203</v>
      </c>
      <c r="C862" s="1" t="s">
        <v>74</v>
      </c>
      <c r="D862" s="1" t="s">
        <v>74</v>
      </c>
      <c r="E862" s="1" t="s">
        <v>74</v>
      </c>
      <c r="F862" s="1" t="s">
        <v>7204</v>
      </c>
      <c r="G862" s="1" t="s">
        <v>74</v>
      </c>
      <c r="H862" s="1" t="s">
        <v>74</v>
      </c>
      <c r="I862" s="1" t="s">
        <v>7205</v>
      </c>
      <c r="J862" s="1" t="s">
        <v>7206</v>
      </c>
      <c r="K862" s="1" t="s">
        <v>74</v>
      </c>
      <c r="L862" s="1" t="s">
        <v>74</v>
      </c>
      <c r="M862" s="1" t="s">
        <v>74</v>
      </c>
      <c r="N862" s="1" t="s">
        <v>74</v>
      </c>
      <c r="O862" s="1" t="s">
        <v>74</v>
      </c>
      <c r="P862" s="1" t="s">
        <v>74</v>
      </c>
      <c r="Q862" s="1" t="s">
        <v>74</v>
      </c>
      <c r="R862" s="1" t="s">
        <v>74</v>
      </c>
      <c r="S862" s="1" t="s">
        <v>74</v>
      </c>
      <c r="T862" s="1" t="s">
        <v>74</v>
      </c>
      <c r="U862" s="1" t="s">
        <v>74</v>
      </c>
      <c r="V862" s="1" t="s">
        <v>7207</v>
      </c>
      <c r="W862" s="1" t="s">
        <v>74</v>
      </c>
      <c r="X862" s="1" t="s">
        <v>74</v>
      </c>
      <c r="Y862" s="1" t="s">
        <v>74</v>
      </c>
      <c r="Z862" s="1" t="s">
        <v>74</v>
      </c>
      <c r="AA862" s="1" t="s">
        <v>7208</v>
      </c>
      <c r="AB862" s="1" t="s">
        <v>7209</v>
      </c>
      <c r="AC862" s="1" t="s">
        <v>74</v>
      </c>
      <c r="AD862" s="1" t="s">
        <v>74</v>
      </c>
      <c r="AE862" s="1" t="s">
        <v>74</v>
      </c>
      <c r="AF862" s="1" t="s">
        <v>74</v>
      </c>
      <c r="AG862" s="1" t="s">
        <v>74</v>
      </c>
      <c r="AH862" s="1" t="s">
        <v>74</v>
      </c>
      <c r="AI862" s="1" t="s">
        <v>74</v>
      </c>
      <c r="AJ862" s="1" t="s">
        <v>74</v>
      </c>
      <c r="AK862" s="1" t="s">
        <v>74</v>
      </c>
      <c r="AL862" s="1" t="s">
        <v>74</v>
      </c>
      <c r="AM862" s="1" t="s">
        <v>74</v>
      </c>
      <c r="AN862" s="1" t="s">
        <v>74</v>
      </c>
      <c r="AO862" s="1" t="s">
        <v>7210</v>
      </c>
      <c r="AP862" s="1" t="s">
        <v>74</v>
      </c>
      <c r="AQ862" s="1" t="s">
        <v>74</v>
      </c>
      <c r="AR862" s="1" t="s">
        <v>74</v>
      </c>
      <c r="AS862" s="1" t="s">
        <v>74</v>
      </c>
      <c r="AT862" s="1" t="s">
        <v>288</v>
      </c>
      <c r="AU862" s="1">
        <v>2012.0</v>
      </c>
      <c r="AV862" s="1">
        <v>51.0</v>
      </c>
      <c r="AW862" s="1" t="s">
        <v>74</v>
      </c>
      <c r="AX862" s="1" t="s">
        <v>74</v>
      </c>
      <c r="AY862" s="1" t="s">
        <v>74</v>
      </c>
      <c r="AZ862" s="1" t="s">
        <v>74</v>
      </c>
      <c r="BA862" s="1" t="s">
        <v>74</v>
      </c>
      <c r="BB862" s="1">
        <v>102.0</v>
      </c>
      <c r="BC862" s="1">
        <v>108.0</v>
      </c>
      <c r="BD862" s="1" t="s">
        <v>74</v>
      </c>
      <c r="BE862" s="1" t="s">
        <v>7211</v>
      </c>
      <c r="BF862" s="2" t="str">
        <f>HYPERLINK("http://dx.doi.org/10.1016/j.plaphy.2011.10.007","http://dx.doi.org/10.1016/j.plaphy.2011.10.007")</f>
        <v>http://dx.doi.org/10.1016/j.plaphy.2011.10.007</v>
      </c>
      <c r="BG862" s="1" t="s">
        <v>74</v>
      </c>
      <c r="BH862" s="1" t="s">
        <v>74</v>
      </c>
      <c r="BI862" s="1" t="s">
        <v>74</v>
      </c>
      <c r="BJ862" s="1" t="s">
        <v>74</v>
      </c>
      <c r="BK862" s="1" t="s">
        <v>74</v>
      </c>
      <c r="BL862" s="1" t="s">
        <v>74</v>
      </c>
      <c r="BM862" s="1" t="s">
        <v>74</v>
      </c>
      <c r="BN862" s="1">
        <v>2.2153245E7</v>
      </c>
      <c r="BO862" s="1" t="s">
        <v>74</v>
      </c>
      <c r="BP862" s="1" t="s">
        <v>74</v>
      </c>
      <c r="BQ862" s="1" t="s">
        <v>74</v>
      </c>
      <c r="BR862" s="1" t="s">
        <v>74</v>
      </c>
      <c r="BS862" s="1" t="s">
        <v>7212</v>
      </c>
      <c r="BT862" s="1" t="str">
        <f>HYPERLINK("https%3A%2F%2Fwww.webofscience.com%2Fwos%2Fwoscc%2Ffull-record%2FWOS:000300526000013","View Full Record in Web of Science")</f>
        <v>View Full Record in Web of Science</v>
      </c>
    </row>
    <row r="863" ht="12.75" customHeight="1">
      <c r="A863" s="1" t="s">
        <v>91</v>
      </c>
      <c r="B863" s="1" t="s">
        <v>7213</v>
      </c>
      <c r="C863" s="1" t="s">
        <v>74</v>
      </c>
      <c r="D863" s="1" t="s">
        <v>74</v>
      </c>
      <c r="E863" s="1" t="s">
        <v>997</v>
      </c>
      <c r="F863" s="1" t="s">
        <v>7214</v>
      </c>
      <c r="G863" s="1" t="s">
        <v>74</v>
      </c>
      <c r="H863" s="1" t="s">
        <v>74</v>
      </c>
      <c r="I863" s="1" t="s">
        <v>7215</v>
      </c>
      <c r="J863" s="1" t="s">
        <v>7216</v>
      </c>
      <c r="K863" s="1" t="s">
        <v>74</v>
      </c>
      <c r="L863" s="1" t="s">
        <v>74</v>
      </c>
      <c r="M863" s="1" t="s">
        <v>74</v>
      </c>
      <c r="N863" s="1" t="s">
        <v>74</v>
      </c>
      <c r="O863" s="1" t="s">
        <v>4009</v>
      </c>
      <c r="P863" s="1" t="s">
        <v>4010</v>
      </c>
      <c r="Q863" s="1" t="s">
        <v>1003</v>
      </c>
      <c r="R863" s="1" t="s">
        <v>4011</v>
      </c>
      <c r="S863" s="1" t="s">
        <v>74</v>
      </c>
      <c r="T863" s="1" t="s">
        <v>74</v>
      </c>
      <c r="U863" s="1" t="s">
        <v>74</v>
      </c>
      <c r="V863" s="1" t="s">
        <v>7217</v>
      </c>
      <c r="W863" s="1" t="s">
        <v>74</v>
      </c>
      <c r="X863" s="1" t="s">
        <v>74</v>
      </c>
      <c r="Y863" s="1" t="s">
        <v>74</v>
      </c>
      <c r="Z863" s="1" t="s">
        <v>74</v>
      </c>
      <c r="AA863" s="1" t="s">
        <v>1761</v>
      </c>
      <c r="AB863" s="1" t="s">
        <v>74</v>
      </c>
      <c r="AC863" s="1" t="s">
        <v>74</v>
      </c>
      <c r="AD863" s="1" t="s">
        <v>74</v>
      </c>
      <c r="AE863" s="1" t="s">
        <v>74</v>
      </c>
      <c r="AF863" s="1" t="s">
        <v>74</v>
      </c>
      <c r="AG863" s="1" t="s">
        <v>74</v>
      </c>
      <c r="AH863" s="1" t="s">
        <v>74</v>
      </c>
      <c r="AI863" s="1" t="s">
        <v>74</v>
      </c>
      <c r="AJ863" s="1" t="s">
        <v>74</v>
      </c>
      <c r="AK863" s="1" t="s">
        <v>74</v>
      </c>
      <c r="AL863" s="1" t="s">
        <v>74</v>
      </c>
      <c r="AM863" s="1" t="s">
        <v>74</v>
      </c>
      <c r="AN863" s="1" t="s">
        <v>74</v>
      </c>
      <c r="AO863" s="1" t="s">
        <v>74</v>
      </c>
      <c r="AP863" s="1" t="s">
        <v>74</v>
      </c>
      <c r="AQ863" s="1" t="s">
        <v>7218</v>
      </c>
      <c r="AR863" s="1" t="s">
        <v>74</v>
      </c>
      <c r="AS863" s="1" t="s">
        <v>74</v>
      </c>
      <c r="AT863" s="1" t="s">
        <v>74</v>
      </c>
      <c r="AU863" s="1">
        <v>2012.0</v>
      </c>
      <c r="AV863" s="1" t="s">
        <v>74</v>
      </c>
      <c r="AW863" s="1" t="s">
        <v>74</v>
      </c>
      <c r="AX863" s="1" t="s">
        <v>74</v>
      </c>
      <c r="AY863" s="1" t="s">
        <v>74</v>
      </c>
      <c r="AZ863" s="1" t="s">
        <v>74</v>
      </c>
      <c r="BA863" s="1" t="s">
        <v>74</v>
      </c>
      <c r="BB863" s="1">
        <v>347.0</v>
      </c>
      <c r="BC863" s="1">
        <v>351.0</v>
      </c>
      <c r="BD863" s="1" t="s">
        <v>74</v>
      </c>
      <c r="BE863" s="1" t="s">
        <v>74</v>
      </c>
      <c r="BF863" s="1" t="s">
        <v>74</v>
      </c>
      <c r="BG863" s="1" t="s">
        <v>74</v>
      </c>
      <c r="BH863" s="1" t="s">
        <v>74</v>
      </c>
      <c r="BI863" s="1" t="s">
        <v>74</v>
      </c>
      <c r="BJ863" s="1" t="s">
        <v>74</v>
      </c>
      <c r="BK863" s="1" t="s">
        <v>74</v>
      </c>
      <c r="BL863" s="1" t="s">
        <v>74</v>
      </c>
      <c r="BM863" s="1" t="s">
        <v>74</v>
      </c>
      <c r="BN863" s="1" t="s">
        <v>74</v>
      </c>
      <c r="BO863" s="1" t="s">
        <v>74</v>
      </c>
      <c r="BP863" s="1" t="s">
        <v>74</v>
      </c>
      <c r="BQ863" s="1" t="s">
        <v>74</v>
      </c>
      <c r="BR863" s="1" t="s">
        <v>74</v>
      </c>
      <c r="BS863" s="1" t="s">
        <v>7219</v>
      </c>
      <c r="BT863" s="1" t="str">
        <f>HYPERLINK("https%3A%2F%2Fwww.webofscience.com%2Fwos%2Fwoscc%2Ffull-record%2FWOS:000320140500045","View Full Record in Web of Science")</f>
        <v>View Full Record in Web of Science</v>
      </c>
    </row>
    <row r="864" ht="12.75" customHeight="1">
      <c r="A864" s="1" t="s">
        <v>91</v>
      </c>
      <c r="B864" s="1" t="s">
        <v>7220</v>
      </c>
      <c r="C864" s="1" t="s">
        <v>74</v>
      </c>
      <c r="D864" s="1" t="s">
        <v>7221</v>
      </c>
      <c r="E864" s="1" t="s">
        <v>74</v>
      </c>
      <c r="F864" s="1" t="s">
        <v>7222</v>
      </c>
      <c r="G864" s="1" t="s">
        <v>74</v>
      </c>
      <c r="H864" s="1" t="s">
        <v>74</v>
      </c>
      <c r="I864" s="1" t="s">
        <v>7223</v>
      </c>
      <c r="J864" s="1" t="s">
        <v>7224</v>
      </c>
      <c r="K864" s="1" t="s">
        <v>2588</v>
      </c>
      <c r="L864" s="1" t="s">
        <v>74</v>
      </c>
      <c r="M864" s="1" t="s">
        <v>74</v>
      </c>
      <c r="N864" s="1" t="s">
        <v>74</v>
      </c>
      <c r="O864" s="1" t="s">
        <v>7225</v>
      </c>
      <c r="P864" s="1" t="s">
        <v>7226</v>
      </c>
      <c r="Q864" s="1" t="s">
        <v>7227</v>
      </c>
      <c r="R864" s="1" t="s">
        <v>7228</v>
      </c>
      <c r="S864" s="1" t="s">
        <v>74</v>
      </c>
      <c r="T864" s="1" t="s">
        <v>74</v>
      </c>
      <c r="U864" s="1" t="s">
        <v>74</v>
      </c>
      <c r="V864" s="1" t="s">
        <v>7229</v>
      </c>
      <c r="W864" s="1" t="s">
        <v>74</v>
      </c>
      <c r="X864" s="1" t="s">
        <v>74</v>
      </c>
      <c r="Y864" s="1" t="s">
        <v>74</v>
      </c>
      <c r="Z864" s="1" t="s">
        <v>74</v>
      </c>
      <c r="AA864" s="1" t="s">
        <v>7230</v>
      </c>
      <c r="AB864" s="1" t="s">
        <v>7231</v>
      </c>
      <c r="AC864" s="1" t="s">
        <v>74</v>
      </c>
      <c r="AD864" s="1" t="s">
        <v>74</v>
      </c>
      <c r="AE864" s="1" t="s">
        <v>74</v>
      </c>
      <c r="AF864" s="1" t="s">
        <v>74</v>
      </c>
      <c r="AG864" s="1" t="s">
        <v>74</v>
      </c>
      <c r="AH864" s="1" t="s">
        <v>74</v>
      </c>
      <c r="AI864" s="1" t="s">
        <v>74</v>
      </c>
      <c r="AJ864" s="1" t="s">
        <v>74</v>
      </c>
      <c r="AK864" s="1" t="s">
        <v>74</v>
      </c>
      <c r="AL864" s="1" t="s">
        <v>74</v>
      </c>
      <c r="AM864" s="1" t="s">
        <v>74</v>
      </c>
      <c r="AN864" s="1" t="s">
        <v>74</v>
      </c>
      <c r="AO864" s="1" t="s">
        <v>2595</v>
      </c>
      <c r="AP864" s="1" t="s">
        <v>74</v>
      </c>
      <c r="AQ864" s="1" t="s">
        <v>7232</v>
      </c>
      <c r="AR864" s="1" t="s">
        <v>74</v>
      </c>
      <c r="AS864" s="1" t="s">
        <v>74</v>
      </c>
      <c r="AT864" s="1" t="s">
        <v>74</v>
      </c>
      <c r="AU864" s="1">
        <v>2012.0</v>
      </c>
      <c r="AV864" s="1">
        <v>1490.0</v>
      </c>
      <c r="AW864" s="1" t="s">
        <v>74</v>
      </c>
      <c r="AX864" s="1" t="s">
        <v>74</v>
      </c>
      <c r="AY864" s="1" t="s">
        <v>74</v>
      </c>
      <c r="AZ864" s="1" t="s">
        <v>74</v>
      </c>
      <c r="BA864" s="1" t="s">
        <v>74</v>
      </c>
      <c r="BB864" s="1">
        <v>332.0</v>
      </c>
      <c r="BC864" s="1">
        <v>340.0</v>
      </c>
      <c r="BD864" s="1" t="s">
        <v>74</v>
      </c>
      <c r="BE864" s="1" t="s">
        <v>7233</v>
      </c>
      <c r="BF864" s="2" t="str">
        <f>HYPERLINK("http://dx.doi.org/10.1063/1.4759618","http://dx.doi.org/10.1063/1.4759618")</f>
        <v>http://dx.doi.org/10.1063/1.4759618</v>
      </c>
      <c r="BG864" s="1" t="s">
        <v>74</v>
      </c>
      <c r="BH864" s="1" t="s">
        <v>74</v>
      </c>
      <c r="BI864" s="1" t="s">
        <v>74</v>
      </c>
      <c r="BJ864" s="1" t="s">
        <v>74</v>
      </c>
      <c r="BK864" s="1" t="s">
        <v>74</v>
      </c>
      <c r="BL864" s="1" t="s">
        <v>74</v>
      </c>
      <c r="BM864" s="1" t="s">
        <v>74</v>
      </c>
      <c r="BN864" s="1" t="s">
        <v>74</v>
      </c>
      <c r="BO864" s="1" t="s">
        <v>74</v>
      </c>
      <c r="BP864" s="1" t="s">
        <v>74</v>
      </c>
      <c r="BQ864" s="1" t="s">
        <v>74</v>
      </c>
      <c r="BR864" s="1" t="s">
        <v>74</v>
      </c>
      <c r="BS864" s="1" t="s">
        <v>7234</v>
      </c>
      <c r="BT864" s="1" t="str">
        <f>HYPERLINK("https%3A%2F%2Fwww.webofscience.com%2Fwos%2Fwoscc%2Ffull-record%2FWOS:000310688900035","View Full Record in Web of Science")</f>
        <v>View Full Record in Web of Science</v>
      </c>
    </row>
    <row r="865" ht="12.75" customHeight="1">
      <c r="A865" s="1" t="s">
        <v>72</v>
      </c>
      <c r="B865" s="1" t="s">
        <v>7235</v>
      </c>
      <c r="C865" s="1" t="s">
        <v>74</v>
      </c>
      <c r="D865" s="1" t="s">
        <v>74</v>
      </c>
      <c r="E865" s="1" t="s">
        <v>74</v>
      </c>
      <c r="F865" s="1" t="s">
        <v>7236</v>
      </c>
      <c r="G865" s="1" t="s">
        <v>74</v>
      </c>
      <c r="H865" s="1" t="s">
        <v>74</v>
      </c>
      <c r="I865" s="1" t="s">
        <v>7237</v>
      </c>
      <c r="J865" s="1" t="s">
        <v>1848</v>
      </c>
      <c r="K865" s="1" t="s">
        <v>74</v>
      </c>
      <c r="L865" s="1" t="s">
        <v>74</v>
      </c>
      <c r="M865" s="1" t="s">
        <v>74</v>
      </c>
      <c r="N865" s="1" t="s">
        <v>74</v>
      </c>
      <c r="O865" s="1" t="s">
        <v>74</v>
      </c>
      <c r="P865" s="1" t="s">
        <v>74</v>
      </c>
      <c r="Q865" s="1" t="s">
        <v>74</v>
      </c>
      <c r="R865" s="1" t="s">
        <v>74</v>
      </c>
      <c r="S865" s="1" t="s">
        <v>74</v>
      </c>
      <c r="T865" s="1" t="s">
        <v>74</v>
      </c>
      <c r="U865" s="1" t="s">
        <v>74</v>
      </c>
      <c r="V865" s="1" t="s">
        <v>7238</v>
      </c>
      <c r="W865" s="1" t="s">
        <v>74</v>
      </c>
      <c r="X865" s="1" t="s">
        <v>74</v>
      </c>
      <c r="Y865" s="1" t="s">
        <v>74</v>
      </c>
      <c r="Z865" s="1" t="s">
        <v>74</v>
      </c>
      <c r="AA865" s="1" t="s">
        <v>7239</v>
      </c>
      <c r="AB865" s="1" t="s">
        <v>7240</v>
      </c>
      <c r="AC865" s="1" t="s">
        <v>74</v>
      </c>
      <c r="AD865" s="1" t="s">
        <v>74</v>
      </c>
      <c r="AE865" s="1" t="s">
        <v>74</v>
      </c>
      <c r="AF865" s="1" t="s">
        <v>74</v>
      </c>
      <c r="AG865" s="1" t="s">
        <v>74</v>
      </c>
      <c r="AH865" s="1" t="s">
        <v>74</v>
      </c>
      <c r="AI865" s="1" t="s">
        <v>74</v>
      </c>
      <c r="AJ865" s="1" t="s">
        <v>74</v>
      </c>
      <c r="AK865" s="1" t="s">
        <v>74</v>
      </c>
      <c r="AL865" s="1" t="s">
        <v>74</v>
      </c>
      <c r="AM865" s="1" t="s">
        <v>74</v>
      </c>
      <c r="AN865" s="1" t="s">
        <v>74</v>
      </c>
      <c r="AO865" s="1" t="s">
        <v>1851</v>
      </c>
      <c r="AP865" s="1" t="s">
        <v>7241</v>
      </c>
      <c r="AQ865" s="1" t="s">
        <v>74</v>
      </c>
      <c r="AR865" s="1" t="s">
        <v>74</v>
      </c>
      <c r="AS865" s="1" t="s">
        <v>74</v>
      </c>
      <c r="AT865" s="1" t="s">
        <v>370</v>
      </c>
      <c r="AU865" s="1">
        <v>2010.0</v>
      </c>
      <c r="AV865" s="1">
        <v>53.0</v>
      </c>
      <c r="AW865" s="1" t="s">
        <v>7242</v>
      </c>
      <c r="AX865" s="1" t="s">
        <v>74</v>
      </c>
      <c r="AY865" s="1" t="s">
        <v>74</v>
      </c>
      <c r="AZ865" s="1" t="s">
        <v>74</v>
      </c>
      <c r="BA865" s="1" t="s">
        <v>74</v>
      </c>
      <c r="BB865" s="1">
        <v>3308.0</v>
      </c>
      <c r="BC865" s="1">
        <v>3318.0</v>
      </c>
      <c r="BD865" s="1" t="s">
        <v>74</v>
      </c>
      <c r="BE865" s="1" t="s">
        <v>7243</v>
      </c>
      <c r="BF865" s="2" t="str">
        <f>HYPERLINK("http://dx.doi.org/10.1016/j.ijheatmasstransfer.2010.02.044","http://dx.doi.org/10.1016/j.ijheatmasstransfer.2010.02.044")</f>
        <v>http://dx.doi.org/10.1016/j.ijheatmasstransfer.2010.02.044</v>
      </c>
      <c r="BG865" s="1" t="s">
        <v>74</v>
      </c>
      <c r="BH865" s="1" t="s">
        <v>74</v>
      </c>
      <c r="BI865" s="1" t="s">
        <v>74</v>
      </c>
      <c r="BJ865" s="1" t="s">
        <v>74</v>
      </c>
      <c r="BK865" s="1" t="s">
        <v>74</v>
      </c>
      <c r="BL865" s="1" t="s">
        <v>74</v>
      </c>
      <c r="BM865" s="1" t="s">
        <v>74</v>
      </c>
      <c r="BN865" s="1" t="s">
        <v>74</v>
      </c>
      <c r="BO865" s="1" t="s">
        <v>74</v>
      </c>
      <c r="BP865" s="1" t="s">
        <v>74</v>
      </c>
      <c r="BQ865" s="1" t="s">
        <v>74</v>
      </c>
      <c r="BR865" s="1" t="s">
        <v>74</v>
      </c>
      <c r="BS865" s="1" t="s">
        <v>7244</v>
      </c>
      <c r="BT865" s="1" t="str">
        <f>HYPERLINK("https%3A%2F%2Fwww.webofscience.com%2Fwos%2Fwoscc%2Ffull-record%2FWOS:000278629000040","View Full Record in Web of Science")</f>
        <v>View Full Record in Web of Science</v>
      </c>
    </row>
    <row r="866" ht="12.75" customHeight="1">
      <c r="A866" s="1" t="s">
        <v>72</v>
      </c>
      <c r="B866" s="1" t="s">
        <v>663</v>
      </c>
      <c r="C866" s="1" t="s">
        <v>74</v>
      </c>
      <c r="D866" s="1" t="s">
        <v>74</v>
      </c>
      <c r="E866" s="1" t="s">
        <v>74</v>
      </c>
      <c r="F866" s="1" t="s">
        <v>664</v>
      </c>
      <c r="G866" s="1" t="s">
        <v>74</v>
      </c>
      <c r="H866" s="1" t="s">
        <v>74</v>
      </c>
      <c r="I866" s="1" t="s">
        <v>7245</v>
      </c>
      <c r="J866" s="1" t="s">
        <v>7246</v>
      </c>
      <c r="K866" s="1" t="s">
        <v>74</v>
      </c>
      <c r="L866" s="1" t="s">
        <v>74</v>
      </c>
      <c r="M866" s="1" t="s">
        <v>74</v>
      </c>
      <c r="N866" s="1" t="s">
        <v>74</v>
      </c>
      <c r="O866" s="1" t="s">
        <v>74</v>
      </c>
      <c r="P866" s="1" t="s">
        <v>74</v>
      </c>
      <c r="Q866" s="1" t="s">
        <v>74</v>
      </c>
      <c r="R866" s="1" t="s">
        <v>74</v>
      </c>
      <c r="S866" s="1" t="s">
        <v>74</v>
      </c>
      <c r="T866" s="1" t="s">
        <v>74</v>
      </c>
      <c r="U866" s="1" t="s">
        <v>74</v>
      </c>
      <c r="V866" s="1" t="s">
        <v>7247</v>
      </c>
      <c r="W866" s="1" t="s">
        <v>74</v>
      </c>
      <c r="X866" s="1" t="s">
        <v>74</v>
      </c>
      <c r="Y866" s="1" t="s">
        <v>74</v>
      </c>
      <c r="Z866" s="1" t="s">
        <v>74</v>
      </c>
      <c r="AA866" s="1" t="s">
        <v>74</v>
      </c>
      <c r="AB866" s="1" t="s">
        <v>878</v>
      </c>
      <c r="AC866" s="1" t="s">
        <v>74</v>
      </c>
      <c r="AD866" s="1" t="s">
        <v>74</v>
      </c>
      <c r="AE866" s="1" t="s">
        <v>74</v>
      </c>
      <c r="AF866" s="1" t="s">
        <v>74</v>
      </c>
      <c r="AG866" s="1" t="s">
        <v>74</v>
      </c>
      <c r="AH866" s="1" t="s">
        <v>74</v>
      </c>
      <c r="AI866" s="1" t="s">
        <v>74</v>
      </c>
      <c r="AJ866" s="1" t="s">
        <v>74</v>
      </c>
      <c r="AK866" s="1" t="s">
        <v>74</v>
      </c>
      <c r="AL866" s="1" t="s">
        <v>74</v>
      </c>
      <c r="AM866" s="1" t="s">
        <v>74</v>
      </c>
      <c r="AN866" s="1" t="s">
        <v>74</v>
      </c>
      <c r="AO866" s="1" t="s">
        <v>7248</v>
      </c>
      <c r="AP866" s="1" t="s">
        <v>74</v>
      </c>
      <c r="AQ866" s="1" t="s">
        <v>74</v>
      </c>
      <c r="AR866" s="1" t="s">
        <v>74</v>
      </c>
      <c r="AS866" s="1" t="s">
        <v>74</v>
      </c>
      <c r="AT866" s="1" t="s">
        <v>74</v>
      </c>
      <c r="AU866" s="1">
        <v>2010.0</v>
      </c>
      <c r="AV866" s="1">
        <v>66.0</v>
      </c>
      <c r="AW866" s="1">
        <v>249.0</v>
      </c>
      <c r="AX866" s="1" t="s">
        <v>74</v>
      </c>
      <c r="AY866" s="1" t="s">
        <v>74</v>
      </c>
      <c r="AZ866" s="1">
        <v>4.0</v>
      </c>
      <c r="BA866" s="1" t="s">
        <v>74</v>
      </c>
      <c r="BB866" s="1">
        <v>771.0</v>
      </c>
      <c r="BC866" s="1">
        <v>790.0</v>
      </c>
      <c r="BD866" s="1" t="s">
        <v>74</v>
      </c>
      <c r="BE866" s="1" t="s">
        <v>74</v>
      </c>
      <c r="BF866" s="1" t="s">
        <v>74</v>
      </c>
      <c r="BG866" s="1" t="s">
        <v>74</v>
      </c>
      <c r="BH866" s="1" t="s">
        <v>74</v>
      </c>
      <c r="BI866" s="1" t="s">
        <v>74</v>
      </c>
      <c r="BJ866" s="1" t="s">
        <v>74</v>
      </c>
      <c r="BK866" s="1" t="s">
        <v>74</v>
      </c>
      <c r="BL866" s="1" t="s">
        <v>74</v>
      </c>
      <c r="BM866" s="1" t="s">
        <v>74</v>
      </c>
      <c r="BN866" s="1" t="s">
        <v>74</v>
      </c>
      <c r="BO866" s="1" t="s">
        <v>74</v>
      </c>
      <c r="BP866" s="1" t="s">
        <v>74</v>
      </c>
      <c r="BQ866" s="1" t="s">
        <v>74</v>
      </c>
      <c r="BR866" s="1" t="s">
        <v>74</v>
      </c>
      <c r="BS866" s="1" t="s">
        <v>7249</v>
      </c>
      <c r="BT866" s="1" t="str">
        <f>HYPERLINK("https%3A%2F%2Fwww.webofscience.com%2Fwos%2Fwoscc%2Ffull-record%2FWOS:000287678700014","View Full Record in Web of Science")</f>
        <v>View Full Record in Web of Science</v>
      </c>
    </row>
    <row r="867" ht="12.75" customHeight="1">
      <c r="A867" s="1" t="s">
        <v>72</v>
      </c>
      <c r="B867" s="1" t="s">
        <v>6009</v>
      </c>
      <c r="C867" s="1" t="s">
        <v>74</v>
      </c>
      <c r="D867" s="1" t="s">
        <v>74</v>
      </c>
      <c r="E867" s="1" t="s">
        <v>74</v>
      </c>
      <c r="F867" s="1" t="s">
        <v>6010</v>
      </c>
      <c r="G867" s="1" t="s">
        <v>74</v>
      </c>
      <c r="H867" s="1" t="s">
        <v>74</v>
      </c>
      <c r="I867" s="1" t="s">
        <v>7250</v>
      </c>
      <c r="J867" s="1" t="s">
        <v>4000</v>
      </c>
      <c r="K867" s="1" t="s">
        <v>74</v>
      </c>
      <c r="L867" s="1" t="s">
        <v>74</v>
      </c>
      <c r="M867" s="1" t="s">
        <v>74</v>
      </c>
      <c r="N867" s="1" t="s">
        <v>74</v>
      </c>
      <c r="O867" s="1" t="s">
        <v>74</v>
      </c>
      <c r="P867" s="1" t="s">
        <v>74</v>
      </c>
      <c r="Q867" s="1" t="s">
        <v>74</v>
      </c>
      <c r="R867" s="1" t="s">
        <v>74</v>
      </c>
      <c r="S867" s="1" t="s">
        <v>74</v>
      </c>
      <c r="T867" s="1" t="s">
        <v>74</v>
      </c>
      <c r="U867" s="1" t="s">
        <v>74</v>
      </c>
      <c r="V867" s="1" t="s">
        <v>74</v>
      </c>
      <c r="W867" s="1" t="s">
        <v>74</v>
      </c>
      <c r="X867" s="1" t="s">
        <v>74</v>
      </c>
      <c r="Y867" s="1" t="s">
        <v>74</v>
      </c>
      <c r="Z867" s="1" t="s">
        <v>74</v>
      </c>
      <c r="AA867" s="1" t="s">
        <v>74</v>
      </c>
      <c r="AB867" s="1" t="s">
        <v>74</v>
      </c>
      <c r="AC867" s="1" t="s">
        <v>74</v>
      </c>
      <c r="AD867" s="1" t="s">
        <v>74</v>
      </c>
      <c r="AE867" s="1" t="s">
        <v>74</v>
      </c>
      <c r="AF867" s="1" t="s">
        <v>74</v>
      </c>
      <c r="AG867" s="1" t="s">
        <v>74</v>
      </c>
      <c r="AH867" s="1" t="s">
        <v>74</v>
      </c>
      <c r="AI867" s="1" t="s">
        <v>74</v>
      </c>
      <c r="AJ867" s="1" t="s">
        <v>74</v>
      </c>
      <c r="AK867" s="1" t="s">
        <v>74</v>
      </c>
      <c r="AL867" s="1" t="s">
        <v>74</v>
      </c>
      <c r="AM867" s="1" t="s">
        <v>74</v>
      </c>
      <c r="AN867" s="1" t="s">
        <v>74</v>
      </c>
      <c r="AO867" s="1" t="s">
        <v>4002</v>
      </c>
      <c r="AP867" s="1" t="s">
        <v>74</v>
      </c>
      <c r="AQ867" s="1" t="s">
        <v>74</v>
      </c>
      <c r="AR867" s="1" t="s">
        <v>74</v>
      </c>
      <c r="AS867" s="1" t="s">
        <v>74</v>
      </c>
      <c r="AT867" s="1" t="s">
        <v>370</v>
      </c>
      <c r="AU867" s="1">
        <v>2009.0</v>
      </c>
      <c r="AV867" s="1" t="s">
        <v>74</v>
      </c>
      <c r="AW867" s="1">
        <v>28.0</v>
      </c>
      <c r="AX867" s="1" t="s">
        <v>74</v>
      </c>
      <c r="AY867" s="1" t="s">
        <v>74</v>
      </c>
      <c r="AZ867" s="1" t="s">
        <v>74</v>
      </c>
      <c r="BA867" s="1" t="s">
        <v>74</v>
      </c>
      <c r="BB867" s="1">
        <v>183.0</v>
      </c>
      <c r="BC867" s="1">
        <v>196.0</v>
      </c>
      <c r="BD867" s="1" t="s">
        <v>74</v>
      </c>
      <c r="BE867" s="1" t="s">
        <v>74</v>
      </c>
      <c r="BF867" s="1" t="s">
        <v>74</v>
      </c>
      <c r="BG867" s="1" t="s">
        <v>74</v>
      </c>
      <c r="BH867" s="1" t="s">
        <v>74</v>
      </c>
      <c r="BI867" s="1" t="s">
        <v>74</v>
      </c>
      <c r="BJ867" s="1" t="s">
        <v>74</v>
      </c>
      <c r="BK867" s="1" t="s">
        <v>74</v>
      </c>
      <c r="BL867" s="1" t="s">
        <v>74</v>
      </c>
      <c r="BM867" s="1" t="s">
        <v>74</v>
      </c>
      <c r="BN867" s="1" t="s">
        <v>74</v>
      </c>
      <c r="BO867" s="1" t="s">
        <v>74</v>
      </c>
      <c r="BP867" s="1" t="s">
        <v>74</v>
      </c>
      <c r="BQ867" s="1" t="s">
        <v>74</v>
      </c>
      <c r="BR867" s="1" t="s">
        <v>74</v>
      </c>
      <c r="BS867" s="1" t="s">
        <v>7251</v>
      </c>
      <c r="BT867" s="1" t="str">
        <f>HYPERLINK("https%3A%2F%2Fwww.webofscience.com%2Fwos%2Fwoscc%2Ffull-record%2FWOS:000268595300012","View Full Record in Web of Science")</f>
        <v>View Full Record in Web of Science</v>
      </c>
    </row>
    <row r="868" ht="12.75" customHeight="1">
      <c r="A868" s="1" t="s">
        <v>72</v>
      </c>
      <c r="B868" s="1" t="s">
        <v>7252</v>
      </c>
      <c r="C868" s="1" t="s">
        <v>74</v>
      </c>
      <c r="D868" s="1" t="s">
        <v>74</v>
      </c>
      <c r="E868" s="1" t="s">
        <v>74</v>
      </c>
      <c r="F868" s="1" t="s">
        <v>7253</v>
      </c>
      <c r="G868" s="1" t="s">
        <v>74</v>
      </c>
      <c r="H868" s="1" t="s">
        <v>74</v>
      </c>
      <c r="I868" s="1" t="s">
        <v>7254</v>
      </c>
      <c r="J868" s="1" t="s">
        <v>920</v>
      </c>
      <c r="K868" s="1" t="s">
        <v>74</v>
      </c>
      <c r="L868" s="1" t="s">
        <v>74</v>
      </c>
      <c r="M868" s="1" t="s">
        <v>74</v>
      </c>
      <c r="N868" s="1" t="s">
        <v>74</v>
      </c>
      <c r="O868" s="1" t="s">
        <v>74</v>
      </c>
      <c r="P868" s="1" t="s">
        <v>74</v>
      </c>
      <c r="Q868" s="1" t="s">
        <v>74</v>
      </c>
      <c r="R868" s="1" t="s">
        <v>74</v>
      </c>
      <c r="S868" s="1" t="s">
        <v>74</v>
      </c>
      <c r="T868" s="1" t="s">
        <v>74</v>
      </c>
      <c r="U868" s="1" t="s">
        <v>74</v>
      </c>
      <c r="V868" s="1" t="s">
        <v>7255</v>
      </c>
      <c r="W868" s="1" t="s">
        <v>74</v>
      </c>
      <c r="X868" s="1" t="s">
        <v>74</v>
      </c>
      <c r="Y868" s="1" t="s">
        <v>74</v>
      </c>
      <c r="Z868" s="1" t="s">
        <v>74</v>
      </c>
      <c r="AA868" s="1" t="s">
        <v>5865</v>
      </c>
      <c r="AB868" s="1" t="s">
        <v>7256</v>
      </c>
      <c r="AC868" s="1" t="s">
        <v>74</v>
      </c>
      <c r="AD868" s="1" t="s">
        <v>74</v>
      </c>
      <c r="AE868" s="1" t="s">
        <v>74</v>
      </c>
      <c r="AF868" s="1" t="s">
        <v>74</v>
      </c>
      <c r="AG868" s="1" t="s">
        <v>74</v>
      </c>
      <c r="AH868" s="1" t="s">
        <v>74</v>
      </c>
      <c r="AI868" s="1" t="s">
        <v>74</v>
      </c>
      <c r="AJ868" s="1" t="s">
        <v>74</v>
      </c>
      <c r="AK868" s="1" t="s">
        <v>74</v>
      </c>
      <c r="AL868" s="1" t="s">
        <v>74</v>
      </c>
      <c r="AM868" s="1" t="s">
        <v>74</v>
      </c>
      <c r="AN868" s="1" t="s">
        <v>74</v>
      </c>
      <c r="AO868" s="1" t="s">
        <v>922</v>
      </c>
      <c r="AP868" s="1" t="s">
        <v>4070</v>
      </c>
      <c r="AQ868" s="1" t="s">
        <v>74</v>
      </c>
      <c r="AR868" s="1" t="s">
        <v>74</v>
      </c>
      <c r="AS868" s="1" t="s">
        <v>74</v>
      </c>
      <c r="AT868" s="1" t="s">
        <v>1099</v>
      </c>
      <c r="AU868" s="1">
        <v>2009.0</v>
      </c>
      <c r="AV868" s="1">
        <v>45.0</v>
      </c>
      <c r="AW868" s="1">
        <v>3.0</v>
      </c>
      <c r="AX868" s="1" t="s">
        <v>74</v>
      </c>
      <c r="AY868" s="1" t="s">
        <v>74</v>
      </c>
      <c r="AZ868" s="1" t="s">
        <v>74</v>
      </c>
      <c r="BA868" s="1" t="s">
        <v>74</v>
      </c>
      <c r="BB868" s="1">
        <v>228.0</v>
      </c>
      <c r="BC868" s="1">
        <v>236.0</v>
      </c>
      <c r="BD868" s="1" t="s">
        <v>74</v>
      </c>
      <c r="BE868" s="1" t="s">
        <v>7257</v>
      </c>
      <c r="BF868" s="2" t="str">
        <f>HYPERLINK("http://dx.doi.org/10.3989/revmetalm.0729","http://dx.doi.org/10.3989/revmetalm.0729")</f>
        <v>http://dx.doi.org/10.3989/revmetalm.0729</v>
      </c>
      <c r="BG868" s="1" t="s">
        <v>74</v>
      </c>
      <c r="BH868" s="1" t="s">
        <v>74</v>
      </c>
      <c r="BI868" s="1" t="s">
        <v>74</v>
      </c>
      <c r="BJ868" s="1" t="s">
        <v>74</v>
      </c>
      <c r="BK868" s="1" t="s">
        <v>74</v>
      </c>
      <c r="BL868" s="1" t="s">
        <v>74</v>
      </c>
      <c r="BM868" s="1" t="s">
        <v>74</v>
      </c>
      <c r="BN868" s="1" t="s">
        <v>74</v>
      </c>
      <c r="BO868" s="1" t="s">
        <v>74</v>
      </c>
      <c r="BP868" s="1" t="s">
        <v>74</v>
      </c>
      <c r="BQ868" s="1" t="s">
        <v>74</v>
      </c>
      <c r="BR868" s="1" t="s">
        <v>74</v>
      </c>
      <c r="BS868" s="1" t="s">
        <v>7258</v>
      </c>
      <c r="BT868" s="1" t="str">
        <f>HYPERLINK("https%3A%2F%2Fwww.webofscience.com%2Fwos%2Fwoscc%2Ffull-record%2FWOS:000267721000007","View Full Record in Web of Science")</f>
        <v>View Full Record in Web of Science</v>
      </c>
    </row>
    <row r="869" ht="12.75" customHeight="1">
      <c r="A869" s="1" t="s">
        <v>72</v>
      </c>
      <c r="B869" s="1" t="s">
        <v>6479</v>
      </c>
      <c r="C869" s="1" t="s">
        <v>74</v>
      </c>
      <c r="D869" s="1" t="s">
        <v>74</v>
      </c>
      <c r="E869" s="1" t="s">
        <v>74</v>
      </c>
      <c r="F869" s="1" t="s">
        <v>6480</v>
      </c>
      <c r="G869" s="1" t="s">
        <v>74</v>
      </c>
      <c r="H869" s="1" t="s">
        <v>74</v>
      </c>
      <c r="I869" s="1" t="s">
        <v>7259</v>
      </c>
      <c r="J869" s="1" t="s">
        <v>1312</v>
      </c>
      <c r="K869" s="1" t="s">
        <v>74</v>
      </c>
      <c r="L869" s="1" t="s">
        <v>74</v>
      </c>
      <c r="M869" s="1" t="s">
        <v>74</v>
      </c>
      <c r="N869" s="1" t="s">
        <v>74</v>
      </c>
      <c r="O869" s="1" t="s">
        <v>74</v>
      </c>
      <c r="P869" s="1" t="s">
        <v>74</v>
      </c>
      <c r="Q869" s="1" t="s">
        <v>74</v>
      </c>
      <c r="R869" s="1" t="s">
        <v>74</v>
      </c>
      <c r="S869" s="1" t="s">
        <v>74</v>
      </c>
      <c r="T869" s="1" t="s">
        <v>74</v>
      </c>
      <c r="U869" s="1" t="s">
        <v>74</v>
      </c>
      <c r="V869" s="1" t="s">
        <v>7260</v>
      </c>
      <c r="W869" s="1" t="s">
        <v>74</v>
      </c>
      <c r="X869" s="1" t="s">
        <v>74</v>
      </c>
      <c r="Y869" s="1" t="s">
        <v>74</v>
      </c>
      <c r="Z869" s="1" t="s">
        <v>74</v>
      </c>
      <c r="AA869" s="1" t="s">
        <v>6483</v>
      </c>
      <c r="AB869" s="1" t="s">
        <v>2542</v>
      </c>
      <c r="AC869" s="1" t="s">
        <v>74</v>
      </c>
      <c r="AD869" s="1" t="s">
        <v>74</v>
      </c>
      <c r="AE869" s="1" t="s">
        <v>74</v>
      </c>
      <c r="AF869" s="1" t="s">
        <v>74</v>
      </c>
      <c r="AG869" s="1" t="s">
        <v>74</v>
      </c>
      <c r="AH869" s="1" t="s">
        <v>74</v>
      </c>
      <c r="AI869" s="1" t="s">
        <v>74</v>
      </c>
      <c r="AJ869" s="1" t="s">
        <v>74</v>
      </c>
      <c r="AK869" s="1" t="s">
        <v>74</v>
      </c>
      <c r="AL869" s="1" t="s">
        <v>74</v>
      </c>
      <c r="AM869" s="1" t="s">
        <v>74</v>
      </c>
      <c r="AN869" s="1" t="s">
        <v>74</v>
      </c>
      <c r="AO869" s="1" t="s">
        <v>1316</v>
      </c>
      <c r="AP869" s="1" t="s">
        <v>1317</v>
      </c>
      <c r="AQ869" s="1" t="s">
        <v>74</v>
      </c>
      <c r="AR869" s="1" t="s">
        <v>74</v>
      </c>
      <c r="AS869" s="1" t="s">
        <v>74</v>
      </c>
      <c r="AT869" s="1" t="s">
        <v>429</v>
      </c>
      <c r="AU869" s="1">
        <v>2009.0</v>
      </c>
      <c r="AV869" s="1">
        <v>324.0</v>
      </c>
      <c r="AW869" s="1">
        <v>5.0</v>
      </c>
      <c r="AX869" s="1" t="s">
        <v>74</v>
      </c>
      <c r="AY869" s="1" t="s">
        <v>74</v>
      </c>
      <c r="AZ869" s="1" t="s">
        <v>74</v>
      </c>
      <c r="BA869" s="1" t="s">
        <v>74</v>
      </c>
      <c r="BB869" s="1">
        <v>1078.0</v>
      </c>
      <c r="BC869" s="1">
        <v>1094.0</v>
      </c>
      <c r="BD869" s="1" t="s">
        <v>74</v>
      </c>
      <c r="BE869" s="1" t="s">
        <v>7261</v>
      </c>
      <c r="BF869" s="2" t="str">
        <f>HYPERLINK("http://dx.doi.org/10.1016/j.aop.2009.01.009","http://dx.doi.org/10.1016/j.aop.2009.01.009")</f>
        <v>http://dx.doi.org/10.1016/j.aop.2009.01.009</v>
      </c>
      <c r="BG869" s="1" t="s">
        <v>74</v>
      </c>
      <c r="BH869" s="1" t="s">
        <v>74</v>
      </c>
      <c r="BI869" s="1" t="s">
        <v>74</v>
      </c>
      <c r="BJ869" s="1" t="s">
        <v>74</v>
      </c>
      <c r="BK869" s="1" t="s">
        <v>74</v>
      </c>
      <c r="BL869" s="1" t="s">
        <v>74</v>
      </c>
      <c r="BM869" s="1" t="s">
        <v>74</v>
      </c>
      <c r="BN869" s="1" t="s">
        <v>74</v>
      </c>
      <c r="BO869" s="1" t="s">
        <v>74</v>
      </c>
      <c r="BP869" s="1" t="s">
        <v>74</v>
      </c>
      <c r="BQ869" s="1" t="s">
        <v>74</v>
      </c>
      <c r="BR869" s="1" t="s">
        <v>74</v>
      </c>
      <c r="BS869" s="1" t="s">
        <v>7262</v>
      </c>
      <c r="BT869" s="1" t="str">
        <f>HYPERLINK("https%3A%2F%2Fwww.webofscience.com%2Fwos%2Fwoscc%2Ffull-record%2FWOS:000265443500003","View Full Record in Web of Science")</f>
        <v>View Full Record in Web of Science</v>
      </c>
    </row>
    <row r="870" ht="12.75" customHeight="1">
      <c r="A870" s="1" t="s">
        <v>72</v>
      </c>
      <c r="B870" s="1" t="s">
        <v>7263</v>
      </c>
      <c r="C870" s="1" t="s">
        <v>74</v>
      </c>
      <c r="D870" s="1" t="s">
        <v>74</v>
      </c>
      <c r="E870" s="1" t="s">
        <v>74</v>
      </c>
      <c r="F870" s="1" t="s">
        <v>7264</v>
      </c>
      <c r="G870" s="1" t="s">
        <v>74</v>
      </c>
      <c r="H870" s="1" t="s">
        <v>74</v>
      </c>
      <c r="I870" s="1" t="s">
        <v>7265</v>
      </c>
      <c r="J870" s="1" t="s">
        <v>1766</v>
      </c>
      <c r="K870" s="1" t="s">
        <v>74</v>
      </c>
      <c r="L870" s="1" t="s">
        <v>74</v>
      </c>
      <c r="M870" s="1" t="s">
        <v>74</v>
      </c>
      <c r="N870" s="1" t="s">
        <v>74</v>
      </c>
      <c r="O870" s="1" t="s">
        <v>74</v>
      </c>
      <c r="P870" s="1" t="s">
        <v>74</v>
      </c>
      <c r="Q870" s="1" t="s">
        <v>74</v>
      </c>
      <c r="R870" s="1" t="s">
        <v>74</v>
      </c>
      <c r="S870" s="1" t="s">
        <v>74</v>
      </c>
      <c r="T870" s="1" t="s">
        <v>74</v>
      </c>
      <c r="U870" s="1" t="s">
        <v>74</v>
      </c>
      <c r="V870" s="1" t="s">
        <v>7266</v>
      </c>
      <c r="W870" s="1" t="s">
        <v>74</v>
      </c>
      <c r="X870" s="1" t="s">
        <v>74</v>
      </c>
      <c r="Y870" s="1" t="s">
        <v>74</v>
      </c>
      <c r="Z870" s="1" t="s">
        <v>74</v>
      </c>
      <c r="AA870" s="1" t="s">
        <v>1768</v>
      </c>
      <c r="AB870" s="1" t="s">
        <v>978</v>
      </c>
      <c r="AC870" s="1" t="s">
        <v>74</v>
      </c>
      <c r="AD870" s="1" t="s">
        <v>74</v>
      </c>
      <c r="AE870" s="1" t="s">
        <v>74</v>
      </c>
      <c r="AF870" s="1" t="s">
        <v>74</v>
      </c>
      <c r="AG870" s="1" t="s">
        <v>74</v>
      </c>
      <c r="AH870" s="1" t="s">
        <v>74</v>
      </c>
      <c r="AI870" s="1" t="s">
        <v>74</v>
      </c>
      <c r="AJ870" s="1" t="s">
        <v>74</v>
      </c>
      <c r="AK870" s="1" t="s">
        <v>74</v>
      </c>
      <c r="AL870" s="1" t="s">
        <v>74</v>
      </c>
      <c r="AM870" s="1" t="s">
        <v>74</v>
      </c>
      <c r="AN870" s="1" t="s">
        <v>74</v>
      </c>
      <c r="AO870" s="1" t="s">
        <v>1769</v>
      </c>
      <c r="AP870" s="1" t="s">
        <v>1770</v>
      </c>
      <c r="AQ870" s="1" t="s">
        <v>74</v>
      </c>
      <c r="AR870" s="1" t="s">
        <v>74</v>
      </c>
      <c r="AS870" s="1" t="s">
        <v>74</v>
      </c>
      <c r="AT870" s="1" t="s">
        <v>276</v>
      </c>
      <c r="AU870" s="1">
        <v>2008.0</v>
      </c>
      <c r="AV870" s="1">
        <v>88.0</v>
      </c>
      <c r="AW870" s="1">
        <v>1.0</v>
      </c>
      <c r="AX870" s="1" t="s">
        <v>74</v>
      </c>
      <c r="AY870" s="1" t="s">
        <v>74</v>
      </c>
      <c r="AZ870" s="1" t="s">
        <v>74</v>
      </c>
      <c r="BA870" s="1" t="s">
        <v>74</v>
      </c>
      <c r="BB870" s="1">
        <v>1.0</v>
      </c>
      <c r="BC870" s="1">
        <v>8.0</v>
      </c>
      <c r="BD870" s="1" t="s">
        <v>74</v>
      </c>
      <c r="BE870" s="1" t="s">
        <v>7267</v>
      </c>
      <c r="BF870" s="2" t="str">
        <f>HYPERLINK("http://dx.doi.org/10.1016/j.jfoodeng.2007.05.004","http://dx.doi.org/10.1016/j.jfoodeng.2007.05.004")</f>
        <v>http://dx.doi.org/10.1016/j.jfoodeng.2007.05.004</v>
      </c>
      <c r="BG870" s="1" t="s">
        <v>74</v>
      </c>
      <c r="BH870" s="1" t="s">
        <v>74</v>
      </c>
      <c r="BI870" s="1" t="s">
        <v>74</v>
      </c>
      <c r="BJ870" s="1" t="s">
        <v>74</v>
      </c>
      <c r="BK870" s="1" t="s">
        <v>74</v>
      </c>
      <c r="BL870" s="1" t="s">
        <v>74</v>
      </c>
      <c r="BM870" s="1" t="s">
        <v>74</v>
      </c>
      <c r="BN870" s="1" t="s">
        <v>74</v>
      </c>
      <c r="BO870" s="1" t="s">
        <v>74</v>
      </c>
      <c r="BP870" s="1" t="s">
        <v>74</v>
      </c>
      <c r="BQ870" s="1" t="s">
        <v>74</v>
      </c>
      <c r="BR870" s="1" t="s">
        <v>74</v>
      </c>
      <c r="BS870" s="1" t="s">
        <v>7268</v>
      </c>
      <c r="BT870" s="1" t="str">
        <f>HYPERLINK("https%3A%2F%2Fwww.webofscience.com%2Fwos%2Fwoscc%2Ffull-record%2FWOS:000256159700001","View Full Record in Web of Science")</f>
        <v>View Full Record in Web of Science</v>
      </c>
    </row>
    <row r="871" ht="12.75" customHeight="1">
      <c r="A871" s="1" t="s">
        <v>91</v>
      </c>
      <c r="B871" s="1" t="s">
        <v>7269</v>
      </c>
      <c r="C871" s="1" t="s">
        <v>74</v>
      </c>
      <c r="D871" s="1" t="s">
        <v>7270</v>
      </c>
      <c r="E871" s="1" t="s">
        <v>74</v>
      </c>
      <c r="F871" s="1" t="s">
        <v>7271</v>
      </c>
      <c r="G871" s="1" t="s">
        <v>74</v>
      </c>
      <c r="H871" s="1" t="s">
        <v>74</v>
      </c>
      <c r="I871" s="1" t="s">
        <v>7272</v>
      </c>
      <c r="J871" s="1" t="s">
        <v>7273</v>
      </c>
      <c r="K871" s="1" t="s">
        <v>887</v>
      </c>
      <c r="L871" s="1" t="s">
        <v>74</v>
      </c>
      <c r="M871" s="1" t="s">
        <v>74</v>
      </c>
      <c r="N871" s="1" t="s">
        <v>74</v>
      </c>
      <c r="O871" s="1" t="s">
        <v>7274</v>
      </c>
      <c r="P871" s="1" t="s">
        <v>7275</v>
      </c>
      <c r="Q871" s="1" t="s">
        <v>7276</v>
      </c>
      <c r="R871" s="1" t="s">
        <v>7277</v>
      </c>
      <c r="S871" s="1" t="s">
        <v>74</v>
      </c>
      <c r="T871" s="1" t="s">
        <v>74</v>
      </c>
      <c r="U871" s="1" t="s">
        <v>74</v>
      </c>
      <c r="V871" s="1" t="s">
        <v>7278</v>
      </c>
      <c r="W871" s="1" t="s">
        <v>74</v>
      </c>
      <c r="X871" s="1" t="s">
        <v>74</v>
      </c>
      <c r="Y871" s="1" t="s">
        <v>74</v>
      </c>
      <c r="Z871" s="1" t="s">
        <v>74</v>
      </c>
      <c r="AA871" s="1" t="s">
        <v>7279</v>
      </c>
      <c r="AB871" s="1" t="s">
        <v>7280</v>
      </c>
      <c r="AC871" s="1" t="s">
        <v>74</v>
      </c>
      <c r="AD871" s="1" t="s">
        <v>74</v>
      </c>
      <c r="AE871" s="1" t="s">
        <v>74</v>
      </c>
      <c r="AF871" s="1" t="s">
        <v>74</v>
      </c>
      <c r="AG871" s="1" t="s">
        <v>74</v>
      </c>
      <c r="AH871" s="1" t="s">
        <v>74</v>
      </c>
      <c r="AI871" s="1" t="s">
        <v>74</v>
      </c>
      <c r="AJ871" s="1" t="s">
        <v>74</v>
      </c>
      <c r="AK871" s="1" t="s">
        <v>74</v>
      </c>
      <c r="AL871" s="1" t="s">
        <v>74</v>
      </c>
      <c r="AM871" s="1" t="s">
        <v>74</v>
      </c>
      <c r="AN871" s="1" t="s">
        <v>74</v>
      </c>
      <c r="AO871" s="1" t="s">
        <v>893</v>
      </c>
      <c r="AP871" s="1" t="s">
        <v>74</v>
      </c>
      <c r="AQ871" s="1" t="s">
        <v>7281</v>
      </c>
      <c r="AR871" s="1" t="s">
        <v>74</v>
      </c>
      <c r="AS871" s="1" t="s">
        <v>74</v>
      </c>
      <c r="AT871" s="1" t="s">
        <v>74</v>
      </c>
      <c r="AU871" s="1">
        <v>2007.0</v>
      </c>
      <c r="AV871" s="1">
        <v>4492.0</v>
      </c>
      <c r="AW871" s="1" t="s">
        <v>74</v>
      </c>
      <c r="AX871" s="1" t="s">
        <v>74</v>
      </c>
      <c r="AY871" s="1" t="s">
        <v>74</v>
      </c>
      <c r="AZ871" s="1" t="s">
        <v>74</v>
      </c>
      <c r="BA871" s="1" t="s">
        <v>74</v>
      </c>
      <c r="BB871" s="1">
        <v>391.0</v>
      </c>
      <c r="BC871" s="1" t="s">
        <v>631</v>
      </c>
      <c r="BD871" s="1" t="s">
        <v>74</v>
      </c>
      <c r="BE871" s="1" t="s">
        <v>74</v>
      </c>
      <c r="BF871" s="1" t="s">
        <v>74</v>
      </c>
      <c r="BG871" s="1" t="s">
        <v>74</v>
      </c>
      <c r="BH871" s="1" t="s">
        <v>74</v>
      </c>
      <c r="BI871" s="1" t="s">
        <v>74</v>
      </c>
      <c r="BJ871" s="1" t="s">
        <v>74</v>
      </c>
      <c r="BK871" s="1" t="s">
        <v>74</v>
      </c>
      <c r="BL871" s="1" t="s">
        <v>74</v>
      </c>
      <c r="BM871" s="1" t="s">
        <v>74</v>
      </c>
      <c r="BN871" s="1" t="s">
        <v>74</v>
      </c>
      <c r="BO871" s="1" t="s">
        <v>74</v>
      </c>
      <c r="BP871" s="1" t="s">
        <v>74</v>
      </c>
      <c r="BQ871" s="1" t="s">
        <v>74</v>
      </c>
      <c r="BR871" s="1" t="s">
        <v>74</v>
      </c>
      <c r="BS871" s="1" t="s">
        <v>7282</v>
      </c>
      <c r="BT871" s="1" t="str">
        <f>HYPERLINK("https%3A%2F%2Fwww.webofscience.com%2Fwos%2Fwoscc%2Ffull-record%2FWOS:000247831300047","View Full Record in Web of Science")</f>
        <v>View Full Record in Web of Science</v>
      </c>
    </row>
    <row r="872" ht="12.75" customHeight="1">
      <c r="A872" s="1" t="s">
        <v>72</v>
      </c>
      <c r="B872" s="1" t="s">
        <v>7283</v>
      </c>
      <c r="C872" s="1" t="s">
        <v>74</v>
      </c>
      <c r="D872" s="1" t="s">
        <v>74</v>
      </c>
      <c r="E872" s="1" t="s">
        <v>74</v>
      </c>
      <c r="F872" s="1" t="s">
        <v>7284</v>
      </c>
      <c r="G872" s="1" t="s">
        <v>74</v>
      </c>
      <c r="H872" s="1" t="s">
        <v>74</v>
      </c>
      <c r="I872" s="1" t="s">
        <v>7285</v>
      </c>
      <c r="J872" s="1" t="s">
        <v>3678</v>
      </c>
      <c r="K872" s="1" t="s">
        <v>74</v>
      </c>
      <c r="L872" s="1" t="s">
        <v>74</v>
      </c>
      <c r="M872" s="1" t="s">
        <v>74</v>
      </c>
      <c r="N872" s="1" t="s">
        <v>74</v>
      </c>
      <c r="O872" s="1" t="s">
        <v>74</v>
      </c>
      <c r="P872" s="1" t="s">
        <v>74</v>
      </c>
      <c r="Q872" s="1" t="s">
        <v>74</v>
      </c>
      <c r="R872" s="1" t="s">
        <v>74</v>
      </c>
      <c r="S872" s="1" t="s">
        <v>74</v>
      </c>
      <c r="T872" s="1" t="s">
        <v>74</v>
      </c>
      <c r="U872" s="1" t="s">
        <v>74</v>
      </c>
      <c r="V872" s="1" t="s">
        <v>7286</v>
      </c>
      <c r="W872" s="1" t="s">
        <v>74</v>
      </c>
      <c r="X872" s="1" t="s">
        <v>74</v>
      </c>
      <c r="Y872" s="1" t="s">
        <v>74</v>
      </c>
      <c r="Z872" s="1" t="s">
        <v>74</v>
      </c>
      <c r="AA872" s="1" t="s">
        <v>74</v>
      </c>
      <c r="AB872" s="1" t="s">
        <v>6452</v>
      </c>
      <c r="AC872" s="1" t="s">
        <v>74</v>
      </c>
      <c r="AD872" s="1" t="s">
        <v>74</v>
      </c>
      <c r="AE872" s="1" t="s">
        <v>74</v>
      </c>
      <c r="AF872" s="1" t="s">
        <v>74</v>
      </c>
      <c r="AG872" s="1" t="s">
        <v>74</v>
      </c>
      <c r="AH872" s="1" t="s">
        <v>74</v>
      </c>
      <c r="AI872" s="1" t="s">
        <v>74</v>
      </c>
      <c r="AJ872" s="1" t="s">
        <v>74</v>
      </c>
      <c r="AK872" s="1" t="s">
        <v>74</v>
      </c>
      <c r="AL872" s="1" t="s">
        <v>74</v>
      </c>
      <c r="AM872" s="1" t="s">
        <v>74</v>
      </c>
      <c r="AN872" s="1" t="s">
        <v>74</v>
      </c>
      <c r="AO872" s="1" t="s">
        <v>3681</v>
      </c>
      <c r="AP872" s="1" t="s">
        <v>3682</v>
      </c>
      <c r="AQ872" s="1" t="s">
        <v>74</v>
      </c>
      <c r="AR872" s="1" t="s">
        <v>74</v>
      </c>
      <c r="AS872" s="1" t="s">
        <v>74</v>
      </c>
      <c r="AT872" s="1" t="s">
        <v>1293</v>
      </c>
      <c r="AU872" s="1">
        <v>2007.0</v>
      </c>
      <c r="AV872" s="1">
        <v>35.0</v>
      </c>
      <c r="AW872" s="1">
        <v>1.0</v>
      </c>
      <c r="AX872" s="1" t="s">
        <v>74</v>
      </c>
      <c r="AY872" s="1" t="s">
        <v>74</v>
      </c>
      <c r="AZ872" s="1" t="s">
        <v>74</v>
      </c>
      <c r="BA872" s="1" t="s">
        <v>74</v>
      </c>
      <c r="BB872" s="1">
        <v>25.0</v>
      </c>
      <c r="BC872" s="1">
        <v>31.0</v>
      </c>
      <c r="BD872" s="1" t="s">
        <v>74</v>
      </c>
      <c r="BE872" s="1" t="s">
        <v>74</v>
      </c>
      <c r="BF872" s="1" t="s">
        <v>74</v>
      </c>
      <c r="BG872" s="1" t="s">
        <v>74</v>
      </c>
      <c r="BH872" s="1" t="s">
        <v>74</v>
      </c>
      <c r="BI872" s="1" t="s">
        <v>74</v>
      </c>
      <c r="BJ872" s="1" t="s">
        <v>74</v>
      </c>
      <c r="BK872" s="1" t="s">
        <v>74</v>
      </c>
      <c r="BL872" s="1" t="s">
        <v>74</v>
      </c>
      <c r="BM872" s="1" t="s">
        <v>74</v>
      </c>
      <c r="BN872" s="1">
        <v>1.7338899E7</v>
      </c>
      <c r="BO872" s="1" t="s">
        <v>74</v>
      </c>
      <c r="BP872" s="1" t="s">
        <v>74</v>
      </c>
      <c r="BQ872" s="1" t="s">
        <v>74</v>
      </c>
      <c r="BR872" s="1" t="s">
        <v>74</v>
      </c>
      <c r="BS872" s="1" t="s">
        <v>7287</v>
      </c>
      <c r="BT872" s="1" t="str">
        <f>HYPERLINK("https%3A%2F%2Fwww.webofscience.com%2Fwos%2Fwoscc%2Ffull-record%2FWOS:000253857900006","View Full Record in Web of Science")</f>
        <v>View Full Record in Web of Science</v>
      </c>
    </row>
    <row r="873" ht="12.75" customHeight="1">
      <c r="A873" s="1" t="s">
        <v>72</v>
      </c>
      <c r="B873" s="1" t="s">
        <v>7288</v>
      </c>
      <c r="C873" s="1" t="s">
        <v>74</v>
      </c>
      <c r="D873" s="1" t="s">
        <v>74</v>
      </c>
      <c r="E873" s="1" t="s">
        <v>74</v>
      </c>
      <c r="F873" s="1" t="s">
        <v>7289</v>
      </c>
      <c r="G873" s="1" t="s">
        <v>74</v>
      </c>
      <c r="H873" s="1" t="s">
        <v>74</v>
      </c>
      <c r="I873" s="1" t="s">
        <v>7290</v>
      </c>
      <c r="J873" s="1" t="s">
        <v>920</v>
      </c>
      <c r="K873" s="1" t="s">
        <v>74</v>
      </c>
      <c r="L873" s="1" t="s">
        <v>74</v>
      </c>
      <c r="M873" s="1" t="s">
        <v>74</v>
      </c>
      <c r="N873" s="1" t="s">
        <v>74</v>
      </c>
      <c r="O873" s="1" t="s">
        <v>74</v>
      </c>
      <c r="P873" s="1" t="s">
        <v>74</v>
      </c>
      <c r="Q873" s="1" t="s">
        <v>74</v>
      </c>
      <c r="R873" s="1" t="s">
        <v>74</v>
      </c>
      <c r="S873" s="1" t="s">
        <v>74</v>
      </c>
      <c r="T873" s="1" t="s">
        <v>74</v>
      </c>
      <c r="U873" s="1" t="s">
        <v>74</v>
      </c>
      <c r="V873" s="1" t="s">
        <v>7291</v>
      </c>
      <c r="W873" s="1" t="s">
        <v>74</v>
      </c>
      <c r="X873" s="1" t="s">
        <v>74</v>
      </c>
      <c r="Y873" s="1" t="s">
        <v>74</v>
      </c>
      <c r="Z873" s="1" t="s">
        <v>74</v>
      </c>
      <c r="AA873" s="1" t="s">
        <v>74</v>
      </c>
      <c r="AB873" s="1" t="s">
        <v>4188</v>
      </c>
      <c r="AC873" s="1" t="s">
        <v>74</v>
      </c>
      <c r="AD873" s="1" t="s">
        <v>74</v>
      </c>
      <c r="AE873" s="1" t="s">
        <v>74</v>
      </c>
      <c r="AF873" s="1" t="s">
        <v>74</v>
      </c>
      <c r="AG873" s="1" t="s">
        <v>74</v>
      </c>
      <c r="AH873" s="1" t="s">
        <v>74</v>
      </c>
      <c r="AI873" s="1" t="s">
        <v>74</v>
      </c>
      <c r="AJ873" s="1" t="s">
        <v>74</v>
      </c>
      <c r="AK873" s="1" t="s">
        <v>74</v>
      </c>
      <c r="AL873" s="1" t="s">
        <v>74</v>
      </c>
      <c r="AM873" s="1" t="s">
        <v>74</v>
      </c>
      <c r="AN873" s="1" t="s">
        <v>74</v>
      </c>
      <c r="AO873" s="1" t="s">
        <v>922</v>
      </c>
      <c r="AP873" s="1" t="s">
        <v>4070</v>
      </c>
      <c r="AQ873" s="1" t="s">
        <v>74</v>
      </c>
      <c r="AR873" s="1" t="s">
        <v>74</v>
      </c>
      <c r="AS873" s="1" t="s">
        <v>74</v>
      </c>
      <c r="AT873" s="1" t="s">
        <v>129</v>
      </c>
      <c r="AU873" s="1">
        <v>2006.0</v>
      </c>
      <c r="AV873" s="1">
        <v>42.0</v>
      </c>
      <c r="AW873" s="1">
        <v>5.0</v>
      </c>
      <c r="AX873" s="1" t="s">
        <v>74</v>
      </c>
      <c r="AY873" s="1" t="s">
        <v>74</v>
      </c>
      <c r="AZ873" s="1" t="s">
        <v>74</v>
      </c>
      <c r="BA873" s="1" t="s">
        <v>74</v>
      </c>
      <c r="BB873" s="1">
        <v>354.0</v>
      </c>
      <c r="BC873" s="1">
        <v>366.0</v>
      </c>
      <c r="BD873" s="1" t="s">
        <v>74</v>
      </c>
      <c r="BE873" s="1" t="s">
        <v>74</v>
      </c>
      <c r="BF873" s="1" t="s">
        <v>74</v>
      </c>
      <c r="BG873" s="1" t="s">
        <v>74</v>
      </c>
      <c r="BH873" s="1" t="s">
        <v>74</v>
      </c>
      <c r="BI873" s="1" t="s">
        <v>74</v>
      </c>
      <c r="BJ873" s="1" t="s">
        <v>74</v>
      </c>
      <c r="BK873" s="1" t="s">
        <v>74</v>
      </c>
      <c r="BL873" s="1" t="s">
        <v>74</v>
      </c>
      <c r="BM873" s="1" t="s">
        <v>74</v>
      </c>
      <c r="BN873" s="1" t="s">
        <v>74</v>
      </c>
      <c r="BO873" s="1" t="s">
        <v>74</v>
      </c>
      <c r="BP873" s="1" t="s">
        <v>74</v>
      </c>
      <c r="BQ873" s="1" t="s">
        <v>74</v>
      </c>
      <c r="BR873" s="1" t="s">
        <v>74</v>
      </c>
      <c r="BS873" s="1" t="s">
        <v>7292</v>
      </c>
      <c r="BT873" s="1" t="str">
        <f>HYPERLINK("https%3A%2F%2Fwww.webofscience.com%2Fwos%2Fwoscc%2Ffull-record%2FWOS:000242231000004","View Full Record in Web of Science")</f>
        <v>View Full Record in Web of Science</v>
      </c>
    </row>
    <row r="874" ht="12.75" customHeight="1">
      <c r="A874" s="1" t="s">
        <v>72</v>
      </c>
      <c r="B874" s="1" t="s">
        <v>7293</v>
      </c>
      <c r="C874" s="1" t="s">
        <v>74</v>
      </c>
      <c r="D874" s="1" t="s">
        <v>74</v>
      </c>
      <c r="E874" s="1" t="s">
        <v>74</v>
      </c>
      <c r="F874" s="1" t="s">
        <v>7293</v>
      </c>
      <c r="G874" s="1" t="s">
        <v>74</v>
      </c>
      <c r="H874" s="1" t="s">
        <v>74</v>
      </c>
      <c r="I874" s="1" t="s">
        <v>7294</v>
      </c>
      <c r="J874" s="1" t="s">
        <v>1050</v>
      </c>
      <c r="K874" s="1" t="s">
        <v>74</v>
      </c>
      <c r="L874" s="1" t="s">
        <v>74</v>
      </c>
      <c r="M874" s="1" t="s">
        <v>74</v>
      </c>
      <c r="N874" s="1" t="s">
        <v>74</v>
      </c>
      <c r="O874" s="1" t="s">
        <v>74</v>
      </c>
      <c r="P874" s="1" t="s">
        <v>74</v>
      </c>
      <c r="Q874" s="1" t="s">
        <v>74</v>
      </c>
      <c r="R874" s="1" t="s">
        <v>74</v>
      </c>
      <c r="S874" s="1" t="s">
        <v>74</v>
      </c>
      <c r="T874" s="1" t="s">
        <v>74</v>
      </c>
      <c r="U874" s="1" t="s">
        <v>74</v>
      </c>
      <c r="V874" s="1" t="s">
        <v>7295</v>
      </c>
      <c r="W874" s="1" t="s">
        <v>74</v>
      </c>
      <c r="X874" s="1" t="s">
        <v>74</v>
      </c>
      <c r="Y874" s="1" t="s">
        <v>74</v>
      </c>
      <c r="Z874" s="1" t="s">
        <v>74</v>
      </c>
      <c r="AA874" s="1" t="s">
        <v>7296</v>
      </c>
      <c r="AB874" s="1" t="s">
        <v>7297</v>
      </c>
      <c r="AC874" s="1" t="s">
        <v>74</v>
      </c>
      <c r="AD874" s="1" t="s">
        <v>74</v>
      </c>
      <c r="AE874" s="1" t="s">
        <v>74</v>
      </c>
      <c r="AF874" s="1" t="s">
        <v>74</v>
      </c>
      <c r="AG874" s="1" t="s">
        <v>74</v>
      </c>
      <c r="AH874" s="1" t="s">
        <v>74</v>
      </c>
      <c r="AI874" s="1" t="s">
        <v>74</v>
      </c>
      <c r="AJ874" s="1" t="s">
        <v>74</v>
      </c>
      <c r="AK874" s="1" t="s">
        <v>74</v>
      </c>
      <c r="AL874" s="1" t="s">
        <v>74</v>
      </c>
      <c r="AM874" s="1" t="s">
        <v>74</v>
      </c>
      <c r="AN874" s="1" t="s">
        <v>74</v>
      </c>
      <c r="AO874" s="1" t="s">
        <v>1054</v>
      </c>
      <c r="AP874" s="1" t="s">
        <v>74</v>
      </c>
      <c r="AQ874" s="1" t="s">
        <v>74</v>
      </c>
      <c r="AR874" s="1" t="s">
        <v>74</v>
      </c>
      <c r="AS874" s="1" t="s">
        <v>74</v>
      </c>
      <c r="AT874" s="1" t="s">
        <v>148</v>
      </c>
      <c r="AU874" s="1">
        <v>2005.0</v>
      </c>
      <c r="AV874" s="1">
        <v>50.0</v>
      </c>
      <c r="AW874" s="1">
        <v>1.0</v>
      </c>
      <c r="AX874" s="1" t="s">
        <v>74</v>
      </c>
      <c r="AY874" s="1" t="s">
        <v>74</v>
      </c>
      <c r="AZ874" s="1" t="s">
        <v>74</v>
      </c>
      <c r="BA874" s="1" t="s">
        <v>74</v>
      </c>
      <c r="BB874" s="1">
        <v>379.0</v>
      </c>
      <c r="BC874" s="1">
        <v>381.0</v>
      </c>
      <c r="BD874" s="1" t="s">
        <v>74</v>
      </c>
      <c r="BE874" s="1" t="s">
        <v>7298</v>
      </c>
      <c r="BF874" s="2" t="str">
        <f>HYPERLINK("http://dx.doi.org/10.4067/S0717-97072005000100002","http://dx.doi.org/10.4067/S0717-97072005000100002")</f>
        <v>http://dx.doi.org/10.4067/S0717-97072005000100002</v>
      </c>
      <c r="BG874" s="1" t="s">
        <v>74</v>
      </c>
      <c r="BH874" s="1" t="s">
        <v>74</v>
      </c>
      <c r="BI874" s="1" t="s">
        <v>74</v>
      </c>
      <c r="BJ874" s="1" t="s">
        <v>74</v>
      </c>
      <c r="BK874" s="1" t="s">
        <v>74</v>
      </c>
      <c r="BL874" s="1" t="s">
        <v>74</v>
      </c>
      <c r="BM874" s="1" t="s">
        <v>74</v>
      </c>
      <c r="BN874" s="1" t="s">
        <v>74</v>
      </c>
      <c r="BO874" s="1" t="s">
        <v>74</v>
      </c>
      <c r="BP874" s="1" t="s">
        <v>74</v>
      </c>
      <c r="BQ874" s="1" t="s">
        <v>74</v>
      </c>
      <c r="BR874" s="1" t="s">
        <v>74</v>
      </c>
      <c r="BS874" s="1" t="s">
        <v>7299</v>
      </c>
      <c r="BT874" s="1" t="str">
        <f>HYPERLINK("https%3A%2F%2Fwww.webofscience.com%2Fwos%2Fwoscc%2Ffull-record%2FWOS:000230996800002","View Full Record in Web of Science")</f>
        <v>View Full Record in Web of Science</v>
      </c>
    </row>
    <row r="875" ht="12.75" customHeight="1">
      <c r="A875" s="1" t="s">
        <v>72</v>
      </c>
      <c r="B875" s="1" t="s">
        <v>7300</v>
      </c>
      <c r="C875" s="1" t="s">
        <v>74</v>
      </c>
      <c r="D875" s="1" t="s">
        <v>74</v>
      </c>
      <c r="E875" s="1" t="s">
        <v>74</v>
      </c>
      <c r="F875" s="1" t="s">
        <v>7300</v>
      </c>
      <c r="G875" s="1" t="s">
        <v>74</v>
      </c>
      <c r="H875" s="1" t="s">
        <v>74</v>
      </c>
      <c r="I875" s="1" t="s">
        <v>7301</v>
      </c>
      <c r="J875" s="1" t="s">
        <v>7302</v>
      </c>
      <c r="K875" s="1" t="s">
        <v>74</v>
      </c>
      <c r="L875" s="1" t="s">
        <v>74</v>
      </c>
      <c r="M875" s="1" t="s">
        <v>74</v>
      </c>
      <c r="N875" s="1" t="s">
        <v>74</v>
      </c>
      <c r="O875" s="1" t="s">
        <v>74</v>
      </c>
      <c r="P875" s="1" t="s">
        <v>74</v>
      </c>
      <c r="Q875" s="1" t="s">
        <v>74</v>
      </c>
      <c r="R875" s="1" t="s">
        <v>74</v>
      </c>
      <c r="S875" s="1" t="s">
        <v>74</v>
      </c>
      <c r="T875" s="1" t="s">
        <v>74</v>
      </c>
      <c r="U875" s="1" t="s">
        <v>74</v>
      </c>
      <c r="V875" s="1" t="s">
        <v>7303</v>
      </c>
      <c r="W875" s="1" t="s">
        <v>74</v>
      </c>
      <c r="X875" s="1" t="s">
        <v>74</v>
      </c>
      <c r="Y875" s="1" t="s">
        <v>74</v>
      </c>
      <c r="Z875" s="1" t="s">
        <v>74</v>
      </c>
      <c r="AA875" s="1" t="s">
        <v>7304</v>
      </c>
      <c r="AB875" s="1" t="s">
        <v>7305</v>
      </c>
      <c r="AC875" s="1" t="s">
        <v>74</v>
      </c>
      <c r="AD875" s="1" t="s">
        <v>74</v>
      </c>
      <c r="AE875" s="1" t="s">
        <v>74</v>
      </c>
      <c r="AF875" s="1" t="s">
        <v>74</v>
      </c>
      <c r="AG875" s="1" t="s">
        <v>74</v>
      </c>
      <c r="AH875" s="1" t="s">
        <v>74</v>
      </c>
      <c r="AI875" s="1" t="s">
        <v>74</v>
      </c>
      <c r="AJ875" s="1" t="s">
        <v>74</v>
      </c>
      <c r="AK875" s="1" t="s">
        <v>74</v>
      </c>
      <c r="AL875" s="1" t="s">
        <v>74</v>
      </c>
      <c r="AM875" s="1" t="s">
        <v>74</v>
      </c>
      <c r="AN875" s="1" t="s">
        <v>74</v>
      </c>
      <c r="AO875" s="1" t="s">
        <v>7306</v>
      </c>
      <c r="AP875" s="1" t="s">
        <v>7307</v>
      </c>
      <c r="AQ875" s="1" t="s">
        <v>74</v>
      </c>
      <c r="AR875" s="1" t="s">
        <v>74</v>
      </c>
      <c r="AS875" s="1" t="s">
        <v>74</v>
      </c>
      <c r="AT875" s="1" t="s">
        <v>276</v>
      </c>
      <c r="AU875" s="1">
        <v>2004.0</v>
      </c>
      <c r="AV875" s="1">
        <v>62.0</v>
      </c>
      <c r="AW875" s="1">
        <v>3.0</v>
      </c>
      <c r="AX875" s="1" t="s">
        <v>74</v>
      </c>
      <c r="AY875" s="1" t="s">
        <v>74</v>
      </c>
      <c r="AZ875" s="1" t="s">
        <v>74</v>
      </c>
      <c r="BA875" s="1" t="s">
        <v>74</v>
      </c>
      <c r="BB875" s="1">
        <v>277.0</v>
      </c>
      <c r="BC875" s="1">
        <v>281.0</v>
      </c>
      <c r="BD875" s="1" t="s">
        <v>74</v>
      </c>
      <c r="BE875" s="1" t="s">
        <v>7308</v>
      </c>
      <c r="BF875" s="2" t="str">
        <f>HYPERLINK("http://dx.doi.org/10.1016/j.dyepig.2003.11.012","http://dx.doi.org/10.1016/j.dyepig.2003.11.012")</f>
        <v>http://dx.doi.org/10.1016/j.dyepig.2003.11.012</v>
      </c>
      <c r="BG875" s="1" t="s">
        <v>74</v>
      </c>
      <c r="BH875" s="1" t="s">
        <v>74</v>
      </c>
      <c r="BI875" s="1" t="s">
        <v>74</v>
      </c>
      <c r="BJ875" s="1" t="s">
        <v>74</v>
      </c>
      <c r="BK875" s="1" t="s">
        <v>74</v>
      </c>
      <c r="BL875" s="1" t="s">
        <v>74</v>
      </c>
      <c r="BM875" s="1" t="s">
        <v>74</v>
      </c>
      <c r="BN875" s="1" t="s">
        <v>74</v>
      </c>
      <c r="BO875" s="1" t="s">
        <v>74</v>
      </c>
      <c r="BP875" s="1" t="s">
        <v>74</v>
      </c>
      <c r="BQ875" s="1" t="s">
        <v>74</v>
      </c>
      <c r="BR875" s="1" t="s">
        <v>74</v>
      </c>
      <c r="BS875" s="1" t="s">
        <v>7309</v>
      </c>
      <c r="BT875" s="1" t="str">
        <f>HYPERLINK("https%3A%2F%2Fwww.webofscience.com%2Fwos%2Fwoscc%2Ffull-record%2FWOS:000221277300009","View Full Record in Web of Science")</f>
        <v>View Full Record in Web of Science</v>
      </c>
    </row>
    <row r="876" ht="12.75" customHeight="1">
      <c r="A876" s="1" t="s">
        <v>91</v>
      </c>
      <c r="B876" s="1" t="s">
        <v>397</v>
      </c>
      <c r="C876" s="1" t="s">
        <v>74</v>
      </c>
      <c r="D876" s="1" t="s">
        <v>7310</v>
      </c>
      <c r="E876" s="1" t="s">
        <v>74</v>
      </c>
      <c r="F876" s="1" t="s">
        <v>397</v>
      </c>
      <c r="G876" s="1" t="s">
        <v>74</v>
      </c>
      <c r="H876" s="1" t="s">
        <v>74</v>
      </c>
      <c r="I876" s="1" t="s">
        <v>7311</v>
      </c>
      <c r="J876" s="1" t="s">
        <v>7312</v>
      </c>
      <c r="K876" s="1" t="s">
        <v>74</v>
      </c>
      <c r="L876" s="1" t="s">
        <v>74</v>
      </c>
      <c r="M876" s="1" t="s">
        <v>74</v>
      </c>
      <c r="N876" s="1" t="s">
        <v>74</v>
      </c>
      <c r="O876" s="1" t="s">
        <v>7313</v>
      </c>
      <c r="P876" s="1" t="s">
        <v>7314</v>
      </c>
      <c r="Q876" s="1" t="s">
        <v>7315</v>
      </c>
      <c r="R876" s="1" t="s">
        <v>7316</v>
      </c>
      <c r="S876" s="1" t="s">
        <v>74</v>
      </c>
      <c r="T876" s="1" t="s">
        <v>74</v>
      </c>
      <c r="U876" s="1" t="s">
        <v>74</v>
      </c>
      <c r="V876" s="1" t="s">
        <v>7317</v>
      </c>
      <c r="W876" s="1" t="s">
        <v>74</v>
      </c>
      <c r="X876" s="1" t="s">
        <v>74</v>
      </c>
      <c r="Y876" s="1" t="s">
        <v>74</v>
      </c>
      <c r="Z876" s="1" t="s">
        <v>74</v>
      </c>
      <c r="AA876" s="1" t="s">
        <v>74</v>
      </c>
      <c r="AB876" s="1" t="s">
        <v>74</v>
      </c>
      <c r="AC876" s="1" t="s">
        <v>74</v>
      </c>
      <c r="AD876" s="1" t="s">
        <v>74</v>
      </c>
      <c r="AE876" s="1" t="s">
        <v>74</v>
      </c>
      <c r="AF876" s="1" t="s">
        <v>74</v>
      </c>
      <c r="AG876" s="1" t="s">
        <v>74</v>
      </c>
      <c r="AH876" s="1" t="s">
        <v>74</v>
      </c>
      <c r="AI876" s="1" t="s">
        <v>74</v>
      </c>
      <c r="AJ876" s="1" t="s">
        <v>74</v>
      </c>
      <c r="AK876" s="1" t="s">
        <v>74</v>
      </c>
      <c r="AL876" s="1" t="s">
        <v>74</v>
      </c>
      <c r="AM876" s="1" t="s">
        <v>74</v>
      </c>
      <c r="AN876" s="1" t="s">
        <v>74</v>
      </c>
      <c r="AO876" s="1" t="s">
        <v>74</v>
      </c>
      <c r="AP876" s="1" t="s">
        <v>74</v>
      </c>
      <c r="AQ876" s="1" t="s">
        <v>7318</v>
      </c>
      <c r="AR876" s="1" t="s">
        <v>74</v>
      </c>
      <c r="AS876" s="1" t="s">
        <v>74</v>
      </c>
      <c r="AT876" s="1" t="s">
        <v>74</v>
      </c>
      <c r="AU876" s="1">
        <v>2004.0</v>
      </c>
      <c r="AV876" s="1" t="s">
        <v>74</v>
      </c>
      <c r="AW876" s="1" t="s">
        <v>74</v>
      </c>
      <c r="AX876" s="1" t="s">
        <v>74</v>
      </c>
      <c r="AY876" s="1" t="s">
        <v>74</v>
      </c>
      <c r="AZ876" s="1" t="s">
        <v>74</v>
      </c>
      <c r="BA876" s="1" t="s">
        <v>74</v>
      </c>
      <c r="BB876" s="1">
        <v>402.0</v>
      </c>
      <c r="BC876" s="1">
        <v>405.0</v>
      </c>
      <c r="BD876" s="1" t="s">
        <v>74</v>
      </c>
      <c r="BE876" s="1" t="s">
        <v>74</v>
      </c>
      <c r="BF876" s="1" t="s">
        <v>74</v>
      </c>
      <c r="BG876" s="1" t="s">
        <v>74</v>
      </c>
      <c r="BH876" s="1" t="s">
        <v>74</v>
      </c>
      <c r="BI876" s="1" t="s">
        <v>74</v>
      </c>
      <c r="BJ876" s="1" t="s">
        <v>74</v>
      </c>
      <c r="BK876" s="1" t="s">
        <v>74</v>
      </c>
      <c r="BL876" s="1" t="s">
        <v>74</v>
      </c>
      <c r="BM876" s="1" t="s">
        <v>74</v>
      </c>
      <c r="BN876" s="1" t="s">
        <v>74</v>
      </c>
      <c r="BO876" s="1" t="s">
        <v>74</v>
      </c>
      <c r="BP876" s="1" t="s">
        <v>74</v>
      </c>
      <c r="BQ876" s="1" t="s">
        <v>74</v>
      </c>
      <c r="BR876" s="1" t="s">
        <v>74</v>
      </c>
      <c r="BS876" s="1" t="s">
        <v>7319</v>
      </c>
      <c r="BT876" s="1" t="str">
        <f>HYPERLINK("https%3A%2F%2Fwww.webofscience.com%2Fwos%2Fwoscc%2Ffull-record%2FWOS:000227674600074","View Full Record in Web of Science")</f>
        <v>View Full Record in Web of Science</v>
      </c>
    </row>
    <row r="877" ht="12.75" customHeight="1">
      <c r="A877" s="1" t="s">
        <v>72</v>
      </c>
      <c r="B877" s="1" t="s">
        <v>7320</v>
      </c>
      <c r="C877" s="1" t="s">
        <v>74</v>
      </c>
      <c r="D877" s="1" t="s">
        <v>74</v>
      </c>
      <c r="E877" s="1" t="s">
        <v>74</v>
      </c>
      <c r="F877" s="1" t="s">
        <v>7320</v>
      </c>
      <c r="G877" s="1" t="s">
        <v>74</v>
      </c>
      <c r="H877" s="1" t="s">
        <v>74</v>
      </c>
      <c r="I877" s="1" t="s">
        <v>7321</v>
      </c>
      <c r="J877" s="1" t="s">
        <v>954</v>
      </c>
      <c r="K877" s="1" t="s">
        <v>74</v>
      </c>
      <c r="L877" s="1" t="s">
        <v>74</v>
      </c>
      <c r="M877" s="1" t="s">
        <v>74</v>
      </c>
      <c r="N877" s="1" t="s">
        <v>74</v>
      </c>
      <c r="O877" s="1" t="s">
        <v>74</v>
      </c>
      <c r="P877" s="1" t="s">
        <v>74</v>
      </c>
      <c r="Q877" s="1" t="s">
        <v>74</v>
      </c>
      <c r="R877" s="1" t="s">
        <v>74</v>
      </c>
      <c r="S877" s="1" t="s">
        <v>74</v>
      </c>
      <c r="T877" s="1" t="s">
        <v>74</v>
      </c>
      <c r="U877" s="1" t="s">
        <v>74</v>
      </c>
      <c r="V877" s="1" t="s">
        <v>7322</v>
      </c>
      <c r="W877" s="1" t="s">
        <v>74</v>
      </c>
      <c r="X877" s="1" t="s">
        <v>74</v>
      </c>
      <c r="Y877" s="1" t="s">
        <v>74</v>
      </c>
      <c r="Z877" s="1" t="s">
        <v>74</v>
      </c>
      <c r="AA877" s="1" t="s">
        <v>74</v>
      </c>
      <c r="AB877" s="1" t="s">
        <v>74</v>
      </c>
      <c r="AC877" s="1" t="s">
        <v>74</v>
      </c>
      <c r="AD877" s="1" t="s">
        <v>74</v>
      </c>
      <c r="AE877" s="1" t="s">
        <v>74</v>
      </c>
      <c r="AF877" s="1" t="s">
        <v>74</v>
      </c>
      <c r="AG877" s="1" t="s">
        <v>74</v>
      </c>
      <c r="AH877" s="1" t="s">
        <v>74</v>
      </c>
      <c r="AI877" s="1" t="s">
        <v>74</v>
      </c>
      <c r="AJ877" s="1" t="s">
        <v>74</v>
      </c>
      <c r="AK877" s="1" t="s">
        <v>74</v>
      </c>
      <c r="AL877" s="1" t="s">
        <v>74</v>
      </c>
      <c r="AM877" s="1" t="s">
        <v>74</v>
      </c>
      <c r="AN877" s="1" t="s">
        <v>74</v>
      </c>
      <c r="AO877" s="1" t="s">
        <v>956</v>
      </c>
      <c r="AP877" s="1" t="s">
        <v>1796</v>
      </c>
      <c r="AQ877" s="1" t="s">
        <v>74</v>
      </c>
      <c r="AR877" s="1" t="s">
        <v>74</v>
      </c>
      <c r="AS877" s="1" t="s">
        <v>74</v>
      </c>
      <c r="AT877" s="1" t="s">
        <v>74</v>
      </c>
      <c r="AU877" s="1">
        <v>2004.0</v>
      </c>
      <c r="AV877" s="1">
        <v>22.0</v>
      </c>
      <c r="AW877" s="1">
        <v>8.0</v>
      </c>
      <c r="AX877" s="1" t="s">
        <v>74</v>
      </c>
      <c r="AY877" s="1" t="s">
        <v>74</v>
      </c>
      <c r="AZ877" s="1" t="s">
        <v>74</v>
      </c>
      <c r="BA877" s="1" t="s">
        <v>74</v>
      </c>
      <c r="BB877" s="1">
        <v>1869.0</v>
      </c>
      <c r="BC877" s="1">
        <v>1895.0</v>
      </c>
      <c r="BD877" s="1" t="s">
        <v>74</v>
      </c>
      <c r="BE877" s="1" t="s">
        <v>7323</v>
      </c>
      <c r="BF877" s="2" t="str">
        <f>HYPERLINK("http://dx.doi.org/10.1081/DRT-200032837","http://dx.doi.org/10.1081/DRT-200032837")</f>
        <v>http://dx.doi.org/10.1081/DRT-200032837</v>
      </c>
      <c r="BG877" s="1" t="s">
        <v>74</v>
      </c>
      <c r="BH877" s="1" t="s">
        <v>74</v>
      </c>
      <c r="BI877" s="1" t="s">
        <v>74</v>
      </c>
      <c r="BJ877" s="1" t="s">
        <v>74</v>
      </c>
      <c r="BK877" s="1" t="s">
        <v>74</v>
      </c>
      <c r="BL877" s="1" t="s">
        <v>74</v>
      </c>
      <c r="BM877" s="1" t="s">
        <v>74</v>
      </c>
      <c r="BN877" s="1" t="s">
        <v>74</v>
      </c>
      <c r="BO877" s="1" t="s">
        <v>74</v>
      </c>
      <c r="BP877" s="1" t="s">
        <v>74</v>
      </c>
      <c r="BQ877" s="1" t="s">
        <v>74</v>
      </c>
      <c r="BR877" s="1" t="s">
        <v>74</v>
      </c>
      <c r="BS877" s="1" t="s">
        <v>7324</v>
      </c>
      <c r="BT877" s="1" t="str">
        <f>HYPERLINK("https%3A%2F%2Fwww.webofscience.com%2Fwos%2Fwoscc%2Ffull-record%2FWOS:000224452300006","View Full Record in Web of Science")</f>
        <v>View Full Record in Web of Science</v>
      </c>
    </row>
    <row r="878" ht="12.75" customHeight="1">
      <c r="A878" s="1" t="s">
        <v>72</v>
      </c>
      <c r="B878" s="1" t="s">
        <v>1102</v>
      </c>
      <c r="C878" s="1" t="s">
        <v>74</v>
      </c>
      <c r="D878" s="1" t="s">
        <v>74</v>
      </c>
      <c r="E878" s="1" t="s">
        <v>74</v>
      </c>
      <c r="F878" s="1" t="s">
        <v>1102</v>
      </c>
      <c r="G878" s="1" t="s">
        <v>74</v>
      </c>
      <c r="H878" s="1" t="s">
        <v>74</v>
      </c>
      <c r="I878" s="1" t="s">
        <v>7325</v>
      </c>
      <c r="J878" s="1" t="s">
        <v>145</v>
      </c>
      <c r="K878" s="1" t="s">
        <v>74</v>
      </c>
      <c r="L878" s="1" t="s">
        <v>74</v>
      </c>
      <c r="M878" s="1" t="s">
        <v>74</v>
      </c>
      <c r="N878" s="1" t="s">
        <v>74</v>
      </c>
      <c r="O878" s="1" t="s">
        <v>74</v>
      </c>
      <c r="P878" s="1" t="s">
        <v>74</v>
      </c>
      <c r="Q878" s="1" t="s">
        <v>74</v>
      </c>
      <c r="R878" s="1" t="s">
        <v>74</v>
      </c>
      <c r="S878" s="1" t="s">
        <v>74</v>
      </c>
      <c r="T878" s="1" t="s">
        <v>74</v>
      </c>
      <c r="U878" s="1" t="s">
        <v>74</v>
      </c>
      <c r="V878" s="1" t="s">
        <v>7326</v>
      </c>
      <c r="W878" s="1" t="s">
        <v>74</v>
      </c>
      <c r="X878" s="1" t="s">
        <v>74</v>
      </c>
      <c r="Y878" s="1" t="s">
        <v>74</v>
      </c>
      <c r="Z878" s="1" t="s">
        <v>74</v>
      </c>
      <c r="AA878" s="1" t="s">
        <v>1111</v>
      </c>
      <c r="AB878" s="1" t="s">
        <v>1112</v>
      </c>
      <c r="AC878" s="1" t="s">
        <v>74</v>
      </c>
      <c r="AD878" s="1" t="s">
        <v>74</v>
      </c>
      <c r="AE878" s="1" t="s">
        <v>74</v>
      </c>
      <c r="AF878" s="1" t="s">
        <v>74</v>
      </c>
      <c r="AG878" s="1" t="s">
        <v>74</v>
      </c>
      <c r="AH878" s="1" t="s">
        <v>74</v>
      </c>
      <c r="AI878" s="1" t="s">
        <v>74</v>
      </c>
      <c r="AJ878" s="1" t="s">
        <v>74</v>
      </c>
      <c r="AK878" s="1" t="s">
        <v>74</v>
      </c>
      <c r="AL878" s="1" t="s">
        <v>74</v>
      </c>
      <c r="AM878" s="1" t="s">
        <v>74</v>
      </c>
      <c r="AN878" s="1" t="s">
        <v>74</v>
      </c>
      <c r="AO878" s="1" t="s">
        <v>147</v>
      </c>
      <c r="AP878" s="1" t="s">
        <v>74</v>
      </c>
      <c r="AQ878" s="1" t="s">
        <v>74</v>
      </c>
      <c r="AR878" s="1" t="s">
        <v>74</v>
      </c>
      <c r="AS878" s="1" t="s">
        <v>74</v>
      </c>
      <c r="AT878" s="1" t="s">
        <v>161</v>
      </c>
      <c r="AU878" s="1">
        <v>2001.0</v>
      </c>
      <c r="AV878" s="1">
        <v>35.0</v>
      </c>
      <c r="AW878" s="1">
        <v>29.0</v>
      </c>
      <c r="AX878" s="1" t="s">
        <v>74</v>
      </c>
      <c r="AY878" s="1" t="s">
        <v>74</v>
      </c>
      <c r="AZ878" s="1" t="s">
        <v>74</v>
      </c>
      <c r="BA878" s="1" t="s">
        <v>74</v>
      </c>
      <c r="BB878" s="1">
        <v>4929.0</v>
      </c>
      <c r="BC878" s="1">
        <v>4935.0</v>
      </c>
      <c r="BD878" s="1" t="s">
        <v>74</v>
      </c>
      <c r="BE878" s="1" t="s">
        <v>7327</v>
      </c>
      <c r="BF878" s="2" t="str">
        <f>HYPERLINK("http://dx.doi.org/10.1016/S1352-2310(01)00268-0","http://dx.doi.org/10.1016/S1352-2310(01)00268-0")</f>
        <v>http://dx.doi.org/10.1016/S1352-2310(01)00268-0</v>
      </c>
      <c r="BG878" s="1" t="s">
        <v>74</v>
      </c>
      <c r="BH878" s="1" t="s">
        <v>74</v>
      </c>
      <c r="BI878" s="1" t="s">
        <v>74</v>
      </c>
      <c r="BJ878" s="1" t="s">
        <v>74</v>
      </c>
      <c r="BK878" s="1" t="s">
        <v>74</v>
      </c>
      <c r="BL878" s="1" t="s">
        <v>74</v>
      </c>
      <c r="BM878" s="1" t="s">
        <v>74</v>
      </c>
      <c r="BN878" s="1" t="s">
        <v>74</v>
      </c>
      <c r="BO878" s="1" t="s">
        <v>74</v>
      </c>
      <c r="BP878" s="1" t="s">
        <v>74</v>
      </c>
      <c r="BQ878" s="1" t="s">
        <v>74</v>
      </c>
      <c r="BR878" s="1" t="s">
        <v>74</v>
      </c>
      <c r="BS878" s="1" t="s">
        <v>7328</v>
      </c>
      <c r="BT878" s="1" t="str">
        <f>HYPERLINK("https%3A%2F%2Fwww.webofscience.com%2Fwos%2Fwoscc%2Ffull-record%2FWOS:000171443800004","View Full Record in Web of Science")</f>
        <v>View Full Record in Web of Science</v>
      </c>
    </row>
    <row r="879" ht="12.75" customHeight="1">
      <c r="A879" s="1" t="s">
        <v>91</v>
      </c>
      <c r="B879" s="1" t="s">
        <v>7329</v>
      </c>
      <c r="C879" s="1" t="s">
        <v>74</v>
      </c>
      <c r="D879" s="1" t="s">
        <v>74</v>
      </c>
      <c r="E879" s="1" t="s">
        <v>7330</v>
      </c>
      <c r="F879" s="1" t="s">
        <v>7329</v>
      </c>
      <c r="G879" s="1" t="s">
        <v>74</v>
      </c>
      <c r="H879" s="1" t="s">
        <v>74</v>
      </c>
      <c r="I879" s="1" t="s">
        <v>7331</v>
      </c>
      <c r="J879" s="1" t="s">
        <v>7332</v>
      </c>
      <c r="K879" s="1" t="s">
        <v>74</v>
      </c>
      <c r="L879" s="1" t="s">
        <v>74</v>
      </c>
      <c r="M879" s="1" t="s">
        <v>74</v>
      </c>
      <c r="N879" s="1" t="s">
        <v>74</v>
      </c>
      <c r="O879" s="1" t="s">
        <v>7333</v>
      </c>
      <c r="P879" s="1" t="s">
        <v>7334</v>
      </c>
      <c r="Q879" s="1" t="s">
        <v>7335</v>
      </c>
      <c r="R879" s="1" t="s">
        <v>7336</v>
      </c>
      <c r="S879" s="1" t="s">
        <v>74</v>
      </c>
      <c r="T879" s="1" t="s">
        <v>74</v>
      </c>
      <c r="U879" s="1" t="s">
        <v>74</v>
      </c>
      <c r="V879" s="1" t="s">
        <v>7337</v>
      </c>
      <c r="W879" s="1" t="s">
        <v>74</v>
      </c>
      <c r="X879" s="1" t="s">
        <v>74</v>
      </c>
      <c r="Y879" s="1" t="s">
        <v>74</v>
      </c>
      <c r="Z879" s="1" t="s">
        <v>74</v>
      </c>
      <c r="AA879" s="1" t="s">
        <v>74</v>
      </c>
      <c r="AB879" s="1" t="s">
        <v>74</v>
      </c>
      <c r="AC879" s="1" t="s">
        <v>74</v>
      </c>
      <c r="AD879" s="1" t="s">
        <v>74</v>
      </c>
      <c r="AE879" s="1" t="s">
        <v>74</v>
      </c>
      <c r="AF879" s="1" t="s">
        <v>74</v>
      </c>
      <c r="AG879" s="1" t="s">
        <v>74</v>
      </c>
      <c r="AH879" s="1" t="s">
        <v>74</v>
      </c>
      <c r="AI879" s="1" t="s">
        <v>74</v>
      </c>
      <c r="AJ879" s="1" t="s">
        <v>74</v>
      </c>
      <c r="AK879" s="1" t="s">
        <v>74</v>
      </c>
      <c r="AL879" s="1" t="s">
        <v>74</v>
      </c>
      <c r="AM879" s="1" t="s">
        <v>74</v>
      </c>
      <c r="AN879" s="1" t="s">
        <v>74</v>
      </c>
      <c r="AO879" s="1" t="s">
        <v>74</v>
      </c>
      <c r="AP879" s="1" t="s">
        <v>74</v>
      </c>
      <c r="AQ879" s="1" t="s">
        <v>7338</v>
      </c>
      <c r="AR879" s="1" t="s">
        <v>74</v>
      </c>
      <c r="AS879" s="1" t="s">
        <v>74</v>
      </c>
      <c r="AT879" s="1" t="s">
        <v>74</v>
      </c>
      <c r="AU879" s="1">
        <v>2001.0</v>
      </c>
      <c r="AV879" s="1" t="s">
        <v>74</v>
      </c>
      <c r="AW879" s="1" t="s">
        <v>74</v>
      </c>
      <c r="AX879" s="1" t="s">
        <v>74</v>
      </c>
      <c r="AY879" s="1" t="s">
        <v>74</v>
      </c>
      <c r="AZ879" s="1" t="s">
        <v>74</v>
      </c>
      <c r="BA879" s="1" t="s">
        <v>74</v>
      </c>
      <c r="BB879" s="1">
        <v>465.0</v>
      </c>
      <c r="BC879" s="1">
        <v>468.0</v>
      </c>
      <c r="BD879" s="1" t="s">
        <v>74</v>
      </c>
      <c r="BE879" s="1" t="s">
        <v>74</v>
      </c>
      <c r="BF879" s="1" t="s">
        <v>74</v>
      </c>
      <c r="BG879" s="1" t="s">
        <v>74</v>
      </c>
      <c r="BH879" s="1" t="s">
        <v>74</v>
      </c>
      <c r="BI879" s="1" t="s">
        <v>74</v>
      </c>
      <c r="BJ879" s="1" t="s">
        <v>74</v>
      </c>
      <c r="BK879" s="1" t="s">
        <v>74</v>
      </c>
      <c r="BL879" s="1" t="s">
        <v>74</v>
      </c>
      <c r="BM879" s="1" t="s">
        <v>74</v>
      </c>
      <c r="BN879" s="1" t="s">
        <v>74</v>
      </c>
      <c r="BO879" s="1" t="s">
        <v>74</v>
      </c>
      <c r="BP879" s="1" t="s">
        <v>74</v>
      </c>
      <c r="BQ879" s="1" t="s">
        <v>74</v>
      </c>
      <c r="BR879" s="1" t="s">
        <v>74</v>
      </c>
      <c r="BS879" s="1" t="s">
        <v>7339</v>
      </c>
      <c r="BT879" s="1" t="str">
        <f>HYPERLINK("https%3A%2F%2Fwww.webofscience.com%2Fwos%2Fwoscc%2Ffull-record%2FWOS:000176019100114","View Full Record in Web of Science")</f>
        <v>View Full Record in Web of Science</v>
      </c>
    </row>
    <row r="880" ht="12.75" customHeight="1">
      <c r="A880" s="1" t="s">
        <v>91</v>
      </c>
      <c r="B880" s="1" t="s">
        <v>7340</v>
      </c>
      <c r="C880" s="1" t="s">
        <v>74</v>
      </c>
      <c r="D880" s="1" t="s">
        <v>74</v>
      </c>
      <c r="E880" s="1" t="s">
        <v>7341</v>
      </c>
      <c r="F880" s="1" t="s">
        <v>7340</v>
      </c>
      <c r="G880" s="1" t="s">
        <v>74</v>
      </c>
      <c r="H880" s="1" t="s">
        <v>74</v>
      </c>
      <c r="I880" s="1" t="s">
        <v>7342</v>
      </c>
      <c r="J880" s="1" t="s">
        <v>7343</v>
      </c>
      <c r="K880" s="1" t="s">
        <v>74</v>
      </c>
      <c r="L880" s="1" t="s">
        <v>74</v>
      </c>
      <c r="M880" s="1" t="s">
        <v>74</v>
      </c>
      <c r="N880" s="1" t="s">
        <v>74</v>
      </c>
      <c r="O880" s="1" t="s">
        <v>7344</v>
      </c>
      <c r="P880" s="1" t="s">
        <v>7345</v>
      </c>
      <c r="Q880" s="1" t="s">
        <v>7346</v>
      </c>
      <c r="R880" s="1" t="s">
        <v>7347</v>
      </c>
      <c r="S880" s="1" t="s">
        <v>74</v>
      </c>
      <c r="T880" s="1" t="s">
        <v>74</v>
      </c>
      <c r="U880" s="1" t="s">
        <v>74</v>
      </c>
      <c r="V880" s="1" t="s">
        <v>7348</v>
      </c>
      <c r="W880" s="1" t="s">
        <v>74</v>
      </c>
      <c r="X880" s="1" t="s">
        <v>74</v>
      </c>
      <c r="Y880" s="1" t="s">
        <v>74</v>
      </c>
      <c r="Z880" s="1" t="s">
        <v>74</v>
      </c>
      <c r="AA880" s="1" t="s">
        <v>118</v>
      </c>
      <c r="AB880" s="1" t="s">
        <v>119</v>
      </c>
      <c r="AC880" s="1" t="s">
        <v>74</v>
      </c>
      <c r="AD880" s="1" t="s">
        <v>74</v>
      </c>
      <c r="AE880" s="1" t="s">
        <v>74</v>
      </c>
      <c r="AF880" s="1" t="s">
        <v>74</v>
      </c>
      <c r="AG880" s="1" t="s">
        <v>74</v>
      </c>
      <c r="AH880" s="1" t="s">
        <v>74</v>
      </c>
      <c r="AI880" s="1" t="s">
        <v>74</v>
      </c>
      <c r="AJ880" s="1" t="s">
        <v>74</v>
      </c>
      <c r="AK880" s="1" t="s">
        <v>74</v>
      </c>
      <c r="AL880" s="1" t="s">
        <v>74</v>
      </c>
      <c r="AM880" s="1" t="s">
        <v>74</v>
      </c>
      <c r="AN880" s="1" t="s">
        <v>74</v>
      </c>
      <c r="AO880" s="1" t="s">
        <v>74</v>
      </c>
      <c r="AP880" s="1" t="s">
        <v>74</v>
      </c>
      <c r="AQ880" s="1" t="s">
        <v>7349</v>
      </c>
      <c r="AR880" s="1" t="s">
        <v>74</v>
      </c>
      <c r="AS880" s="1" t="s">
        <v>74</v>
      </c>
      <c r="AT880" s="1" t="s">
        <v>74</v>
      </c>
      <c r="AU880" s="1">
        <v>2001.0</v>
      </c>
      <c r="AV880" s="1" t="s">
        <v>74</v>
      </c>
      <c r="AW880" s="1" t="s">
        <v>74</v>
      </c>
      <c r="AX880" s="1" t="s">
        <v>74</v>
      </c>
      <c r="AY880" s="1" t="s">
        <v>74</v>
      </c>
      <c r="AZ880" s="1" t="s">
        <v>74</v>
      </c>
      <c r="BA880" s="1" t="s">
        <v>74</v>
      </c>
      <c r="BB880" s="1">
        <v>193.0</v>
      </c>
      <c r="BC880" s="1">
        <v>202.0</v>
      </c>
      <c r="BD880" s="1" t="s">
        <v>74</v>
      </c>
      <c r="BE880" s="1" t="s">
        <v>7350</v>
      </c>
      <c r="BF880" s="2" t="str">
        <f>HYPERLINK("http://dx.doi.org/10.1109/SCCC.2001.972648","http://dx.doi.org/10.1109/SCCC.2001.972648")</f>
        <v>http://dx.doi.org/10.1109/SCCC.2001.972648</v>
      </c>
      <c r="BG880" s="1" t="s">
        <v>74</v>
      </c>
      <c r="BH880" s="1" t="s">
        <v>74</v>
      </c>
      <c r="BI880" s="1" t="s">
        <v>74</v>
      </c>
      <c r="BJ880" s="1" t="s">
        <v>74</v>
      </c>
      <c r="BK880" s="1" t="s">
        <v>74</v>
      </c>
      <c r="BL880" s="1" t="s">
        <v>74</v>
      </c>
      <c r="BM880" s="1" t="s">
        <v>74</v>
      </c>
      <c r="BN880" s="1" t="s">
        <v>74</v>
      </c>
      <c r="BO880" s="1" t="s">
        <v>74</v>
      </c>
      <c r="BP880" s="1" t="s">
        <v>74</v>
      </c>
      <c r="BQ880" s="1" t="s">
        <v>74</v>
      </c>
      <c r="BR880" s="1" t="s">
        <v>74</v>
      </c>
      <c r="BS880" s="1" t="s">
        <v>7351</v>
      </c>
      <c r="BT880" s="1" t="str">
        <f>HYPERLINK("https%3A%2F%2Fwww.webofscience.com%2Fwos%2Fwoscc%2Ffull-record%2FWOS:000172674500023","View Full Record in Web of Science")</f>
        <v>View Full Record in Web of Science</v>
      </c>
    </row>
    <row r="881" ht="12.75" customHeight="1">
      <c r="A881" s="1" t="s">
        <v>72</v>
      </c>
      <c r="B881" s="1" t="s">
        <v>1073</v>
      </c>
      <c r="C881" s="1" t="s">
        <v>74</v>
      </c>
      <c r="D881" s="1" t="s">
        <v>74</v>
      </c>
      <c r="E881" s="1" t="s">
        <v>74</v>
      </c>
      <c r="F881" s="1" t="s">
        <v>1073</v>
      </c>
      <c r="G881" s="1" t="s">
        <v>74</v>
      </c>
      <c r="H881" s="1" t="s">
        <v>74</v>
      </c>
      <c r="I881" s="1" t="s">
        <v>7352</v>
      </c>
      <c r="J881" s="1" t="s">
        <v>7353</v>
      </c>
      <c r="K881" s="1" t="s">
        <v>74</v>
      </c>
      <c r="L881" s="1" t="s">
        <v>74</v>
      </c>
      <c r="M881" s="1" t="s">
        <v>74</v>
      </c>
      <c r="N881" s="1" t="s">
        <v>74</v>
      </c>
      <c r="O881" s="1" t="s">
        <v>74</v>
      </c>
      <c r="P881" s="1" t="s">
        <v>74</v>
      </c>
      <c r="Q881" s="1" t="s">
        <v>74</v>
      </c>
      <c r="R881" s="1" t="s">
        <v>74</v>
      </c>
      <c r="S881" s="1" t="s">
        <v>74</v>
      </c>
      <c r="T881" s="1" t="s">
        <v>74</v>
      </c>
      <c r="U881" s="1" t="s">
        <v>74</v>
      </c>
      <c r="V881" s="1" t="s">
        <v>7354</v>
      </c>
      <c r="W881" s="1" t="s">
        <v>74</v>
      </c>
      <c r="X881" s="1" t="s">
        <v>74</v>
      </c>
      <c r="Y881" s="1" t="s">
        <v>74</v>
      </c>
      <c r="Z881" s="1" t="s">
        <v>74</v>
      </c>
      <c r="AA881" s="1" t="s">
        <v>74</v>
      </c>
      <c r="AB881" s="1" t="s">
        <v>74</v>
      </c>
      <c r="AC881" s="1" t="s">
        <v>74</v>
      </c>
      <c r="AD881" s="1" t="s">
        <v>74</v>
      </c>
      <c r="AE881" s="1" t="s">
        <v>74</v>
      </c>
      <c r="AF881" s="1" t="s">
        <v>74</v>
      </c>
      <c r="AG881" s="1" t="s">
        <v>74</v>
      </c>
      <c r="AH881" s="1" t="s">
        <v>74</v>
      </c>
      <c r="AI881" s="1" t="s">
        <v>74</v>
      </c>
      <c r="AJ881" s="1" t="s">
        <v>74</v>
      </c>
      <c r="AK881" s="1" t="s">
        <v>74</v>
      </c>
      <c r="AL881" s="1" t="s">
        <v>74</v>
      </c>
      <c r="AM881" s="1" t="s">
        <v>74</v>
      </c>
      <c r="AN881" s="1" t="s">
        <v>74</v>
      </c>
      <c r="AO881" s="1" t="s">
        <v>7355</v>
      </c>
      <c r="AP881" s="1" t="s">
        <v>74</v>
      </c>
      <c r="AQ881" s="1" t="s">
        <v>74</v>
      </c>
      <c r="AR881" s="1" t="s">
        <v>74</v>
      </c>
      <c r="AS881" s="1" t="s">
        <v>74</v>
      </c>
      <c r="AT881" s="1" t="s">
        <v>161</v>
      </c>
      <c r="AU881" s="1">
        <v>2000.0</v>
      </c>
      <c r="AV881" s="1">
        <v>91.0</v>
      </c>
      <c r="AW881" s="1">
        <v>10.0</v>
      </c>
      <c r="AX881" s="1" t="s">
        <v>74</v>
      </c>
      <c r="AY881" s="1" t="s">
        <v>74</v>
      </c>
      <c r="AZ881" s="1" t="s">
        <v>74</v>
      </c>
      <c r="BA881" s="1" t="s">
        <v>74</v>
      </c>
      <c r="BB881" s="1">
        <v>848.0</v>
      </c>
      <c r="BC881" s="1">
        <v>853.0</v>
      </c>
      <c r="BD881" s="1" t="s">
        <v>74</v>
      </c>
      <c r="BE881" s="1" t="s">
        <v>74</v>
      </c>
      <c r="BF881" s="1" t="s">
        <v>74</v>
      </c>
      <c r="BG881" s="1" t="s">
        <v>74</v>
      </c>
      <c r="BH881" s="1" t="s">
        <v>74</v>
      </c>
      <c r="BI881" s="1" t="s">
        <v>74</v>
      </c>
      <c r="BJ881" s="1" t="s">
        <v>74</v>
      </c>
      <c r="BK881" s="1" t="s">
        <v>74</v>
      </c>
      <c r="BL881" s="1" t="s">
        <v>74</v>
      </c>
      <c r="BM881" s="1" t="s">
        <v>74</v>
      </c>
      <c r="BN881" s="1" t="s">
        <v>74</v>
      </c>
      <c r="BO881" s="1" t="s">
        <v>74</v>
      </c>
      <c r="BP881" s="1" t="s">
        <v>74</v>
      </c>
      <c r="BQ881" s="1" t="s">
        <v>74</v>
      </c>
      <c r="BR881" s="1" t="s">
        <v>74</v>
      </c>
      <c r="BS881" s="1" t="s">
        <v>7356</v>
      </c>
      <c r="BT881" s="1" t="str">
        <f>HYPERLINK("https%3A%2F%2Fwww.webofscience.com%2Fwos%2Fwoscc%2Ffull-record%2FWOS:000165530600010","View Full Record in Web of Science")</f>
        <v>View Full Record in Web of Science</v>
      </c>
    </row>
    <row r="882" ht="12.75" customHeight="1">
      <c r="A882" s="1" t="s">
        <v>72</v>
      </c>
      <c r="B882" s="1" t="s">
        <v>7357</v>
      </c>
      <c r="C882" s="1" t="s">
        <v>74</v>
      </c>
      <c r="D882" s="1" t="s">
        <v>74</v>
      </c>
      <c r="E882" s="1" t="s">
        <v>74</v>
      </c>
      <c r="F882" s="1" t="s">
        <v>7357</v>
      </c>
      <c r="G882" s="1" t="s">
        <v>74</v>
      </c>
      <c r="H882" s="1" t="s">
        <v>74</v>
      </c>
      <c r="I882" s="1" t="s">
        <v>7358</v>
      </c>
      <c r="J882" s="1" t="s">
        <v>7359</v>
      </c>
      <c r="K882" s="1" t="s">
        <v>74</v>
      </c>
      <c r="L882" s="1" t="s">
        <v>74</v>
      </c>
      <c r="M882" s="1" t="s">
        <v>74</v>
      </c>
      <c r="N882" s="1" t="s">
        <v>74</v>
      </c>
      <c r="O882" s="1" t="s">
        <v>74</v>
      </c>
      <c r="P882" s="1" t="s">
        <v>74</v>
      </c>
      <c r="Q882" s="1" t="s">
        <v>74</v>
      </c>
      <c r="R882" s="1" t="s">
        <v>74</v>
      </c>
      <c r="S882" s="1" t="s">
        <v>74</v>
      </c>
      <c r="T882" s="1" t="s">
        <v>74</v>
      </c>
      <c r="U882" s="1" t="s">
        <v>74</v>
      </c>
      <c r="V882" s="1" t="s">
        <v>7360</v>
      </c>
      <c r="W882" s="1" t="s">
        <v>74</v>
      </c>
      <c r="X882" s="1" t="s">
        <v>74</v>
      </c>
      <c r="Y882" s="1" t="s">
        <v>74</v>
      </c>
      <c r="Z882" s="1" t="s">
        <v>74</v>
      </c>
      <c r="AA882" s="1" t="s">
        <v>7361</v>
      </c>
      <c r="AB882" s="1" t="s">
        <v>7362</v>
      </c>
      <c r="AC882" s="1" t="s">
        <v>74</v>
      </c>
      <c r="AD882" s="1" t="s">
        <v>74</v>
      </c>
      <c r="AE882" s="1" t="s">
        <v>74</v>
      </c>
      <c r="AF882" s="1" t="s">
        <v>74</v>
      </c>
      <c r="AG882" s="1" t="s">
        <v>74</v>
      </c>
      <c r="AH882" s="1" t="s">
        <v>74</v>
      </c>
      <c r="AI882" s="1" t="s">
        <v>74</v>
      </c>
      <c r="AJ882" s="1" t="s">
        <v>74</v>
      </c>
      <c r="AK882" s="1" t="s">
        <v>74</v>
      </c>
      <c r="AL882" s="1" t="s">
        <v>74</v>
      </c>
      <c r="AM882" s="1" t="s">
        <v>74</v>
      </c>
      <c r="AN882" s="1" t="s">
        <v>74</v>
      </c>
      <c r="AO882" s="1" t="s">
        <v>7363</v>
      </c>
      <c r="AP882" s="1" t="s">
        <v>74</v>
      </c>
      <c r="AQ882" s="1" t="s">
        <v>74</v>
      </c>
      <c r="AR882" s="1" t="s">
        <v>74</v>
      </c>
      <c r="AS882" s="1" t="s">
        <v>74</v>
      </c>
      <c r="AT882" s="1" t="s">
        <v>276</v>
      </c>
      <c r="AU882" s="1">
        <v>2000.0</v>
      </c>
      <c r="AV882" s="1">
        <v>120.0</v>
      </c>
      <c r="AW882" s="1">
        <v>1.0</v>
      </c>
      <c r="AX882" s="1" t="s">
        <v>74</v>
      </c>
      <c r="AY882" s="1" t="s">
        <v>74</v>
      </c>
      <c r="AZ882" s="1" t="s">
        <v>74</v>
      </c>
      <c r="BA882" s="1" t="s">
        <v>74</v>
      </c>
      <c r="BB882" s="1">
        <v>115.0</v>
      </c>
      <c r="BC882" s="1">
        <v>123.0</v>
      </c>
      <c r="BD882" s="1" t="s">
        <v>74</v>
      </c>
      <c r="BE882" s="1" t="s">
        <v>7364</v>
      </c>
      <c r="BF882" s="2" t="str">
        <f>HYPERLINK("http://dx.doi.org/10.1530/reprod/120.1.115","http://dx.doi.org/10.1530/reprod/120.1.115")</f>
        <v>http://dx.doi.org/10.1530/reprod/120.1.115</v>
      </c>
      <c r="BG882" s="1" t="s">
        <v>74</v>
      </c>
      <c r="BH882" s="1" t="s">
        <v>74</v>
      </c>
      <c r="BI882" s="1" t="s">
        <v>74</v>
      </c>
      <c r="BJ882" s="1" t="s">
        <v>74</v>
      </c>
      <c r="BK882" s="1" t="s">
        <v>74</v>
      </c>
      <c r="BL882" s="1" t="s">
        <v>74</v>
      </c>
      <c r="BM882" s="1" t="s">
        <v>74</v>
      </c>
      <c r="BN882" s="1">
        <v>1.1006153E7</v>
      </c>
      <c r="BO882" s="1" t="s">
        <v>74</v>
      </c>
      <c r="BP882" s="1" t="s">
        <v>74</v>
      </c>
      <c r="BQ882" s="1" t="s">
        <v>74</v>
      </c>
      <c r="BR882" s="1" t="s">
        <v>74</v>
      </c>
      <c r="BS882" s="1" t="s">
        <v>7365</v>
      </c>
      <c r="BT882" s="1" t="str">
        <f>HYPERLINK("https%3A%2F%2Fwww.webofscience.com%2Fwos%2Fwoscc%2Ffull-record%2FWOS:000089576900014","View Full Record in Web of Science")</f>
        <v>View Full Record in Web of Science</v>
      </c>
    </row>
    <row r="883" ht="12.75" customHeight="1">
      <c r="A883" s="1" t="s">
        <v>72</v>
      </c>
      <c r="B883" s="1" t="s">
        <v>7366</v>
      </c>
      <c r="C883" s="1" t="s">
        <v>74</v>
      </c>
      <c r="D883" s="1" t="s">
        <v>74</v>
      </c>
      <c r="E883" s="1" t="s">
        <v>74</v>
      </c>
      <c r="F883" s="1" t="s">
        <v>7366</v>
      </c>
      <c r="G883" s="1" t="s">
        <v>74</v>
      </c>
      <c r="H883" s="1" t="s">
        <v>74</v>
      </c>
      <c r="I883" s="1" t="s">
        <v>7367</v>
      </c>
      <c r="J883" s="1" t="s">
        <v>5320</v>
      </c>
      <c r="K883" s="1" t="s">
        <v>74</v>
      </c>
      <c r="L883" s="1" t="s">
        <v>74</v>
      </c>
      <c r="M883" s="1" t="s">
        <v>74</v>
      </c>
      <c r="N883" s="1" t="s">
        <v>74</v>
      </c>
      <c r="O883" s="1" t="s">
        <v>74</v>
      </c>
      <c r="P883" s="1" t="s">
        <v>74</v>
      </c>
      <c r="Q883" s="1" t="s">
        <v>74</v>
      </c>
      <c r="R883" s="1" t="s">
        <v>74</v>
      </c>
      <c r="S883" s="1" t="s">
        <v>74</v>
      </c>
      <c r="T883" s="1" t="s">
        <v>74</v>
      </c>
      <c r="U883" s="1" t="s">
        <v>74</v>
      </c>
      <c r="V883" s="1" t="s">
        <v>7368</v>
      </c>
      <c r="W883" s="1" t="s">
        <v>74</v>
      </c>
      <c r="X883" s="1" t="s">
        <v>74</v>
      </c>
      <c r="Y883" s="1" t="s">
        <v>74</v>
      </c>
      <c r="Z883" s="1" t="s">
        <v>74</v>
      </c>
      <c r="AA883" s="1" t="s">
        <v>74</v>
      </c>
      <c r="AB883" s="1" t="s">
        <v>7369</v>
      </c>
      <c r="AC883" s="1" t="s">
        <v>74</v>
      </c>
      <c r="AD883" s="1" t="s">
        <v>74</v>
      </c>
      <c r="AE883" s="1" t="s">
        <v>74</v>
      </c>
      <c r="AF883" s="1" t="s">
        <v>74</v>
      </c>
      <c r="AG883" s="1" t="s">
        <v>74</v>
      </c>
      <c r="AH883" s="1" t="s">
        <v>74</v>
      </c>
      <c r="AI883" s="1" t="s">
        <v>74</v>
      </c>
      <c r="AJ883" s="1" t="s">
        <v>74</v>
      </c>
      <c r="AK883" s="1" t="s">
        <v>74</v>
      </c>
      <c r="AL883" s="1" t="s">
        <v>74</v>
      </c>
      <c r="AM883" s="1" t="s">
        <v>74</v>
      </c>
      <c r="AN883" s="1" t="s">
        <v>74</v>
      </c>
      <c r="AO883" s="1" t="s">
        <v>5323</v>
      </c>
      <c r="AP883" s="1" t="s">
        <v>74</v>
      </c>
      <c r="AQ883" s="1" t="s">
        <v>74</v>
      </c>
      <c r="AR883" s="1" t="s">
        <v>74</v>
      </c>
      <c r="AS883" s="1" t="s">
        <v>74</v>
      </c>
      <c r="AT883" s="1" t="s">
        <v>180</v>
      </c>
      <c r="AU883" s="1">
        <v>1999.0</v>
      </c>
      <c r="AV883" s="1">
        <v>57.0</v>
      </c>
      <c r="AW883" s="1">
        <v>2.0</v>
      </c>
      <c r="AX883" s="1" t="s">
        <v>74</v>
      </c>
      <c r="AY883" s="1" t="s">
        <v>74</v>
      </c>
      <c r="AZ883" s="1" t="s">
        <v>74</v>
      </c>
      <c r="BA883" s="1" t="s">
        <v>74</v>
      </c>
      <c r="BB883" s="1">
        <v>105.0</v>
      </c>
      <c r="BC883" s="1">
        <v>132.0</v>
      </c>
      <c r="BD883" s="1" t="s">
        <v>74</v>
      </c>
      <c r="BE883" s="1" t="s">
        <v>7370</v>
      </c>
      <c r="BF883" s="2" t="str">
        <f>HYPERLINK("http://dx.doi.org/10.1023/A:1006266900851","http://dx.doi.org/10.1023/A:1006266900851")</f>
        <v>http://dx.doi.org/10.1023/A:1006266900851</v>
      </c>
      <c r="BG883" s="1" t="s">
        <v>74</v>
      </c>
      <c r="BH883" s="1" t="s">
        <v>74</v>
      </c>
      <c r="BI883" s="1" t="s">
        <v>74</v>
      </c>
      <c r="BJ883" s="1" t="s">
        <v>74</v>
      </c>
      <c r="BK883" s="1" t="s">
        <v>74</v>
      </c>
      <c r="BL883" s="1" t="s">
        <v>74</v>
      </c>
      <c r="BM883" s="1" t="s">
        <v>74</v>
      </c>
      <c r="BN883" s="1" t="s">
        <v>74</v>
      </c>
      <c r="BO883" s="1" t="s">
        <v>74</v>
      </c>
      <c r="BP883" s="1" t="s">
        <v>74</v>
      </c>
      <c r="BQ883" s="1" t="s">
        <v>74</v>
      </c>
      <c r="BR883" s="1" t="s">
        <v>74</v>
      </c>
      <c r="BS883" s="1" t="s">
        <v>7371</v>
      </c>
      <c r="BT883" s="1" t="str">
        <f>HYPERLINK("https%3A%2F%2Fwww.webofscience.com%2Fwos%2Fwoscc%2Ffull-record%2FWOS:000082439700001","View Full Record in Web of Science")</f>
        <v>View Full Record in Web of Science</v>
      </c>
    </row>
    <row r="884" ht="12.75" customHeight="1">
      <c r="A884" s="1" t="s">
        <v>72</v>
      </c>
      <c r="B884" s="1" t="s">
        <v>1073</v>
      </c>
      <c r="C884" s="1" t="s">
        <v>74</v>
      </c>
      <c r="D884" s="1" t="s">
        <v>74</v>
      </c>
      <c r="E884" s="1" t="s">
        <v>74</v>
      </c>
      <c r="F884" s="1" t="s">
        <v>7372</v>
      </c>
      <c r="G884" s="1" t="s">
        <v>74</v>
      </c>
      <c r="H884" s="1" t="s">
        <v>74</v>
      </c>
      <c r="I884" s="1" t="s">
        <v>7373</v>
      </c>
      <c r="J884" s="1" t="s">
        <v>2563</v>
      </c>
      <c r="K884" s="1" t="s">
        <v>74</v>
      </c>
      <c r="L884" s="1" t="s">
        <v>74</v>
      </c>
      <c r="M884" s="1" t="s">
        <v>74</v>
      </c>
      <c r="N884" s="1" t="s">
        <v>74</v>
      </c>
      <c r="O884" s="1" t="s">
        <v>74</v>
      </c>
      <c r="P884" s="1" t="s">
        <v>74</v>
      </c>
      <c r="Q884" s="1" t="s">
        <v>74</v>
      </c>
      <c r="R884" s="1" t="s">
        <v>74</v>
      </c>
      <c r="S884" s="1" t="s">
        <v>74</v>
      </c>
      <c r="T884" s="1" t="s">
        <v>74</v>
      </c>
      <c r="U884" s="1" t="s">
        <v>74</v>
      </c>
      <c r="V884" s="1" t="s">
        <v>74</v>
      </c>
      <c r="W884" s="1" t="s">
        <v>74</v>
      </c>
      <c r="X884" s="1" t="s">
        <v>74</v>
      </c>
      <c r="Y884" s="1" t="s">
        <v>74</v>
      </c>
      <c r="Z884" s="1" t="s">
        <v>74</v>
      </c>
      <c r="AA884" s="1" t="s">
        <v>74</v>
      </c>
      <c r="AB884" s="1" t="s">
        <v>74</v>
      </c>
      <c r="AC884" s="1" t="s">
        <v>74</v>
      </c>
      <c r="AD884" s="1" t="s">
        <v>74</v>
      </c>
      <c r="AE884" s="1" t="s">
        <v>74</v>
      </c>
      <c r="AF884" s="1" t="s">
        <v>74</v>
      </c>
      <c r="AG884" s="1" t="s">
        <v>74</v>
      </c>
      <c r="AH884" s="1" t="s">
        <v>74</v>
      </c>
      <c r="AI884" s="1" t="s">
        <v>74</v>
      </c>
      <c r="AJ884" s="1" t="s">
        <v>74</v>
      </c>
      <c r="AK884" s="1" t="s">
        <v>74</v>
      </c>
      <c r="AL884" s="1" t="s">
        <v>74</v>
      </c>
      <c r="AM884" s="1" t="s">
        <v>74</v>
      </c>
      <c r="AN884" s="1" t="s">
        <v>74</v>
      </c>
      <c r="AO884" s="1" t="s">
        <v>2564</v>
      </c>
      <c r="AP884" s="1" t="s">
        <v>74</v>
      </c>
      <c r="AQ884" s="1" t="s">
        <v>74</v>
      </c>
      <c r="AR884" s="1" t="s">
        <v>74</v>
      </c>
      <c r="AS884" s="1" t="s">
        <v>74</v>
      </c>
      <c r="AT884" s="1" t="s">
        <v>74</v>
      </c>
      <c r="AU884" s="1">
        <v>1999.0</v>
      </c>
      <c r="AV884" s="1">
        <v>55.0</v>
      </c>
      <c r="AW884" s="1" t="s">
        <v>74</v>
      </c>
      <c r="AX884" s="1" t="s">
        <v>74</v>
      </c>
      <c r="AY884" s="1" t="s">
        <v>162</v>
      </c>
      <c r="AZ884" s="1" t="s">
        <v>74</v>
      </c>
      <c r="BA884" s="1" t="s">
        <v>7374</v>
      </c>
      <c r="BB884" s="1">
        <v>580.0</v>
      </c>
      <c r="BC884" s="1">
        <v>580.0</v>
      </c>
      <c r="BD884" s="1" t="s">
        <v>74</v>
      </c>
      <c r="BE884" s="1" t="s">
        <v>74</v>
      </c>
      <c r="BF884" s="1" t="s">
        <v>74</v>
      </c>
      <c r="BG884" s="1" t="s">
        <v>74</v>
      </c>
      <c r="BH884" s="1" t="s">
        <v>74</v>
      </c>
      <c r="BI884" s="1" t="s">
        <v>74</v>
      </c>
      <c r="BJ884" s="1" t="s">
        <v>74</v>
      </c>
      <c r="BK884" s="1" t="s">
        <v>74</v>
      </c>
      <c r="BL884" s="1" t="s">
        <v>74</v>
      </c>
      <c r="BM884" s="1" t="s">
        <v>74</v>
      </c>
      <c r="BN884" s="1" t="s">
        <v>74</v>
      </c>
      <c r="BO884" s="1" t="s">
        <v>74</v>
      </c>
      <c r="BP884" s="1" t="s">
        <v>74</v>
      </c>
      <c r="BQ884" s="1" t="s">
        <v>74</v>
      </c>
      <c r="BR884" s="1" t="s">
        <v>74</v>
      </c>
      <c r="BS884" s="1" t="s">
        <v>7375</v>
      </c>
      <c r="BT884" s="1" t="str">
        <f>HYPERLINK("https%3A%2F%2Fwww.webofscience.com%2Fwos%2Fwoscc%2Ffull-record%2FWOS:000475706305240","View Full Record in Web of Science")</f>
        <v>View Full Record in Web of Science</v>
      </c>
    </row>
    <row r="885" ht="12.75" customHeight="1">
      <c r="A885" s="1" t="s">
        <v>91</v>
      </c>
      <c r="B885" s="1" t="s">
        <v>3030</v>
      </c>
      <c r="C885" s="1" t="s">
        <v>74</v>
      </c>
      <c r="D885" s="1" t="s">
        <v>7376</v>
      </c>
      <c r="E885" s="1" t="s">
        <v>74</v>
      </c>
      <c r="F885" s="1" t="s">
        <v>3030</v>
      </c>
      <c r="G885" s="1" t="s">
        <v>74</v>
      </c>
      <c r="H885" s="1" t="s">
        <v>74</v>
      </c>
      <c r="I885" s="1" t="s">
        <v>7377</v>
      </c>
      <c r="J885" s="1" t="s">
        <v>7378</v>
      </c>
      <c r="K885" s="1" t="s">
        <v>7379</v>
      </c>
      <c r="L885" s="1" t="s">
        <v>74</v>
      </c>
      <c r="M885" s="1" t="s">
        <v>74</v>
      </c>
      <c r="N885" s="1" t="s">
        <v>74</v>
      </c>
      <c r="O885" s="1" t="s">
        <v>7380</v>
      </c>
      <c r="P885" s="1" t="s">
        <v>7381</v>
      </c>
      <c r="Q885" s="1" t="s">
        <v>7382</v>
      </c>
      <c r="R885" s="1" t="s">
        <v>7383</v>
      </c>
      <c r="S885" s="1" t="s">
        <v>74</v>
      </c>
      <c r="T885" s="1" t="s">
        <v>74</v>
      </c>
      <c r="U885" s="1" t="s">
        <v>74</v>
      </c>
      <c r="V885" s="1" t="s">
        <v>7384</v>
      </c>
      <c r="W885" s="1" t="s">
        <v>74</v>
      </c>
      <c r="X885" s="1" t="s">
        <v>74</v>
      </c>
      <c r="Y885" s="1" t="s">
        <v>74</v>
      </c>
      <c r="Z885" s="1" t="s">
        <v>74</v>
      </c>
      <c r="AA885" s="1" t="s">
        <v>74</v>
      </c>
      <c r="AB885" s="1" t="s">
        <v>74</v>
      </c>
      <c r="AC885" s="1" t="s">
        <v>74</v>
      </c>
      <c r="AD885" s="1" t="s">
        <v>74</v>
      </c>
      <c r="AE885" s="1" t="s">
        <v>74</v>
      </c>
      <c r="AF885" s="1" t="s">
        <v>74</v>
      </c>
      <c r="AG885" s="1" t="s">
        <v>74</v>
      </c>
      <c r="AH885" s="1" t="s">
        <v>74</v>
      </c>
      <c r="AI885" s="1" t="s">
        <v>74</v>
      </c>
      <c r="AJ885" s="1" t="s">
        <v>74</v>
      </c>
      <c r="AK885" s="1" t="s">
        <v>74</v>
      </c>
      <c r="AL885" s="1" t="s">
        <v>74</v>
      </c>
      <c r="AM885" s="1" t="s">
        <v>74</v>
      </c>
      <c r="AN885" s="1" t="s">
        <v>74</v>
      </c>
      <c r="AO885" s="1" t="s">
        <v>7385</v>
      </c>
      <c r="AP885" s="1" t="s">
        <v>74</v>
      </c>
      <c r="AQ885" s="1" t="s">
        <v>7386</v>
      </c>
      <c r="AR885" s="1" t="s">
        <v>74</v>
      </c>
      <c r="AS885" s="1" t="s">
        <v>74</v>
      </c>
      <c r="AT885" s="1" t="s">
        <v>74</v>
      </c>
      <c r="AU885" s="1">
        <v>1999.0</v>
      </c>
      <c r="AV885" s="1">
        <v>524.0</v>
      </c>
      <c r="AW885" s="1" t="s">
        <v>74</v>
      </c>
      <c r="AX885" s="1" t="s">
        <v>74</v>
      </c>
      <c r="AY885" s="1" t="s">
        <v>74</v>
      </c>
      <c r="AZ885" s="1" t="s">
        <v>74</v>
      </c>
      <c r="BA885" s="1" t="s">
        <v>74</v>
      </c>
      <c r="BB885" s="1">
        <v>270.0</v>
      </c>
      <c r="BC885" s="1">
        <v>276.0</v>
      </c>
      <c r="BD885" s="1" t="s">
        <v>74</v>
      </c>
      <c r="BE885" s="1" t="s">
        <v>74</v>
      </c>
      <c r="BF885" s="1" t="s">
        <v>74</v>
      </c>
      <c r="BG885" s="1" t="s">
        <v>74</v>
      </c>
      <c r="BH885" s="1" t="s">
        <v>74</v>
      </c>
      <c r="BI885" s="1" t="s">
        <v>74</v>
      </c>
      <c r="BJ885" s="1" t="s">
        <v>74</v>
      </c>
      <c r="BK885" s="1" t="s">
        <v>74</v>
      </c>
      <c r="BL885" s="1" t="s">
        <v>74</v>
      </c>
      <c r="BM885" s="1" t="s">
        <v>74</v>
      </c>
      <c r="BN885" s="1" t="s">
        <v>74</v>
      </c>
      <c r="BO885" s="1" t="s">
        <v>74</v>
      </c>
      <c r="BP885" s="1" t="s">
        <v>74</v>
      </c>
      <c r="BQ885" s="1" t="s">
        <v>74</v>
      </c>
      <c r="BR885" s="1" t="s">
        <v>74</v>
      </c>
      <c r="BS885" s="1" t="s">
        <v>7387</v>
      </c>
      <c r="BT885" s="1" t="str">
        <f>HYPERLINK("https%3A%2F%2Fwww.webofscience.com%2Fwos%2Fwoscc%2Ffull-record%2FWOS:000086141200026","View Full Record in Web of Science")</f>
        <v>View Full Record in Web of Science</v>
      </c>
    </row>
    <row r="886" ht="12.75" customHeight="1">
      <c r="A886" s="1" t="s">
        <v>72</v>
      </c>
      <c r="B886" s="1" t="s">
        <v>397</v>
      </c>
      <c r="C886" s="1" t="s">
        <v>74</v>
      </c>
      <c r="D886" s="1" t="s">
        <v>74</v>
      </c>
      <c r="E886" s="1" t="s">
        <v>74</v>
      </c>
      <c r="F886" s="1" t="s">
        <v>397</v>
      </c>
      <c r="G886" s="1" t="s">
        <v>74</v>
      </c>
      <c r="H886" s="1" t="s">
        <v>74</v>
      </c>
      <c r="I886" s="1" t="s">
        <v>7388</v>
      </c>
      <c r="J886" s="1" t="s">
        <v>1784</v>
      </c>
      <c r="K886" s="1" t="s">
        <v>74</v>
      </c>
      <c r="L886" s="1" t="s">
        <v>74</v>
      </c>
      <c r="M886" s="1" t="s">
        <v>74</v>
      </c>
      <c r="N886" s="1" t="s">
        <v>74</v>
      </c>
      <c r="O886" s="1" t="s">
        <v>74</v>
      </c>
      <c r="P886" s="1" t="s">
        <v>74</v>
      </c>
      <c r="Q886" s="1" t="s">
        <v>74</v>
      </c>
      <c r="R886" s="1" t="s">
        <v>74</v>
      </c>
      <c r="S886" s="1" t="s">
        <v>74</v>
      </c>
      <c r="T886" s="1" t="s">
        <v>74</v>
      </c>
      <c r="U886" s="1" t="s">
        <v>74</v>
      </c>
      <c r="V886" s="1" t="s">
        <v>7389</v>
      </c>
      <c r="W886" s="1" t="s">
        <v>74</v>
      </c>
      <c r="X886" s="1" t="s">
        <v>74</v>
      </c>
      <c r="Y886" s="1" t="s">
        <v>74</v>
      </c>
      <c r="Z886" s="1" t="s">
        <v>74</v>
      </c>
      <c r="AA886" s="1" t="s">
        <v>74</v>
      </c>
      <c r="AB886" s="1" t="s">
        <v>74</v>
      </c>
      <c r="AC886" s="1" t="s">
        <v>74</v>
      </c>
      <c r="AD886" s="1" t="s">
        <v>74</v>
      </c>
      <c r="AE886" s="1" t="s">
        <v>74</v>
      </c>
      <c r="AF886" s="1" t="s">
        <v>74</v>
      </c>
      <c r="AG886" s="1" t="s">
        <v>74</v>
      </c>
      <c r="AH886" s="1" t="s">
        <v>74</v>
      </c>
      <c r="AI886" s="1" t="s">
        <v>74</v>
      </c>
      <c r="AJ886" s="1" t="s">
        <v>74</v>
      </c>
      <c r="AK886" s="1" t="s">
        <v>74</v>
      </c>
      <c r="AL886" s="1" t="s">
        <v>74</v>
      </c>
      <c r="AM886" s="1" t="s">
        <v>74</v>
      </c>
      <c r="AN886" s="1" t="s">
        <v>74</v>
      </c>
      <c r="AO886" s="1" t="s">
        <v>1787</v>
      </c>
      <c r="AP886" s="1" t="s">
        <v>74</v>
      </c>
      <c r="AQ886" s="1" t="s">
        <v>74</v>
      </c>
      <c r="AR886" s="1" t="s">
        <v>74</v>
      </c>
      <c r="AS886" s="1" t="s">
        <v>74</v>
      </c>
      <c r="AT886" s="1" t="s">
        <v>161</v>
      </c>
      <c r="AU886" s="1">
        <v>1997.0</v>
      </c>
      <c r="AV886" s="1">
        <v>14.0</v>
      </c>
      <c r="AW886" s="1">
        <v>10.0</v>
      </c>
      <c r="AX886" s="1" t="s">
        <v>74</v>
      </c>
      <c r="AY886" s="1" t="s">
        <v>74</v>
      </c>
      <c r="AZ886" s="1" t="s">
        <v>74</v>
      </c>
      <c r="BA886" s="1" t="s">
        <v>74</v>
      </c>
      <c r="BB886" s="1">
        <v>2771.0</v>
      </c>
      <c r="BC886" s="1">
        <v>2783.0</v>
      </c>
      <c r="BD886" s="1" t="s">
        <v>74</v>
      </c>
      <c r="BE886" s="1" t="s">
        <v>7390</v>
      </c>
      <c r="BF886" s="2" t="str">
        <f>HYPERLINK("http://dx.doi.org/10.1088/0264-9381/14/10/006","http://dx.doi.org/10.1088/0264-9381/14/10/006")</f>
        <v>http://dx.doi.org/10.1088/0264-9381/14/10/006</v>
      </c>
      <c r="BG886" s="1" t="s">
        <v>74</v>
      </c>
      <c r="BH886" s="1" t="s">
        <v>74</v>
      </c>
      <c r="BI886" s="1" t="s">
        <v>74</v>
      </c>
      <c r="BJ886" s="1" t="s">
        <v>74</v>
      </c>
      <c r="BK886" s="1" t="s">
        <v>74</v>
      </c>
      <c r="BL886" s="1" t="s">
        <v>74</v>
      </c>
      <c r="BM886" s="1" t="s">
        <v>74</v>
      </c>
      <c r="BN886" s="1" t="s">
        <v>74</v>
      </c>
      <c r="BO886" s="1" t="s">
        <v>74</v>
      </c>
      <c r="BP886" s="1" t="s">
        <v>74</v>
      </c>
      <c r="BQ886" s="1" t="s">
        <v>74</v>
      </c>
      <c r="BR886" s="1" t="s">
        <v>74</v>
      </c>
      <c r="BS886" s="1" t="s">
        <v>7391</v>
      </c>
      <c r="BT886" s="1" t="str">
        <f>HYPERLINK("https%3A%2F%2Fwww.webofscience.com%2Fwos%2Fwoscc%2Ffull-record%2FWOS:A1997YC94100005","View Full Record in Web of Science")</f>
        <v>View Full Record in Web of Science</v>
      </c>
    </row>
    <row r="887" ht="12.75" customHeight="1">
      <c r="A887" s="1" t="s">
        <v>91</v>
      </c>
      <c r="B887" s="1" t="s">
        <v>7392</v>
      </c>
      <c r="C887" s="1" t="s">
        <v>74</v>
      </c>
      <c r="D887" s="1" t="s">
        <v>7393</v>
      </c>
      <c r="E887" s="1" t="s">
        <v>74</v>
      </c>
      <c r="F887" s="1" t="s">
        <v>7392</v>
      </c>
      <c r="G887" s="1" t="s">
        <v>74</v>
      </c>
      <c r="H887" s="1" t="s">
        <v>74</v>
      </c>
      <c r="I887" s="1" t="s">
        <v>7394</v>
      </c>
      <c r="J887" s="1" t="s">
        <v>7395</v>
      </c>
      <c r="K887" s="1" t="s">
        <v>1719</v>
      </c>
      <c r="L887" s="1" t="s">
        <v>74</v>
      </c>
      <c r="M887" s="1" t="s">
        <v>74</v>
      </c>
      <c r="N887" s="1" t="s">
        <v>74</v>
      </c>
      <c r="O887" s="1" t="s">
        <v>7396</v>
      </c>
      <c r="P887" s="1" t="s">
        <v>7397</v>
      </c>
      <c r="Q887" s="1" t="s">
        <v>7398</v>
      </c>
      <c r="R887" s="1" t="s">
        <v>442</v>
      </c>
      <c r="S887" s="1" t="s">
        <v>74</v>
      </c>
      <c r="T887" s="1" t="s">
        <v>74</v>
      </c>
      <c r="U887" s="1" t="s">
        <v>74</v>
      </c>
      <c r="V887" s="1" t="s">
        <v>7399</v>
      </c>
      <c r="W887" s="1" t="s">
        <v>74</v>
      </c>
      <c r="X887" s="1" t="s">
        <v>74</v>
      </c>
      <c r="Y887" s="1" t="s">
        <v>74</v>
      </c>
      <c r="Z887" s="1" t="s">
        <v>74</v>
      </c>
      <c r="AA887" s="1" t="s">
        <v>4200</v>
      </c>
      <c r="AB887" s="1" t="s">
        <v>74</v>
      </c>
      <c r="AC887" s="1" t="s">
        <v>74</v>
      </c>
      <c r="AD887" s="1" t="s">
        <v>74</v>
      </c>
      <c r="AE887" s="1" t="s">
        <v>74</v>
      </c>
      <c r="AF887" s="1" t="s">
        <v>74</v>
      </c>
      <c r="AG887" s="1" t="s">
        <v>74</v>
      </c>
      <c r="AH887" s="1" t="s">
        <v>74</v>
      </c>
      <c r="AI887" s="1" t="s">
        <v>74</v>
      </c>
      <c r="AJ887" s="1" t="s">
        <v>74</v>
      </c>
      <c r="AK887" s="1" t="s">
        <v>74</v>
      </c>
      <c r="AL887" s="1" t="s">
        <v>74</v>
      </c>
      <c r="AM887" s="1" t="s">
        <v>74</v>
      </c>
      <c r="AN887" s="1" t="s">
        <v>74</v>
      </c>
      <c r="AO887" s="1" t="s">
        <v>1726</v>
      </c>
      <c r="AP887" s="1" t="s">
        <v>74</v>
      </c>
      <c r="AQ887" s="1" t="s">
        <v>7400</v>
      </c>
      <c r="AR887" s="1" t="s">
        <v>74</v>
      </c>
      <c r="AS887" s="1" t="s">
        <v>74</v>
      </c>
      <c r="AT887" s="1" t="s">
        <v>74</v>
      </c>
      <c r="AU887" s="1">
        <v>1997.0</v>
      </c>
      <c r="AV887" s="1" t="s">
        <v>74</v>
      </c>
      <c r="AW887" s="1" t="s">
        <v>74</v>
      </c>
      <c r="AX887" s="1" t="s">
        <v>74</v>
      </c>
      <c r="AY887" s="1" t="s">
        <v>74</v>
      </c>
      <c r="AZ887" s="1" t="s">
        <v>74</v>
      </c>
      <c r="BA887" s="1" t="s">
        <v>74</v>
      </c>
      <c r="BB887" s="1">
        <v>768.0</v>
      </c>
      <c r="BC887" s="1">
        <v>772.0</v>
      </c>
      <c r="BD887" s="1" t="s">
        <v>74</v>
      </c>
      <c r="BE887" s="1" t="s">
        <v>74</v>
      </c>
      <c r="BF887" s="1" t="s">
        <v>74</v>
      </c>
      <c r="BG887" s="1" t="s">
        <v>74</v>
      </c>
      <c r="BH887" s="1" t="s">
        <v>74</v>
      </c>
      <c r="BI887" s="1" t="s">
        <v>74</v>
      </c>
      <c r="BJ887" s="1" t="s">
        <v>74</v>
      </c>
      <c r="BK887" s="1" t="s">
        <v>74</v>
      </c>
      <c r="BL887" s="1" t="s">
        <v>74</v>
      </c>
      <c r="BM887" s="1" t="s">
        <v>74</v>
      </c>
      <c r="BN887" s="1" t="s">
        <v>74</v>
      </c>
      <c r="BO887" s="1" t="s">
        <v>74</v>
      </c>
      <c r="BP887" s="1" t="s">
        <v>74</v>
      </c>
      <c r="BQ887" s="1" t="s">
        <v>74</v>
      </c>
      <c r="BR887" s="1" t="s">
        <v>74</v>
      </c>
      <c r="BS887" s="1" t="s">
        <v>7401</v>
      </c>
      <c r="BT887" s="1" t="str">
        <f>HYPERLINK("https%3A%2F%2Fwww.webofscience.com%2Fwos%2Fwoscc%2Ffull-record%2FWOS:A1997BH59W00170","View Full Record in Web of Science")</f>
        <v>View Full Record in Web of Science</v>
      </c>
    </row>
    <row r="888" ht="12.75" customHeight="1">
      <c r="A888" s="1" t="s">
        <v>72</v>
      </c>
      <c r="B888" s="1" t="s">
        <v>4957</v>
      </c>
      <c r="C888" s="1" t="s">
        <v>74</v>
      </c>
      <c r="D888" s="1" t="s">
        <v>74</v>
      </c>
      <c r="E888" s="1" t="s">
        <v>74</v>
      </c>
      <c r="F888" s="1" t="s">
        <v>4957</v>
      </c>
      <c r="G888" s="1" t="s">
        <v>74</v>
      </c>
      <c r="H888" s="1" t="s">
        <v>74</v>
      </c>
      <c r="I888" s="1" t="s">
        <v>7402</v>
      </c>
      <c r="J888" s="1" t="s">
        <v>1181</v>
      </c>
      <c r="K888" s="1" t="s">
        <v>74</v>
      </c>
      <c r="L888" s="1" t="s">
        <v>74</v>
      </c>
      <c r="M888" s="1" t="s">
        <v>74</v>
      </c>
      <c r="N888" s="1" t="s">
        <v>74</v>
      </c>
      <c r="O888" s="1" t="s">
        <v>74</v>
      </c>
      <c r="P888" s="1" t="s">
        <v>74</v>
      </c>
      <c r="Q888" s="1" t="s">
        <v>74</v>
      </c>
      <c r="R888" s="1" t="s">
        <v>74</v>
      </c>
      <c r="S888" s="1" t="s">
        <v>74</v>
      </c>
      <c r="T888" s="1" t="s">
        <v>74</v>
      </c>
      <c r="U888" s="1" t="s">
        <v>74</v>
      </c>
      <c r="V888" s="1" t="s">
        <v>7403</v>
      </c>
      <c r="W888" s="1" t="s">
        <v>74</v>
      </c>
      <c r="X888" s="1" t="s">
        <v>74</v>
      </c>
      <c r="Y888" s="1" t="s">
        <v>74</v>
      </c>
      <c r="Z888" s="1" t="s">
        <v>74</v>
      </c>
      <c r="AA888" s="1" t="s">
        <v>1174</v>
      </c>
      <c r="AB888" s="1" t="s">
        <v>74</v>
      </c>
      <c r="AC888" s="1" t="s">
        <v>74</v>
      </c>
      <c r="AD888" s="1" t="s">
        <v>74</v>
      </c>
      <c r="AE888" s="1" t="s">
        <v>74</v>
      </c>
      <c r="AF888" s="1" t="s">
        <v>74</v>
      </c>
      <c r="AG888" s="1" t="s">
        <v>74</v>
      </c>
      <c r="AH888" s="1" t="s">
        <v>74</v>
      </c>
      <c r="AI888" s="1" t="s">
        <v>74</v>
      </c>
      <c r="AJ888" s="1" t="s">
        <v>74</v>
      </c>
      <c r="AK888" s="1" t="s">
        <v>74</v>
      </c>
      <c r="AL888" s="1" t="s">
        <v>74</v>
      </c>
      <c r="AM888" s="1" t="s">
        <v>74</v>
      </c>
      <c r="AN888" s="1" t="s">
        <v>74</v>
      </c>
      <c r="AO888" s="1" t="s">
        <v>1182</v>
      </c>
      <c r="AP888" s="1" t="s">
        <v>74</v>
      </c>
      <c r="AQ888" s="1" t="s">
        <v>74</v>
      </c>
      <c r="AR888" s="1" t="s">
        <v>74</v>
      </c>
      <c r="AS888" s="1" t="s">
        <v>74</v>
      </c>
      <c r="AT888" s="1" t="s">
        <v>5306</v>
      </c>
      <c r="AU888" s="1">
        <v>1996.0</v>
      </c>
      <c r="AV888" s="1">
        <v>12.0</v>
      </c>
      <c r="AW888" s="1">
        <v>7.0</v>
      </c>
      <c r="AX888" s="1" t="s">
        <v>74</v>
      </c>
      <c r="AY888" s="1" t="s">
        <v>74</v>
      </c>
      <c r="AZ888" s="1" t="s">
        <v>74</v>
      </c>
      <c r="BA888" s="1" t="s">
        <v>74</v>
      </c>
      <c r="BB888" s="1">
        <v>1738.0</v>
      </c>
      <c r="BC888" s="1">
        <v>1743.0</v>
      </c>
      <c r="BD888" s="1" t="s">
        <v>74</v>
      </c>
      <c r="BE888" s="1" t="s">
        <v>7404</v>
      </c>
      <c r="BF888" s="2" t="str">
        <f>HYPERLINK("http://dx.doi.org/10.1021/la950238e","http://dx.doi.org/10.1021/la950238e")</f>
        <v>http://dx.doi.org/10.1021/la950238e</v>
      </c>
      <c r="BG888" s="1" t="s">
        <v>74</v>
      </c>
      <c r="BH888" s="1" t="s">
        <v>74</v>
      </c>
      <c r="BI888" s="1" t="s">
        <v>74</v>
      </c>
      <c r="BJ888" s="1" t="s">
        <v>74</v>
      </c>
      <c r="BK888" s="1" t="s">
        <v>74</v>
      </c>
      <c r="BL888" s="1" t="s">
        <v>74</v>
      </c>
      <c r="BM888" s="1" t="s">
        <v>74</v>
      </c>
      <c r="BN888" s="1" t="s">
        <v>74</v>
      </c>
      <c r="BO888" s="1" t="s">
        <v>74</v>
      </c>
      <c r="BP888" s="1" t="s">
        <v>74</v>
      </c>
      <c r="BQ888" s="1" t="s">
        <v>74</v>
      </c>
      <c r="BR888" s="1" t="s">
        <v>74</v>
      </c>
      <c r="BS888" s="1" t="s">
        <v>7405</v>
      </c>
      <c r="BT888" s="1" t="str">
        <f>HYPERLINK("https%3A%2F%2Fwww.webofscience.com%2Fwos%2Fwoscc%2Ffull-record%2FWOS:A1996UD79400008","View Full Record in Web of Science")</f>
        <v>View Full Record in Web of Science</v>
      </c>
    </row>
    <row r="889" ht="12.75" customHeight="1">
      <c r="A889" s="1" t="s">
        <v>72</v>
      </c>
      <c r="B889" s="1" t="s">
        <v>7406</v>
      </c>
      <c r="C889" s="1" t="s">
        <v>74</v>
      </c>
      <c r="D889" s="1" t="s">
        <v>74</v>
      </c>
      <c r="E889" s="1" t="s">
        <v>74</v>
      </c>
      <c r="F889" s="1" t="s">
        <v>7406</v>
      </c>
      <c r="G889" s="1" t="s">
        <v>74</v>
      </c>
      <c r="H889" s="1" t="s">
        <v>74</v>
      </c>
      <c r="I889" s="1" t="s">
        <v>7407</v>
      </c>
      <c r="J889" s="1" t="s">
        <v>400</v>
      </c>
      <c r="K889" s="1" t="s">
        <v>74</v>
      </c>
      <c r="L889" s="1" t="s">
        <v>74</v>
      </c>
      <c r="M889" s="1" t="s">
        <v>74</v>
      </c>
      <c r="N889" s="1" t="s">
        <v>74</v>
      </c>
      <c r="O889" s="1" t="s">
        <v>74</v>
      </c>
      <c r="P889" s="1" t="s">
        <v>74</v>
      </c>
      <c r="Q889" s="1" t="s">
        <v>74</v>
      </c>
      <c r="R889" s="1" t="s">
        <v>74</v>
      </c>
      <c r="S889" s="1" t="s">
        <v>74</v>
      </c>
      <c r="T889" s="1" t="s">
        <v>74</v>
      </c>
      <c r="U889" s="1" t="s">
        <v>74</v>
      </c>
      <c r="V889" s="1" t="s">
        <v>7408</v>
      </c>
      <c r="W889" s="1" t="s">
        <v>74</v>
      </c>
      <c r="X889" s="1" t="s">
        <v>74</v>
      </c>
      <c r="Y889" s="1" t="s">
        <v>74</v>
      </c>
      <c r="Z889" s="1" t="s">
        <v>74</v>
      </c>
      <c r="AA889" s="1" t="s">
        <v>74</v>
      </c>
      <c r="AB889" s="1" t="s">
        <v>74</v>
      </c>
      <c r="AC889" s="1" t="s">
        <v>74</v>
      </c>
      <c r="AD889" s="1" t="s">
        <v>74</v>
      </c>
      <c r="AE889" s="1" t="s">
        <v>74</v>
      </c>
      <c r="AF889" s="1" t="s">
        <v>74</v>
      </c>
      <c r="AG889" s="1" t="s">
        <v>74</v>
      </c>
      <c r="AH889" s="1" t="s">
        <v>74</v>
      </c>
      <c r="AI889" s="1" t="s">
        <v>74</v>
      </c>
      <c r="AJ889" s="1" t="s">
        <v>74</v>
      </c>
      <c r="AK889" s="1" t="s">
        <v>74</v>
      </c>
      <c r="AL889" s="1" t="s">
        <v>74</v>
      </c>
      <c r="AM889" s="1" t="s">
        <v>74</v>
      </c>
      <c r="AN889" s="1" t="s">
        <v>74</v>
      </c>
      <c r="AO889" s="1" t="s">
        <v>403</v>
      </c>
      <c r="AP889" s="1" t="s">
        <v>404</v>
      </c>
      <c r="AQ889" s="1" t="s">
        <v>74</v>
      </c>
      <c r="AR889" s="1" t="s">
        <v>74</v>
      </c>
      <c r="AS889" s="1" t="s">
        <v>74</v>
      </c>
      <c r="AT889" s="1" t="s">
        <v>4044</v>
      </c>
      <c r="AU889" s="1">
        <v>1996.0</v>
      </c>
      <c r="AV889" s="1">
        <v>11.0</v>
      </c>
      <c r="AW889" s="1">
        <v>4.0</v>
      </c>
      <c r="AX889" s="1" t="s">
        <v>74</v>
      </c>
      <c r="AY889" s="1" t="s">
        <v>74</v>
      </c>
      <c r="AZ889" s="1" t="s">
        <v>74</v>
      </c>
      <c r="BA889" s="1" t="s">
        <v>74</v>
      </c>
      <c r="BB889" s="1">
        <v>281.0</v>
      </c>
      <c r="BC889" s="1">
        <v>287.0</v>
      </c>
      <c r="BD889" s="1" t="s">
        <v>74</v>
      </c>
      <c r="BE889" s="1" t="s">
        <v>7409</v>
      </c>
      <c r="BF889" s="2" t="str">
        <f>HYPERLINK("http://dx.doi.org/10.1142/S0217732396000321","http://dx.doi.org/10.1142/S0217732396000321")</f>
        <v>http://dx.doi.org/10.1142/S0217732396000321</v>
      </c>
      <c r="BG889" s="1" t="s">
        <v>74</v>
      </c>
      <c r="BH889" s="1" t="s">
        <v>74</v>
      </c>
      <c r="BI889" s="1" t="s">
        <v>74</v>
      </c>
      <c r="BJ889" s="1" t="s">
        <v>74</v>
      </c>
      <c r="BK889" s="1" t="s">
        <v>74</v>
      </c>
      <c r="BL889" s="1" t="s">
        <v>74</v>
      </c>
      <c r="BM889" s="1" t="s">
        <v>74</v>
      </c>
      <c r="BN889" s="1" t="s">
        <v>74</v>
      </c>
      <c r="BO889" s="1" t="s">
        <v>74</v>
      </c>
      <c r="BP889" s="1" t="s">
        <v>74</v>
      </c>
      <c r="BQ889" s="1" t="s">
        <v>74</v>
      </c>
      <c r="BR889" s="1" t="s">
        <v>74</v>
      </c>
      <c r="BS889" s="1" t="s">
        <v>7410</v>
      </c>
      <c r="BT889" s="1" t="str">
        <f>HYPERLINK("https%3A%2F%2Fwww.webofscience.com%2Fwos%2Fwoscc%2Ffull-record%2FWOS:A1996TY57500003","View Full Record in Web of Science")</f>
        <v>View Full Record in Web of Science</v>
      </c>
    </row>
    <row r="890" ht="12.75" customHeight="1">
      <c r="A890" s="1" t="s">
        <v>72</v>
      </c>
      <c r="B890" s="1" t="s">
        <v>7411</v>
      </c>
      <c r="C890" s="1" t="s">
        <v>74</v>
      </c>
      <c r="D890" s="1" t="s">
        <v>74</v>
      </c>
      <c r="E890" s="1" t="s">
        <v>74</v>
      </c>
      <c r="F890" s="1" t="s">
        <v>7411</v>
      </c>
      <c r="G890" s="1" t="s">
        <v>74</v>
      </c>
      <c r="H890" s="1" t="s">
        <v>74</v>
      </c>
      <c r="I890" s="1" t="s">
        <v>7412</v>
      </c>
      <c r="J890" s="1" t="s">
        <v>7413</v>
      </c>
      <c r="K890" s="1" t="s">
        <v>74</v>
      </c>
      <c r="L890" s="1" t="s">
        <v>74</v>
      </c>
      <c r="M890" s="1" t="s">
        <v>74</v>
      </c>
      <c r="N890" s="1" t="s">
        <v>74</v>
      </c>
      <c r="O890" s="1" t="s">
        <v>74</v>
      </c>
      <c r="P890" s="1" t="s">
        <v>74</v>
      </c>
      <c r="Q890" s="1" t="s">
        <v>74</v>
      </c>
      <c r="R890" s="1" t="s">
        <v>74</v>
      </c>
      <c r="S890" s="1" t="s">
        <v>74</v>
      </c>
      <c r="T890" s="1" t="s">
        <v>74</v>
      </c>
      <c r="U890" s="1" t="s">
        <v>74</v>
      </c>
      <c r="V890" s="1" t="s">
        <v>7414</v>
      </c>
      <c r="W890" s="1" t="s">
        <v>74</v>
      </c>
      <c r="X890" s="1" t="s">
        <v>74</v>
      </c>
      <c r="Y890" s="1" t="s">
        <v>74</v>
      </c>
      <c r="Z890" s="1" t="s">
        <v>74</v>
      </c>
      <c r="AA890" s="1" t="s">
        <v>7415</v>
      </c>
      <c r="AB890" s="1" t="s">
        <v>7416</v>
      </c>
      <c r="AC890" s="1" t="s">
        <v>74</v>
      </c>
      <c r="AD890" s="1" t="s">
        <v>74</v>
      </c>
      <c r="AE890" s="1" t="s">
        <v>74</v>
      </c>
      <c r="AF890" s="1" t="s">
        <v>74</v>
      </c>
      <c r="AG890" s="1" t="s">
        <v>74</v>
      </c>
      <c r="AH890" s="1" t="s">
        <v>74</v>
      </c>
      <c r="AI890" s="1" t="s">
        <v>74</v>
      </c>
      <c r="AJ890" s="1" t="s">
        <v>74</v>
      </c>
      <c r="AK890" s="1" t="s">
        <v>74</v>
      </c>
      <c r="AL890" s="1" t="s">
        <v>74</v>
      </c>
      <c r="AM890" s="1" t="s">
        <v>74</v>
      </c>
      <c r="AN890" s="1" t="s">
        <v>74</v>
      </c>
      <c r="AO890" s="1" t="s">
        <v>7417</v>
      </c>
      <c r="AP890" s="1" t="s">
        <v>74</v>
      </c>
      <c r="AQ890" s="1" t="s">
        <v>74</v>
      </c>
      <c r="AR890" s="1" t="s">
        <v>74</v>
      </c>
      <c r="AS890" s="1" t="s">
        <v>74</v>
      </c>
      <c r="AT890" s="1" t="s">
        <v>74</v>
      </c>
      <c r="AU890" s="1">
        <v>1996.0</v>
      </c>
      <c r="AV890" s="1">
        <v>87.0</v>
      </c>
      <c r="AW890" s="1" t="s">
        <v>1159</v>
      </c>
      <c r="AX890" s="1" t="s">
        <v>74</v>
      </c>
      <c r="AY890" s="1" t="s">
        <v>74</v>
      </c>
      <c r="AZ890" s="1" t="s">
        <v>74</v>
      </c>
      <c r="BA890" s="1" t="s">
        <v>74</v>
      </c>
      <c r="BB890" s="1">
        <v>191.0</v>
      </c>
      <c r="BC890" s="1">
        <v>199.0</v>
      </c>
      <c r="BD890" s="1" t="s">
        <v>74</v>
      </c>
      <c r="BE890" s="1" t="s">
        <v>7418</v>
      </c>
      <c r="BF890" s="2" t="str">
        <f>HYPERLINK("http://dx.doi.org/10.3109/00207459609070837","http://dx.doi.org/10.3109/00207459609070837")</f>
        <v>http://dx.doi.org/10.3109/00207459609070837</v>
      </c>
      <c r="BG890" s="1" t="s">
        <v>74</v>
      </c>
      <c r="BH890" s="1" t="s">
        <v>74</v>
      </c>
      <c r="BI890" s="1" t="s">
        <v>74</v>
      </c>
      <c r="BJ890" s="1" t="s">
        <v>74</v>
      </c>
      <c r="BK890" s="1" t="s">
        <v>74</v>
      </c>
      <c r="BL890" s="1" t="s">
        <v>74</v>
      </c>
      <c r="BM890" s="1" t="s">
        <v>74</v>
      </c>
      <c r="BN890" s="1">
        <v>9003979.0</v>
      </c>
      <c r="BO890" s="1" t="s">
        <v>74</v>
      </c>
      <c r="BP890" s="1" t="s">
        <v>74</v>
      </c>
      <c r="BQ890" s="1" t="s">
        <v>74</v>
      </c>
      <c r="BR890" s="1" t="s">
        <v>74</v>
      </c>
      <c r="BS890" s="1" t="s">
        <v>7419</v>
      </c>
      <c r="BT890" s="1" t="str">
        <f>HYPERLINK("https%3A%2F%2Fwww.webofscience.com%2Fwos%2Fwoscc%2Ffull-record%2FWOS:A1996VZ75800008","View Full Record in Web of Science")</f>
        <v>View Full Record in Web of Science</v>
      </c>
    </row>
    <row r="891" ht="12.75" customHeight="1">
      <c r="A891" s="1" t="s">
        <v>72</v>
      </c>
      <c r="B891" s="1" t="s">
        <v>7420</v>
      </c>
      <c r="C891" s="1" t="s">
        <v>74</v>
      </c>
      <c r="D891" s="1" t="s">
        <v>74</v>
      </c>
      <c r="E891" s="1" t="s">
        <v>74</v>
      </c>
      <c r="F891" s="1" t="s">
        <v>7420</v>
      </c>
      <c r="G891" s="1" t="s">
        <v>74</v>
      </c>
      <c r="H891" s="1" t="s">
        <v>74</v>
      </c>
      <c r="I891" s="1" t="s">
        <v>7421</v>
      </c>
      <c r="J891" s="1" t="s">
        <v>7422</v>
      </c>
      <c r="K891" s="1" t="s">
        <v>74</v>
      </c>
      <c r="L891" s="1" t="s">
        <v>74</v>
      </c>
      <c r="M891" s="1" t="s">
        <v>74</v>
      </c>
      <c r="N891" s="1" t="s">
        <v>74</v>
      </c>
      <c r="O891" s="1" t="s">
        <v>74</v>
      </c>
      <c r="P891" s="1" t="s">
        <v>74</v>
      </c>
      <c r="Q891" s="1" t="s">
        <v>74</v>
      </c>
      <c r="R891" s="1" t="s">
        <v>74</v>
      </c>
      <c r="S891" s="1" t="s">
        <v>74</v>
      </c>
      <c r="T891" s="1" t="s">
        <v>74</v>
      </c>
      <c r="U891" s="1" t="s">
        <v>74</v>
      </c>
      <c r="V891" s="1" t="s">
        <v>74</v>
      </c>
      <c r="W891" s="1" t="s">
        <v>74</v>
      </c>
      <c r="X891" s="1" t="s">
        <v>74</v>
      </c>
      <c r="Y891" s="1" t="s">
        <v>74</v>
      </c>
      <c r="Z891" s="1" t="s">
        <v>74</v>
      </c>
      <c r="AA891" s="1" t="s">
        <v>74</v>
      </c>
      <c r="AB891" s="1" t="s">
        <v>7423</v>
      </c>
      <c r="AC891" s="1" t="s">
        <v>74</v>
      </c>
      <c r="AD891" s="1" t="s">
        <v>74</v>
      </c>
      <c r="AE891" s="1" t="s">
        <v>74</v>
      </c>
      <c r="AF891" s="1" t="s">
        <v>74</v>
      </c>
      <c r="AG891" s="1" t="s">
        <v>74</v>
      </c>
      <c r="AH891" s="1" t="s">
        <v>74</v>
      </c>
      <c r="AI891" s="1" t="s">
        <v>74</v>
      </c>
      <c r="AJ891" s="1" t="s">
        <v>74</v>
      </c>
      <c r="AK891" s="1" t="s">
        <v>74</v>
      </c>
      <c r="AL891" s="1" t="s">
        <v>74</v>
      </c>
      <c r="AM891" s="1" t="s">
        <v>74</v>
      </c>
      <c r="AN891" s="1" t="s">
        <v>74</v>
      </c>
      <c r="AO891" s="1" t="s">
        <v>7424</v>
      </c>
      <c r="AP891" s="1" t="s">
        <v>74</v>
      </c>
      <c r="AQ891" s="1" t="s">
        <v>74</v>
      </c>
      <c r="AR891" s="1" t="s">
        <v>74</v>
      </c>
      <c r="AS891" s="1" t="s">
        <v>74</v>
      </c>
      <c r="AT891" s="1" t="s">
        <v>111</v>
      </c>
      <c r="AU891" s="1">
        <v>1995.0</v>
      </c>
      <c r="AV891" s="1">
        <v>89.0</v>
      </c>
      <c r="AW891" s="1">
        <v>4.0</v>
      </c>
      <c r="AX891" s="1" t="s">
        <v>74</v>
      </c>
      <c r="AY891" s="1" t="s">
        <v>74</v>
      </c>
      <c r="AZ891" s="1" t="s">
        <v>74</v>
      </c>
      <c r="BA891" s="1" t="s">
        <v>74</v>
      </c>
      <c r="BB891" s="1">
        <v>438.0</v>
      </c>
      <c r="BC891" s="1">
        <v>439.0</v>
      </c>
      <c r="BD891" s="1" t="s">
        <v>74</v>
      </c>
      <c r="BE891" s="1" t="s">
        <v>7425</v>
      </c>
      <c r="BF891" s="2" t="str">
        <f>HYPERLINK("http://dx.doi.org/10.1016/0035-9203(95)90046-2","http://dx.doi.org/10.1016/0035-9203(95)90046-2")</f>
        <v>http://dx.doi.org/10.1016/0035-9203(95)90046-2</v>
      </c>
      <c r="BG891" s="1" t="s">
        <v>74</v>
      </c>
      <c r="BH891" s="1" t="s">
        <v>74</v>
      </c>
      <c r="BI891" s="1" t="s">
        <v>74</v>
      </c>
      <c r="BJ891" s="1" t="s">
        <v>74</v>
      </c>
      <c r="BK891" s="1" t="s">
        <v>74</v>
      </c>
      <c r="BL891" s="1" t="s">
        <v>74</v>
      </c>
      <c r="BM891" s="1" t="s">
        <v>74</v>
      </c>
      <c r="BN891" s="1">
        <v>7570892.0</v>
      </c>
      <c r="BO891" s="1" t="s">
        <v>74</v>
      </c>
      <c r="BP891" s="1" t="s">
        <v>74</v>
      </c>
      <c r="BQ891" s="1" t="s">
        <v>74</v>
      </c>
      <c r="BR891" s="1" t="s">
        <v>74</v>
      </c>
      <c r="BS891" s="1" t="s">
        <v>7426</v>
      </c>
      <c r="BT891" s="1" t="str">
        <f>HYPERLINK("https%3A%2F%2Fwww.webofscience.com%2Fwos%2Fwoscc%2Ffull-record%2FWOS:A1995RT59500037","View Full Record in Web of Science")</f>
        <v>View Full Record in Web of Science</v>
      </c>
    </row>
    <row r="892" ht="12.75" customHeight="1">
      <c r="A892" s="1" t="s">
        <v>72</v>
      </c>
      <c r="B892" s="1" t="s">
        <v>7427</v>
      </c>
      <c r="C892" s="1" t="s">
        <v>74</v>
      </c>
      <c r="D892" s="1" t="s">
        <v>74</v>
      </c>
      <c r="E892" s="1" t="s">
        <v>74</v>
      </c>
      <c r="F892" s="1" t="s">
        <v>7427</v>
      </c>
      <c r="G892" s="1" t="s">
        <v>74</v>
      </c>
      <c r="H892" s="1" t="s">
        <v>74</v>
      </c>
      <c r="I892" s="1" t="s">
        <v>7428</v>
      </c>
      <c r="J892" s="1" t="s">
        <v>4303</v>
      </c>
      <c r="K892" s="1" t="s">
        <v>74</v>
      </c>
      <c r="L892" s="1" t="s">
        <v>74</v>
      </c>
      <c r="M892" s="1" t="s">
        <v>74</v>
      </c>
      <c r="N892" s="1" t="s">
        <v>74</v>
      </c>
      <c r="O892" s="1" t="s">
        <v>74</v>
      </c>
      <c r="P892" s="1" t="s">
        <v>74</v>
      </c>
      <c r="Q892" s="1" t="s">
        <v>74</v>
      </c>
      <c r="R892" s="1" t="s">
        <v>74</v>
      </c>
      <c r="S892" s="1" t="s">
        <v>74</v>
      </c>
      <c r="T892" s="1" t="s">
        <v>74</v>
      </c>
      <c r="U892" s="1" t="s">
        <v>74</v>
      </c>
      <c r="V892" s="1" t="s">
        <v>7429</v>
      </c>
      <c r="W892" s="1" t="s">
        <v>74</v>
      </c>
      <c r="X892" s="1" t="s">
        <v>74</v>
      </c>
      <c r="Y892" s="1" t="s">
        <v>74</v>
      </c>
      <c r="Z892" s="1" t="s">
        <v>74</v>
      </c>
      <c r="AA892" s="1" t="s">
        <v>74</v>
      </c>
      <c r="AB892" s="1" t="s">
        <v>74</v>
      </c>
      <c r="AC892" s="1" t="s">
        <v>74</v>
      </c>
      <c r="AD892" s="1" t="s">
        <v>74</v>
      </c>
      <c r="AE892" s="1" t="s">
        <v>74</v>
      </c>
      <c r="AF892" s="1" t="s">
        <v>74</v>
      </c>
      <c r="AG892" s="1" t="s">
        <v>74</v>
      </c>
      <c r="AH892" s="1" t="s">
        <v>74</v>
      </c>
      <c r="AI892" s="1" t="s">
        <v>74</v>
      </c>
      <c r="AJ892" s="1" t="s">
        <v>74</v>
      </c>
      <c r="AK892" s="1" t="s">
        <v>74</v>
      </c>
      <c r="AL892" s="1" t="s">
        <v>74</v>
      </c>
      <c r="AM892" s="1" t="s">
        <v>74</v>
      </c>
      <c r="AN892" s="1" t="s">
        <v>74</v>
      </c>
      <c r="AO892" s="1" t="s">
        <v>4304</v>
      </c>
      <c r="AP892" s="1" t="s">
        <v>74</v>
      </c>
      <c r="AQ892" s="1" t="s">
        <v>74</v>
      </c>
      <c r="AR892" s="1" t="s">
        <v>74</v>
      </c>
      <c r="AS892" s="1" t="s">
        <v>74</v>
      </c>
      <c r="AT892" s="1" t="s">
        <v>74</v>
      </c>
      <c r="AU892" s="1">
        <v>1995.0</v>
      </c>
      <c r="AV892" s="1">
        <v>24.0</v>
      </c>
      <c r="AW892" s="1">
        <v>3.0</v>
      </c>
      <c r="AX892" s="1" t="s">
        <v>74</v>
      </c>
      <c r="AY892" s="1" t="s">
        <v>74</v>
      </c>
      <c r="AZ892" s="1" t="s">
        <v>74</v>
      </c>
      <c r="BA892" s="1" t="s">
        <v>74</v>
      </c>
      <c r="BB892" s="1">
        <v>631.0</v>
      </c>
      <c r="BC892" s="1">
        <v>652.0</v>
      </c>
      <c r="BD892" s="1" t="s">
        <v>74</v>
      </c>
      <c r="BE892" s="1" t="s">
        <v>7430</v>
      </c>
      <c r="BF892" s="2" t="str">
        <f>HYPERLINK("http://dx.doi.org/10.1080/03610919508813264","http://dx.doi.org/10.1080/03610919508813264")</f>
        <v>http://dx.doi.org/10.1080/03610919508813264</v>
      </c>
      <c r="BG892" s="1" t="s">
        <v>74</v>
      </c>
      <c r="BH892" s="1" t="s">
        <v>74</v>
      </c>
      <c r="BI892" s="1" t="s">
        <v>74</v>
      </c>
      <c r="BJ892" s="1" t="s">
        <v>74</v>
      </c>
      <c r="BK892" s="1" t="s">
        <v>74</v>
      </c>
      <c r="BL892" s="1" t="s">
        <v>74</v>
      </c>
      <c r="BM892" s="1" t="s">
        <v>74</v>
      </c>
      <c r="BN892" s="1" t="s">
        <v>74</v>
      </c>
      <c r="BO892" s="1" t="s">
        <v>74</v>
      </c>
      <c r="BP892" s="1" t="s">
        <v>74</v>
      </c>
      <c r="BQ892" s="1" t="s">
        <v>74</v>
      </c>
      <c r="BR892" s="1" t="s">
        <v>74</v>
      </c>
      <c r="BS892" s="1" t="s">
        <v>7431</v>
      </c>
      <c r="BT892" s="1" t="str">
        <f>HYPERLINK("https%3A%2F%2Fwww.webofscience.com%2Fwos%2Fwoscc%2Ffull-record%2FWOS:A1995RH84200008","View Full Record in Web of Science")</f>
        <v>View Full Record in Web of Science</v>
      </c>
    </row>
    <row r="893" ht="12.75" customHeight="1">
      <c r="A893" s="1" t="s">
        <v>72</v>
      </c>
      <c r="B893" s="1" t="s">
        <v>7432</v>
      </c>
      <c r="C893" s="1" t="s">
        <v>74</v>
      </c>
      <c r="D893" s="1" t="s">
        <v>74</v>
      </c>
      <c r="E893" s="1" t="s">
        <v>74</v>
      </c>
      <c r="F893" s="1" t="s">
        <v>7432</v>
      </c>
      <c r="G893" s="1" t="s">
        <v>74</v>
      </c>
      <c r="H893" s="1" t="s">
        <v>74</v>
      </c>
      <c r="I893" s="1" t="s">
        <v>7433</v>
      </c>
      <c r="J893" s="1" t="s">
        <v>177</v>
      </c>
      <c r="K893" s="1" t="s">
        <v>74</v>
      </c>
      <c r="L893" s="1" t="s">
        <v>74</v>
      </c>
      <c r="M893" s="1" t="s">
        <v>74</v>
      </c>
      <c r="N893" s="1" t="s">
        <v>74</v>
      </c>
      <c r="O893" s="1" t="s">
        <v>74</v>
      </c>
      <c r="P893" s="1" t="s">
        <v>74</v>
      </c>
      <c r="Q893" s="1" t="s">
        <v>74</v>
      </c>
      <c r="R893" s="1" t="s">
        <v>74</v>
      </c>
      <c r="S893" s="1" t="s">
        <v>74</v>
      </c>
      <c r="T893" s="1" t="s">
        <v>74</v>
      </c>
      <c r="U893" s="1" t="s">
        <v>74</v>
      </c>
      <c r="V893" s="1" t="s">
        <v>7434</v>
      </c>
      <c r="W893" s="1" t="s">
        <v>74</v>
      </c>
      <c r="X893" s="1" t="s">
        <v>74</v>
      </c>
      <c r="Y893" s="1" t="s">
        <v>74</v>
      </c>
      <c r="Z893" s="1" t="s">
        <v>74</v>
      </c>
      <c r="AA893" s="1" t="s">
        <v>379</v>
      </c>
      <c r="AB893" s="1" t="s">
        <v>74</v>
      </c>
      <c r="AC893" s="1" t="s">
        <v>74</v>
      </c>
      <c r="AD893" s="1" t="s">
        <v>74</v>
      </c>
      <c r="AE893" s="1" t="s">
        <v>74</v>
      </c>
      <c r="AF893" s="1" t="s">
        <v>74</v>
      </c>
      <c r="AG893" s="1" t="s">
        <v>74</v>
      </c>
      <c r="AH893" s="1" t="s">
        <v>74</v>
      </c>
      <c r="AI893" s="1" t="s">
        <v>74</v>
      </c>
      <c r="AJ893" s="1" t="s">
        <v>74</v>
      </c>
      <c r="AK893" s="1" t="s">
        <v>74</v>
      </c>
      <c r="AL893" s="1" t="s">
        <v>74</v>
      </c>
      <c r="AM893" s="1" t="s">
        <v>74</v>
      </c>
      <c r="AN893" s="1" t="s">
        <v>74</v>
      </c>
      <c r="AO893" s="1" t="s">
        <v>179</v>
      </c>
      <c r="AP893" s="1" t="s">
        <v>74</v>
      </c>
      <c r="AQ893" s="1" t="s">
        <v>74</v>
      </c>
      <c r="AR893" s="1" t="s">
        <v>74</v>
      </c>
      <c r="AS893" s="1" t="s">
        <v>74</v>
      </c>
      <c r="AT893" s="1" t="s">
        <v>276</v>
      </c>
      <c r="AU893" s="1">
        <v>1994.0</v>
      </c>
      <c r="AV893" s="1">
        <v>39.0</v>
      </c>
      <c r="AW893" s="1">
        <v>3.0</v>
      </c>
      <c r="AX893" s="1" t="s">
        <v>74</v>
      </c>
      <c r="AY893" s="1" t="s">
        <v>74</v>
      </c>
      <c r="AZ893" s="1" t="s">
        <v>74</v>
      </c>
      <c r="BA893" s="1" t="s">
        <v>74</v>
      </c>
      <c r="BB893" s="1">
        <v>245.0</v>
      </c>
      <c r="BC893" s="1">
        <v>251.0</v>
      </c>
      <c r="BD893" s="1" t="s">
        <v>74</v>
      </c>
      <c r="BE893" s="1" t="s">
        <v>74</v>
      </c>
      <c r="BF893" s="1" t="s">
        <v>74</v>
      </c>
      <c r="BG893" s="1" t="s">
        <v>74</v>
      </c>
      <c r="BH893" s="1" t="s">
        <v>74</v>
      </c>
      <c r="BI893" s="1" t="s">
        <v>74</v>
      </c>
      <c r="BJ893" s="1" t="s">
        <v>74</v>
      </c>
      <c r="BK893" s="1" t="s">
        <v>74</v>
      </c>
      <c r="BL893" s="1" t="s">
        <v>74</v>
      </c>
      <c r="BM893" s="1" t="s">
        <v>74</v>
      </c>
      <c r="BN893" s="1" t="s">
        <v>74</v>
      </c>
      <c r="BO893" s="1" t="s">
        <v>74</v>
      </c>
      <c r="BP893" s="1" t="s">
        <v>74</v>
      </c>
      <c r="BQ893" s="1" t="s">
        <v>74</v>
      </c>
      <c r="BR893" s="1" t="s">
        <v>74</v>
      </c>
      <c r="BS893" s="1" t="s">
        <v>7435</v>
      </c>
      <c r="BT893" s="1" t="str">
        <f>HYPERLINK("https%3A%2F%2Fwww.webofscience.com%2Fwos%2Fwoscc%2Ffull-record%2FWOS:A1994PM86700013","View Full Record in Web of Science")</f>
        <v>View Full Record in Web of Science</v>
      </c>
    </row>
    <row r="894" ht="12.75" customHeight="1">
      <c r="A894" s="1" t="s">
        <v>72</v>
      </c>
      <c r="B894" s="1" t="s">
        <v>7436</v>
      </c>
      <c r="C894" s="1" t="s">
        <v>74</v>
      </c>
      <c r="D894" s="1" t="s">
        <v>74</v>
      </c>
      <c r="E894" s="1" t="s">
        <v>74</v>
      </c>
      <c r="F894" s="1" t="s">
        <v>7436</v>
      </c>
      <c r="G894" s="1" t="s">
        <v>74</v>
      </c>
      <c r="H894" s="1" t="s">
        <v>74</v>
      </c>
      <c r="I894" s="1" t="s">
        <v>7437</v>
      </c>
      <c r="J894" s="1" t="s">
        <v>145</v>
      </c>
      <c r="K894" s="1" t="s">
        <v>74</v>
      </c>
      <c r="L894" s="1" t="s">
        <v>74</v>
      </c>
      <c r="M894" s="1" t="s">
        <v>74</v>
      </c>
      <c r="N894" s="1" t="s">
        <v>74</v>
      </c>
      <c r="O894" s="1" t="s">
        <v>7438</v>
      </c>
      <c r="P894" s="1" t="s">
        <v>7439</v>
      </c>
      <c r="Q894" s="1" t="s">
        <v>4289</v>
      </c>
      <c r="R894" s="1" t="s">
        <v>74</v>
      </c>
      <c r="S894" s="1" t="s">
        <v>74</v>
      </c>
      <c r="T894" s="1" t="s">
        <v>74</v>
      </c>
      <c r="U894" s="1" t="s">
        <v>74</v>
      </c>
      <c r="V894" s="1" t="s">
        <v>7440</v>
      </c>
      <c r="W894" s="1" t="s">
        <v>74</v>
      </c>
      <c r="X894" s="1" t="s">
        <v>74</v>
      </c>
      <c r="Y894" s="1" t="s">
        <v>74</v>
      </c>
      <c r="Z894" s="1" t="s">
        <v>74</v>
      </c>
      <c r="AA894" s="1" t="s">
        <v>74</v>
      </c>
      <c r="AB894" s="1" t="s">
        <v>74</v>
      </c>
      <c r="AC894" s="1" t="s">
        <v>74</v>
      </c>
      <c r="AD894" s="1" t="s">
        <v>74</v>
      </c>
      <c r="AE894" s="1" t="s">
        <v>74</v>
      </c>
      <c r="AF894" s="1" t="s">
        <v>74</v>
      </c>
      <c r="AG894" s="1" t="s">
        <v>74</v>
      </c>
      <c r="AH894" s="1" t="s">
        <v>74</v>
      </c>
      <c r="AI894" s="1" t="s">
        <v>74</v>
      </c>
      <c r="AJ894" s="1" t="s">
        <v>74</v>
      </c>
      <c r="AK894" s="1" t="s">
        <v>74</v>
      </c>
      <c r="AL894" s="1" t="s">
        <v>74</v>
      </c>
      <c r="AM894" s="1" t="s">
        <v>74</v>
      </c>
      <c r="AN894" s="1" t="s">
        <v>74</v>
      </c>
      <c r="AO894" s="1" t="s">
        <v>147</v>
      </c>
      <c r="AP894" s="1" t="s">
        <v>74</v>
      </c>
      <c r="AQ894" s="1" t="s">
        <v>74</v>
      </c>
      <c r="AR894" s="1" t="s">
        <v>74</v>
      </c>
      <c r="AS894" s="1" t="s">
        <v>74</v>
      </c>
      <c r="AT894" s="1" t="s">
        <v>148</v>
      </c>
      <c r="AU894" s="1">
        <v>1994.0</v>
      </c>
      <c r="AV894" s="1">
        <v>28.0</v>
      </c>
      <c r="AW894" s="1">
        <v>5.0</v>
      </c>
      <c r="AX894" s="1" t="s">
        <v>74</v>
      </c>
      <c r="AY894" s="1" t="s">
        <v>74</v>
      </c>
      <c r="AZ894" s="1" t="s">
        <v>74</v>
      </c>
      <c r="BA894" s="1" t="s">
        <v>74</v>
      </c>
      <c r="BB894" s="1">
        <v>991.0</v>
      </c>
      <c r="BC894" s="1">
        <v>996.0</v>
      </c>
      <c r="BD894" s="1" t="s">
        <v>74</v>
      </c>
      <c r="BE894" s="1" t="s">
        <v>7441</v>
      </c>
      <c r="BF894" s="2" t="str">
        <f>HYPERLINK("http://dx.doi.org/10.1016/1352-2310(94)90258-5","http://dx.doi.org/10.1016/1352-2310(94)90258-5")</f>
        <v>http://dx.doi.org/10.1016/1352-2310(94)90258-5</v>
      </c>
      <c r="BG894" s="1" t="s">
        <v>74</v>
      </c>
      <c r="BH894" s="1" t="s">
        <v>74</v>
      </c>
      <c r="BI894" s="1" t="s">
        <v>74</v>
      </c>
      <c r="BJ894" s="1" t="s">
        <v>74</v>
      </c>
      <c r="BK894" s="1" t="s">
        <v>74</v>
      </c>
      <c r="BL894" s="1" t="s">
        <v>74</v>
      </c>
      <c r="BM894" s="1" t="s">
        <v>74</v>
      </c>
      <c r="BN894" s="1" t="s">
        <v>74</v>
      </c>
      <c r="BO894" s="1" t="s">
        <v>74</v>
      </c>
      <c r="BP894" s="1" t="s">
        <v>74</v>
      </c>
      <c r="BQ894" s="1" t="s">
        <v>74</v>
      </c>
      <c r="BR894" s="1" t="s">
        <v>74</v>
      </c>
      <c r="BS894" s="1" t="s">
        <v>7442</v>
      </c>
      <c r="BT894" s="1" t="str">
        <f>HYPERLINK("https%3A%2F%2Fwww.webofscience.com%2Fwos%2Fwoscc%2Ffull-record%2FWOS:A1994NR21500027","View Full Record in Web of Science")</f>
        <v>View Full Record in Web of Science</v>
      </c>
    </row>
    <row r="895" ht="12.75" customHeight="1">
      <c r="A895" s="1" t="s">
        <v>72</v>
      </c>
      <c r="B895" s="1" t="s">
        <v>7443</v>
      </c>
      <c r="C895" s="1" t="s">
        <v>74</v>
      </c>
      <c r="D895" s="1" t="s">
        <v>74</v>
      </c>
      <c r="E895" s="1" t="s">
        <v>74</v>
      </c>
      <c r="F895" s="1" t="s">
        <v>7443</v>
      </c>
      <c r="G895" s="1" t="s">
        <v>74</v>
      </c>
      <c r="H895" s="1" t="s">
        <v>74</v>
      </c>
      <c r="I895" s="1" t="s">
        <v>7444</v>
      </c>
      <c r="J895" s="1" t="s">
        <v>1872</v>
      </c>
      <c r="K895" s="1" t="s">
        <v>74</v>
      </c>
      <c r="L895" s="1" t="s">
        <v>74</v>
      </c>
      <c r="M895" s="1" t="s">
        <v>74</v>
      </c>
      <c r="N895" s="1" t="s">
        <v>74</v>
      </c>
      <c r="O895" s="1" t="s">
        <v>74</v>
      </c>
      <c r="P895" s="1" t="s">
        <v>74</v>
      </c>
      <c r="Q895" s="1" t="s">
        <v>74</v>
      </c>
      <c r="R895" s="1" t="s">
        <v>74</v>
      </c>
      <c r="S895" s="1" t="s">
        <v>74</v>
      </c>
      <c r="T895" s="1" t="s">
        <v>74</v>
      </c>
      <c r="U895" s="1" t="s">
        <v>74</v>
      </c>
      <c r="V895" s="1" t="s">
        <v>74</v>
      </c>
      <c r="W895" s="1" t="s">
        <v>74</v>
      </c>
      <c r="X895" s="1" t="s">
        <v>74</v>
      </c>
      <c r="Y895" s="1" t="s">
        <v>74</v>
      </c>
      <c r="Z895" s="1" t="s">
        <v>74</v>
      </c>
      <c r="AA895" s="1" t="s">
        <v>74</v>
      </c>
      <c r="AB895" s="1" t="s">
        <v>74</v>
      </c>
      <c r="AC895" s="1" t="s">
        <v>74</v>
      </c>
      <c r="AD895" s="1" t="s">
        <v>74</v>
      </c>
      <c r="AE895" s="1" t="s">
        <v>74</v>
      </c>
      <c r="AF895" s="1" t="s">
        <v>74</v>
      </c>
      <c r="AG895" s="1" t="s">
        <v>74</v>
      </c>
      <c r="AH895" s="1" t="s">
        <v>74</v>
      </c>
      <c r="AI895" s="1" t="s">
        <v>74</v>
      </c>
      <c r="AJ895" s="1" t="s">
        <v>74</v>
      </c>
      <c r="AK895" s="1" t="s">
        <v>74</v>
      </c>
      <c r="AL895" s="1" t="s">
        <v>74</v>
      </c>
      <c r="AM895" s="1" t="s">
        <v>74</v>
      </c>
      <c r="AN895" s="1" t="s">
        <v>74</v>
      </c>
      <c r="AO895" s="1" t="s">
        <v>1874</v>
      </c>
      <c r="AP895" s="1" t="s">
        <v>74</v>
      </c>
      <c r="AQ895" s="1" t="s">
        <v>74</v>
      </c>
      <c r="AR895" s="1" t="s">
        <v>74</v>
      </c>
      <c r="AS895" s="1" t="s">
        <v>74</v>
      </c>
      <c r="AT895" s="1" t="s">
        <v>347</v>
      </c>
      <c r="AU895" s="1">
        <v>1991.0</v>
      </c>
      <c r="AV895" s="1">
        <v>143.0</v>
      </c>
      <c r="AW895" s="1">
        <v>1.0</v>
      </c>
      <c r="AX895" s="1" t="s">
        <v>74</v>
      </c>
      <c r="AY895" s="1" t="s">
        <v>74</v>
      </c>
      <c r="AZ895" s="1" t="s">
        <v>74</v>
      </c>
      <c r="BA895" s="1" t="s">
        <v>74</v>
      </c>
      <c r="BB895" s="1">
        <v>97.0</v>
      </c>
      <c r="BC895" s="1">
        <v>102.0</v>
      </c>
      <c r="BD895" s="1" t="s">
        <v>74</v>
      </c>
      <c r="BE895" s="1" t="s">
        <v>7445</v>
      </c>
      <c r="BF895" s="2" t="str">
        <f>HYPERLINK("http://dx.doi.org/10.1016/0021-9797(91)90441-A","http://dx.doi.org/10.1016/0021-9797(91)90441-A")</f>
        <v>http://dx.doi.org/10.1016/0021-9797(91)90441-A</v>
      </c>
      <c r="BG895" s="1" t="s">
        <v>74</v>
      </c>
      <c r="BH895" s="1" t="s">
        <v>74</v>
      </c>
      <c r="BI895" s="1" t="s">
        <v>74</v>
      </c>
      <c r="BJ895" s="1" t="s">
        <v>74</v>
      </c>
      <c r="BK895" s="1" t="s">
        <v>74</v>
      </c>
      <c r="BL895" s="1" t="s">
        <v>74</v>
      </c>
      <c r="BM895" s="1" t="s">
        <v>74</v>
      </c>
      <c r="BN895" s="1" t="s">
        <v>74</v>
      </c>
      <c r="BO895" s="1" t="s">
        <v>74</v>
      </c>
      <c r="BP895" s="1" t="s">
        <v>74</v>
      </c>
      <c r="BQ895" s="1" t="s">
        <v>74</v>
      </c>
      <c r="BR895" s="1" t="s">
        <v>74</v>
      </c>
      <c r="BS895" s="1" t="s">
        <v>7446</v>
      </c>
      <c r="BT895" s="1" t="str">
        <f>HYPERLINK("https%3A%2F%2Fwww.webofscience.com%2Fwos%2Fwoscc%2Ffull-record%2FWOS:A1991FD88700010","View Full Record in Web of Science")</f>
        <v>View Full Record in Web of Science</v>
      </c>
    </row>
    <row r="896" ht="12.75" customHeight="1">
      <c r="A896" s="1" t="s">
        <v>72</v>
      </c>
      <c r="B896" s="1" t="s">
        <v>7447</v>
      </c>
      <c r="C896" s="1" t="s">
        <v>74</v>
      </c>
      <c r="D896" s="1" t="s">
        <v>74</v>
      </c>
      <c r="E896" s="1" t="s">
        <v>74</v>
      </c>
      <c r="F896" s="1" t="s">
        <v>7447</v>
      </c>
      <c r="G896" s="1" t="s">
        <v>74</v>
      </c>
      <c r="H896" s="1" t="s">
        <v>74</v>
      </c>
      <c r="I896" s="1" t="s">
        <v>7448</v>
      </c>
      <c r="J896" s="1" t="s">
        <v>1888</v>
      </c>
      <c r="K896" s="1" t="s">
        <v>74</v>
      </c>
      <c r="L896" s="1" t="s">
        <v>74</v>
      </c>
      <c r="M896" s="1" t="s">
        <v>74</v>
      </c>
      <c r="N896" s="1" t="s">
        <v>74</v>
      </c>
      <c r="O896" s="1" t="s">
        <v>74</v>
      </c>
      <c r="P896" s="1" t="s">
        <v>74</v>
      </c>
      <c r="Q896" s="1" t="s">
        <v>74</v>
      </c>
      <c r="R896" s="1" t="s">
        <v>74</v>
      </c>
      <c r="S896" s="1" t="s">
        <v>74</v>
      </c>
      <c r="T896" s="1" t="s">
        <v>74</v>
      </c>
      <c r="U896" s="1" t="s">
        <v>74</v>
      </c>
      <c r="V896" s="1" t="s">
        <v>74</v>
      </c>
      <c r="W896" s="1" t="s">
        <v>74</v>
      </c>
      <c r="X896" s="1" t="s">
        <v>74</v>
      </c>
      <c r="Y896" s="1" t="s">
        <v>74</v>
      </c>
      <c r="Z896" s="1" t="s">
        <v>74</v>
      </c>
      <c r="AA896" s="1" t="s">
        <v>902</v>
      </c>
      <c r="AB896" s="1" t="s">
        <v>1119</v>
      </c>
      <c r="AC896" s="1" t="s">
        <v>74</v>
      </c>
      <c r="AD896" s="1" t="s">
        <v>74</v>
      </c>
      <c r="AE896" s="1" t="s">
        <v>74</v>
      </c>
      <c r="AF896" s="1" t="s">
        <v>74</v>
      </c>
      <c r="AG896" s="1" t="s">
        <v>74</v>
      </c>
      <c r="AH896" s="1" t="s">
        <v>74</v>
      </c>
      <c r="AI896" s="1" t="s">
        <v>74</v>
      </c>
      <c r="AJ896" s="1" t="s">
        <v>74</v>
      </c>
      <c r="AK896" s="1" t="s">
        <v>74</v>
      </c>
      <c r="AL896" s="1" t="s">
        <v>74</v>
      </c>
      <c r="AM896" s="1" t="s">
        <v>74</v>
      </c>
      <c r="AN896" s="1" t="s">
        <v>74</v>
      </c>
      <c r="AO896" s="1" t="s">
        <v>1889</v>
      </c>
      <c r="AP896" s="1" t="s">
        <v>74</v>
      </c>
      <c r="AQ896" s="1" t="s">
        <v>74</v>
      </c>
      <c r="AR896" s="1" t="s">
        <v>74</v>
      </c>
      <c r="AS896" s="1" t="s">
        <v>74</v>
      </c>
      <c r="AT896" s="1" t="s">
        <v>2212</v>
      </c>
      <c r="AU896" s="1">
        <v>1989.0</v>
      </c>
      <c r="AV896" s="1">
        <v>143.0</v>
      </c>
      <c r="AW896" s="1">
        <v>2.0</v>
      </c>
      <c r="AX896" s="1" t="s">
        <v>74</v>
      </c>
      <c r="AY896" s="1" t="s">
        <v>74</v>
      </c>
      <c r="AZ896" s="1" t="s">
        <v>74</v>
      </c>
      <c r="BA896" s="1" t="s">
        <v>74</v>
      </c>
      <c r="BB896" s="1">
        <v>560.0</v>
      </c>
      <c r="BC896" s="1">
        <v>571.0</v>
      </c>
      <c r="BD896" s="1" t="s">
        <v>74</v>
      </c>
      <c r="BE896" s="1" t="s">
        <v>7449</v>
      </c>
      <c r="BF896" s="2" t="str">
        <f>HYPERLINK("http://dx.doi.org/10.1016/0022-247X(89)90060-7","http://dx.doi.org/10.1016/0022-247X(89)90060-7")</f>
        <v>http://dx.doi.org/10.1016/0022-247X(89)90060-7</v>
      </c>
      <c r="BG896" s="1" t="s">
        <v>74</v>
      </c>
      <c r="BH896" s="1" t="s">
        <v>74</v>
      </c>
      <c r="BI896" s="1" t="s">
        <v>74</v>
      </c>
      <c r="BJ896" s="1" t="s">
        <v>74</v>
      </c>
      <c r="BK896" s="1" t="s">
        <v>74</v>
      </c>
      <c r="BL896" s="1" t="s">
        <v>74</v>
      </c>
      <c r="BM896" s="1" t="s">
        <v>74</v>
      </c>
      <c r="BN896" s="1" t="s">
        <v>74</v>
      </c>
      <c r="BO896" s="1" t="s">
        <v>74</v>
      </c>
      <c r="BP896" s="1" t="s">
        <v>74</v>
      </c>
      <c r="BQ896" s="1" t="s">
        <v>74</v>
      </c>
      <c r="BR896" s="1" t="s">
        <v>74</v>
      </c>
      <c r="BS896" s="1" t="s">
        <v>7450</v>
      </c>
      <c r="BT896" s="1" t="str">
        <f>HYPERLINK("https%3A%2F%2Fwww.webofscience.com%2Fwos%2Fwoscc%2Ffull-record%2FWOS:A1989AX35100018","View Full Record in Web of Science")</f>
        <v>View Full Record in Web of Science</v>
      </c>
    </row>
    <row r="897" ht="12.75" customHeight="1">
      <c r="A897" s="1" t="s">
        <v>72</v>
      </c>
      <c r="B897" s="1" t="s">
        <v>7451</v>
      </c>
      <c r="C897" s="1" t="s">
        <v>74</v>
      </c>
      <c r="D897" s="1" t="s">
        <v>74</v>
      </c>
      <c r="E897" s="1" t="s">
        <v>74</v>
      </c>
      <c r="F897" s="1" t="s">
        <v>7451</v>
      </c>
      <c r="G897" s="1" t="s">
        <v>74</v>
      </c>
      <c r="H897" s="1" t="s">
        <v>74</v>
      </c>
      <c r="I897" s="1" t="s">
        <v>7452</v>
      </c>
      <c r="J897" s="1" t="s">
        <v>203</v>
      </c>
      <c r="K897" s="1" t="s">
        <v>74</v>
      </c>
      <c r="L897" s="1" t="s">
        <v>74</v>
      </c>
      <c r="M897" s="1" t="s">
        <v>74</v>
      </c>
      <c r="N897" s="1" t="s">
        <v>74</v>
      </c>
      <c r="O897" s="1" t="s">
        <v>74</v>
      </c>
      <c r="P897" s="1" t="s">
        <v>74</v>
      </c>
      <c r="Q897" s="1" t="s">
        <v>74</v>
      </c>
      <c r="R897" s="1" t="s">
        <v>74</v>
      </c>
      <c r="S897" s="1" t="s">
        <v>74</v>
      </c>
      <c r="T897" s="1" t="s">
        <v>74</v>
      </c>
      <c r="U897" s="1" t="s">
        <v>74</v>
      </c>
      <c r="V897" s="1" t="s">
        <v>74</v>
      </c>
      <c r="W897" s="1" t="s">
        <v>74</v>
      </c>
      <c r="X897" s="1" t="s">
        <v>74</v>
      </c>
      <c r="Y897" s="1" t="s">
        <v>74</v>
      </c>
      <c r="Z897" s="1" t="s">
        <v>74</v>
      </c>
      <c r="AA897" s="1" t="s">
        <v>74</v>
      </c>
      <c r="AB897" s="1" t="s">
        <v>74</v>
      </c>
      <c r="AC897" s="1" t="s">
        <v>74</v>
      </c>
      <c r="AD897" s="1" t="s">
        <v>74</v>
      </c>
      <c r="AE897" s="1" t="s">
        <v>74</v>
      </c>
      <c r="AF897" s="1" t="s">
        <v>74</v>
      </c>
      <c r="AG897" s="1" t="s">
        <v>74</v>
      </c>
      <c r="AH897" s="1" t="s">
        <v>74</v>
      </c>
      <c r="AI897" s="1" t="s">
        <v>74</v>
      </c>
      <c r="AJ897" s="1" t="s">
        <v>74</v>
      </c>
      <c r="AK897" s="1" t="s">
        <v>74</v>
      </c>
      <c r="AL897" s="1" t="s">
        <v>74</v>
      </c>
      <c r="AM897" s="1" t="s">
        <v>74</v>
      </c>
      <c r="AN897" s="1" t="s">
        <v>74</v>
      </c>
      <c r="AO897" s="1" t="s">
        <v>204</v>
      </c>
      <c r="AP897" s="1" t="s">
        <v>74</v>
      </c>
      <c r="AQ897" s="1" t="s">
        <v>74</v>
      </c>
      <c r="AR897" s="1" t="s">
        <v>74</v>
      </c>
      <c r="AS897" s="1" t="s">
        <v>74</v>
      </c>
      <c r="AT897" s="1" t="s">
        <v>205</v>
      </c>
      <c r="AU897" s="1">
        <v>1986.0</v>
      </c>
      <c r="AV897" s="1">
        <v>19.0</v>
      </c>
      <c r="AW897" s="1">
        <v>2.0</v>
      </c>
      <c r="AX897" s="1" t="s">
        <v>74</v>
      </c>
      <c r="AY897" s="1" t="s">
        <v>74</v>
      </c>
      <c r="AZ897" s="1" t="s">
        <v>74</v>
      </c>
      <c r="BA897" s="1" t="s">
        <v>74</v>
      </c>
      <c r="BB897" s="1" t="s">
        <v>7453</v>
      </c>
      <c r="BC897" s="1" t="s">
        <v>7453</v>
      </c>
      <c r="BD897" s="1" t="s">
        <v>74</v>
      </c>
      <c r="BE897" s="1" t="s">
        <v>74</v>
      </c>
      <c r="BF897" s="1" t="s">
        <v>74</v>
      </c>
      <c r="BG897" s="1" t="s">
        <v>74</v>
      </c>
      <c r="BH897" s="1" t="s">
        <v>74</v>
      </c>
      <c r="BI897" s="1" t="s">
        <v>74</v>
      </c>
      <c r="BJ897" s="1" t="s">
        <v>74</v>
      </c>
      <c r="BK897" s="1" t="s">
        <v>74</v>
      </c>
      <c r="BL897" s="1" t="s">
        <v>74</v>
      </c>
      <c r="BM897" s="1" t="s">
        <v>74</v>
      </c>
      <c r="BN897" s="1" t="s">
        <v>74</v>
      </c>
      <c r="BO897" s="1" t="s">
        <v>74</v>
      </c>
      <c r="BP897" s="1" t="s">
        <v>74</v>
      </c>
      <c r="BQ897" s="1" t="s">
        <v>74</v>
      </c>
      <c r="BR897" s="1" t="s">
        <v>74</v>
      </c>
      <c r="BS897" s="1" t="s">
        <v>7454</v>
      </c>
      <c r="BT897" s="1" t="str">
        <f>HYPERLINK("https%3A%2F%2Fwww.webofscience.com%2Fwos%2Fwoscc%2Ffull-record%2FWOS:A1986F093100046","View Full Record in Web of Science")</f>
        <v>View Full Record in Web of Science</v>
      </c>
    </row>
    <row r="898" ht="12.75" customHeight="1">
      <c r="A898" s="1" t="s">
        <v>72</v>
      </c>
      <c r="B898" s="1" t="s">
        <v>7455</v>
      </c>
      <c r="C898" s="1" t="s">
        <v>74</v>
      </c>
      <c r="D898" s="1" t="s">
        <v>74</v>
      </c>
      <c r="E898" s="1" t="s">
        <v>74</v>
      </c>
      <c r="F898" s="1" t="s">
        <v>7455</v>
      </c>
      <c r="G898" s="1" t="s">
        <v>74</v>
      </c>
      <c r="H898" s="1" t="s">
        <v>74</v>
      </c>
      <c r="I898" s="1" t="s">
        <v>7456</v>
      </c>
      <c r="J898" s="1" t="s">
        <v>215</v>
      </c>
      <c r="K898" s="1" t="s">
        <v>74</v>
      </c>
      <c r="L898" s="1" t="s">
        <v>74</v>
      </c>
      <c r="M898" s="1" t="s">
        <v>74</v>
      </c>
      <c r="N898" s="1" t="s">
        <v>74</v>
      </c>
      <c r="O898" s="1" t="s">
        <v>74</v>
      </c>
      <c r="P898" s="1" t="s">
        <v>74</v>
      </c>
      <c r="Q898" s="1" t="s">
        <v>74</v>
      </c>
      <c r="R898" s="1" t="s">
        <v>74</v>
      </c>
      <c r="S898" s="1" t="s">
        <v>74</v>
      </c>
      <c r="T898" s="1" t="s">
        <v>74</v>
      </c>
      <c r="U898" s="1" t="s">
        <v>74</v>
      </c>
      <c r="V898" s="1" t="s">
        <v>74</v>
      </c>
      <c r="W898" s="1" t="s">
        <v>74</v>
      </c>
      <c r="X898" s="1" t="s">
        <v>74</v>
      </c>
      <c r="Y898" s="1" t="s">
        <v>74</v>
      </c>
      <c r="Z898" s="1" t="s">
        <v>74</v>
      </c>
      <c r="AA898" s="1" t="s">
        <v>1174</v>
      </c>
      <c r="AB898" s="1" t="s">
        <v>74</v>
      </c>
      <c r="AC898" s="1" t="s">
        <v>74</v>
      </c>
      <c r="AD898" s="1" t="s">
        <v>74</v>
      </c>
      <c r="AE898" s="1" t="s">
        <v>74</v>
      </c>
      <c r="AF898" s="1" t="s">
        <v>74</v>
      </c>
      <c r="AG898" s="1" t="s">
        <v>74</v>
      </c>
      <c r="AH898" s="1" t="s">
        <v>74</v>
      </c>
      <c r="AI898" s="1" t="s">
        <v>74</v>
      </c>
      <c r="AJ898" s="1" t="s">
        <v>74</v>
      </c>
      <c r="AK898" s="1" t="s">
        <v>74</v>
      </c>
      <c r="AL898" s="1" t="s">
        <v>74</v>
      </c>
      <c r="AM898" s="1" t="s">
        <v>74</v>
      </c>
      <c r="AN898" s="1" t="s">
        <v>74</v>
      </c>
      <c r="AO898" s="1" t="s">
        <v>216</v>
      </c>
      <c r="AP898" s="1" t="s">
        <v>74</v>
      </c>
      <c r="AQ898" s="1" t="s">
        <v>74</v>
      </c>
      <c r="AR898" s="1" t="s">
        <v>74</v>
      </c>
      <c r="AS898" s="1" t="s">
        <v>74</v>
      </c>
      <c r="AT898" s="1" t="s">
        <v>74</v>
      </c>
      <c r="AU898" s="1">
        <v>1982.0</v>
      </c>
      <c r="AV898" s="1">
        <v>20.0</v>
      </c>
      <c r="AW898" s="1">
        <v>2.0</v>
      </c>
      <c r="AX898" s="1" t="s">
        <v>74</v>
      </c>
      <c r="AY898" s="1" t="s">
        <v>74</v>
      </c>
      <c r="AZ898" s="1" t="s">
        <v>74</v>
      </c>
      <c r="BA898" s="1" t="s">
        <v>74</v>
      </c>
      <c r="BB898" s="1">
        <v>153.0</v>
      </c>
      <c r="BC898" s="1">
        <v>161.0</v>
      </c>
      <c r="BD898" s="1" t="s">
        <v>74</v>
      </c>
      <c r="BE898" s="1" t="s">
        <v>7457</v>
      </c>
      <c r="BF898" s="2" t="str">
        <f>HYPERLINK("http://dx.doi.org/10.1016/0047-2670(82)85030-2","http://dx.doi.org/10.1016/0047-2670(82)85030-2")</f>
        <v>http://dx.doi.org/10.1016/0047-2670(82)85030-2</v>
      </c>
      <c r="BG898" s="1" t="s">
        <v>74</v>
      </c>
      <c r="BH898" s="1" t="s">
        <v>74</v>
      </c>
      <c r="BI898" s="1" t="s">
        <v>74</v>
      </c>
      <c r="BJ898" s="1" t="s">
        <v>74</v>
      </c>
      <c r="BK898" s="1" t="s">
        <v>74</v>
      </c>
      <c r="BL898" s="1" t="s">
        <v>74</v>
      </c>
      <c r="BM898" s="1" t="s">
        <v>74</v>
      </c>
      <c r="BN898" s="1" t="s">
        <v>74</v>
      </c>
      <c r="BO898" s="1" t="s">
        <v>74</v>
      </c>
      <c r="BP898" s="1" t="s">
        <v>74</v>
      </c>
      <c r="BQ898" s="1" t="s">
        <v>74</v>
      </c>
      <c r="BR898" s="1" t="s">
        <v>74</v>
      </c>
      <c r="BS898" s="1" t="s">
        <v>7458</v>
      </c>
      <c r="BT898" s="1" t="str">
        <f>HYPERLINK("https%3A%2F%2Fwww.webofscience.com%2Fwos%2Fwoscc%2Ffull-record%2FWOS:A1982PR76400006","View Full Record in Web of Science")</f>
        <v>View Full Record in Web of Science</v>
      </c>
    </row>
    <row r="899" ht="12.75" customHeight="1">
      <c r="A899" s="1" t="s">
        <v>72</v>
      </c>
      <c r="B899" s="1" t="s">
        <v>7459</v>
      </c>
      <c r="C899" s="1" t="s">
        <v>74</v>
      </c>
      <c r="D899" s="1" t="s">
        <v>74</v>
      </c>
      <c r="E899" s="1" t="s">
        <v>74</v>
      </c>
      <c r="F899" s="1" t="s">
        <v>7459</v>
      </c>
      <c r="G899" s="1" t="s">
        <v>74</v>
      </c>
      <c r="H899" s="1" t="s">
        <v>74</v>
      </c>
      <c r="I899" s="1" t="s">
        <v>7460</v>
      </c>
      <c r="J899" s="1" t="s">
        <v>1207</v>
      </c>
      <c r="K899" s="1" t="s">
        <v>74</v>
      </c>
      <c r="L899" s="1" t="s">
        <v>74</v>
      </c>
      <c r="M899" s="1" t="s">
        <v>74</v>
      </c>
      <c r="N899" s="1" t="s">
        <v>74</v>
      </c>
      <c r="O899" s="1" t="s">
        <v>74</v>
      </c>
      <c r="P899" s="1" t="s">
        <v>74</v>
      </c>
      <c r="Q899" s="1" t="s">
        <v>74</v>
      </c>
      <c r="R899" s="1" t="s">
        <v>74</v>
      </c>
      <c r="S899" s="1" t="s">
        <v>74</v>
      </c>
      <c r="T899" s="1" t="s">
        <v>74</v>
      </c>
      <c r="U899" s="1" t="s">
        <v>74</v>
      </c>
      <c r="V899" s="1" t="s">
        <v>74</v>
      </c>
      <c r="W899" s="1" t="s">
        <v>74</v>
      </c>
      <c r="X899" s="1" t="s">
        <v>74</v>
      </c>
      <c r="Y899" s="1" t="s">
        <v>74</v>
      </c>
      <c r="Z899" s="1" t="s">
        <v>74</v>
      </c>
      <c r="AA899" s="1" t="s">
        <v>1227</v>
      </c>
      <c r="AB899" s="1" t="s">
        <v>74</v>
      </c>
      <c r="AC899" s="1" t="s">
        <v>74</v>
      </c>
      <c r="AD899" s="1" t="s">
        <v>74</v>
      </c>
      <c r="AE899" s="1" t="s">
        <v>74</v>
      </c>
      <c r="AF899" s="1" t="s">
        <v>74</v>
      </c>
      <c r="AG899" s="1" t="s">
        <v>74</v>
      </c>
      <c r="AH899" s="1" t="s">
        <v>74</v>
      </c>
      <c r="AI899" s="1" t="s">
        <v>74</v>
      </c>
      <c r="AJ899" s="1" t="s">
        <v>74</v>
      </c>
      <c r="AK899" s="1" t="s">
        <v>74</v>
      </c>
      <c r="AL899" s="1" t="s">
        <v>74</v>
      </c>
      <c r="AM899" s="1" t="s">
        <v>74</v>
      </c>
      <c r="AN899" s="1" t="s">
        <v>74</v>
      </c>
      <c r="AO899" s="1" t="s">
        <v>1209</v>
      </c>
      <c r="AP899" s="1" t="s">
        <v>74</v>
      </c>
      <c r="AQ899" s="1" t="s">
        <v>74</v>
      </c>
      <c r="AR899" s="1" t="s">
        <v>74</v>
      </c>
      <c r="AS899" s="1" t="s">
        <v>74</v>
      </c>
      <c r="AT899" s="1" t="s">
        <v>74</v>
      </c>
      <c r="AU899" s="1">
        <v>1981.0</v>
      </c>
      <c r="AV899" s="1">
        <v>119.0</v>
      </c>
      <c r="AW899" s="1">
        <v>2.0</v>
      </c>
      <c r="AX899" s="1" t="s">
        <v>74</v>
      </c>
      <c r="AY899" s="1" t="s">
        <v>74</v>
      </c>
      <c r="AZ899" s="1" t="s">
        <v>74</v>
      </c>
      <c r="BA899" s="1" t="s">
        <v>74</v>
      </c>
      <c r="BB899" s="1">
        <v>403.0</v>
      </c>
      <c r="BC899" s="1">
        <v>408.0</v>
      </c>
      <c r="BD899" s="1" t="s">
        <v>74</v>
      </c>
      <c r="BE899" s="1" t="s">
        <v>7461</v>
      </c>
      <c r="BF899" s="2" t="str">
        <f>HYPERLINK("http://dx.doi.org/10.1016/S0022-0728(81)80072-1","http://dx.doi.org/10.1016/S0022-0728(81)80072-1")</f>
        <v>http://dx.doi.org/10.1016/S0022-0728(81)80072-1</v>
      </c>
      <c r="BG899" s="1" t="s">
        <v>74</v>
      </c>
      <c r="BH899" s="1" t="s">
        <v>74</v>
      </c>
      <c r="BI899" s="1" t="s">
        <v>74</v>
      </c>
      <c r="BJ899" s="1" t="s">
        <v>74</v>
      </c>
      <c r="BK899" s="1" t="s">
        <v>74</v>
      </c>
      <c r="BL899" s="1" t="s">
        <v>74</v>
      </c>
      <c r="BM899" s="1" t="s">
        <v>74</v>
      </c>
      <c r="BN899" s="1" t="s">
        <v>74</v>
      </c>
      <c r="BO899" s="1" t="s">
        <v>74</v>
      </c>
      <c r="BP899" s="1" t="s">
        <v>74</v>
      </c>
      <c r="BQ899" s="1" t="s">
        <v>74</v>
      </c>
      <c r="BR899" s="1" t="s">
        <v>74</v>
      </c>
      <c r="BS899" s="1" t="s">
        <v>7462</v>
      </c>
      <c r="BT899" s="1" t="str">
        <f>HYPERLINK("https%3A%2F%2Fwww.webofscience.com%2Fwos%2Fwoscc%2Ffull-record%2FWOS:A1981LM18100019","View Full Record in Web of Science")</f>
        <v>View Full Record in Web of Science</v>
      </c>
    </row>
    <row r="900" ht="12.75" customHeight="1">
      <c r="A900" s="1" t="s">
        <v>72</v>
      </c>
      <c r="B900" s="1" t="s">
        <v>7463</v>
      </c>
      <c r="C900" s="1" t="s">
        <v>74</v>
      </c>
      <c r="D900" s="1" t="s">
        <v>74</v>
      </c>
      <c r="E900" s="1" t="s">
        <v>74</v>
      </c>
      <c r="F900" s="1" t="s">
        <v>7463</v>
      </c>
      <c r="G900" s="1" t="s">
        <v>74</v>
      </c>
      <c r="H900" s="1" t="s">
        <v>74</v>
      </c>
      <c r="I900" s="1" t="s">
        <v>7464</v>
      </c>
      <c r="J900" s="1" t="s">
        <v>1173</v>
      </c>
      <c r="K900" s="1" t="s">
        <v>74</v>
      </c>
      <c r="L900" s="1" t="s">
        <v>74</v>
      </c>
      <c r="M900" s="1" t="s">
        <v>74</v>
      </c>
      <c r="N900" s="1" t="s">
        <v>74</v>
      </c>
      <c r="O900" s="1" t="s">
        <v>74</v>
      </c>
      <c r="P900" s="1" t="s">
        <v>74</v>
      </c>
      <c r="Q900" s="1" t="s">
        <v>74</v>
      </c>
      <c r="R900" s="1" t="s">
        <v>74</v>
      </c>
      <c r="S900" s="1" t="s">
        <v>74</v>
      </c>
      <c r="T900" s="1" t="s">
        <v>74</v>
      </c>
      <c r="U900" s="1" t="s">
        <v>74</v>
      </c>
      <c r="V900" s="1" t="s">
        <v>74</v>
      </c>
      <c r="W900" s="1" t="s">
        <v>74</v>
      </c>
      <c r="X900" s="1" t="s">
        <v>74</v>
      </c>
      <c r="Y900" s="1" t="s">
        <v>74</v>
      </c>
      <c r="Z900" s="1" t="s">
        <v>74</v>
      </c>
      <c r="AA900" s="1" t="s">
        <v>74</v>
      </c>
      <c r="AB900" s="1" t="s">
        <v>74</v>
      </c>
      <c r="AC900" s="1" t="s">
        <v>74</v>
      </c>
      <c r="AD900" s="1" t="s">
        <v>74</v>
      </c>
      <c r="AE900" s="1" t="s">
        <v>74</v>
      </c>
      <c r="AF900" s="1" t="s">
        <v>74</v>
      </c>
      <c r="AG900" s="1" t="s">
        <v>74</v>
      </c>
      <c r="AH900" s="1" t="s">
        <v>74</v>
      </c>
      <c r="AI900" s="1" t="s">
        <v>74</v>
      </c>
      <c r="AJ900" s="1" t="s">
        <v>74</v>
      </c>
      <c r="AK900" s="1" t="s">
        <v>74</v>
      </c>
      <c r="AL900" s="1" t="s">
        <v>74</v>
      </c>
      <c r="AM900" s="1" t="s">
        <v>74</v>
      </c>
      <c r="AN900" s="1" t="s">
        <v>74</v>
      </c>
      <c r="AO900" s="1" t="s">
        <v>1175</v>
      </c>
      <c r="AP900" s="1" t="s">
        <v>74</v>
      </c>
      <c r="AQ900" s="1" t="s">
        <v>74</v>
      </c>
      <c r="AR900" s="1" t="s">
        <v>74</v>
      </c>
      <c r="AS900" s="1" t="s">
        <v>74</v>
      </c>
      <c r="AT900" s="1" t="s">
        <v>74</v>
      </c>
      <c r="AU900" s="1">
        <v>1978.0</v>
      </c>
      <c r="AV900" s="1">
        <v>16.0</v>
      </c>
      <c r="AW900" s="1">
        <v>7.0</v>
      </c>
      <c r="AX900" s="1" t="s">
        <v>74</v>
      </c>
      <c r="AY900" s="1" t="s">
        <v>74</v>
      </c>
      <c r="AZ900" s="1" t="s">
        <v>74</v>
      </c>
      <c r="BA900" s="1" t="s">
        <v>74</v>
      </c>
      <c r="BB900" s="1">
        <v>1709.0</v>
      </c>
      <c r="BC900" s="1">
        <v>1717.0</v>
      </c>
      <c r="BD900" s="1" t="s">
        <v>74</v>
      </c>
      <c r="BE900" s="1" t="s">
        <v>7465</v>
      </c>
      <c r="BF900" s="2" t="str">
        <f>HYPERLINK("http://dx.doi.org/10.1002/pol.1978.170160722","http://dx.doi.org/10.1002/pol.1978.170160722")</f>
        <v>http://dx.doi.org/10.1002/pol.1978.170160722</v>
      </c>
      <c r="BG900" s="1" t="s">
        <v>74</v>
      </c>
      <c r="BH900" s="1" t="s">
        <v>74</v>
      </c>
      <c r="BI900" s="1" t="s">
        <v>74</v>
      </c>
      <c r="BJ900" s="1" t="s">
        <v>74</v>
      </c>
      <c r="BK900" s="1" t="s">
        <v>74</v>
      </c>
      <c r="BL900" s="1" t="s">
        <v>74</v>
      </c>
      <c r="BM900" s="1" t="s">
        <v>74</v>
      </c>
      <c r="BN900" s="1" t="s">
        <v>74</v>
      </c>
      <c r="BO900" s="1" t="s">
        <v>74</v>
      </c>
      <c r="BP900" s="1" t="s">
        <v>74</v>
      </c>
      <c r="BQ900" s="1" t="s">
        <v>74</v>
      </c>
      <c r="BR900" s="1" t="s">
        <v>74</v>
      </c>
      <c r="BS900" s="1" t="s">
        <v>7466</v>
      </c>
      <c r="BT900" s="1" t="str">
        <f>HYPERLINK("https%3A%2F%2Fwww.webofscience.com%2Fwos%2Fwoscc%2Ffull-record%2FWOS:A1978FQ72300022","View Full Record in Web of Science")</f>
        <v>View Full Record in Web of Science</v>
      </c>
    </row>
    <row r="901" ht="12.75" customHeight="1">
      <c r="A901" s="1" t="s">
        <v>72</v>
      </c>
      <c r="B901" s="1" t="s">
        <v>7467</v>
      </c>
      <c r="C901" s="1" t="s">
        <v>74</v>
      </c>
      <c r="D901" s="1" t="s">
        <v>74</v>
      </c>
      <c r="E901" s="1" t="s">
        <v>74</v>
      </c>
      <c r="F901" s="1" t="s">
        <v>7467</v>
      </c>
      <c r="G901" s="1" t="s">
        <v>74</v>
      </c>
      <c r="H901" s="1" t="s">
        <v>74</v>
      </c>
      <c r="I901" s="1" t="s">
        <v>7468</v>
      </c>
      <c r="J901" s="1" t="s">
        <v>1164</v>
      </c>
      <c r="K901" s="1" t="s">
        <v>74</v>
      </c>
      <c r="L901" s="1" t="s">
        <v>74</v>
      </c>
      <c r="M901" s="1" t="s">
        <v>74</v>
      </c>
      <c r="N901" s="1" t="s">
        <v>74</v>
      </c>
      <c r="O901" s="1" t="s">
        <v>74</v>
      </c>
      <c r="P901" s="1" t="s">
        <v>74</v>
      </c>
      <c r="Q901" s="1" t="s">
        <v>74</v>
      </c>
      <c r="R901" s="1" t="s">
        <v>74</v>
      </c>
      <c r="S901" s="1" t="s">
        <v>74</v>
      </c>
      <c r="T901" s="1" t="s">
        <v>74</v>
      </c>
      <c r="U901" s="1" t="s">
        <v>74</v>
      </c>
      <c r="V901" s="1" t="s">
        <v>74</v>
      </c>
      <c r="W901" s="1" t="s">
        <v>74</v>
      </c>
      <c r="X901" s="1" t="s">
        <v>74</v>
      </c>
      <c r="Y901" s="1" t="s">
        <v>74</v>
      </c>
      <c r="Z901" s="1" t="s">
        <v>74</v>
      </c>
      <c r="AA901" s="1" t="s">
        <v>6700</v>
      </c>
      <c r="AB901" s="1" t="s">
        <v>74</v>
      </c>
      <c r="AC901" s="1" t="s">
        <v>74</v>
      </c>
      <c r="AD901" s="1" t="s">
        <v>74</v>
      </c>
      <c r="AE901" s="1" t="s">
        <v>74</v>
      </c>
      <c r="AF901" s="1" t="s">
        <v>74</v>
      </c>
      <c r="AG901" s="1" t="s">
        <v>74</v>
      </c>
      <c r="AH901" s="1" t="s">
        <v>74</v>
      </c>
      <c r="AI901" s="1" t="s">
        <v>74</v>
      </c>
      <c r="AJ901" s="1" t="s">
        <v>74</v>
      </c>
      <c r="AK901" s="1" t="s">
        <v>74</v>
      </c>
      <c r="AL901" s="1" t="s">
        <v>74</v>
      </c>
      <c r="AM901" s="1" t="s">
        <v>74</v>
      </c>
      <c r="AN901" s="1" t="s">
        <v>74</v>
      </c>
      <c r="AO901" s="1" t="s">
        <v>1168</v>
      </c>
      <c r="AP901" s="1" t="s">
        <v>74</v>
      </c>
      <c r="AQ901" s="1" t="s">
        <v>74</v>
      </c>
      <c r="AR901" s="1" t="s">
        <v>74</v>
      </c>
      <c r="AS901" s="1" t="s">
        <v>74</v>
      </c>
      <c r="AT901" s="1" t="s">
        <v>74</v>
      </c>
      <c r="AU901" s="1">
        <v>1978.0</v>
      </c>
      <c r="AV901" s="1">
        <v>17.0</v>
      </c>
      <c r="AW901" s="1">
        <v>4.0</v>
      </c>
      <c r="AX901" s="1" t="s">
        <v>74</v>
      </c>
      <c r="AY901" s="1" t="s">
        <v>74</v>
      </c>
      <c r="AZ901" s="1" t="s">
        <v>74</v>
      </c>
      <c r="BA901" s="1" t="s">
        <v>74</v>
      </c>
      <c r="BB901" s="1">
        <v>838.0</v>
      </c>
      <c r="BC901" s="1">
        <v>839.0</v>
      </c>
      <c r="BD901" s="1" t="s">
        <v>74</v>
      </c>
      <c r="BE901" s="1" t="s">
        <v>7469</v>
      </c>
      <c r="BF901" s="2" t="str">
        <f>HYPERLINK("http://dx.doi.org/10.1016/S0031-9422(00)94261-4","http://dx.doi.org/10.1016/S0031-9422(00)94261-4")</f>
        <v>http://dx.doi.org/10.1016/S0031-9422(00)94261-4</v>
      </c>
      <c r="BG901" s="1" t="s">
        <v>74</v>
      </c>
      <c r="BH901" s="1" t="s">
        <v>74</v>
      </c>
      <c r="BI901" s="1" t="s">
        <v>74</v>
      </c>
      <c r="BJ901" s="1" t="s">
        <v>74</v>
      </c>
      <c r="BK901" s="1" t="s">
        <v>74</v>
      </c>
      <c r="BL901" s="1" t="s">
        <v>74</v>
      </c>
      <c r="BM901" s="1" t="s">
        <v>74</v>
      </c>
      <c r="BN901" s="1" t="s">
        <v>74</v>
      </c>
      <c r="BO901" s="1" t="s">
        <v>74</v>
      </c>
      <c r="BP901" s="1" t="s">
        <v>74</v>
      </c>
      <c r="BQ901" s="1" t="s">
        <v>74</v>
      </c>
      <c r="BR901" s="1" t="s">
        <v>74</v>
      </c>
      <c r="BS901" s="1" t="s">
        <v>7470</v>
      </c>
      <c r="BT901" s="1" t="str">
        <f>HYPERLINK("https%3A%2F%2Fwww.webofscience.com%2Fwos%2Fwoscc%2Ffull-record%2FWOS:A1978EX31100070","View Full Record in Web of Science")</f>
        <v>View Full Record in Web of Science</v>
      </c>
    </row>
    <row r="902" ht="12.75" customHeight="1">
      <c r="A902" s="1" t="s">
        <v>72</v>
      </c>
      <c r="B902" s="1" t="s">
        <v>7471</v>
      </c>
      <c r="C902" s="1" t="s">
        <v>74</v>
      </c>
      <c r="D902" s="1" t="s">
        <v>74</v>
      </c>
      <c r="E902" s="1" t="s">
        <v>74</v>
      </c>
      <c r="F902" s="1" t="s">
        <v>7472</v>
      </c>
      <c r="G902" s="1" t="s">
        <v>74</v>
      </c>
      <c r="H902" s="1" t="s">
        <v>74</v>
      </c>
      <c r="I902" s="1" t="s">
        <v>7473</v>
      </c>
      <c r="J902" s="1" t="s">
        <v>7474</v>
      </c>
      <c r="K902" s="1" t="s">
        <v>74</v>
      </c>
      <c r="L902" s="1" t="s">
        <v>74</v>
      </c>
      <c r="M902" s="1" t="s">
        <v>74</v>
      </c>
      <c r="N902" s="1" t="s">
        <v>74</v>
      </c>
      <c r="O902" s="1" t="s">
        <v>74</v>
      </c>
      <c r="P902" s="1" t="s">
        <v>74</v>
      </c>
      <c r="Q902" s="1" t="s">
        <v>74</v>
      </c>
      <c r="R902" s="1" t="s">
        <v>74</v>
      </c>
      <c r="S902" s="1" t="s">
        <v>74</v>
      </c>
      <c r="T902" s="1" t="s">
        <v>74</v>
      </c>
      <c r="U902" s="1" t="s">
        <v>74</v>
      </c>
      <c r="V902" s="1" t="s">
        <v>7475</v>
      </c>
      <c r="W902" s="1" t="s">
        <v>74</v>
      </c>
      <c r="X902" s="1" t="s">
        <v>74</v>
      </c>
      <c r="Y902" s="1" t="s">
        <v>74</v>
      </c>
      <c r="Z902" s="1" t="s">
        <v>74</v>
      </c>
      <c r="AA902" s="1" t="s">
        <v>74</v>
      </c>
      <c r="AB902" s="1" t="s">
        <v>74</v>
      </c>
      <c r="AC902" s="1" t="s">
        <v>74</v>
      </c>
      <c r="AD902" s="1" t="s">
        <v>74</v>
      </c>
      <c r="AE902" s="1" t="s">
        <v>74</v>
      </c>
      <c r="AF902" s="1" t="s">
        <v>74</v>
      </c>
      <c r="AG902" s="1" t="s">
        <v>74</v>
      </c>
      <c r="AH902" s="1" t="s">
        <v>74</v>
      </c>
      <c r="AI902" s="1" t="s">
        <v>74</v>
      </c>
      <c r="AJ902" s="1" t="s">
        <v>74</v>
      </c>
      <c r="AK902" s="1" t="s">
        <v>74</v>
      </c>
      <c r="AL902" s="1" t="s">
        <v>74</v>
      </c>
      <c r="AM902" s="1" t="s">
        <v>74</v>
      </c>
      <c r="AN902" s="1" t="s">
        <v>74</v>
      </c>
      <c r="AO902" s="1" t="s">
        <v>7476</v>
      </c>
      <c r="AP902" s="1" t="s">
        <v>7477</v>
      </c>
      <c r="AQ902" s="1" t="s">
        <v>74</v>
      </c>
      <c r="AR902" s="1" t="s">
        <v>74</v>
      </c>
      <c r="AS902" s="1" t="s">
        <v>74</v>
      </c>
      <c r="AT902" s="1" t="s">
        <v>7478</v>
      </c>
      <c r="AU902" s="1">
        <v>2025.0</v>
      </c>
      <c r="AV902" s="1">
        <v>30.0</v>
      </c>
      <c r="AW902" s="1">
        <v>2.0</v>
      </c>
      <c r="AX902" s="1" t="s">
        <v>74</v>
      </c>
      <c r="AY902" s="1" t="s">
        <v>74</v>
      </c>
      <c r="AZ902" s="1" t="s">
        <v>74</v>
      </c>
      <c r="BA902" s="1" t="s">
        <v>74</v>
      </c>
      <c r="BB902" s="1" t="s">
        <v>74</v>
      </c>
      <c r="BC902" s="1" t="s">
        <v>74</v>
      </c>
      <c r="BD902" s="1">
        <v>4025014.0</v>
      </c>
      <c r="BE902" s="1" t="s">
        <v>7479</v>
      </c>
      <c r="BF902" s="2" t="str">
        <f>HYPERLINK("http://dx.doi.org/10.1061/JSDCCC.SCENG-1566","http://dx.doi.org/10.1061/JSDCCC.SCENG-1566")</f>
        <v>http://dx.doi.org/10.1061/JSDCCC.SCENG-1566</v>
      </c>
      <c r="BG902" s="1" t="s">
        <v>74</v>
      </c>
      <c r="BH902" s="1" t="s">
        <v>74</v>
      </c>
      <c r="BI902" s="1" t="s">
        <v>74</v>
      </c>
      <c r="BJ902" s="1" t="s">
        <v>74</v>
      </c>
      <c r="BK902" s="1" t="s">
        <v>74</v>
      </c>
      <c r="BL902" s="1" t="s">
        <v>74</v>
      </c>
      <c r="BM902" s="1" t="s">
        <v>74</v>
      </c>
      <c r="BN902" s="1" t="s">
        <v>74</v>
      </c>
      <c r="BO902" s="1" t="s">
        <v>74</v>
      </c>
      <c r="BP902" s="1" t="s">
        <v>74</v>
      </c>
      <c r="BQ902" s="1" t="s">
        <v>74</v>
      </c>
      <c r="BR902" s="1" t="s">
        <v>74</v>
      </c>
      <c r="BS902" s="1" t="s">
        <v>7480</v>
      </c>
      <c r="BT902" s="1" t="str">
        <f>HYPERLINK("https%3A%2F%2Fwww.webofscience.com%2Fwos%2Fwoscc%2Ffull-record%2FWOS:001445471500031","View Full Record in Web of Science")</f>
        <v>View Full Record in Web of Science</v>
      </c>
    </row>
    <row r="903" ht="12.75" customHeight="1">
      <c r="A903" s="1" t="s">
        <v>72</v>
      </c>
      <c r="B903" s="1" t="s">
        <v>812</v>
      </c>
      <c r="C903" s="1" t="s">
        <v>74</v>
      </c>
      <c r="D903" s="1" t="s">
        <v>74</v>
      </c>
      <c r="E903" s="1" t="s">
        <v>74</v>
      </c>
      <c r="F903" s="1" t="s">
        <v>813</v>
      </c>
      <c r="G903" s="1" t="s">
        <v>74</v>
      </c>
      <c r="H903" s="1" t="s">
        <v>74</v>
      </c>
      <c r="I903" s="1" t="s">
        <v>7481</v>
      </c>
      <c r="J903" s="1" t="s">
        <v>283</v>
      </c>
      <c r="K903" s="1" t="s">
        <v>74</v>
      </c>
      <c r="L903" s="1" t="s">
        <v>74</v>
      </c>
      <c r="M903" s="1" t="s">
        <v>74</v>
      </c>
      <c r="N903" s="1" t="s">
        <v>74</v>
      </c>
      <c r="O903" s="1" t="s">
        <v>74</v>
      </c>
      <c r="P903" s="1" t="s">
        <v>74</v>
      </c>
      <c r="Q903" s="1" t="s">
        <v>74</v>
      </c>
      <c r="R903" s="1" t="s">
        <v>74</v>
      </c>
      <c r="S903" s="1" t="s">
        <v>74</v>
      </c>
      <c r="T903" s="1" t="s">
        <v>74</v>
      </c>
      <c r="U903" s="1" t="s">
        <v>74</v>
      </c>
      <c r="V903" s="1" t="s">
        <v>7482</v>
      </c>
      <c r="W903" s="1" t="s">
        <v>74</v>
      </c>
      <c r="X903" s="1" t="s">
        <v>74</v>
      </c>
      <c r="Y903" s="1" t="s">
        <v>74</v>
      </c>
      <c r="Z903" s="1" t="s">
        <v>74</v>
      </c>
      <c r="AA903" s="1" t="s">
        <v>296</v>
      </c>
      <c r="AB903" s="1" t="s">
        <v>74</v>
      </c>
      <c r="AC903" s="1" t="s">
        <v>74</v>
      </c>
      <c r="AD903" s="1" t="s">
        <v>74</v>
      </c>
      <c r="AE903" s="1" t="s">
        <v>74</v>
      </c>
      <c r="AF903" s="1" t="s">
        <v>74</v>
      </c>
      <c r="AG903" s="1" t="s">
        <v>74</v>
      </c>
      <c r="AH903" s="1" t="s">
        <v>74</v>
      </c>
      <c r="AI903" s="1" t="s">
        <v>74</v>
      </c>
      <c r="AJ903" s="1" t="s">
        <v>74</v>
      </c>
      <c r="AK903" s="1" t="s">
        <v>74</v>
      </c>
      <c r="AL903" s="1" t="s">
        <v>74</v>
      </c>
      <c r="AM903" s="1" t="s">
        <v>74</v>
      </c>
      <c r="AN903" s="1" t="s">
        <v>74</v>
      </c>
      <c r="AO903" s="1" t="s">
        <v>74</v>
      </c>
      <c r="AP903" s="1" t="s">
        <v>287</v>
      </c>
      <c r="AQ903" s="1" t="s">
        <v>74</v>
      </c>
      <c r="AR903" s="1" t="s">
        <v>74</v>
      </c>
      <c r="AS903" s="1" t="s">
        <v>74</v>
      </c>
      <c r="AT903" s="1" t="s">
        <v>7483</v>
      </c>
      <c r="AU903" s="1">
        <v>2025.0</v>
      </c>
      <c r="AV903" s="1">
        <v>13.0</v>
      </c>
      <c r="AW903" s="1">
        <v>3.0</v>
      </c>
      <c r="AX903" s="1" t="s">
        <v>74</v>
      </c>
      <c r="AY903" s="1" t="s">
        <v>74</v>
      </c>
      <c r="AZ903" s="1" t="s">
        <v>74</v>
      </c>
      <c r="BA903" s="1" t="s">
        <v>74</v>
      </c>
      <c r="BB903" s="1" t="s">
        <v>74</v>
      </c>
      <c r="BC903" s="1" t="s">
        <v>74</v>
      </c>
      <c r="BD903" s="1">
        <v>832.0</v>
      </c>
      <c r="BE903" s="1" t="s">
        <v>7484</v>
      </c>
      <c r="BF903" s="2" t="str">
        <f>HYPERLINK("http://dx.doi.org/10.3390/pr13030832","http://dx.doi.org/10.3390/pr13030832")</f>
        <v>http://dx.doi.org/10.3390/pr13030832</v>
      </c>
      <c r="BG903" s="1" t="s">
        <v>74</v>
      </c>
      <c r="BH903" s="1" t="s">
        <v>74</v>
      </c>
      <c r="BI903" s="1" t="s">
        <v>74</v>
      </c>
      <c r="BJ903" s="1" t="s">
        <v>74</v>
      </c>
      <c r="BK903" s="1" t="s">
        <v>74</v>
      </c>
      <c r="BL903" s="1" t="s">
        <v>74</v>
      </c>
      <c r="BM903" s="1" t="s">
        <v>74</v>
      </c>
      <c r="BN903" s="1" t="s">
        <v>74</v>
      </c>
      <c r="BO903" s="1" t="s">
        <v>74</v>
      </c>
      <c r="BP903" s="1" t="s">
        <v>74</v>
      </c>
      <c r="BQ903" s="1" t="s">
        <v>74</v>
      </c>
      <c r="BR903" s="1" t="s">
        <v>74</v>
      </c>
      <c r="BS903" s="1" t="s">
        <v>7485</v>
      </c>
      <c r="BT903" s="1" t="str">
        <f>HYPERLINK("https%3A%2F%2Fwww.webofscience.com%2Fwos%2Fwoscc%2Ffull-record%2FWOS:001452171500001","View Full Record in Web of Science")</f>
        <v>View Full Record in Web of Science</v>
      </c>
    </row>
    <row r="904" ht="12.75" customHeight="1">
      <c r="A904" s="1" t="s">
        <v>91</v>
      </c>
      <c r="B904" s="1" t="s">
        <v>7486</v>
      </c>
      <c r="C904" s="1" t="s">
        <v>74</v>
      </c>
      <c r="D904" s="1" t="s">
        <v>5078</v>
      </c>
      <c r="E904" s="1" t="s">
        <v>74</v>
      </c>
      <c r="F904" s="1" t="s">
        <v>7487</v>
      </c>
      <c r="G904" s="1" t="s">
        <v>74</v>
      </c>
      <c r="H904" s="1" t="s">
        <v>74</v>
      </c>
      <c r="I904" s="1" t="s">
        <v>7488</v>
      </c>
      <c r="J904" s="1" t="s">
        <v>5081</v>
      </c>
      <c r="K904" s="1" t="s">
        <v>5082</v>
      </c>
      <c r="L904" s="1" t="s">
        <v>74</v>
      </c>
      <c r="M904" s="1" t="s">
        <v>74</v>
      </c>
      <c r="N904" s="1" t="s">
        <v>74</v>
      </c>
      <c r="O904" s="1" t="s">
        <v>5083</v>
      </c>
      <c r="P904" s="1" t="s">
        <v>5084</v>
      </c>
      <c r="Q904" s="1" t="s">
        <v>4433</v>
      </c>
      <c r="R904" s="1" t="s">
        <v>74</v>
      </c>
      <c r="S904" s="1" t="s">
        <v>74</v>
      </c>
      <c r="T904" s="1" t="s">
        <v>74</v>
      </c>
      <c r="U904" s="1" t="s">
        <v>74</v>
      </c>
      <c r="V904" s="1" t="s">
        <v>7489</v>
      </c>
      <c r="W904" s="1" t="s">
        <v>74</v>
      </c>
      <c r="X904" s="1" t="s">
        <v>74</v>
      </c>
      <c r="Y904" s="1" t="s">
        <v>74</v>
      </c>
      <c r="Z904" s="1" t="s">
        <v>74</v>
      </c>
      <c r="AA904" s="1" t="s">
        <v>74</v>
      </c>
      <c r="AB904" s="1" t="s">
        <v>74</v>
      </c>
      <c r="AC904" s="1" t="s">
        <v>74</v>
      </c>
      <c r="AD904" s="1" t="s">
        <v>74</v>
      </c>
      <c r="AE904" s="1" t="s">
        <v>74</v>
      </c>
      <c r="AF904" s="1" t="s">
        <v>74</v>
      </c>
      <c r="AG904" s="1" t="s">
        <v>74</v>
      </c>
      <c r="AH904" s="1" t="s">
        <v>74</v>
      </c>
      <c r="AI904" s="1" t="s">
        <v>74</v>
      </c>
      <c r="AJ904" s="1" t="s">
        <v>74</v>
      </c>
      <c r="AK904" s="1" t="s">
        <v>74</v>
      </c>
      <c r="AL904" s="1" t="s">
        <v>74</v>
      </c>
      <c r="AM904" s="1" t="s">
        <v>74</v>
      </c>
      <c r="AN904" s="1" t="s">
        <v>74</v>
      </c>
      <c r="AO904" s="1" t="s">
        <v>5086</v>
      </c>
      <c r="AP904" s="1" t="s">
        <v>5087</v>
      </c>
      <c r="AQ904" s="1" t="s">
        <v>5088</v>
      </c>
      <c r="AR904" s="1" t="s">
        <v>74</v>
      </c>
      <c r="AS904" s="1" t="s">
        <v>74</v>
      </c>
      <c r="AT904" s="1" t="s">
        <v>74</v>
      </c>
      <c r="AU904" s="1">
        <v>2025.0</v>
      </c>
      <c r="AV904" s="1" t="s">
        <v>74</v>
      </c>
      <c r="AW904" s="1" t="s">
        <v>74</v>
      </c>
      <c r="AX904" s="1" t="s">
        <v>74</v>
      </c>
      <c r="AY904" s="1" t="s">
        <v>74</v>
      </c>
      <c r="AZ904" s="1" t="s">
        <v>74</v>
      </c>
      <c r="BA904" s="1" t="s">
        <v>74</v>
      </c>
      <c r="BB904" s="1">
        <v>381.0</v>
      </c>
      <c r="BC904" s="1">
        <v>390.0</v>
      </c>
      <c r="BD904" s="1" t="s">
        <v>74</v>
      </c>
      <c r="BE904" s="1" t="s">
        <v>7490</v>
      </c>
      <c r="BF904" s="2" t="str">
        <f>HYPERLINK("http://dx.doi.org/10.1007/978-3-031-72490-9_38","http://dx.doi.org/10.1007/978-3-031-72490-9_38")</f>
        <v>http://dx.doi.org/10.1007/978-3-031-72490-9_38</v>
      </c>
      <c r="BG904" s="1" t="s">
        <v>74</v>
      </c>
      <c r="BH904" s="1" t="s">
        <v>74</v>
      </c>
      <c r="BI904" s="1" t="s">
        <v>74</v>
      </c>
      <c r="BJ904" s="1" t="s">
        <v>74</v>
      </c>
      <c r="BK904" s="1" t="s">
        <v>74</v>
      </c>
      <c r="BL904" s="1" t="s">
        <v>74</v>
      </c>
      <c r="BM904" s="1" t="s">
        <v>74</v>
      </c>
      <c r="BN904" s="1" t="s">
        <v>74</v>
      </c>
      <c r="BO904" s="1" t="s">
        <v>74</v>
      </c>
      <c r="BP904" s="1" t="s">
        <v>74</v>
      </c>
      <c r="BQ904" s="1" t="s">
        <v>74</v>
      </c>
      <c r="BR904" s="1" t="s">
        <v>74</v>
      </c>
      <c r="BS904" s="1" t="s">
        <v>7491</v>
      </c>
      <c r="BT904" s="1" t="str">
        <f>HYPERLINK("https%3A%2F%2Fwww.webofscience.com%2Fwos%2Fwoscc%2Ffull-record%2FWOS:001460827600038","View Full Record in Web of Science")</f>
        <v>View Full Record in Web of Science</v>
      </c>
    </row>
    <row r="905" ht="12.75" customHeight="1">
      <c r="A905" s="1" t="s">
        <v>72</v>
      </c>
      <c r="B905" s="1" t="s">
        <v>7492</v>
      </c>
      <c r="C905" s="1" t="s">
        <v>74</v>
      </c>
      <c r="D905" s="1" t="s">
        <v>74</v>
      </c>
      <c r="E905" s="1" t="s">
        <v>74</v>
      </c>
      <c r="F905" s="1" t="s">
        <v>7493</v>
      </c>
      <c r="G905" s="1" t="s">
        <v>74</v>
      </c>
      <c r="H905" s="1" t="s">
        <v>74</v>
      </c>
      <c r="I905" s="1" t="s">
        <v>7494</v>
      </c>
      <c r="J905" s="1" t="s">
        <v>7495</v>
      </c>
      <c r="K905" s="1" t="s">
        <v>74</v>
      </c>
      <c r="L905" s="1" t="s">
        <v>74</v>
      </c>
      <c r="M905" s="1" t="s">
        <v>74</v>
      </c>
      <c r="N905" s="1" t="s">
        <v>74</v>
      </c>
      <c r="O905" s="1" t="s">
        <v>74</v>
      </c>
      <c r="P905" s="1" t="s">
        <v>74</v>
      </c>
      <c r="Q905" s="1" t="s">
        <v>74</v>
      </c>
      <c r="R905" s="1" t="s">
        <v>74</v>
      </c>
      <c r="S905" s="1" t="s">
        <v>74</v>
      </c>
      <c r="T905" s="1" t="s">
        <v>74</v>
      </c>
      <c r="U905" s="1" t="s">
        <v>74</v>
      </c>
      <c r="V905" s="1" t="s">
        <v>7496</v>
      </c>
      <c r="W905" s="1" t="s">
        <v>74</v>
      </c>
      <c r="X905" s="1" t="s">
        <v>74</v>
      </c>
      <c r="Y905" s="1" t="s">
        <v>74</v>
      </c>
      <c r="Z905" s="1" t="s">
        <v>74</v>
      </c>
      <c r="AA905" s="1" t="s">
        <v>7497</v>
      </c>
      <c r="AB905" s="1" t="s">
        <v>7498</v>
      </c>
      <c r="AC905" s="1" t="s">
        <v>74</v>
      </c>
      <c r="AD905" s="1" t="s">
        <v>74</v>
      </c>
      <c r="AE905" s="1" t="s">
        <v>74</v>
      </c>
      <c r="AF905" s="1" t="s">
        <v>74</v>
      </c>
      <c r="AG905" s="1" t="s">
        <v>74</v>
      </c>
      <c r="AH905" s="1" t="s">
        <v>74</v>
      </c>
      <c r="AI905" s="1" t="s">
        <v>74</v>
      </c>
      <c r="AJ905" s="1" t="s">
        <v>74</v>
      </c>
      <c r="AK905" s="1" t="s">
        <v>74</v>
      </c>
      <c r="AL905" s="1" t="s">
        <v>74</v>
      </c>
      <c r="AM905" s="1" t="s">
        <v>74</v>
      </c>
      <c r="AN905" s="1" t="s">
        <v>74</v>
      </c>
      <c r="AO905" s="1" t="s">
        <v>74</v>
      </c>
      <c r="AP905" s="1" t="s">
        <v>7499</v>
      </c>
      <c r="AQ905" s="1" t="s">
        <v>74</v>
      </c>
      <c r="AR905" s="1" t="s">
        <v>74</v>
      </c>
      <c r="AS905" s="1" t="s">
        <v>74</v>
      </c>
      <c r="AT905" s="1" t="s">
        <v>299</v>
      </c>
      <c r="AU905" s="1">
        <v>2025.0</v>
      </c>
      <c r="AV905" s="1">
        <v>17.0</v>
      </c>
      <c r="AW905" s="1">
        <v>1.0</v>
      </c>
      <c r="AX905" s="1" t="s">
        <v>74</v>
      </c>
      <c r="AY905" s="1" t="s">
        <v>74</v>
      </c>
      <c r="AZ905" s="1" t="s">
        <v>74</v>
      </c>
      <c r="BA905" s="1" t="s">
        <v>74</v>
      </c>
      <c r="BB905" s="1" t="s">
        <v>74</v>
      </c>
      <c r="BC905" s="1" t="s">
        <v>74</v>
      </c>
      <c r="BD905" s="1">
        <v>15.0</v>
      </c>
      <c r="BE905" s="1" t="s">
        <v>7500</v>
      </c>
      <c r="BF905" s="2" t="str">
        <f>HYPERLINK("http://dx.doi.org/10.3390/w17010015","http://dx.doi.org/10.3390/w17010015")</f>
        <v>http://dx.doi.org/10.3390/w17010015</v>
      </c>
      <c r="BG905" s="1" t="s">
        <v>74</v>
      </c>
      <c r="BH905" s="1" t="s">
        <v>74</v>
      </c>
      <c r="BI905" s="1" t="s">
        <v>74</v>
      </c>
      <c r="BJ905" s="1" t="s">
        <v>74</v>
      </c>
      <c r="BK905" s="1" t="s">
        <v>74</v>
      </c>
      <c r="BL905" s="1" t="s">
        <v>74</v>
      </c>
      <c r="BM905" s="1" t="s">
        <v>74</v>
      </c>
      <c r="BN905" s="1" t="s">
        <v>74</v>
      </c>
      <c r="BO905" s="1" t="s">
        <v>74</v>
      </c>
      <c r="BP905" s="1" t="s">
        <v>74</v>
      </c>
      <c r="BQ905" s="1" t="s">
        <v>74</v>
      </c>
      <c r="BR905" s="1" t="s">
        <v>74</v>
      </c>
      <c r="BS905" s="1" t="s">
        <v>7501</v>
      </c>
      <c r="BT905" s="1" t="str">
        <f>HYPERLINK("https%3A%2F%2Fwww.webofscience.com%2Fwos%2Fwoscc%2Ffull-record%2FWOS:001393384300001","View Full Record in Web of Science")</f>
        <v>View Full Record in Web of Science</v>
      </c>
    </row>
    <row r="906" ht="12.75" customHeight="1">
      <c r="A906" s="1" t="s">
        <v>72</v>
      </c>
      <c r="B906" s="1" t="s">
        <v>7502</v>
      </c>
      <c r="C906" s="1" t="s">
        <v>74</v>
      </c>
      <c r="D906" s="1" t="s">
        <v>74</v>
      </c>
      <c r="E906" s="1" t="s">
        <v>74</v>
      </c>
      <c r="F906" s="1" t="s">
        <v>7503</v>
      </c>
      <c r="G906" s="1" t="s">
        <v>74</v>
      </c>
      <c r="H906" s="1" t="s">
        <v>74</v>
      </c>
      <c r="I906" s="1" t="s">
        <v>7504</v>
      </c>
      <c r="J906" s="1" t="s">
        <v>3544</v>
      </c>
      <c r="K906" s="1" t="s">
        <v>74</v>
      </c>
      <c r="L906" s="1" t="s">
        <v>74</v>
      </c>
      <c r="M906" s="1" t="s">
        <v>74</v>
      </c>
      <c r="N906" s="1" t="s">
        <v>74</v>
      </c>
      <c r="O906" s="1" t="s">
        <v>74</v>
      </c>
      <c r="P906" s="1" t="s">
        <v>74</v>
      </c>
      <c r="Q906" s="1" t="s">
        <v>74</v>
      </c>
      <c r="R906" s="1" t="s">
        <v>74</v>
      </c>
      <c r="S906" s="1" t="s">
        <v>74</v>
      </c>
      <c r="T906" s="1" t="s">
        <v>74</v>
      </c>
      <c r="U906" s="1" t="s">
        <v>74</v>
      </c>
      <c r="V906" s="1" t="s">
        <v>7505</v>
      </c>
      <c r="W906" s="1" t="s">
        <v>74</v>
      </c>
      <c r="X906" s="1" t="s">
        <v>74</v>
      </c>
      <c r="Y906" s="1" t="s">
        <v>74</v>
      </c>
      <c r="Z906" s="1" t="s">
        <v>74</v>
      </c>
      <c r="AA906" s="1" t="s">
        <v>3546</v>
      </c>
      <c r="AB906" s="1" t="s">
        <v>3547</v>
      </c>
      <c r="AC906" s="1" t="s">
        <v>74</v>
      </c>
      <c r="AD906" s="1" t="s">
        <v>74</v>
      </c>
      <c r="AE906" s="1" t="s">
        <v>74</v>
      </c>
      <c r="AF906" s="1" t="s">
        <v>74</v>
      </c>
      <c r="AG906" s="1" t="s">
        <v>74</v>
      </c>
      <c r="AH906" s="1" t="s">
        <v>74</v>
      </c>
      <c r="AI906" s="1" t="s">
        <v>74</v>
      </c>
      <c r="AJ906" s="1" t="s">
        <v>74</v>
      </c>
      <c r="AK906" s="1" t="s">
        <v>74</v>
      </c>
      <c r="AL906" s="1" t="s">
        <v>74</v>
      </c>
      <c r="AM906" s="1" t="s">
        <v>74</v>
      </c>
      <c r="AN906" s="1" t="s">
        <v>74</v>
      </c>
      <c r="AO906" s="1" t="s">
        <v>74</v>
      </c>
      <c r="AP906" s="1" t="s">
        <v>3548</v>
      </c>
      <c r="AQ906" s="1" t="s">
        <v>74</v>
      </c>
      <c r="AR906" s="1" t="s">
        <v>74</v>
      </c>
      <c r="AS906" s="1" t="s">
        <v>74</v>
      </c>
      <c r="AT906" s="1" t="s">
        <v>1176</v>
      </c>
      <c r="AU906" s="1">
        <v>2024.0</v>
      </c>
      <c r="AV906" s="1">
        <v>14.0</v>
      </c>
      <c r="AW906" s="1">
        <v>8.0</v>
      </c>
      <c r="AX906" s="1" t="s">
        <v>74</v>
      </c>
      <c r="AY906" s="1" t="s">
        <v>74</v>
      </c>
      <c r="AZ906" s="1" t="s">
        <v>74</v>
      </c>
      <c r="BA906" s="1" t="s">
        <v>74</v>
      </c>
      <c r="BB906" s="1" t="s">
        <v>74</v>
      </c>
      <c r="BC906" s="1" t="s">
        <v>74</v>
      </c>
      <c r="BD906" s="1">
        <v>180.0</v>
      </c>
      <c r="BE906" s="1" t="s">
        <v>7506</v>
      </c>
      <c r="BF906" s="2" t="str">
        <f>HYPERLINK("http://dx.doi.org/10.3390/membranes14080180","http://dx.doi.org/10.3390/membranes14080180")</f>
        <v>http://dx.doi.org/10.3390/membranes14080180</v>
      </c>
      <c r="BG906" s="1" t="s">
        <v>74</v>
      </c>
      <c r="BH906" s="1" t="s">
        <v>74</v>
      </c>
      <c r="BI906" s="1" t="s">
        <v>74</v>
      </c>
      <c r="BJ906" s="1" t="s">
        <v>74</v>
      </c>
      <c r="BK906" s="1" t="s">
        <v>74</v>
      </c>
      <c r="BL906" s="1" t="s">
        <v>74</v>
      </c>
      <c r="BM906" s="1" t="s">
        <v>74</v>
      </c>
      <c r="BN906" s="1">
        <v>3.9195432E7</v>
      </c>
      <c r="BO906" s="1" t="s">
        <v>74</v>
      </c>
      <c r="BP906" s="1" t="s">
        <v>74</v>
      </c>
      <c r="BQ906" s="1" t="s">
        <v>74</v>
      </c>
      <c r="BR906" s="1" t="s">
        <v>74</v>
      </c>
      <c r="BS906" s="1" t="s">
        <v>7507</v>
      </c>
      <c r="BT906" s="1" t="str">
        <f>HYPERLINK("https%3A%2F%2Fwww.webofscience.com%2Fwos%2Fwoscc%2Ffull-record%2FWOS:001305359400001","View Full Record in Web of Science")</f>
        <v>View Full Record in Web of Science</v>
      </c>
    </row>
    <row r="907" ht="12.75" customHeight="1">
      <c r="A907" s="1" t="s">
        <v>72</v>
      </c>
      <c r="B907" s="1" t="s">
        <v>7508</v>
      </c>
      <c r="C907" s="1" t="s">
        <v>74</v>
      </c>
      <c r="D907" s="1" t="s">
        <v>74</v>
      </c>
      <c r="E907" s="1" t="s">
        <v>74</v>
      </c>
      <c r="F907" s="1" t="s">
        <v>7509</v>
      </c>
      <c r="G907" s="1" t="s">
        <v>74</v>
      </c>
      <c r="H907" s="1" t="s">
        <v>74</v>
      </c>
      <c r="I907" s="1" t="s">
        <v>7510</v>
      </c>
      <c r="J907" s="1" t="s">
        <v>7511</v>
      </c>
      <c r="K907" s="1" t="s">
        <v>74</v>
      </c>
      <c r="L907" s="1" t="s">
        <v>74</v>
      </c>
      <c r="M907" s="1" t="s">
        <v>74</v>
      </c>
      <c r="N907" s="1" t="s">
        <v>74</v>
      </c>
      <c r="O907" s="1" t="s">
        <v>74</v>
      </c>
      <c r="P907" s="1" t="s">
        <v>74</v>
      </c>
      <c r="Q907" s="1" t="s">
        <v>74</v>
      </c>
      <c r="R907" s="1" t="s">
        <v>74</v>
      </c>
      <c r="S907" s="1" t="s">
        <v>74</v>
      </c>
      <c r="T907" s="1" t="s">
        <v>74</v>
      </c>
      <c r="U907" s="1" t="s">
        <v>74</v>
      </c>
      <c r="V907" s="1" t="s">
        <v>7512</v>
      </c>
      <c r="W907" s="1" t="s">
        <v>74</v>
      </c>
      <c r="X907" s="1" t="s">
        <v>74</v>
      </c>
      <c r="Y907" s="1" t="s">
        <v>74</v>
      </c>
      <c r="Z907" s="1" t="s">
        <v>74</v>
      </c>
      <c r="AA907" s="1" t="s">
        <v>74</v>
      </c>
      <c r="AB907" s="1" t="s">
        <v>74</v>
      </c>
      <c r="AC907" s="1" t="s">
        <v>74</v>
      </c>
      <c r="AD907" s="1" t="s">
        <v>74</v>
      </c>
      <c r="AE907" s="1" t="s">
        <v>74</v>
      </c>
      <c r="AF907" s="1" t="s">
        <v>74</v>
      </c>
      <c r="AG907" s="1" t="s">
        <v>74</v>
      </c>
      <c r="AH907" s="1" t="s">
        <v>74</v>
      </c>
      <c r="AI907" s="1" t="s">
        <v>74</v>
      </c>
      <c r="AJ907" s="1" t="s">
        <v>74</v>
      </c>
      <c r="AK907" s="1" t="s">
        <v>74</v>
      </c>
      <c r="AL907" s="1" t="s">
        <v>74</v>
      </c>
      <c r="AM907" s="1" t="s">
        <v>74</v>
      </c>
      <c r="AN907" s="1" t="s">
        <v>74</v>
      </c>
      <c r="AO907" s="1" t="s">
        <v>74</v>
      </c>
      <c r="AP907" s="1" t="s">
        <v>7513</v>
      </c>
      <c r="AQ907" s="1" t="s">
        <v>74</v>
      </c>
      <c r="AR907" s="1" t="s">
        <v>74</v>
      </c>
      <c r="AS907" s="1" t="s">
        <v>74</v>
      </c>
      <c r="AT907" s="1" t="s">
        <v>370</v>
      </c>
      <c r="AU907" s="1">
        <v>2024.0</v>
      </c>
      <c r="AV907" s="1">
        <v>26.0</v>
      </c>
      <c r="AW907" s="1">
        <v>7.0</v>
      </c>
      <c r="AX907" s="1" t="s">
        <v>74</v>
      </c>
      <c r="AY907" s="1" t="s">
        <v>74</v>
      </c>
      <c r="AZ907" s="1" t="s">
        <v>74</v>
      </c>
      <c r="BA907" s="1" t="s">
        <v>74</v>
      </c>
      <c r="BB907" s="1" t="s">
        <v>74</v>
      </c>
      <c r="BC907" s="1" t="s">
        <v>74</v>
      </c>
      <c r="BD907" s="1">
        <v>575.0</v>
      </c>
      <c r="BE907" s="1" t="s">
        <v>7514</v>
      </c>
      <c r="BF907" s="2" t="str">
        <f>HYPERLINK("http://dx.doi.org/10.3390/e26070575","http://dx.doi.org/10.3390/e26070575")</f>
        <v>http://dx.doi.org/10.3390/e26070575</v>
      </c>
      <c r="BG907" s="1" t="s">
        <v>74</v>
      </c>
      <c r="BH907" s="1" t="s">
        <v>74</v>
      </c>
      <c r="BI907" s="1" t="s">
        <v>74</v>
      </c>
      <c r="BJ907" s="1" t="s">
        <v>74</v>
      </c>
      <c r="BK907" s="1" t="s">
        <v>74</v>
      </c>
      <c r="BL907" s="1" t="s">
        <v>74</v>
      </c>
      <c r="BM907" s="1" t="s">
        <v>74</v>
      </c>
      <c r="BN907" s="1">
        <v>3.9056937E7</v>
      </c>
      <c r="BO907" s="1" t="s">
        <v>74</v>
      </c>
      <c r="BP907" s="1" t="s">
        <v>74</v>
      </c>
      <c r="BQ907" s="1" t="s">
        <v>74</v>
      </c>
      <c r="BR907" s="1" t="s">
        <v>74</v>
      </c>
      <c r="BS907" s="1" t="s">
        <v>7515</v>
      </c>
      <c r="BT907" s="1" t="str">
        <f>HYPERLINK("https%3A%2F%2Fwww.webofscience.com%2Fwos%2Fwoscc%2Ffull-record%2FWOS:001278626400001","View Full Record in Web of Science")</f>
        <v>View Full Record in Web of Science</v>
      </c>
    </row>
    <row r="908" ht="12.75" customHeight="1">
      <c r="A908" s="1" t="s">
        <v>72</v>
      </c>
      <c r="B908" s="1" t="s">
        <v>7516</v>
      </c>
      <c r="C908" s="1" t="s">
        <v>74</v>
      </c>
      <c r="D908" s="1" t="s">
        <v>74</v>
      </c>
      <c r="E908" s="1" t="s">
        <v>74</v>
      </c>
      <c r="F908" s="1" t="s">
        <v>7517</v>
      </c>
      <c r="G908" s="1" t="s">
        <v>74</v>
      </c>
      <c r="H908" s="1" t="s">
        <v>74</v>
      </c>
      <c r="I908" s="1" t="s">
        <v>7518</v>
      </c>
      <c r="J908" s="1" t="s">
        <v>5933</v>
      </c>
      <c r="K908" s="1" t="s">
        <v>74</v>
      </c>
      <c r="L908" s="1" t="s">
        <v>74</v>
      </c>
      <c r="M908" s="1" t="s">
        <v>74</v>
      </c>
      <c r="N908" s="1" t="s">
        <v>74</v>
      </c>
      <c r="O908" s="1" t="s">
        <v>74</v>
      </c>
      <c r="P908" s="1" t="s">
        <v>74</v>
      </c>
      <c r="Q908" s="1" t="s">
        <v>74</v>
      </c>
      <c r="R908" s="1" t="s">
        <v>74</v>
      </c>
      <c r="S908" s="1" t="s">
        <v>74</v>
      </c>
      <c r="T908" s="1" t="s">
        <v>74</v>
      </c>
      <c r="U908" s="1" t="s">
        <v>74</v>
      </c>
      <c r="V908" s="1" t="s">
        <v>7519</v>
      </c>
      <c r="W908" s="1" t="s">
        <v>74</v>
      </c>
      <c r="X908" s="1" t="s">
        <v>74</v>
      </c>
      <c r="Y908" s="1" t="s">
        <v>74</v>
      </c>
      <c r="Z908" s="1" t="s">
        <v>74</v>
      </c>
      <c r="AA908" s="1" t="s">
        <v>74</v>
      </c>
      <c r="AB908" s="1" t="s">
        <v>74</v>
      </c>
      <c r="AC908" s="1" t="s">
        <v>74</v>
      </c>
      <c r="AD908" s="1" t="s">
        <v>74</v>
      </c>
      <c r="AE908" s="1" t="s">
        <v>74</v>
      </c>
      <c r="AF908" s="1" t="s">
        <v>74</v>
      </c>
      <c r="AG908" s="1" t="s">
        <v>74</v>
      </c>
      <c r="AH908" s="1" t="s">
        <v>74</v>
      </c>
      <c r="AI908" s="1" t="s">
        <v>74</v>
      </c>
      <c r="AJ908" s="1" t="s">
        <v>74</v>
      </c>
      <c r="AK908" s="1" t="s">
        <v>74</v>
      </c>
      <c r="AL908" s="1" t="s">
        <v>74</v>
      </c>
      <c r="AM908" s="1" t="s">
        <v>74</v>
      </c>
      <c r="AN908" s="1" t="s">
        <v>74</v>
      </c>
      <c r="AO908" s="1" t="s">
        <v>5935</v>
      </c>
      <c r="AP908" s="1" t="s">
        <v>74</v>
      </c>
      <c r="AQ908" s="1" t="s">
        <v>74</v>
      </c>
      <c r="AR908" s="1" t="s">
        <v>74</v>
      </c>
      <c r="AS908" s="1" t="s">
        <v>74</v>
      </c>
      <c r="AT908" s="1" t="s">
        <v>74</v>
      </c>
      <c r="AU908" s="1">
        <v>2024.0</v>
      </c>
      <c r="AV908" s="1" t="s">
        <v>74</v>
      </c>
      <c r="AW908" s="1">
        <v>32.0</v>
      </c>
      <c r="AX908" s="1" t="s">
        <v>74</v>
      </c>
      <c r="AY908" s="1" t="s">
        <v>74</v>
      </c>
      <c r="AZ908" s="1" t="s">
        <v>74</v>
      </c>
      <c r="BA908" s="1" t="s">
        <v>74</v>
      </c>
      <c r="BB908" s="1" t="s">
        <v>74</v>
      </c>
      <c r="BC908" s="1" t="s">
        <v>74</v>
      </c>
      <c r="BD908" s="1" t="s">
        <v>74</v>
      </c>
      <c r="BE908" s="1" t="s">
        <v>74</v>
      </c>
      <c r="BF908" s="1" t="s">
        <v>74</v>
      </c>
      <c r="BG908" s="1" t="s">
        <v>74</v>
      </c>
      <c r="BH908" s="1" t="s">
        <v>74</v>
      </c>
      <c r="BI908" s="1" t="s">
        <v>74</v>
      </c>
      <c r="BJ908" s="1" t="s">
        <v>74</v>
      </c>
      <c r="BK908" s="1" t="s">
        <v>74</v>
      </c>
      <c r="BL908" s="1" t="s">
        <v>74</v>
      </c>
      <c r="BM908" s="1" t="s">
        <v>74</v>
      </c>
      <c r="BN908" s="1" t="s">
        <v>74</v>
      </c>
      <c r="BO908" s="1" t="s">
        <v>74</v>
      </c>
      <c r="BP908" s="1" t="s">
        <v>74</v>
      </c>
      <c r="BQ908" s="1" t="s">
        <v>74</v>
      </c>
      <c r="BR908" s="1" t="s">
        <v>74</v>
      </c>
      <c r="BS908" s="1" t="s">
        <v>7520</v>
      </c>
      <c r="BT908" s="1" t="str">
        <f>HYPERLINK("https%3A%2F%2Fwww.webofscience.com%2Fwos%2Fwoscc%2Ffull-record%2FWOS:001416120600023","View Full Record in Web of Science")</f>
        <v>View Full Record in Web of Science</v>
      </c>
    </row>
    <row r="909" ht="12.75" customHeight="1">
      <c r="A909" s="1" t="s">
        <v>72</v>
      </c>
      <c r="B909" s="1" t="s">
        <v>2288</v>
      </c>
      <c r="C909" s="1" t="s">
        <v>74</v>
      </c>
      <c r="D909" s="1" t="s">
        <v>74</v>
      </c>
      <c r="E909" s="1" t="s">
        <v>74</v>
      </c>
      <c r="F909" s="1" t="s">
        <v>7521</v>
      </c>
      <c r="G909" s="1" t="s">
        <v>74</v>
      </c>
      <c r="H909" s="1" t="s">
        <v>74</v>
      </c>
      <c r="I909" s="1" t="s">
        <v>7522</v>
      </c>
      <c r="J909" s="1" t="s">
        <v>1299</v>
      </c>
      <c r="K909" s="1" t="s">
        <v>74</v>
      </c>
      <c r="L909" s="1" t="s">
        <v>74</v>
      </c>
      <c r="M909" s="1" t="s">
        <v>74</v>
      </c>
      <c r="N909" s="1" t="s">
        <v>74</v>
      </c>
      <c r="O909" s="1" t="s">
        <v>74</v>
      </c>
      <c r="P909" s="1" t="s">
        <v>74</v>
      </c>
      <c r="Q909" s="1" t="s">
        <v>74</v>
      </c>
      <c r="R909" s="1" t="s">
        <v>74</v>
      </c>
      <c r="S909" s="1" t="s">
        <v>74</v>
      </c>
      <c r="T909" s="1" t="s">
        <v>74</v>
      </c>
      <c r="U909" s="1" t="s">
        <v>74</v>
      </c>
      <c r="V909" s="1" t="s">
        <v>7523</v>
      </c>
      <c r="W909" s="1" t="s">
        <v>74</v>
      </c>
      <c r="X909" s="1" t="s">
        <v>74</v>
      </c>
      <c r="Y909" s="1" t="s">
        <v>74</v>
      </c>
      <c r="Z909" s="1" t="s">
        <v>74</v>
      </c>
      <c r="AA909" s="1" t="s">
        <v>74</v>
      </c>
      <c r="AB909" s="1" t="s">
        <v>74</v>
      </c>
      <c r="AC909" s="1" t="s">
        <v>74</v>
      </c>
      <c r="AD909" s="1" t="s">
        <v>74</v>
      </c>
      <c r="AE909" s="1" t="s">
        <v>74</v>
      </c>
      <c r="AF909" s="1" t="s">
        <v>74</v>
      </c>
      <c r="AG909" s="1" t="s">
        <v>74</v>
      </c>
      <c r="AH909" s="1" t="s">
        <v>74</v>
      </c>
      <c r="AI909" s="1" t="s">
        <v>74</v>
      </c>
      <c r="AJ909" s="1" t="s">
        <v>74</v>
      </c>
      <c r="AK909" s="1" t="s">
        <v>74</v>
      </c>
      <c r="AL909" s="1" t="s">
        <v>74</v>
      </c>
      <c r="AM909" s="1" t="s">
        <v>74</v>
      </c>
      <c r="AN909" s="1" t="s">
        <v>74</v>
      </c>
      <c r="AO909" s="1" t="s">
        <v>1300</v>
      </c>
      <c r="AP909" s="1" t="s">
        <v>74</v>
      </c>
      <c r="AQ909" s="1" t="s">
        <v>74</v>
      </c>
      <c r="AR909" s="1" t="s">
        <v>74</v>
      </c>
      <c r="AS909" s="1" t="s">
        <v>74</v>
      </c>
      <c r="AT909" s="1" t="s">
        <v>74</v>
      </c>
      <c r="AU909" s="1">
        <v>2024.0</v>
      </c>
      <c r="AV909" s="1" t="s">
        <v>74</v>
      </c>
      <c r="AW909" s="1">
        <v>24.0</v>
      </c>
      <c r="AX909" s="1" t="s">
        <v>74</v>
      </c>
      <c r="AY909" s="1" t="s">
        <v>74</v>
      </c>
      <c r="AZ909" s="1" t="s">
        <v>74</v>
      </c>
      <c r="BA909" s="1" t="s">
        <v>74</v>
      </c>
      <c r="BB909" s="1" t="s">
        <v>74</v>
      </c>
      <c r="BC909" s="1" t="s">
        <v>74</v>
      </c>
      <c r="BD909" s="1" t="s">
        <v>74</v>
      </c>
      <c r="BE909" s="1" t="s">
        <v>7524</v>
      </c>
      <c r="BF909" s="2" t="str">
        <f>HYPERLINK("http://dx.doi.org/10.7203/KAM.24.29926","http://dx.doi.org/10.7203/KAM.24.29926")</f>
        <v>http://dx.doi.org/10.7203/KAM.24.29926</v>
      </c>
      <c r="BG909" s="1" t="s">
        <v>74</v>
      </c>
      <c r="BH909" s="1" t="s">
        <v>74</v>
      </c>
      <c r="BI909" s="1" t="s">
        <v>74</v>
      </c>
      <c r="BJ909" s="1" t="s">
        <v>74</v>
      </c>
      <c r="BK909" s="1" t="s">
        <v>74</v>
      </c>
      <c r="BL909" s="1" t="s">
        <v>74</v>
      </c>
      <c r="BM909" s="1" t="s">
        <v>74</v>
      </c>
      <c r="BN909" s="1" t="s">
        <v>74</v>
      </c>
      <c r="BO909" s="1" t="s">
        <v>74</v>
      </c>
      <c r="BP909" s="1" t="s">
        <v>74</v>
      </c>
      <c r="BQ909" s="1" t="s">
        <v>74</v>
      </c>
      <c r="BR909" s="1" t="s">
        <v>74</v>
      </c>
      <c r="BS909" s="1" t="s">
        <v>7525</v>
      </c>
      <c r="BT909" s="1" t="str">
        <f>HYPERLINK("https%3A%2F%2Fwww.webofscience.com%2Fwos%2Fwoscc%2Ffull-record%2FWOS:001411162000011","View Full Record in Web of Science")</f>
        <v>View Full Record in Web of Science</v>
      </c>
    </row>
    <row r="910" ht="12.75" customHeight="1">
      <c r="A910" s="1" t="s">
        <v>72</v>
      </c>
      <c r="B910" s="1" t="s">
        <v>7526</v>
      </c>
      <c r="C910" s="1" t="s">
        <v>74</v>
      </c>
      <c r="D910" s="1" t="s">
        <v>74</v>
      </c>
      <c r="E910" s="1" t="s">
        <v>74</v>
      </c>
      <c r="F910" s="1" t="s">
        <v>7527</v>
      </c>
      <c r="G910" s="1" t="s">
        <v>74</v>
      </c>
      <c r="H910" s="1" t="s">
        <v>74</v>
      </c>
      <c r="I910" s="1" t="s">
        <v>7528</v>
      </c>
      <c r="J910" s="1" t="s">
        <v>3508</v>
      </c>
      <c r="K910" s="1" t="s">
        <v>74</v>
      </c>
      <c r="L910" s="1" t="s">
        <v>74</v>
      </c>
      <c r="M910" s="1" t="s">
        <v>74</v>
      </c>
      <c r="N910" s="1" t="s">
        <v>74</v>
      </c>
      <c r="O910" s="1" t="s">
        <v>74</v>
      </c>
      <c r="P910" s="1" t="s">
        <v>74</v>
      </c>
      <c r="Q910" s="1" t="s">
        <v>74</v>
      </c>
      <c r="R910" s="1" t="s">
        <v>74</v>
      </c>
      <c r="S910" s="1" t="s">
        <v>74</v>
      </c>
      <c r="T910" s="1" t="s">
        <v>74</v>
      </c>
      <c r="U910" s="1" t="s">
        <v>74</v>
      </c>
      <c r="V910" s="1" t="s">
        <v>7529</v>
      </c>
      <c r="W910" s="1" t="s">
        <v>74</v>
      </c>
      <c r="X910" s="1" t="s">
        <v>74</v>
      </c>
      <c r="Y910" s="1" t="s">
        <v>74</v>
      </c>
      <c r="Z910" s="1" t="s">
        <v>74</v>
      </c>
      <c r="AA910" s="1" t="s">
        <v>74</v>
      </c>
      <c r="AB910" s="1" t="s">
        <v>74</v>
      </c>
      <c r="AC910" s="1" t="s">
        <v>74</v>
      </c>
      <c r="AD910" s="1" t="s">
        <v>74</v>
      </c>
      <c r="AE910" s="1" t="s">
        <v>74</v>
      </c>
      <c r="AF910" s="1" t="s">
        <v>74</v>
      </c>
      <c r="AG910" s="1" t="s">
        <v>74</v>
      </c>
      <c r="AH910" s="1" t="s">
        <v>74</v>
      </c>
      <c r="AI910" s="1" t="s">
        <v>74</v>
      </c>
      <c r="AJ910" s="1" t="s">
        <v>74</v>
      </c>
      <c r="AK910" s="1" t="s">
        <v>74</v>
      </c>
      <c r="AL910" s="1" t="s">
        <v>74</v>
      </c>
      <c r="AM910" s="1" t="s">
        <v>74</v>
      </c>
      <c r="AN910" s="1" t="s">
        <v>74</v>
      </c>
      <c r="AO910" s="1" t="s">
        <v>3510</v>
      </c>
      <c r="AP910" s="1" t="s">
        <v>3511</v>
      </c>
      <c r="AQ910" s="1" t="s">
        <v>74</v>
      </c>
      <c r="AR910" s="1" t="s">
        <v>74</v>
      </c>
      <c r="AS910" s="1" t="s">
        <v>74</v>
      </c>
      <c r="AT910" s="1" t="s">
        <v>1493</v>
      </c>
      <c r="AU910" s="1">
        <v>2024.0</v>
      </c>
      <c r="AV910" s="1" t="s">
        <v>74</v>
      </c>
      <c r="AW910" s="1">
        <v>32.0</v>
      </c>
      <c r="AX910" s="1" t="s">
        <v>74</v>
      </c>
      <c r="AY910" s="1" t="s">
        <v>74</v>
      </c>
      <c r="AZ910" s="1" t="s">
        <v>74</v>
      </c>
      <c r="BA910" s="1" t="s">
        <v>74</v>
      </c>
      <c r="BB910" s="1">
        <v>286.0</v>
      </c>
      <c r="BC910" s="1">
        <v>312.0</v>
      </c>
      <c r="BD910" s="1" t="s">
        <v>74</v>
      </c>
      <c r="BE910" s="1" t="s">
        <v>74</v>
      </c>
      <c r="BF910" s="1" t="s">
        <v>74</v>
      </c>
      <c r="BG910" s="1" t="s">
        <v>74</v>
      </c>
      <c r="BH910" s="1" t="s">
        <v>74</v>
      </c>
      <c r="BI910" s="1" t="s">
        <v>74</v>
      </c>
      <c r="BJ910" s="1" t="s">
        <v>74</v>
      </c>
      <c r="BK910" s="1" t="s">
        <v>74</v>
      </c>
      <c r="BL910" s="1" t="s">
        <v>74</v>
      </c>
      <c r="BM910" s="1" t="s">
        <v>74</v>
      </c>
      <c r="BN910" s="1" t="s">
        <v>74</v>
      </c>
      <c r="BO910" s="1" t="s">
        <v>74</v>
      </c>
      <c r="BP910" s="1" t="s">
        <v>74</v>
      </c>
      <c r="BQ910" s="1" t="s">
        <v>74</v>
      </c>
      <c r="BR910" s="1" t="s">
        <v>74</v>
      </c>
      <c r="BS910" s="1" t="s">
        <v>7530</v>
      </c>
      <c r="BT910" s="1" t="str">
        <f>HYPERLINK("https%3A%2F%2Fwww.webofscience.com%2Fwos%2Fwoscc%2Ffull-record%2FWOS:001339596200012","View Full Record in Web of Science")</f>
        <v>View Full Record in Web of Science</v>
      </c>
    </row>
    <row r="911" ht="12.75" customHeight="1">
      <c r="A911" s="1" t="s">
        <v>72</v>
      </c>
      <c r="B911" s="1" t="s">
        <v>7531</v>
      </c>
      <c r="C911" s="1" t="s">
        <v>74</v>
      </c>
      <c r="D911" s="1" t="s">
        <v>74</v>
      </c>
      <c r="E911" s="1" t="s">
        <v>74</v>
      </c>
      <c r="F911" s="1" t="s">
        <v>7532</v>
      </c>
      <c r="G911" s="1" t="s">
        <v>74</v>
      </c>
      <c r="H911" s="1" t="s">
        <v>74</v>
      </c>
      <c r="I911" s="1" t="s">
        <v>7533</v>
      </c>
      <c r="J911" s="1" t="s">
        <v>2756</v>
      </c>
      <c r="K911" s="1" t="s">
        <v>74</v>
      </c>
      <c r="L911" s="1" t="s">
        <v>74</v>
      </c>
      <c r="M911" s="1" t="s">
        <v>74</v>
      </c>
      <c r="N911" s="1" t="s">
        <v>74</v>
      </c>
      <c r="O911" s="1" t="s">
        <v>74</v>
      </c>
      <c r="P911" s="1" t="s">
        <v>74</v>
      </c>
      <c r="Q911" s="1" t="s">
        <v>74</v>
      </c>
      <c r="R911" s="1" t="s">
        <v>74</v>
      </c>
      <c r="S911" s="1" t="s">
        <v>74</v>
      </c>
      <c r="T911" s="1" t="s">
        <v>74</v>
      </c>
      <c r="U911" s="1" t="s">
        <v>74</v>
      </c>
      <c r="V911" s="1" t="s">
        <v>7534</v>
      </c>
      <c r="W911" s="1" t="s">
        <v>74</v>
      </c>
      <c r="X911" s="1" t="s">
        <v>74</v>
      </c>
      <c r="Y911" s="1" t="s">
        <v>74</v>
      </c>
      <c r="Z911" s="1" t="s">
        <v>74</v>
      </c>
      <c r="AA911" s="1" t="s">
        <v>74</v>
      </c>
      <c r="AB911" s="1" t="s">
        <v>74</v>
      </c>
      <c r="AC911" s="1" t="s">
        <v>74</v>
      </c>
      <c r="AD911" s="1" t="s">
        <v>74</v>
      </c>
      <c r="AE911" s="1" t="s">
        <v>74</v>
      </c>
      <c r="AF911" s="1" t="s">
        <v>74</v>
      </c>
      <c r="AG911" s="1" t="s">
        <v>74</v>
      </c>
      <c r="AH911" s="1" t="s">
        <v>74</v>
      </c>
      <c r="AI911" s="1" t="s">
        <v>74</v>
      </c>
      <c r="AJ911" s="1" t="s">
        <v>74</v>
      </c>
      <c r="AK911" s="1" t="s">
        <v>74</v>
      </c>
      <c r="AL911" s="1" t="s">
        <v>74</v>
      </c>
      <c r="AM911" s="1" t="s">
        <v>74</v>
      </c>
      <c r="AN911" s="1" t="s">
        <v>74</v>
      </c>
      <c r="AO911" s="1" t="s">
        <v>2758</v>
      </c>
      <c r="AP911" s="1" t="s">
        <v>74</v>
      </c>
      <c r="AQ911" s="1" t="s">
        <v>74</v>
      </c>
      <c r="AR911" s="1" t="s">
        <v>74</v>
      </c>
      <c r="AS911" s="1" t="s">
        <v>74</v>
      </c>
      <c r="AT911" s="1" t="s">
        <v>74</v>
      </c>
      <c r="AU911" s="1">
        <v>2024.0</v>
      </c>
      <c r="AV911" s="1">
        <v>12.0</v>
      </c>
      <c r="AW911" s="1">
        <v>22.0</v>
      </c>
      <c r="AX911" s="1" t="s">
        <v>74</v>
      </c>
      <c r="AY911" s="1" t="s">
        <v>74</v>
      </c>
      <c r="AZ911" s="1" t="s">
        <v>74</v>
      </c>
      <c r="BA911" s="1" t="s">
        <v>74</v>
      </c>
      <c r="BB911" s="1">
        <v>359.0</v>
      </c>
      <c r="BC911" s="1">
        <v>378.0</v>
      </c>
      <c r="BD911" s="1" t="s">
        <v>74</v>
      </c>
      <c r="BE911" s="1" t="s">
        <v>7535</v>
      </c>
      <c r="BF911" s="2" t="str">
        <f>HYPERLINK("http://dx.doi.org/10.5195/ct/2024.631","http://dx.doi.org/10.5195/ct/2024.631")</f>
        <v>http://dx.doi.org/10.5195/ct/2024.631</v>
      </c>
      <c r="BG911" s="1" t="s">
        <v>74</v>
      </c>
      <c r="BH911" s="1" t="s">
        <v>74</v>
      </c>
      <c r="BI911" s="1" t="s">
        <v>74</v>
      </c>
      <c r="BJ911" s="1" t="s">
        <v>74</v>
      </c>
      <c r="BK911" s="1" t="s">
        <v>74</v>
      </c>
      <c r="BL911" s="1" t="s">
        <v>74</v>
      </c>
      <c r="BM911" s="1" t="s">
        <v>74</v>
      </c>
      <c r="BN911" s="1" t="s">
        <v>74</v>
      </c>
      <c r="BO911" s="1" t="s">
        <v>74</v>
      </c>
      <c r="BP911" s="1" t="s">
        <v>74</v>
      </c>
      <c r="BQ911" s="1" t="s">
        <v>74</v>
      </c>
      <c r="BR911" s="1" t="s">
        <v>74</v>
      </c>
      <c r="BS911" s="1" t="s">
        <v>7536</v>
      </c>
      <c r="BT911" s="1" t="str">
        <f>HYPERLINK("https%3A%2F%2Fwww.webofscience.com%2Fwos%2Fwoscc%2Ffull-record%2FWOS:001313499200016","View Full Record in Web of Science")</f>
        <v>View Full Record in Web of Science</v>
      </c>
    </row>
    <row r="912" ht="12.75" customHeight="1">
      <c r="A912" s="1" t="s">
        <v>72</v>
      </c>
      <c r="B912" s="1" t="s">
        <v>7537</v>
      </c>
      <c r="C912" s="1" t="s">
        <v>74</v>
      </c>
      <c r="D912" s="1" t="s">
        <v>74</v>
      </c>
      <c r="E912" s="1" t="s">
        <v>74</v>
      </c>
      <c r="F912" s="1" t="s">
        <v>7538</v>
      </c>
      <c r="G912" s="1" t="s">
        <v>74</v>
      </c>
      <c r="H912" s="1" t="s">
        <v>74</v>
      </c>
      <c r="I912" s="1" t="s">
        <v>7539</v>
      </c>
      <c r="J912" s="1" t="s">
        <v>7540</v>
      </c>
      <c r="K912" s="1" t="s">
        <v>74</v>
      </c>
      <c r="L912" s="1" t="s">
        <v>74</v>
      </c>
      <c r="M912" s="1" t="s">
        <v>74</v>
      </c>
      <c r="N912" s="1" t="s">
        <v>74</v>
      </c>
      <c r="O912" s="1" t="s">
        <v>74</v>
      </c>
      <c r="P912" s="1" t="s">
        <v>74</v>
      </c>
      <c r="Q912" s="1" t="s">
        <v>74</v>
      </c>
      <c r="R912" s="1" t="s">
        <v>74</v>
      </c>
      <c r="S912" s="1" t="s">
        <v>74</v>
      </c>
      <c r="T912" s="1" t="s">
        <v>74</v>
      </c>
      <c r="U912" s="1" t="s">
        <v>74</v>
      </c>
      <c r="V912" s="1" t="s">
        <v>7541</v>
      </c>
      <c r="W912" s="1" t="s">
        <v>74</v>
      </c>
      <c r="X912" s="1" t="s">
        <v>74</v>
      </c>
      <c r="Y912" s="1" t="s">
        <v>74</v>
      </c>
      <c r="Z912" s="1" t="s">
        <v>74</v>
      </c>
      <c r="AA912" s="1" t="s">
        <v>7542</v>
      </c>
      <c r="AB912" s="1" t="s">
        <v>7543</v>
      </c>
      <c r="AC912" s="1" t="s">
        <v>74</v>
      </c>
      <c r="AD912" s="1" t="s">
        <v>74</v>
      </c>
      <c r="AE912" s="1" t="s">
        <v>74</v>
      </c>
      <c r="AF912" s="1" t="s">
        <v>74</v>
      </c>
      <c r="AG912" s="1" t="s">
        <v>74</v>
      </c>
      <c r="AH912" s="1" t="s">
        <v>74</v>
      </c>
      <c r="AI912" s="1" t="s">
        <v>74</v>
      </c>
      <c r="AJ912" s="1" t="s">
        <v>74</v>
      </c>
      <c r="AK912" s="1" t="s">
        <v>74</v>
      </c>
      <c r="AL912" s="1" t="s">
        <v>74</v>
      </c>
      <c r="AM912" s="1" t="s">
        <v>74</v>
      </c>
      <c r="AN912" s="1" t="s">
        <v>74</v>
      </c>
      <c r="AO912" s="1" t="s">
        <v>74</v>
      </c>
      <c r="AP912" s="1" t="s">
        <v>7544</v>
      </c>
      <c r="AQ912" s="1" t="s">
        <v>74</v>
      </c>
      <c r="AR912" s="1" t="s">
        <v>74</v>
      </c>
      <c r="AS912" s="1" t="s">
        <v>74</v>
      </c>
      <c r="AT912" s="1" t="s">
        <v>276</v>
      </c>
      <c r="AU912" s="1">
        <v>2023.0</v>
      </c>
      <c r="AV912" s="1">
        <v>11.0</v>
      </c>
      <c r="AW912" s="1">
        <v>9.0</v>
      </c>
      <c r="AX912" s="1" t="s">
        <v>74</v>
      </c>
      <c r="AY912" s="1" t="s">
        <v>74</v>
      </c>
      <c r="AZ912" s="1" t="s">
        <v>74</v>
      </c>
      <c r="BA912" s="1" t="s">
        <v>74</v>
      </c>
      <c r="BB912" s="1" t="s">
        <v>74</v>
      </c>
      <c r="BC912" s="1" t="s">
        <v>74</v>
      </c>
      <c r="BD912" s="1">
        <v>884.0</v>
      </c>
      <c r="BE912" s="1" t="s">
        <v>7545</v>
      </c>
      <c r="BF912" s="2" t="str">
        <f>HYPERLINK("http://dx.doi.org/10.3390/machines11090884","http://dx.doi.org/10.3390/machines11090884")</f>
        <v>http://dx.doi.org/10.3390/machines11090884</v>
      </c>
      <c r="BG912" s="1" t="s">
        <v>74</v>
      </c>
      <c r="BH912" s="1" t="s">
        <v>74</v>
      </c>
      <c r="BI912" s="1" t="s">
        <v>74</v>
      </c>
      <c r="BJ912" s="1" t="s">
        <v>74</v>
      </c>
      <c r="BK912" s="1" t="s">
        <v>74</v>
      </c>
      <c r="BL912" s="1" t="s">
        <v>74</v>
      </c>
      <c r="BM912" s="1" t="s">
        <v>74</v>
      </c>
      <c r="BN912" s="1" t="s">
        <v>74</v>
      </c>
      <c r="BO912" s="1" t="s">
        <v>74</v>
      </c>
      <c r="BP912" s="1" t="s">
        <v>74</v>
      </c>
      <c r="BQ912" s="1" t="s">
        <v>74</v>
      </c>
      <c r="BR912" s="1" t="s">
        <v>74</v>
      </c>
      <c r="BS912" s="1" t="s">
        <v>7546</v>
      </c>
      <c r="BT912" s="1" t="str">
        <f>HYPERLINK("https%3A%2F%2Fwww.webofscience.com%2Fwos%2Fwoscc%2Ffull-record%2FWOS:001119236400001","View Full Record in Web of Science")</f>
        <v>View Full Record in Web of Science</v>
      </c>
    </row>
    <row r="913" ht="12.75" customHeight="1">
      <c r="A913" s="1" t="s">
        <v>72</v>
      </c>
      <c r="B913" s="1" t="s">
        <v>4383</v>
      </c>
      <c r="C913" s="1" t="s">
        <v>74</v>
      </c>
      <c r="D913" s="1" t="s">
        <v>74</v>
      </c>
      <c r="E913" s="1" t="s">
        <v>74</v>
      </c>
      <c r="F913" s="1" t="s">
        <v>4384</v>
      </c>
      <c r="G913" s="1" t="s">
        <v>74</v>
      </c>
      <c r="H913" s="1" t="s">
        <v>74</v>
      </c>
      <c r="I913" s="1" t="s">
        <v>7547</v>
      </c>
      <c r="J913" s="1" t="s">
        <v>3508</v>
      </c>
      <c r="K913" s="1" t="s">
        <v>74</v>
      </c>
      <c r="L913" s="1" t="s">
        <v>74</v>
      </c>
      <c r="M913" s="1" t="s">
        <v>74</v>
      </c>
      <c r="N913" s="1" t="s">
        <v>74</v>
      </c>
      <c r="O913" s="1" t="s">
        <v>74</v>
      </c>
      <c r="P913" s="1" t="s">
        <v>74</v>
      </c>
      <c r="Q913" s="1" t="s">
        <v>74</v>
      </c>
      <c r="R913" s="1" t="s">
        <v>74</v>
      </c>
      <c r="S913" s="1" t="s">
        <v>74</v>
      </c>
      <c r="T913" s="1" t="s">
        <v>74</v>
      </c>
      <c r="U913" s="1" t="s">
        <v>74</v>
      </c>
      <c r="V913" s="1" t="s">
        <v>74</v>
      </c>
      <c r="W913" s="1" t="s">
        <v>74</v>
      </c>
      <c r="X913" s="1" t="s">
        <v>74</v>
      </c>
      <c r="Y913" s="1" t="s">
        <v>74</v>
      </c>
      <c r="Z913" s="1" t="s">
        <v>74</v>
      </c>
      <c r="AA913" s="1" t="s">
        <v>74</v>
      </c>
      <c r="AB913" s="1" t="s">
        <v>74</v>
      </c>
      <c r="AC913" s="1" t="s">
        <v>74</v>
      </c>
      <c r="AD913" s="1" t="s">
        <v>74</v>
      </c>
      <c r="AE913" s="1" t="s">
        <v>74</v>
      </c>
      <c r="AF913" s="1" t="s">
        <v>74</v>
      </c>
      <c r="AG913" s="1" t="s">
        <v>74</v>
      </c>
      <c r="AH913" s="1" t="s">
        <v>74</v>
      </c>
      <c r="AI913" s="1" t="s">
        <v>74</v>
      </c>
      <c r="AJ913" s="1" t="s">
        <v>74</v>
      </c>
      <c r="AK913" s="1" t="s">
        <v>74</v>
      </c>
      <c r="AL913" s="1" t="s">
        <v>74</v>
      </c>
      <c r="AM913" s="1" t="s">
        <v>74</v>
      </c>
      <c r="AN913" s="1" t="s">
        <v>74</v>
      </c>
      <c r="AO913" s="1" t="s">
        <v>3510</v>
      </c>
      <c r="AP913" s="1" t="s">
        <v>3511</v>
      </c>
      <c r="AQ913" s="1" t="s">
        <v>74</v>
      </c>
      <c r="AR913" s="1" t="s">
        <v>74</v>
      </c>
      <c r="AS913" s="1" t="s">
        <v>74</v>
      </c>
      <c r="AT913" s="1" t="s">
        <v>1493</v>
      </c>
      <c r="AU913" s="1">
        <v>2023.0</v>
      </c>
      <c r="AV913" s="1" t="s">
        <v>74</v>
      </c>
      <c r="AW913" s="1">
        <v>30.0</v>
      </c>
      <c r="AX913" s="1" t="s">
        <v>74</v>
      </c>
      <c r="AY913" s="1" t="s">
        <v>74</v>
      </c>
      <c r="AZ913" s="1" t="s">
        <v>74</v>
      </c>
      <c r="BA913" s="1" t="s">
        <v>74</v>
      </c>
      <c r="BB913" s="1">
        <v>62.0</v>
      </c>
      <c r="BC913" s="1">
        <v>90.0</v>
      </c>
      <c r="BD913" s="1" t="s">
        <v>74</v>
      </c>
      <c r="BE913" s="1" t="s">
        <v>74</v>
      </c>
      <c r="BF913" s="1" t="s">
        <v>74</v>
      </c>
      <c r="BG913" s="1" t="s">
        <v>74</v>
      </c>
      <c r="BH913" s="1" t="s">
        <v>74</v>
      </c>
      <c r="BI913" s="1" t="s">
        <v>74</v>
      </c>
      <c r="BJ913" s="1" t="s">
        <v>74</v>
      </c>
      <c r="BK913" s="1" t="s">
        <v>74</v>
      </c>
      <c r="BL913" s="1" t="s">
        <v>74</v>
      </c>
      <c r="BM913" s="1" t="s">
        <v>74</v>
      </c>
      <c r="BN913" s="1" t="s">
        <v>74</v>
      </c>
      <c r="BO913" s="1" t="s">
        <v>74</v>
      </c>
      <c r="BP913" s="1" t="s">
        <v>74</v>
      </c>
      <c r="BQ913" s="1" t="s">
        <v>74</v>
      </c>
      <c r="BR913" s="1" t="s">
        <v>74</v>
      </c>
      <c r="BS913" s="1" t="s">
        <v>7548</v>
      </c>
      <c r="BT913" s="1" t="str">
        <f>HYPERLINK("https%3A%2F%2Fwww.webofscience.com%2Fwos%2Fwoscc%2Ffull-record%2FWOS:001000745800003","View Full Record in Web of Science")</f>
        <v>View Full Record in Web of Science</v>
      </c>
    </row>
    <row r="914" ht="12.75" customHeight="1">
      <c r="A914" s="1" t="s">
        <v>72</v>
      </c>
      <c r="B914" s="1" t="s">
        <v>7549</v>
      </c>
      <c r="C914" s="1" t="s">
        <v>74</v>
      </c>
      <c r="D914" s="1" t="s">
        <v>74</v>
      </c>
      <c r="E914" s="1" t="s">
        <v>74</v>
      </c>
      <c r="F914" s="1" t="s">
        <v>7550</v>
      </c>
      <c r="G914" s="1" t="s">
        <v>74</v>
      </c>
      <c r="H914" s="1" t="s">
        <v>74</v>
      </c>
      <c r="I914" s="1" t="s">
        <v>7551</v>
      </c>
      <c r="J914" s="1" t="s">
        <v>7552</v>
      </c>
      <c r="K914" s="1" t="s">
        <v>74</v>
      </c>
      <c r="L914" s="1" t="s">
        <v>74</v>
      </c>
      <c r="M914" s="1" t="s">
        <v>74</v>
      </c>
      <c r="N914" s="1" t="s">
        <v>74</v>
      </c>
      <c r="O914" s="1" t="s">
        <v>74</v>
      </c>
      <c r="P914" s="1" t="s">
        <v>74</v>
      </c>
      <c r="Q914" s="1" t="s">
        <v>74</v>
      </c>
      <c r="R914" s="1" t="s">
        <v>74</v>
      </c>
      <c r="S914" s="1" t="s">
        <v>74</v>
      </c>
      <c r="T914" s="1" t="s">
        <v>74</v>
      </c>
      <c r="U914" s="1" t="s">
        <v>74</v>
      </c>
      <c r="V914" s="1" t="s">
        <v>7553</v>
      </c>
      <c r="W914" s="1" t="s">
        <v>74</v>
      </c>
      <c r="X914" s="1" t="s">
        <v>74</v>
      </c>
      <c r="Y914" s="1" t="s">
        <v>74</v>
      </c>
      <c r="Z914" s="1" t="s">
        <v>74</v>
      </c>
      <c r="AA914" s="1" t="s">
        <v>74</v>
      </c>
      <c r="AB914" s="1" t="s">
        <v>74</v>
      </c>
      <c r="AC914" s="1" t="s">
        <v>74</v>
      </c>
      <c r="AD914" s="1" t="s">
        <v>74</v>
      </c>
      <c r="AE914" s="1" t="s">
        <v>74</v>
      </c>
      <c r="AF914" s="1" t="s">
        <v>74</v>
      </c>
      <c r="AG914" s="1" t="s">
        <v>74</v>
      </c>
      <c r="AH914" s="1" t="s">
        <v>74</v>
      </c>
      <c r="AI914" s="1" t="s">
        <v>74</v>
      </c>
      <c r="AJ914" s="1" t="s">
        <v>74</v>
      </c>
      <c r="AK914" s="1" t="s">
        <v>74</v>
      </c>
      <c r="AL914" s="1" t="s">
        <v>74</v>
      </c>
      <c r="AM914" s="1" t="s">
        <v>74</v>
      </c>
      <c r="AN914" s="1" t="s">
        <v>74</v>
      </c>
      <c r="AO914" s="1" t="s">
        <v>7554</v>
      </c>
      <c r="AP914" s="1" t="s">
        <v>7555</v>
      </c>
      <c r="AQ914" s="1" t="s">
        <v>74</v>
      </c>
      <c r="AR914" s="1" t="s">
        <v>74</v>
      </c>
      <c r="AS914" s="1" t="s">
        <v>74</v>
      </c>
      <c r="AT914" s="1" t="s">
        <v>810</v>
      </c>
      <c r="AU914" s="1">
        <v>2022.0</v>
      </c>
      <c r="AV914" s="1">
        <v>13.0</v>
      </c>
      <c r="AW914" s="1">
        <v>3.0</v>
      </c>
      <c r="AX914" s="1" t="s">
        <v>74</v>
      </c>
      <c r="AY914" s="1" t="s">
        <v>74</v>
      </c>
      <c r="AZ914" s="1" t="s">
        <v>74</v>
      </c>
      <c r="BA914" s="1" t="s">
        <v>74</v>
      </c>
      <c r="BB914" s="1" t="s">
        <v>74</v>
      </c>
      <c r="BC914" s="1" t="s">
        <v>74</v>
      </c>
      <c r="BD914" s="1" t="s">
        <v>7556</v>
      </c>
      <c r="BE914" s="1" t="s">
        <v>7557</v>
      </c>
      <c r="BF914" s="2" t="str">
        <f>HYPERLINK("http://dx.doi.org/10.15649/cuidarte.2709","http://dx.doi.org/10.15649/cuidarte.2709")</f>
        <v>http://dx.doi.org/10.15649/cuidarte.2709</v>
      </c>
      <c r="BG914" s="1" t="s">
        <v>74</v>
      </c>
      <c r="BH914" s="1" t="s">
        <v>74</v>
      </c>
      <c r="BI914" s="1" t="s">
        <v>74</v>
      </c>
      <c r="BJ914" s="1" t="s">
        <v>74</v>
      </c>
      <c r="BK914" s="1" t="s">
        <v>74</v>
      </c>
      <c r="BL914" s="1" t="s">
        <v>74</v>
      </c>
      <c r="BM914" s="1" t="s">
        <v>74</v>
      </c>
      <c r="BN914" s="1" t="s">
        <v>74</v>
      </c>
      <c r="BO914" s="1" t="s">
        <v>74</v>
      </c>
      <c r="BP914" s="1" t="s">
        <v>74</v>
      </c>
      <c r="BQ914" s="1" t="s">
        <v>74</v>
      </c>
      <c r="BR914" s="1" t="s">
        <v>74</v>
      </c>
      <c r="BS914" s="1" t="s">
        <v>7558</v>
      </c>
      <c r="BT914" s="1" t="str">
        <f>HYPERLINK("https%3A%2F%2Fwww.webofscience.com%2Fwos%2Fwoscc%2Ffull-record%2FWOS:001129050300010","View Full Record in Web of Science")</f>
        <v>View Full Record in Web of Science</v>
      </c>
    </row>
    <row r="915" ht="12.75" customHeight="1">
      <c r="A915" s="1" t="s">
        <v>72</v>
      </c>
      <c r="B915" s="1" t="s">
        <v>7559</v>
      </c>
      <c r="C915" s="1" t="s">
        <v>74</v>
      </c>
      <c r="D915" s="1" t="s">
        <v>74</v>
      </c>
      <c r="E915" s="1" t="s">
        <v>74</v>
      </c>
      <c r="F915" s="1" t="s">
        <v>7560</v>
      </c>
      <c r="G915" s="1" t="s">
        <v>74</v>
      </c>
      <c r="H915" s="1" t="s">
        <v>74</v>
      </c>
      <c r="I915" s="1" t="s">
        <v>7561</v>
      </c>
      <c r="J915" s="1" t="s">
        <v>7562</v>
      </c>
      <c r="K915" s="1" t="s">
        <v>74</v>
      </c>
      <c r="L915" s="1" t="s">
        <v>74</v>
      </c>
      <c r="M915" s="1" t="s">
        <v>74</v>
      </c>
      <c r="N915" s="1" t="s">
        <v>74</v>
      </c>
      <c r="O915" s="1" t="s">
        <v>74</v>
      </c>
      <c r="P915" s="1" t="s">
        <v>74</v>
      </c>
      <c r="Q915" s="1" t="s">
        <v>74</v>
      </c>
      <c r="R915" s="1" t="s">
        <v>74</v>
      </c>
      <c r="S915" s="1" t="s">
        <v>74</v>
      </c>
      <c r="T915" s="1" t="s">
        <v>74</v>
      </c>
      <c r="U915" s="1" t="s">
        <v>74</v>
      </c>
      <c r="V915" s="1" t="s">
        <v>7563</v>
      </c>
      <c r="W915" s="1" t="s">
        <v>74</v>
      </c>
      <c r="X915" s="1" t="s">
        <v>74</v>
      </c>
      <c r="Y915" s="1" t="s">
        <v>74</v>
      </c>
      <c r="Z915" s="1" t="s">
        <v>74</v>
      </c>
      <c r="AA915" s="1" t="s">
        <v>7564</v>
      </c>
      <c r="AB915" s="1" t="s">
        <v>74</v>
      </c>
      <c r="AC915" s="1" t="s">
        <v>74</v>
      </c>
      <c r="AD915" s="1" t="s">
        <v>74</v>
      </c>
      <c r="AE915" s="1" t="s">
        <v>74</v>
      </c>
      <c r="AF915" s="1" t="s">
        <v>74</v>
      </c>
      <c r="AG915" s="1" t="s">
        <v>74</v>
      </c>
      <c r="AH915" s="1" t="s">
        <v>74</v>
      </c>
      <c r="AI915" s="1" t="s">
        <v>74</v>
      </c>
      <c r="AJ915" s="1" t="s">
        <v>74</v>
      </c>
      <c r="AK915" s="1" t="s">
        <v>74</v>
      </c>
      <c r="AL915" s="1" t="s">
        <v>74</v>
      </c>
      <c r="AM915" s="1" t="s">
        <v>74</v>
      </c>
      <c r="AN915" s="1" t="s">
        <v>74</v>
      </c>
      <c r="AO915" s="1" t="s">
        <v>7565</v>
      </c>
      <c r="AP915" s="1" t="s">
        <v>74</v>
      </c>
      <c r="AQ915" s="1" t="s">
        <v>74</v>
      </c>
      <c r="AR915" s="1" t="s">
        <v>74</v>
      </c>
      <c r="AS915" s="1" t="s">
        <v>74</v>
      </c>
      <c r="AT915" s="1" t="s">
        <v>370</v>
      </c>
      <c r="AU915" s="1">
        <v>2022.0</v>
      </c>
      <c r="AV915" s="1">
        <v>60.0</v>
      </c>
      <c r="AW915" s="1">
        <v>1.0</v>
      </c>
      <c r="AX915" s="1" t="s">
        <v>74</v>
      </c>
      <c r="AY915" s="1" t="s">
        <v>74</v>
      </c>
      <c r="AZ915" s="1" t="s">
        <v>74</v>
      </c>
      <c r="BA915" s="1" t="s">
        <v>74</v>
      </c>
      <c r="BB915" s="1">
        <v>219.0</v>
      </c>
      <c r="BC915" s="1">
        <v>246.0</v>
      </c>
      <c r="BD915" s="1" t="s">
        <v>74</v>
      </c>
      <c r="BE915" s="1" t="s">
        <v>7566</v>
      </c>
      <c r="BF915" s="2" t="str">
        <f>HYPERLINK("http://dx.doi.org/10.29393/RLA60-8PVMX20008","http://dx.doi.org/10.29393/RLA60-8PVMX20008")</f>
        <v>http://dx.doi.org/10.29393/RLA60-8PVMX20008</v>
      </c>
      <c r="BG915" s="1" t="s">
        <v>74</v>
      </c>
      <c r="BH915" s="1" t="s">
        <v>74</v>
      </c>
      <c r="BI915" s="1" t="s">
        <v>74</v>
      </c>
      <c r="BJ915" s="1" t="s">
        <v>74</v>
      </c>
      <c r="BK915" s="1" t="s">
        <v>74</v>
      </c>
      <c r="BL915" s="1" t="s">
        <v>74</v>
      </c>
      <c r="BM915" s="1" t="s">
        <v>74</v>
      </c>
      <c r="BN915" s="1" t="s">
        <v>74</v>
      </c>
      <c r="BO915" s="1" t="s">
        <v>74</v>
      </c>
      <c r="BP915" s="1" t="s">
        <v>74</v>
      </c>
      <c r="BQ915" s="1" t="s">
        <v>74</v>
      </c>
      <c r="BR915" s="1" t="s">
        <v>74</v>
      </c>
      <c r="BS915" s="1" t="s">
        <v>7567</v>
      </c>
      <c r="BT915" s="1" t="str">
        <f>HYPERLINK("https%3A%2F%2Fwww.webofscience.com%2Fwos%2Fwoscc%2Ffull-record%2FWOS:000859417500009","View Full Record in Web of Science")</f>
        <v>View Full Record in Web of Science</v>
      </c>
    </row>
    <row r="916" ht="12.75" customHeight="1">
      <c r="A916" s="1" t="s">
        <v>72</v>
      </c>
      <c r="B916" s="1" t="s">
        <v>7568</v>
      </c>
      <c r="C916" s="1" t="s">
        <v>74</v>
      </c>
      <c r="D916" s="1" t="s">
        <v>74</v>
      </c>
      <c r="E916" s="1" t="s">
        <v>74</v>
      </c>
      <c r="F916" s="1" t="s">
        <v>7569</v>
      </c>
      <c r="G916" s="1" t="s">
        <v>74</v>
      </c>
      <c r="H916" s="1" t="s">
        <v>74</v>
      </c>
      <c r="I916" s="1" t="s">
        <v>7570</v>
      </c>
      <c r="J916" s="1" t="s">
        <v>1333</v>
      </c>
      <c r="K916" s="1" t="s">
        <v>74</v>
      </c>
      <c r="L916" s="1" t="s">
        <v>74</v>
      </c>
      <c r="M916" s="1" t="s">
        <v>74</v>
      </c>
      <c r="N916" s="1" t="s">
        <v>74</v>
      </c>
      <c r="O916" s="1" t="s">
        <v>74</v>
      </c>
      <c r="P916" s="1" t="s">
        <v>74</v>
      </c>
      <c r="Q916" s="1" t="s">
        <v>74</v>
      </c>
      <c r="R916" s="1" t="s">
        <v>74</v>
      </c>
      <c r="S916" s="1" t="s">
        <v>74</v>
      </c>
      <c r="T916" s="1" t="s">
        <v>74</v>
      </c>
      <c r="U916" s="1" t="s">
        <v>74</v>
      </c>
      <c r="V916" s="1" t="s">
        <v>7571</v>
      </c>
      <c r="W916" s="1" t="s">
        <v>74</v>
      </c>
      <c r="X916" s="1" t="s">
        <v>74</v>
      </c>
      <c r="Y916" s="1" t="s">
        <v>74</v>
      </c>
      <c r="Z916" s="1" t="s">
        <v>74</v>
      </c>
      <c r="AA916" s="1" t="s">
        <v>74</v>
      </c>
      <c r="AB916" s="1" t="s">
        <v>74</v>
      </c>
      <c r="AC916" s="1" t="s">
        <v>74</v>
      </c>
      <c r="AD916" s="1" t="s">
        <v>74</v>
      </c>
      <c r="AE916" s="1" t="s">
        <v>74</v>
      </c>
      <c r="AF916" s="1" t="s">
        <v>74</v>
      </c>
      <c r="AG916" s="1" t="s">
        <v>74</v>
      </c>
      <c r="AH916" s="1" t="s">
        <v>74</v>
      </c>
      <c r="AI916" s="1" t="s">
        <v>74</v>
      </c>
      <c r="AJ916" s="1" t="s">
        <v>74</v>
      </c>
      <c r="AK916" s="1" t="s">
        <v>74</v>
      </c>
      <c r="AL916" s="1" t="s">
        <v>74</v>
      </c>
      <c r="AM916" s="1" t="s">
        <v>74</v>
      </c>
      <c r="AN916" s="1" t="s">
        <v>74</v>
      </c>
      <c r="AO916" s="1" t="s">
        <v>1335</v>
      </c>
      <c r="AP916" s="1" t="s">
        <v>1336</v>
      </c>
      <c r="AQ916" s="1" t="s">
        <v>74</v>
      </c>
      <c r="AR916" s="1" t="s">
        <v>74</v>
      </c>
      <c r="AS916" s="1" t="s">
        <v>74</v>
      </c>
      <c r="AT916" s="1" t="s">
        <v>74</v>
      </c>
      <c r="AU916" s="1">
        <v>2022.0</v>
      </c>
      <c r="AV916" s="1" t="s">
        <v>74</v>
      </c>
      <c r="AW916" s="1">
        <v>37.0</v>
      </c>
      <c r="AX916" s="1" t="s">
        <v>74</v>
      </c>
      <c r="AY916" s="1" t="s">
        <v>74</v>
      </c>
      <c r="AZ916" s="1" t="s">
        <v>74</v>
      </c>
      <c r="BA916" s="1" t="s">
        <v>74</v>
      </c>
      <c r="BB916" s="1">
        <v>72.0</v>
      </c>
      <c r="BC916" s="1">
        <v>90.0</v>
      </c>
      <c r="BD916" s="1" t="s">
        <v>74</v>
      </c>
      <c r="BE916" s="1" t="s">
        <v>74</v>
      </c>
      <c r="BF916" s="1" t="s">
        <v>74</v>
      </c>
      <c r="BG916" s="1" t="s">
        <v>74</v>
      </c>
      <c r="BH916" s="1" t="s">
        <v>74</v>
      </c>
      <c r="BI916" s="1" t="s">
        <v>74</v>
      </c>
      <c r="BJ916" s="1" t="s">
        <v>74</v>
      </c>
      <c r="BK916" s="1" t="s">
        <v>74</v>
      </c>
      <c r="BL916" s="1" t="s">
        <v>74</v>
      </c>
      <c r="BM916" s="1" t="s">
        <v>74</v>
      </c>
      <c r="BN916" s="1" t="s">
        <v>74</v>
      </c>
      <c r="BO916" s="1" t="s">
        <v>74</v>
      </c>
      <c r="BP916" s="1" t="s">
        <v>74</v>
      </c>
      <c r="BQ916" s="1" t="s">
        <v>74</v>
      </c>
      <c r="BR916" s="1" t="s">
        <v>74</v>
      </c>
      <c r="BS916" s="1" t="s">
        <v>7572</v>
      </c>
      <c r="BT916" s="1" t="str">
        <f>HYPERLINK("https%3A%2F%2Fwww.webofscience.com%2Fwos%2Fwoscc%2Ffull-record%2FWOS:000933168400006","View Full Record in Web of Science")</f>
        <v>View Full Record in Web of Science</v>
      </c>
    </row>
    <row r="917" ht="12.75" customHeight="1">
      <c r="A917" s="1" t="s">
        <v>72</v>
      </c>
      <c r="B917" s="1" t="s">
        <v>7573</v>
      </c>
      <c r="C917" s="1" t="s">
        <v>74</v>
      </c>
      <c r="D917" s="1" t="s">
        <v>74</v>
      </c>
      <c r="E917" s="1" t="s">
        <v>74</v>
      </c>
      <c r="F917" s="1" t="s">
        <v>7574</v>
      </c>
      <c r="G917" s="1" t="s">
        <v>74</v>
      </c>
      <c r="H917" s="1" t="s">
        <v>74</v>
      </c>
      <c r="I917" s="1" t="s">
        <v>7575</v>
      </c>
      <c r="J917" s="1" t="s">
        <v>7576</v>
      </c>
      <c r="K917" s="1" t="s">
        <v>74</v>
      </c>
      <c r="L917" s="1" t="s">
        <v>74</v>
      </c>
      <c r="M917" s="1" t="s">
        <v>74</v>
      </c>
      <c r="N917" s="1" t="s">
        <v>74</v>
      </c>
      <c r="O917" s="1" t="s">
        <v>74</v>
      </c>
      <c r="P917" s="1" t="s">
        <v>74</v>
      </c>
      <c r="Q917" s="1" t="s">
        <v>74</v>
      </c>
      <c r="R917" s="1" t="s">
        <v>74</v>
      </c>
      <c r="S917" s="1" t="s">
        <v>74</v>
      </c>
      <c r="T917" s="1" t="s">
        <v>74</v>
      </c>
      <c r="U917" s="1" t="s">
        <v>74</v>
      </c>
      <c r="V917" s="1" t="s">
        <v>7577</v>
      </c>
      <c r="W917" s="1" t="s">
        <v>74</v>
      </c>
      <c r="X917" s="1" t="s">
        <v>74</v>
      </c>
      <c r="Y917" s="1" t="s">
        <v>74</v>
      </c>
      <c r="Z917" s="1" t="s">
        <v>74</v>
      </c>
      <c r="AA917" s="1" t="s">
        <v>7578</v>
      </c>
      <c r="AB917" s="1" t="s">
        <v>7579</v>
      </c>
      <c r="AC917" s="1" t="s">
        <v>74</v>
      </c>
      <c r="AD917" s="1" t="s">
        <v>74</v>
      </c>
      <c r="AE917" s="1" t="s">
        <v>74</v>
      </c>
      <c r="AF917" s="1" t="s">
        <v>74</v>
      </c>
      <c r="AG917" s="1" t="s">
        <v>74</v>
      </c>
      <c r="AH917" s="1" t="s">
        <v>74</v>
      </c>
      <c r="AI917" s="1" t="s">
        <v>74</v>
      </c>
      <c r="AJ917" s="1" t="s">
        <v>74</v>
      </c>
      <c r="AK917" s="1" t="s">
        <v>74</v>
      </c>
      <c r="AL917" s="1" t="s">
        <v>74</v>
      </c>
      <c r="AM917" s="1" t="s">
        <v>74</v>
      </c>
      <c r="AN917" s="1" t="s">
        <v>74</v>
      </c>
      <c r="AO917" s="1" t="s">
        <v>7580</v>
      </c>
      <c r="AP917" s="1" t="s">
        <v>7581</v>
      </c>
      <c r="AQ917" s="1" t="s">
        <v>74</v>
      </c>
      <c r="AR917" s="1" t="s">
        <v>74</v>
      </c>
      <c r="AS917" s="1" t="s">
        <v>74</v>
      </c>
      <c r="AT917" s="1" t="s">
        <v>7582</v>
      </c>
      <c r="AU917" s="1">
        <v>2021.0</v>
      </c>
      <c r="AV917" s="1">
        <v>2021.0</v>
      </c>
      <c r="AW917" s="1" t="s">
        <v>74</v>
      </c>
      <c r="AX917" s="1" t="s">
        <v>74</v>
      </c>
      <c r="AY917" s="1" t="s">
        <v>74</v>
      </c>
      <c r="AZ917" s="1" t="s">
        <v>74</v>
      </c>
      <c r="BA917" s="1" t="s">
        <v>74</v>
      </c>
      <c r="BB917" s="1" t="s">
        <v>74</v>
      </c>
      <c r="BC917" s="1" t="s">
        <v>74</v>
      </c>
      <c r="BD917" s="1">
        <v>9674015.0</v>
      </c>
      <c r="BE917" s="1" t="s">
        <v>7583</v>
      </c>
      <c r="BF917" s="2" t="str">
        <f>HYPERLINK("http://dx.doi.org/10.1155/2021/9674015","http://dx.doi.org/10.1155/2021/9674015")</f>
        <v>http://dx.doi.org/10.1155/2021/9674015</v>
      </c>
      <c r="BG917" s="1" t="s">
        <v>74</v>
      </c>
      <c r="BH917" s="1" t="s">
        <v>74</v>
      </c>
      <c r="BI917" s="1" t="s">
        <v>74</v>
      </c>
      <c r="BJ917" s="1" t="s">
        <v>74</v>
      </c>
      <c r="BK917" s="1" t="s">
        <v>74</v>
      </c>
      <c r="BL917" s="1" t="s">
        <v>74</v>
      </c>
      <c r="BM917" s="1" t="s">
        <v>74</v>
      </c>
      <c r="BN917" s="1" t="s">
        <v>74</v>
      </c>
      <c r="BO917" s="1" t="s">
        <v>74</v>
      </c>
      <c r="BP917" s="1" t="s">
        <v>74</v>
      </c>
      <c r="BQ917" s="1" t="s">
        <v>74</v>
      </c>
      <c r="BR917" s="1" t="s">
        <v>74</v>
      </c>
      <c r="BS917" s="1" t="s">
        <v>7584</v>
      </c>
      <c r="BT917" s="1" t="str">
        <f>HYPERLINK("https%3A%2F%2Fwww.webofscience.com%2Fwos%2Fwoscc%2Ffull-record%2FWOS:000695319100004","View Full Record in Web of Science")</f>
        <v>View Full Record in Web of Science</v>
      </c>
    </row>
    <row r="918" ht="12.75" customHeight="1">
      <c r="A918" s="1" t="s">
        <v>91</v>
      </c>
      <c r="B918" s="1" t="s">
        <v>7585</v>
      </c>
      <c r="C918" s="1" t="s">
        <v>74</v>
      </c>
      <c r="D918" s="1" t="s">
        <v>7586</v>
      </c>
      <c r="E918" s="1" t="s">
        <v>74</v>
      </c>
      <c r="F918" s="1" t="s">
        <v>7587</v>
      </c>
      <c r="G918" s="1" t="s">
        <v>74</v>
      </c>
      <c r="H918" s="1" t="s">
        <v>74</v>
      </c>
      <c r="I918" s="1" t="s">
        <v>7588</v>
      </c>
      <c r="J918" s="1" t="s">
        <v>7589</v>
      </c>
      <c r="K918" s="1" t="s">
        <v>3149</v>
      </c>
      <c r="L918" s="1" t="s">
        <v>74</v>
      </c>
      <c r="M918" s="1" t="s">
        <v>74</v>
      </c>
      <c r="N918" s="1" t="s">
        <v>74</v>
      </c>
      <c r="O918" s="1" t="s">
        <v>7590</v>
      </c>
      <c r="P918" s="1" t="s">
        <v>7591</v>
      </c>
      <c r="Q918" s="1" t="s">
        <v>448</v>
      </c>
      <c r="R918" s="1" t="s">
        <v>74</v>
      </c>
      <c r="S918" s="1" t="s">
        <v>74</v>
      </c>
      <c r="T918" s="1" t="s">
        <v>74</v>
      </c>
      <c r="U918" s="1" t="s">
        <v>74</v>
      </c>
      <c r="V918" s="1" t="s">
        <v>7592</v>
      </c>
      <c r="W918" s="1" t="s">
        <v>74</v>
      </c>
      <c r="X918" s="1" t="s">
        <v>74</v>
      </c>
      <c r="Y918" s="1" t="s">
        <v>74</v>
      </c>
      <c r="Z918" s="1" t="s">
        <v>74</v>
      </c>
      <c r="AA918" s="1" t="s">
        <v>659</v>
      </c>
      <c r="AB918" s="1" t="s">
        <v>7593</v>
      </c>
      <c r="AC918" s="1" t="s">
        <v>74</v>
      </c>
      <c r="AD918" s="1" t="s">
        <v>74</v>
      </c>
      <c r="AE918" s="1" t="s">
        <v>74</v>
      </c>
      <c r="AF918" s="1" t="s">
        <v>74</v>
      </c>
      <c r="AG918" s="1" t="s">
        <v>74</v>
      </c>
      <c r="AH918" s="1" t="s">
        <v>74</v>
      </c>
      <c r="AI918" s="1" t="s">
        <v>74</v>
      </c>
      <c r="AJ918" s="1" t="s">
        <v>74</v>
      </c>
      <c r="AK918" s="1" t="s">
        <v>74</v>
      </c>
      <c r="AL918" s="1" t="s">
        <v>74</v>
      </c>
      <c r="AM918" s="1" t="s">
        <v>74</v>
      </c>
      <c r="AN918" s="1" t="s">
        <v>74</v>
      </c>
      <c r="AO918" s="1" t="s">
        <v>3156</v>
      </c>
      <c r="AP918" s="1" t="s">
        <v>7594</v>
      </c>
      <c r="AQ918" s="1" t="s">
        <v>7595</v>
      </c>
      <c r="AR918" s="1" t="s">
        <v>74</v>
      </c>
      <c r="AS918" s="1" t="s">
        <v>74</v>
      </c>
      <c r="AT918" s="1" t="s">
        <v>74</v>
      </c>
      <c r="AU918" s="1">
        <v>2021.0</v>
      </c>
      <c r="AV918" s="1">
        <v>1243.0</v>
      </c>
      <c r="AW918" s="1" t="s">
        <v>74</v>
      </c>
      <c r="AX918" s="1" t="s">
        <v>74</v>
      </c>
      <c r="AY918" s="1" t="s">
        <v>74</v>
      </c>
      <c r="AZ918" s="1" t="s">
        <v>74</v>
      </c>
      <c r="BA918" s="1" t="s">
        <v>74</v>
      </c>
      <c r="BB918" s="1">
        <v>284.0</v>
      </c>
      <c r="BC918" s="1">
        <v>295.0</v>
      </c>
      <c r="BD918" s="1" t="s">
        <v>74</v>
      </c>
      <c r="BE918" s="1" t="s">
        <v>7596</v>
      </c>
      <c r="BF918" s="2" t="str">
        <f>HYPERLINK("http://dx.doi.org/10.1007/978-3-030-53651-0_24","http://dx.doi.org/10.1007/978-3-030-53651-0_24")</f>
        <v>http://dx.doi.org/10.1007/978-3-030-53651-0_24</v>
      </c>
      <c r="BG918" s="1" t="s">
        <v>74</v>
      </c>
      <c r="BH918" s="1" t="s">
        <v>74</v>
      </c>
      <c r="BI918" s="1" t="s">
        <v>74</v>
      </c>
      <c r="BJ918" s="1" t="s">
        <v>74</v>
      </c>
      <c r="BK918" s="1" t="s">
        <v>74</v>
      </c>
      <c r="BL918" s="1" t="s">
        <v>74</v>
      </c>
      <c r="BM918" s="1" t="s">
        <v>74</v>
      </c>
      <c r="BN918" s="1" t="s">
        <v>74</v>
      </c>
      <c r="BO918" s="1" t="s">
        <v>74</v>
      </c>
      <c r="BP918" s="1" t="s">
        <v>74</v>
      </c>
      <c r="BQ918" s="1" t="s">
        <v>74</v>
      </c>
      <c r="BR918" s="1" t="s">
        <v>74</v>
      </c>
      <c r="BS918" s="1" t="s">
        <v>7597</v>
      </c>
      <c r="BT918" s="1" t="str">
        <f>HYPERLINK("https%3A%2F%2Fwww.webofscience.com%2Fwos%2Fwoscc%2Ffull-record%2FWOS:000621675100024","View Full Record in Web of Science")</f>
        <v>View Full Record in Web of Science</v>
      </c>
    </row>
    <row r="919" ht="12.75" customHeight="1">
      <c r="A919" s="1" t="s">
        <v>72</v>
      </c>
      <c r="B919" s="1" t="s">
        <v>474</v>
      </c>
      <c r="C919" s="1" t="s">
        <v>74</v>
      </c>
      <c r="D919" s="1" t="s">
        <v>74</v>
      </c>
      <c r="E919" s="1" t="s">
        <v>74</v>
      </c>
      <c r="F919" s="1" t="s">
        <v>475</v>
      </c>
      <c r="G919" s="1" t="s">
        <v>74</v>
      </c>
      <c r="H919" s="1" t="s">
        <v>74</v>
      </c>
      <c r="I919" s="1" t="s">
        <v>7598</v>
      </c>
      <c r="J919" s="1" t="s">
        <v>7599</v>
      </c>
      <c r="K919" s="1" t="s">
        <v>74</v>
      </c>
      <c r="L919" s="1" t="s">
        <v>74</v>
      </c>
      <c r="M919" s="1" t="s">
        <v>74</v>
      </c>
      <c r="N919" s="1" t="s">
        <v>74</v>
      </c>
      <c r="O919" s="1" t="s">
        <v>74</v>
      </c>
      <c r="P919" s="1" t="s">
        <v>74</v>
      </c>
      <c r="Q919" s="1" t="s">
        <v>74</v>
      </c>
      <c r="R919" s="1" t="s">
        <v>74</v>
      </c>
      <c r="S919" s="1" t="s">
        <v>74</v>
      </c>
      <c r="T919" s="1" t="s">
        <v>74</v>
      </c>
      <c r="U919" s="1" t="s">
        <v>74</v>
      </c>
      <c r="V919" s="1" t="s">
        <v>74</v>
      </c>
      <c r="W919" s="1" t="s">
        <v>74</v>
      </c>
      <c r="X919" s="1" t="s">
        <v>74</v>
      </c>
      <c r="Y919" s="1" t="s">
        <v>74</v>
      </c>
      <c r="Z919" s="1" t="s">
        <v>74</v>
      </c>
      <c r="AA919" s="1" t="s">
        <v>74</v>
      </c>
      <c r="AB919" s="1" t="s">
        <v>74</v>
      </c>
      <c r="AC919" s="1" t="s">
        <v>74</v>
      </c>
      <c r="AD919" s="1" t="s">
        <v>74</v>
      </c>
      <c r="AE919" s="1" t="s">
        <v>74</v>
      </c>
      <c r="AF919" s="1" t="s">
        <v>74</v>
      </c>
      <c r="AG919" s="1" t="s">
        <v>74</v>
      </c>
      <c r="AH919" s="1" t="s">
        <v>74</v>
      </c>
      <c r="AI919" s="1" t="s">
        <v>74</v>
      </c>
      <c r="AJ919" s="1" t="s">
        <v>74</v>
      </c>
      <c r="AK919" s="1" t="s">
        <v>74</v>
      </c>
      <c r="AL919" s="1" t="s">
        <v>74</v>
      </c>
      <c r="AM919" s="1" t="s">
        <v>74</v>
      </c>
      <c r="AN919" s="1" t="s">
        <v>74</v>
      </c>
      <c r="AO919" s="1" t="s">
        <v>7600</v>
      </c>
      <c r="AP919" s="1" t="s">
        <v>74</v>
      </c>
      <c r="AQ919" s="1" t="s">
        <v>74</v>
      </c>
      <c r="AR919" s="1" t="s">
        <v>74</v>
      </c>
      <c r="AS919" s="1" t="s">
        <v>74</v>
      </c>
      <c r="AT919" s="1" t="s">
        <v>1293</v>
      </c>
      <c r="AU919" s="1">
        <v>2021.0</v>
      </c>
      <c r="AV919" s="1" t="s">
        <v>74</v>
      </c>
      <c r="AW919" s="1">
        <v>1101.0</v>
      </c>
      <c r="AX919" s="1" t="s">
        <v>74</v>
      </c>
      <c r="AY919" s="1" t="s">
        <v>74</v>
      </c>
      <c r="AZ919" s="1" t="s">
        <v>74</v>
      </c>
      <c r="BA919" s="1" t="s">
        <v>74</v>
      </c>
      <c r="BB919" s="1">
        <v>317.0</v>
      </c>
      <c r="BC919" s="1">
        <v>323.0</v>
      </c>
      <c r="BD919" s="1" t="s">
        <v>74</v>
      </c>
      <c r="BE919" s="1" t="s">
        <v>74</v>
      </c>
      <c r="BF919" s="1" t="s">
        <v>74</v>
      </c>
      <c r="BG919" s="1" t="s">
        <v>74</v>
      </c>
      <c r="BH919" s="1" t="s">
        <v>74</v>
      </c>
      <c r="BI919" s="1" t="s">
        <v>74</v>
      </c>
      <c r="BJ919" s="1" t="s">
        <v>74</v>
      </c>
      <c r="BK919" s="1" t="s">
        <v>74</v>
      </c>
      <c r="BL919" s="1" t="s">
        <v>74</v>
      </c>
      <c r="BM919" s="1" t="s">
        <v>74</v>
      </c>
      <c r="BN919" s="1" t="s">
        <v>74</v>
      </c>
      <c r="BO919" s="1" t="s">
        <v>74</v>
      </c>
      <c r="BP919" s="1" t="s">
        <v>74</v>
      </c>
      <c r="BQ919" s="1" t="s">
        <v>74</v>
      </c>
      <c r="BR919" s="1" t="s">
        <v>74</v>
      </c>
      <c r="BS919" s="1" t="s">
        <v>7601</v>
      </c>
      <c r="BT919" s="1" t="str">
        <f>HYPERLINK("https%3A%2F%2Fwww.webofscience.com%2Fwos%2Fwoscc%2Ffull-record%2FWOS:000614914300033","View Full Record in Web of Science")</f>
        <v>View Full Record in Web of Science</v>
      </c>
    </row>
    <row r="920" ht="12.75" customHeight="1">
      <c r="A920" s="1" t="s">
        <v>72</v>
      </c>
      <c r="B920" s="1" t="s">
        <v>7602</v>
      </c>
      <c r="C920" s="1" t="s">
        <v>74</v>
      </c>
      <c r="D920" s="1" t="s">
        <v>74</v>
      </c>
      <c r="E920" s="1" t="s">
        <v>74</v>
      </c>
      <c r="F920" s="1" t="s">
        <v>7603</v>
      </c>
      <c r="G920" s="1" t="s">
        <v>74</v>
      </c>
      <c r="H920" s="1" t="s">
        <v>74</v>
      </c>
      <c r="I920" s="1" t="s">
        <v>7604</v>
      </c>
      <c r="J920" s="1" t="s">
        <v>797</v>
      </c>
      <c r="K920" s="1" t="s">
        <v>74</v>
      </c>
      <c r="L920" s="1" t="s">
        <v>74</v>
      </c>
      <c r="M920" s="1" t="s">
        <v>74</v>
      </c>
      <c r="N920" s="1" t="s">
        <v>74</v>
      </c>
      <c r="O920" s="1" t="s">
        <v>74</v>
      </c>
      <c r="P920" s="1" t="s">
        <v>74</v>
      </c>
      <c r="Q920" s="1" t="s">
        <v>74</v>
      </c>
      <c r="R920" s="1" t="s">
        <v>74</v>
      </c>
      <c r="S920" s="1" t="s">
        <v>74</v>
      </c>
      <c r="T920" s="1" t="s">
        <v>74</v>
      </c>
      <c r="U920" s="1" t="s">
        <v>74</v>
      </c>
      <c r="V920" s="1" t="s">
        <v>74</v>
      </c>
      <c r="W920" s="1" t="s">
        <v>74</v>
      </c>
      <c r="X920" s="1" t="s">
        <v>74</v>
      </c>
      <c r="Y920" s="1" t="s">
        <v>74</v>
      </c>
      <c r="Z920" s="1" t="s">
        <v>74</v>
      </c>
      <c r="AA920" s="1" t="s">
        <v>74</v>
      </c>
      <c r="AB920" s="1" t="s">
        <v>74</v>
      </c>
      <c r="AC920" s="1" t="s">
        <v>74</v>
      </c>
      <c r="AD920" s="1" t="s">
        <v>74</v>
      </c>
      <c r="AE920" s="1" t="s">
        <v>74</v>
      </c>
      <c r="AF920" s="1" t="s">
        <v>74</v>
      </c>
      <c r="AG920" s="1" t="s">
        <v>74</v>
      </c>
      <c r="AH920" s="1" t="s">
        <v>74</v>
      </c>
      <c r="AI920" s="1" t="s">
        <v>74</v>
      </c>
      <c r="AJ920" s="1" t="s">
        <v>74</v>
      </c>
      <c r="AK920" s="1" t="s">
        <v>74</v>
      </c>
      <c r="AL920" s="1" t="s">
        <v>74</v>
      </c>
      <c r="AM920" s="1" t="s">
        <v>74</v>
      </c>
      <c r="AN920" s="1" t="s">
        <v>74</v>
      </c>
      <c r="AO920" s="1" t="s">
        <v>799</v>
      </c>
      <c r="AP920" s="1" t="s">
        <v>800</v>
      </c>
      <c r="AQ920" s="1" t="s">
        <v>74</v>
      </c>
      <c r="AR920" s="1" t="s">
        <v>74</v>
      </c>
      <c r="AS920" s="1" t="s">
        <v>74</v>
      </c>
      <c r="AT920" s="1" t="s">
        <v>74</v>
      </c>
      <c r="AU920" s="1">
        <v>2021.0</v>
      </c>
      <c r="AV920" s="1">
        <v>81.0</v>
      </c>
      <c r="AW920" s="1">
        <v>283.0</v>
      </c>
      <c r="AX920" s="1" t="s">
        <v>74</v>
      </c>
      <c r="AY920" s="1" t="s">
        <v>74</v>
      </c>
      <c r="AZ920" s="1" t="s">
        <v>74</v>
      </c>
      <c r="BA920" s="1" t="s">
        <v>74</v>
      </c>
      <c r="BB920" s="1">
        <v>872.0</v>
      </c>
      <c r="BC920" s="1">
        <v>874.0</v>
      </c>
      <c r="BD920" s="1" t="s">
        <v>74</v>
      </c>
      <c r="BE920" s="1" t="s">
        <v>74</v>
      </c>
      <c r="BF920" s="1" t="s">
        <v>74</v>
      </c>
      <c r="BG920" s="1" t="s">
        <v>74</v>
      </c>
      <c r="BH920" s="1" t="s">
        <v>74</v>
      </c>
      <c r="BI920" s="1" t="s">
        <v>74</v>
      </c>
      <c r="BJ920" s="1" t="s">
        <v>74</v>
      </c>
      <c r="BK920" s="1" t="s">
        <v>74</v>
      </c>
      <c r="BL920" s="1" t="s">
        <v>74</v>
      </c>
      <c r="BM920" s="1" t="s">
        <v>74</v>
      </c>
      <c r="BN920" s="1" t="s">
        <v>74</v>
      </c>
      <c r="BO920" s="1" t="s">
        <v>74</v>
      </c>
      <c r="BP920" s="1" t="s">
        <v>74</v>
      </c>
      <c r="BQ920" s="1" t="s">
        <v>74</v>
      </c>
      <c r="BR920" s="1" t="s">
        <v>74</v>
      </c>
      <c r="BS920" s="1" t="s">
        <v>7605</v>
      </c>
      <c r="BT920" s="1" t="str">
        <f>HYPERLINK("https%3A%2F%2Fwww.webofscience.com%2Fwos%2Fwoscc%2Ffull-record%2FWOS:000722047100010","View Full Record in Web of Science")</f>
        <v>View Full Record in Web of Science</v>
      </c>
    </row>
    <row r="921" ht="12.75" customHeight="1">
      <c r="A921" s="1" t="s">
        <v>72</v>
      </c>
      <c r="B921" s="1" t="s">
        <v>7606</v>
      </c>
      <c r="C921" s="1" t="s">
        <v>74</v>
      </c>
      <c r="D921" s="1" t="s">
        <v>74</v>
      </c>
      <c r="E921" s="1" t="s">
        <v>74</v>
      </c>
      <c r="F921" s="1" t="s">
        <v>7607</v>
      </c>
      <c r="G921" s="1" t="s">
        <v>74</v>
      </c>
      <c r="H921" s="1" t="s">
        <v>74</v>
      </c>
      <c r="I921" s="1" t="s">
        <v>7608</v>
      </c>
      <c r="J921" s="1" t="s">
        <v>2422</v>
      </c>
      <c r="K921" s="1" t="s">
        <v>74</v>
      </c>
      <c r="L921" s="1" t="s">
        <v>74</v>
      </c>
      <c r="M921" s="1" t="s">
        <v>74</v>
      </c>
      <c r="N921" s="1" t="s">
        <v>74</v>
      </c>
      <c r="O921" s="1" t="s">
        <v>74</v>
      </c>
      <c r="P921" s="1" t="s">
        <v>74</v>
      </c>
      <c r="Q921" s="1" t="s">
        <v>74</v>
      </c>
      <c r="R921" s="1" t="s">
        <v>74</v>
      </c>
      <c r="S921" s="1" t="s">
        <v>74</v>
      </c>
      <c r="T921" s="1" t="s">
        <v>74</v>
      </c>
      <c r="U921" s="1" t="s">
        <v>74</v>
      </c>
      <c r="V921" s="1" t="s">
        <v>7609</v>
      </c>
      <c r="W921" s="1" t="s">
        <v>74</v>
      </c>
      <c r="X921" s="1" t="s">
        <v>74</v>
      </c>
      <c r="Y921" s="1" t="s">
        <v>74</v>
      </c>
      <c r="Z921" s="1" t="s">
        <v>74</v>
      </c>
      <c r="AA921" s="1" t="s">
        <v>2424</v>
      </c>
      <c r="AB921" s="1" t="s">
        <v>7610</v>
      </c>
      <c r="AC921" s="1" t="s">
        <v>74</v>
      </c>
      <c r="AD921" s="1" t="s">
        <v>74</v>
      </c>
      <c r="AE921" s="1" t="s">
        <v>74</v>
      </c>
      <c r="AF921" s="1" t="s">
        <v>74</v>
      </c>
      <c r="AG921" s="1" t="s">
        <v>74</v>
      </c>
      <c r="AH921" s="1" t="s">
        <v>74</v>
      </c>
      <c r="AI921" s="1" t="s">
        <v>74</v>
      </c>
      <c r="AJ921" s="1" t="s">
        <v>74</v>
      </c>
      <c r="AK921" s="1" t="s">
        <v>74</v>
      </c>
      <c r="AL921" s="1" t="s">
        <v>74</v>
      </c>
      <c r="AM921" s="1" t="s">
        <v>74</v>
      </c>
      <c r="AN921" s="1" t="s">
        <v>74</v>
      </c>
      <c r="AO921" s="1" t="s">
        <v>2425</v>
      </c>
      <c r="AP921" s="1" t="s">
        <v>2426</v>
      </c>
      <c r="AQ921" s="1" t="s">
        <v>74</v>
      </c>
      <c r="AR921" s="1" t="s">
        <v>74</v>
      </c>
      <c r="AS921" s="1" t="s">
        <v>74</v>
      </c>
      <c r="AT921" s="1" t="s">
        <v>299</v>
      </c>
      <c r="AU921" s="1">
        <v>2021.0</v>
      </c>
      <c r="AV921" s="1">
        <v>97.0</v>
      </c>
      <c r="AW921" s="1">
        <v>1.0</v>
      </c>
      <c r="AX921" s="1" t="s">
        <v>74</v>
      </c>
      <c r="AY921" s="1" t="s">
        <v>74</v>
      </c>
      <c r="AZ921" s="1" t="s">
        <v>74</v>
      </c>
      <c r="BA921" s="1" t="s">
        <v>74</v>
      </c>
      <c r="BB921" s="1">
        <v>40.0</v>
      </c>
      <c r="BC921" s="1">
        <v>46.0</v>
      </c>
      <c r="BD921" s="1" t="s">
        <v>74</v>
      </c>
      <c r="BE921" s="1" t="s">
        <v>7611</v>
      </c>
      <c r="BF921" s="2" t="str">
        <f>HYPERLINK("http://dx.doi.org/10.1111/php.13298","http://dx.doi.org/10.1111/php.13298")</f>
        <v>http://dx.doi.org/10.1111/php.13298</v>
      </c>
      <c r="BG921" s="1" t="s">
        <v>74</v>
      </c>
      <c r="BH921" s="1" t="s">
        <v>6138</v>
      </c>
      <c r="BI921" s="1" t="s">
        <v>74</v>
      </c>
      <c r="BJ921" s="1" t="s">
        <v>74</v>
      </c>
      <c r="BK921" s="1" t="s">
        <v>74</v>
      </c>
      <c r="BL921" s="1" t="s">
        <v>74</v>
      </c>
      <c r="BM921" s="1" t="s">
        <v>74</v>
      </c>
      <c r="BN921" s="1">
        <v>3.2558934E7</v>
      </c>
      <c r="BO921" s="1" t="s">
        <v>74</v>
      </c>
      <c r="BP921" s="1" t="s">
        <v>74</v>
      </c>
      <c r="BQ921" s="1" t="s">
        <v>74</v>
      </c>
      <c r="BR921" s="1" t="s">
        <v>74</v>
      </c>
      <c r="BS921" s="1" t="s">
        <v>7612</v>
      </c>
      <c r="BT921" s="1" t="str">
        <f>HYPERLINK("https%3A%2F%2Fwww.webofscience.com%2Fwos%2Fwoscc%2Ffull-record%2FWOS:000553189600001","View Full Record in Web of Science")</f>
        <v>View Full Record in Web of Science</v>
      </c>
    </row>
    <row r="922" ht="12.75" customHeight="1">
      <c r="A922" s="1" t="s">
        <v>72</v>
      </c>
      <c r="B922" s="1" t="s">
        <v>7613</v>
      </c>
      <c r="C922" s="1" t="s">
        <v>74</v>
      </c>
      <c r="D922" s="1" t="s">
        <v>74</v>
      </c>
      <c r="E922" s="1" t="s">
        <v>74</v>
      </c>
      <c r="F922" s="1" t="s">
        <v>7614</v>
      </c>
      <c r="G922" s="1" t="s">
        <v>74</v>
      </c>
      <c r="H922" s="1" t="s">
        <v>74</v>
      </c>
      <c r="I922" s="1" t="s">
        <v>7615</v>
      </c>
      <c r="J922" s="1" t="s">
        <v>1341</v>
      </c>
      <c r="K922" s="1" t="s">
        <v>74</v>
      </c>
      <c r="L922" s="1" t="s">
        <v>74</v>
      </c>
      <c r="M922" s="1" t="s">
        <v>74</v>
      </c>
      <c r="N922" s="1" t="s">
        <v>74</v>
      </c>
      <c r="O922" s="1" t="s">
        <v>74</v>
      </c>
      <c r="P922" s="1" t="s">
        <v>74</v>
      </c>
      <c r="Q922" s="1" t="s">
        <v>74</v>
      </c>
      <c r="R922" s="1" t="s">
        <v>74</v>
      </c>
      <c r="S922" s="1" t="s">
        <v>74</v>
      </c>
      <c r="T922" s="1" t="s">
        <v>74</v>
      </c>
      <c r="U922" s="1" t="s">
        <v>74</v>
      </c>
      <c r="V922" s="1" t="s">
        <v>7616</v>
      </c>
      <c r="W922" s="1" t="s">
        <v>74</v>
      </c>
      <c r="X922" s="1" t="s">
        <v>74</v>
      </c>
      <c r="Y922" s="1" t="s">
        <v>74</v>
      </c>
      <c r="Z922" s="1" t="s">
        <v>74</v>
      </c>
      <c r="AA922" s="1" t="s">
        <v>7617</v>
      </c>
      <c r="AB922" s="1" t="s">
        <v>7618</v>
      </c>
      <c r="AC922" s="1" t="s">
        <v>74</v>
      </c>
      <c r="AD922" s="1" t="s">
        <v>74</v>
      </c>
      <c r="AE922" s="1" t="s">
        <v>74</v>
      </c>
      <c r="AF922" s="1" t="s">
        <v>74</v>
      </c>
      <c r="AG922" s="1" t="s">
        <v>74</v>
      </c>
      <c r="AH922" s="1" t="s">
        <v>74</v>
      </c>
      <c r="AI922" s="1" t="s">
        <v>74</v>
      </c>
      <c r="AJ922" s="1" t="s">
        <v>74</v>
      </c>
      <c r="AK922" s="1" t="s">
        <v>74</v>
      </c>
      <c r="AL922" s="1" t="s">
        <v>74</v>
      </c>
      <c r="AM922" s="1" t="s">
        <v>74</v>
      </c>
      <c r="AN922" s="1" t="s">
        <v>74</v>
      </c>
      <c r="AO922" s="1" t="s">
        <v>74</v>
      </c>
      <c r="AP922" s="1" t="s">
        <v>1344</v>
      </c>
      <c r="AQ922" s="1" t="s">
        <v>74</v>
      </c>
      <c r="AR922" s="1" t="s">
        <v>74</v>
      </c>
      <c r="AS922" s="1" t="s">
        <v>74</v>
      </c>
      <c r="AT922" s="1" t="s">
        <v>180</v>
      </c>
      <c r="AU922" s="1">
        <v>2020.0</v>
      </c>
      <c r="AV922" s="1">
        <v>10.0</v>
      </c>
      <c r="AW922" s="1">
        <v>6.0</v>
      </c>
      <c r="AX922" s="1" t="s">
        <v>74</v>
      </c>
      <c r="AY922" s="1" t="s">
        <v>74</v>
      </c>
      <c r="AZ922" s="1" t="s">
        <v>74</v>
      </c>
      <c r="BA922" s="1" t="s">
        <v>74</v>
      </c>
      <c r="BB922" s="1" t="s">
        <v>74</v>
      </c>
      <c r="BC922" s="1" t="s">
        <v>74</v>
      </c>
      <c r="BD922" s="1">
        <v>616.0</v>
      </c>
      <c r="BE922" s="1" t="s">
        <v>7619</v>
      </c>
      <c r="BF922" s="2" t="str">
        <f>HYPERLINK("http://dx.doi.org/10.3390/catal10060616","http://dx.doi.org/10.3390/catal10060616")</f>
        <v>http://dx.doi.org/10.3390/catal10060616</v>
      </c>
      <c r="BG922" s="1" t="s">
        <v>74</v>
      </c>
      <c r="BH922" s="1" t="s">
        <v>74</v>
      </c>
      <c r="BI922" s="1" t="s">
        <v>74</v>
      </c>
      <c r="BJ922" s="1" t="s">
        <v>74</v>
      </c>
      <c r="BK922" s="1" t="s">
        <v>74</v>
      </c>
      <c r="BL922" s="1" t="s">
        <v>74</v>
      </c>
      <c r="BM922" s="1" t="s">
        <v>74</v>
      </c>
      <c r="BN922" s="1" t="s">
        <v>74</v>
      </c>
      <c r="BO922" s="1" t="s">
        <v>74</v>
      </c>
      <c r="BP922" s="1" t="s">
        <v>74</v>
      </c>
      <c r="BQ922" s="1" t="s">
        <v>74</v>
      </c>
      <c r="BR922" s="1" t="s">
        <v>74</v>
      </c>
      <c r="BS922" s="1" t="s">
        <v>7620</v>
      </c>
      <c r="BT922" s="1" t="str">
        <f>HYPERLINK("https%3A%2F%2Fwww.webofscience.com%2Fwos%2Fwoscc%2Ffull-record%2FWOS:000551909400001","View Full Record in Web of Science")</f>
        <v>View Full Record in Web of Science</v>
      </c>
    </row>
    <row r="923" ht="12.75" customHeight="1">
      <c r="A923" s="1" t="s">
        <v>72</v>
      </c>
      <c r="B923" s="1" t="s">
        <v>7621</v>
      </c>
      <c r="C923" s="1" t="s">
        <v>74</v>
      </c>
      <c r="D923" s="1" t="s">
        <v>74</v>
      </c>
      <c r="E923" s="1" t="s">
        <v>74</v>
      </c>
      <c r="F923" s="1" t="s">
        <v>7622</v>
      </c>
      <c r="G923" s="1" t="s">
        <v>74</v>
      </c>
      <c r="H923" s="1" t="s">
        <v>74</v>
      </c>
      <c r="I923" s="1" t="s">
        <v>7623</v>
      </c>
      <c r="J923" s="1" t="s">
        <v>7624</v>
      </c>
      <c r="K923" s="1" t="s">
        <v>74</v>
      </c>
      <c r="L923" s="1" t="s">
        <v>74</v>
      </c>
      <c r="M923" s="1" t="s">
        <v>74</v>
      </c>
      <c r="N923" s="1" t="s">
        <v>74</v>
      </c>
      <c r="O923" s="1" t="s">
        <v>74</v>
      </c>
      <c r="P923" s="1" t="s">
        <v>74</v>
      </c>
      <c r="Q923" s="1" t="s">
        <v>74</v>
      </c>
      <c r="R923" s="1" t="s">
        <v>74</v>
      </c>
      <c r="S923" s="1" t="s">
        <v>74</v>
      </c>
      <c r="T923" s="1" t="s">
        <v>74</v>
      </c>
      <c r="U923" s="1" t="s">
        <v>74</v>
      </c>
      <c r="V923" s="1" t="s">
        <v>7625</v>
      </c>
      <c r="W923" s="1" t="s">
        <v>74</v>
      </c>
      <c r="X923" s="1" t="s">
        <v>74</v>
      </c>
      <c r="Y923" s="1" t="s">
        <v>74</v>
      </c>
      <c r="Z923" s="1" t="s">
        <v>74</v>
      </c>
      <c r="AA923" s="1" t="s">
        <v>74</v>
      </c>
      <c r="AB923" s="1" t="s">
        <v>74</v>
      </c>
      <c r="AC923" s="1" t="s">
        <v>74</v>
      </c>
      <c r="AD923" s="1" t="s">
        <v>74</v>
      </c>
      <c r="AE923" s="1" t="s">
        <v>74</v>
      </c>
      <c r="AF923" s="1" t="s">
        <v>74</v>
      </c>
      <c r="AG923" s="1" t="s">
        <v>74</v>
      </c>
      <c r="AH923" s="1" t="s">
        <v>74</v>
      </c>
      <c r="AI923" s="1" t="s">
        <v>74</v>
      </c>
      <c r="AJ923" s="1" t="s">
        <v>74</v>
      </c>
      <c r="AK923" s="1" t="s">
        <v>74</v>
      </c>
      <c r="AL923" s="1" t="s">
        <v>74</v>
      </c>
      <c r="AM923" s="1" t="s">
        <v>74</v>
      </c>
      <c r="AN923" s="1" t="s">
        <v>74</v>
      </c>
      <c r="AO923" s="1" t="s">
        <v>7626</v>
      </c>
      <c r="AP923" s="1" t="s">
        <v>74</v>
      </c>
      <c r="AQ923" s="1" t="s">
        <v>74</v>
      </c>
      <c r="AR923" s="1" t="s">
        <v>74</v>
      </c>
      <c r="AS923" s="1" t="s">
        <v>74</v>
      </c>
      <c r="AT923" s="1" t="s">
        <v>3519</v>
      </c>
      <c r="AU923" s="1">
        <v>2020.0</v>
      </c>
      <c r="AV923" s="1">
        <v>14.0</v>
      </c>
      <c r="AW923" s="1">
        <v>2.0</v>
      </c>
      <c r="AX923" s="1" t="s">
        <v>74</v>
      </c>
      <c r="AY923" s="1" t="s">
        <v>74</v>
      </c>
      <c r="AZ923" s="1" t="s">
        <v>74</v>
      </c>
      <c r="BA923" s="1" t="s">
        <v>74</v>
      </c>
      <c r="BB923" s="1">
        <v>34.0</v>
      </c>
      <c r="BC923" s="1" t="s">
        <v>631</v>
      </c>
      <c r="BD923" s="1" t="s">
        <v>74</v>
      </c>
      <c r="BE923" s="1" t="s">
        <v>7627</v>
      </c>
      <c r="BF923" s="2" t="str">
        <f>HYPERLINK("http://dx.doi.org/10.7714/CNPS/14.2.204","http://dx.doi.org/10.7714/CNPS/14.2.204")</f>
        <v>http://dx.doi.org/10.7714/CNPS/14.2.204</v>
      </c>
      <c r="BG923" s="1" t="s">
        <v>74</v>
      </c>
      <c r="BH923" s="1" t="s">
        <v>74</v>
      </c>
      <c r="BI923" s="1" t="s">
        <v>74</v>
      </c>
      <c r="BJ923" s="1" t="s">
        <v>74</v>
      </c>
      <c r="BK923" s="1" t="s">
        <v>74</v>
      </c>
      <c r="BL923" s="1" t="s">
        <v>74</v>
      </c>
      <c r="BM923" s="1" t="s">
        <v>74</v>
      </c>
      <c r="BN923" s="1" t="s">
        <v>74</v>
      </c>
      <c r="BO923" s="1" t="s">
        <v>74</v>
      </c>
      <c r="BP923" s="1" t="s">
        <v>74</v>
      </c>
      <c r="BQ923" s="1" t="s">
        <v>74</v>
      </c>
      <c r="BR923" s="1" t="s">
        <v>74</v>
      </c>
      <c r="BS923" s="1" t="s">
        <v>7628</v>
      </c>
      <c r="BT923" s="1" t="str">
        <f>HYPERLINK("https%3A%2F%2Fwww.webofscience.com%2Fwos%2Fwoscc%2Ffull-record%2FWOS:000599136800005","View Full Record in Web of Science")</f>
        <v>View Full Record in Web of Science</v>
      </c>
    </row>
    <row r="924" ht="12.75" customHeight="1">
      <c r="A924" s="1" t="s">
        <v>72</v>
      </c>
      <c r="B924" s="1" t="s">
        <v>2836</v>
      </c>
      <c r="C924" s="1" t="s">
        <v>74</v>
      </c>
      <c r="D924" s="1" t="s">
        <v>74</v>
      </c>
      <c r="E924" s="1" t="s">
        <v>74</v>
      </c>
      <c r="F924" s="1" t="s">
        <v>2837</v>
      </c>
      <c r="G924" s="1" t="s">
        <v>74</v>
      </c>
      <c r="H924" s="1" t="s">
        <v>74</v>
      </c>
      <c r="I924" s="1" t="s">
        <v>7629</v>
      </c>
      <c r="J924" s="1" t="s">
        <v>832</v>
      </c>
      <c r="K924" s="1" t="s">
        <v>74</v>
      </c>
      <c r="L924" s="1" t="s">
        <v>74</v>
      </c>
      <c r="M924" s="1" t="s">
        <v>74</v>
      </c>
      <c r="N924" s="1" t="s">
        <v>74</v>
      </c>
      <c r="O924" s="1" t="s">
        <v>74</v>
      </c>
      <c r="P924" s="1" t="s">
        <v>74</v>
      </c>
      <c r="Q924" s="1" t="s">
        <v>74</v>
      </c>
      <c r="R924" s="1" t="s">
        <v>74</v>
      </c>
      <c r="S924" s="1" t="s">
        <v>74</v>
      </c>
      <c r="T924" s="1" t="s">
        <v>74</v>
      </c>
      <c r="U924" s="1" t="s">
        <v>74</v>
      </c>
      <c r="V924" s="1" t="s">
        <v>74</v>
      </c>
      <c r="W924" s="1" t="s">
        <v>74</v>
      </c>
      <c r="X924" s="1" t="s">
        <v>74</v>
      </c>
      <c r="Y924" s="1" t="s">
        <v>74</v>
      </c>
      <c r="Z924" s="1" t="s">
        <v>74</v>
      </c>
      <c r="AA924" s="1" t="s">
        <v>74</v>
      </c>
      <c r="AB924" s="1" t="s">
        <v>2840</v>
      </c>
      <c r="AC924" s="1" t="s">
        <v>74</v>
      </c>
      <c r="AD924" s="1" t="s">
        <v>74</v>
      </c>
      <c r="AE924" s="1" t="s">
        <v>74</v>
      </c>
      <c r="AF924" s="1" t="s">
        <v>74</v>
      </c>
      <c r="AG924" s="1" t="s">
        <v>74</v>
      </c>
      <c r="AH924" s="1" t="s">
        <v>74</v>
      </c>
      <c r="AI924" s="1" t="s">
        <v>74</v>
      </c>
      <c r="AJ924" s="1" t="s">
        <v>74</v>
      </c>
      <c r="AK924" s="1" t="s">
        <v>74</v>
      </c>
      <c r="AL924" s="1" t="s">
        <v>74</v>
      </c>
      <c r="AM924" s="1" t="s">
        <v>74</v>
      </c>
      <c r="AN924" s="1" t="s">
        <v>74</v>
      </c>
      <c r="AO924" s="1" t="s">
        <v>835</v>
      </c>
      <c r="AP924" s="1" t="s">
        <v>836</v>
      </c>
      <c r="AQ924" s="1" t="s">
        <v>74</v>
      </c>
      <c r="AR924" s="1" t="s">
        <v>74</v>
      </c>
      <c r="AS924" s="1" t="s">
        <v>74</v>
      </c>
      <c r="AT924" s="1" t="s">
        <v>347</v>
      </c>
      <c r="AU924" s="1">
        <v>2020.0</v>
      </c>
      <c r="AV924" s="1">
        <v>148.0</v>
      </c>
      <c r="AW924" s="1">
        <v>4.0</v>
      </c>
      <c r="AX924" s="1" t="s">
        <v>74</v>
      </c>
      <c r="AY924" s="1" t="s">
        <v>74</v>
      </c>
      <c r="AZ924" s="1" t="s">
        <v>74</v>
      </c>
      <c r="BA924" s="1" t="s">
        <v>74</v>
      </c>
      <c r="BB924" s="1">
        <v>562.0</v>
      </c>
      <c r="BC924" s="1" t="s">
        <v>631</v>
      </c>
      <c r="BD924" s="1" t="s">
        <v>74</v>
      </c>
      <c r="BE924" s="1" t="s">
        <v>74</v>
      </c>
      <c r="BF924" s="1" t="s">
        <v>74</v>
      </c>
      <c r="BG924" s="1" t="s">
        <v>74</v>
      </c>
      <c r="BH924" s="1" t="s">
        <v>74</v>
      </c>
      <c r="BI924" s="1" t="s">
        <v>74</v>
      </c>
      <c r="BJ924" s="1" t="s">
        <v>74</v>
      </c>
      <c r="BK924" s="1" t="s">
        <v>74</v>
      </c>
      <c r="BL924" s="1" t="s">
        <v>74</v>
      </c>
      <c r="BM924" s="1" t="s">
        <v>74</v>
      </c>
      <c r="BN924" s="1">
        <v>3.273047E7</v>
      </c>
      <c r="BO924" s="1" t="s">
        <v>74</v>
      </c>
      <c r="BP924" s="1" t="s">
        <v>74</v>
      </c>
      <c r="BQ924" s="1" t="s">
        <v>74</v>
      </c>
      <c r="BR924" s="1" t="s">
        <v>74</v>
      </c>
      <c r="BS924" s="1" t="s">
        <v>7630</v>
      </c>
      <c r="BT924" s="1" t="str">
        <f>HYPERLINK("https%3A%2F%2Fwww.webofscience.com%2Fwos%2Fwoscc%2Ffull-record%2FWOS:000548742500022","View Full Record in Web of Science")</f>
        <v>View Full Record in Web of Science</v>
      </c>
    </row>
    <row r="925" ht="12.75" customHeight="1">
      <c r="A925" s="1" t="s">
        <v>72</v>
      </c>
      <c r="B925" s="1" t="s">
        <v>7631</v>
      </c>
      <c r="C925" s="1" t="s">
        <v>74</v>
      </c>
      <c r="D925" s="1" t="s">
        <v>74</v>
      </c>
      <c r="E925" s="1" t="s">
        <v>74</v>
      </c>
      <c r="F925" s="1" t="s">
        <v>7632</v>
      </c>
      <c r="G925" s="1" t="s">
        <v>74</v>
      </c>
      <c r="H925" s="1" t="s">
        <v>74</v>
      </c>
      <c r="I925" s="1" t="s">
        <v>7633</v>
      </c>
      <c r="J925" s="1" t="s">
        <v>7634</v>
      </c>
      <c r="K925" s="1" t="s">
        <v>74</v>
      </c>
      <c r="L925" s="1" t="s">
        <v>74</v>
      </c>
      <c r="M925" s="1" t="s">
        <v>74</v>
      </c>
      <c r="N925" s="1" t="s">
        <v>74</v>
      </c>
      <c r="O925" s="1" t="s">
        <v>74</v>
      </c>
      <c r="P925" s="1" t="s">
        <v>74</v>
      </c>
      <c r="Q925" s="1" t="s">
        <v>74</v>
      </c>
      <c r="R925" s="1" t="s">
        <v>74</v>
      </c>
      <c r="S925" s="1" t="s">
        <v>74</v>
      </c>
      <c r="T925" s="1" t="s">
        <v>74</v>
      </c>
      <c r="U925" s="1" t="s">
        <v>74</v>
      </c>
      <c r="V925" s="1" t="s">
        <v>7635</v>
      </c>
      <c r="W925" s="1" t="s">
        <v>74</v>
      </c>
      <c r="X925" s="1" t="s">
        <v>74</v>
      </c>
      <c r="Y925" s="1" t="s">
        <v>74</v>
      </c>
      <c r="Z925" s="1" t="s">
        <v>74</v>
      </c>
      <c r="AA925" s="1" t="s">
        <v>74</v>
      </c>
      <c r="AB925" s="1" t="s">
        <v>74</v>
      </c>
      <c r="AC925" s="1" t="s">
        <v>74</v>
      </c>
      <c r="AD925" s="1" t="s">
        <v>74</v>
      </c>
      <c r="AE925" s="1" t="s">
        <v>74</v>
      </c>
      <c r="AF925" s="1" t="s">
        <v>74</v>
      </c>
      <c r="AG925" s="1" t="s">
        <v>74</v>
      </c>
      <c r="AH925" s="1" t="s">
        <v>74</v>
      </c>
      <c r="AI925" s="1" t="s">
        <v>74</v>
      </c>
      <c r="AJ925" s="1" t="s">
        <v>74</v>
      </c>
      <c r="AK925" s="1" t="s">
        <v>74</v>
      </c>
      <c r="AL925" s="1" t="s">
        <v>74</v>
      </c>
      <c r="AM925" s="1" t="s">
        <v>74</v>
      </c>
      <c r="AN925" s="1" t="s">
        <v>74</v>
      </c>
      <c r="AO925" s="1" t="s">
        <v>7636</v>
      </c>
      <c r="AP925" s="1" t="s">
        <v>74</v>
      </c>
      <c r="AQ925" s="1" t="s">
        <v>74</v>
      </c>
      <c r="AR925" s="1" t="s">
        <v>74</v>
      </c>
      <c r="AS925" s="1" t="s">
        <v>74</v>
      </c>
      <c r="AT925" s="1" t="s">
        <v>74</v>
      </c>
      <c r="AU925" s="1">
        <v>2020.0</v>
      </c>
      <c r="AV925" s="1">
        <v>9.0</v>
      </c>
      <c r="AW925" s="1" t="s">
        <v>74</v>
      </c>
      <c r="AX925" s="1" t="s">
        <v>74</v>
      </c>
      <c r="AY925" s="1" t="s">
        <v>74</v>
      </c>
      <c r="AZ925" s="1" t="s">
        <v>74</v>
      </c>
      <c r="BA925" s="1" t="s">
        <v>74</v>
      </c>
      <c r="BB925" s="1" t="s">
        <v>74</v>
      </c>
      <c r="BC925" s="1" t="s">
        <v>74</v>
      </c>
      <c r="BD925" s="1" t="s">
        <v>7637</v>
      </c>
      <c r="BE925" s="1" t="s">
        <v>74</v>
      </c>
      <c r="BF925" s="1" t="s">
        <v>74</v>
      </c>
      <c r="BG925" s="1" t="s">
        <v>74</v>
      </c>
      <c r="BH925" s="1" t="s">
        <v>74</v>
      </c>
      <c r="BI925" s="1" t="s">
        <v>74</v>
      </c>
      <c r="BJ925" s="1" t="s">
        <v>74</v>
      </c>
      <c r="BK925" s="1" t="s">
        <v>74</v>
      </c>
      <c r="BL925" s="1" t="s">
        <v>74</v>
      </c>
      <c r="BM925" s="1" t="s">
        <v>74</v>
      </c>
      <c r="BN925" s="1" t="s">
        <v>74</v>
      </c>
      <c r="BO925" s="1" t="s">
        <v>74</v>
      </c>
      <c r="BP925" s="1" t="s">
        <v>74</v>
      </c>
      <c r="BQ925" s="1" t="s">
        <v>74</v>
      </c>
      <c r="BR925" s="1" t="s">
        <v>74</v>
      </c>
      <c r="BS925" s="1" t="s">
        <v>7638</v>
      </c>
      <c r="BT925" s="1" t="str">
        <f>HYPERLINK("https%3A%2F%2Fwww.webofscience.com%2Fwos%2Fwoscc%2Ffull-record%2FWOS:000864830800022","View Full Record in Web of Science")</f>
        <v>View Full Record in Web of Science</v>
      </c>
    </row>
    <row r="926" ht="12.75" customHeight="1">
      <c r="A926" s="1" t="s">
        <v>72</v>
      </c>
      <c r="B926" s="1" t="s">
        <v>7639</v>
      </c>
      <c r="C926" s="1" t="s">
        <v>74</v>
      </c>
      <c r="D926" s="1" t="s">
        <v>74</v>
      </c>
      <c r="E926" s="1" t="s">
        <v>74</v>
      </c>
      <c r="F926" s="1" t="s">
        <v>7640</v>
      </c>
      <c r="G926" s="1" t="s">
        <v>74</v>
      </c>
      <c r="H926" s="1" t="s">
        <v>74</v>
      </c>
      <c r="I926" s="1" t="s">
        <v>7641</v>
      </c>
      <c r="J926" s="1" t="s">
        <v>2197</v>
      </c>
      <c r="K926" s="1" t="s">
        <v>74</v>
      </c>
      <c r="L926" s="1" t="s">
        <v>74</v>
      </c>
      <c r="M926" s="1" t="s">
        <v>74</v>
      </c>
      <c r="N926" s="1" t="s">
        <v>74</v>
      </c>
      <c r="O926" s="1" t="s">
        <v>74</v>
      </c>
      <c r="P926" s="1" t="s">
        <v>74</v>
      </c>
      <c r="Q926" s="1" t="s">
        <v>74</v>
      </c>
      <c r="R926" s="1" t="s">
        <v>74</v>
      </c>
      <c r="S926" s="1" t="s">
        <v>74</v>
      </c>
      <c r="T926" s="1" t="s">
        <v>74</v>
      </c>
      <c r="U926" s="1" t="s">
        <v>74</v>
      </c>
      <c r="V926" s="1" t="s">
        <v>7642</v>
      </c>
      <c r="W926" s="1" t="s">
        <v>74</v>
      </c>
      <c r="X926" s="1" t="s">
        <v>74</v>
      </c>
      <c r="Y926" s="1" t="s">
        <v>74</v>
      </c>
      <c r="Z926" s="1" t="s">
        <v>74</v>
      </c>
      <c r="AA926" s="1" t="s">
        <v>74</v>
      </c>
      <c r="AB926" s="1" t="s">
        <v>74</v>
      </c>
      <c r="AC926" s="1" t="s">
        <v>74</v>
      </c>
      <c r="AD926" s="1" t="s">
        <v>74</v>
      </c>
      <c r="AE926" s="1" t="s">
        <v>74</v>
      </c>
      <c r="AF926" s="1" t="s">
        <v>74</v>
      </c>
      <c r="AG926" s="1" t="s">
        <v>74</v>
      </c>
      <c r="AH926" s="1" t="s">
        <v>74</v>
      </c>
      <c r="AI926" s="1" t="s">
        <v>74</v>
      </c>
      <c r="AJ926" s="1" t="s">
        <v>74</v>
      </c>
      <c r="AK926" s="1" t="s">
        <v>74</v>
      </c>
      <c r="AL926" s="1" t="s">
        <v>74</v>
      </c>
      <c r="AM926" s="1" t="s">
        <v>74</v>
      </c>
      <c r="AN926" s="1" t="s">
        <v>74</v>
      </c>
      <c r="AO926" s="1" t="s">
        <v>2199</v>
      </c>
      <c r="AP926" s="1" t="s">
        <v>74</v>
      </c>
      <c r="AQ926" s="1" t="s">
        <v>74</v>
      </c>
      <c r="AR926" s="1" t="s">
        <v>74</v>
      </c>
      <c r="AS926" s="1" t="s">
        <v>74</v>
      </c>
      <c r="AT926" s="1" t="s">
        <v>299</v>
      </c>
      <c r="AU926" s="1">
        <v>2020.0</v>
      </c>
      <c r="AV926" s="1">
        <v>49.0</v>
      </c>
      <c r="AW926" s="1" t="s">
        <v>74</v>
      </c>
      <c r="AX926" s="1" t="s">
        <v>74</v>
      </c>
      <c r="AY926" s="1" t="s">
        <v>74</v>
      </c>
      <c r="AZ926" s="1" t="s">
        <v>74</v>
      </c>
      <c r="BA926" s="1" t="s">
        <v>74</v>
      </c>
      <c r="BB926" s="1">
        <v>2146.0</v>
      </c>
      <c r="BC926" s="1">
        <v>2177.0</v>
      </c>
      <c r="BD926" s="1" t="s">
        <v>74</v>
      </c>
      <c r="BE926" s="1" t="s">
        <v>74</v>
      </c>
      <c r="BF926" s="1" t="s">
        <v>74</v>
      </c>
      <c r="BG926" s="1" t="s">
        <v>74</v>
      </c>
      <c r="BH926" s="1" t="s">
        <v>74</v>
      </c>
      <c r="BI926" s="1" t="s">
        <v>74</v>
      </c>
      <c r="BJ926" s="1" t="s">
        <v>74</v>
      </c>
      <c r="BK926" s="1" t="s">
        <v>74</v>
      </c>
      <c r="BL926" s="1" t="s">
        <v>74</v>
      </c>
      <c r="BM926" s="1" t="s">
        <v>74</v>
      </c>
      <c r="BN926" s="1" t="s">
        <v>74</v>
      </c>
      <c r="BO926" s="1" t="s">
        <v>74</v>
      </c>
      <c r="BP926" s="1" t="s">
        <v>74</v>
      </c>
      <c r="BQ926" s="1" t="s">
        <v>74</v>
      </c>
      <c r="BR926" s="1" t="s">
        <v>74</v>
      </c>
      <c r="BS926" s="1" t="s">
        <v>7643</v>
      </c>
      <c r="BT926" s="1" t="str">
        <f>HYPERLINK("https%3A%2F%2Fwww.webofscience.com%2Fwos%2Fwoscc%2Ffull-record%2FWOS:000614863100094","View Full Record in Web of Science")</f>
        <v>View Full Record in Web of Science</v>
      </c>
    </row>
    <row r="927" ht="12.75" customHeight="1">
      <c r="A927" s="1" t="s">
        <v>91</v>
      </c>
      <c r="B927" s="1" t="s">
        <v>7644</v>
      </c>
      <c r="C927" s="1" t="s">
        <v>74</v>
      </c>
      <c r="D927" s="1" t="s">
        <v>74</v>
      </c>
      <c r="E927" s="1" t="s">
        <v>442</v>
      </c>
      <c r="F927" s="1" t="s">
        <v>7645</v>
      </c>
      <c r="G927" s="1" t="s">
        <v>74</v>
      </c>
      <c r="H927" s="1" t="s">
        <v>74</v>
      </c>
      <c r="I927" s="1" t="s">
        <v>7646</v>
      </c>
      <c r="J927" s="1" t="s">
        <v>7647</v>
      </c>
      <c r="K927" s="1" t="s">
        <v>74</v>
      </c>
      <c r="L927" s="1" t="s">
        <v>74</v>
      </c>
      <c r="M927" s="1" t="s">
        <v>74</v>
      </c>
      <c r="N927" s="1" t="s">
        <v>74</v>
      </c>
      <c r="O927" s="1" t="s">
        <v>7648</v>
      </c>
      <c r="P927" s="1" t="s">
        <v>7649</v>
      </c>
      <c r="Q927" s="1" t="s">
        <v>448</v>
      </c>
      <c r="R927" s="1" t="s">
        <v>442</v>
      </c>
      <c r="S927" s="1" t="s">
        <v>74</v>
      </c>
      <c r="T927" s="1" t="s">
        <v>74</v>
      </c>
      <c r="U927" s="1" t="s">
        <v>74</v>
      </c>
      <c r="V927" s="1" t="s">
        <v>7650</v>
      </c>
      <c r="W927" s="1" t="s">
        <v>74</v>
      </c>
      <c r="X927" s="1" t="s">
        <v>74</v>
      </c>
      <c r="Y927" s="1" t="s">
        <v>74</v>
      </c>
      <c r="Z927" s="1" t="s">
        <v>74</v>
      </c>
      <c r="AA927" s="1" t="s">
        <v>7651</v>
      </c>
      <c r="AB927" s="1" t="s">
        <v>7652</v>
      </c>
      <c r="AC927" s="1" t="s">
        <v>74</v>
      </c>
      <c r="AD927" s="1" t="s">
        <v>74</v>
      </c>
      <c r="AE927" s="1" t="s">
        <v>74</v>
      </c>
      <c r="AF927" s="1" t="s">
        <v>74</v>
      </c>
      <c r="AG927" s="1" t="s">
        <v>74</v>
      </c>
      <c r="AH927" s="1" t="s">
        <v>74</v>
      </c>
      <c r="AI927" s="1" t="s">
        <v>74</v>
      </c>
      <c r="AJ927" s="1" t="s">
        <v>74</v>
      </c>
      <c r="AK927" s="1" t="s">
        <v>74</v>
      </c>
      <c r="AL927" s="1" t="s">
        <v>74</v>
      </c>
      <c r="AM927" s="1" t="s">
        <v>74</v>
      </c>
      <c r="AN927" s="1" t="s">
        <v>74</v>
      </c>
      <c r="AO927" s="1" t="s">
        <v>74</v>
      </c>
      <c r="AP927" s="1" t="s">
        <v>74</v>
      </c>
      <c r="AQ927" s="1" t="s">
        <v>7653</v>
      </c>
      <c r="AR927" s="1" t="s">
        <v>74</v>
      </c>
      <c r="AS927" s="1" t="s">
        <v>74</v>
      </c>
      <c r="AT927" s="1" t="s">
        <v>74</v>
      </c>
      <c r="AU927" s="1">
        <v>2020.0</v>
      </c>
      <c r="AV927" s="1" t="s">
        <v>74</v>
      </c>
      <c r="AW927" s="1" t="s">
        <v>74</v>
      </c>
      <c r="AX927" s="1" t="s">
        <v>74</v>
      </c>
      <c r="AY927" s="1" t="s">
        <v>74</v>
      </c>
      <c r="AZ927" s="1" t="s">
        <v>74</v>
      </c>
      <c r="BA927" s="1" t="s">
        <v>74</v>
      </c>
      <c r="BB927" s="1">
        <v>221.0</v>
      </c>
      <c r="BC927" s="1">
        <v>227.0</v>
      </c>
      <c r="BD927" s="1" t="s">
        <v>74</v>
      </c>
      <c r="BE927" s="1" t="s">
        <v>7654</v>
      </c>
      <c r="BF927" s="2" t="str">
        <f>HYPERLINK("http://dx.doi.org/10.1109/cibcb48159.2020.9277700","http://dx.doi.org/10.1109/cibcb48159.2020.9277700")</f>
        <v>http://dx.doi.org/10.1109/cibcb48159.2020.9277700</v>
      </c>
      <c r="BG927" s="1" t="s">
        <v>74</v>
      </c>
      <c r="BH927" s="1" t="s">
        <v>74</v>
      </c>
      <c r="BI927" s="1" t="s">
        <v>74</v>
      </c>
      <c r="BJ927" s="1" t="s">
        <v>74</v>
      </c>
      <c r="BK927" s="1" t="s">
        <v>74</v>
      </c>
      <c r="BL927" s="1" t="s">
        <v>74</v>
      </c>
      <c r="BM927" s="1" t="s">
        <v>74</v>
      </c>
      <c r="BN927" s="1" t="s">
        <v>74</v>
      </c>
      <c r="BO927" s="1" t="s">
        <v>74</v>
      </c>
      <c r="BP927" s="1" t="s">
        <v>74</v>
      </c>
      <c r="BQ927" s="1" t="s">
        <v>74</v>
      </c>
      <c r="BR927" s="1" t="s">
        <v>74</v>
      </c>
      <c r="BS927" s="1" t="s">
        <v>7655</v>
      </c>
      <c r="BT927" s="1" t="str">
        <f>HYPERLINK("https%3A%2F%2Fwww.webofscience.com%2Fwos%2Fwoscc%2Ffull-record%2FWOS:000662133900029","View Full Record in Web of Science")</f>
        <v>View Full Record in Web of Science</v>
      </c>
    </row>
    <row r="928" ht="12.75" customHeight="1">
      <c r="A928" s="1" t="s">
        <v>454</v>
      </c>
      <c r="B928" s="1" t="s">
        <v>7656</v>
      </c>
      <c r="C928" s="1" t="s">
        <v>74</v>
      </c>
      <c r="D928" s="1" t="s">
        <v>7657</v>
      </c>
      <c r="E928" s="1" t="s">
        <v>74</v>
      </c>
      <c r="F928" s="1" t="s">
        <v>7658</v>
      </c>
      <c r="G928" s="1" t="s">
        <v>74</v>
      </c>
      <c r="H928" s="1" t="s">
        <v>74</v>
      </c>
      <c r="I928" s="1" t="s">
        <v>7659</v>
      </c>
      <c r="J928" s="1" t="s">
        <v>7660</v>
      </c>
      <c r="K928" s="1" t="s">
        <v>74</v>
      </c>
      <c r="L928" s="1" t="s">
        <v>74</v>
      </c>
      <c r="M928" s="1" t="s">
        <v>74</v>
      </c>
      <c r="N928" s="1" t="s">
        <v>74</v>
      </c>
      <c r="O928" s="1" t="s">
        <v>74</v>
      </c>
      <c r="P928" s="1" t="s">
        <v>74</v>
      </c>
      <c r="Q928" s="1" t="s">
        <v>74</v>
      </c>
      <c r="R928" s="1" t="s">
        <v>74</v>
      </c>
      <c r="S928" s="1" t="s">
        <v>74</v>
      </c>
      <c r="T928" s="1" t="s">
        <v>74</v>
      </c>
      <c r="U928" s="1" t="s">
        <v>74</v>
      </c>
      <c r="V928" s="1" t="s">
        <v>74</v>
      </c>
      <c r="W928" s="1" t="s">
        <v>74</v>
      </c>
      <c r="X928" s="1" t="s">
        <v>74</v>
      </c>
      <c r="Y928" s="1" t="s">
        <v>74</v>
      </c>
      <c r="Z928" s="1" t="s">
        <v>74</v>
      </c>
      <c r="AA928" s="1" t="s">
        <v>74</v>
      </c>
      <c r="AB928" s="1" t="s">
        <v>74</v>
      </c>
      <c r="AC928" s="1" t="s">
        <v>74</v>
      </c>
      <c r="AD928" s="1" t="s">
        <v>74</v>
      </c>
      <c r="AE928" s="1" t="s">
        <v>74</v>
      </c>
      <c r="AF928" s="1" t="s">
        <v>74</v>
      </c>
      <c r="AG928" s="1" t="s">
        <v>74</v>
      </c>
      <c r="AH928" s="1" t="s">
        <v>74</v>
      </c>
      <c r="AI928" s="1" t="s">
        <v>74</v>
      </c>
      <c r="AJ928" s="1" t="s">
        <v>74</v>
      </c>
      <c r="AK928" s="1" t="s">
        <v>74</v>
      </c>
      <c r="AL928" s="1" t="s">
        <v>74</v>
      </c>
      <c r="AM928" s="1" t="s">
        <v>74</v>
      </c>
      <c r="AN928" s="1" t="s">
        <v>74</v>
      </c>
      <c r="AO928" s="1" t="s">
        <v>74</v>
      </c>
      <c r="AP928" s="1" t="s">
        <v>74</v>
      </c>
      <c r="AQ928" s="1" t="s">
        <v>7661</v>
      </c>
      <c r="AR928" s="1" t="s">
        <v>74</v>
      </c>
      <c r="AS928" s="1" t="s">
        <v>74</v>
      </c>
      <c r="AT928" s="1" t="s">
        <v>74</v>
      </c>
      <c r="AU928" s="1">
        <v>2020.0</v>
      </c>
      <c r="AV928" s="1" t="s">
        <v>74</v>
      </c>
      <c r="AW928" s="1" t="s">
        <v>74</v>
      </c>
      <c r="AX928" s="1" t="s">
        <v>74</v>
      </c>
      <c r="AY928" s="1" t="s">
        <v>74</v>
      </c>
      <c r="AZ928" s="1" t="s">
        <v>74</v>
      </c>
      <c r="BA928" s="1" t="s">
        <v>74</v>
      </c>
      <c r="BB928" s="1">
        <v>4.0</v>
      </c>
      <c r="BC928" s="1">
        <v>8.0</v>
      </c>
      <c r="BD928" s="1" t="s">
        <v>74</v>
      </c>
      <c r="BE928" s="1" t="s">
        <v>74</v>
      </c>
      <c r="BF928" s="1" t="s">
        <v>74</v>
      </c>
      <c r="BG928" s="1" t="s">
        <v>74</v>
      </c>
      <c r="BH928" s="1" t="s">
        <v>74</v>
      </c>
      <c r="BI928" s="1" t="s">
        <v>74</v>
      </c>
      <c r="BJ928" s="1" t="s">
        <v>74</v>
      </c>
      <c r="BK928" s="1" t="s">
        <v>74</v>
      </c>
      <c r="BL928" s="1" t="s">
        <v>74</v>
      </c>
      <c r="BM928" s="1" t="s">
        <v>74</v>
      </c>
      <c r="BN928" s="1" t="s">
        <v>74</v>
      </c>
      <c r="BO928" s="1" t="s">
        <v>74</v>
      </c>
      <c r="BP928" s="1" t="s">
        <v>74</v>
      </c>
      <c r="BQ928" s="1" t="s">
        <v>74</v>
      </c>
      <c r="BR928" s="1" t="s">
        <v>74</v>
      </c>
      <c r="BS928" s="1" t="s">
        <v>7662</v>
      </c>
      <c r="BT928" s="1" t="str">
        <f>HYPERLINK("https%3A%2F%2Fwww.webofscience.com%2Fwos%2Fwoscc%2Ffull-record%2FWOS:000608842500001","View Full Record in Web of Science")</f>
        <v>View Full Record in Web of Science</v>
      </c>
    </row>
    <row r="929" ht="12.75" customHeight="1">
      <c r="A929" s="1" t="s">
        <v>72</v>
      </c>
      <c r="B929" s="1" t="s">
        <v>7663</v>
      </c>
      <c r="C929" s="1" t="s">
        <v>74</v>
      </c>
      <c r="D929" s="1" t="s">
        <v>74</v>
      </c>
      <c r="E929" s="1" t="s">
        <v>74</v>
      </c>
      <c r="F929" s="1" t="s">
        <v>7664</v>
      </c>
      <c r="G929" s="1" t="s">
        <v>74</v>
      </c>
      <c r="H929" s="1" t="s">
        <v>74</v>
      </c>
      <c r="I929" s="1" t="s">
        <v>7665</v>
      </c>
      <c r="J929" s="1" t="s">
        <v>4375</v>
      </c>
      <c r="K929" s="1" t="s">
        <v>74</v>
      </c>
      <c r="L929" s="1" t="s">
        <v>74</v>
      </c>
      <c r="M929" s="1" t="s">
        <v>74</v>
      </c>
      <c r="N929" s="1" t="s">
        <v>74</v>
      </c>
      <c r="O929" s="1" t="s">
        <v>74</v>
      </c>
      <c r="P929" s="1" t="s">
        <v>74</v>
      </c>
      <c r="Q929" s="1" t="s">
        <v>74</v>
      </c>
      <c r="R929" s="1" t="s">
        <v>74</v>
      </c>
      <c r="S929" s="1" t="s">
        <v>74</v>
      </c>
      <c r="T929" s="1" t="s">
        <v>74</v>
      </c>
      <c r="U929" s="1" t="s">
        <v>74</v>
      </c>
      <c r="V929" s="1" t="s">
        <v>7666</v>
      </c>
      <c r="W929" s="1" t="s">
        <v>74</v>
      </c>
      <c r="X929" s="1" t="s">
        <v>74</v>
      </c>
      <c r="Y929" s="1" t="s">
        <v>74</v>
      </c>
      <c r="Z929" s="1" t="s">
        <v>74</v>
      </c>
      <c r="AA929" s="1" t="s">
        <v>74</v>
      </c>
      <c r="AB929" s="1" t="s">
        <v>74</v>
      </c>
      <c r="AC929" s="1" t="s">
        <v>74</v>
      </c>
      <c r="AD929" s="1" t="s">
        <v>74</v>
      </c>
      <c r="AE929" s="1" t="s">
        <v>74</v>
      </c>
      <c r="AF929" s="1" t="s">
        <v>74</v>
      </c>
      <c r="AG929" s="1" t="s">
        <v>74</v>
      </c>
      <c r="AH929" s="1" t="s">
        <v>74</v>
      </c>
      <c r="AI929" s="1" t="s">
        <v>74</v>
      </c>
      <c r="AJ929" s="1" t="s">
        <v>74</v>
      </c>
      <c r="AK929" s="1" t="s">
        <v>74</v>
      </c>
      <c r="AL929" s="1" t="s">
        <v>74</v>
      </c>
      <c r="AM929" s="1" t="s">
        <v>74</v>
      </c>
      <c r="AN929" s="1" t="s">
        <v>74</v>
      </c>
      <c r="AO929" s="1" t="s">
        <v>4377</v>
      </c>
      <c r="AP929" s="1" t="s">
        <v>4378</v>
      </c>
      <c r="AQ929" s="1" t="s">
        <v>74</v>
      </c>
      <c r="AR929" s="1" t="s">
        <v>74</v>
      </c>
      <c r="AS929" s="1" t="s">
        <v>74</v>
      </c>
      <c r="AT929" s="1" t="s">
        <v>3519</v>
      </c>
      <c r="AU929" s="1">
        <v>2019.0</v>
      </c>
      <c r="AV929" s="1">
        <v>45.0</v>
      </c>
      <c r="AW929" s="1">
        <v>2.0</v>
      </c>
      <c r="AX929" s="1" t="s">
        <v>74</v>
      </c>
      <c r="AY929" s="1" t="s">
        <v>74</v>
      </c>
      <c r="AZ929" s="1" t="s">
        <v>74</v>
      </c>
      <c r="BA929" s="1" t="s">
        <v>74</v>
      </c>
      <c r="BB929" s="1">
        <v>149.0</v>
      </c>
      <c r="BC929" s="1">
        <v>162.0</v>
      </c>
      <c r="BD929" s="1" t="s">
        <v>74</v>
      </c>
      <c r="BE929" s="1" t="s">
        <v>7667</v>
      </c>
      <c r="BF929" s="2" t="str">
        <f>HYPERLINK("http://dx.doi.org/10.15448/1980-864X.2019.2.31335","http://dx.doi.org/10.15448/1980-864X.2019.2.31335")</f>
        <v>http://dx.doi.org/10.15448/1980-864X.2019.2.31335</v>
      </c>
      <c r="BG929" s="1" t="s">
        <v>74</v>
      </c>
      <c r="BH929" s="1" t="s">
        <v>74</v>
      </c>
      <c r="BI929" s="1" t="s">
        <v>74</v>
      </c>
      <c r="BJ929" s="1" t="s">
        <v>74</v>
      </c>
      <c r="BK929" s="1" t="s">
        <v>74</v>
      </c>
      <c r="BL929" s="1" t="s">
        <v>74</v>
      </c>
      <c r="BM929" s="1" t="s">
        <v>74</v>
      </c>
      <c r="BN929" s="1" t="s">
        <v>74</v>
      </c>
      <c r="BO929" s="1" t="s">
        <v>74</v>
      </c>
      <c r="BP929" s="1" t="s">
        <v>74</v>
      </c>
      <c r="BQ929" s="1" t="s">
        <v>74</v>
      </c>
      <c r="BR929" s="1" t="s">
        <v>74</v>
      </c>
      <c r="BS929" s="1" t="s">
        <v>7668</v>
      </c>
      <c r="BT929" s="1" t="str">
        <f>HYPERLINK("https%3A%2F%2Fwww.webofscience.com%2Fwos%2Fwoscc%2Ffull-record%2FWOS:000475669900013","View Full Record in Web of Science")</f>
        <v>View Full Record in Web of Science</v>
      </c>
    </row>
    <row r="930" ht="12.75" customHeight="1">
      <c r="A930" s="1" t="s">
        <v>91</v>
      </c>
      <c r="B930" s="1" t="s">
        <v>7669</v>
      </c>
      <c r="C930" s="1" t="s">
        <v>74</v>
      </c>
      <c r="D930" s="1" t="s">
        <v>1589</v>
      </c>
      <c r="E930" s="1" t="s">
        <v>74</v>
      </c>
      <c r="F930" s="1" t="s">
        <v>7670</v>
      </c>
      <c r="G930" s="1" t="s">
        <v>74</v>
      </c>
      <c r="H930" s="1" t="s">
        <v>74</v>
      </c>
      <c r="I930" s="1" t="s">
        <v>7671</v>
      </c>
      <c r="J930" s="1" t="s">
        <v>7672</v>
      </c>
      <c r="K930" s="1" t="s">
        <v>7673</v>
      </c>
      <c r="L930" s="1" t="s">
        <v>74</v>
      </c>
      <c r="M930" s="1" t="s">
        <v>74</v>
      </c>
      <c r="N930" s="1" t="s">
        <v>74</v>
      </c>
      <c r="O930" s="1" t="s">
        <v>7674</v>
      </c>
      <c r="P930" s="1" t="s">
        <v>7675</v>
      </c>
      <c r="Q930" s="1" t="s">
        <v>7676</v>
      </c>
      <c r="R930" s="1" t="s">
        <v>74</v>
      </c>
      <c r="S930" s="1" t="s">
        <v>74</v>
      </c>
      <c r="T930" s="1" t="s">
        <v>74</v>
      </c>
      <c r="U930" s="1" t="s">
        <v>74</v>
      </c>
      <c r="V930" s="1" t="s">
        <v>7677</v>
      </c>
      <c r="W930" s="1" t="s">
        <v>74</v>
      </c>
      <c r="X930" s="1" t="s">
        <v>74</v>
      </c>
      <c r="Y930" s="1" t="s">
        <v>74</v>
      </c>
      <c r="Z930" s="1" t="s">
        <v>74</v>
      </c>
      <c r="AA930" s="1" t="s">
        <v>74</v>
      </c>
      <c r="AB930" s="1" t="s">
        <v>7678</v>
      </c>
      <c r="AC930" s="1" t="s">
        <v>74</v>
      </c>
      <c r="AD930" s="1" t="s">
        <v>74</v>
      </c>
      <c r="AE930" s="1" t="s">
        <v>74</v>
      </c>
      <c r="AF930" s="1" t="s">
        <v>74</v>
      </c>
      <c r="AG930" s="1" t="s">
        <v>74</v>
      </c>
      <c r="AH930" s="1" t="s">
        <v>74</v>
      </c>
      <c r="AI930" s="1" t="s">
        <v>74</v>
      </c>
      <c r="AJ930" s="1" t="s">
        <v>74</v>
      </c>
      <c r="AK930" s="1" t="s">
        <v>74</v>
      </c>
      <c r="AL930" s="1" t="s">
        <v>74</v>
      </c>
      <c r="AM930" s="1" t="s">
        <v>74</v>
      </c>
      <c r="AN930" s="1" t="s">
        <v>74</v>
      </c>
      <c r="AO930" s="1" t="s">
        <v>7679</v>
      </c>
      <c r="AP930" s="1" t="s">
        <v>74</v>
      </c>
      <c r="AQ930" s="1" t="s">
        <v>7680</v>
      </c>
      <c r="AR930" s="1" t="s">
        <v>74</v>
      </c>
      <c r="AS930" s="1" t="s">
        <v>74</v>
      </c>
      <c r="AT930" s="1" t="s">
        <v>74</v>
      </c>
      <c r="AU930" s="1">
        <v>2019.0</v>
      </c>
      <c r="AV930" s="1" t="s">
        <v>74</v>
      </c>
      <c r="AW930" s="1" t="s">
        <v>74</v>
      </c>
      <c r="AX930" s="1" t="s">
        <v>74</v>
      </c>
      <c r="AY930" s="1" t="s">
        <v>74</v>
      </c>
      <c r="AZ930" s="1" t="s">
        <v>74</v>
      </c>
      <c r="BA930" s="1" t="s">
        <v>74</v>
      </c>
      <c r="BB930" s="1">
        <v>9595.0</v>
      </c>
      <c r="BC930" s="1">
        <v>9600.0</v>
      </c>
      <c r="BD930" s="1" t="s">
        <v>74</v>
      </c>
      <c r="BE930" s="1" t="s">
        <v>7681</v>
      </c>
      <c r="BF930" s="2" t="str">
        <f>HYPERLINK("http://dx.doi.org/10.21125/inted.2019.2384","http://dx.doi.org/10.21125/inted.2019.2384")</f>
        <v>http://dx.doi.org/10.21125/inted.2019.2384</v>
      </c>
      <c r="BG930" s="1" t="s">
        <v>74</v>
      </c>
      <c r="BH930" s="1" t="s">
        <v>74</v>
      </c>
      <c r="BI930" s="1" t="s">
        <v>74</v>
      </c>
      <c r="BJ930" s="1" t="s">
        <v>74</v>
      </c>
      <c r="BK930" s="1" t="s">
        <v>74</v>
      </c>
      <c r="BL930" s="1" t="s">
        <v>74</v>
      </c>
      <c r="BM930" s="1" t="s">
        <v>74</v>
      </c>
      <c r="BN930" s="1" t="s">
        <v>74</v>
      </c>
      <c r="BO930" s="1" t="s">
        <v>74</v>
      </c>
      <c r="BP930" s="1" t="s">
        <v>74</v>
      </c>
      <c r="BQ930" s="1" t="s">
        <v>74</v>
      </c>
      <c r="BR930" s="1" t="s">
        <v>74</v>
      </c>
      <c r="BS930" s="1" t="s">
        <v>7682</v>
      </c>
      <c r="BT930" s="1" t="str">
        <f>HYPERLINK("https%3A%2F%2Fwww.webofscience.com%2Fwos%2Fwoscc%2Ffull-record%2FWOS:000541042204103","View Full Record in Web of Science")</f>
        <v>View Full Record in Web of Science</v>
      </c>
    </row>
    <row r="931" ht="12.75" customHeight="1">
      <c r="A931" s="1" t="s">
        <v>91</v>
      </c>
      <c r="B931" s="1" t="s">
        <v>7683</v>
      </c>
      <c r="C931" s="1" t="s">
        <v>74</v>
      </c>
      <c r="D931" s="1" t="s">
        <v>1589</v>
      </c>
      <c r="E931" s="1" t="s">
        <v>74</v>
      </c>
      <c r="F931" s="1" t="s">
        <v>7684</v>
      </c>
      <c r="G931" s="1" t="s">
        <v>74</v>
      </c>
      <c r="H931" s="1" t="s">
        <v>74</v>
      </c>
      <c r="I931" s="1" t="s">
        <v>7685</v>
      </c>
      <c r="J931" s="1" t="s">
        <v>7672</v>
      </c>
      <c r="K931" s="1" t="s">
        <v>7673</v>
      </c>
      <c r="L931" s="1" t="s">
        <v>74</v>
      </c>
      <c r="M931" s="1" t="s">
        <v>74</v>
      </c>
      <c r="N931" s="1" t="s">
        <v>74</v>
      </c>
      <c r="O931" s="1" t="s">
        <v>7674</v>
      </c>
      <c r="P931" s="1" t="s">
        <v>7675</v>
      </c>
      <c r="Q931" s="1" t="s">
        <v>7676</v>
      </c>
      <c r="R931" s="1" t="s">
        <v>74</v>
      </c>
      <c r="S931" s="1" t="s">
        <v>74</v>
      </c>
      <c r="T931" s="1" t="s">
        <v>74</v>
      </c>
      <c r="U931" s="1" t="s">
        <v>74</v>
      </c>
      <c r="V931" s="1" t="s">
        <v>7686</v>
      </c>
      <c r="W931" s="1" t="s">
        <v>74</v>
      </c>
      <c r="X931" s="1" t="s">
        <v>74</v>
      </c>
      <c r="Y931" s="1" t="s">
        <v>74</v>
      </c>
      <c r="Z931" s="1" t="s">
        <v>74</v>
      </c>
      <c r="AA931" s="1" t="s">
        <v>7687</v>
      </c>
      <c r="AB931" s="1" t="s">
        <v>7688</v>
      </c>
      <c r="AC931" s="1" t="s">
        <v>74</v>
      </c>
      <c r="AD931" s="1" t="s">
        <v>74</v>
      </c>
      <c r="AE931" s="1" t="s">
        <v>74</v>
      </c>
      <c r="AF931" s="1" t="s">
        <v>74</v>
      </c>
      <c r="AG931" s="1" t="s">
        <v>74</v>
      </c>
      <c r="AH931" s="1" t="s">
        <v>74</v>
      </c>
      <c r="AI931" s="1" t="s">
        <v>74</v>
      </c>
      <c r="AJ931" s="1" t="s">
        <v>74</v>
      </c>
      <c r="AK931" s="1" t="s">
        <v>74</v>
      </c>
      <c r="AL931" s="1" t="s">
        <v>74</v>
      </c>
      <c r="AM931" s="1" t="s">
        <v>74</v>
      </c>
      <c r="AN931" s="1" t="s">
        <v>74</v>
      </c>
      <c r="AO931" s="1" t="s">
        <v>7679</v>
      </c>
      <c r="AP931" s="1" t="s">
        <v>74</v>
      </c>
      <c r="AQ931" s="1" t="s">
        <v>7680</v>
      </c>
      <c r="AR931" s="1" t="s">
        <v>74</v>
      </c>
      <c r="AS931" s="1" t="s">
        <v>74</v>
      </c>
      <c r="AT931" s="1" t="s">
        <v>74</v>
      </c>
      <c r="AU931" s="1">
        <v>2019.0</v>
      </c>
      <c r="AV931" s="1" t="s">
        <v>74</v>
      </c>
      <c r="AW931" s="1" t="s">
        <v>74</v>
      </c>
      <c r="AX931" s="1" t="s">
        <v>74</v>
      </c>
      <c r="AY931" s="1" t="s">
        <v>74</v>
      </c>
      <c r="AZ931" s="1" t="s">
        <v>74</v>
      </c>
      <c r="BA931" s="1" t="s">
        <v>74</v>
      </c>
      <c r="BB931" s="1">
        <v>8884.0</v>
      </c>
      <c r="BC931" s="1">
        <v>8889.0</v>
      </c>
      <c r="BD931" s="1" t="s">
        <v>74</v>
      </c>
      <c r="BE931" s="1" t="s">
        <v>7689</v>
      </c>
      <c r="BF931" s="2" t="str">
        <f>HYPERLINK("http://dx.doi.org/10.21125/inted.2019.2214","http://dx.doi.org/10.21125/inted.2019.2214")</f>
        <v>http://dx.doi.org/10.21125/inted.2019.2214</v>
      </c>
      <c r="BG931" s="1" t="s">
        <v>74</v>
      </c>
      <c r="BH931" s="1" t="s">
        <v>74</v>
      </c>
      <c r="BI931" s="1" t="s">
        <v>74</v>
      </c>
      <c r="BJ931" s="1" t="s">
        <v>74</v>
      </c>
      <c r="BK931" s="1" t="s">
        <v>74</v>
      </c>
      <c r="BL931" s="1" t="s">
        <v>74</v>
      </c>
      <c r="BM931" s="1" t="s">
        <v>74</v>
      </c>
      <c r="BN931" s="1" t="s">
        <v>74</v>
      </c>
      <c r="BO931" s="1" t="s">
        <v>74</v>
      </c>
      <c r="BP931" s="1" t="s">
        <v>74</v>
      </c>
      <c r="BQ931" s="1" t="s">
        <v>74</v>
      </c>
      <c r="BR931" s="1" t="s">
        <v>74</v>
      </c>
      <c r="BS931" s="1" t="s">
        <v>7690</v>
      </c>
      <c r="BT931" s="1" t="str">
        <f>HYPERLINK("https%3A%2F%2Fwww.webofscience.com%2Fwos%2Fwoscc%2Ffull-record%2FWOS:000541042203149","View Full Record in Web of Science")</f>
        <v>View Full Record in Web of Science</v>
      </c>
    </row>
    <row r="932" ht="12.75" customHeight="1">
      <c r="A932" s="1" t="s">
        <v>72</v>
      </c>
      <c r="B932" s="1" t="s">
        <v>7691</v>
      </c>
      <c r="C932" s="1" t="s">
        <v>74</v>
      </c>
      <c r="D932" s="1" t="s">
        <v>74</v>
      </c>
      <c r="E932" s="1" t="s">
        <v>74</v>
      </c>
      <c r="F932" s="1" t="s">
        <v>7692</v>
      </c>
      <c r="G932" s="1" t="s">
        <v>74</v>
      </c>
      <c r="H932" s="1" t="s">
        <v>74</v>
      </c>
      <c r="I932" s="1" t="s">
        <v>7693</v>
      </c>
      <c r="J932" s="1" t="s">
        <v>4000</v>
      </c>
      <c r="K932" s="1" t="s">
        <v>74</v>
      </c>
      <c r="L932" s="1" t="s">
        <v>74</v>
      </c>
      <c r="M932" s="1" t="s">
        <v>74</v>
      </c>
      <c r="N932" s="1" t="s">
        <v>74</v>
      </c>
      <c r="O932" s="1" t="s">
        <v>74</v>
      </c>
      <c r="P932" s="1" t="s">
        <v>74</v>
      </c>
      <c r="Q932" s="1" t="s">
        <v>74</v>
      </c>
      <c r="R932" s="1" t="s">
        <v>74</v>
      </c>
      <c r="S932" s="1" t="s">
        <v>74</v>
      </c>
      <c r="T932" s="1" t="s">
        <v>74</v>
      </c>
      <c r="U932" s="1" t="s">
        <v>74</v>
      </c>
      <c r="V932" s="1" t="s">
        <v>7694</v>
      </c>
      <c r="W932" s="1" t="s">
        <v>74</v>
      </c>
      <c r="X932" s="1" t="s">
        <v>74</v>
      </c>
      <c r="Y932" s="1" t="s">
        <v>74</v>
      </c>
      <c r="Z932" s="1" t="s">
        <v>74</v>
      </c>
      <c r="AA932" s="1" t="s">
        <v>74</v>
      </c>
      <c r="AB932" s="1" t="s">
        <v>74</v>
      </c>
      <c r="AC932" s="1" t="s">
        <v>74</v>
      </c>
      <c r="AD932" s="1" t="s">
        <v>74</v>
      </c>
      <c r="AE932" s="1" t="s">
        <v>74</v>
      </c>
      <c r="AF932" s="1" t="s">
        <v>74</v>
      </c>
      <c r="AG932" s="1" t="s">
        <v>74</v>
      </c>
      <c r="AH932" s="1" t="s">
        <v>74</v>
      </c>
      <c r="AI932" s="1" t="s">
        <v>74</v>
      </c>
      <c r="AJ932" s="1" t="s">
        <v>74</v>
      </c>
      <c r="AK932" s="1" t="s">
        <v>74</v>
      </c>
      <c r="AL932" s="1" t="s">
        <v>74</v>
      </c>
      <c r="AM932" s="1" t="s">
        <v>74</v>
      </c>
      <c r="AN932" s="1" t="s">
        <v>74</v>
      </c>
      <c r="AO932" s="1" t="s">
        <v>4003</v>
      </c>
      <c r="AP932" s="1" t="s">
        <v>74</v>
      </c>
      <c r="AQ932" s="1" t="s">
        <v>74</v>
      </c>
      <c r="AR932" s="1" t="s">
        <v>74</v>
      </c>
      <c r="AS932" s="1" t="s">
        <v>74</v>
      </c>
      <c r="AT932" s="1" t="s">
        <v>370</v>
      </c>
      <c r="AU932" s="1">
        <v>2018.0</v>
      </c>
      <c r="AV932" s="1" t="s">
        <v>74</v>
      </c>
      <c r="AW932" s="1">
        <v>46.0</v>
      </c>
      <c r="AX932" s="1" t="s">
        <v>74</v>
      </c>
      <c r="AY932" s="1" t="s">
        <v>74</v>
      </c>
      <c r="AZ932" s="1" t="s">
        <v>74</v>
      </c>
      <c r="BA932" s="1" t="s">
        <v>74</v>
      </c>
      <c r="BB932" s="1">
        <v>199.0</v>
      </c>
      <c r="BC932" s="1">
        <v>214.0</v>
      </c>
      <c r="BD932" s="1" t="s">
        <v>74</v>
      </c>
      <c r="BE932" s="1" t="s">
        <v>74</v>
      </c>
      <c r="BF932" s="1" t="s">
        <v>74</v>
      </c>
      <c r="BG932" s="1" t="s">
        <v>74</v>
      </c>
      <c r="BH932" s="1" t="s">
        <v>74</v>
      </c>
      <c r="BI932" s="1" t="s">
        <v>74</v>
      </c>
      <c r="BJ932" s="1" t="s">
        <v>74</v>
      </c>
      <c r="BK932" s="1" t="s">
        <v>74</v>
      </c>
      <c r="BL932" s="1" t="s">
        <v>74</v>
      </c>
      <c r="BM932" s="1" t="s">
        <v>74</v>
      </c>
      <c r="BN932" s="1" t="s">
        <v>74</v>
      </c>
      <c r="BO932" s="1" t="s">
        <v>74</v>
      </c>
      <c r="BP932" s="1" t="s">
        <v>74</v>
      </c>
      <c r="BQ932" s="1" t="s">
        <v>74</v>
      </c>
      <c r="BR932" s="1" t="s">
        <v>74</v>
      </c>
      <c r="BS932" s="1" t="s">
        <v>7695</v>
      </c>
      <c r="BT932" s="1" t="str">
        <f>HYPERLINK("https%3A%2F%2Fwww.webofscience.com%2Fwos%2Fwoscc%2Ffull-record%2FWOS:000442280100011","View Full Record in Web of Science")</f>
        <v>View Full Record in Web of Science</v>
      </c>
    </row>
    <row r="933" ht="12.75" customHeight="1">
      <c r="A933" s="1" t="s">
        <v>72</v>
      </c>
      <c r="B933" s="1" t="s">
        <v>7696</v>
      </c>
      <c r="C933" s="1" t="s">
        <v>74</v>
      </c>
      <c r="D933" s="1" t="s">
        <v>74</v>
      </c>
      <c r="E933" s="1" t="s">
        <v>74</v>
      </c>
      <c r="F933" s="1" t="s">
        <v>7697</v>
      </c>
      <c r="G933" s="1" t="s">
        <v>74</v>
      </c>
      <c r="H933" s="1" t="s">
        <v>74</v>
      </c>
      <c r="I933" s="1" t="s">
        <v>7698</v>
      </c>
      <c r="J933" s="1" t="s">
        <v>842</v>
      </c>
      <c r="K933" s="1" t="s">
        <v>74</v>
      </c>
      <c r="L933" s="1" t="s">
        <v>74</v>
      </c>
      <c r="M933" s="1" t="s">
        <v>74</v>
      </c>
      <c r="N933" s="1" t="s">
        <v>74</v>
      </c>
      <c r="O933" s="1" t="s">
        <v>74</v>
      </c>
      <c r="P933" s="1" t="s">
        <v>74</v>
      </c>
      <c r="Q933" s="1" t="s">
        <v>74</v>
      </c>
      <c r="R933" s="1" t="s">
        <v>74</v>
      </c>
      <c r="S933" s="1" t="s">
        <v>74</v>
      </c>
      <c r="T933" s="1" t="s">
        <v>74</v>
      </c>
      <c r="U933" s="1" t="s">
        <v>74</v>
      </c>
      <c r="V933" s="1" t="s">
        <v>7699</v>
      </c>
      <c r="W933" s="1" t="s">
        <v>74</v>
      </c>
      <c r="X933" s="1" t="s">
        <v>74</v>
      </c>
      <c r="Y933" s="1" t="s">
        <v>74</v>
      </c>
      <c r="Z933" s="1" t="s">
        <v>74</v>
      </c>
      <c r="AA933" s="1" t="s">
        <v>74</v>
      </c>
      <c r="AB933" s="1" t="s">
        <v>7700</v>
      </c>
      <c r="AC933" s="1" t="s">
        <v>74</v>
      </c>
      <c r="AD933" s="1" t="s">
        <v>74</v>
      </c>
      <c r="AE933" s="1" t="s">
        <v>74</v>
      </c>
      <c r="AF933" s="1" t="s">
        <v>74</v>
      </c>
      <c r="AG933" s="1" t="s">
        <v>74</v>
      </c>
      <c r="AH933" s="1" t="s">
        <v>74</v>
      </c>
      <c r="AI933" s="1" t="s">
        <v>74</v>
      </c>
      <c r="AJ933" s="1" t="s">
        <v>74</v>
      </c>
      <c r="AK933" s="1" t="s">
        <v>74</v>
      </c>
      <c r="AL933" s="1" t="s">
        <v>74</v>
      </c>
      <c r="AM933" s="1" t="s">
        <v>74</v>
      </c>
      <c r="AN933" s="1" t="s">
        <v>74</v>
      </c>
      <c r="AO933" s="1" t="s">
        <v>846</v>
      </c>
      <c r="AP933" s="1" t="s">
        <v>4545</v>
      </c>
      <c r="AQ933" s="1" t="s">
        <v>74</v>
      </c>
      <c r="AR933" s="1" t="s">
        <v>74</v>
      </c>
      <c r="AS933" s="1" t="s">
        <v>74</v>
      </c>
      <c r="AT933" s="1" t="s">
        <v>148</v>
      </c>
      <c r="AU933" s="1">
        <v>2018.0</v>
      </c>
      <c r="AV933" s="1">
        <v>74.0</v>
      </c>
      <c r="AW933" s="1" t="s">
        <v>74</v>
      </c>
      <c r="AX933" s="1" t="s">
        <v>74</v>
      </c>
      <c r="AY933" s="1" t="s">
        <v>74</v>
      </c>
      <c r="AZ933" s="1" t="s">
        <v>74</v>
      </c>
      <c r="BA933" s="1" t="s">
        <v>74</v>
      </c>
      <c r="BB933" s="1">
        <v>76.0</v>
      </c>
      <c r="BC933" s="1">
        <v>83.0</v>
      </c>
      <c r="BD933" s="1" t="s">
        <v>74</v>
      </c>
      <c r="BE933" s="1" t="s">
        <v>7701</v>
      </c>
      <c r="BF933" s="2" t="str">
        <f>HYPERLINK("http://dx.doi.org/10.1016/j.fsi.2017.12.043","http://dx.doi.org/10.1016/j.fsi.2017.12.043")</f>
        <v>http://dx.doi.org/10.1016/j.fsi.2017.12.043</v>
      </c>
      <c r="BG933" s="1" t="s">
        <v>74</v>
      </c>
      <c r="BH933" s="1" t="s">
        <v>74</v>
      </c>
      <c r="BI933" s="1" t="s">
        <v>74</v>
      </c>
      <c r="BJ933" s="1" t="s">
        <v>74</v>
      </c>
      <c r="BK933" s="1" t="s">
        <v>74</v>
      </c>
      <c r="BL933" s="1" t="s">
        <v>74</v>
      </c>
      <c r="BM933" s="1" t="s">
        <v>74</v>
      </c>
      <c r="BN933" s="1">
        <v>2.9292197E7</v>
      </c>
      <c r="BO933" s="1" t="s">
        <v>74</v>
      </c>
      <c r="BP933" s="1" t="s">
        <v>74</v>
      </c>
      <c r="BQ933" s="1" t="s">
        <v>74</v>
      </c>
      <c r="BR933" s="1" t="s">
        <v>74</v>
      </c>
      <c r="BS933" s="1" t="s">
        <v>7702</v>
      </c>
      <c r="BT933" s="1" t="str">
        <f>HYPERLINK("https%3A%2F%2Fwww.webofscience.com%2Fwos%2Fwoscc%2Ffull-record%2FWOS:000427344200010","View Full Record in Web of Science")</f>
        <v>View Full Record in Web of Science</v>
      </c>
    </row>
    <row r="934" ht="12.75" customHeight="1">
      <c r="A934" s="1" t="s">
        <v>454</v>
      </c>
      <c r="B934" s="1" t="s">
        <v>7703</v>
      </c>
      <c r="C934" s="1" t="s">
        <v>1480</v>
      </c>
      <c r="D934" s="1" t="s">
        <v>74</v>
      </c>
      <c r="E934" s="1" t="s">
        <v>74</v>
      </c>
      <c r="F934" s="1" t="s">
        <v>7704</v>
      </c>
      <c r="G934" s="1" t="s">
        <v>1480</v>
      </c>
      <c r="H934" s="1" t="s">
        <v>74</v>
      </c>
      <c r="I934" s="1" t="s">
        <v>7705</v>
      </c>
      <c r="J934" s="1" t="s">
        <v>1483</v>
      </c>
      <c r="K934" s="1" t="s">
        <v>74</v>
      </c>
      <c r="L934" s="1" t="s">
        <v>74</v>
      </c>
      <c r="M934" s="1" t="s">
        <v>74</v>
      </c>
      <c r="N934" s="1" t="s">
        <v>74</v>
      </c>
      <c r="O934" s="1" t="s">
        <v>74</v>
      </c>
      <c r="P934" s="1" t="s">
        <v>74</v>
      </c>
      <c r="Q934" s="1" t="s">
        <v>74</v>
      </c>
      <c r="R934" s="1" t="s">
        <v>74</v>
      </c>
      <c r="S934" s="1" t="s">
        <v>74</v>
      </c>
      <c r="T934" s="1" t="s">
        <v>74</v>
      </c>
      <c r="U934" s="1" t="s">
        <v>74</v>
      </c>
      <c r="V934" s="1" t="s">
        <v>7706</v>
      </c>
      <c r="W934" s="1" t="s">
        <v>74</v>
      </c>
      <c r="X934" s="1" t="s">
        <v>74</v>
      </c>
      <c r="Y934" s="1" t="s">
        <v>74</v>
      </c>
      <c r="Z934" s="1" t="s">
        <v>74</v>
      </c>
      <c r="AA934" s="1" t="s">
        <v>74</v>
      </c>
      <c r="AB934" s="1" t="s">
        <v>74</v>
      </c>
      <c r="AC934" s="1" t="s">
        <v>74</v>
      </c>
      <c r="AD934" s="1" t="s">
        <v>74</v>
      </c>
      <c r="AE934" s="1" t="s">
        <v>74</v>
      </c>
      <c r="AF934" s="1" t="s">
        <v>74</v>
      </c>
      <c r="AG934" s="1" t="s">
        <v>74</v>
      </c>
      <c r="AH934" s="1" t="s">
        <v>74</v>
      </c>
      <c r="AI934" s="1" t="s">
        <v>74</v>
      </c>
      <c r="AJ934" s="1" t="s">
        <v>74</v>
      </c>
      <c r="AK934" s="1" t="s">
        <v>74</v>
      </c>
      <c r="AL934" s="1" t="s">
        <v>74</v>
      </c>
      <c r="AM934" s="1" t="s">
        <v>74</v>
      </c>
      <c r="AN934" s="1" t="s">
        <v>74</v>
      </c>
      <c r="AO934" s="1" t="s">
        <v>74</v>
      </c>
      <c r="AP934" s="1" t="s">
        <v>74</v>
      </c>
      <c r="AQ934" s="1" t="s">
        <v>1485</v>
      </c>
      <c r="AR934" s="1" t="s">
        <v>74</v>
      </c>
      <c r="AS934" s="1" t="s">
        <v>74</v>
      </c>
      <c r="AT934" s="1" t="s">
        <v>74</v>
      </c>
      <c r="AU934" s="1">
        <v>2018.0</v>
      </c>
      <c r="AV934" s="1" t="s">
        <v>74</v>
      </c>
      <c r="AW934" s="1" t="s">
        <v>74</v>
      </c>
      <c r="AX934" s="1" t="s">
        <v>74</v>
      </c>
      <c r="AY934" s="1" t="s">
        <v>74</v>
      </c>
      <c r="AZ934" s="1" t="s">
        <v>74</v>
      </c>
      <c r="BA934" s="1" t="s">
        <v>74</v>
      </c>
      <c r="BB934" s="1">
        <v>56.0</v>
      </c>
      <c r="BC934" s="1">
        <v>66.0</v>
      </c>
      <c r="BD934" s="1" t="s">
        <v>74</v>
      </c>
      <c r="BE934" s="1" t="s">
        <v>74</v>
      </c>
      <c r="BF934" s="1" t="s">
        <v>74</v>
      </c>
      <c r="BG934" s="1" t="s">
        <v>74</v>
      </c>
      <c r="BH934" s="1" t="s">
        <v>74</v>
      </c>
      <c r="BI934" s="1" t="s">
        <v>74</v>
      </c>
      <c r="BJ934" s="1" t="s">
        <v>74</v>
      </c>
      <c r="BK934" s="1" t="s">
        <v>74</v>
      </c>
      <c r="BL934" s="1" t="s">
        <v>74</v>
      </c>
      <c r="BM934" s="1" t="s">
        <v>74</v>
      </c>
      <c r="BN934" s="1" t="s">
        <v>74</v>
      </c>
      <c r="BO934" s="1" t="s">
        <v>74</v>
      </c>
      <c r="BP934" s="1" t="s">
        <v>74</v>
      </c>
      <c r="BQ934" s="1" t="s">
        <v>74</v>
      </c>
      <c r="BR934" s="1" t="s">
        <v>74</v>
      </c>
      <c r="BS934" s="1" t="s">
        <v>7707</v>
      </c>
      <c r="BT934" s="1" t="str">
        <f>HYPERLINK("https%3A%2F%2Fwww.webofscience.com%2Fwos%2Fwoscc%2Ffull-record%2FWOS:000483366800005","View Full Record in Web of Science")</f>
        <v>View Full Record in Web of Science</v>
      </c>
    </row>
    <row r="935" ht="12.75" customHeight="1">
      <c r="A935" s="1" t="s">
        <v>72</v>
      </c>
      <c r="B935" s="1" t="s">
        <v>7708</v>
      </c>
      <c r="C935" s="1" t="s">
        <v>74</v>
      </c>
      <c r="D935" s="1" t="s">
        <v>74</v>
      </c>
      <c r="E935" s="1" t="s">
        <v>74</v>
      </c>
      <c r="F935" s="1" t="s">
        <v>7709</v>
      </c>
      <c r="G935" s="1" t="s">
        <v>74</v>
      </c>
      <c r="H935" s="1" t="s">
        <v>74</v>
      </c>
      <c r="I935" s="1" t="s">
        <v>7710</v>
      </c>
      <c r="J935" s="1" t="s">
        <v>1603</v>
      </c>
      <c r="K935" s="1" t="s">
        <v>74</v>
      </c>
      <c r="L935" s="1" t="s">
        <v>74</v>
      </c>
      <c r="M935" s="1" t="s">
        <v>74</v>
      </c>
      <c r="N935" s="1" t="s">
        <v>74</v>
      </c>
      <c r="O935" s="1" t="s">
        <v>74</v>
      </c>
      <c r="P935" s="1" t="s">
        <v>74</v>
      </c>
      <c r="Q935" s="1" t="s">
        <v>74</v>
      </c>
      <c r="R935" s="1" t="s">
        <v>74</v>
      </c>
      <c r="S935" s="1" t="s">
        <v>74</v>
      </c>
      <c r="T935" s="1" t="s">
        <v>74</v>
      </c>
      <c r="U935" s="1" t="s">
        <v>74</v>
      </c>
      <c r="V935" s="1" t="s">
        <v>7711</v>
      </c>
      <c r="W935" s="1" t="s">
        <v>74</v>
      </c>
      <c r="X935" s="1" t="s">
        <v>74</v>
      </c>
      <c r="Y935" s="1" t="s">
        <v>74</v>
      </c>
      <c r="Z935" s="1" t="s">
        <v>74</v>
      </c>
      <c r="AA935" s="1" t="s">
        <v>74</v>
      </c>
      <c r="AB935" s="1" t="s">
        <v>74</v>
      </c>
      <c r="AC935" s="1" t="s">
        <v>74</v>
      </c>
      <c r="AD935" s="1" t="s">
        <v>74</v>
      </c>
      <c r="AE935" s="1" t="s">
        <v>74</v>
      </c>
      <c r="AF935" s="1" t="s">
        <v>74</v>
      </c>
      <c r="AG935" s="1" t="s">
        <v>74</v>
      </c>
      <c r="AH935" s="1" t="s">
        <v>74</v>
      </c>
      <c r="AI935" s="1" t="s">
        <v>74</v>
      </c>
      <c r="AJ935" s="1" t="s">
        <v>74</v>
      </c>
      <c r="AK935" s="1" t="s">
        <v>74</v>
      </c>
      <c r="AL935" s="1" t="s">
        <v>74</v>
      </c>
      <c r="AM935" s="1" t="s">
        <v>74</v>
      </c>
      <c r="AN935" s="1" t="s">
        <v>74</v>
      </c>
      <c r="AO935" s="1" t="s">
        <v>1605</v>
      </c>
      <c r="AP935" s="1" t="s">
        <v>74</v>
      </c>
      <c r="AQ935" s="1" t="s">
        <v>74</v>
      </c>
      <c r="AR935" s="1" t="s">
        <v>74</v>
      </c>
      <c r="AS935" s="1" t="s">
        <v>74</v>
      </c>
      <c r="AT935" s="1" t="s">
        <v>370</v>
      </c>
      <c r="AU935" s="1">
        <v>2017.0</v>
      </c>
      <c r="AV935" s="1">
        <v>15.0</v>
      </c>
      <c r="AW935" s="1">
        <v>7.0</v>
      </c>
      <c r="AX935" s="1" t="s">
        <v>74</v>
      </c>
      <c r="AY935" s="1" t="s">
        <v>74</v>
      </c>
      <c r="AZ935" s="1" t="s">
        <v>74</v>
      </c>
      <c r="BA935" s="1" t="s">
        <v>74</v>
      </c>
      <c r="BB935" s="1">
        <v>1257.0</v>
      </c>
      <c r="BC935" s="1">
        <v>1262.0</v>
      </c>
      <c r="BD935" s="1" t="s">
        <v>74</v>
      </c>
      <c r="BE935" s="1" t="s">
        <v>7712</v>
      </c>
      <c r="BF935" s="2" t="str">
        <f>HYPERLINK("http://dx.doi.org/10.1109/TLA.2017.7959344","http://dx.doi.org/10.1109/TLA.2017.7959344")</f>
        <v>http://dx.doi.org/10.1109/TLA.2017.7959344</v>
      </c>
      <c r="BG935" s="1" t="s">
        <v>74</v>
      </c>
      <c r="BH935" s="1" t="s">
        <v>74</v>
      </c>
      <c r="BI935" s="1" t="s">
        <v>74</v>
      </c>
      <c r="BJ935" s="1" t="s">
        <v>74</v>
      </c>
      <c r="BK935" s="1" t="s">
        <v>74</v>
      </c>
      <c r="BL935" s="1" t="s">
        <v>74</v>
      </c>
      <c r="BM935" s="1" t="s">
        <v>74</v>
      </c>
      <c r="BN935" s="1" t="s">
        <v>74</v>
      </c>
      <c r="BO935" s="1" t="s">
        <v>74</v>
      </c>
      <c r="BP935" s="1" t="s">
        <v>74</v>
      </c>
      <c r="BQ935" s="1" t="s">
        <v>74</v>
      </c>
      <c r="BR935" s="1" t="s">
        <v>74</v>
      </c>
      <c r="BS935" s="1" t="s">
        <v>7713</v>
      </c>
      <c r="BT935" s="1" t="str">
        <f>HYPERLINK("https%3A%2F%2Fwww.webofscience.com%2Fwos%2Fwoscc%2Ffull-record%2FWOS:000405001700008","View Full Record in Web of Science")</f>
        <v>View Full Record in Web of Science</v>
      </c>
    </row>
    <row r="936" ht="12.75" customHeight="1">
      <c r="A936" s="1" t="s">
        <v>72</v>
      </c>
      <c r="B936" s="1" t="s">
        <v>7714</v>
      </c>
      <c r="C936" s="1" t="s">
        <v>74</v>
      </c>
      <c r="D936" s="1" t="s">
        <v>74</v>
      </c>
      <c r="E936" s="1" t="s">
        <v>74</v>
      </c>
      <c r="F936" s="1" t="s">
        <v>7715</v>
      </c>
      <c r="G936" s="1" t="s">
        <v>74</v>
      </c>
      <c r="H936" s="1" t="s">
        <v>74</v>
      </c>
      <c r="I936" s="1" t="s">
        <v>7716</v>
      </c>
      <c r="J936" s="1" t="s">
        <v>1050</v>
      </c>
      <c r="K936" s="1" t="s">
        <v>74</v>
      </c>
      <c r="L936" s="1" t="s">
        <v>74</v>
      </c>
      <c r="M936" s="1" t="s">
        <v>74</v>
      </c>
      <c r="N936" s="1" t="s">
        <v>74</v>
      </c>
      <c r="O936" s="1" t="s">
        <v>74</v>
      </c>
      <c r="P936" s="1" t="s">
        <v>74</v>
      </c>
      <c r="Q936" s="1" t="s">
        <v>74</v>
      </c>
      <c r="R936" s="1" t="s">
        <v>74</v>
      </c>
      <c r="S936" s="1" t="s">
        <v>74</v>
      </c>
      <c r="T936" s="1" t="s">
        <v>74</v>
      </c>
      <c r="U936" s="1" t="s">
        <v>74</v>
      </c>
      <c r="V936" s="1" t="s">
        <v>7717</v>
      </c>
      <c r="W936" s="1" t="s">
        <v>74</v>
      </c>
      <c r="X936" s="1" t="s">
        <v>74</v>
      </c>
      <c r="Y936" s="1" t="s">
        <v>74</v>
      </c>
      <c r="Z936" s="1" t="s">
        <v>74</v>
      </c>
      <c r="AA936" s="1" t="s">
        <v>7120</v>
      </c>
      <c r="AB936" s="1" t="s">
        <v>7718</v>
      </c>
      <c r="AC936" s="1" t="s">
        <v>74</v>
      </c>
      <c r="AD936" s="1" t="s">
        <v>74</v>
      </c>
      <c r="AE936" s="1" t="s">
        <v>74</v>
      </c>
      <c r="AF936" s="1" t="s">
        <v>74</v>
      </c>
      <c r="AG936" s="1" t="s">
        <v>74</v>
      </c>
      <c r="AH936" s="1" t="s">
        <v>74</v>
      </c>
      <c r="AI936" s="1" t="s">
        <v>74</v>
      </c>
      <c r="AJ936" s="1" t="s">
        <v>74</v>
      </c>
      <c r="AK936" s="1" t="s">
        <v>74</v>
      </c>
      <c r="AL936" s="1" t="s">
        <v>74</v>
      </c>
      <c r="AM936" s="1" t="s">
        <v>74</v>
      </c>
      <c r="AN936" s="1" t="s">
        <v>74</v>
      </c>
      <c r="AO936" s="1" t="s">
        <v>1054</v>
      </c>
      <c r="AP936" s="1" t="s">
        <v>74</v>
      </c>
      <c r="AQ936" s="1" t="s">
        <v>74</v>
      </c>
      <c r="AR936" s="1" t="s">
        <v>74</v>
      </c>
      <c r="AS936" s="1" t="s">
        <v>74</v>
      </c>
      <c r="AT936" s="1" t="s">
        <v>180</v>
      </c>
      <c r="AU936" s="1">
        <v>2017.0</v>
      </c>
      <c r="AV936" s="1">
        <v>62.0</v>
      </c>
      <c r="AW936" s="1">
        <v>2.0</v>
      </c>
      <c r="AX936" s="1" t="s">
        <v>74</v>
      </c>
      <c r="AY936" s="1" t="s">
        <v>74</v>
      </c>
      <c r="AZ936" s="1" t="s">
        <v>74</v>
      </c>
      <c r="BA936" s="1" t="s">
        <v>74</v>
      </c>
      <c r="BB936" s="1">
        <v>3519.0</v>
      </c>
      <c r="BC936" s="1">
        <v>3524.0</v>
      </c>
      <c r="BD936" s="1" t="s">
        <v>74</v>
      </c>
      <c r="BE936" s="1" t="s">
        <v>7719</v>
      </c>
      <c r="BF936" s="2" t="str">
        <f>HYPERLINK("http://dx.doi.org/10.4067/S0717-97072017000200019","http://dx.doi.org/10.4067/S0717-97072017000200019")</f>
        <v>http://dx.doi.org/10.4067/S0717-97072017000200019</v>
      </c>
      <c r="BG936" s="1" t="s">
        <v>74</v>
      </c>
      <c r="BH936" s="1" t="s">
        <v>74</v>
      </c>
      <c r="BI936" s="1" t="s">
        <v>74</v>
      </c>
      <c r="BJ936" s="1" t="s">
        <v>74</v>
      </c>
      <c r="BK936" s="1" t="s">
        <v>74</v>
      </c>
      <c r="BL936" s="1" t="s">
        <v>74</v>
      </c>
      <c r="BM936" s="1" t="s">
        <v>74</v>
      </c>
      <c r="BN936" s="1" t="s">
        <v>74</v>
      </c>
      <c r="BO936" s="1" t="s">
        <v>74</v>
      </c>
      <c r="BP936" s="1" t="s">
        <v>74</v>
      </c>
      <c r="BQ936" s="1" t="s">
        <v>74</v>
      </c>
      <c r="BR936" s="1" t="s">
        <v>74</v>
      </c>
      <c r="BS936" s="1" t="s">
        <v>7720</v>
      </c>
      <c r="BT936" s="1" t="str">
        <f>HYPERLINK("https%3A%2F%2Fwww.webofscience.com%2Fwos%2Fwoscc%2Ffull-record%2FWOS:000408266600019","View Full Record in Web of Science")</f>
        <v>View Full Record in Web of Science</v>
      </c>
    </row>
    <row r="937" ht="12.75" customHeight="1">
      <c r="A937" s="1" t="s">
        <v>72</v>
      </c>
      <c r="B937" s="1" t="s">
        <v>7721</v>
      </c>
      <c r="C937" s="1" t="s">
        <v>74</v>
      </c>
      <c r="D937" s="1" t="s">
        <v>74</v>
      </c>
      <c r="E937" s="1" t="s">
        <v>74</v>
      </c>
      <c r="F937" s="1" t="s">
        <v>7722</v>
      </c>
      <c r="G937" s="1" t="s">
        <v>74</v>
      </c>
      <c r="H937" s="1" t="s">
        <v>74</v>
      </c>
      <c r="I937" s="1" t="s">
        <v>7723</v>
      </c>
      <c r="J937" s="1" t="s">
        <v>5881</v>
      </c>
      <c r="K937" s="1" t="s">
        <v>74</v>
      </c>
      <c r="L937" s="1" t="s">
        <v>74</v>
      </c>
      <c r="M937" s="1" t="s">
        <v>74</v>
      </c>
      <c r="N937" s="1" t="s">
        <v>74</v>
      </c>
      <c r="O937" s="1" t="s">
        <v>74</v>
      </c>
      <c r="P937" s="1" t="s">
        <v>74</v>
      </c>
      <c r="Q937" s="1" t="s">
        <v>74</v>
      </c>
      <c r="R937" s="1" t="s">
        <v>74</v>
      </c>
      <c r="S937" s="1" t="s">
        <v>74</v>
      </c>
      <c r="T937" s="1" t="s">
        <v>74</v>
      </c>
      <c r="U937" s="1" t="s">
        <v>74</v>
      </c>
      <c r="V937" s="1" t="s">
        <v>7724</v>
      </c>
      <c r="W937" s="1" t="s">
        <v>74</v>
      </c>
      <c r="X937" s="1" t="s">
        <v>74</v>
      </c>
      <c r="Y937" s="1" t="s">
        <v>74</v>
      </c>
      <c r="Z937" s="1" t="s">
        <v>74</v>
      </c>
      <c r="AA937" s="1" t="s">
        <v>7725</v>
      </c>
      <c r="AB937" s="1" t="s">
        <v>7726</v>
      </c>
      <c r="AC937" s="1" t="s">
        <v>74</v>
      </c>
      <c r="AD937" s="1" t="s">
        <v>74</v>
      </c>
      <c r="AE937" s="1" t="s">
        <v>74</v>
      </c>
      <c r="AF937" s="1" t="s">
        <v>74</v>
      </c>
      <c r="AG937" s="1" t="s">
        <v>74</v>
      </c>
      <c r="AH937" s="1" t="s">
        <v>74</v>
      </c>
      <c r="AI937" s="1" t="s">
        <v>74</v>
      </c>
      <c r="AJ937" s="1" t="s">
        <v>74</v>
      </c>
      <c r="AK937" s="1" t="s">
        <v>74</v>
      </c>
      <c r="AL937" s="1" t="s">
        <v>74</v>
      </c>
      <c r="AM937" s="1" t="s">
        <v>74</v>
      </c>
      <c r="AN937" s="1" t="s">
        <v>74</v>
      </c>
      <c r="AO937" s="1" t="s">
        <v>5883</v>
      </c>
      <c r="AP937" s="1" t="s">
        <v>7727</v>
      </c>
      <c r="AQ937" s="1" t="s">
        <v>74</v>
      </c>
      <c r="AR937" s="1" t="s">
        <v>74</v>
      </c>
      <c r="AS937" s="1" t="s">
        <v>74</v>
      </c>
      <c r="AT937" s="1" t="s">
        <v>347</v>
      </c>
      <c r="AU937" s="1">
        <v>2017.0</v>
      </c>
      <c r="AV937" s="1">
        <v>89.0</v>
      </c>
      <c r="AW937" s="1" t="s">
        <v>74</v>
      </c>
      <c r="AX937" s="1" t="s">
        <v>74</v>
      </c>
      <c r="AY937" s="1" t="s">
        <v>74</v>
      </c>
      <c r="AZ937" s="1" t="s">
        <v>74</v>
      </c>
      <c r="BA937" s="1" t="s">
        <v>74</v>
      </c>
      <c r="BB937" s="1">
        <v>195.0</v>
      </c>
      <c r="BC937" s="1">
        <v>210.0</v>
      </c>
      <c r="BD937" s="1" t="s">
        <v>74</v>
      </c>
      <c r="BE937" s="1" t="s">
        <v>7728</v>
      </c>
      <c r="BF937" s="2" t="str">
        <f>HYPERLINK("http://dx.doi.org/10.1016/j.eurpolymj.2017.01.019","http://dx.doi.org/10.1016/j.eurpolymj.2017.01.019")</f>
        <v>http://dx.doi.org/10.1016/j.eurpolymj.2017.01.019</v>
      </c>
      <c r="BG937" s="1" t="s">
        <v>74</v>
      </c>
      <c r="BH937" s="1" t="s">
        <v>74</v>
      </c>
      <c r="BI937" s="1" t="s">
        <v>74</v>
      </c>
      <c r="BJ937" s="1" t="s">
        <v>74</v>
      </c>
      <c r="BK937" s="1" t="s">
        <v>74</v>
      </c>
      <c r="BL937" s="1" t="s">
        <v>74</v>
      </c>
      <c r="BM937" s="1" t="s">
        <v>74</v>
      </c>
      <c r="BN937" s="1" t="s">
        <v>74</v>
      </c>
      <c r="BO937" s="1" t="s">
        <v>74</v>
      </c>
      <c r="BP937" s="1" t="s">
        <v>74</v>
      </c>
      <c r="BQ937" s="1" t="s">
        <v>74</v>
      </c>
      <c r="BR937" s="1" t="s">
        <v>74</v>
      </c>
      <c r="BS937" s="1" t="s">
        <v>7729</v>
      </c>
      <c r="BT937" s="1" t="str">
        <f>HYPERLINK("https%3A%2F%2Fwww.webofscience.com%2Fwos%2Fwoscc%2Ffull-record%2FWOS:000400037500018","View Full Record in Web of Science")</f>
        <v>View Full Record in Web of Science</v>
      </c>
    </row>
    <row r="938" ht="12.75" customHeight="1">
      <c r="A938" s="1" t="s">
        <v>162</v>
      </c>
      <c r="B938" s="1" t="s">
        <v>7730</v>
      </c>
      <c r="C938" s="1" t="s">
        <v>74</v>
      </c>
      <c r="D938" s="1" t="s">
        <v>5402</v>
      </c>
      <c r="E938" s="1" t="s">
        <v>74</v>
      </c>
      <c r="F938" s="1" t="s">
        <v>7731</v>
      </c>
      <c r="G938" s="1" t="s">
        <v>74</v>
      </c>
      <c r="H938" s="1" t="s">
        <v>74</v>
      </c>
      <c r="I938" s="1" t="s">
        <v>7732</v>
      </c>
      <c r="J938" s="1" t="s">
        <v>5405</v>
      </c>
      <c r="K938" s="1" t="s">
        <v>5406</v>
      </c>
      <c r="L938" s="1" t="s">
        <v>74</v>
      </c>
      <c r="M938" s="1" t="s">
        <v>74</v>
      </c>
      <c r="N938" s="1" t="s">
        <v>74</v>
      </c>
      <c r="O938" s="1" t="s">
        <v>74</v>
      </c>
      <c r="P938" s="1" t="s">
        <v>74</v>
      </c>
      <c r="Q938" s="1" t="s">
        <v>74</v>
      </c>
      <c r="R938" s="1" t="s">
        <v>74</v>
      </c>
      <c r="S938" s="1" t="s">
        <v>74</v>
      </c>
      <c r="T938" s="1" t="s">
        <v>74</v>
      </c>
      <c r="U938" s="1" t="s">
        <v>74</v>
      </c>
      <c r="V938" s="1" t="s">
        <v>7733</v>
      </c>
      <c r="W938" s="1" t="s">
        <v>74</v>
      </c>
      <c r="X938" s="1" t="s">
        <v>74</v>
      </c>
      <c r="Y938" s="1" t="s">
        <v>74</v>
      </c>
      <c r="Z938" s="1" t="s">
        <v>74</v>
      </c>
      <c r="AA938" s="1" t="s">
        <v>6296</v>
      </c>
      <c r="AB938" s="1" t="s">
        <v>6297</v>
      </c>
      <c r="AC938" s="1" t="s">
        <v>74</v>
      </c>
      <c r="AD938" s="1" t="s">
        <v>74</v>
      </c>
      <c r="AE938" s="1" t="s">
        <v>74</v>
      </c>
      <c r="AF938" s="1" t="s">
        <v>74</v>
      </c>
      <c r="AG938" s="1" t="s">
        <v>74</v>
      </c>
      <c r="AH938" s="1" t="s">
        <v>74</v>
      </c>
      <c r="AI938" s="1" t="s">
        <v>74</v>
      </c>
      <c r="AJ938" s="1" t="s">
        <v>74</v>
      </c>
      <c r="AK938" s="1" t="s">
        <v>74</v>
      </c>
      <c r="AL938" s="1" t="s">
        <v>74</v>
      </c>
      <c r="AM938" s="1" t="s">
        <v>74</v>
      </c>
      <c r="AN938" s="1" t="s">
        <v>74</v>
      </c>
      <c r="AO938" s="1" t="s">
        <v>3422</v>
      </c>
      <c r="AP938" s="1" t="s">
        <v>5409</v>
      </c>
      <c r="AQ938" s="1" t="s">
        <v>5410</v>
      </c>
      <c r="AR938" s="1" t="s">
        <v>74</v>
      </c>
      <c r="AS938" s="1" t="s">
        <v>74</v>
      </c>
      <c r="AT938" s="1" t="s">
        <v>74</v>
      </c>
      <c r="AU938" s="1">
        <v>2017.0</v>
      </c>
      <c r="AV938" s="1">
        <v>1015.0</v>
      </c>
      <c r="AW938" s="1" t="s">
        <v>74</v>
      </c>
      <c r="AX938" s="1" t="s">
        <v>74</v>
      </c>
      <c r="AY938" s="1" t="s">
        <v>74</v>
      </c>
      <c r="AZ938" s="1" t="s">
        <v>74</v>
      </c>
      <c r="BA938" s="1" t="s">
        <v>74</v>
      </c>
      <c r="BB938" s="1">
        <v>193.0</v>
      </c>
      <c r="BC938" s="1">
        <v>216.0</v>
      </c>
      <c r="BD938" s="1" t="s">
        <v>74</v>
      </c>
      <c r="BE938" s="1" t="s">
        <v>7734</v>
      </c>
      <c r="BF938" s="2" t="str">
        <f>HYPERLINK("http://dx.doi.org/10.1007/978-3-319-62817-2_11","http://dx.doi.org/10.1007/978-3-319-62817-2_11")</f>
        <v>http://dx.doi.org/10.1007/978-3-319-62817-2_11</v>
      </c>
      <c r="BG938" s="1" t="s">
        <v>5412</v>
      </c>
      <c r="BH938" s="1" t="s">
        <v>74</v>
      </c>
      <c r="BI938" s="1" t="s">
        <v>74</v>
      </c>
      <c r="BJ938" s="1" t="s">
        <v>74</v>
      </c>
      <c r="BK938" s="1" t="s">
        <v>74</v>
      </c>
      <c r="BL938" s="1" t="s">
        <v>74</v>
      </c>
      <c r="BM938" s="1" t="s">
        <v>74</v>
      </c>
      <c r="BN938" s="1">
        <v>2.9080028E7</v>
      </c>
      <c r="BO938" s="1" t="s">
        <v>74</v>
      </c>
      <c r="BP938" s="1" t="s">
        <v>74</v>
      </c>
      <c r="BQ938" s="1" t="s">
        <v>74</v>
      </c>
      <c r="BR938" s="1" t="s">
        <v>74</v>
      </c>
      <c r="BS938" s="1" t="s">
        <v>7735</v>
      </c>
      <c r="BT938" s="1" t="str">
        <f>HYPERLINK("https%3A%2F%2Fwww.webofscience.com%2Fwos%2Fwoscc%2Ffull-record%2FWOS:000438289100011","View Full Record in Web of Science")</f>
        <v>View Full Record in Web of Science</v>
      </c>
    </row>
    <row r="939" ht="12.75" customHeight="1">
      <c r="A939" s="1" t="s">
        <v>72</v>
      </c>
      <c r="B939" s="1" t="s">
        <v>2527</v>
      </c>
      <c r="C939" s="1" t="s">
        <v>74</v>
      </c>
      <c r="D939" s="1" t="s">
        <v>74</v>
      </c>
      <c r="E939" s="1" t="s">
        <v>74</v>
      </c>
      <c r="F939" s="1" t="s">
        <v>7736</v>
      </c>
      <c r="G939" s="1" t="s">
        <v>74</v>
      </c>
      <c r="H939" s="1" t="s">
        <v>74</v>
      </c>
      <c r="I939" s="1" t="s">
        <v>7737</v>
      </c>
      <c r="J939" s="1" t="s">
        <v>7738</v>
      </c>
      <c r="K939" s="1" t="s">
        <v>74</v>
      </c>
      <c r="L939" s="1" t="s">
        <v>74</v>
      </c>
      <c r="M939" s="1" t="s">
        <v>74</v>
      </c>
      <c r="N939" s="1" t="s">
        <v>74</v>
      </c>
      <c r="O939" s="1" t="s">
        <v>74</v>
      </c>
      <c r="P939" s="1" t="s">
        <v>74</v>
      </c>
      <c r="Q939" s="1" t="s">
        <v>74</v>
      </c>
      <c r="R939" s="1" t="s">
        <v>74</v>
      </c>
      <c r="S939" s="1" t="s">
        <v>74</v>
      </c>
      <c r="T939" s="1" t="s">
        <v>74</v>
      </c>
      <c r="U939" s="1" t="s">
        <v>74</v>
      </c>
      <c r="V939" s="1" t="s">
        <v>7739</v>
      </c>
      <c r="W939" s="1" t="s">
        <v>74</v>
      </c>
      <c r="X939" s="1" t="s">
        <v>74</v>
      </c>
      <c r="Y939" s="1" t="s">
        <v>74</v>
      </c>
      <c r="Z939" s="1" t="s">
        <v>74</v>
      </c>
      <c r="AA939" s="1" t="s">
        <v>74</v>
      </c>
      <c r="AB939" s="1" t="s">
        <v>74</v>
      </c>
      <c r="AC939" s="1" t="s">
        <v>74</v>
      </c>
      <c r="AD939" s="1" t="s">
        <v>74</v>
      </c>
      <c r="AE939" s="1" t="s">
        <v>74</v>
      </c>
      <c r="AF939" s="1" t="s">
        <v>74</v>
      </c>
      <c r="AG939" s="1" t="s">
        <v>74</v>
      </c>
      <c r="AH939" s="1" t="s">
        <v>74</v>
      </c>
      <c r="AI939" s="1" t="s">
        <v>74</v>
      </c>
      <c r="AJ939" s="1" t="s">
        <v>74</v>
      </c>
      <c r="AK939" s="1" t="s">
        <v>74</v>
      </c>
      <c r="AL939" s="1" t="s">
        <v>74</v>
      </c>
      <c r="AM939" s="1" t="s">
        <v>74</v>
      </c>
      <c r="AN939" s="1" t="s">
        <v>74</v>
      </c>
      <c r="AO939" s="1" t="s">
        <v>7740</v>
      </c>
      <c r="AP939" s="1" t="s">
        <v>7741</v>
      </c>
      <c r="AQ939" s="1" t="s">
        <v>74</v>
      </c>
      <c r="AR939" s="1" t="s">
        <v>74</v>
      </c>
      <c r="AS939" s="1" t="s">
        <v>74</v>
      </c>
      <c r="AT939" s="1" t="s">
        <v>74</v>
      </c>
      <c r="AU939" s="1">
        <v>2017.0</v>
      </c>
      <c r="AV939" s="1">
        <v>74.0</v>
      </c>
      <c r="AW939" s="1">
        <v>1.0</v>
      </c>
      <c r="AX939" s="1" t="s">
        <v>74</v>
      </c>
      <c r="AY939" s="1" t="s">
        <v>74</v>
      </c>
      <c r="AZ939" s="1" t="s">
        <v>74</v>
      </c>
      <c r="BA939" s="1" t="s">
        <v>74</v>
      </c>
      <c r="BB939" s="1">
        <v>155.0</v>
      </c>
      <c r="BC939" s="1">
        <v>183.0</v>
      </c>
      <c r="BD939" s="1" t="s">
        <v>74</v>
      </c>
      <c r="BE939" s="1" t="s">
        <v>7742</v>
      </c>
      <c r="BF939" s="2" t="str">
        <f>HYPERLINK("http://dx.doi.org/10.3989/aeamer.2017.1.06","http://dx.doi.org/10.3989/aeamer.2017.1.06")</f>
        <v>http://dx.doi.org/10.3989/aeamer.2017.1.06</v>
      </c>
      <c r="BG939" s="1" t="s">
        <v>74</v>
      </c>
      <c r="BH939" s="1" t="s">
        <v>74</v>
      </c>
      <c r="BI939" s="1" t="s">
        <v>74</v>
      </c>
      <c r="BJ939" s="1" t="s">
        <v>74</v>
      </c>
      <c r="BK939" s="1" t="s">
        <v>74</v>
      </c>
      <c r="BL939" s="1" t="s">
        <v>74</v>
      </c>
      <c r="BM939" s="1" t="s">
        <v>74</v>
      </c>
      <c r="BN939" s="1" t="s">
        <v>74</v>
      </c>
      <c r="BO939" s="1" t="s">
        <v>74</v>
      </c>
      <c r="BP939" s="1" t="s">
        <v>74</v>
      </c>
      <c r="BQ939" s="1" t="s">
        <v>74</v>
      </c>
      <c r="BR939" s="1" t="s">
        <v>74</v>
      </c>
      <c r="BS939" s="1" t="s">
        <v>7743</v>
      </c>
      <c r="BT939" s="1" t="str">
        <f>HYPERLINK("https%3A%2F%2Fwww.webofscience.com%2Fwos%2Fwoscc%2Ffull-record%2FWOS:000415794200006","View Full Record in Web of Science")</f>
        <v>View Full Record in Web of Science</v>
      </c>
    </row>
    <row r="940" ht="12.75" customHeight="1">
      <c r="A940" s="1" t="s">
        <v>72</v>
      </c>
      <c r="B940" s="1" t="s">
        <v>1540</v>
      </c>
      <c r="C940" s="1" t="s">
        <v>74</v>
      </c>
      <c r="D940" s="1" t="s">
        <v>74</v>
      </c>
      <c r="E940" s="1" t="s">
        <v>74</v>
      </c>
      <c r="F940" s="1" t="s">
        <v>1541</v>
      </c>
      <c r="G940" s="1" t="s">
        <v>74</v>
      </c>
      <c r="H940" s="1" t="s">
        <v>74</v>
      </c>
      <c r="I940" s="1" t="s">
        <v>7744</v>
      </c>
      <c r="J940" s="1" t="s">
        <v>6044</v>
      </c>
      <c r="K940" s="1" t="s">
        <v>74</v>
      </c>
      <c r="L940" s="1" t="s">
        <v>74</v>
      </c>
      <c r="M940" s="1" t="s">
        <v>74</v>
      </c>
      <c r="N940" s="1" t="s">
        <v>74</v>
      </c>
      <c r="O940" s="1" t="s">
        <v>74</v>
      </c>
      <c r="P940" s="1" t="s">
        <v>74</v>
      </c>
      <c r="Q940" s="1" t="s">
        <v>74</v>
      </c>
      <c r="R940" s="1" t="s">
        <v>74</v>
      </c>
      <c r="S940" s="1" t="s">
        <v>74</v>
      </c>
      <c r="T940" s="1" t="s">
        <v>74</v>
      </c>
      <c r="U940" s="1" t="s">
        <v>74</v>
      </c>
      <c r="V940" s="1" t="s">
        <v>74</v>
      </c>
      <c r="W940" s="1" t="s">
        <v>74</v>
      </c>
      <c r="X940" s="1" t="s">
        <v>74</v>
      </c>
      <c r="Y940" s="1" t="s">
        <v>74</v>
      </c>
      <c r="Z940" s="1" t="s">
        <v>74</v>
      </c>
      <c r="AA940" s="1" t="s">
        <v>1545</v>
      </c>
      <c r="AB940" s="1" t="s">
        <v>74</v>
      </c>
      <c r="AC940" s="1" t="s">
        <v>74</v>
      </c>
      <c r="AD940" s="1" t="s">
        <v>74</v>
      </c>
      <c r="AE940" s="1" t="s">
        <v>74</v>
      </c>
      <c r="AF940" s="1" t="s">
        <v>74</v>
      </c>
      <c r="AG940" s="1" t="s">
        <v>74</v>
      </c>
      <c r="AH940" s="1" t="s">
        <v>74</v>
      </c>
      <c r="AI940" s="1" t="s">
        <v>74</v>
      </c>
      <c r="AJ940" s="1" t="s">
        <v>74</v>
      </c>
      <c r="AK940" s="1" t="s">
        <v>74</v>
      </c>
      <c r="AL940" s="1" t="s">
        <v>74</v>
      </c>
      <c r="AM940" s="1" t="s">
        <v>74</v>
      </c>
      <c r="AN940" s="1" t="s">
        <v>74</v>
      </c>
      <c r="AO940" s="1" t="s">
        <v>6045</v>
      </c>
      <c r="AP940" s="1" t="s">
        <v>6046</v>
      </c>
      <c r="AQ940" s="1" t="s">
        <v>74</v>
      </c>
      <c r="AR940" s="1" t="s">
        <v>74</v>
      </c>
      <c r="AS940" s="1" t="s">
        <v>74</v>
      </c>
      <c r="AT940" s="1" t="s">
        <v>88</v>
      </c>
      <c r="AU940" s="1">
        <v>2016.0</v>
      </c>
      <c r="AV940" s="1" t="s">
        <v>74</v>
      </c>
      <c r="AW940" s="1">
        <v>178.0</v>
      </c>
      <c r="AX940" s="1" t="s">
        <v>74</v>
      </c>
      <c r="AY940" s="1" t="s">
        <v>74</v>
      </c>
      <c r="AZ940" s="1" t="s">
        <v>74</v>
      </c>
      <c r="BA940" s="1" t="s">
        <v>74</v>
      </c>
      <c r="BB940" s="1">
        <v>205.0</v>
      </c>
      <c r="BC940" s="1">
        <v>220.0</v>
      </c>
      <c r="BD940" s="1" t="s">
        <v>74</v>
      </c>
      <c r="BE940" s="1" t="s">
        <v>74</v>
      </c>
      <c r="BF940" s="1" t="s">
        <v>74</v>
      </c>
      <c r="BG940" s="1" t="s">
        <v>74</v>
      </c>
      <c r="BH940" s="1" t="s">
        <v>74</v>
      </c>
      <c r="BI940" s="1" t="s">
        <v>74</v>
      </c>
      <c r="BJ940" s="1" t="s">
        <v>74</v>
      </c>
      <c r="BK940" s="1" t="s">
        <v>74</v>
      </c>
      <c r="BL940" s="1" t="s">
        <v>74</v>
      </c>
      <c r="BM940" s="1" t="s">
        <v>74</v>
      </c>
      <c r="BN940" s="1" t="s">
        <v>74</v>
      </c>
      <c r="BO940" s="1" t="s">
        <v>74</v>
      </c>
      <c r="BP940" s="1" t="s">
        <v>74</v>
      </c>
      <c r="BQ940" s="1" t="s">
        <v>74</v>
      </c>
      <c r="BR940" s="1" t="s">
        <v>74</v>
      </c>
      <c r="BS940" s="1" t="s">
        <v>7745</v>
      </c>
      <c r="BT940" s="1" t="str">
        <f>HYPERLINK("https%3A%2F%2Fwww.webofscience.com%2Fwos%2Fwoscc%2Ffull-record%2FWOS:000403741700014","View Full Record in Web of Science")</f>
        <v>View Full Record in Web of Science</v>
      </c>
    </row>
    <row r="941" ht="12.75" customHeight="1">
      <c r="A941" s="1" t="s">
        <v>72</v>
      </c>
      <c r="B941" s="1" t="s">
        <v>7746</v>
      </c>
      <c r="C941" s="1" t="s">
        <v>74</v>
      </c>
      <c r="D941" s="1" t="s">
        <v>74</v>
      </c>
      <c r="E941" s="1" t="s">
        <v>74</v>
      </c>
      <c r="F941" s="1" t="s">
        <v>7747</v>
      </c>
      <c r="G941" s="1" t="s">
        <v>74</v>
      </c>
      <c r="H941" s="1" t="s">
        <v>74</v>
      </c>
      <c r="I941" s="1" t="s">
        <v>7748</v>
      </c>
      <c r="J941" s="1" t="s">
        <v>7749</v>
      </c>
      <c r="K941" s="1" t="s">
        <v>74</v>
      </c>
      <c r="L941" s="1" t="s">
        <v>74</v>
      </c>
      <c r="M941" s="1" t="s">
        <v>74</v>
      </c>
      <c r="N941" s="1" t="s">
        <v>74</v>
      </c>
      <c r="O941" s="1" t="s">
        <v>74</v>
      </c>
      <c r="P941" s="1" t="s">
        <v>74</v>
      </c>
      <c r="Q941" s="1" t="s">
        <v>74</v>
      </c>
      <c r="R941" s="1" t="s">
        <v>74</v>
      </c>
      <c r="S941" s="1" t="s">
        <v>74</v>
      </c>
      <c r="T941" s="1" t="s">
        <v>74</v>
      </c>
      <c r="U941" s="1" t="s">
        <v>74</v>
      </c>
      <c r="V941" s="1" t="s">
        <v>7750</v>
      </c>
      <c r="W941" s="1" t="s">
        <v>74</v>
      </c>
      <c r="X941" s="1" t="s">
        <v>74</v>
      </c>
      <c r="Y941" s="1" t="s">
        <v>74</v>
      </c>
      <c r="Z941" s="1" t="s">
        <v>74</v>
      </c>
      <c r="AA941" s="1" t="s">
        <v>7751</v>
      </c>
      <c r="AB941" s="1" t="s">
        <v>7752</v>
      </c>
      <c r="AC941" s="1" t="s">
        <v>74</v>
      </c>
      <c r="AD941" s="1" t="s">
        <v>74</v>
      </c>
      <c r="AE941" s="1" t="s">
        <v>74</v>
      </c>
      <c r="AF941" s="1" t="s">
        <v>74</v>
      </c>
      <c r="AG941" s="1" t="s">
        <v>74</v>
      </c>
      <c r="AH941" s="1" t="s">
        <v>74</v>
      </c>
      <c r="AI941" s="1" t="s">
        <v>74</v>
      </c>
      <c r="AJ941" s="1" t="s">
        <v>74</v>
      </c>
      <c r="AK941" s="1" t="s">
        <v>74</v>
      </c>
      <c r="AL941" s="1" t="s">
        <v>74</v>
      </c>
      <c r="AM941" s="1" t="s">
        <v>74</v>
      </c>
      <c r="AN941" s="1" t="s">
        <v>74</v>
      </c>
      <c r="AO941" s="1" t="s">
        <v>7753</v>
      </c>
      <c r="AP941" s="1" t="s">
        <v>7754</v>
      </c>
      <c r="AQ941" s="1" t="s">
        <v>74</v>
      </c>
      <c r="AR941" s="1" t="s">
        <v>74</v>
      </c>
      <c r="AS941" s="1" t="s">
        <v>74</v>
      </c>
      <c r="AT941" s="1" t="s">
        <v>276</v>
      </c>
      <c r="AU941" s="1">
        <v>2016.0</v>
      </c>
      <c r="AV941" s="1">
        <v>52.0</v>
      </c>
      <c r="AW941" s="1">
        <v>5.0</v>
      </c>
      <c r="AX941" s="1" t="s">
        <v>74</v>
      </c>
      <c r="AY941" s="1" t="s">
        <v>74</v>
      </c>
      <c r="AZ941" s="1" t="s">
        <v>74</v>
      </c>
      <c r="BA941" s="1" t="s">
        <v>74</v>
      </c>
      <c r="BB941" s="1">
        <v>949.0</v>
      </c>
      <c r="BC941" s="1">
        <v>975.0</v>
      </c>
      <c r="BD941" s="1" t="s">
        <v>74</v>
      </c>
      <c r="BE941" s="1" t="s">
        <v>7755</v>
      </c>
      <c r="BF941" s="2" t="str">
        <f>HYPERLINK("http://dx.doi.org/10.1016/j.ipm.2016.04.003","http://dx.doi.org/10.1016/j.ipm.2016.04.003")</f>
        <v>http://dx.doi.org/10.1016/j.ipm.2016.04.003</v>
      </c>
      <c r="BG941" s="1" t="s">
        <v>74</v>
      </c>
      <c r="BH941" s="1" t="s">
        <v>74</v>
      </c>
      <c r="BI941" s="1" t="s">
        <v>74</v>
      </c>
      <c r="BJ941" s="1" t="s">
        <v>74</v>
      </c>
      <c r="BK941" s="1" t="s">
        <v>74</v>
      </c>
      <c r="BL941" s="1" t="s">
        <v>74</v>
      </c>
      <c r="BM941" s="1" t="s">
        <v>74</v>
      </c>
      <c r="BN941" s="1" t="s">
        <v>74</v>
      </c>
      <c r="BO941" s="1" t="s">
        <v>74</v>
      </c>
      <c r="BP941" s="1" t="s">
        <v>74</v>
      </c>
      <c r="BQ941" s="1" t="s">
        <v>74</v>
      </c>
      <c r="BR941" s="1" t="s">
        <v>74</v>
      </c>
      <c r="BS941" s="1" t="s">
        <v>7756</v>
      </c>
      <c r="BT941" s="1" t="str">
        <f>HYPERLINK("https%3A%2F%2Fwww.webofscience.com%2Fwos%2Fwoscc%2Ffull-record%2FWOS:000381540600014","View Full Record in Web of Science")</f>
        <v>View Full Record in Web of Science</v>
      </c>
    </row>
    <row r="942" ht="12.75" customHeight="1">
      <c r="A942" s="1" t="s">
        <v>72</v>
      </c>
      <c r="B942" s="1" t="s">
        <v>7757</v>
      </c>
      <c r="C942" s="1" t="s">
        <v>74</v>
      </c>
      <c r="D942" s="1" t="s">
        <v>74</v>
      </c>
      <c r="E942" s="1" t="s">
        <v>74</v>
      </c>
      <c r="F942" s="1" t="s">
        <v>7758</v>
      </c>
      <c r="G942" s="1" t="s">
        <v>74</v>
      </c>
      <c r="H942" s="1" t="s">
        <v>74</v>
      </c>
      <c r="I942" s="1" t="s">
        <v>7759</v>
      </c>
      <c r="J942" s="1" t="s">
        <v>377</v>
      </c>
      <c r="K942" s="1" t="s">
        <v>74</v>
      </c>
      <c r="L942" s="1" t="s">
        <v>74</v>
      </c>
      <c r="M942" s="1" t="s">
        <v>74</v>
      </c>
      <c r="N942" s="1" t="s">
        <v>74</v>
      </c>
      <c r="O942" s="1" t="s">
        <v>74</v>
      </c>
      <c r="P942" s="1" t="s">
        <v>74</v>
      </c>
      <c r="Q942" s="1" t="s">
        <v>74</v>
      </c>
      <c r="R942" s="1" t="s">
        <v>74</v>
      </c>
      <c r="S942" s="1" t="s">
        <v>74</v>
      </c>
      <c r="T942" s="1" t="s">
        <v>74</v>
      </c>
      <c r="U942" s="1" t="s">
        <v>74</v>
      </c>
      <c r="V942" s="1" t="s">
        <v>7760</v>
      </c>
      <c r="W942" s="1" t="s">
        <v>74</v>
      </c>
      <c r="X942" s="1" t="s">
        <v>74</v>
      </c>
      <c r="Y942" s="1" t="s">
        <v>74</v>
      </c>
      <c r="Z942" s="1" t="s">
        <v>74</v>
      </c>
      <c r="AA942" s="1" t="s">
        <v>7761</v>
      </c>
      <c r="AB942" s="1" t="s">
        <v>7762</v>
      </c>
      <c r="AC942" s="1" t="s">
        <v>74</v>
      </c>
      <c r="AD942" s="1" t="s">
        <v>74</v>
      </c>
      <c r="AE942" s="1" t="s">
        <v>74</v>
      </c>
      <c r="AF942" s="1" t="s">
        <v>74</v>
      </c>
      <c r="AG942" s="1" t="s">
        <v>74</v>
      </c>
      <c r="AH942" s="1" t="s">
        <v>74</v>
      </c>
      <c r="AI942" s="1" t="s">
        <v>74</v>
      </c>
      <c r="AJ942" s="1" t="s">
        <v>74</v>
      </c>
      <c r="AK942" s="1" t="s">
        <v>74</v>
      </c>
      <c r="AL942" s="1" t="s">
        <v>74</v>
      </c>
      <c r="AM942" s="1" t="s">
        <v>74</v>
      </c>
      <c r="AN942" s="1" t="s">
        <v>74</v>
      </c>
      <c r="AO942" s="1" t="s">
        <v>381</v>
      </c>
      <c r="AP942" s="1" t="s">
        <v>382</v>
      </c>
      <c r="AQ942" s="1" t="s">
        <v>74</v>
      </c>
      <c r="AR942" s="1" t="s">
        <v>74</v>
      </c>
      <c r="AS942" s="1" t="s">
        <v>74</v>
      </c>
      <c r="AT942" s="1" t="s">
        <v>2547</v>
      </c>
      <c r="AU942" s="1">
        <v>2016.0</v>
      </c>
      <c r="AV942" s="1">
        <v>210.0</v>
      </c>
      <c r="AW942" s="1" t="s">
        <v>74</v>
      </c>
      <c r="AX942" s="1" t="s">
        <v>74</v>
      </c>
      <c r="AY942" s="1" t="s">
        <v>74</v>
      </c>
      <c r="AZ942" s="1" t="s">
        <v>74</v>
      </c>
      <c r="BA942" s="1" t="s">
        <v>74</v>
      </c>
      <c r="BB942" s="1">
        <v>163.0</v>
      </c>
      <c r="BC942" s="1">
        <v>170.0</v>
      </c>
      <c r="BD942" s="1" t="s">
        <v>74</v>
      </c>
      <c r="BE942" s="1" t="s">
        <v>7763</v>
      </c>
      <c r="BF942" s="2" t="str">
        <f>HYPERLINK("http://dx.doi.org/10.1016/j.electacta.2016.05.064","http://dx.doi.org/10.1016/j.electacta.2016.05.064")</f>
        <v>http://dx.doi.org/10.1016/j.electacta.2016.05.064</v>
      </c>
      <c r="BG942" s="1" t="s">
        <v>74</v>
      </c>
      <c r="BH942" s="1" t="s">
        <v>74</v>
      </c>
      <c r="BI942" s="1" t="s">
        <v>74</v>
      </c>
      <c r="BJ942" s="1" t="s">
        <v>74</v>
      </c>
      <c r="BK942" s="1" t="s">
        <v>74</v>
      </c>
      <c r="BL942" s="1" t="s">
        <v>74</v>
      </c>
      <c r="BM942" s="1" t="s">
        <v>74</v>
      </c>
      <c r="BN942" s="1" t="s">
        <v>74</v>
      </c>
      <c r="BO942" s="1" t="s">
        <v>74</v>
      </c>
      <c r="BP942" s="1" t="s">
        <v>74</v>
      </c>
      <c r="BQ942" s="1" t="s">
        <v>74</v>
      </c>
      <c r="BR942" s="1" t="s">
        <v>74</v>
      </c>
      <c r="BS942" s="1" t="s">
        <v>7764</v>
      </c>
      <c r="BT942" s="1" t="str">
        <f>HYPERLINK("https%3A%2F%2Fwww.webofscience.com%2Fwos%2Fwoscc%2Ffull-record%2FWOS:000380746100022","View Full Record in Web of Science")</f>
        <v>View Full Record in Web of Science</v>
      </c>
    </row>
    <row r="943" ht="12.75" customHeight="1">
      <c r="A943" s="1" t="s">
        <v>91</v>
      </c>
      <c r="B943" s="1" t="s">
        <v>1588</v>
      </c>
      <c r="C943" s="1" t="s">
        <v>74</v>
      </c>
      <c r="D943" s="1" t="s">
        <v>1589</v>
      </c>
      <c r="E943" s="1" t="s">
        <v>74</v>
      </c>
      <c r="F943" s="1" t="s">
        <v>1590</v>
      </c>
      <c r="G943" s="1" t="s">
        <v>74</v>
      </c>
      <c r="H943" s="1" t="s">
        <v>74</v>
      </c>
      <c r="I943" s="1" t="s">
        <v>7765</v>
      </c>
      <c r="J943" s="1" t="s">
        <v>6312</v>
      </c>
      <c r="K943" s="1" t="s">
        <v>6313</v>
      </c>
      <c r="L943" s="1" t="s">
        <v>74</v>
      </c>
      <c r="M943" s="1" t="s">
        <v>74</v>
      </c>
      <c r="N943" s="1" t="s">
        <v>74</v>
      </c>
      <c r="O943" s="1" t="s">
        <v>6314</v>
      </c>
      <c r="P943" s="1" t="s">
        <v>6315</v>
      </c>
      <c r="Q943" s="1" t="s">
        <v>989</v>
      </c>
      <c r="R943" s="1" t="s">
        <v>74</v>
      </c>
      <c r="S943" s="1" t="s">
        <v>74</v>
      </c>
      <c r="T943" s="1" t="s">
        <v>74</v>
      </c>
      <c r="U943" s="1" t="s">
        <v>74</v>
      </c>
      <c r="V943" s="1" t="s">
        <v>7766</v>
      </c>
      <c r="W943" s="1" t="s">
        <v>74</v>
      </c>
      <c r="X943" s="1" t="s">
        <v>74</v>
      </c>
      <c r="Y943" s="1" t="s">
        <v>74</v>
      </c>
      <c r="Z943" s="1" t="s">
        <v>74</v>
      </c>
      <c r="AA943" s="1" t="s">
        <v>1472</v>
      </c>
      <c r="AB943" s="1" t="s">
        <v>74</v>
      </c>
      <c r="AC943" s="1" t="s">
        <v>74</v>
      </c>
      <c r="AD943" s="1" t="s">
        <v>74</v>
      </c>
      <c r="AE943" s="1" t="s">
        <v>74</v>
      </c>
      <c r="AF943" s="1" t="s">
        <v>74</v>
      </c>
      <c r="AG943" s="1" t="s">
        <v>74</v>
      </c>
      <c r="AH943" s="1" t="s">
        <v>74</v>
      </c>
      <c r="AI943" s="1" t="s">
        <v>74</v>
      </c>
      <c r="AJ943" s="1" t="s">
        <v>74</v>
      </c>
      <c r="AK943" s="1" t="s">
        <v>74</v>
      </c>
      <c r="AL943" s="1" t="s">
        <v>74</v>
      </c>
      <c r="AM943" s="1" t="s">
        <v>74</v>
      </c>
      <c r="AN943" s="1" t="s">
        <v>74</v>
      </c>
      <c r="AO943" s="1" t="s">
        <v>6317</v>
      </c>
      <c r="AP943" s="1" t="s">
        <v>74</v>
      </c>
      <c r="AQ943" s="1" t="s">
        <v>6318</v>
      </c>
      <c r="AR943" s="1" t="s">
        <v>74</v>
      </c>
      <c r="AS943" s="1" t="s">
        <v>74</v>
      </c>
      <c r="AT943" s="1" t="s">
        <v>74</v>
      </c>
      <c r="AU943" s="1">
        <v>2016.0</v>
      </c>
      <c r="AV943" s="1" t="s">
        <v>74</v>
      </c>
      <c r="AW943" s="1" t="s">
        <v>74</v>
      </c>
      <c r="AX943" s="1" t="s">
        <v>74</v>
      </c>
      <c r="AY943" s="1" t="s">
        <v>74</v>
      </c>
      <c r="AZ943" s="1" t="s">
        <v>74</v>
      </c>
      <c r="BA943" s="1" t="s">
        <v>74</v>
      </c>
      <c r="BB943" s="1">
        <v>8737.0</v>
      </c>
      <c r="BC943" s="1">
        <v>8742.0</v>
      </c>
      <c r="BD943" s="1" t="s">
        <v>74</v>
      </c>
      <c r="BE943" s="1" t="s">
        <v>74</v>
      </c>
      <c r="BF943" s="1" t="s">
        <v>74</v>
      </c>
      <c r="BG943" s="1" t="s">
        <v>74</v>
      </c>
      <c r="BH943" s="1" t="s">
        <v>74</v>
      </c>
      <c r="BI943" s="1" t="s">
        <v>74</v>
      </c>
      <c r="BJ943" s="1" t="s">
        <v>74</v>
      </c>
      <c r="BK943" s="1" t="s">
        <v>74</v>
      </c>
      <c r="BL943" s="1" t="s">
        <v>74</v>
      </c>
      <c r="BM943" s="1" t="s">
        <v>74</v>
      </c>
      <c r="BN943" s="1" t="s">
        <v>74</v>
      </c>
      <c r="BO943" s="1" t="s">
        <v>74</v>
      </c>
      <c r="BP943" s="1" t="s">
        <v>74</v>
      </c>
      <c r="BQ943" s="1" t="s">
        <v>74</v>
      </c>
      <c r="BR943" s="1" t="s">
        <v>74</v>
      </c>
      <c r="BS943" s="1" t="s">
        <v>7767</v>
      </c>
      <c r="BT943" s="1" t="str">
        <f>HYPERLINK("https%3A%2F%2Fwww.webofscience.com%2Fwos%2Fwoscc%2Ffull-record%2FWOS:000402955908106","View Full Record in Web of Science")</f>
        <v>View Full Record in Web of Science</v>
      </c>
    </row>
    <row r="944" ht="12.75" customHeight="1">
      <c r="A944" s="1" t="s">
        <v>72</v>
      </c>
      <c r="B944" s="1" t="s">
        <v>7768</v>
      </c>
      <c r="C944" s="1" t="s">
        <v>74</v>
      </c>
      <c r="D944" s="1" t="s">
        <v>74</v>
      </c>
      <c r="E944" s="1" t="s">
        <v>74</v>
      </c>
      <c r="F944" s="1" t="s">
        <v>7769</v>
      </c>
      <c r="G944" s="1" t="s">
        <v>74</v>
      </c>
      <c r="H944" s="1" t="s">
        <v>74</v>
      </c>
      <c r="I944" s="1" t="s">
        <v>7770</v>
      </c>
      <c r="J944" s="1" t="s">
        <v>7771</v>
      </c>
      <c r="K944" s="1" t="s">
        <v>74</v>
      </c>
      <c r="L944" s="1" t="s">
        <v>74</v>
      </c>
      <c r="M944" s="1" t="s">
        <v>74</v>
      </c>
      <c r="N944" s="1" t="s">
        <v>74</v>
      </c>
      <c r="O944" s="1" t="s">
        <v>74</v>
      </c>
      <c r="P944" s="1" t="s">
        <v>74</v>
      </c>
      <c r="Q944" s="1" t="s">
        <v>74</v>
      </c>
      <c r="R944" s="1" t="s">
        <v>74</v>
      </c>
      <c r="S944" s="1" t="s">
        <v>74</v>
      </c>
      <c r="T944" s="1" t="s">
        <v>74</v>
      </c>
      <c r="U944" s="1" t="s">
        <v>74</v>
      </c>
      <c r="V944" s="1" t="s">
        <v>7772</v>
      </c>
      <c r="W944" s="1" t="s">
        <v>74</v>
      </c>
      <c r="X944" s="1" t="s">
        <v>74</v>
      </c>
      <c r="Y944" s="1" t="s">
        <v>74</v>
      </c>
      <c r="Z944" s="1" t="s">
        <v>74</v>
      </c>
      <c r="AA944" s="1" t="s">
        <v>7773</v>
      </c>
      <c r="AB944" s="1" t="s">
        <v>7774</v>
      </c>
      <c r="AC944" s="1" t="s">
        <v>74</v>
      </c>
      <c r="AD944" s="1" t="s">
        <v>74</v>
      </c>
      <c r="AE944" s="1" t="s">
        <v>74</v>
      </c>
      <c r="AF944" s="1" t="s">
        <v>74</v>
      </c>
      <c r="AG944" s="1" t="s">
        <v>74</v>
      </c>
      <c r="AH944" s="1" t="s">
        <v>74</v>
      </c>
      <c r="AI944" s="1" t="s">
        <v>74</v>
      </c>
      <c r="AJ944" s="1" t="s">
        <v>74</v>
      </c>
      <c r="AK944" s="1" t="s">
        <v>74</v>
      </c>
      <c r="AL944" s="1" t="s">
        <v>74</v>
      </c>
      <c r="AM944" s="1" t="s">
        <v>74</v>
      </c>
      <c r="AN944" s="1" t="s">
        <v>74</v>
      </c>
      <c r="AO944" s="1" t="s">
        <v>7775</v>
      </c>
      <c r="AP944" s="1" t="s">
        <v>7776</v>
      </c>
      <c r="AQ944" s="1" t="s">
        <v>74</v>
      </c>
      <c r="AR944" s="1" t="s">
        <v>74</v>
      </c>
      <c r="AS944" s="1" t="s">
        <v>74</v>
      </c>
      <c r="AT944" s="1" t="s">
        <v>1997</v>
      </c>
      <c r="AU944" s="1">
        <v>2015.0</v>
      </c>
      <c r="AV944" s="1">
        <v>22.0</v>
      </c>
      <c r="AW944" s="1">
        <v>4.0</v>
      </c>
      <c r="AX944" s="1" t="s">
        <v>74</v>
      </c>
      <c r="AY944" s="1" t="s">
        <v>74</v>
      </c>
      <c r="AZ944" s="1" t="s">
        <v>74</v>
      </c>
      <c r="BA944" s="1" t="s">
        <v>74</v>
      </c>
      <c r="BB944" s="1">
        <v>1173.0</v>
      </c>
      <c r="BC944" s="1">
        <v>1197.0</v>
      </c>
      <c r="BD944" s="1" t="s">
        <v>74</v>
      </c>
      <c r="BE944" s="1" t="s">
        <v>7777</v>
      </c>
      <c r="BF944" s="2" t="str">
        <f>HYPERLINK("http://dx.doi.org/10.1590/S0104-59702015005000007","http://dx.doi.org/10.1590/S0104-59702015005000007")</f>
        <v>http://dx.doi.org/10.1590/S0104-59702015005000007</v>
      </c>
      <c r="BG944" s="1" t="s">
        <v>74</v>
      </c>
      <c r="BH944" s="1" t="s">
        <v>74</v>
      </c>
      <c r="BI944" s="1" t="s">
        <v>74</v>
      </c>
      <c r="BJ944" s="1" t="s">
        <v>74</v>
      </c>
      <c r="BK944" s="1" t="s">
        <v>74</v>
      </c>
      <c r="BL944" s="1" t="s">
        <v>74</v>
      </c>
      <c r="BM944" s="1" t="s">
        <v>74</v>
      </c>
      <c r="BN944" s="1">
        <v>2.5807362E7</v>
      </c>
      <c r="BO944" s="1" t="s">
        <v>74</v>
      </c>
      <c r="BP944" s="1" t="s">
        <v>74</v>
      </c>
      <c r="BQ944" s="1" t="s">
        <v>74</v>
      </c>
      <c r="BR944" s="1" t="s">
        <v>74</v>
      </c>
      <c r="BS944" s="1" t="s">
        <v>7778</v>
      </c>
      <c r="BT944" s="1" t="str">
        <f>HYPERLINK("https%3A%2F%2Fwww.webofscience.com%2Fwos%2Fwoscc%2Ffull-record%2FWOS:000366095700005","View Full Record in Web of Science")</f>
        <v>View Full Record in Web of Science</v>
      </c>
    </row>
    <row r="945" ht="12.75" customHeight="1">
      <c r="A945" s="1" t="s">
        <v>72</v>
      </c>
      <c r="B945" s="1" t="s">
        <v>7779</v>
      </c>
      <c r="C945" s="1" t="s">
        <v>74</v>
      </c>
      <c r="D945" s="1" t="s">
        <v>74</v>
      </c>
      <c r="E945" s="1" t="s">
        <v>74</v>
      </c>
      <c r="F945" s="1" t="s">
        <v>7780</v>
      </c>
      <c r="G945" s="1" t="s">
        <v>74</v>
      </c>
      <c r="H945" s="1" t="s">
        <v>74</v>
      </c>
      <c r="I945" s="1" t="s">
        <v>7781</v>
      </c>
      <c r="J945" s="1" t="s">
        <v>832</v>
      </c>
      <c r="K945" s="1" t="s">
        <v>74</v>
      </c>
      <c r="L945" s="1" t="s">
        <v>74</v>
      </c>
      <c r="M945" s="1" t="s">
        <v>74</v>
      </c>
      <c r="N945" s="1" t="s">
        <v>74</v>
      </c>
      <c r="O945" s="1" t="s">
        <v>74</v>
      </c>
      <c r="P945" s="1" t="s">
        <v>74</v>
      </c>
      <c r="Q945" s="1" t="s">
        <v>74</v>
      </c>
      <c r="R945" s="1" t="s">
        <v>74</v>
      </c>
      <c r="S945" s="1" t="s">
        <v>74</v>
      </c>
      <c r="T945" s="1" t="s">
        <v>74</v>
      </c>
      <c r="U945" s="1" t="s">
        <v>74</v>
      </c>
      <c r="V945" s="1" t="s">
        <v>74</v>
      </c>
      <c r="W945" s="1" t="s">
        <v>74</v>
      </c>
      <c r="X945" s="1" t="s">
        <v>74</v>
      </c>
      <c r="Y945" s="1" t="s">
        <v>74</v>
      </c>
      <c r="Z945" s="1" t="s">
        <v>74</v>
      </c>
      <c r="AA945" s="1" t="s">
        <v>1803</v>
      </c>
      <c r="AB945" s="1" t="s">
        <v>1804</v>
      </c>
      <c r="AC945" s="1" t="s">
        <v>74</v>
      </c>
      <c r="AD945" s="1" t="s">
        <v>74</v>
      </c>
      <c r="AE945" s="1" t="s">
        <v>74</v>
      </c>
      <c r="AF945" s="1" t="s">
        <v>74</v>
      </c>
      <c r="AG945" s="1" t="s">
        <v>74</v>
      </c>
      <c r="AH945" s="1" t="s">
        <v>74</v>
      </c>
      <c r="AI945" s="1" t="s">
        <v>74</v>
      </c>
      <c r="AJ945" s="1" t="s">
        <v>74</v>
      </c>
      <c r="AK945" s="1" t="s">
        <v>74</v>
      </c>
      <c r="AL945" s="1" t="s">
        <v>74</v>
      </c>
      <c r="AM945" s="1" t="s">
        <v>74</v>
      </c>
      <c r="AN945" s="1" t="s">
        <v>74</v>
      </c>
      <c r="AO945" s="1" t="s">
        <v>835</v>
      </c>
      <c r="AP945" s="1" t="s">
        <v>836</v>
      </c>
      <c r="AQ945" s="1" t="s">
        <v>74</v>
      </c>
      <c r="AR945" s="1" t="s">
        <v>74</v>
      </c>
      <c r="AS945" s="1" t="s">
        <v>74</v>
      </c>
      <c r="AT945" s="1" t="s">
        <v>370</v>
      </c>
      <c r="AU945" s="1">
        <v>2015.0</v>
      </c>
      <c r="AV945" s="1">
        <v>143.0</v>
      </c>
      <c r="AW945" s="1">
        <v>7.0</v>
      </c>
      <c r="AX945" s="1" t="s">
        <v>74</v>
      </c>
      <c r="AY945" s="1" t="s">
        <v>74</v>
      </c>
      <c r="AZ945" s="1" t="s">
        <v>74</v>
      </c>
      <c r="BA945" s="1" t="s">
        <v>74</v>
      </c>
      <c r="BB945" s="1">
        <v>953.0</v>
      </c>
      <c r="BC945" s="1">
        <v>954.0</v>
      </c>
      <c r="BD945" s="1" t="s">
        <v>74</v>
      </c>
      <c r="BE945" s="1" t="s">
        <v>7782</v>
      </c>
      <c r="BF945" s="2" t="str">
        <f>HYPERLINK("http://dx.doi.org/10.4067/S0034-98872015000700021","http://dx.doi.org/10.4067/S0034-98872015000700021")</f>
        <v>http://dx.doi.org/10.4067/S0034-98872015000700021</v>
      </c>
      <c r="BG945" s="1" t="s">
        <v>74</v>
      </c>
      <c r="BH945" s="1" t="s">
        <v>74</v>
      </c>
      <c r="BI945" s="1" t="s">
        <v>74</v>
      </c>
      <c r="BJ945" s="1" t="s">
        <v>74</v>
      </c>
      <c r="BK945" s="1" t="s">
        <v>74</v>
      </c>
      <c r="BL945" s="1" t="s">
        <v>74</v>
      </c>
      <c r="BM945" s="1" t="s">
        <v>74</v>
      </c>
      <c r="BN945" s="1">
        <v>2.6361037E7</v>
      </c>
      <c r="BO945" s="1" t="s">
        <v>74</v>
      </c>
      <c r="BP945" s="1" t="s">
        <v>74</v>
      </c>
      <c r="BQ945" s="1" t="s">
        <v>74</v>
      </c>
      <c r="BR945" s="1" t="s">
        <v>74</v>
      </c>
      <c r="BS945" s="1" t="s">
        <v>7783</v>
      </c>
      <c r="BT945" s="1" t="str">
        <f>HYPERLINK("https%3A%2F%2Fwww.webofscience.com%2Fwos%2Fwoscc%2Ffull-record%2FWOS:000360321800022","View Full Record in Web of Science")</f>
        <v>View Full Record in Web of Science</v>
      </c>
    </row>
    <row r="946" ht="12.75" customHeight="1">
      <c r="A946" s="1" t="s">
        <v>72</v>
      </c>
      <c r="B946" s="1" t="s">
        <v>7784</v>
      </c>
      <c r="C946" s="1" t="s">
        <v>74</v>
      </c>
      <c r="D946" s="1" t="s">
        <v>74</v>
      </c>
      <c r="E946" s="1" t="s">
        <v>74</v>
      </c>
      <c r="F946" s="1" t="s">
        <v>7785</v>
      </c>
      <c r="G946" s="1" t="s">
        <v>74</v>
      </c>
      <c r="H946" s="1" t="s">
        <v>74</v>
      </c>
      <c r="I946" s="1" t="s">
        <v>7786</v>
      </c>
      <c r="J946" s="1" t="s">
        <v>1978</v>
      </c>
      <c r="K946" s="1" t="s">
        <v>74</v>
      </c>
      <c r="L946" s="1" t="s">
        <v>74</v>
      </c>
      <c r="M946" s="1" t="s">
        <v>74</v>
      </c>
      <c r="N946" s="1" t="s">
        <v>74</v>
      </c>
      <c r="O946" s="1" t="s">
        <v>74</v>
      </c>
      <c r="P946" s="1" t="s">
        <v>74</v>
      </c>
      <c r="Q946" s="1" t="s">
        <v>74</v>
      </c>
      <c r="R946" s="1" t="s">
        <v>74</v>
      </c>
      <c r="S946" s="1" t="s">
        <v>74</v>
      </c>
      <c r="T946" s="1" t="s">
        <v>74</v>
      </c>
      <c r="U946" s="1" t="s">
        <v>74</v>
      </c>
      <c r="V946" s="1" t="s">
        <v>74</v>
      </c>
      <c r="W946" s="1" t="s">
        <v>74</v>
      </c>
      <c r="X946" s="1" t="s">
        <v>74</v>
      </c>
      <c r="Y946" s="1" t="s">
        <v>74</v>
      </c>
      <c r="Z946" s="1" t="s">
        <v>74</v>
      </c>
      <c r="AA946" s="1" t="s">
        <v>74</v>
      </c>
      <c r="AB946" s="1" t="s">
        <v>74</v>
      </c>
      <c r="AC946" s="1" t="s">
        <v>74</v>
      </c>
      <c r="AD946" s="1" t="s">
        <v>74</v>
      </c>
      <c r="AE946" s="1" t="s">
        <v>74</v>
      </c>
      <c r="AF946" s="1" t="s">
        <v>74</v>
      </c>
      <c r="AG946" s="1" t="s">
        <v>74</v>
      </c>
      <c r="AH946" s="1" t="s">
        <v>74</v>
      </c>
      <c r="AI946" s="1" t="s">
        <v>74</v>
      </c>
      <c r="AJ946" s="1" t="s">
        <v>74</v>
      </c>
      <c r="AK946" s="1" t="s">
        <v>74</v>
      </c>
      <c r="AL946" s="1" t="s">
        <v>74</v>
      </c>
      <c r="AM946" s="1" t="s">
        <v>74</v>
      </c>
      <c r="AN946" s="1" t="s">
        <v>74</v>
      </c>
      <c r="AO946" s="1" t="s">
        <v>1979</v>
      </c>
      <c r="AP946" s="1" t="s">
        <v>1980</v>
      </c>
      <c r="AQ946" s="1" t="s">
        <v>74</v>
      </c>
      <c r="AR946" s="1" t="s">
        <v>74</v>
      </c>
      <c r="AS946" s="1" t="s">
        <v>74</v>
      </c>
      <c r="AT946" s="1" t="s">
        <v>180</v>
      </c>
      <c r="AU946" s="1">
        <v>2015.0</v>
      </c>
      <c r="AV946" s="1">
        <v>16.0</v>
      </c>
      <c r="AW946" s="1">
        <v>23.0</v>
      </c>
      <c r="AX946" s="1" t="s">
        <v>74</v>
      </c>
      <c r="AY946" s="1" t="s">
        <v>74</v>
      </c>
      <c r="AZ946" s="1" t="s">
        <v>74</v>
      </c>
      <c r="BA946" s="1" t="s">
        <v>74</v>
      </c>
      <c r="BB946" s="1">
        <v>237.0</v>
      </c>
      <c r="BC946" s="1">
        <v>242.0</v>
      </c>
      <c r="BD946" s="1" t="s">
        <v>74</v>
      </c>
      <c r="BE946" s="1" t="s">
        <v>74</v>
      </c>
      <c r="BF946" s="1" t="s">
        <v>74</v>
      </c>
      <c r="BG946" s="1" t="s">
        <v>74</v>
      </c>
      <c r="BH946" s="1" t="s">
        <v>74</v>
      </c>
      <c r="BI946" s="1" t="s">
        <v>74</v>
      </c>
      <c r="BJ946" s="1" t="s">
        <v>74</v>
      </c>
      <c r="BK946" s="1" t="s">
        <v>74</v>
      </c>
      <c r="BL946" s="1" t="s">
        <v>74</v>
      </c>
      <c r="BM946" s="1" t="s">
        <v>74</v>
      </c>
      <c r="BN946" s="1" t="s">
        <v>74</v>
      </c>
      <c r="BO946" s="1" t="s">
        <v>74</v>
      </c>
      <c r="BP946" s="1" t="s">
        <v>74</v>
      </c>
      <c r="BQ946" s="1" t="s">
        <v>74</v>
      </c>
      <c r="BR946" s="1" t="s">
        <v>74</v>
      </c>
      <c r="BS946" s="1" t="s">
        <v>7787</v>
      </c>
      <c r="BT946" s="1" t="str">
        <f>HYPERLINK("https%3A%2F%2Fwww.webofscience.com%2Fwos%2Fwoscc%2Ffull-record%2FWOS:000357623800017","View Full Record in Web of Science")</f>
        <v>View Full Record in Web of Science</v>
      </c>
    </row>
    <row r="947" ht="12.75" customHeight="1">
      <c r="A947" s="1" t="s">
        <v>91</v>
      </c>
      <c r="B947" s="1" t="s">
        <v>5439</v>
      </c>
      <c r="C947" s="1" t="s">
        <v>74</v>
      </c>
      <c r="D947" s="1" t="s">
        <v>7788</v>
      </c>
      <c r="E947" s="1" t="s">
        <v>74</v>
      </c>
      <c r="F947" s="1" t="s">
        <v>5440</v>
      </c>
      <c r="G947" s="1" t="s">
        <v>74</v>
      </c>
      <c r="H947" s="1" t="s">
        <v>74</v>
      </c>
      <c r="I947" s="1" t="s">
        <v>7789</v>
      </c>
      <c r="J947" s="1" t="s">
        <v>7790</v>
      </c>
      <c r="K947" s="1" t="s">
        <v>74</v>
      </c>
      <c r="L947" s="1" t="s">
        <v>74</v>
      </c>
      <c r="M947" s="1" t="s">
        <v>74</v>
      </c>
      <c r="N947" s="1" t="s">
        <v>74</v>
      </c>
      <c r="O947" s="1" t="s">
        <v>7791</v>
      </c>
      <c r="P947" s="1" t="s">
        <v>7792</v>
      </c>
      <c r="Q947" s="1" t="s">
        <v>7793</v>
      </c>
      <c r="R947" s="1" t="s">
        <v>7794</v>
      </c>
      <c r="S947" s="1" t="s">
        <v>74</v>
      </c>
      <c r="T947" s="1" t="s">
        <v>74</v>
      </c>
      <c r="U947" s="1" t="s">
        <v>74</v>
      </c>
      <c r="V947" s="1" t="s">
        <v>7795</v>
      </c>
      <c r="W947" s="1" t="s">
        <v>74</v>
      </c>
      <c r="X947" s="1" t="s">
        <v>74</v>
      </c>
      <c r="Y947" s="1" t="s">
        <v>74</v>
      </c>
      <c r="Z947" s="1" t="s">
        <v>74</v>
      </c>
      <c r="AA947" s="1" t="s">
        <v>5443</v>
      </c>
      <c r="AB947" s="1" t="s">
        <v>5444</v>
      </c>
      <c r="AC947" s="1" t="s">
        <v>74</v>
      </c>
      <c r="AD947" s="1" t="s">
        <v>74</v>
      </c>
      <c r="AE947" s="1" t="s">
        <v>74</v>
      </c>
      <c r="AF947" s="1" t="s">
        <v>74</v>
      </c>
      <c r="AG947" s="1" t="s">
        <v>74</v>
      </c>
      <c r="AH947" s="1" t="s">
        <v>74</v>
      </c>
      <c r="AI947" s="1" t="s">
        <v>74</v>
      </c>
      <c r="AJ947" s="1" t="s">
        <v>74</v>
      </c>
      <c r="AK947" s="1" t="s">
        <v>74</v>
      </c>
      <c r="AL947" s="1" t="s">
        <v>74</v>
      </c>
      <c r="AM947" s="1" t="s">
        <v>74</v>
      </c>
      <c r="AN947" s="1" t="s">
        <v>74</v>
      </c>
      <c r="AO947" s="1" t="s">
        <v>74</v>
      </c>
      <c r="AP947" s="1" t="s">
        <v>74</v>
      </c>
      <c r="AQ947" s="1" t="s">
        <v>7796</v>
      </c>
      <c r="AR947" s="1" t="s">
        <v>74</v>
      </c>
      <c r="AS947" s="1" t="s">
        <v>74</v>
      </c>
      <c r="AT947" s="1" t="s">
        <v>74</v>
      </c>
      <c r="AU947" s="1">
        <v>2015.0</v>
      </c>
      <c r="AV947" s="1" t="s">
        <v>74</v>
      </c>
      <c r="AW947" s="1" t="s">
        <v>74</v>
      </c>
      <c r="AX947" s="1" t="s">
        <v>74</v>
      </c>
      <c r="AY947" s="1" t="s">
        <v>74</v>
      </c>
      <c r="AZ947" s="1" t="s">
        <v>74</v>
      </c>
      <c r="BA947" s="1" t="s">
        <v>74</v>
      </c>
      <c r="BB947" s="1" t="s">
        <v>74</v>
      </c>
      <c r="BC947" s="1" t="s">
        <v>74</v>
      </c>
      <c r="BD947" s="1" t="s">
        <v>74</v>
      </c>
      <c r="BE947" s="1" t="s">
        <v>7797</v>
      </c>
      <c r="BF947" s="2" t="str">
        <f>HYPERLINK("http://dx.doi.org/10.1109/LA-CCI.2015.7435977","http://dx.doi.org/10.1109/LA-CCI.2015.7435977")</f>
        <v>http://dx.doi.org/10.1109/LA-CCI.2015.7435977</v>
      </c>
      <c r="BG947" s="1" t="s">
        <v>74</v>
      </c>
      <c r="BH947" s="1" t="s">
        <v>74</v>
      </c>
      <c r="BI947" s="1" t="s">
        <v>74</v>
      </c>
      <c r="BJ947" s="1" t="s">
        <v>74</v>
      </c>
      <c r="BK947" s="1" t="s">
        <v>74</v>
      </c>
      <c r="BL947" s="1" t="s">
        <v>74</v>
      </c>
      <c r="BM947" s="1" t="s">
        <v>74</v>
      </c>
      <c r="BN947" s="1" t="s">
        <v>74</v>
      </c>
      <c r="BO947" s="1" t="s">
        <v>74</v>
      </c>
      <c r="BP947" s="1" t="s">
        <v>74</v>
      </c>
      <c r="BQ947" s="1" t="s">
        <v>74</v>
      </c>
      <c r="BR947" s="1" t="s">
        <v>74</v>
      </c>
      <c r="BS947" s="1" t="s">
        <v>7798</v>
      </c>
      <c r="BT947" s="1" t="str">
        <f>HYPERLINK("https%3A%2F%2Fwww.webofscience.com%2Fwos%2Fwoscc%2Ffull-record%2FWOS:000380396300049","View Full Record in Web of Science")</f>
        <v>View Full Record in Web of Science</v>
      </c>
    </row>
    <row r="948" ht="12.75" customHeight="1">
      <c r="A948" s="1" t="s">
        <v>72</v>
      </c>
      <c r="B948" s="1" t="s">
        <v>7799</v>
      </c>
      <c r="C948" s="1" t="s">
        <v>74</v>
      </c>
      <c r="D948" s="1" t="s">
        <v>74</v>
      </c>
      <c r="E948" s="1" t="s">
        <v>74</v>
      </c>
      <c r="F948" s="1" t="s">
        <v>7800</v>
      </c>
      <c r="G948" s="1" t="s">
        <v>74</v>
      </c>
      <c r="H948" s="1" t="s">
        <v>74</v>
      </c>
      <c r="I948" s="1" t="s">
        <v>7801</v>
      </c>
      <c r="J948" s="1" t="s">
        <v>7802</v>
      </c>
      <c r="K948" s="1" t="s">
        <v>74</v>
      </c>
      <c r="L948" s="1" t="s">
        <v>74</v>
      </c>
      <c r="M948" s="1" t="s">
        <v>74</v>
      </c>
      <c r="N948" s="1" t="s">
        <v>74</v>
      </c>
      <c r="O948" s="1" t="s">
        <v>74</v>
      </c>
      <c r="P948" s="1" t="s">
        <v>74</v>
      </c>
      <c r="Q948" s="1" t="s">
        <v>74</v>
      </c>
      <c r="R948" s="1" t="s">
        <v>74</v>
      </c>
      <c r="S948" s="1" t="s">
        <v>74</v>
      </c>
      <c r="T948" s="1" t="s">
        <v>74</v>
      </c>
      <c r="U948" s="1" t="s">
        <v>74</v>
      </c>
      <c r="V948" s="1" t="s">
        <v>7803</v>
      </c>
      <c r="W948" s="1" t="s">
        <v>74</v>
      </c>
      <c r="X948" s="1" t="s">
        <v>74</v>
      </c>
      <c r="Y948" s="1" t="s">
        <v>74</v>
      </c>
      <c r="Z948" s="1" t="s">
        <v>74</v>
      </c>
      <c r="AA948" s="1" t="s">
        <v>7187</v>
      </c>
      <c r="AB948" s="1" t="s">
        <v>2504</v>
      </c>
      <c r="AC948" s="1" t="s">
        <v>74</v>
      </c>
      <c r="AD948" s="1" t="s">
        <v>74</v>
      </c>
      <c r="AE948" s="1" t="s">
        <v>74</v>
      </c>
      <c r="AF948" s="1" t="s">
        <v>74</v>
      </c>
      <c r="AG948" s="1" t="s">
        <v>74</v>
      </c>
      <c r="AH948" s="1" t="s">
        <v>74</v>
      </c>
      <c r="AI948" s="1" t="s">
        <v>74</v>
      </c>
      <c r="AJ948" s="1" t="s">
        <v>74</v>
      </c>
      <c r="AK948" s="1" t="s">
        <v>74</v>
      </c>
      <c r="AL948" s="1" t="s">
        <v>74</v>
      </c>
      <c r="AM948" s="1" t="s">
        <v>74</v>
      </c>
      <c r="AN948" s="1" t="s">
        <v>74</v>
      </c>
      <c r="AO948" s="1" t="s">
        <v>7804</v>
      </c>
      <c r="AP948" s="1" t="s">
        <v>7805</v>
      </c>
      <c r="AQ948" s="1" t="s">
        <v>74</v>
      </c>
      <c r="AR948" s="1" t="s">
        <v>74</v>
      </c>
      <c r="AS948" s="1" t="s">
        <v>74</v>
      </c>
      <c r="AT948" s="1" t="s">
        <v>74</v>
      </c>
      <c r="AU948" s="1">
        <v>2015.0</v>
      </c>
      <c r="AV948" s="1">
        <v>35.0</v>
      </c>
      <c r="AW948" s="1">
        <v>2.0</v>
      </c>
      <c r="AX948" s="1" t="s">
        <v>74</v>
      </c>
      <c r="AY948" s="1" t="s">
        <v>74</v>
      </c>
      <c r="AZ948" s="1" t="s">
        <v>74</v>
      </c>
      <c r="BA948" s="1" t="s">
        <v>74</v>
      </c>
      <c r="BB948" s="1">
        <v>147.0</v>
      </c>
      <c r="BC948" s="1">
        <v>150.0</v>
      </c>
      <c r="BD948" s="1" t="s">
        <v>74</v>
      </c>
      <c r="BE948" s="1" t="s">
        <v>74</v>
      </c>
      <c r="BF948" s="1" t="s">
        <v>74</v>
      </c>
      <c r="BG948" s="1" t="s">
        <v>74</v>
      </c>
      <c r="BH948" s="1" t="s">
        <v>74</v>
      </c>
      <c r="BI948" s="1" t="s">
        <v>74</v>
      </c>
      <c r="BJ948" s="1" t="s">
        <v>74</v>
      </c>
      <c r="BK948" s="1" t="s">
        <v>74</v>
      </c>
      <c r="BL948" s="1" t="s">
        <v>74</v>
      </c>
      <c r="BM948" s="1" t="s">
        <v>74</v>
      </c>
      <c r="BN948" s="1" t="s">
        <v>74</v>
      </c>
      <c r="BO948" s="1" t="s">
        <v>74</v>
      </c>
      <c r="BP948" s="1" t="s">
        <v>74</v>
      </c>
      <c r="BQ948" s="1" t="s">
        <v>74</v>
      </c>
      <c r="BR948" s="1" t="s">
        <v>74</v>
      </c>
      <c r="BS948" s="1" t="s">
        <v>7806</v>
      </c>
      <c r="BT948" s="1" t="str">
        <f>HYPERLINK("https%3A%2F%2Fwww.webofscience.com%2Fwos%2Fwoscc%2Ffull-record%2FWOS:000353175600003","View Full Record in Web of Science")</f>
        <v>View Full Record in Web of Science</v>
      </c>
    </row>
    <row r="949" ht="12.75" customHeight="1">
      <c r="A949" s="1" t="s">
        <v>72</v>
      </c>
      <c r="B949" s="1" t="s">
        <v>5497</v>
      </c>
      <c r="C949" s="1" t="s">
        <v>74</v>
      </c>
      <c r="D949" s="1" t="s">
        <v>74</v>
      </c>
      <c r="E949" s="1" t="s">
        <v>74</v>
      </c>
      <c r="F949" s="1" t="s">
        <v>7807</v>
      </c>
      <c r="G949" s="1" t="s">
        <v>74</v>
      </c>
      <c r="H949" s="1" t="s">
        <v>74</v>
      </c>
      <c r="I949" s="1" t="s">
        <v>7808</v>
      </c>
      <c r="J949" s="1" t="s">
        <v>7809</v>
      </c>
      <c r="K949" s="1" t="s">
        <v>74</v>
      </c>
      <c r="L949" s="1" t="s">
        <v>74</v>
      </c>
      <c r="M949" s="1" t="s">
        <v>74</v>
      </c>
      <c r="N949" s="1" t="s">
        <v>74</v>
      </c>
      <c r="O949" s="1" t="s">
        <v>74</v>
      </c>
      <c r="P949" s="1" t="s">
        <v>74</v>
      </c>
      <c r="Q949" s="1" t="s">
        <v>74</v>
      </c>
      <c r="R949" s="1" t="s">
        <v>74</v>
      </c>
      <c r="S949" s="1" t="s">
        <v>74</v>
      </c>
      <c r="T949" s="1" t="s">
        <v>74</v>
      </c>
      <c r="U949" s="1" t="s">
        <v>74</v>
      </c>
      <c r="V949" s="1" t="s">
        <v>7810</v>
      </c>
      <c r="W949" s="1" t="s">
        <v>74</v>
      </c>
      <c r="X949" s="1" t="s">
        <v>74</v>
      </c>
      <c r="Y949" s="1" t="s">
        <v>74</v>
      </c>
      <c r="Z949" s="1" t="s">
        <v>74</v>
      </c>
      <c r="AA949" s="1" t="s">
        <v>7811</v>
      </c>
      <c r="AB949" s="1" t="s">
        <v>7812</v>
      </c>
      <c r="AC949" s="1" t="s">
        <v>74</v>
      </c>
      <c r="AD949" s="1" t="s">
        <v>74</v>
      </c>
      <c r="AE949" s="1" t="s">
        <v>74</v>
      </c>
      <c r="AF949" s="1" t="s">
        <v>74</v>
      </c>
      <c r="AG949" s="1" t="s">
        <v>74</v>
      </c>
      <c r="AH949" s="1" t="s">
        <v>74</v>
      </c>
      <c r="AI949" s="1" t="s">
        <v>74</v>
      </c>
      <c r="AJ949" s="1" t="s">
        <v>74</v>
      </c>
      <c r="AK949" s="1" t="s">
        <v>74</v>
      </c>
      <c r="AL949" s="1" t="s">
        <v>74</v>
      </c>
      <c r="AM949" s="1" t="s">
        <v>74</v>
      </c>
      <c r="AN949" s="1" t="s">
        <v>74</v>
      </c>
      <c r="AO949" s="1" t="s">
        <v>7813</v>
      </c>
      <c r="AP949" s="1" t="s">
        <v>74</v>
      </c>
      <c r="AQ949" s="1" t="s">
        <v>74</v>
      </c>
      <c r="AR949" s="1" t="s">
        <v>74</v>
      </c>
      <c r="AS949" s="1" t="s">
        <v>74</v>
      </c>
      <c r="AT949" s="1" t="s">
        <v>88</v>
      </c>
      <c r="AU949" s="1">
        <v>2014.0</v>
      </c>
      <c r="AV949" s="1">
        <v>9.0</v>
      </c>
      <c r="AW949" s="1">
        <v>12.0</v>
      </c>
      <c r="AX949" s="1" t="s">
        <v>74</v>
      </c>
      <c r="AY949" s="1" t="s">
        <v>74</v>
      </c>
      <c r="AZ949" s="1" t="s">
        <v>74</v>
      </c>
      <c r="BA949" s="1" t="s">
        <v>74</v>
      </c>
      <c r="BB949" s="1">
        <v>7916.0</v>
      </c>
      <c r="BC949" s="1">
        <v>7924.0</v>
      </c>
      <c r="BD949" s="1" t="s">
        <v>74</v>
      </c>
      <c r="BE949" s="1" t="s">
        <v>74</v>
      </c>
      <c r="BF949" s="1" t="s">
        <v>74</v>
      </c>
      <c r="BG949" s="1" t="s">
        <v>74</v>
      </c>
      <c r="BH949" s="1" t="s">
        <v>74</v>
      </c>
      <c r="BI949" s="1" t="s">
        <v>74</v>
      </c>
      <c r="BJ949" s="1" t="s">
        <v>74</v>
      </c>
      <c r="BK949" s="1" t="s">
        <v>74</v>
      </c>
      <c r="BL949" s="1" t="s">
        <v>74</v>
      </c>
      <c r="BM949" s="1" t="s">
        <v>74</v>
      </c>
      <c r="BN949" s="1" t="s">
        <v>74</v>
      </c>
      <c r="BO949" s="1" t="s">
        <v>74</v>
      </c>
      <c r="BP949" s="1" t="s">
        <v>74</v>
      </c>
      <c r="BQ949" s="1" t="s">
        <v>74</v>
      </c>
      <c r="BR949" s="1" t="s">
        <v>74</v>
      </c>
      <c r="BS949" s="1" t="s">
        <v>7814</v>
      </c>
      <c r="BT949" s="1" t="str">
        <f>HYPERLINK("https%3A%2F%2Fwww.webofscience.com%2Fwos%2Fwoscc%2Ffull-record%2FWOS:000345261900094","View Full Record in Web of Science")</f>
        <v>View Full Record in Web of Science</v>
      </c>
    </row>
    <row r="950" ht="12.75" customHeight="1">
      <c r="A950" s="1" t="s">
        <v>72</v>
      </c>
      <c r="B950" s="1" t="s">
        <v>7815</v>
      </c>
      <c r="C950" s="1" t="s">
        <v>74</v>
      </c>
      <c r="D950" s="1" t="s">
        <v>74</v>
      </c>
      <c r="E950" s="1" t="s">
        <v>74</v>
      </c>
      <c r="F950" s="1" t="s">
        <v>7816</v>
      </c>
      <c r="G950" s="1" t="s">
        <v>74</v>
      </c>
      <c r="H950" s="1" t="s">
        <v>74</v>
      </c>
      <c r="I950" s="1" t="s">
        <v>7817</v>
      </c>
      <c r="J950" s="1" t="s">
        <v>1374</v>
      </c>
      <c r="K950" s="1" t="s">
        <v>74</v>
      </c>
      <c r="L950" s="1" t="s">
        <v>74</v>
      </c>
      <c r="M950" s="1" t="s">
        <v>74</v>
      </c>
      <c r="N950" s="1" t="s">
        <v>74</v>
      </c>
      <c r="O950" s="1" t="s">
        <v>74</v>
      </c>
      <c r="P950" s="1" t="s">
        <v>74</v>
      </c>
      <c r="Q950" s="1" t="s">
        <v>74</v>
      </c>
      <c r="R950" s="1" t="s">
        <v>74</v>
      </c>
      <c r="S950" s="1" t="s">
        <v>74</v>
      </c>
      <c r="T950" s="1" t="s">
        <v>74</v>
      </c>
      <c r="U950" s="1" t="s">
        <v>74</v>
      </c>
      <c r="V950" s="1" t="s">
        <v>7818</v>
      </c>
      <c r="W950" s="1" t="s">
        <v>74</v>
      </c>
      <c r="X950" s="1" t="s">
        <v>74</v>
      </c>
      <c r="Y950" s="1" t="s">
        <v>74</v>
      </c>
      <c r="Z950" s="1" t="s">
        <v>74</v>
      </c>
      <c r="AA950" s="1" t="s">
        <v>7819</v>
      </c>
      <c r="AB950" s="1" t="s">
        <v>7820</v>
      </c>
      <c r="AC950" s="1" t="s">
        <v>74</v>
      </c>
      <c r="AD950" s="1" t="s">
        <v>74</v>
      </c>
      <c r="AE950" s="1" t="s">
        <v>74</v>
      </c>
      <c r="AF950" s="1" t="s">
        <v>74</v>
      </c>
      <c r="AG950" s="1" t="s">
        <v>74</v>
      </c>
      <c r="AH950" s="1" t="s">
        <v>74</v>
      </c>
      <c r="AI950" s="1" t="s">
        <v>74</v>
      </c>
      <c r="AJ950" s="1" t="s">
        <v>74</v>
      </c>
      <c r="AK950" s="1" t="s">
        <v>74</v>
      </c>
      <c r="AL950" s="1" t="s">
        <v>74</v>
      </c>
      <c r="AM950" s="1" t="s">
        <v>74</v>
      </c>
      <c r="AN950" s="1" t="s">
        <v>74</v>
      </c>
      <c r="AO950" s="1" t="s">
        <v>1378</v>
      </c>
      <c r="AP950" s="1" t="s">
        <v>74</v>
      </c>
      <c r="AQ950" s="1" t="s">
        <v>74</v>
      </c>
      <c r="AR950" s="1" t="s">
        <v>74</v>
      </c>
      <c r="AS950" s="1" t="s">
        <v>74</v>
      </c>
      <c r="AT950" s="1" t="s">
        <v>1176</v>
      </c>
      <c r="AU950" s="1">
        <v>2014.0</v>
      </c>
      <c r="AV950" s="1">
        <v>19.0</v>
      </c>
      <c r="AW950" s="1">
        <v>8.0</v>
      </c>
      <c r="AX950" s="1" t="s">
        <v>74</v>
      </c>
      <c r="AY950" s="1" t="s">
        <v>74</v>
      </c>
      <c r="AZ950" s="1" t="s">
        <v>74</v>
      </c>
      <c r="BA950" s="1" t="s">
        <v>74</v>
      </c>
      <c r="BB950" s="1">
        <v>12690.0</v>
      </c>
      <c r="BC950" s="1">
        <v>12698.0</v>
      </c>
      <c r="BD950" s="1" t="s">
        <v>74</v>
      </c>
      <c r="BE950" s="1" t="s">
        <v>7821</v>
      </c>
      <c r="BF950" s="2" t="str">
        <f>HYPERLINK("http://dx.doi.org/10.3390/molecules190812690","http://dx.doi.org/10.3390/molecules190812690")</f>
        <v>http://dx.doi.org/10.3390/molecules190812690</v>
      </c>
      <c r="BG950" s="1" t="s">
        <v>74</v>
      </c>
      <c r="BH950" s="1" t="s">
        <v>74</v>
      </c>
      <c r="BI950" s="1" t="s">
        <v>74</v>
      </c>
      <c r="BJ950" s="1" t="s">
        <v>74</v>
      </c>
      <c r="BK950" s="1" t="s">
        <v>74</v>
      </c>
      <c r="BL950" s="1" t="s">
        <v>74</v>
      </c>
      <c r="BM950" s="1" t="s">
        <v>74</v>
      </c>
      <c r="BN950" s="1">
        <v>2.5140447E7</v>
      </c>
      <c r="BO950" s="1" t="s">
        <v>74</v>
      </c>
      <c r="BP950" s="1" t="s">
        <v>74</v>
      </c>
      <c r="BQ950" s="1" t="s">
        <v>74</v>
      </c>
      <c r="BR950" s="1" t="s">
        <v>74</v>
      </c>
      <c r="BS950" s="1" t="s">
        <v>7822</v>
      </c>
      <c r="BT950" s="1" t="str">
        <f>HYPERLINK("https%3A%2F%2Fwww.webofscience.com%2Fwos%2Fwoscc%2Ffull-record%2FWOS:000341502600109","View Full Record in Web of Science")</f>
        <v>View Full Record in Web of Science</v>
      </c>
    </row>
    <row r="951" ht="12.75" customHeight="1">
      <c r="A951" s="1" t="s">
        <v>72</v>
      </c>
      <c r="B951" s="1" t="s">
        <v>7823</v>
      </c>
      <c r="C951" s="1" t="s">
        <v>74</v>
      </c>
      <c r="D951" s="1" t="s">
        <v>74</v>
      </c>
      <c r="E951" s="1" t="s">
        <v>74</v>
      </c>
      <c r="F951" s="1" t="s">
        <v>7824</v>
      </c>
      <c r="G951" s="1" t="s">
        <v>74</v>
      </c>
      <c r="H951" s="1" t="s">
        <v>74</v>
      </c>
      <c r="I951" s="1" t="s">
        <v>7825</v>
      </c>
      <c r="J951" s="1" t="s">
        <v>7826</v>
      </c>
      <c r="K951" s="1" t="s">
        <v>74</v>
      </c>
      <c r="L951" s="1" t="s">
        <v>74</v>
      </c>
      <c r="M951" s="1" t="s">
        <v>74</v>
      </c>
      <c r="N951" s="1" t="s">
        <v>74</v>
      </c>
      <c r="O951" s="1" t="s">
        <v>74</v>
      </c>
      <c r="P951" s="1" t="s">
        <v>74</v>
      </c>
      <c r="Q951" s="1" t="s">
        <v>74</v>
      </c>
      <c r="R951" s="1" t="s">
        <v>74</v>
      </c>
      <c r="S951" s="1" t="s">
        <v>74</v>
      </c>
      <c r="T951" s="1" t="s">
        <v>74</v>
      </c>
      <c r="U951" s="1" t="s">
        <v>74</v>
      </c>
      <c r="V951" s="1" t="s">
        <v>7827</v>
      </c>
      <c r="W951" s="1" t="s">
        <v>74</v>
      </c>
      <c r="X951" s="1" t="s">
        <v>74</v>
      </c>
      <c r="Y951" s="1" t="s">
        <v>74</v>
      </c>
      <c r="Z951" s="1" t="s">
        <v>74</v>
      </c>
      <c r="AA951" s="1" t="s">
        <v>7828</v>
      </c>
      <c r="AB951" s="1" t="s">
        <v>855</v>
      </c>
      <c r="AC951" s="1" t="s">
        <v>74</v>
      </c>
      <c r="AD951" s="1" t="s">
        <v>74</v>
      </c>
      <c r="AE951" s="1" t="s">
        <v>74</v>
      </c>
      <c r="AF951" s="1" t="s">
        <v>74</v>
      </c>
      <c r="AG951" s="1" t="s">
        <v>74</v>
      </c>
      <c r="AH951" s="1" t="s">
        <v>74</v>
      </c>
      <c r="AI951" s="1" t="s">
        <v>74</v>
      </c>
      <c r="AJ951" s="1" t="s">
        <v>74</v>
      </c>
      <c r="AK951" s="1" t="s">
        <v>74</v>
      </c>
      <c r="AL951" s="1" t="s">
        <v>74</v>
      </c>
      <c r="AM951" s="1" t="s">
        <v>74</v>
      </c>
      <c r="AN951" s="1" t="s">
        <v>74</v>
      </c>
      <c r="AO951" s="1" t="s">
        <v>7829</v>
      </c>
      <c r="AP951" s="1" t="s">
        <v>7830</v>
      </c>
      <c r="AQ951" s="1" t="s">
        <v>74</v>
      </c>
      <c r="AR951" s="1" t="s">
        <v>74</v>
      </c>
      <c r="AS951" s="1" t="s">
        <v>74</v>
      </c>
      <c r="AT951" s="1" t="s">
        <v>299</v>
      </c>
      <c r="AU951" s="1">
        <v>2014.0</v>
      </c>
      <c r="AV951" s="1">
        <v>85.0</v>
      </c>
      <c r="AW951" s="1" t="s">
        <v>74</v>
      </c>
      <c r="AX951" s="1" t="s">
        <v>74</v>
      </c>
      <c r="AY951" s="1" t="s">
        <v>74</v>
      </c>
      <c r="AZ951" s="1" t="s">
        <v>74</v>
      </c>
      <c r="BA951" s="1" t="s">
        <v>74</v>
      </c>
      <c r="BB951" s="1">
        <v>41.0</v>
      </c>
      <c r="BC951" s="1">
        <v>48.0</v>
      </c>
      <c r="BD951" s="1" t="s">
        <v>74</v>
      </c>
      <c r="BE951" s="1" t="s">
        <v>7831</v>
      </c>
      <c r="BF951" s="2" t="str">
        <f>HYPERLINK("http://dx.doi.org/10.1016/j.supflu.2013.10.011","http://dx.doi.org/10.1016/j.supflu.2013.10.011")</f>
        <v>http://dx.doi.org/10.1016/j.supflu.2013.10.011</v>
      </c>
      <c r="BG951" s="1" t="s">
        <v>74</v>
      </c>
      <c r="BH951" s="1" t="s">
        <v>74</v>
      </c>
      <c r="BI951" s="1" t="s">
        <v>74</v>
      </c>
      <c r="BJ951" s="1" t="s">
        <v>74</v>
      </c>
      <c r="BK951" s="1" t="s">
        <v>74</v>
      </c>
      <c r="BL951" s="1" t="s">
        <v>74</v>
      </c>
      <c r="BM951" s="1" t="s">
        <v>74</v>
      </c>
      <c r="BN951" s="1" t="s">
        <v>74</v>
      </c>
      <c r="BO951" s="1" t="s">
        <v>74</v>
      </c>
      <c r="BP951" s="1" t="s">
        <v>74</v>
      </c>
      <c r="BQ951" s="1" t="s">
        <v>74</v>
      </c>
      <c r="BR951" s="1" t="s">
        <v>74</v>
      </c>
      <c r="BS951" s="1" t="s">
        <v>7832</v>
      </c>
      <c r="BT951" s="1" t="str">
        <f>HYPERLINK("https%3A%2F%2Fwww.webofscience.com%2Fwos%2Fwoscc%2Ffull-record%2FWOS:000330747200007","View Full Record in Web of Science")</f>
        <v>View Full Record in Web of Science</v>
      </c>
    </row>
    <row r="952" ht="12.75" customHeight="1">
      <c r="A952" s="1" t="s">
        <v>72</v>
      </c>
      <c r="B952" s="1" t="s">
        <v>7833</v>
      </c>
      <c r="C952" s="1" t="s">
        <v>74</v>
      </c>
      <c r="D952" s="1" t="s">
        <v>74</v>
      </c>
      <c r="E952" s="1" t="s">
        <v>74</v>
      </c>
      <c r="F952" s="1" t="s">
        <v>7834</v>
      </c>
      <c r="G952" s="1" t="s">
        <v>74</v>
      </c>
      <c r="H952" s="1" t="s">
        <v>74</v>
      </c>
      <c r="I952" s="1" t="s">
        <v>7835</v>
      </c>
      <c r="J952" s="1" t="s">
        <v>842</v>
      </c>
      <c r="K952" s="1" t="s">
        <v>74</v>
      </c>
      <c r="L952" s="1" t="s">
        <v>74</v>
      </c>
      <c r="M952" s="1" t="s">
        <v>74</v>
      </c>
      <c r="N952" s="1" t="s">
        <v>74</v>
      </c>
      <c r="O952" s="1" t="s">
        <v>74</v>
      </c>
      <c r="P952" s="1" t="s">
        <v>74</v>
      </c>
      <c r="Q952" s="1" t="s">
        <v>74</v>
      </c>
      <c r="R952" s="1" t="s">
        <v>74</v>
      </c>
      <c r="S952" s="1" t="s">
        <v>74</v>
      </c>
      <c r="T952" s="1" t="s">
        <v>74</v>
      </c>
      <c r="U952" s="1" t="s">
        <v>74</v>
      </c>
      <c r="V952" s="1" t="s">
        <v>74</v>
      </c>
      <c r="W952" s="1" t="s">
        <v>74</v>
      </c>
      <c r="X952" s="1" t="s">
        <v>74</v>
      </c>
      <c r="Y952" s="1" t="s">
        <v>74</v>
      </c>
      <c r="Z952" s="1" t="s">
        <v>74</v>
      </c>
      <c r="AA952" s="1" t="s">
        <v>74</v>
      </c>
      <c r="AB952" s="1" t="s">
        <v>74</v>
      </c>
      <c r="AC952" s="1" t="s">
        <v>74</v>
      </c>
      <c r="AD952" s="1" t="s">
        <v>74</v>
      </c>
      <c r="AE952" s="1" t="s">
        <v>74</v>
      </c>
      <c r="AF952" s="1" t="s">
        <v>74</v>
      </c>
      <c r="AG952" s="1" t="s">
        <v>74</v>
      </c>
      <c r="AH952" s="1" t="s">
        <v>74</v>
      </c>
      <c r="AI952" s="1" t="s">
        <v>74</v>
      </c>
      <c r="AJ952" s="1" t="s">
        <v>74</v>
      </c>
      <c r="AK952" s="1" t="s">
        <v>74</v>
      </c>
      <c r="AL952" s="1" t="s">
        <v>74</v>
      </c>
      <c r="AM952" s="1" t="s">
        <v>74</v>
      </c>
      <c r="AN952" s="1" t="s">
        <v>74</v>
      </c>
      <c r="AO952" s="1" t="s">
        <v>846</v>
      </c>
      <c r="AP952" s="1" t="s">
        <v>74</v>
      </c>
      <c r="AQ952" s="1" t="s">
        <v>74</v>
      </c>
      <c r="AR952" s="1" t="s">
        <v>74</v>
      </c>
      <c r="AS952" s="1" t="s">
        <v>74</v>
      </c>
      <c r="AT952" s="1" t="s">
        <v>180</v>
      </c>
      <c r="AU952" s="1">
        <v>2013.0</v>
      </c>
      <c r="AV952" s="1">
        <v>34.0</v>
      </c>
      <c r="AW952" s="1">
        <v>6.0</v>
      </c>
      <c r="AX952" s="1" t="s">
        <v>74</v>
      </c>
      <c r="AY952" s="1" t="s">
        <v>74</v>
      </c>
      <c r="AZ952" s="1" t="s">
        <v>74</v>
      </c>
      <c r="BA952" s="1" t="s">
        <v>74</v>
      </c>
      <c r="BB952" s="1">
        <v>1701.0</v>
      </c>
      <c r="BC952" s="1">
        <v>1701.0</v>
      </c>
      <c r="BD952" s="1" t="s">
        <v>74</v>
      </c>
      <c r="BE952" s="1" t="s">
        <v>7836</v>
      </c>
      <c r="BF952" s="2" t="str">
        <f>HYPERLINK("http://dx.doi.org/10.1016/j.fsi.2013.03.197","http://dx.doi.org/10.1016/j.fsi.2013.03.197")</f>
        <v>http://dx.doi.org/10.1016/j.fsi.2013.03.197</v>
      </c>
      <c r="BG952" s="1" t="s">
        <v>74</v>
      </c>
      <c r="BH952" s="1" t="s">
        <v>74</v>
      </c>
      <c r="BI952" s="1" t="s">
        <v>74</v>
      </c>
      <c r="BJ952" s="1" t="s">
        <v>74</v>
      </c>
      <c r="BK952" s="1" t="s">
        <v>74</v>
      </c>
      <c r="BL952" s="1" t="s">
        <v>74</v>
      </c>
      <c r="BM952" s="1" t="s">
        <v>74</v>
      </c>
      <c r="BN952" s="1" t="s">
        <v>74</v>
      </c>
      <c r="BO952" s="1" t="s">
        <v>74</v>
      </c>
      <c r="BP952" s="1" t="s">
        <v>74</v>
      </c>
      <c r="BQ952" s="1" t="s">
        <v>74</v>
      </c>
      <c r="BR952" s="1" t="s">
        <v>74</v>
      </c>
      <c r="BS952" s="1" t="s">
        <v>7837</v>
      </c>
      <c r="BT952" s="1" t="str">
        <f>HYPERLINK("https%3A%2F%2Fwww.webofscience.com%2Fwos%2Fwoscc%2Ffull-record%2FWOS:000319646100220","View Full Record in Web of Science")</f>
        <v>View Full Record in Web of Science</v>
      </c>
    </row>
    <row r="953" ht="12.75" customHeight="1">
      <c r="A953" s="1" t="s">
        <v>72</v>
      </c>
      <c r="B953" s="1" t="s">
        <v>7838</v>
      </c>
      <c r="C953" s="1" t="s">
        <v>74</v>
      </c>
      <c r="D953" s="1" t="s">
        <v>74</v>
      </c>
      <c r="E953" s="1" t="s">
        <v>74</v>
      </c>
      <c r="F953" s="1" t="s">
        <v>7839</v>
      </c>
      <c r="G953" s="1" t="s">
        <v>74</v>
      </c>
      <c r="H953" s="1" t="s">
        <v>74</v>
      </c>
      <c r="I953" s="1" t="s">
        <v>7840</v>
      </c>
      <c r="J953" s="1" t="s">
        <v>927</v>
      </c>
      <c r="K953" s="1" t="s">
        <v>74</v>
      </c>
      <c r="L953" s="1" t="s">
        <v>74</v>
      </c>
      <c r="M953" s="1" t="s">
        <v>74</v>
      </c>
      <c r="N953" s="1" t="s">
        <v>74</v>
      </c>
      <c r="O953" s="1" t="s">
        <v>74</v>
      </c>
      <c r="P953" s="1" t="s">
        <v>74</v>
      </c>
      <c r="Q953" s="1" t="s">
        <v>74</v>
      </c>
      <c r="R953" s="1" t="s">
        <v>74</v>
      </c>
      <c r="S953" s="1" t="s">
        <v>74</v>
      </c>
      <c r="T953" s="1" t="s">
        <v>74</v>
      </c>
      <c r="U953" s="1" t="s">
        <v>74</v>
      </c>
      <c r="V953" s="1" t="s">
        <v>7841</v>
      </c>
      <c r="W953" s="1" t="s">
        <v>74</v>
      </c>
      <c r="X953" s="1" t="s">
        <v>74</v>
      </c>
      <c r="Y953" s="1" t="s">
        <v>74</v>
      </c>
      <c r="Z953" s="1" t="s">
        <v>74</v>
      </c>
      <c r="AA953" s="1" t="s">
        <v>74</v>
      </c>
      <c r="AB953" s="1" t="s">
        <v>7842</v>
      </c>
      <c r="AC953" s="1" t="s">
        <v>74</v>
      </c>
      <c r="AD953" s="1" t="s">
        <v>74</v>
      </c>
      <c r="AE953" s="1" t="s">
        <v>74</v>
      </c>
      <c r="AF953" s="1" t="s">
        <v>74</v>
      </c>
      <c r="AG953" s="1" t="s">
        <v>74</v>
      </c>
      <c r="AH953" s="1" t="s">
        <v>74</v>
      </c>
      <c r="AI953" s="1" t="s">
        <v>74</v>
      </c>
      <c r="AJ953" s="1" t="s">
        <v>74</v>
      </c>
      <c r="AK953" s="1" t="s">
        <v>74</v>
      </c>
      <c r="AL953" s="1" t="s">
        <v>74</v>
      </c>
      <c r="AM953" s="1" t="s">
        <v>74</v>
      </c>
      <c r="AN953" s="1" t="s">
        <v>74</v>
      </c>
      <c r="AO953" s="1" t="s">
        <v>930</v>
      </c>
      <c r="AP953" s="1" t="s">
        <v>931</v>
      </c>
      <c r="AQ953" s="1" t="s">
        <v>74</v>
      </c>
      <c r="AR953" s="1" t="s">
        <v>74</v>
      </c>
      <c r="AS953" s="1" t="s">
        <v>74</v>
      </c>
      <c r="AT953" s="1" t="s">
        <v>288</v>
      </c>
      <c r="AU953" s="1">
        <v>2013.0</v>
      </c>
      <c r="AV953" s="1">
        <v>8.0</v>
      </c>
      <c r="AW953" s="1">
        <v>1.0</v>
      </c>
      <c r="AX953" s="1" t="s">
        <v>74</v>
      </c>
      <c r="AY953" s="1" t="s">
        <v>74</v>
      </c>
      <c r="AZ953" s="1" t="s">
        <v>74</v>
      </c>
      <c r="BA953" s="1" t="s">
        <v>74</v>
      </c>
      <c r="BB953" s="1">
        <v>8.0</v>
      </c>
      <c r="BC953" s="1">
        <v>17.0</v>
      </c>
      <c r="BD953" s="1" t="s">
        <v>74</v>
      </c>
      <c r="BE953" s="1" t="s">
        <v>74</v>
      </c>
      <c r="BF953" s="1" t="s">
        <v>74</v>
      </c>
      <c r="BG953" s="1" t="s">
        <v>74</v>
      </c>
      <c r="BH953" s="1" t="s">
        <v>74</v>
      </c>
      <c r="BI953" s="1" t="s">
        <v>74</v>
      </c>
      <c r="BJ953" s="1" t="s">
        <v>74</v>
      </c>
      <c r="BK953" s="1" t="s">
        <v>74</v>
      </c>
      <c r="BL953" s="1" t="s">
        <v>74</v>
      </c>
      <c r="BM953" s="1" t="s">
        <v>74</v>
      </c>
      <c r="BN953" s="1" t="s">
        <v>74</v>
      </c>
      <c r="BO953" s="1" t="s">
        <v>74</v>
      </c>
      <c r="BP953" s="1" t="s">
        <v>74</v>
      </c>
      <c r="BQ953" s="1" t="s">
        <v>74</v>
      </c>
      <c r="BR953" s="1" t="s">
        <v>74</v>
      </c>
      <c r="BS953" s="1" t="s">
        <v>7843</v>
      </c>
      <c r="BT953" s="1" t="str">
        <f>HYPERLINK("https%3A%2F%2Fwww.webofscience.com%2Fwos%2Fwoscc%2Ffull-record%2FWOS:000312043600001","View Full Record in Web of Science")</f>
        <v>View Full Record in Web of Science</v>
      </c>
    </row>
    <row r="954" ht="12.75" customHeight="1">
      <c r="A954" s="1" t="s">
        <v>72</v>
      </c>
      <c r="B954" s="1" t="s">
        <v>7163</v>
      </c>
      <c r="C954" s="1" t="s">
        <v>74</v>
      </c>
      <c r="D954" s="1" t="s">
        <v>74</v>
      </c>
      <c r="E954" s="1" t="s">
        <v>74</v>
      </c>
      <c r="F954" s="1" t="s">
        <v>7164</v>
      </c>
      <c r="G954" s="1" t="s">
        <v>74</v>
      </c>
      <c r="H954" s="1" t="s">
        <v>74</v>
      </c>
      <c r="I954" s="1" t="s">
        <v>7844</v>
      </c>
      <c r="J954" s="1" t="s">
        <v>7845</v>
      </c>
      <c r="K954" s="1" t="s">
        <v>74</v>
      </c>
      <c r="L954" s="1" t="s">
        <v>74</v>
      </c>
      <c r="M954" s="1" t="s">
        <v>74</v>
      </c>
      <c r="N954" s="1" t="s">
        <v>74</v>
      </c>
      <c r="O954" s="1" t="s">
        <v>74</v>
      </c>
      <c r="P954" s="1" t="s">
        <v>74</v>
      </c>
      <c r="Q954" s="1" t="s">
        <v>74</v>
      </c>
      <c r="R954" s="1" t="s">
        <v>74</v>
      </c>
      <c r="S954" s="1" t="s">
        <v>74</v>
      </c>
      <c r="T954" s="1" t="s">
        <v>74</v>
      </c>
      <c r="U954" s="1" t="s">
        <v>74</v>
      </c>
      <c r="V954" s="1" t="s">
        <v>7846</v>
      </c>
      <c r="W954" s="1" t="s">
        <v>74</v>
      </c>
      <c r="X954" s="1" t="s">
        <v>74</v>
      </c>
      <c r="Y954" s="1" t="s">
        <v>74</v>
      </c>
      <c r="Z954" s="1" t="s">
        <v>74</v>
      </c>
      <c r="AA954" s="1" t="s">
        <v>74</v>
      </c>
      <c r="AB954" s="1" t="s">
        <v>7167</v>
      </c>
      <c r="AC954" s="1" t="s">
        <v>74</v>
      </c>
      <c r="AD954" s="1" t="s">
        <v>74</v>
      </c>
      <c r="AE954" s="1" t="s">
        <v>74</v>
      </c>
      <c r="AF954" s="1" t="s">
        <v>74</v>
      </c>
      <c r="AG954" s="1" t="s">
        <v>74</v>
      </c>
      <c r="AH954" s="1" t="s">
        <v>74</v>
      </c>
      <c r="AI954" s="1" t="s">
        <v>74</v>
      </c>
      <c r="AJ954" s="1" t="s">
        <v>74</v>
      </c>
      <c r="AK954" s="1" t="s">
        <v>74</v>
      </c>
      <c r="AL954" s="1" t="s">
        <v>74</v>
      </c>
      <c r="AM954" s="1" t="s">
        <v>74</v>
      </c>
      <c r="AN954" s="1" t="s">
        <v>74</v>
      </c>
      <c r="AO954" s="1" t="s">
        <v>7847</v>
      </c>
      <c r="AP954" s="1" t="s">
        <v>7848</v>
      </c>
      <c r="AQ954" s="1" t="s">
        <v>74</v>
      </c>
      <c r="AR954" s="1" t="s">
        <v>74</v>
      </c>
      <c r="AS954" s="1" t="s">
        <v>74</v>
      </c>
      <c r="AT954" s="1" t="s">
        <v>288</v>
      </c>
      <c r="AU954" s="1">
        <v>2013.0</v>
      </c>
      <c r="AV954" s="1">
        <v>143.0</v>
      </c>
      <c r="AW954" s="1">
        <v>1.0</v>
      </c>
      <c r="AX954" s="1" t="s">
        <v>74</v>
      </c>
      <c r="AY954" s="1" t="s">
        <v>74</v>
      </c>
      <c r="AZ954" s="1" t="s">
        <v>74</v>
      </c>
      <c r="BA954" s="1" t="s">
        <v>74</v>
      </c>
      <c r="BB954" s="1">
        <v>169.0</v>
      </c>
      <c r="BC954" s="1">
        <v>184.0</v>
      </c>
      <c r="BD954" s="1" t="s">
        <v>74</v>
      </c>
      <c r="BE954" s="1" t="s">
        <v>7849</v>
      </c>
      <c r="BF954" s="2" t="str">
        <f>HYPERLINK("http://dx.doi.org/10.1017/S0308210510001939","http://dx.doi.org/10.1017/S0308210510001939")</f>
        <v>http://dx.doi.org/10.1017/S0308210510001939</v>
      </c>
      <c r="BG954" s="1" t="s">
        <v>74</v>
      </c>
      <c r="BH954" s="1" t="s">
        <v>74</v>
      </c>
      <c r="BI954" s="1" t="s">
        <v>74</v>
      </c>
      <c r="BJ954" s="1" t="s">
        <v>74</v>
      </c>
      <c r="BK954" s="1" t="s">
        <v>74</v>
      </c>
      <c r="BL954" s="1" t="s">
        <v>74</v>
      </c>
      <c r="BM954" s="1" t="s">
        <v>74</v>
      </c>
      <c r="BN954" s="1" t="s">
        <v>74</v>
      </c>
      <c r="BO954" s="1" t="s">
        <v>74</v>
      </c>
      <c r="BP954" s="1" t="s">
        <v>74</v>
      </c>
      <c r="BQ954" s="1" t="s">
        <v>74</v>
      </c>
      <c r="BR954" s="1" t="s">
        <v>74</v>
      </c>
      <c r="BS954" s="1" t="s">
        <v>7850</v>
      </c>
      <c r="BT954" s="1" t="str">
        <f>HYPERLINK("https%3A%2F%2Fwww.webofscience.com%2Fwos%2Fwoscc%2Ffull-record%2FWOS:000324525600009","View Full Record in Web of Science")</f>
        <v>View Full Record in Web of Science</v>
      </c>
    </row>
    <row r="955" ht="12.75" customHeight="1">
      <c r="A955" s="1" t="s">
        <v>72</v>
      </c>
      <c r="B955" s="1" t="s">
        <v>4835</v>
      </c>
      <c r="C955" s="1" t="s">
        <v>74</v>
      </c>
      <c r="D955" s="1" t="s">
        <v>74</v>
      </c>
      <c r="E955" s="1" t="s">
        <v>74</v>
      </c>
      <c r="F955" s="1" t="s">
        <v>4836</v>
      </c>
      <c r="G955" s="1" t="s">
        <v>74</v>
      </c>
      <c r="H955" s="1" t="s">
        <v>74</v>
      </c>
      <c r="I955" s="1" t="s">
        <v>7851</v>
      </c>
      <c r="J955" s="1" t="s">
        <v>900</v>
      </c>
      <c r="K955" s="1" t="s">
        <v>74</v>
      </c>
      <c r="L955" s="1" t="s">
        <v>74</v>
      </c>
      <c r="M955" s="1" t="s">
        <v>74</v>
      </c>
      <c r="N955" s="1" t="s">
        <v>74</v>
      </c>
      <c r="O955" s="1" t="s">
        <v>74</v>
      </c>
      <c r="P955" s="1" t="s">
        <v>74</v>
      </c>
      <c r="Q955" s="1" t="s">
        <v>74</v>
      </c>
      <c r="R955" s="1" t="s">
        <v>74</v>
      </c>
      <c r="S955" s="1" t="s">
        <v>74</v>
      </c>
      <c r="T955" s="1" t="s">
        <v>74</v>
      </c>
      <c r="U955" s="1" t="s">
        <v>74</v>
      </c>
      <c r="V955" s="1" t="s">
        <v>7852</v>
      </c>
      <c r="W955" s="1" t="s">
        <v>74</v>
      </c>
      <c r="X955" s="1" t="s">
        <v>74</v>
      </c>
      <c r="Y955" s="1" t="s">
        <v>74</v>
      </c>
      <c r="Z955" s="1" t="s">
        <v>74</v>
      </c>
      <c r="AA955" s="1" t="s">
        <v>902</v>
      </c>
      <c r="AB955" s="1" t="s">
        <v>1119</v>
      </c>
      <c r="AC955" s="1" t="s">
        <v>74</v>
      </c>
      <c r="AD955" s="1" t="s">
        <v>74</v>
      </c>
      <c r="AE955" s="1" t="s">
        <v>74</v>
      </c>
      <c r="AF955" s="1" t="s">
        <v>74</v>
      </c>
      <c r="AG955" s="1" t="s">
        <v>74</v>
      </c>
      <c r="AH955" s="1" t="s">
        <v>74</v>
      </c>
      <c r="AI955" s="1" t="s">
        <v>74</v>
      </c>
      <c r="AJ955" s="1" t="s">
        <v>74</v>
      </c>
      <c r="AK955" s="1" t="s">
        <v>74</v>
      </c>
      <c r="AL955" s="1" t="s">
        <v>74</v>
      </c>
      <c r="AM955" s="1" t="s">
        <v>74</v>
      </c>
      <c r="AN955" s="1" t="s">
        <v>74</v>
      </c>
      <c r="AO955" s="1" t="s">
        <v>904</v>
      </c>
      <c r="AP955" s="1" t="s">
        <v>74</v>
      </c>
      <c r="AQ955" s="1" t="s">
        <v>74</v>
      </c>
      <c r="AR955" s="1" t="s">
        <v>74</v>
      </c>
      <c r="AS955" s="1" t="s">
        <v>74</v>
      </c>
      <c r="AT955" s="1" t="s">
        <v>148</v>
      </c>
      <c r="AU955" s="1">
        <v>2012.0</v>
      </c>
      <c r="AV955" s="1">
        <v>75.0</v>
      </c>
      <c r="AW955" s="1">
        <v>4.0</v>
      </c>
      <c r="AX955" s="1" t="s">
        <v>74</v>
      </c>
      <c r="AY955" s="1" t="s">
        <v>74</v>
      </c>
      <c r="AZ955" s="1" t="s">
        <v>74</v>
      </c>
      <c r="BA955" s="1" t="s">
        <v>74</v>
      </c>
      <c r="BB955" s="1">
        <v>2016.0</v>
      </c>
      <c r="BC955" s="1">
        <v>2023.0</v>
      </c>
      <c r="BD955" s="1" t="s">
        <v>74</v>
      </c>
      <c r="BE955" s="1" t="s">
        <v>7853</v>
      </c>
      <c r="BF955" s="2" t="str">
        <f>HYPERLINK("http://dx.doi.org/10.1016/j.na.2011.10.002","http://dx.doi.org/10.1016/j.na.2011.10.002")</f>
        <v>http://dx.doi.org/10.1016/j.na.2011.10.002</v>
      </c>
      <c r="BG955" s="1" t="s">
        <v>74</v>
      </c>
      <c r="BH955" s="1" t="s">
        <v>74</v>
      </c>
      <c r="BI955" s="1" t="s">
        <v>74</v>
      </c>
      <c r="BJ955" s="1" t="s">
        <v>74</v>
      </c>
      <c r="BK955" s="1" t="s">
        <v>74</v>
      </c>
      <c r="BL955" s="1" t="s">
        <v>74</v>
      </c>
      <c r="BM955" s="1" t="s">
        <v>74</v>
      </c>
      <c r="BN955" s="1" t="s">
        <v>74</v>
      </c>
      <c r="BO955" s="1" t="s">
        <v>74</v>
      </c>
      <c r="BP955" s="1" t="s">
        <v>74</v>
      </c>
      <c r="BQ955" s="1" t="s">
        <v>74</v>
      </c>
      <c r="BR955" s="1" t="s">
        <v>74</v>
      </c>
      <c r="BS955" s="1" t="s">
        <v>7854</v>
      </c>
      <c r="BT955" s="1" t="str">
        <f>HYPERLINK("https%3A%2F%2Fwww.webofscience.com%2Fwos%2Fwoscc%2Ffull-record%2FWOS:000298368600029","View Full Record in Web of Science")</f>
        <v>View Full Record in Web of Science</v>
      </c>
    </row>
    <row r="956" ht="12.75" customHeight="1">
      <c r="A956" s="1" t="s">
        <v>72</v>
      </c>
      <c r="B956" s="1" t="s">
        <v>7855</v>
      </c>
      <c r="C956" s="1" t="s">
        <v>74</v>
      </c>
      <c r="D956" s="1" t="s">
        <v>74</v>
      </c>
      <c r="E956" s="1" t="s">
        <v>74</v>
      </c>
      <c r="F956" s="1" t="s">
        <v>7856</v>
      </c>
      <c r="G956" s="1" t="s">
        <v>74</v>
      </c>
      <c r="H956" s="1" t="s">
        <v>74</v>
      </c>
      <c r="I956" s="1" t="s">
        <v>7857</v>
      </c>
      <c r="J956" s="1" t="s">
        <v>1888</v>
      </c>
      <c r="K956" s="1" t="s">
        <v>74</v>
      </c>
      <c r="L956" s="1" t="s">
        <v>74</v>
      </c>
      <c r="M956" s="1" t="s">
        <v>74</v>
      </c>
      <c r="N956" s="1" t="s">
        <v>74</v>
      </c>
      <c r="O956" s="1" t="s">
        <v>74</v>
      </c>
      <c r="P956" s="1" t="s">
        <v>74</v>
      </c>
      <c r="Q956" s="1" t="s">
        <v>74</v>
      </c>
      <c r="R956" s="1" t="s">
        <v>74</v>
      </c>
      <c r="S956" s="1" t="s">
        <v>74</v>
      </c>
      <c r="T956" s="1" t="s">
        <v>74</v>
      </c>
      <c r="U956" s="1" t="s">
        <v>74</v>
      </c>
      <c r="V956" s="1" t="s">
        <v>7858</v>
      </c>
      <c r="W956" s="1" t="s">
        <v>74</v>
      </c>
      <c r="X956" s="1" t="s">
        <v>74</v>
      </c>
      <c r="Y956" s="1" t="s">
        <v>74</v>
      </c>
      <c r="Z956" s="1" t="s">
        <v>74</v>
      </c>
      <c r="AA956" s="1" t="s">
        <v>74</v>
      </c>
      <c r="AB956" s="1" t="s">
        <v>7167</v>
      </c>
      <c r="AC956" s="1" t="s">
        <v>74</v>
      </c>
      <c r="AD956" s="1" t="s">
        <v>74</v>
      </c>
      <c r="AE956" s="1" t="s">
        <v>74</v>
      </c>
      <c r="AF956" s="1" t="s">
        <v>74</v>
      </c>
      <c r="AG956" s="1" t="s">
        <v>74</v>
      </c>
      <c r="AH956" s="1" t="s">
        <v>74</v>
      </c>
      <c r="AI956" s="1" t="s">
        <v>74</v>
      </c>
      <c r="AJ956" s="1" t="s">
        <v>74</v>
      </c>
      <c r="AK956" s="1" t="s">
        <v>74</v>
      </c>
      <c r="AL956" s="1" t="s">
        <v>74</v>
      </c>
      <c r="AM956" s="1" t="s">
        <v>74</v>
      </c>
      <c r="AN956" s="1" t="s">
        <v>74</v>
      </c>
      <c r="AO956" s="1" t="s">
        <v>1889</v>
      </c>
      <c r="AP956" s="1" t="s">
        <v>7859</v>
      </c>
      <c r="AQ956" s="1" t="s">
        <v>74</v>
      </c>
      <c r="AR956" s="1" t="s">
        <v>74</v>
      </c>
      <c r="AS956" s="1" t="s">
        <v>74</v>
      </c>
      <c r="AT956" s="1" t="s">
        <v>7860</v>
      </c>
      <c r="AU956" s="1">
        <v>2012.0</v>
      </c>
      <c r="AV956" s="1">
        <v>387.0</v>
      </c>
      <c r="AW956" s="1">
        <v>1.0</v>
      </c>
      <c r="AX956" s="1" t="s">
        <v>74</v>
      </c>
      <c r="AY956" s="1" t="s">
        <v>74</v>
      </c>
      <c r="AZ956" s="1" t="s">
        <v>74</v>
      </c>
      <c r="BA956" s="1" t="s">
        <v>74</v>
      </c>
      <c r="BB956" s="1">
        <v>189.0</v>
      </c>
      <c r="BC956" s="1">
        <v>200.0</v>
      </c>
      <c r="BD956" s="1" t="s">
        <v>74</v>
      </c>
      <c r="BE956" s="1" t="s">
        <v>7861</v>
      </c>
      <c r="BF956" s="2" t="str">
        <f>HYPERLINK("http://dx.doi.org/10.1016/j.jmaa.2011.08.074","http://dx.doi.org/10.1016/j.jmaa.2011.08.074")</f>
        <v>http://dx.doi.org/10.1016/j.jmaa.2011.08.074</v>
      </c>
      <c r="BG956" s="1" t="s">
        <v>74</v>
      </c>
      <c r="BH956" s="1" t="s">
        <v>74</v>
      </c>
      <c r="BI956" s="1" t="s">
        <v>74</v>
      </c>
      <c r="BJ956" s="1" t="s">
        <v>74</v>
      </c>
      <c r="BK956" s="1" t="s">
        <v>74</v>
      </c>
      <c r="BL956" s="1" t="s">
        <v>74</v>
      </c>
      <c r="BM956" s="1" t="s">
        <v>74</v>
      </c>
      <c r="BN956" s="1" t="s">
        <v>74</v>
      </c>
      <c r="BO956" s="1" t="s">
        <v>74</v>
      </c>
      <c r="BP956" s="1" t="s">
        <v>74</v>
      </c>
      <c r="BQ956" s="1" t="s">
        <v>74</v>
      </c>
      <c r="BR956" s="1" t="s">
        <v>74</v>
      </c>
      <c r="BS956" s="1" t="s">
        <v>7862</v>
      </c>
      <c r="BT956" s="1" t="str">
        <f>HYPERLINK("https%3A%2F%2Fwww.webofscience.com%2Fwos%2Fwoscc%2Ffull-record%2FWOS:000296115100017","View Full Record in Web of Science")</f>
        <v>View Full Record in Web of Science</v>
      </c>
    </row>
    <row r="957" ht="12.75" customHeight="1">
      <c r="A957" s="1" t="s">
        <v>72</v>
      </c>
      <c r="B957" s="1" t="s">
        <v>7863</v>
      </c>
      <c r="C957" s="1" t="s">
        <v>74</v>
      </c>
      <c r="D957" s="1" t="s">
        <v>74</v>
      </c>
      <c r="E957" s="1" t="s">
        <v>74</v>
      </c>
      <c r="F957" s="1" t="s">
        <v>7864</v>
      </c>
      <c r="G957" s="1" t="s">
        <v>74</v>
      </c>
      <c r="H957" s="1" t="s">
        <v>74</v>
      </c>
      <c r="I957" s="1" t="s">
        <v>7865</v>
      </c>
      <c r="J957" s="1" t="s">
        <v>7866</v>
      </c>
      <c r="K957" s="1" t="s">
        <v>74</v>
      </c>
      <c r="L957" s="1" t="s">
        <v>74</v>
      </c>
      <c r="M957" s="1" t="s">
        <v>74</v>
      </c>
      <c r="N957" s="1" t="s">
        <v>74</v>
      </c>
      <c r="O957" s="1" t="s">
        <v>74</v>
      </c>
      <c r="P957" s="1" t="s">
        <v>74</v>
      </c>
      <c r="Q957" s="1" t="s">
        <v>74</v>
      </c>
      <c r="R957" s="1" t="s">
        <v>74</v>
      </c>
      <c r="S957" s="1" t="s">
        <v>74</v>
      </c>
      <c r="T957" s="1" t="s">
        <v>74</v>
      </c>
      <c r="U957" s="1" t="s">
        <v>74</v>
      </c>
      <c r="V957" s="1" t="s">
        <v>74</v>
      </c>
      <c r="W957" s="1" t="s">
        <v>74</v>
      </c>
      <c r="X957" s="1" t="s">
        <v>74</v>
      </c>
      <c r="Y957" s="1" t="s">
        <v>74</v>
      </c>
      <c r="Z957" s="1" t="s">
        <v>74</v>
      </c>
      <c r="AA957" s="1" t="s">
        <v>74</v>
      </c>
      <c r="AB957" s="1" t="s">
        <v>74</v>
      </c>
      <c r="AC957" s="1" t="s">
        <v>74</v>
      </c>
      <c r="AD957" s="1" t="s">
        <v>74</v>
      </c>
      <c r="AE957" s="1" t="s">
        <v>74</v>
      </c>
      <c r="AF957" s="1" t="s">
        <v>74</v>
      </c>
      <c r="AG957" s="1" t="s">
        <v>74</v>
      </c>
      <c r="AH957" s="1" t="s">
        <v>74</v>
      </c>
      <c r="AI957" s="1" t="s">
        <v>74</v>
      </c>
      <c r="AJ957" s="1" t="s">
        <v>74</v>
      </c>
      <c r="AK957" s="1" t="s">
        <v>74</v>
      </c>
      <c r="AL957" s="1" t="s">
        <v>74</v>
      </c>
      <c r="AM957" s="1" t="s">
        <v>74</v>
      </c>
      <c r="AN957" s="1" t="s">
        <v>74</v>
      </c>
      <c r="AO957" s="1" t="s">
        <v>7867</v>
      </c>
      <c r="AP957" s="1" t="s">
        <v>74</v>
      </c>
      <c r="AQ957" s="1" t="s">
        <v>74</v>
      </c>
      <c r="AR957" s="1" t="s">
        <v>74</v>
      </c>
      <c r="AS957" s="1" t="s">
        <v>74</v>
      </c>
      <c r="AT957" s="1" t="s">
        <v>74</v>
      </c>
      <c r="AU957" s="1">
        <v>2012.0</v>
      </c>
      <c r="AV957" s="1">
        <v>37.0</v>
      </c>
      <c r="AW957" s="1">
        <v>3.0</v>
      </c>
      <c r="AX957" s="1" t="s">
        <v>74</v>
      </c>
      <c r="AY957" s="1" t="s">
        <v>74</v>
      </c>
      <c r="AZ957" s="1" t="s">
        <v>74</v>
      </c>
      <c r="BA957" s="1" t="s">
        <v>74</v>
      </c>
      <c r="BB957" s="1">
        <v>1040.0</v>
      </c>
      <c r="BC957" s="1">
        <v>1048.0</v>
      </c>
      <c r="BD957" s="1" t="s">
        <v>74</v>
      </c>
      <c r="BE957" s="1" t="s">
        <v>74</v>
      </c>
      <c r="BF957" s="1" t="s">
        <v>74</v>
      </c>
      <c r="BG957" s="1" t="s">
        <v>74</v>
      </c>
      <c r="BH957" s="1" t="s">
        <v>74</v>
      </c>
      <c r="BI957" s="1" t="s">
        <v>74</v>
      </c>
      <c r="BJ957" s="1" t="s">
        <v>74</v>
      </c>
      <c r="BK957" s="1" t="s">
        <v>74</v>
      </c>
      <c r="BL957" s="1" t="s">
        <v>74</v>
      </c>
      <c r="BM957" s="1" t="s">
        <v>74</v>
      </c>
      <c r="BN957" s="1" t="s">
        <v>74</v>
      </c>
      <c r="BO957" s="1" t="s">
        <v>74</v>
      </c>
      <c r="BP957" s="1" t="s">
        <v>74</v>
      </c>
      <c r="BQ957" s="1" t="s">
        <v>74</v>
      </c>
      <c r="BR957" s="1" t="s">
        <v>74</v>
      </c>
      <c r="BS957" s="1" t="s">
        <v>7868</v>
      </c>
      <c r="BT957" s="1" t="str">
        <f>HYPERLINK("https%3A%2F%2Fwww.webofscience.com%2Fwos%2Fwoscc%2Ffull-record%2FWOS:000307747200009","View Full Record in Web of Science")</f>
        <v>View Full Record in Web of Science</v>
      </c>
    </row>
    <row r="958" ht="12.75" customHeight="1">
      <c r="A958" s="1" t="s">
        <v>72</v>
      </c>
      <c r="B958" s="1" t="s">
        <v>7869</v>
      </c>
      <c r="C958" s="1" t="s">
        <v>74</v>
      </c>
      <c r="D958" s="1" t="s">
        <v>74</v>
      </c>
      <c r="E958" s="1" t="s">
        <v>74</v>
      </c>
      <c r="F958" s="1" t="s">
        <v>7870</v>
      </c>
      <c r="G958" s="1" t="s">
        <v>74</v>
      </c>
      <c r="H958" s="1" t="s">
        <v>74</v>
      </c>
      <c r="I958" s="1" t="s">
        <v>7871</v>
      </c>
      <c r="J958" s="1" t="s">
        <v>7872</v>
      </c>
      <c r="K958" s="1" t="s">
        <v>74</v>
      </c>
      <c r="L958" s="1" t="s">
        <v>74</v>
      </c>
      <c r="M958" s="1" t="s">
        <v>74</v>
      </c>
      <c r="N958" s="1" t="s">
        <v>74</v>
      </c>
      <c r="O958" s="1" t="s">
        <v>74</v>
      </c>
      <c r="P958" s="1" t="s">
        <v>74</v>
      </c>
      <c r="Q958" s="1" t="s">
        <v>74</v>
      </c>
      <c r="R958" s="1" t="s">
        <v>74</v>
      </c>
      <c r="S958" s="1" t="s">
        <v>74</v>
      </c>
      <c r="T958" s="1" t="s">
        <v>74</v>
      </c>
      <c r="U958" s="1" t="s">
        <v>74</v>
      </c>
      <c r="V958" s="1" t="s">
        <v>7873</v>
      </c>
      <c r="W958" s="1" t="s">
        <v>74</v>
      </c>
      <c r="X958" s="1" t="s">
        <v>74</v>
      </c>
      <c r="Y958" s="1" t="s">
        <v>74</v>
      </c>
      <c r="Z958" s="1" t="s">
        <v>74</v>
      </c>
      <c r="AA958" s="1" t="s">
        <v>4019</v>
      </c>
      <c r="AB958" s="1" t="s">
        <v>74</v>
      </c>
      <c r="AC958" s="1" t="s">
        <v>74</v>
      </c>
      <c r="AD958" s="1" t="s">
        <v>74</v>
      </c>
      <c r="AE958" s="1" t="s">
        <v>74</v>
      </c>
      <c r="AF958" s="1" t="s">
        <v>74</v>
      </c>
      <c r="AG958" s="1" t="s">
        <v>74</v>
      </c>
      <c r="AH958" s="1" t="s">
        <v>74</v>
      </c>
      <c r="AI958" s="1" t="s">
        <v>74</v>
      </c>
      <c r="AJ958" s="1" t="s">
        <v>74</v>
      </c>
      <c r="AK958" s="1" t="s">
        <v>74</v>
      </c>
      <c r="AL958" s="1" t="s">
        <v>74</v>
      </c>
      <c r="AM958" s="1" t="s">
        <v>74</v>
      </c>
      <c r="AN958" s="1" t="s">
        <v>74</v>
      </c>
      <c r="AO958" s="1" t="s">
        <v>7874</v>
      </c>
      <c r="AP958" s="1" t="s">
        <v>74</v>
      </c>
      <c r="AQ958" s="1" t="s">
        <v>74</v>
      </c>
      <c r="AR958" s="1" t="s">
        <v>74</v>
      </c>
      <c r="AS958" s="1" t="s">
        <v>74</v>
      </c>
      <c r="AT958" s="1" t="s">
        <v>358</v>
      </c>
      <c r="AU958" s="1">
        <v>2012.0</v>
      </c>
      <c r="AV958" s="1" t="s">
        <v>74</v>
      </c>
      <c r="AW958" s="1">
        <v>357.0</v>
      </c>
      <c r="AX958" s="1" t="s">
        <v>74</v>
      </c>
      <c r="AY958" s="1" t="s">
        <v>74</v>
      </c>
      <c r="AZ958" s="1" t="s">
        <v>74</v>
      </c>
      <c r="BA958" s="1" t="s">
        <v>74</v>
      </c>
      <c r="BB958" s="1">
        <v>397.0</v>
      </c>
      <c r="BC958" s="1">
        <v>422.0</v>
      </c>
      <c r="BD958" s="1" t="s">
        <v>74</v>
      </c>
      <c r="BE958" s="1" t="s">
        <v>7875</v>
      </c>
      <c r="BF958" s="2" t="str">
        <f>HYPERLINK("http://dx.doi.org/10.4438/1988-592X-RE-2010-357-066","http://dx.doi.org/10.4438/1988-592X-RE-2010-357-066")</f>
        <v>http://dx.doi.org/10.4438/1988-592X-RE-2010-357-066</v>
      </c>
      <c r="BG958" s="1" t="s">
        <v>74</v>
      </c>
      <c r="BH958" s="1" t="s">
        <v>74</v>
      </c>
      <c r="BI958" s="1" t="s">
        <v>74</v>
      </c>
      <c r="BJ958" s="1" t="s">
        <v>74</v>
      </c>
      <c r="BK958" s="1" t="s">
        <v>74</v>
      </c>
      <c r="BL958" s="1" t="s">
        <v>74</v>
      </c>
      <c r="BM958" s="1" t="s">
        <v>74</v>
      </c>
      <c r="BN958" s="1" t="s">
        <v>74</v>
      </c>
      <c r="BO958" s="1" t="s">
        <v>74</v>
      </c>
      <c r="BP958" s="1" t="s">
        <v>74</v>
      </c>
      <c r="BQ958" s="1" t="s">
        <v>74</v>
      </c>
      <c r="BR958" s="1" t="s">
        <v>74</v>
      </c>
      <c r="BS958" s="1" t="s">
        <v>7876</v>
      </c>
      <c r="BT958" s="1" t="str">
        <f>HYPERLINK("https%3A%2F%2Fwww.webofscience.com%2Fwos%2Fwoscc%2Ffull-record%2FWOS:000308830400010","View Full Record in Web of Science")</f>
        <v>View Full Record in Web of Science</v>
      </c>
    </row>
    <row r="959" ht="12.75" customHeight="1">
      <c r="A959" s="1" t="s">
        <v>72</v>
      </c>
      <c r="B959" s="1" t="s">
        <v>7877</v>
      </c>
      <c r="C959" s="1" t="s">
        <v>74</v>
      </c>
      <c r="D959" s="1" t="s">
        <v>74</v>
      </c>
      <c r="E959" s="1" t="s">
        <v>74</v>
      </c>
      <c r="F959" s="1" t="s">
        <v>7878</v>
      </c>
      <c r="G959" s="1" t="s">
        <v>74</v>
      </c>
      <c r="H959" s="1" t="s">
        <v>74</v>
      </c>
      <c r="I959" s="1" t="s">
        <v>7879</v>
      </c>
      <c r="J959" s="1" t="s">
        <v>7880</v>
      </c>
      <c r="K959" s="1" t="s">
        <v>74</v>
      </c>
      <c r="L959" s="1" t="s">
        <v>74</v>
      </c>
      <c r="M959" s="1" t="s">
        <v>74</v>
      </c>
      <c r="N959" s="1" t="s">
        <v>74</v>
      </c>
      <c r="O959" s="1" t="s">
        <v>74</v>
      </c>
      <c r="P959" s="1" t="s">
        <v>74</v>
      </c>
      <c r="Q959" s="1" t="s">
        <v>74</v>
      </c>
      <c r="R959" s="1" t="s">
        <v>74</v>
      </c>
      <c r="S959" s="1" t="s">
        <v>74</v>
      </c>
      <c r="T959" s="1" t="s">
        <v>74</v>
      </c>
      <c r="U959" s="1" t="s">
        <v>74</v>
      </c>
      <c r="V959" s="1" t="s">
        <v>7881</v>
      </c>
      <c r="W959" s="1" t="s">
        <v>74</v>
      </c>
      <c r="X959" s="1" t="s">
        <v>74</v>
      </c>
      <c r="Y959" s="1" t="s">
        <v>74</v>
      </c>
      <c r="Z959" s="1" t="s">
        <v>74</v>
      </c>
      <c r="AA959" s="1" t="s">
        <v>7882</v>
      </c>
      <c r="AB959" s="1" t="s">
        <v>7883</v>
      </c>
      <c r="AC959" s="1" t="s">
        <v>74</v>
      </c>
      <c r="AD959" s="1" t="s">
        <v>74</v>
      </c>
      <c r="AE959" s="1" t="s">
        <v>74</v>
      </c>
      <c r="AF959" s="1" t="s">
        <v>74</v>
      </c>
      <c r="AG959" s="1" t="s">
        <v>74</v>
      </c>
      <c r="AH959" s="1" t="s">
        <v>74</v>
      </c>
      <c r="AI959" s="1" t="s">
        <v>74</v>
      </c>
      <c r="AJ959" s="1" t="s">
        <v>74</v>
      </c>
      <c r="AK959" s="1" t="s">
        <v>74</v>
      </c>
      <c r="AL959" s="1" t="s">
        <v>74</v>
      </c>
      <c r="AM959" s="1" t="s">
        <v>74</v>
      </c>
      <c r="AN959" s="1" t="s">
        <v>74</v>
      </c>
      <c r="AO959" s="1" t="s">
        <v>7884</v>
      </c>
      <c r="AP959" s="1" t="s">
        <v>7885</v>
      </c>
      <c r="AQ959" s="1" t="s">
        <v>74</v>
      </c>
      <c r="AR959" s="1" t="s">
        <v>74</v>
      </c>
      <c r="AS959" s="1" t="s">
        <v>74</v>
      </c>
      <c r="AT959" s="1" t="s">
        <v>7886</v>
      </c>
      <c r="AU959" s="1">
        <v>2011.0</v>
      </c>
      <c r="AV959" s="1">
        <v>525.0</v>
      </c>
      <c r="AW959" s="1" t="s">
        <v>140</v>
      </c>
      <c r="AX959" s="1" t="s">
        <v>74</v>
      </c>
      <c r="AY959" s="1" t="s">
        <v>74</v>
      </c>
      <c r="AZ959" s="1" t="s">
        <v>74</v>
      </c>
      <c r="BA959" s="1" t="s">
        <v>74</v>
      </c>
      <c r="BB959" s="1">
        <v>56.0</v>
      </c>
      <c r="BC959" s="1">
        <v>61.0</v>
      </c>
      <c r="BD959" s="1" t="s">
        <v>74</v>
      </c>
      <c r="BE959" s="1" t="s">
        <v>7887</v>
      </c>
      <c r="BF959" s="2" t="str">
        <f>HYPERLINK("http://dx.doi.org/10.1016/j.tca.2011.07.021","http://dx.doi.org/10.1016/j.tca.2011.07.021")</f>
        <v>http://dx.doi.org/10.1016/j.tca.2011.07.021</v>
      </c>
      <c r="BG959" s="1" t="s">
        <v>74</v>
      </c>
      <c r="BH959" s="1" t="s">
        <v>74</v>
      </c>
      <c r="BI959" s="1" t="s">
        <v>74</v>
      </c>
      <c r="BJ959" s="1" t="s">
        <v>74</v>
      </c>
      <c r="BK959" s="1" t="s">
        <v>74</v>
      </c>
      <c r="BL959" s="1" t="s">
        <v>74</v>
      </c>
      <c r="BM959" s="1" t="s">
        <v>74</v>
      </c>
      <c r="BN959" s="1" t="s">
        <v>74</v>
      </c>
      <c r="BO959" s="1" t="s">
        <v>74</v>
      </c>
      <c r="BP959" s="1" t="s">
        <v>74</v>
      </c>
      <c r="BQ959" s="1" t="s">
        <v>74</v>
      </c>
      <c r="BR959" s="1" t="s">
        <v>74</v>
      </c>
      <c r="BS959" s="1" t="s">
        <v>7888</v>
      </c>
      <c r="BT959" s="1" t="str">
        <f>HYPERLINK("https%3A%2F%2Fwww.webofscience.com%2Fwos%2Fwoscc%2Ffull-record%2FWOS:000296824400008","View Full Record in Web of Science")</f>
        <v>View Full Record in Web of Science</v>
      </c>
    </row>
    <row r="960" ht="12.75" customHeight="1">
      <c r="A960" s="1" t="s">
        <v>72</v>
      </c>
      <c r="B960" s="1" t="s">
        <v>7889</v>
      </c>
      <c r="C960" s="1" t="s">
        <v>74</v>
      </c>
      <c r="D960" s="1" t="s">
        <v>74</v>
      </c>
      <c r="E960" s="1" t="s">
        <v>74</v>
      </c>
      <c r="F960" s="1" t="s">
        <v>7890</v>
      </c>
      <c r="G960" s="1" t="s">
        <v>74</v>
      </c>
      <c r="H960" s="1" t="s">
        <v>74</v>
      </c>
      <c r="I960" s="1" t="s">
        <v>7891</v>
      </c>
      <c r="J960" s="1" t="s">
        <v>1622</v>
      </c>
      <c r="K960" s="1" t="s">
        <v>74</v>
      </c>
      <c r="L960" s="1" t="s">
        <v>74</v>
      </c>
      <c r="M960" s="1" t="s">
        <v>74</v>
      </c>
      <c r="N960" s="1" t="s">
        <v>74</v>
      </c>
      <c r="O960" s="1" t="s">
        <v>74</v>
      </c>
      <c r="P960" s="1" t="s">
        <v>74</v>
      </c>
      <c r="Q960" s="1" t="s">
        <v>74</v>
      </c>
      <c r="R960" s="1" t="s">
        <v>74</v>
      </c>
      <c r="S960" s="1" t="s">
        <v>74</v>
      </c>
      <c r="T960" s="1" t="s">
        <v>74</v>
      </c>
      <c r="U960" s="1" t="s">
        <v>74</v>
      </c>
      <c r="V960" s="1" t="s">
        <v>7892</v>
      </c>
      <c r="W960" s="1" t="s">
        <v>74</v>
      </c>
      <c r="X960" s="1" t="s">
        <v>74</v>
      </c>
      <c r="Y960" s="1" t="s">
        <v>74</v>
      </c>
      <c r="Z960" s="1" t="s">
        <v>74</v>
      </c>
      <c r="AA960" s="1" t="s">
        <v>7893</v>
      </c>
      <c r="AB960" s="1" t="s">
        <v>1804</v>
      </c>
      <c r="AC960" s="1" t="s">
        <v>74</v>
      </c>
      <c r="AD960" s="1" t="s">
        <v>74</v>
      </c>
      <c r="AE960" s="1" t="s">
        <v>74</v>
      </c>
      <c r="AF960" s="1" t="s">
        <v>74</v>
      </c>
      <c r="AG960" s="1" t="s">
        <v>74</v>
      </c>
      <c r="AH960" s="1" t="s">
        <v>74</v>
      </c>
      <c r="AI960" s="1" t="s">
        <v>74</v>
      </c>
      <c r="AJ960" s="1" t="s">
        <v>74</v>
      </c>
      <c r="AK960" s="1" t="s">
        <v>74</v>
      </c>
      <c r="AL960" s="1" t="s">
        <v>74</v>
      </c>
      <c r="AM960" s="1" t="s">
        <v>74</v>
      </c>
      <c r="AN960" s="1" t="s">
        <v>74</v>
      </c>
      <c r="AO960" s="1" t="s">
        <v>1625</v>
      </c>
      <c r="AP960" s="1" t="s">
        <v>74</v>
      </c>
      <c r="AQ960" s="1" t="s">
        <v>74</v>
      </c>
      <c r="AR960" s="1" t="s">
        <v>74</v>
      </c>
      <c r="AS960" s="1" t="s">
        <v>74</v>
      </c>
      <c r="AT960" s="1" t="s">
        <v>370</v>
      </c>
      <c r="AU960" s="1">
        <v>2011.0</v>
      </c>
      <c r="AV960" s="1">
        <v>29.0</v>
      </c>
      <c r="AW960" s="1">
        <v>1.0</v>
      </c>
      <c r="AX960" s="1" t="s">
        <v>74</v>
      </c>
      <c r="AY960" s="1" t="s">
        <v>74</v>
      </c>
      <c r="AZ960" s="1" t="s">
        <v>74</v>
      </c>
      <c r="BA960" s="1" t="s">
        <v>74</v>
      </c>
      <c r="BB960" s="1">
        <v>127.0</v>
      </c>
      <c r="BC960" s="1">
        <v>133.0</v>
      </c>
      <c r="BD960" s="1" t="s">
        <v>74</v>
      </c>
      <c r="BE960" s="1" t="s">
        <v>7894</v>
      </c>
      <c r="BF960" s="2" t="str">
        <f>HYPERLINK("http://dx.doi.org/10.4067/S0718-48082011000100013","http://dx.doi.org/10.4067/S0718-48082011000100013")</f>
        <v>http://dx.doi.org/10.4067/S0718-48082011000100013</v>
      </c>
      <c r="BG960" s="1" t="s">
        <v>74</v>
      </c>
      <c r="BH960" s="1" t="s">
        <v>74</v>
      </c>
      <c r="BI960" s="1" t="s">
        <v>74</v>
      </c>
      <c r="BJ960" s="1" t="s">
        <v>74</v>
      </c>
      <c r="BK960" s="1" t="s">
        <v>74</v>
      </c>
      <c r="BL960" s="1" t="s">
        <v>74</v>
      </c>
      <c r="BM960" s="1" t="s">
        <v>74</v>
      </c>
      <c r="BN960" s="1" t="s">
        <v>74</v>
      </c>
      <c r="BO960" s="1" t="s">
        <v>74</v>
      </c>
      <c r="BP960" s="1" t="s">
        <v>74</v>
      </c>
      <c r="BQ960" s="1" t="s">
        <v>74</v>
      </c>
      <c r="BR960" s="1" t="s">
        <v>74</v>
      </c>
      <c r="BS960" s="1" t="s">
        <v>7895</v>
      </c>
      <c r="BT960" s="1" t="str">
        <f>HYPERLINK("https%3A%2F%2Fwww.webofscience.com%2Fwos%2Fwoscc%2Ffull-record%2FWOS:000293210800013","View Full Record in Web of Science")</f>
        <v>View Full Record in Web of Science</v>
      </c>
    </row>
    <row r="961" ht="12.75" customHeight="1">
      <c r="A961" s="1" t="s">
        <v>72</v>
      </c>
      <c r="B961" s="1" t="s">
        <v>1115</v>
      </c>
      <c r="C961" s="1" t="s">
        <v>74</v>
      </c>
      <c r="D961" s="1" t="s">
        <v>74</v>
      </c>
      <c r="E961" s="1" t="s">
        <v>74</v>
      </c>
      <c r="F961" s="1" t="s">
        <v>7896</v>
      </c>
      <c r="G961" s="1" t="s">
        <v>74</v>
      </c>
      <c r="H961" s="1" t="s">
        <v>74</v>
      </c>
      <c r="I961" s="1" t="s">
        <v>7897</v>
      </c>
      <c r="J961" s="1" t="s">
        <v>7898</v>
      </c>
      <c r="K961" s="1" t="s">
        <v>74</v>
      </c>
      <c r="L961" s="1" t="s">
        <v>74</v>
      </c>
      <c r="M961" s="1" t="s">
        <v>74</v>
      </c>
      <c r="N961" s="1" t="s">
        <v>74</v>
      </c>
      <c r="O961" s="1" t="s">
        <v>74</v>
      </c>
      <c r="P961" s="1" t="s">
        <v>74</v>
      </c>
      <c r="Q961" s="1" t="s">
        <v>74</v>
      </c>
      <c r="R961" s="1" t="s">
        <v>74</v>
      </c>
      <c r="S961" s="1" t="s">
        <v>74</v>
      </c>
      <c r="T961" s="1" t="s">
        <v>74</v>
      </c>
      <c r="U961" s="1" t="s">
        <v>74</v>
      </c>
      <c r="V961" s="1" t="s">
        <v>7899</v>
      </c>
      <c r="W961" s="1" t="s">
        <v>74</v>
      </c>
      <c r="X961" s="1" t="s">
        <v>74</v>
      </c>
      <c r="Y961" s="1" t="s">
        <v>74</v>
      </c>
      <c r="Z961" s="1" t="s">
        <v>74</v>
      </c>
      <c r="AA961" s="1" t="s">
        <v>902</v>
      </c>
      <c r="AB961" s="1" t="s">
        <v>1119</v>
      </c>
      <c r="AC961" s="1" t="s">
        <v>74</v>
      </c>
      <c r="AD961" s="1" t="s">
        <v>74</v>
      </c>
      <c r="AE961" s="1" t="s">
        <v>74</v>
      </c>
      <c r="AF961" s="1" t="s">
        <v>74</v>
      </c>
      <c r="AG961" s="1" t="s">
        <v>74</v>
      </c>
      <c r="AH961" s="1" t="s">
        <v>74</v>
      </c>
      <c r="AI961" s="1" t="s">
        <v>74</v>
      </c>
      <c r="AJ961" s="1" t="s">
        <v>74</v>
      </c>
      <c r="AK961" s="1" t="s">
        <v>74</v>
      </c>
      <c r="AL961" s="1" t="s">
        <v>74</v>
      </c>
      <c r="AM961" s="1" t="s">
        <v>74</v>
      </c>
      <c r="AN961" s="1" t="s">
        <v>74</v>
      </c>
      <c r="AO961" s="1" t="s">
        <v>7900</v>
      </c>
      <c r="AP961" s="1" t="s">
        <v>74</v>
      </c>
      <c r="AQ961" s="1" t="s">
        <v>74</v>
      </c>
      <c r="AR961" s="1" t="s">
        <v>74</v>
      </c>
      <c r="AS961" s="1" t="s">
        <v>74</v>
      </c>
      <c r="AT961" s="1" t="s">
        <v>288</v>
      </c>
      <c r="AU961" s="1">
        <v>2011.0</v>
      </c>
      <c r="AV961" s="1">
        <v>24.0</v>
      </c>
      <c r="AW961" s="1">
        <v>2.0</v>
      </c>
      <c r="AX961" s="1" t="s">
        <v>74</v>
      </c>
      <c r="AY961" s="1" t="s">
        <v>74</v>
      </c>
      <c r="AZ961" s="1" t="s">
        <v>74</v>
      </c>
      <c r="BA961" s="1" t="s">
        <v>74</v>
      </c>
      <c r="BB961" s="1">
        <v>184.0</v>
      </c>
      <c r="BC961" s="1">
        <v>190.0</v>
      </c>
      <c r="BD961" s="1" t="s">
        <v>74</v>
      </c>
      <c r="BE961" s="1" t="s">
        <v>7901</v>
      </c>
      <c r="BF961" s="2" t="str">
        <f>HYPERLINK("http://dx.doi.org/10.1016/j.aml.2010.08.042","http://dx.doi.org/10.1016/j.aml.2010.08.042")</f>
        <v>http://dx.doi.org/10.1016/j.aml.2010.08.042</v>
      </c>
      <c r="BG961" s="1" t="s">
        <v>74</v>
      </c>
      <c r="BH961" s="1" t="s">
        <v>74</v>
      </c>
      <c r="BI961" s="1" t="s">
        <v>74</v>
      </c>
      <c r="BJ961" s="1" t="s">
        <v>74</v>
      </c>
      <c r="BK961" s="1" t="s">
        <v>74</v>
      </c>
      <c r="BL961" s="1" t="s">
        <v>74</v>
      </c>
      <c r="BM961" s="1" t="s">
        <v>74</v>
      </c>
      <c r="BN961" s="1" t="s">
        <v>74</v>
      </c>
      <c r="BO961" s="1" t="s">
        <v>74</v>
      </c>
      <c r="BP961" s="1" t="s">
        <v>74</v>
      </c>
      <c r="BQ961" s="1" t="s">
        <v>74</v>
      </c>
      <c r="BR961" s="1" t="s">
        <v>74</v>
      </c>
      <c r="BS961" s="1" t="s">
        <v>7902</v>
      </c>
      <c r="BT961" s="1" t="str">
        <f>HYPERLINK("https%3A%2F%2Fwww.webofscience.com%2Fwos%2Fwoscc%2Ffull-record%2FWOS:000284659500019","View Full Record in Web of Science")</f>
        <v>View Full Record in Web of Science</v>
      </c>
    </row>
    <row r="962" ht="12.75" customHeight="1">
      <c r="A962" s="1" t="s">
        <v>72</v>
      </c>
      <c r="B962" s="1" t="s">
        <v>5726</v>
      </c>
      <c r="C962" s="1" t="s">
        <v>74</v>
      </c>
      <c r="D962" s="1" t="s">
        <v>74</v>
      </c>
      <c r="E962" s="1" t="s">
        <v>74</v>
      </c>
      <c r="F962" s="1" t="s">
        <v>7903</v>
      </c>
      <c r="G962" s="1" t="s">
        <v>74</v>
      </c>
      <c r="H962" s="1" t="s">
        <v>74</v>
      </c>
      <c r="I962" s="1" t="s">
        <v>7904</v>
      </c>
      <c r="J962" s="1" t="s">
        <v>7898</v>
      </c>
      <c r="K962" s="1" t="s">
        <v>74</v>
      </c>
      <c r="L962" s="1" t="s">
        <v>74</v>
      </c>
      <c r="M962" s="1" t="s">
        <v>74</v>
      </c>
      <c r="N962" s="1" t="s">
        <v>74</v>
      </c>
      <c r="O962" s="1" t="s">
        <v>74</v>
      </c>
      <c r="P962" s="1" t="s">
        <v>74</v>
      </c>
      <c r="Q962" s="1" t="s">
        <v>74</v>
      </c>
      <c r="R962" s="1" t="s">
        <v>74</v>
      </c>
      <c r="S962" s="1" t="s">
        <v>74</v>
      </c>
      <c r="T962" s="1" t="s">
        <v>74</v>
      </c>
      <c r="U962" s="1" t="s">
        <v>74</v>
      </c>
      <c r="V962" s="1" t="s">
        <v>7905</v>
      </c>
      <c r="W962" s="1" t="s">
        <v>74</v>
      </c>
      <c r="X962" s="1" t="s">
        <v>74</v>
      </c>
      <c r="Y962" s="1" t="s">
        <v>74</v>
      </c>
      <c r="Z962" s="1" t="s">
        <v>74</v>
      </c>
      <c r="AA962" s="1" t="s">
        <v>902</v>
      </c>
      <c r="AB962" s="1" t="s">
        <v>1119</v>
      </c>
      <c r="AC962" s="1" t="s">
        <v>74</v>
      </c>
      <c r="AD962" s="1" t="s">
        <v>74</v>
      </c>
      <c r="AE962" s="1" t="s">
        <v>74</v>
      </c>
      <c r="AF962" s="1" t="s">
        <v>74</v>
      </c>
      <c r="AG962" s="1" t="s">
        <v>74</v>
      </c>
      <c r="AH962" s="1" t="s">
        <v>74</v>
      </c>
      <c r="AI962" s="1" t="s">
        <v>74</v>
      </c>
      <c r="AJ962" s="1" t="s">
        <v>74</v>
      </c>
      <c r="AK962" s="1" t="s">
        <v>74</v>
      </c>
      <c r="AL962" s="1" t="s">
        <v>74</v>
      </c>
      <c r="AM962" s="1" t="s">
        <v>74</v>
      </c>
      <c r="AN962" s="1" t="s">
        <v>74</v>
      </c>
      <c r="AO962" s="1" t="s">
        <v>7900</v>
      </c>
      <c r="AP962" s="1" t="s">
        <v>74</v>
      </c>
      <c r="AQ962" s="1" t="s">
        <v>74</v>
      </c>
      <c r="AR962" s="1" t="s">
        <v>74</v>
      </c>
      <c r="AS962" s="1" t="s">
        <v>74</v>
      </c>
      <c r="AT962" s="1" t="s">
        <v>288</v>
      </c>
      <c r="AU962" s="1">
        <v>2010.0</v>
      </c>
      <c r="AV962" s="1">
        <v>23.0</v>
      </c>
      <c r="AW962" s="1">
        <v>2.0</v>
      </c>
      <c r="AX962" s="1" t="s">
        <v>74</v>
      </c>
      <c r="AY962" s="1" t="s">
        <v>74</v>
      </c>
      <c r="AZ962" s="1" t="s">
        <v>74</v>
      </c>
      <c r="BA962" s="1" t="s">
        <v>74</v>
      </c>
      <c r="BB962" s="1">
        <v>137.0</v>
      </c>
      <c r="BC962" s="1">
        <v>142.0</v>
      </c>
      <c r="BD962" s="1" t="s">
        <v>74</v>
      </c>
      <c r="BE962" s="1" t="s">
        <v>7906</v>
      </c>
      <c r="BF962" s="2" t="str">
        <f>HYPERLINK("http://dx.doi.org/10.1016/j.aml.2009.08.019","http://dx.doi.org/10.1016/j.aml.2009.08.019")</f>
        <v>http://dx.doi.org/10.1016/j.aml.2009.08.019</v>
      </c>
      <c r="BG962" s="1" t="s">
        <v>74</v>
      </c>
      <c r="BH962" s="1" t="s">
        <v>74</v>
      </c>
      <c r="BI962" s="1" t="s">
        <v>74</v>
      </c>
      <c r="BJ962" s="1" t="s">
        <v>74</v>
      </c>
      <c r="BK962" s="1" t="s">
        <v>74</v>
      </c>
      <c r="BL962" s="1" t="s">
        <v>74</v>
      </c>
      <c r="BM962" s="1" t="s">
        <v>74</v>
      </c>
      <c r="BN962" s="1" t="s">
        <v>74</v>
      </c>
      <c r="BO962" s="1" t="s">
        <v>74</v>
      </c>
      <c r="BP962" s="1" t="s">
        <v>74</v>
      </c>
      <c r="BQ962" s="1" t="s">
        <v>74</v>
      </c>
      <c r="BR962" s="1" t="s">
        <v>74</v>
      </c>
      <c r="BS962" s="1" t="s">
        <v>7907</v>
      </c>
      <c r="BT962" s="1" t="str">
        <f>HYPERLINK("https%3A%2F%2Fwww.webofscience.com%2Fwos%2Fwoscc%2Ffull-record%2FWOS:000272403800004","View Full Record in Web of Science")</f>
        <v>View Full Record in Web of Science</v>
      </c>
    </row>
    <row r="963" ht="12.75" customHeight="1">
      <c r="A963" s="1" t="s">
        <v>72</v>
      </c>
      <c r="B963" s="1" t="s">
        <v>1495</v>
      </c>
      <c r="C963" s="1" t="s">
        <v>74</v>
      </c>
      <c r="D963" s="1" t="s">
        <v>74</v>
      </c>
      <c r="E963" s="1" t="s">
        <v>74</v>
      </c>
      <c r="F963" s="1" t="s">
        <v>1496</v>
      </c>
      <c r="G963" s="1" t="s">
        <v>74</v>
      </c>
      <c r="H963" s="1" t="s">
        <v>74</v>
      </c>
      <c r="I963" s="1" t="s">
        <v>7908</v>
      </c>
      <c r="J963" s="1" t="s">
        <v>4669</v>
      </c>
      <c r="K963" s="1" t="s">
        <v>74</v>
      </c>
      <c r="L963" s="1" t="s">
        <v>74</v>
      </c>
      <c r="M963" s="1" t="s">
        <v>74</v>
      </c>
      <c r="N963" s="1" t="s">
        <v>74</v>
      </c>
      <c r="O963" s="1" t="s">
        <v>74</v>
      </c>
      <c r="P963" s="1" t="s">
        <v>74</v>
      </c>
      <c r="Q963" s="1" t="s">
        <v>74</v>
      </c>
      <c r="R963" s="1" t="s">
        <v>74</v>
      </c>
      <c r="S963" s="1" t="s">
        <v>74</v>
      </c>
      <c r="T963" s="1" t="s">
        <v>74</v>
      </c>
      <c r="U963" s="1" t="s">
        <v>74</v>
      </c>
      <c r="V963" s="1" t="s">
        <v>7909</v>
      </c>
      <c r="W963" s="1" t="s">
        <v>74</v>
      </c>
      <c r="X963" s="1" t="s">
        <v>74</v>
      </c>
      <c r="Y963" s="1" t="s">
        <v>74</v>
      </c>
      <c r="Z963" s="1" t="s">
        <v>74</v>
      </c>
      <c r="AA963" s="1" t="s">
        <v>74</v>
      </c>
      <c r="AB963" s="1" t="s">
        <v>3586</v>
      </c>
      <c r="AC963" s="1" t="s">
        <v>74</v>
      </c>
      <c r="AD963" s="1" t="s">
        <v>74</v>
      </c>
      <c r="AE963" s="1" t="s">
        <v>74</v>
      </c>
      <c r="AF963" s="1" t="s">
        <v>74</v>
      </c>
      <c r="AG963" s="1" t="s">
        <v>74</v>
      </c>
      <c r="AH963" s="1" t="s">
        <v>74</v>
      </c>
      <c r="AI963" s="1" t="s">
        <v>74</v>
      </c>
      <c r="AJ963" s="1" t="s">
        <v>74</v>
      </c>
      <c r="AK963" s="1" t="s">
        <v>74</v>
      </c>
      <c r="AL963" s="1" t="s">
        <v>74</v>
      </c>
      <c r="AM963" s="1" t="s">
        <v>74</v>
      </c>
      <c r="AN963" s="1" t="s">
        <v>74</v>
      </c>
      <c r="AO963" s="1" t="s">
        <v>4672</v>
      </c>
      <c r="AP963" s="1" t="s">
        <v>74</v>
      </c>
      <c r="AQ963" s="1" t="s">
        <v>74</v>
      </c>
      <c r="AR963" s="1" t="s">
        <v>74</v>
      </c>
      <c r="AS963" s="1" t="s">
        <v>74</v>
      </c>
      <c r="AT963" s="1" t="s">
        <v>74</v>
      </c>
      <c r="AU963" s="1">
        <v>2010.0</v>
      </c>
      <c r="AV963" s="1">
        <v>14.0</v>
      </c>
      <c r="AW963" s="1">
        <v>1.0</v>
      </c>
      <c r="AX963" s="1" t="s">
        <v>74</v>
      </c>
      <c r="AY963" s="1" t="s">
        <v>74</v>
      </c>
      <c r="AZ963" s="1" t="s">
        <v>74</v>
      </c>
      <c r="BA963" s="1" t="s">
        <v>74</v>
      </c>
      <c r="BB963" s="1">
        <v>573.0</v>
      </c>
      <c r="BC963" s="1">
        <v>584.0</v>
      </c>
      <c r="BD963" s="1" t="s">
        <v>74</v>
      </c>
      <c r="BE963" s="1" t="s">
        <v>7910</v>
      </c>
      <c r="BF963" s="2" t="str">
        <f>HYPERLINK("http://dx.doi.org/10.2140/gt.2010.14.573","http://dx.doi.org/10.2140/gt.2010.14.573")</f>
        <v>http://dx.doi.org/10.2140/gt.2010.14.573</v>
      </c>
      <c r="BG963" s="1" t="s">
        <v>74</v>
      </c>
      <c r="BH963" s="1" t="s">
        <v>74</v>
      </c>
      <c r="BI963" s="1" t="s">
        <v>74</v>
      </c>
      <c r="BJ963" s="1" t="s">
        <v>74</v>
      </c>
      <c r="BK963" s="1" t="s">
        <v>74</v>
      </c>
      <c r="BL963" s="1" t="s">
        <v>74</v>
      </c>
      <c r="BM963" s="1" t="s">
        <v>74</v>
      </c>
      <c r="BN963" s="1" t="s">
        <v>74</v>
      </c>
      <c r="BO963" s="1" t="s">
        <v>74</v>
      </c>
      <c r="BP963" s="1" t="s">
        <v>74</v>
      </c>
      <c r="BQ963" s="1" t="s">
        <v>74</v>
      </c>
      <c r="BR963" s="1" t="s">
        <v>74</v>
      </c>
      <c r="BS963" s="1" t="s">
        <v>7911</v>
      </c>
      <c r="BT963" s="1" t="str">
        <f>HYPERLINK("https%3A%2F%2Fwww.webofscience.com%2Fwos%2Fwoscc%2Ffull-record%2FWOS:000275689100001","View Full Record in Web of Science")</f>
        <v>View Full Record in Web of Science</v>
      </c>
    </row>
    <row r="964" ht="12.75" customHeight="1">
      <c r="A964" s="1" t="s">
        <v>72</v>
      </c>
      <c r="B964" s="1" t="s">
        <v>7912</v>
      </c>
      <c r="C964" s="1" t="s">
        <v>74</v>
      </c>
      <c r="D964" s="1" t="s">
        <v>74</v>
      </c>
      <c r="E964" s="1" t="s">
        <v>74</v>
      </c>
      <c r="F964" s="1" t="s">
        <v>7913</v>
      </c>
      <c r="G964" s="1" t="s">
        <v>74</v>
      </c>
      <c r="H964" s="1" t="s">
        <v>74</v>
      </c>
      <c r="I964" s="1" t="s">
        <v>7914</v>
      </c>
      <c r="J964" s="1" t="s">
        <v>583</v>
      </c>
      <c r="K964" s="1" t="s">
        <v>74</v>
      </c>
      <c r="L964" s="1" t="s">
        <v>74</v>
      </c>
      <c r="M964" s="1" t="s">
        <v>74</v>
      </c>
      <c r="N964" s="1" t="s">
        <v>74</v>
      </c>
      <c r="O964" s="1" t="s">
        <v>7915</v>
      </c>
      <c r="P964" s="1" t="s">
        <v>7916</v>
      </c>
      <c r="Q964" s="1" t="s">
        <v>7917</v>
      </c>
      <c r="R964" s="1" t="s">
        <v>74</v>
      </c>
      <c r="S964" s="1" t="s">
        <v>7918</v>
      </c>
      <c r="T964" s="1" t="s">
        <v>74</v>
      </c>
      <c r="U964" s="1" t="s">
        <v>74</v>
      </c>
      <c r="V964" s="1" t="s">
        <v>7919</v>
      </c>
      <c r="W964" s="1" t="s">
        <v>74</v>
      </c>
      <c r="X964" s="1" t="s">
        <v>74</v>
      </c>
      <c r="Y964" s="1" t="s">
        <v>74</v>
      </c>
      <c r="Z964" s="1" t="s">
        <v>74</v>
      </c>
      <c r="AA964" s="1" t="s">
        <v>7920</v>
      </c>
      <c r="AB964" s="1" t="s">
        <v>7921</v>
      </c>
      <c r="AC964" s="1" t="s">
        <v>74</v>
      </c>
      <c r="AD964" s="1" t="s">
        <v>74</v>
      </c>
      <c r="AE964" s="1" t="s">
        <v>74</v>
      </c>
      <c r="AF964" s="1" t="s">
        <v>74</v>
      </c>
      <c r="AG964" s="1" t="s">
        <v>74</v>
      </c>
      <c r="AH964" s="1" t="s">
        <v>74</v>
      </c>
      <c r="AI964" s="1" t="s">
        <v>74</v>
      </c>
      <c r="AJ964" s="1" t="s">
        <v>74</v>
      </c>
      <c r="AK964" s="1" t="s">
        <v>74</v>
      </c>
      <c r="AL964" s="1" t="s">
        <v>74</v>
      </c>
      <c r="AM964" s="1" t="s">
        <v>74</v>
      </c>
      <c r="AN964" s="1" t="s">
        <v>74</v>
      </c>
      <c r="AO964" s="1" t="s">
        <v>586</v>
      </c>
      <c r="AP964" s="1" t="s">
        <v>74</v>
      </c>
      <c r="AQ964" s="1" t="s">
        <v>74</v>
      </c>
      <c r="AR964" s="1" t="s">
        <v>74</v>
      </c>
      <c r="AS964" s="1" t="s">
        <v>74</v>
      </c>
      <c r="AT964" s="1" t="s">
        <v>205</v>
      </c>
      <c r="AU964" s="1">
        <v>2009.0</v>
      </c>
      <c r="AV964" s="1">
        <v>122.0</v>
      </c>
      <c r="AW964" s="1">
        <v>1.0</v>
      </c>
      <c r="AX964" s="1" t="s">
        <v>74</v>
      </c>
      <c r="AY964" s="1" t="s">
        <v>74</v>
      </c>
      <c r="AZ964" s="1" t="s">
        <v>74</v>
      </c>
      <c r="BA964" s="1" t="s">
        <v>74</v>
      </c>
      <c r="BB964" s="1">
        <v>492.0</v>
      </c>
      <c r="BC964" s="1">
        <v>500.0</v>
      </c>
      <c r="BD964" s="1" t="s">
        <v>74</v>
      </c>
      <c r="BE964" s="1" t="s">
        <v>7922</v>
      </c>
      <c r="BF964" s="2" t="str">
        <f>HYPERLINK("http://dx.doi.org/10.1016/j.ijpe.2009.06.019","http://dx.doi.org/10.1016/j.ijpe.2009.06.019")</f>
        <v>http://dx.doi.org/10.1016/j.ijpe.2009.06.019</v>
      </c>
      <c r="BG964" s="1" t="s">
        <v>74</v>
      </c>
      <c r="BH964" s="1" t="s">
        <v>74</v>
      </c>
      <c r="BI964" s="1" t="s">
        <v>74</v>
      </c>
      <c r="BJ964" s="1" t="s">
        <v>74</v>
      </c>
      <c r="BK964" s="1" t="s">
        <v>74</v>
      </c>
      <c r="BL964" s="1" t="s">
        <v>74</v>
      </c>
      <c r="BM964" s="1" t="s">
        <v>74</v>
      </c>
      <c r="BN964" s="1" t="s">
        <v>74</v>
      </c>
      <c r="BO964" s="1" t="s">
        <v>74</v>
      </c>
      <c r="BP964" s="1" t="s">
        <v>74</v>
      </c>
      <c r="BQ964" s="1" t="s">
        <v>74</v>
      </c>
      <c r="BR964" s="1" t="s">
        <v>74</v>
      </c>
      <c r="BS964" s="1" t="s">
        <v>7923</v>
      </c>
      <c r="BT964" s="1" t="str">
        <f>HYPERLINK("https%3A%2F%2Fwww.webofscience.com%2Fwos%2Fwoscc%2Ffull-record%2FWOS:000271116400046","View Full Record in Web of Science")</f>
        <v>View Full Record in Web of Science</v>
      </c>
    </row>
    <row r="965" ht="12.75" customHeight="1">
      <c r="A965" s="1" t="s">
        <v>72</v>
      </c>
      <c r="B965" s="1" t="s">
        <v>7924</v>
      </c>
      <c r="C965" s="1" t="s">
        <v>74</v>
      </c>
      <c r="D965" s="1" t="s">
        <v>74</v>
      </c>
      <c r="E965" s="1" t="s">
        <v>74</v>
      </c>
      <c r="F965" s="1" t="s">
        <v>7925</v>
      </c>
      <c r="G965" s="1" t="s">
        <v>74</v>
      </c>
      <c r="H965" s="1" t="s">
        <v>74</v>
      </c>
      <c r="I965" s="1" t="s">
        <v>7926</v>
      </c>
      <c r="J965" s="1" t="s">
        <v>1848</v>
      </c>
      <c r="K965" s="1" t="s">
        <v>74</v>
      </c>
      <c r="L965" s="1" t="s">
        <v>74</v>
      </c>
      <c r="M965" s="1" t="s">
        <v>74</v>
      </c>
      <c r="N965" s="1" t="s">
        <v>74</v>
      </c>
      <c r="O965" s="1" t="s">
        <v>74</v>
      </c>
      <c r="P965" s="1" t="s">
        <v>74</v>
      </c>
      <c r="Q965" s="1" t="s">
        <v>74</v>
      </c>
      <c r="R965" s="1" t="s">
        <v>74</v>
      </c>
      <c r="S965" s="1" t="s">
        <v>74</v>
      </c>
      <c r="T965" s="1" t="s">
        <v>74</v>
      </c>
      <c r="U965" s="1" t="s">
        <v>74</v>
      </c>
      <c r="V965" s="1" t="s">
        <v>7927</v>
      </c>
      <c r="W965" s="1" t="s">
        <v>74</v>
      </c>
      <c r="X965" s="1" t="s">
        <v>74</v>
      </c>
      <c r="Y965" s="1" t="s">
        <v>74</v>
      </c>
      <c r="Z965" s="1" t="s">
        <v>74</v>
      </c>
      <c r="AA965" s="1" t="s">
        <v>74</v>
      </c>
      <c r="AB965" s="1" t="s">
        <v>74</v>
      </c>
      <c r="AC965" s="1" t="s">
        <v>74</v>
      </c>
      <c r="AD965" s="1" t="s">
        <v>74</v>
      </c>
      <c r="AE965" s="1" t="s">
        <v>74</v>
      </c>
      <c r="AF965" s="1" t="s">
        <v>74</v>
      </c>
      <c r="AG965" s="1" t="s">
        <v>74</v>
      </c>
      <c r="AH965" s="1" t="s">
        <v>74</v>
      </c>
      <c r="AI965" s="1" t="s">
        <v>74</v>
      </c>
      <c r="AJ965" s="1" t="s">
        <v>74</v>
      </c>
      <c r="AK965" s="1" t="s">
        <v>74</v>
      </c>
      <c r="AL965" s="1" t="s">
        <v>74</v>
      </c>
      <c r="AM965" s="1" t="s">
        <v>74</v>
      </c>
      <c r="AN965" s="1" t="s">
        <v>74</v>
      </c>
      <c r="AO965" s="1" t="s">
        <v>1851</v>
      </c>
      <c r="AP965" s="1" t="s">
        <v>74</v>
      </c>
      <c r="AQ965" s="1" t="s">
        <v>74</v>
      </c>
      <c r="AR965" s="1" t="s">
        <v>74</v>
      </c>
      <c r="AS965" s="1" t="s">
        <v>74</v>
      </c>
      <c r="AT965" s="1" t="s">
        <v>180</v>
      </c>
      <c r="AU965" s="1">
        <v>2009.0</v>
      </c>
      <c r="AV965" s="1">
        <v>52.0</v>
      </c>
      <c r="AW965" s="1" t="s">
        <v>7928</v>
      </c>
      <c r="AX965" s="1" t="s">
        <v>74</v>
      </c>
      <c r="AY965" s="1" t="s">
        <v>74</v>
      </c>
      <c r="AZ965" s="1" t="s">
        <v>74</v>
      </c>
      <c r="BA965" s="1" t="s">
        <v>74</v>
      </c>
      <c r="BB965" s="1">
        <v>3353.0</v>
      </c>
      <c r="BC965" s="1">
        <v>3363.0</v>
      </c>
      <c r="BD965" s="1" t="s">
        <v>74</v>
      </c>
      <c r="BE965" s="1" t="s">
        <v>7929</v>
      </c>
      <c r="BF965" s="2" t="str">
        <f>HYPERLINK("http://dx.doi.org/10.1016/j.ijheatmasstransfer.2009.01.010","http://dx.doi.org/10.1016/j.ijheatmasstransfer.2009.01.010")</f>
        <v>http://dx.doi.org/10.1016/j.ijheatmasstransfer.2009.01.010</v>
      </c>
      <c r="BG965" s="1" t="s">
        <v>74</v>
      </c>
      <c r="BH965" s="1" t="s">
        <v>74</v>
      </c>
      <c r="BI965" s="1" t="s">
        <v>74</v>
      </c>
      <c r="BJ965" s="1" t="s">
        <v>74</v>
      </c>
      <c r="BK965" s="1" t="s">
        <v>74</v>
      </c>
      <c r="BL965" s="1" t="s">
        <v>74</v>
      </c>
      <c r="BM965" s="1" t="s">
        <v>74</v>
      </c>
      <c r="BN965" s="1" t="s">
        <v>74</v>
      </c>
      <c r="BO965" s="1" t="s">
        <v>74</v>
      </c>
      <c r="BP965" s="1" t="s">
        <v>74</v>
      </c>
      <c r="BQ965" s="1" t="s">
        <v>74</v>
      </c>
      <c r="BR965" s="1" t="s">
        <v>74</v>
      </c>
      <c r="BS965" s="1" t="s">
        <v>7930</v>
      </c>
      <c r="BT965" s="1" t="str">
        <f>HYPERLINK("https%3A%2F%2Fwww.webofscience.com%2Fwos%2Fwoscc%2Ffull-record%2FWOS:000266216700050","View Full Record in Web of Science")</f>
        <v>View Full Record in Web of Science</v>
      </c>
    </row>
    <row r="966" ht="12.75" customHeight="1">
      <c r="A966" s="1" t="s">
        <v>72</v>
      </c>
      <c r="B966" s="1" t="s">
        <v>7931</v>
      </c>
      <c r="C966" s="1" t="s">
        <v>74</v>
      </c>
      <c r="D966" s="1" t="s">
        <v>74</v>
      </c>
      <c r="E966" s="1" t="s">
        <v>74</v>
      </c>
      <c r="F966" s="1" t="s">
        <v>7932</v>
      </c>
      <c r="G966" s="1" t="s">
        <v>74</v>
      </c>
      <c r="H966" s="1" t="s">
        <v>74</v>
      </c>
      <c r="I966" s="1" t="s">
        <v>7933</v>
      </c>
      <c r="J966" s="1" t="s">
        <v>7934</v>
      </c>
      <c r="K966" s="1" t="s">
        <v>74</v>
      </c>
      <c r="L966" s="1" t="s">
        <v>74</v>
      </c>
      <c r="M966" s="1" t="s">
        <v>74</v>
      </c>
      <c r="N966" s="1" t="s">
        <v>74</v>
      </c>
      <c r="O966" s="1" t="s">
        <v>74</v>
      </c>
      <c r="P966" s="1" t="s">
        <v>74</v>
      </c>
      <c r="Q966" s="1" t="s">
        <v>74</v>
      </c>
      <c r="R966" s="1" t="s">
        <v>74</v>
      </c>
      <c r="S966" s="1" t="s">
        <v>74</v>
      </c>
      <c r="T966" s="1" t="s">
        <v>74</v>
      </c>
      <c r="U966" s="1" t="s">
        <v>74</v>
      </c>
      <c r="V966" s="1" t="s">
        <v>7935</v>
      </c>
      <c r="W966" s="1" t="s">
        <v>74</v>
      </c>
      <c r="X966" s="1" t="s">
        <v>74</v>
      </c>
      <c r="Y966" s="1" t="s">
        <v>74</v>
      </c>
      <c r="Z966" s="1" t="s">
        <v>74</v>
      </c>
      <c r="AA966" s="1" t="s">
        <v>7936</v>
      </c>
      <c r="AB966" s="1" t="s">
        <v>7937</v>
      </c>
      <c r="AC966" s="1" t="s">
        <v>74</v>
      </c>
      <c r="AD966" s="1" t="s">
        <v>74</v>
      </c>
      <c r="AE966" s="1" t="s">
        <v>74</v>
      </c>
      <c r="AF966" s="1" t="s">
        <v>74</v>
      </c>
      <c r="AG966" s="1" t="s">
        <v>74</v>
      </c>
      <c r="AH966" s="1" t="s">
        <v>74</v>
      </c>
      <c r="AI966" s="1" t="s">
        <v>74</v>
      </c>
      <c r="AJ966" s="1" t="s">
        <v>74</v>
      </c>
      <c r="AK966" s="1" t="s">
        <v>74</v>
      </c>
      <c r="AL966" s="1" t="s">
        <v>74</v>
      </c>
      <c r="AM966" s="1" t="s">
        <v>74</v>
      </c>
      <c r="AN966" s="1" t="s">
        <v>74</v>
      </c>
      <c r="AO966" s="1" t="s">
        <v>7938</v>
      </c>
      <c r="AP966" s="1" t="s">
        <v>7939</v>
      </c>
      <c r="AQ966" s="1" t="s">
        <v>74</v>
      </c>
      <c r="AR966" s="1" t="s">
        <v>74</v>
      </c>
      <c r="AS966" s="1" t="s">
        <v>74</v>
      </c>
      <c r="AT966" s="1" t="s">
        <v>7940</v>
      </c>
      <c r="AU966" s="1">
        <v>2007.0</v>
      </c>
      <c r="AV966" s="1">
        <v>18.0</v>
      </c>
      <c r="AW966" s="1">
        <v>10.0</v>
      </c>
      <c r="AX966" s="1" t="s">
        <v>74</v>
      </c>
      <c r="AY966" s="1" t="s">
        <v>74</v>
      </c>
      <c r="AZ966" s="1" t="s">
        <v>74</v>
      </c>
      <c r="BA966" s="1" t="s">
        <v>74</v>
      </c>
      <c r="BB966" s="1">
        <v>1059.0</v>
      </c>
      <c r="BC966" s="1">
        <v>1062.0</v>
      </c>
      <c r="BD966" s="1" t="s">
        <v>74</v>
      </c>
      <c r="BE966" s="1" t="s">
        <v>7941</v>
      </c>
      <c r="BF966" s="2" t="str">
        <f>HYPERLINK("http://dx.doi.org/10.1097/WNR.0b013e32819f8f3f","http://dx.doi.org/10.1097/WNR.0b013e32819f8f3f")</f>
        <v>http://dx.doi.org/10.1097/WNR.0b013e32819f8f3f</v>
      </c>
      <c r="BG966" s="1" t="s">
        <v>74</v>
      </c>
      <c r="BH966" s="1" t="s">
        <v>74</v>
      </c>
      <c r="BI966" s="1" t="s">
        <v>74</v>
      </c>
      <c r="BJ966" s="1" t="s">
        <v>74</v>
      </c>
      <c r="BK966" s="1" t="s">
        <v>74</v>
      </c>
      <c r="BL966" s="1" t="s">
        <v>74</v>
      </c>
      <c r="BM966" s="1" t="s">
        <v>74</v>
      </c>
      <c r="BN966" s="1">
        <v>1.7558296E7</v>
      </c>
      <c r="BO966" s="1" t="s">
        <v>74</v>
      </c>
      <c r="BP966" s="1" t="s">
        <v>74</v>
      </c>
      <c r="BQ966" s="1" t="s">
        <v>74</v>
      </c>
      <c r="BR966" s="1" t="s">
        <v>74</v>
      </c>
      <c r="BS966" s="1" t="s">
        <v>7942</v>
      </c>
      <c r="BT966" s="1" t="str">
        <f>HYPERLINK("https%3A%2F%2Fwww.webofscience.com%2Fwos%2Fwoscc%2Ffull-record%2FWOS:000247629000022","View Full Record in Web of Science")</f>
        <v>View Full Record in Web of Science</v>
      </c>
    </row>
    <row r="967" ht="12.75" customHeight="1">
      <c r="A967" s="1" t="s">
        <v>91</v>
      </c>
      <c r="B967" s="1" t="s">
        <v>7943</v>
      </c>
      <c r="C967" s="1" t="s">
        <v>74</v>
      </c>
      <c r="D967" s="1" t="s">
        <v>7944</v>
      </c>
      <c r="E967" s="1" t="s">
        <v>74</v>
      </c>
      <c r="F967" s="1" t="s">
        <v>7945</v>
      </c>
      <c r="G967" s="1" t="s">
        <v>74</v>
      </c>
      <c r="H967" s="1" t="s">
        <v>74</v>
      </c>
      <c r="I967" s="1" t="s">
        <v>7946</v>
      </c>
      <c r="J967" s="1" t="s">
        <v>7947</v>
      </c>
      <c r="K967" s="1" t="s">
        <v>7948</v>
      </c>
      <c r="L967" s="1" t="s">
        <v>74</v>
      </c>
      <c r="M967" s="1" t="s">
        <v>74</v>
      </c>
      <c r="N967" s="1" t="s">
        <v>74</v>
      </c>
      <c r="O967" s="1" t="s">
        <v>7949</v>
      </c>
      <c r="P967" s="1" t="s">
        <v>7950</v>
      </c>
      <c r="Q967" s="1" t="s">
        <v>7951</v>
      </c>
      <c r="R967" s="1" t="s">
        <v>7952</v>
      </c>
      <c r="S967" s="1" t="s">
        <v>74</v>
      </c>
      <c r="T967" s="1" t="s">
        <v>74</v>
      </c>
      <c r="U967" s="1" t="s">
        <v>74</v>
      </c>
      <c r="V967" s="1" t="s">
        <v>7953</v>
      </c>
      <c r="W967" s="1" t="s">
        <v>74</v>
      </c>
      <c r="X967" s="1" t="s">
        <v>74</v>
      </c>
      <c r="Y967" s="1" t="s">
        <v>74</v>
      </c>
      <c r="Z967" s="1" t="s">
        <v>74</v>
      </c>
      <c r="AA967" s="1" t="s">
        <v>74</v>
      </c>
      <c r="AB967" s="1" t="s">
        <v>74</v>
      </c>
      <c r="AC967" s="1" t="s">
        <v>74</v>
      </c>
      <c r="AD967" s="1" t="s">
        <v>74</v>
      </c>
      <c r="AE967" s="1" t="s">
        <v>74</v>
      </c>
      <c r="AF967" s="1" t="s">
        <v>74</v>
      </c>
      <c r="AG967" s="1" t="s">
        <v>74</v>
      </c>
      <c r="AH967" s="1" t="s">
        <v>74</v>
      </c>
      <c r="AI967" s="1" t="s">
        <v>74</v>
      </c>
      <c r="AJ967" s="1" t="s">
        <v>74</v>
      </c>
      <c r="AK967" s="1" t="s">
        <v>74</v>
      </c>
      <c r="AL967" s="1" t="s">
        <v>74</v>
      </c>
      <c r="AM967" s="1" t="s">
        <v>74</v>
      </c>
      <c r="AN967" s="1" t="s">
        <v>74</v>
      </c>
      <c r="AO967" s="1" t="s">
        <v>893</v>
      </c>
      <c r="AP967" s="1" t="s">
        <v>894</v>
      </c>
      <c r="AQ967" s="1" t="s">
        <v>7954</v>
      </c>
      <c r="AR967" s="1" t="s">
        <v>74</v>
      </c>
      <c r="AS967" s="1" t="s">
        <v>74</v>
      </c>
      <c r="AT967" s="1" t="s">
        <v>74</v>
      </c>
      <c r="AU967" s="1">
        <v>2007.0</v>
      </c>
      <c r="AV967" s="1">
        <v>4827.0</v>
      </c>
      <c r="AW967" s="1" t="s">
        <v>74</v>
      </c>
      <c r="AX967" s="1" t="s">
        <v>74</v>
      </c>
      <c r="AY967" s="1" t="s">
        <v>74</v>
      </c>
      <c r="AZ967" s="1" t="s">
        <v>74</v>
      </c>
      <c r="BA967" s="1" t="s">
        <v>74</v>
      </c>
      <c r="BB967" s="1">
        <v>327.0</v>
      </c>
      <c r="BC967" s="1">
        <v>336.0</v>
      </c>
      <c r="BD967" s="1" t="s">
        <v>74</v>
      </c>
      <c r="BE967" s="1" t="s">
        <v>74</v>
      </c>
      <c r="BF967" s="1" t="s">
        <v>74</v>
      </c>
      <c r="BG967" s="1" t="s">
        <v>74</v>
      </c>
      <c r="BH967" s="1" t="s">
        <v>74</v>
      </c>
      <c r="BI967" s="1" t="s">
        <v>74</v>
      </c>
      <c r="BJ967" s="1" t="s">
        <v>74</v>
      </c>
      <c r="BK967" s="1" t="s">
        <v>74</v>
      </c>
      <c r="BL967" s="1" t="s">
        <v>74</v>
      </c>
      <c r="BM967" s="1" t="s">
        <v>74</v>
      </c>
      <c r="BN967" s="1" t="s">
        <v>74</v>
      </c>
      <c r="BO967" s="1" t="s">
        <v>74</v>
      </c>
      <c r="BP967" s="1" t="s">
        <v>74</v>
      </c>
      <c r="BQ967" s="1" t="s">
        <v>74</v>
      </c>
      <c r="BR967" s="1" t="s">
        <v>74</v>
      </c>
      <c r="BS967" s="1" t="s">
        <v>7955</v>
      </c>
      <c r="BT967" s="1" t="str">
        <f>HYPERLINK("https%3A%2F%2Fwww.webofscience.com%2Fwos%2Fwoscc%2Ffull-record%2FWOS:000251037900031","View Full Record in Web of Science")</f>
        <v>View Full Record in Web of Science</v>
      </c>
    </row>
    <row r="968" ht="12.75" customHeight="1">
      <c r="A968" s="1" t="s">
        <v>72</v>
      </c>
      <c r="B968" s="1" t="s">
        <v>7956</v>
      </c>
      <c r="C968" s="1" t="s">
        <v>74</v>
      </c>
      <c r="D968" s="1" t="s">
        <v>74</v>
      </c>
      <c r="E968" s="1" t="s">
        <v>74</v>
      </c>
      <c r="F968" s="1" t="s">
        <v>7957</v>
      </c>
      <c r="G968" s="1" t="s">
        <v>74</v>
      </c>
      <c r="H968" s="1" t="s">
        <v>74</v>
      </c>
      <c r="I968" s="1" t="s">
        <v>7958</v>
      </c>
      <c r="J968" s="1" t="s">
        <v>7959</v>
      </c>
      <c r="K968" s="1" t="s">
        <v>74</v>
      </c>
      <c r="L968" s="1" t="s">
        <v>74</v>
      </c>
      <c r="M968" s="1" t="s">
        <v>74</v>
      </c>
      <c r="N968" s="1" t="s">
        <v>74</v>
      </c>
      <c r="O968" s="1" t="s">
        <v>74</v>
      </c>
      <c r="P968" s="1" t="s">
        <v>74</v>
      </c>
      <c r="Q968" s="1" t="s">
        <v>74</v>
      </c>
      <c r="R968" s="1" t="s">
        <v>74</v>
      </c>
      <c r="S968" s="1" t="s">
        <v>74</v>
      </c>
      <c r="T968" s="1" t="s">
        <v>74</v>
      </c>
      <c r="U968" s="1" t="s">
        <v>74</v>
      </c>
      <c r="V968" s="1" t="s">
        <v>7960</v>
      </c>
      <c r="W968" s="1" t="s">
        <v>74</v>
      </c>
      <c r="X968" s="1" t="s">
        <v>74</v>
      </c>
      <c r="Y968" s="1" t="s">
        <v>74</v>
      </c>
      <c r="Z968" s="1" t="s">
        <v>74</v>
      </c>
      <c r="AA968" s="1" t="s">
        <v>5578</v>
      </c>
      <c r="AB968" s="1" t="s">
        <v>7961</v>
      </c>
      <c r="AC968" s="1" t="s">
        <v>74</v>
      </c>
      <c r="AD968" s="1" t="s">
        <v>74</v>
      </c>
      <c r="AE968" s="1" t="s">
        <v>74</v>
      </c>
      <c r="AF968" s="1" t="s">
        <v>74</v>
      </c>
      <c r="AG968" s="1" t="s">
        <v>74</v>
      </c>
      <c r="AH968" s="1" t="s">
        <v>74</v>
      </c>
      <c r="AI968" s="1" t="s">
        <v>74</v>
      </c>
      <c r="AJ968" s="1" t="s">
        <v>74</v>
      </c>
      <c r="AK968" s="1" t="s">
        <v>74</v>
      </c>
      <c r="AL968" s="1" t="s">
        <v>74</v>
      </c>
      <c r="AM968" s="1" t="s">
        <v>74</v>
      </c>
      <c r="AN968" s="1" t="s">
        <v>74</v>
      </c>
      <c r="AO968" s="1" t="s">
        <v>7962</v>
      </c>
      <c r="AP968" s="1" t="s">
        <v>74</v>
      </c>
      <c r="AQ968" s="1" t="s">
        <v>74</v>
      </c>
      <c r="AR968" s="1" t="s">
        <v>74</v>
      </c>
      <c r="AS968" s="1" t="s">
        <v>74</v>
      </c>
      <c r="AT968" s="1" t="s">
        <v>417</v>
      </c>
      <c r="AU968" s="1">
        <v>2006.0</v>
      </c>
      <c r="AV968" s="1">
        <v>62.0</v>
      </c>
      <c r="AW968" s="1">
        <v>33.0</v>
      </c>
      <c r="AX968" s="1" t="s">
        <v>74</v>
      </c>
      <c r="AY968" s="1" t="s">
        <v>74</v>
      </c>
      <c r="AZ968" s="1" t="s">
        <v>74</v>
      </c>
      <c r="BA968" s="1" t="s">
        <v>74</v>
      </c>
      <c r="BB968" s="1">
        <v>7817.0</v>
      </c>
      <c r="BC968" s="1">
        <v>7823.0</v>
      </c>
      <c r="BD968" s="1" t="s">
        <v>74</v>
      </c>
      <c r="BE968" s="1" t="s">
        <v>7963</v>
      </c>
      <c r="BF968" s="2" t="str">
        <f>HYPERLINK("http://dx.doi.org/10.1016/j.tet.2006.05.053","http://dx.doi.org/10.1016/j.tet.2006.05.053")</f>
        <v>http://dx.doi.org/10.1016/j.tet.2006.05.053</v>
      </c>
      <c r="BG968" s="1" t="s">
        <v>74</v>
      </c>
      <c r="BH968" s="1" t="s">
        <v>74</v>
      </c>
      <c r="BI968" s="1" t="s">
        <v>74</v>
      </c>
      <c r="BJ968" s="1" t="s">
        <v>74</v>
      </c>
      <c r="BK968" s="1" t="s">
        <v>74</v>
      </c>
      <c r="BL968" s="1" t="s">
        <v>74</v>
      </c>
      <c r="BM968" s="1" t="s">
        <v>74</v>
      </c>
      <c r="BN968" s="1" t="s">
        <v>74</v>
      </c>
      <c r="BO968" s="1" t="s">
        <v>74</v>
      </c>
      <c r="BP968" s="1" t="s">
        <v>74</v>
      </c>
      <c r="BQ968" s="1" t="s">
        <v>74</v>
      </c>
      <c r="BR968" s="1" t="s">
        <v>74</v>
      </c>
      <c r="BS968" s="1" t="s">
        <v>7964</v>
      </c>
      <c r="BT968" s="1" t="str">
        <f>HYPERLINK("https%3A%2F%2Fwww.webofscience.com%2Fwos%2Fwoscc%2Ffull-record%2FWOS:000239218800024","View Full Record in Web of Science")</f>
        <v>View Full Record in Web of Science</v>
      </c>
    </row>
    <row r="969" ht="12.75" customHeight="1">
      <c r="A969" s="1" t="s">
        <v>72</v>
      </c>
      <c r="B969" s="1" t="s">
        <v>1782</v>
      </c>
      <c r="C969" s="1" t="s">
        <v>74</v>
      </c>
      <c r="D969" s="1" t="s">
        <v>74</v>
      </c>
      <c r="E969" s="1" t="s">
        <v>74</v>
      </c>
      <c r="F969" s="1" t="s">
        <v>1782</v>
      </c>
      <c r="G969" s="1" t="s">
        <v>74</v>
      </c>
      <c r="H969" s="1" t="s">
        <v>74</v>
      </c>
      <c r="I969" s="1" t="s">
        <v>7965</v>
      </c>
      <c r="J969" s="1" t="s">
        <v>7966</v>
      </c>
      <c r="K969" s="1" t="s">
        <v>74</v>
      </c>
      <c r="L969" s="1" t="s">
        <v>74</v>
      </c>
      <c r="M969" s="1" t="s">
        <v>74</v>
      </c>
      <c r="N969" s="1" t="s">
        <v>74</v>
      </c>
      <c r="O969" s="1" t="s">
        <v>74</v>
      </c>
      <c r="P969" s="1" t="s">
        <v>74</v>
      </c>
      <c r="Q969" s="1" t="s">
        <v>74</v>
      </c>
      <c r="R969" s="1" t="s">
        <v>74</v>
      </c>
      <c r="S969" s="1" t="s">
        <v>74</v>
      </c>
      <c r="T969" s="1" t="s">
        <v>74</v>
      </c>
      <c r="U969" s="1" t="s">
        <v>74</v>
      </c>
      <c r="V969" s="1" t="s">
        <v>7967</v>
      </c>
      <c r="W969" s="1" t="s">
        <v>74</v>
      </c>
      <c r="X969" s="1" t="s">
        <v>74</v>
      </c>
      <c r="Y969" s="1" t="s">
        <v>74</v>
      </c>
      <c r="Z969" s="1" t="s">
        <v>74</v>
      </c>
      <c r="AA969" s="1" t="s">
        <v>74</v>
      </c>
      <c r="AB969" s="1" t="s">
        <v>74</v>
      </c>
      <c r="AC969" s="1" t="s">
        <v>74</v>
      </c>
      <c r="AD969" s="1" t="s">
        <v>74</v>
      </c>
      <c r="AE969" s="1" t="s">
        <v>74</v>
      </c>
      <c r="AF969" s="1" t="s">
        <v>74</v>
      </c>
      <c r="AG969" s="1" t="s">
        <v>74</v>
      </c>
      <c r="AH969" s="1" t="s">
        <v>74</v>
      </c>
      <c r="AI969" s="1" t="s">
        <v>74</v>
      </c>
      <c r="AJ969" s="1" t="s">
        <v>74</v>
      </c>
      <c r="AK969" s="1" t="s">
        <v>74</v>
      </c>
      <c r="AL969" s="1" t="s">
        <v>74</v>
      </c>
      <c r="AM969" s="1" t="s">
        <v>74</v>
      </c>
      <c r="AN969" s="1" t="s">
        <v>74</v>
      </c>
      <c r="AO969" s="1" t="s">
        <v>7968</v>
      </c>
      <c r="AP969" s="1" t="s">
        <v>7969</v>
      </c>
      <c r="AQ969" s="1" t="s">
        <v>74</v>
      </c>
      <c r="AR969" s="1" t="s">
        <v>74</v>
      </c>
      <c r="AS969" s="1" t="s">
        <v>74</v>
      </c>
      <c r="AT969" s="1" t="s">
        <v>347</v>
      </c>
      <c r="AU969" s="1">
        <v>2005.0</v>
      </c>
      <c r="AV969" s="1">
        <v>37.0</v>
      </c>
      <c r="AW969" s="1">
        <v>4.0</v>
      </c>
      <c r="AX969" s="1" t="s">
        <v>74</v>
      </c>
      <c r="AY969" s="1" t="s">
        <v>74</v>
      </c>
      <c r="AZ969" s="1" t="s">
        <v>74</v>
      </c>
      <c r="BA969" s="1" t="s">
        <v>74</v>
      </c>
      <c r="BB969" s="1">
        <v>667.0</v>
      </c>
      <c r="BC969" s="1">
        <v>674.0</v>
      </c>
      <c r="BD969" s="1" t="s">
        <v>74</v>
      </c>
      <c r="BE969" s="1" t="s">
        <v>7970</v>
      </c>
      <c r="BF969" s="2" t="str">
        <f>HYPERLINK("http://dx.doi.org/10.1007/s10714-005-0054-7","http://dx.doi.org/10.1007/s10714-005-0054-7")</f>
        <v>http://dx.doi.org/10.1007/s10714-005-0054-7</v>
      </c>
      <c r="BG969" s="1" t="s">
        <v>74</v>
      </c>
      <c r="BH969" s="1" t="s">
        <v>74</v>
      </c>
      <c r="BI969" s="1" t="s">
        <v>74</v>
      </c>
      <c r="BJ969" s="1" t="s">
        <v>74</v>
      </c>
      <c r="BK969" s="1" t="s">
        <v>74</v>
      </c>
      <c r="BL969" s="1" t="s">
        <v>74</v>
      </c>
      <c r="BM969" s="1" t="s">
        <v>74</v>
      </c>
      <c r="BN969" s="1" t="s">
        <v>74</v>
      </c>
      <c r="BO969" s="1" t="s">
        <v>74</v>
      </c>
      <c r="BP969" s="1" t="s">
        <v>74</v>
      </c>
      <c r="BQ969" s="1" t="s">
        <v>74</v>
      </c>
      <c r="BR969" s="1" t="s">
        <v>74</v>
      </c>
      <c r="BS969" s="1" t="s">
        <v>7971</v>
      </c>
      <c r="BT969" s="1" t="str">
        <f>HYPERLINK("https%3A%2F%2Fwww.webofscience.com%2Fwos%2Fwoscc%2Ffull-record%2FWOS:000229220600006","View Full Record in Web of Science")</f>
        <v>View Full Record in Web of Science</v>
      </c>
    </row>
    <row r="970" ht="12.75" customHeight="1">
      <c r="A970" s="1" t="s">
        <v>72</v>
      </c>
      <c r="B970" s="1" t="s">
        <v>7972</v>
      </c>
      <c r="C970" s="1" t="s">
        <v>74</v>
      </c>
      <c r="D970" s="1" t="s">
        <v>74</v>
      </c>
      <c r="E970" s="1" t="s">
        <v>74</v>
      </c>
      <c r="F970" s="1" t="s">
        <v>7972</v>
      </c>
      <c r="G970" s="1" t="s">
        <v>74</v>
      </c>
      <c r="H970" s="1" t="s">
        <v>74</v>
      </c>
      <c r="I970" s="1" t="s">
        <v>7973</v>
      </c>
      <c r="J970" s="1" t="s">
        <v>5720</v>
      </c>
      <c r="K970" s="1" t="s">
        <v>74</v>
      </c>
      <c r="L970" s="1" t="s">
        <v>74</v>
      </c>
      <c r="M970" s="1" t="s">
        <v>74</v>
      </c>
      <c r="N970" s="1" t="s">
        <v>74</v>
      </c>
      <c r="O970" s="1" t="s">
        <v>74</v>
      </c>
      <c r="P970" s="1" t="s">
        <v>74</v>
      </c>
      <c r="Q970" s="1" t="s">
        <v>74</v>
      </c>
      <c r="R970" s="1" t="s">
        <v>74</v>
      </c>
      <c r="S970" s="1" t="s">
        <v>74</v>
      </c>
      <c r="T970" s="1" t="s">
        <v>74</v>
      </c>
      <c r="U970" s="1" t="s">
        <v>74</v>
      </c>
      <c r="V970" s="1" t="s">
        <v>7974</v>
      </c>
      <c r="W970" s="1" t="s">
        <v>74</v>
      </c>
      <c r="X970" s="1" t="s">
        <v>74</v>
      </c>
      <c r="Y970" s="1" t="s">
        <v>74</v>
      </c>
      <c r="Z970" s="1" t="s">
        <v>74</v>
      </c>
      <c r="AA970" s="1" t="s">
        <v>7975</v>
      </c>
      <c r="AB970" s="1" t="s">
        <v>1842</v>
      </c>
      <c r="AC970" s="1" t="s">
        <v>74</v>
      </c>
      <c r="AD970" s="1" t="s">
        <v>74</v>
      </c>
      <c r="AE970" s="1" t="s">
        <v>74</v>
      </c>
      <c r="AF970" s="1" t="s">
        <v>74</v>
      </c>
      <c r="AG970" s="1" t="s">
        <v>74</v>
      </c>
      <c r="AH970" s="1" t="s">
        <v>74</v>
      </c>
      <c r="AI970" s="1" t="s">
        <v>74</v>
      </c>
      <c r="AJ970" s="1" t="s">
        <v>74</v>
      </c>
      <c r="AK970" s="1" t="s">
        <v>74</v>
      </c>
      <c r="AL970" s="1" t="s">
        <v>74</v>
      </c>
      <c r="AM970" s="1" t="s">
        <v>74</v>
      </c>
      <c r="AN970" s="1" t="s">
        <v>74</v>
      </c>
      <c r="AO970" s="1" t="s">
        <v>5722</v>
      </c>
      <c r="AP970" s="1" t="s">
        <v>5723</v>
      </c>
      <c r="AQ970" s="1" t="s">
        <v>74</v>
      </c>
      <c r="AR970" s="1" t="s">
        <v>74</v>
      </c>
      <c r="AS970" s="1" t="s">
        <v>74</v>
      </c>
      <c r="AT970" s="1" t="s">
        <v>276</v>
      </c>
      <c r="AU970" s="1">
        <v>2004.0</v>
      </c>
      <c r="AV970" s="1">
        <v>149.0</v>
      </c>
      <c r="AW970" s="1">
        <v>9.0</v>
      </c>
      <c r="AX970" s="1" t="s">
        <v>74</v>
      </c>
      <c r="AY970" s="1" t="s">
        <v>74</v>
      </c>
      <c r="AZ970" s="1" t="s">
        <v>74</v>
      </c>
      <c r="BA970" s="1" t="s">
        <v>74</v>
      </c>
      <c r="BB970" s="1">
        <v>1815.0</v>
      </c>
      <c r="BC970" s="1">
        <v>1829.0</v>
      </c>
      <c r="BD970" s="1" t="s">
        <v>74</v>
      </c>
      <c r="BE970" s="1" t="s">
        <v>7976</v>
      </c>
      <c r="BF970" s="2" t="str">
        <f>HYPERLINK("http://dx.doi.org/10.1007/s00705-004-0314-y","http://dx.doi.org/10.1007/s00705-004-0314-y")</f>
        <v>http://dx.doi.org/10.1007/s00705-004-0314-y</v>
      </c>
      <c r="BG970" s="1" t="s">
        <v>74</v>
      </c>
      <c r="BH970" s="1" t="s">
        <v>74</v>
      </c>
      <c r="BI970" s="1" t="s">
        <v>74</v>
      </c>
      <c r="BJ970" s="1" t="s">
        <v>74</v>
      </c>
      <c r="BK970" s="1" t="s">
        <v>74</v>
      </c>
      <c r="BL970" s="1" t="s">
        <v>74</v>
      </c>
      <c r="BM970" s="1" t="s">
        <v>74</v>
      </c>
      <c r="BN970" s="1">
        <v>1.5593422E7</v>
      </c>
      <c r="BO970" s="1" t="s">
        <v>74</v>
      </c>
      <c r="BP970" s="1" t="s">
        <v>74</v>
      </c>
      <c r="BQ970" s="1" t="s">
        <v>74</v>
      </c>
      <c r="BR970" s="1" t="s">
        <v>74</v>
      </c>
      <c r="BS970" s="1" t="s">
        <v>7977</v>
      </c>
      <c r="BT970" s="1" t="str">
        <f>HYPERLINK("https%3A%2F%2Fwww.webofscience.com%2Fwos%2Fwoscc%2Ffull-record%2FWOS:000223910100011","View Full Record in Web of Science")</f>
        <v>View Full Record in Web of Science</v>
      </c>
    </row>
    <row r="971" ht="12.75" customHeight="1">
      <c r="A971" s="1" t="s">
        <v>72</v>
      </c>
      <c r="B971" s="1" t="s">
        <v>7978</v>
      </c>
      <c r="C971" s="1" t="s">
        <v>74</v>
      </c>
      <c r="D971" s="1" t="s">
        <v>74</v>
      </c>
      <c r="E971" s="1" t="s">
        <v>74</v>
      </c>
      <c r="F971" s="1" t="s">
        <v>7978</v>
      </c>
      <c r="G971" s="1" t="s">
        <v>74</v>
      </c>
      <c r="H971" s="1" t="s">
        <v>74</v>
      </c>
      <c r="I971" s="1" t="s">
        <v>7979</v>
      </c>
      <c r="J971" s="1" t="s">
        <v>1050</v>
      </c>
      <c r="K971" s="1" t="s">
        <v>74</v>
      </c>
      <c r="L971" s="1" t="s">
        <v>74</v>
      </c>
      <c r="M971" s="1" t="s">
        <v>74</v>
      </c>
      <c r="N971" s="1" t="s">
        <v>74</v>
      </c>
      <c r="O971" s="1" t="s">
        <v>74</v>
      </c>
      <c r="P971" s="1" t="s">
        <v>74</v>
      </c>
      <c r="Q971" s="1" t="s">
        <v>74</v>
      </c>
      <c r="R971" s="1" t="s">
        <v>74</v>
      </c>
      <c r="S971" s="1" t="s">
        <v>74</v>
      </c>
      <c r="T971" s="1" t="s">
        <v>74</v>
      </c>
      <c r="U971" s="1" t="s">
        <v>74</v>
      </c>
      <c r="V971" s="1" t="s">
        <v>7980</v>
      </c>
      <c r="W971" s="1" t="s">
        <v>74</v>
      </c>
      <c r="X971" s="1" t="s">
        <v>74</v>
      </c>
      <c r="Y971" s="1" t="s">
        <v>74</v>
      </c>
      <c r="Z971" s="1" t="s">
        <v>74</v>
      </c>
      <c r="AA971" s="1" t="s">
        <v>7981</v>
      </c>
      <c r="AB971" s="1" t="s">
        <v>7982</v>
      </c>
      <c r="AC971" s="1" t="s">
        <v>74</v>
      </c>
      <c r="AD971" s="1" t="s">
        <v>74</v>
      </c>
      <c r="AE971" s="1" t="s">
        <v>74</v>
      </c>
      <c r="AF971" s="1" t="s">
        <v>74</v>
      </c>
      <c r="AG971" s="1" t="s">
        <v>74</v>
      </c>
      <c r="AH971" s="1" t="s">
        <v>74</v>
      </c>
      <c r="AI971" s="1" t="s">
        <v>74</v>
      </c>
      <c r="AJ971" s="1" t="s">
        <v>74</v>
      </c>
      <c r="AK971" s="1" t="s">
        <v>74</v>
      </c>
      <c r="AL971" s="1" t="s">
        <v>74</v>
      </c>
      <c r="AM971" s="1" t="s">
        <v>74</v>
      </c>
      <c r="AN971" s="1" t="s">
        <v>74</v>
      </c>
      <c r="AO971" s="1" t="s">
        <v>1054</v>
      </c>
      <c r="AP971" s="1" t="s">
        <v>74</v>
      </c>
      <c r="AQ971" s="1" t="s">
        <v>74</v>
      </c>
      <c r="AR971" s="1" t="s">
        <v>74</v>
      </c>
      <c r="AS971" s="1" t="s">
        <v>74</v>
      </c>
      <c r="AT971" s="1" t="s">
        <v>148</v>
      </c>
      <c r="AU971" s="1">
        <v>2004.0</v>
      </c>
      <c r="AV971" s="1">
        <v>49.0</v>
      </c>
      <c r="AW971" s="1">
        <v>1.0</v>
      </c>
      <c r="AX971" s="1" t="s">
        <v>74</v>
      </c>
      <c r="AY971" s="1" t="s">
        <v>74</v>
      </c>
      <c r="AZ971" s="1" t="s">
        <v>74</v>
      </c>
      <c r="BA971" s="1" t="s">
        <v>74</v>
      </c>
      <c r="BB971" s="1">
        <v>65.0</v>
      </c>
      <c r="BC971" s="1">
        <v>67.0</v>
      </c>
      <c r="BD971" s="1" t="s">
        <v>74</v>
      </c>
      <c r="BE971" s="1" t="s">
        <v>74</v>
      </c>
      <c r="BF971" s="1" t="s">
        <v>74</v>
      </c>
      <c r="BG971" s="1" t="s">
        <v>74</v>
      </c>
      <c r="BH971" s="1" t="s">
        <v>74</v>
      </c>
      <c r="BI971" s="1" t="s">
        <v>74</v>
      </c>
      <c r="BJ971" s="1" t="s">
        <v>74</v>
      </c>
      <c r="BK971" s="1" t="s">
        <v>74</v>
      </c>
      <c r="BL971" s="1" t="s">
        <v>74</v>
      </c>
      <c r="BM971" s="1" t="s">
        <v>74</v>
      </c>
      <c r="BN971" s="1" t="s">
        <v>74</v>
      </c>
      <c r="BO971" s="1" t="s">
        <v>74</v>
      </c>
      <c r="BP971" s="1" t="s">
        <v>74</v>
      </c>
      <c r="BQ971" s="1" t="s">
        <v>74</v>
      </c>
      <c r="BR971" s="1" t="s">
        <v>74</v>
      </c>
      <c r="BS971" s="1" t="s">
        <v>7983</v>
      </c>
      <c r="BT971" s="1" t="str">
        <f>HYPERLINK("https%3A%2F%2Fwww.webofscience.com%2Fwos%2Fwoscc%2Ffull-record%2FWOS:000189308600011","View Full Record in Web of Science")</f>
        <v>View Full Record in Web of Science</v>
      </c>
    </row>
    <row r="972" ht="12.75" customHeight="1">
      <c r="A972" s="1" t="s">
        <v>72</v>
      </c>
      <c r="B972" s="1" t="s">
        <v>7984</v>
      </c>
      <c r="C972" s="1" t="s">
        <v>74</v>
      </c>
      <c r="D972" s="1" t="s">
        <v>74</v>
      </c>
      <c r="E972" s="1" t="s">
        <v>74</v>
      </c>
      <c r="F972" s="1" t="s">
        <v>7984</v>
      </c>
      <c r="G972" s="1" t="s">
        <v>74</v>
      </c>
      <c r="H972" s="1" t="s">
        <v>74</v>
      </c>
      <c r="I972" s="1" t="s">
        <v>7985</v>
      </c>
      <c r="J972" s="1" t="s">
        <v>7986</v>
      </c>
      <c r="K972" s="1" t="s">
        <v>74</v>
      </c>
      <c r="L972" s="1" t="s">
        <v>74</v>
      </c>
      <c r="M972" s="1" t="s">
        <v>74</v>
      </c>
      <c r="N972" s="1" t="s">
        <v>74</v>
      </c>
      <c r="O972" s="1" t="s">
        <v>74</v>
      </c>
      <c r="P972" s="1" t="s">
        <v>74</v>
      </c>
      <c r="Q972" s="1" t="s">
        <v>74</v>
      </c>
      <c r="R972" s="1" t="s">
        <v>74</v>
      </c>
      <c r="S972" s="1" t="s">
        <v>74</v>
      </c>
      <c r="T972" s="1" t="s">
        <v>74</v>
      </c>
      <c r="U972" s="1" t="s">
        <v>74</v>
      </c>
      <c r="V972" s="1" t="s">
        <v>7987</v>
      </c>
      <c r="W972" s="1" t="s">
        <v>74</v>
      </c>
      <c r="X972" s="1" t="s">
        <v>74</v>
      </c>
      <c r="Y972" s="1" t="s">
        <v>74</v>
      </c>
      <c r="Z972" s="1" t="s">
        <v>74</v>
      </c>
      <c r="AA972" s="1" t="s">
        <v>5844</v>
      </c>
      <c r="AB972" s="1" t="s">
        <v>5845</v>
      </c>
      <c r="AC972" s="1" t="s">
        <v>74</v>
      </c>
      <c r="AD972" s="1" t="s">
        <v>74</v>
      </c>
      <c r="AE972" s="1" t="s">
        <v>74</v>
      </c>
      <c r="AF972" s="1" t="s">
        <v>74</v>
      </c>
      <c r="AG972" s="1" t="s">
        <v>74</v>
      </c>
      <c r="AH972" s="1" t="s">
        <v>74</v>
      </c>
      <c r="AI972" s="1" t="s">
        <v>74</v>
      </c>
      <c r="AJ972" s="1" t="s">
        <v>74</v>
      </c>
      <c r="AK972" s="1" t="s">
        <v>74</v>
      </c>
      <c r="AL972" s="1" t="s">
        <v>74</v>
      </c>
      <c r="AM972" s="1" t="s">
        <v>74</v>
      </c>
      <c r="AN972" s="1" t="s">
        <v>74</v>
      </c>
      <c r="AO972" s="1" t="s">
        <v>7988</v>
      </c>
      <c r="AP972" s="1" t="s">
        <v>74</v>
      </c>
      <c r="AQ972" s="1" t="s">
        <v>74</v>
      </c>
      <c r="AR972" s="1" t="s">
        <v>74</v>
      </c>
      <c r="AS972" s="1" t="s">
        <v>74</v>
      </c>
      <c r="AT972" s="1" t="s">
        <v>1176</v>
      </c>
      <c r="AU972" s="1">
        <v>2002.0</v>
      </c>
      <c r="AV972" s="1">
        <v>29.0</v>
      </c>
      <c r="AW972" s="1">
        <v>9.0</v>
      </c>
      <c r="AX972" s="1" t="s">
        <v>74</v>
      </c>
      <c r="AY972" s="1" t="s">
        <v>74</v>
      </c>
      <c r="AZ972" s="1" t="s">
        <v>74</v>
      </c>
      <c r="BA972" s="1" t="s">
        <v>74</v>
      </c>
      <c r="BB972" s="1">
        <v>1221.0</v>
      </c>
      <c r="BC972" s="1">
        <v>1235.0</v>
      </c>
      <c r="BD972" s="1" t="s">
        <v>7989</v>
      </c>
      <c r="BE972" s="1" t="s">
        <v>7990</v>
      </c>
      <c r="BF972" s="2" t="str">
        <f>HYPERLINK("http://dx.doi.org/10.1016/S0305-0548(01)00026-0","http://dx.doi.org/10.1016/S0305-0548(01)00026-0")</f>
        <v>http://dx.doi.org/10.1016/S0305-0548(01)00026-0</v>
      </c>
      <c r="BG972" s="1" t="s">
        <v>74</v>
      </c>
      <c r="BH972" s="1" t="s">
        <v>74</v>
      </c>
      <c r="BI972" s="1" t="s">
        <v>74</v>
      </c>
      <c r="BJ972" s="1" t="s">
        <v>74</v>
      </c>
      <c r="BK972" s="1" t="s">
        <v>74</v>
      </c>
      <c r="BL972" s="1" t="s">
        <v>74</v>
      </c>
      <c r="BM972" s="1" t="s">
        <v>74</v>
      </c>
      <c r="BN972" s="1" t="s">
        <v>74</v>
      </c>
      <c r="BO972" s="1" t="s">
        <v>74</v>
      </c>
      <c r="BP972" s="1" t="s">
        <v>74</v>
      </c>
      <c r="BQ972" s="1" t="s">
        <v>74</v>
      </c>
      <c r="BR972" s="1" t="s">
        <v>74</v>
      </c>
      <c r="BS972" s="1" t="s">
        <v>7991</v>
      </c>
      <c r="BT972" s="1" t="str">
        <f>HYPERLINK("https%3A%2F%2Fwww.webofscience.com%2Fwos%2Fwoscc%2Ffull-record%2FWOS:000176237300008","View Full Record in Web of Science")</f>
        <v>View Full Record in Web of Science</v>
      </c>
    </row>
    <row r="973" ht="12.75" customHeight="1">
      <c r="A973" s="1" t="s">
        <v>72</v>
      </c>
      <c r="B973" s="1" t="s">
        <v>7992</v>
      </c>
      <c r="C973" s="1" t="s">
        <v>74</v>
      </c>
      <c r="D973" s="1" t="s">
        <v>74</v>
      </c>
      <c r="E973" s="1" t="s">
        <v>74</v>
      </c>
      <c r="F973" s="1" t="s">
        <v>7992</v>
      </c>
      <c r="G973" s="1" t="s">
        <v>74</v>
      </c>
      <c r="H973" s="1" t="s">
        <v>74</v>
      </c>
      <c r="I973" s="1" t="s">
        <v>7993</v>
      </c>
      <c r="J973" s="1" t="s">
        <v>177</v>
      </c>
      <c r="K973" s="1" t="s">
        <v>74</v>
      </c>
      <c r="L973" s="1" t="s">
        <v>74</v>
      </c>
      <c r="M973" s="1" t="s">
        <v>74</v>
      </c>
      <c r="N973" s="1" t="s">
        <v>74</v>
      </c>
      <c r="O973" s="1" t="s">
        <v>74</v>
      </c>
      <c r="P973" s="1" t="s">
        <v>74</v>
      </c>
      <c r="Q973" s="1" t="s">
        <v>74</v>
      </c>
      <c r="R973" s="1" t="s">
        <v>74</v>
      </c>
      <c r="S973" s="1" t="s">
        <v>74</v>
      </c>
      <c r="T973" s="1" t="s">
        <v>74</v>
      </c>
      <c r="U973" s="1" t="s">
        <v>74</v>
      </c>
      <c r="V973" s="1" t="s">
        <v>7994</v>
      </c>
      <c r="W973" s="1" t="s">
        <v>74</v>
      </c>
      <c r="X973" s="1" t="s">
        <v>74</v>
      </c>
      <c r="Y973" s="1" t="s">
        <v>74</v>
      </c>
      <c r="Z973" s="1" t="s">
        <v>74</v>
      </c>
      <c r="AA973" s="1" t="s">
        <v>1208</v>
      </c>
      <c r="AB973" s="1" t="s">
        <v>74</v>
      </c>
      <c r="AC973" s="1" t="s">
        <v>74</v>
      </c>
      <c r="AD973" s="1" t="s">
        <v>74</v>
      </c>
      <c r="AE973" s="1" t="s">
        <v>74</v>
      </c>
      <c r="AF973" s="1" t="s">
        <v>74</v>
      </c>
      <c r="AG973" s="1" t="s">
        <v>74</v>
      </c>
      <c r="AH973" s="1" t="s">
        <v>74</v>
      </c>
      <c r="AI973" s="1" t="s">
        <v>74</v>
      </c>
      <c r="AJ973" s="1" t="s">
        <v>74</v>
      </c>
      <c r="AK973" s="1" t="s">
        <v>74</v>
      </c>
      <c r="AL973" s="1" t="s">
        <v>74</v>
      </c>
      <c r="AM973" s="1" t="s">
        <v>74</v>
      </c>
      <c r="AN973" s="1" t="s">
        <v>74</v>
      </c>
      <c r="AO973" s="1" t="s">
        <v>179</v>
      </c>
      <c r="AP973" s="1" t="s">
        <v>74</v>
      </c>
      <c r="AQ973" s="1" t="s">
        <v>74</v>
      </c>
      <c r="AR973" s="1" t="s">
        <v>74</v>
      </c>
      <c r="AS973" s="1" t="s">
        <v>74</v>
      </c>
      <c r="AT973" s="1" t="s">
        <v>180</v>
      </c>
      <c r="AU973" s="1">
        <v>2001.0</v>
      </c>
      <c r="AV973" s="1">
        <v>46.0</v>
      </c>
      <c r="AW973" s="1">
        <v>2.0</v>
      </c>
      <c r="AX973" s="1" t="s">
        <v>74</v>
      </c>
      <c r="AY973" s="1" t="s">
        <v>74</v>
      </c>
      <c r="AZ973" s="1" t="s">
        <v>74</v>
      </c>
      <c r="BA973" s="1" t="s">
        <v>74</v>
      </c>
      <c r="BB973" s="1">
        <v>209.0</v>
      </c>
      <c r="BC973" s="1">
        <v>216.0</v>
      </c>
      <c r="BD973" s="1" t="s">
        <v>74</v>
      </c>
      <c r="BE973" s="1" t="s">
        <v>74</v>
      </c>
      <c r="BF973" s="1" t="s">
        <v>74</v>
      </c>
      <c r="BG973" s="1" t="s">
        <v>74</v>
      </c>
      <c r="BH973" s="1" t="s">
        <v>74</v>
      </c>
      <c r="BI973" s="1" t="s">
        <v>74</v>
      </c>
      <c r="BJ973" s="1" t="s">
        <v>74</v>
      </c>
      <c r="BK973" s="1" t="s">
        <v>74</v>
      </c>
      <c r="BL973" s="1" t="s">
        <v>74</v>
      </c>
      <c r="BM973" s="1" t="s">
        <v>74</v>
      </c>
      <c r="BN973" s="1" t="s">
        <v>74</v>
      </c>
      <c r="BO973" s="1" t="s">
        <v>74</v>
      </c>
      <c r="BP973" s="1" t="s">
        <v>74</v>
      </c>
      <c r="BQ973" s="1" t="s">
        <v>74</v>
      </c>
      <c r="BR973" s="1" t="s">
        <v>74</v>
      </c>
      <c r="BS973" s="1" t="s">
        <v>7995</v>
      </c>
      <c r="BT973" s="1" t="str">
        <f>HYPERLINK("https%3A%2F%2Fwww.webofscience.com%2Fwos%2Fwoscc%2Ffull-record%2FWOS:000170137700016","View Full Record in Web of Science")</f>
        <v>View Full Record in Web of Science</v>
      </c>
    </row>
    <row r="974" ht="12.75" customHeight="1">
      <c r="A974" s="1" t="s">
        <v>72</v>
      </c>
      <c r="B974" s="1" t="s">
        <v>7996</v>
      </c>
      <c r="C974" s="1" t="s">
        <v>74</v>
      </c>
      <c r="D974" s="1" t="s">
        <v>74</v>
      </c>
      <c r="E974" s="1" t="s">
        <v>74</v>
      </c>
      <c r="F974" s="1" t="s">
        <v>7996</v>
      </c>
      <c r="G974" s="1" t="s">
        <v>74</v>
      </c>
      <c r="H974" s="1" t="s">
        <v>74</v>
      </c>
      <c r="I974" s="1" t="s">
        <v>7997</v>
      </c>
      <c r="J974" s="1" t="s">
        <v>7998</v>
      </c>
      <c r="K974" s="1" t="s">
        <v>74</v>
      </c>
      <c r="L974" s="1" t="s">
        <v>74</v>
      </c>
      <c r="M974" s="1" t="s">
        <v>74</v>
      </c>
      <c r="N974" s="1" t="s">
        <v>74</v>
      </c>
      <c r="O974" s="1" t="s">
        <v>74</v>
      </c>
      <c r="P974" s="1" t="s">
        <v>74</v>
      </c>
      <c r="Q974" s="1" t="s">
        <v>74</v>
      </c>
      <c r="R974" s="1" t="s">
        <v>74</v>
      </c>
      <c r="S974" s="1" t="s">
        <v>74</v>
      </c>
      <c r="T974" s="1" t="s">
        <v>74</v>
      </c>
      <c r="U974" s="1" t="s">
        <v>74</v>
      </c>
      <c r="V974" s="1" t="s">
        <v>7999</v>
      </c>
      <c r="W974" s="1" t="s">
        <v>74</v>
      </c>
      <c r="X974" s="1" t="s">
        <v>74</v>
      </c>
      <c r="Y974" s="1" t="s">
        <v>74</v>
      </c>
      <c r="Z974" s="1" t="s">
        <v>74</v>
      </c>
      <c r="AA974" s="1" t="s">
        <v>4232</v>
      </c>
      <c r="AB974" s="1" t="s">
        <v>8000</v>
      </c>
      <c r="AC974" s="1" t="s">
        <v>74</v>
      </c>
      <c r="AD974" s="1" t="s">
        <v>74</v>
      </c>
      <c r="AE974" s="1" t="s">
        <v>74</v>
      </c>
      <c r="AF974" s="1" t="s">
        <v>74</v>
      </c>
      <c r="AG974" s="1" t="s">
        <v>74</v>
      </c>
      <c r="AH974" s="1" t="s">
        <v>74</v>
      </c>
      <c r="AI974" s="1" t="s">
        <v>74</v>
      </c>
      <c r="AJ974" s="1" t="s">
        <v>74</v>
      </c>
      <c r="AK974" s="1" t="s">
        <v>74</v>
      </c>
      <c r="AL974" s="1" t="s">
        <v>74</v>
      </c>
      <c r="AM974" s="1" t="s">
        <v>74</v>
      </c>
      <c r="AN974" s="1" t="s">
        <v>74</v>
      </c>
      <c r="AO974" s="1" t="s">
        <v>8001</v>
      </c>
      <c r="AP974" s="1" t="s">
        <v>8002</v>
      </c>
      <c r="AQ974" s="1" t="s">
        <v>74</v>
      </c>
      <c r="AR974" s="1" t="s">
        <v>74</v>
      </c>
      <c r="AS974" s="1" t="s">
        <v>74</v>
      </c>
      <c r="AT974" s="1" t="s">
        <v>8003</v>
      </c>
      <c r="AU974" s="1">
        <v>2001.0</v>
      </c>
      <c r="AV974" s="1">
        <v>600.0</v>
      </c>
      <c r="AW974" s="1">
        <v>2.0</v>
      </c>
      <c r="AX974" s="1" t="s">
        <v>74</v>
      </c>
      <c r="AY974" s="1" t="s">
        <v>74</v>
      </c>
      <c r="AZ974" s="1" t="s">
        <v>74</v>
      </c>
      <c r="BA974" s="1" t="s">
        <v>74</v>
      </c>
      <c r="BB974" s="1">
        <v>378.0</v>
      </c>
      <c r="BC974" s="1">
        <v>386.0</v>
      </c>
      <c r="BD974" s="1" t="s">
        <v>74</v>
      </c>
      <c r="BE974" s="1" t="s">
        <v>8004</v>
      </c>
      <c r="BF974" s="2" t="str">
        <f>HYPERLINK("http://dx.doi.org/10.1016/S0550-3213(01)00084-0","http://dx.doi.org/10.1016/S0550-3213(01)00084-0")</f>
        <v>http://dx.doi.org/10.1016/S0550-3213(01)00084-0</v>
      </c>
      <c r="BG974" s="1" t="s">
        <v>74</v>
      </c>
      <c r="BH974" s="1" t="s">
        <v>74</v>
      </c>
      <c r="BI974" s="1" t="s">
        <v>74</v>
      </c>
      <c r="BJ974" s="1" t="s">
        <v>74</v>
      </c>
      <c r="BK974" s="1" t="s">
        <v>74</v>
      </c>
      <c r="BL974" s="1" t="s">
        <v>74</v>
      </c>
      <c r="BM974" s="1" t="s">
        <v>74</v>
      </c>
      <c r="BN974" s="1" t="s">
        <v>74</v>
      </c>
      <c r="BO974" s="1" t="s">
        <v>74</v>
      </c>
      <c r="BP974" s="1" t="s">
        <v>74</v>
      </c>
      <c r="BQ974" s="1" t="s">
        <v>74</v>
      </c>
      <c r="BR974" s="1" t="s">
        <v>74</v>
      </c>
      <c r="BS974" s="1" t="s">
        <v>8005</v>
      </c>
      <c r="BT974" s="1" t="str">
        <f>HYPERLINK("https%3A%2F%2Fwww.webofscience.com%2Fwos%2Fwoscc%2Ffull-record%2FWOS:000168602500008","View Full Record in Web of Science")</f>
        <v>View Full Record in Web of Science</v>
      </c>
    </row>
    <row r="975" ht="12.75" customHeight="1">
      <c r="A975" s="1" t="s">
        <v>72</v>
      </c>
      <c r="B975" s="1" t="s">
        <v>8006</v>
      </c>
      <c r="C975" s="1" t="s">
        <v>74</v>
      </c>
      <c r="D975" s="1" t="s">
        <v>74</v>
      </c>
      <c r="E975" s="1" t="s">
        <v>74</v>
      </c>
      <c r="F975" s="1" t="s">
        <v>8006</v>
      </c>
      <c r="G975" s="1" t="s">
        <v>74</v>
      </c>
      <c r="H975" s="1" t="s">
        <v>74</v>
      </c>
      <c r="I975" s="1" t="s">
        <v>8007</v>
      </c>
      <c r="J975" s="1" t="s">
        <v>8008</v>
      </c>
      <c r="K975" s="1" t="s">
        <v>74</v>
      </c>
      <c r="L975" s="1" t="s">
        <v>74</v>
      </c>
      <c r="M975" s="1" t="s">
        <v>74</v>
      </c>
      <c r="N975" s="1" t="s">
        <v>74</v>
      </c>
      <c r="O975" s="1" t="s">
        <v>74</v>
      </c>
      <c r="P975" s="1" t="s">
        <v>74</v>
      </c>
      <c r="Q975" s="1" t="s">
        <v>74</v>
      </c>
      <c r="R975" s="1" t="s">
        <v>74</v>
      </c>
      <c r="S975" s="1" t="s">
        <v>74</v>
      </c>
      <c r="T975" s="1" t="s">
        <v>74</v>
      </c>
      <c r="U975" s="1" t="s">
        <v>74</v>
      </c>
      <c r="V975" s="1" t="s">
        <v>8009</v>
      </c>
      <c r="W975" s="1" t="s">
        <v>74</v>
      </c>
      <c r="X975" s="1" t="s">
        <v>74</v>
      </c>
      <c r="Y975" s="1" t="s">
        <v>74</v>
      </c>
      <c r="Z975" s="1" t="s">
        <v>74</v>
      </c>
      <c r="AA975" s="1" t="s">
        <v>8010</v>
      </c>
      <c r="AB975" s="1" t="s">
        <v>8011</v>
      </c>
      <c r="AC975" s="1" t="s">
        <v>74</v>
      </c>
      <c r="AD975" s="1" t="s">
        <v>74</v>
      </c>
      <c r="AE975" s="1" t="s">
        <v>74</v>
      </c>
      <c r="AF975" s="1" t="s">
        <v>74</v>
      </c>
      <c r="AG975" s="1" t="s">
        <v>74</v>
      </c>
      <c r="AH975" s="1" t="s">
        <v>74</v>
      </c>
      <c r="AI975" s="1" t="s">
        <v>74</v>
      </c>
      <c r="AJ975" s="1" t="s">
        <v>74</v>
      </c>
      <c r="AK975" s="1" t="s">
        <v>74</v>
      </c>
      <c r="AL975" s="1" t="s">
        <v>74</v>
      </c>
      <c r="AM975" s="1" t="s">
        <v>74</v>
      </c>
      <c r="AN975" s="1" t="s">
        <v>74</v>
      </c>
      <c r="AO975" s="1" t="s">
        <v>8012</v>
      </c>
      <c r="AP975" s="1" t="s">
        <v>74</v>
      </c>
      <c r="AQ975" s="1" t="s">
        <v>74</v>
      </c>
      <c r="AR975" s="1" t="s">
        <v>74</v>
      </c>
      <c r="AS975" s="1" t="s">
        <v>74</v>
      </c>
      <c r="AT975" s="1" t="s">
        <v>727</v>
      </c>
      <c r="AU975" s="1">
        <v>2000.0</v>
      </c>
      <c r="AV975" s="1">
        <v>19.0</v>
      </c>
      <c r="AW975" s="1" t="s">
        <v>8013</v>
      </c>
      <c r="AX975" s="1" t="s">
        <v>74</v>
      </c>
      <c r="AY975" s="1" t="s">
        <v>74</v>
      </c>
      <c r="AZ975" s="1" t="s">
        <v>74</v>
      </c>
      <c r="BA975" s="1" t="s">
        <v>74</v>
      </c>
      <c r="BB975" s="1">
        <v>2255.0</v>
      </c>
      <c r="BC975" s="1">
        <v>2260.0</v>
      </c>
      <c r="BD975" s="1" t="s">
        <v>74</v>
      </c>
      <c r="BE975" s="1" t="s">
        <v>8014</v>
      </c>
      <c r="BF975" s="2" t="str">
        <f>HYPERLINK("http://dx.doi.org/10.1016/S0277-5387(00)00486-1","http://dx.doi.org/10.1016/S0277-5387(00)00486-1")</f>
        <v>http://dx.doi.org/10.1016/S0277-5387(00)00486-1</v>
      </c>
      <c r="BG975" s="1" t="s">
        <v>74</v>
      </c>
      <c r="BH975" s="1" t="s">
        <v>74</v>
      </c>
      <c r="BI975" s="1" t="s">
        <v>74</v>
      </c>
      <c r="BJ975" s="1" t="s">
        <v>74</v>
      </c>
      <c r="BK975" s="1" t="s">
        <v>74</v>
      </c>
      <c r="BL975" s="1" t="s">
        <v>74</v>
      </c>
      <c r="BM975" s="1" t="s">
        <v>74</v>
      </c>
      <c r="BN975" s="1" t="s">
        <v>74</v>
      </c>
      <c r="BO975" s="1" t="s">
        <v>74</v>
      </c>
      <c r="BP975" s="1" t="s">
        <v>74</v>
      </c>
      <c r="BQ975" s="1" t="s">
        <v>74</v>
      </c>
      <c r="BR975" s="1" t="s">
        <v>74</v>
      </c>
      <c r="BS975" s="1" t="s">
        <v>8015</v>
      </c>
      <c r="BT975" s="1" t="str">
        <f>HYPERLINK("https%3A%2F%2Fwww.webofscience.com%2Fwos%2Fwoscc%2Ffull-record%2FWOS:000166064800003","View Full Record in Web of Science")</f>
        <v>View Full Record in Web of Science</v>
      </c>
    </row>
    <row r="976" ht="12.75" customHeight="1">
      <c r="A976" s="1" t="s">
        <v>72</v>
      </c>
      <c r="B976" s="1" t="s">
        <v>8016</v>
      </c>
      <c r="C976" s="1" t="s">
        <v>74</v>
      </c>
      <c r="D976" s="1" t="s">
        <v>74</v>
      </c>
      <c r="E976" s="1" t="s">
        <v>74</v>
      </c>
      <c r="F976" s="1" t="s">
        <v>8016</v>
      </c>
      <c r="G976" s="1" t="s">
        <v>74</v>
      </c>
      <c r="H976" s="1" t="s">
        <v>74</v>
      </c>
      <c r="I976" s="1" t="s">
        <v>8017</v>
      </c>
      <c r="J976" s="1" t="s">
        <v>954</v>
      </c>
      <c r="K976" s="1" t="s">
        <v>74</v>
      </c>
      <c r="L976" s="1" t="s">
        <v>74</v>
      </c>
      <c r="M976" s="1" t="s">
        <v>74</v>
      </c>
      <c r="N976" s="1" t="s">
        <v>74</v>
      </c>
      <c r="O976" s="1" t="s">
        <v>74</v>
      </c>
      <c r="P976" s="1" t="s">
        <v>74</v>
      </c>
      <c r="Q976" s="1" t="s">
        <v>74</v>
      </c>
      <c r="R976" s="1" t="s">
        <v>74</v>
      </c>
      <c r="S976" s="1" t="s">
        <v>74</v>
      </c>
      <c r="T976" s="1" t="s">
        <v>74</v>
      </c>
      <c r="U976" s="1" t="s">
        <v>74</v>
      </c>
      <c r="V976" s="1" t="s">
        <v>8018</v>
      </c>
      <c r="W976" s="1" t="s">
        <v>74</v>
      </c>
      <c r="X976" s="1" t="s">
        <v>74</v>
      </c>
      <c r="Y976" s="1" t="s">
        <v>74</v>
      </c>
      <c r="Z976" s="1" t="s">
        <v>74</v>
      </c>
      <c r="AA976" s="1" t="s">
        <v>74</v>
      </c>
      <c r="AB976" s="1" t="s">
        <v>74</v>
      </c>
      <c r="AC976" s="1" t="s">
        <v>74</v>
      </c>
      <c r="AD976" s="1" t="s">
        <v>74</v>
      </c>
      <c r="AE976" s="1" t="s">
        <v>74</v>
      </c>
      <c r="AF976" s="1" t="s">
        <v>74</v>
      </c>
      <c r="AG976" s="1" t="s">
        <v>74</v>
      </c>
      <c r="AH976" s="1" t="s">
        <v>74</v>
      </c>
      <c r="AI976" s="1" t="s">
        <v>74</v>
      </c>
      <c r="AJ976" s="1" t="s">
        <v>74</v>
      </c>
      <c r="AK976" s="1" t="s">
        <v>74</v>
      </c>
      <c r="AL976" s="1" t="s">
        <v>74</v>
      </c>
      <c r="AM976" s="1" t="s">
        <v>74</v>
      </c>
      <c r="AN976" s="1" t="s">
        <v>74</v>
      </c>
      <c r="AO976" s="1" t="s">
        <v>956</v>
      </c>
      <c r="AP976" s="1" t="s">
        <v>74</v>
      </c>
      <c r="AQ976" s="1" t="s">
        <v>74</v>
      </c>
      <c r="AR976" s="1" t="s">
        <v>74</v>
      </c>
      <c r="AS976" s="1" t="s">
        <v>74</v>
      </c>
      <c r="AT976" s="1" t="s">
        <v>74</v>
      </c>
      <c r="AU976" s="1">
        <v>2000.0</v>
      </c>
      <c r="AV976" s="1">
        <v>18.0</v>
      </c>
      <c r="AW976" s="1" t="s">
        <v>140</v>
      </c>
      <c r="AX976" s="1" t="s">
        <v>74</v>
      </c>
      <c r="AY976" s="1" t="s">
        <v>74</v>
      </c>
      <c r="AZ976" s="1" t="s">
        <v>74</v>
      </c>
      <c r="BA976" s="1" t="s">
        <v>74</v>
      </c>
      <c r="BB976" s="1">
        <v>341.0</v>
      </c>
      <c r="BC976" s="1">
        <v>359.0</v>
      </c>
      <c r="BD976" s="1" t="s">
        <v>74</v>
      </c>
      <c r="BE976" s="1" t="s">
        <v>8019</v>
      </c>
      <c r="BF976" s="2" t="str">
        <f>HYPERLINK("http://dx.doi.org/10.1080/07373930008917708","http://dx.doi.org/10.1080/07373930008917708")</f>
        <v>http://dx.doi.org/10.1080/07373930008917708</v>
      </c>
      <c r="BG976" s="1" t="s">
        <v>74</v>
      </c>
      <c r="BH976" s="1" t="s">
        <v>74</v>
      </c>
      <c r="BI976" s="1" t="s">
        <v>74</v>
      </c>
      <c r="BJ976" s="1" t="s">
        <v>74</v>
      </c>
      <c r="BK976" s="1" t="s">
        <v>74</v>
      </c>
      <c r="BL976" s="1" t="s">
        <v>74</v>
      </c>
      <c r="BM976" s="1" t="s">
        <v>74</v>
      </c>
      <c r="BN976" s="1" t="s">
        <v>74</v>
      </c>
      <c r="BO976" s="1" t="s">
        <v>74</v>
      </c>
      <c r="BP976" s="1" t="s">
        <v>74</v>
      </c>
      <c r="BQ976" s="1" t="s">
        <v>74</v>
      </c>
      <c r="BR976" s="1" t="s">
        <v>74</v>
      </c>
      <c r="BS976" s="1" t="s">
        <v>8020</v>
      </c>
      <c r="BT976" s="1" t="str">
        <f>HYPERLINK("https%3A%2F%2Fwww.webofscience.com%2Fwos%2Fwoscc%2Ffull-record%2FWOS:000085320900020","View Full Record in Web of Science")</f>
        <v>View Full Record in Web of Science</v>
      </c>
    </row>
    <row r="977" ht="12.75" customHeight="1">
      <c r="A977" s="1" t="s">
        <v>91</v>
      </c>
      <c r="B977" s="1" t="s">
        <v>8021</v>
      </c>
      <c r="C977" s="1" t="s">
        <v>74</v>
      </c>
      <c r="D977" s="1" t="s">
        <v>8022</v>
      </c>
      <c r="E977" s="1" t="s">
        <v>74</v>
      </c>
      <c r="F977" s="1" t="s">
        <v>8021</v>
      </c>
      <c r="G977" s="1" t="s">
        <v>74</v>
      </c>
      <c r="H977" s="1" t="s">
        <v>74</v>
      </c>
      <c r="I977" s="1" t="s">
        <v>8023</v>
      </c>
      <c r="J977" s="1" t="s">
        <v>8024</v>
      </c>
      <c r="K977" s="1" t="s">
        <v>8025</v>
      </c>
      <c r="L977" s="1" t="s">
        <v>74</v>
      </c>
      <c r="M977" s="1" t="s">
        <v>74</v>
      </c>
      <c r="N977" s="1" t="s">
        <v>74</v>
      </c>
      <c r="O977" s="1" t="s">
        <v>8026</v>
      </c>
      <c r="P977" s="1" t="s">
        <v>8027</v>
      </c>
      <c r="Q977" s="1" t="s">
        <v>8028</v>
      </c>
      <c r="R977" s="1" t="s">
        <v>8029</v>
      </c>
      <c r="S977" s="1" t="s">
        <v>8030</v>
      </c>
      <c r="T977" s="1" t="s">
        <v>74</v>
      </c>
      <c r="U977" s="1" t="s">
        <v>74</v>
      </c>
      <c r="V977" s="1" t="s">
        <v>8031</v>
      </c>
      <c r="W977" s="1" t="s">
        <v>74</v>
      </c>
      <c r="X977" s="1" t="s">
        <v>74</v>
      </c>
      <c r="Y977" s="1" t="s">
        <v>74</v>
      </c>
      <c r="Z977" s="1" t="s">
        <v>74</v>
      </c>
      <c r="AA977" s="1" t="s">
        <v>8032</v>
      </c>
      <c r="AB977" s="1" t="s">
        <v>8033</v>
      </c>
      <c r="AC977" s="1" t="s">
        <v>74</v>
      </c>
      <c r="AD977" s="1" t="s">
        <v>74</v>
      </c>
      <c r="AE977" s="1" t="s">
        <v>74</v>
      </c>
      <c r="AF977" s="1" t="s">
        <v>74</v>
      </c>
      <c r="AG977" s="1" t="s">
        <v>74</v>
      </c>
      <c r="AH977" s="1" t="s">
        <v>74</v>
      </c>
      <c r="AI977" s="1" t="s">
        <v>74</v>
      </c>
      <c r="AJ977" s="1" t="s">
        <v>74</v>
      </c>
      <c r="AK977" s="1" t="s">
        <v>74</v>
      </c>
      <c r="AL977" s="1" t="s">
        <v>74</v>
      </c>
      <c r="AM977" s="1" t="s">
        <v>74</v>
      </c>
      <c r="AN977" s="1" t="s">
        <v>74</v>
      </c>
      <c r="AO977" s="1" t="s">
        <v>8034</v>
      </c>
      <c r="AP977" s="1" t="s">
        <v>74</v>
      </c>
      <c r="AQ977" s="1" t="s">
        <v>8035</v>
      </c>
      <c r="AR977" s="1" t="s">
        <v>74</v>
      </c>
      <c r="AS977" s="1" t="s">
        <v>74</v>
      </c>
      <c r="AT977" s="1" t="s">
        <v>74</v>
      </c>
      <c r="AU977" s="1">
        <v>2000.0</v>
      </c>
      <c r="AV977" s="1">
        <v>443.0</v>
      </c>
      <c r="AW977" s="1" t="s">
        <v>74</v>
      </c>
      <c r="AX977" s="1" t="s">
        <v>74</v>
      </c>
      <c r="AY977" s="1" t="s">
        <v>74</v>
      </c>
      <c r="AZ977" s="1" t="s">
        <v>74</v>
      </c>
      <c r="BA977" s="1" t="s">
        <v>74</v>
      </c>
      <c r="BB977" s="1">
        <v>333.0</v>
      </c>
      <c r="BC977" s="1">
        <v>336.0</v>
      </c>
      <c r="BD977" s="1" t="s">
        <v>74</v>
      </c>
      <c r="BE977" s="1" t="s">
        <v>74</v>
      </c>
      <c r="BF977" s="1" t="s">
        <v>74</v>
      </c>
      <c r="BG977" s="1" t="s">
        <v>74</v>
      </c>
      <c r="BH977" s="1" t="s">
        <v>74</v>
      </c>
      <c r="BI977" s="1" t="s">
        <v>74</v>
      </c>
      <c r="BJ977" s="1" t="s">
        <v>74</v>
      </c>
      <c r="BK977" s="1" t="s">
        <v>74</v>
      </c>
      <c r="BL977" s="1" t="s">
        <v>74</v>
      </c>
      <c r="BM977" s="1" t="s">
        <v>74</v>
      </c>
      <c r="BN977" s="1" t="s">
        <v>74</v>
      </c>
      <c r="BO977" s="1" t="s">
        <v>74</v>
      </c>
      <c r="BP977" s="1" t="s">
        <v>74</v>
      </c>
      <c r="BQ977" s="1" t="s">
        <v>74</v>
      </c>
      <c r="BR977" s="1" t="s">
        <v>74</v>
      </c>
      <c r="BS977" s="1" t="s">
        <v>8036</v>
      </c>
      <c r="BT977" s="1" t="str">
        <f>HYPERLINK("https%3A%2F%2Fwww.webofscience.com%2Fwos%2Fwoscc%2Ffull-record%2FWOS:000166662000071","View Full Record in Web of Science")</f>
        <v>View Full Record in Web of Science</v>
      </c>
    </row>
    <row r="978" ht="12.75" customHeight="1">
      <c r="A978" s="1" t="s">
        <v>72</v>
      </c>
      <c r="B978" s="1" t="s">
        <v>8037</v>
      </c>
      <c r="C978" s="1" t="s">
        <v>74</v>
      </c>
      <c r="D978" s="1" t="s">
        <v>74</v>
      </c>
      <c r="E978" s="1" t="s">
        <v>74</v>
      </c>
      <c r="F978" s="1" t="s">
        <v>8037</v>
      </c>
      <c r="G978" s="1" t="s">
        <v>74</v>
      </c>
      <c r="H978" s="1" t="s">
        <v>74</v>
      </c>
      <c r="I978" s="1" t="s">
        <v>8038</v>
      </c>
      <c r="J978" s="1" t="s">
        <v>400</v>
      </c>
      <c r="K978" s="1" t="s">
        <v>74</v>
      </c>
      <c r="L978" s="1" t="s">
        <v>74</v>
      </c>
      <c r="M978" s="1" t="s">
        <v>74</v>
      </c>
      <c r="N978" s="1" t="s">
        <v>74</v>
      </c>
      <c r="O978" s="1" t="s">
        <v>74</v>
      </c>
      <c r="P978" s="1" t="s">
        <v>74</v>
      </c>
      <c r="Q978" s="1" t="s">
        <v>74</v>
      </c>
      <c r="R978" s="1" t="s">
        <v>74</v>
      </c>
      <c r="S978" s="1" t="s">
        <v>74</v>
      </c>
      <c r="T978" s="1" t="s">
        <v>74</v>
      </c>
      <c r="U978" s="1" t="s">
        <v>74</v>
      </c>
      <c r="V978" s="1" t="s">
        <v>8039</v>
      </c>
      <c r="W978" s="1" t="s">
        <v>74</v>
      </c>
      <c r="X978" s="1" t="s">
        <v>74</v>
      </c>
      <c r="Y978" s="1" t="s">
        <v>74</v>
      </c>
      <c r="Z978" s="1" t="s">
        <v>74</v>
      </c>
      <c r="AA978" s="1" t="s">
        <v>4180</v>
      </c>
      <c r="AB978" s="1" t="s">
        <v>8040</v>
      </c>
      <c r="AC978" s="1" t="s">
        <v>74</v>
      </c>
      <c r="AD978" s="1" t="s">
        <v>74</v>
      </c>
      <c r="AE978" s="1" t="s">
        <v>74</v>
      </c>
      <c r="AF978" s="1" t="s">
        <v>74</v>
      </c>
      <c r="AG978" s="1" t="s">
        <v>74</v>
      </c>
      <c r="AH978" s="1" t="s">
        <v>74</v>
      </c>
      <c r="AI978" s="1" t="s">
        <v>74</v>
      </c>
      <c r="AJ978" s="1" t="s">
        <v>74</v>
      </c>
      <c r="AK978" s="1" t="s">
        <v>74</v>
      </c>
      <c r="AL978" s="1" t="s">
        <v>74</v>
      </c>
      <c r="AM978" s="1" t="s">
        <v>74</v>
      </c>
      <c r="AN978" s="1" t="s">
        <v>74</v>
      </c>
      <c r="AO978" s="1" t="s">
        <v>403</v>
      </c>
      <c r="AP978" s="1" t="s">
        <v>74</v>
      </c>
      <c r="AQ978" s="1" t="s">
        <v>74</v>
      </c>
      <c r="AR978" s="1" t="s">
        <v>74</v>
      </c>
      <c r="AS978" s="1" t="s">
        <v>74</v>
      </c>
      <c r="AT978" s="1" t="s">
        <v>8041</v>
      </c>
      <c r="AU978" s="1">
        <v>1998.0</v>
      </c>
      <c r="AV978" s="1">
        <v>13.0</v>
      </c>
      <c r="AW978" s="1">
        <v>27.0</v>
      </c>
      <c r="AX978" s="1" t="s">
        <v>74</v>
      </c>
      <c r="AY978" s="1" t="s">
        <v>74</v>
      </c>
      <c r="AZ978" s="1" t="s">
        <v>74</v>
      </c>
      <c r="BA978" s="1" t="s">
        <v>74</v>
      </c>
      <c r="BB978" s="1">
        <v>2193.0</v>
      </c>
      <c r="BC978" s="1">
        <v>2198.0</v>
      </c>
      <c r="BD978" s="1" t="s">
        <v>74</v>
      </c>
      <c r="BE978" s="1" t="s">
        <v>8042</v>
      </c>
      <c r="BF978" s="2" t="str">
        <f>HYPERLINK("http://dx.doi.org/10.1142/S0217732398002333","http://dx.doi.org/10.1142/S0217732398002333")</f>
        <v>http://dx.doi.org/10.1142/S0217732398002333</v>
      </c>
      <c r="BG978" s="1" t="s">
        <v>74</v>
      </c>
      <c r="BH978" s="1" t="s">
        <v>74</v>
      </c>
      <c r="BI978" s="1" t="s">
        <v>74</v>
      </c>
      <c r="BJ978" s="1" t="s">
        <v>74</v>
      </c>
      <c r="BK978" s="1" t="s">
        <v>74</v>
      </c>
      <c r="BL978" s="1" t="s">
        <v>74</v>
      </c>
      <c r="BM978" s="1" t="s">
        <v>74</v>
      </c>
      <c r="BN978" s="1" t="s">
        <v>74</v>
      </c>
      <c r="BO978" s="1" t="s">
        <v>74</v>
      </c>
      <c r="BP978" s="1" t="s">
        <v>74</v>
      </c>
      <c r="BQ978" s="1" t="s">
        <v>74</v>
      </c>
      <c r="BR978" s="1" t="s">
        <v>74</v>
      </c>
      <c r="BS978" s="1" t="s">
        <v>8043</v>
      </c>
      <c r="BT978" s="1" t="str">
        <f>HYPERLINK("https%3A%2F%2Fwww.webofscience.com%2Fwos%2Fwoscc%2Ffull-record%2FWOS:000076422200005","View Full Record in Web of Science")</f>
        <v>View Full Record in Web of Science</v>
      </c>
    </row>
    <row r="979" ht="12.75" customHeight="1">
      <c r="A979" s="1" t="s">
        <v>72</v>
      </c>
      <c r="B979" s="1" t="s">
        <v>8044</v>
      </c>
      <c r="C979" s="1" t="s">
        <v>74</v>
      </c>
      <c r="D979" s="1" t="s">
        <v>74</v>
      </c>
      <c r="E979" s="1" t="s">
        <v>74</v>
      </c>
      <c r="F979" s="1" t="s">
        <v>8044</v>
      </c>
      <c r="G979" s="1" t="s">
        <v>74</v>
      </c>
      <c r="H979" s="1" t="s">
        <v>74</v>
      </c>
      <c r="I979" s="1" t="s">
        <v>8045</v>
      </c>
      <c r="J979" s="1" t="s">
        <v>4502</v>
      </c>
      <c r="K979" s="1" t="s">
        <v>74</v>
      </c>
      <c r="L979" s="1" t="s">
        <v>74</v>
      </c>
      <c r="M979" s="1" t="s">
        <v>74</v>
      </c>
      <c r="N979" s="1" t="s">
        <v>74</v>
      </c>
      <c r="O979" s="1" t="s">
        <v>74</v>
      </c>
      <c r="P979" s="1" t="s">
        <v>74</v>
      </c>
      <c r="Q979" s="1" t="s">
        <v>74</v>
      </c>
      <c r="R979" s="1" t="s">
        <v>74</v>
      </c>
      <c r="S979" s="1" t="s">
        <v>74</v>
      </c>
      <c r="T979" s="1" t="s">
        <v>74</v>
      </c>
      <c r="U979" s="1" t="s">
        <v>74</v>
      </c>
      <c r="V979" s="1" t="s">
        <v>8046</v>
      </c>
      <c r="W979" s="1" t="s">
        <v>74</v>
      </c>
      <c r="X979" s="1" t="s">
        <v>74</v>
      </c>
      <c r="Y979" s="1" t="s">
        <v>74</v>
      </c>
      <c r="Z979" s="1" t="s">
        <v>74</v>
      </c>
      <c r="AA979" s="1" t="s">
        <v>74</v>
      </c>
      <c r="AB979" s="1" t="s">
        <v>74</v>
      </c>
      <c r="AC979" s="1" t="s">
        <v>74</v>
      </c>
      <c r="AD979" s="1" t="s">
        <v>74</v>
      </c>
      <c r="AE979" s="1" t="s">
        <v>74</v>
      </c>
      <c r="AF979" s="1" t="s">
        <v>74</v>
      </c>
      <c r="AG979" s="1" t="s">
        <v>74</v>
      </c>
      <c r="AH979" s="1" t="s">
        <v>74</v>
      </c>
      <c r="AI979" s="1" t="s">
        <v>74</v>
      </c>
      <c r="AJ979" s="1" t="s">
        <v>74</v>
      </c>
      <c r="AK979" s="1" t="s">
        <v>74</v>
      </c>
      <c r="AL979" s="1" t="s">
        <v>74</v>
      </c>
      <c r="AM979" s="1" t="s">
        <v>74</v>
      </c>
      <c r="AN979" s="1" t="s">
        <v>74</v>
      </c>
      <c r="AO979" s="1" t="s">
        <v>4506</v>
      </c>
      <c r="AP979" s="1" t="s">
        <v>4507</v>
      </c>
      <c r="AQ979" s="1" t="s">
        <v>74</v>
      </c>
      <c r="AR979" s="1" t="s">
        <v>74</v>
      </c>
      <c r="AS979" s="1" t="s">
        <v>74</v>
      </c>
      <c r="AT979" s="1" t="s">
        <v>180</v>
      </c>
      <c r="AU979" s="1">
        <v>1998.0</v>
      </c>
      <c r="AV979" s="1">
        <v>33.0</v>
      </c>
      <c r="AW979" s="1">
        <v>8.0</v>
      </c>
      <c r="AX979" s="1" t="s">
        <v>74</v>
      </c>
      <c r="AY979" s="1" t="s">
        <v>74</v>
      </c>
      <c r="AZ979" s="1" t="s">
        <v>74</v>
      </c>
      <c r="BA979" s="1" t="s">
        <v>74</v>
      </c>
      <c r="BB979" s="1">
        <v>875.0</v>
      </c>
      <c r="BC979" s="1">
        <v>890.0</v>
      </c>
      <c r="BD979" s="1" t="s">
        <v>74</v>
      </c>
      <c r="BE979" s="1" t="s">
        <v>8047</v>
      </c>
      <c r="BF979" s="2" t="str">
        <f>HYPERLINK("http://dx.doi.org/10.1080/10407789808913971","http://dx.doi.org/10.1080/10407789808913971")</f>
        <v>http://dx.doi.org/10.1080/10407789808913971</v>
      </c>
      <c r="BG979" s="1" t="s">
        <v>74</v>
      </c>
      <c r="BH979" s="1" t="s">
        <v>74</v>
      </c>
      <c r="BI979" s="1" t="s">
        <v>74</v>
      </c>
      <c r="BJ979" s="1" t="s">
        <v>74</v>
      </c>
      <c r="BK979" s="1" t="s">
        <v>74</v>
      </c>
      <c r="BL979" s="1" t="s">
        <v>74</v>
      </c>
      <c r="BM979" s="1" t="s">
        <v>74</v>
      </c>
      <c r="BN979" s="1" t="s">
        <v>74</v>
      </c>
      <c r="BO979" s="1" t="s">
        <v>74</v>
      </c>
      <c r="BP979" s="1" t="s">
        <v>74</v>
      </c>
      <c r="BQ979" s="1" t="s">
        <v>74</v>
      </c>
      <c r="BR979" s="1" t="s">
        <v>74</v>
      </c>
      <c r="BS979" s="1" t="s">
        <v>8048</v>
      </c>
      <c r="BT979" s="1" t="str">
        <f>HYPERLINK("https%3A%2F%2Fwww.webofscience.com%2Fwos%2Fwoscc%2Ffull-record%2FWOS:000073865600005","View Full Record in Web of Science")</f>
        <v>View Full Record in Web of Science</v>
      </c>
    </row>
    <row r="980" ht="12.75" customHeight="1">
      <c r="A980" s="1" t="s">
        <v>91</v>
      </c>
      <c r="B980" s="1" t="s">
        <v>8049</v>
      </c>
      <c r="C980" s="1" t="s">
        <v>74</v>
      </c>
      <c r="D980" s="1" t="s">
        <v>8050</v>
      </c>
      <c r="E980" s="1" t="s">
        <v>74</v>
      </c>
      <c r="F980" s="1" t="s">
        <v>8049</v>
      </c>
      <c r="G980" s="1" t="s">
        <v>74</v>
      </c>
      <c r="H980" s="1" t="s">
        <v>74</v>
      </c>
      <c r="I980" s="1" t="s">
        <v>8051</v>
      </c>
      <c r="J980" s="1" t="s">
        <v>8052</v>
      </c>
      <c r="K980" s="1" t="s">
        <v>8053</v>
      </c>
      <c r="L980" s="1" t="s">
        <v>74</v>
      </c>
      <c r="M980" s="1" t="s">
        <v>74</v>
      </c>
      <c r="N980" s="1" t="s">
        <v>74</v>
      </c>
      <c r="O980" s="1" t="s">
        <v>8054</v>
      </c>
      <c r="P980" s="1">
        <v>1995.0</v>
      </c>
      <c r="Q980" s="1" t="s">
        <v>8055</v>
      </c>
      <c r="R980" s="1" t="s">
        <v>8056</v>
      </c>
      <c r="S980" s="1" t="s">
        <v>74</v>
      </c>
      <c r="T980" s="1" t="s">
        <v>74</v>
      </c>
      <c r="U980" s="1" t="s">
        <v>74</v>
      </c>
      <c r="V980" s="1" t="s">
        <v>74</v>
      </c>
      <c r="W980" s="1" t="s">
        <v>74</v>
      </c>
      <c r="X980" s="1" t="s">
        <v>74</v>
      </c>
      <c r="Y980" s="1" t="s">
        <v>74</v>
      </c>
      <c r="Z980" s="1" t="s">
        <v>74</v>
      </c>
      <c r="AA980" s="1" t="s">
        <v>74</v>
      </c>
      <c r="AB980" s="1" t="s">
        <v>74</v>
      </c>
      <c r="AC980" s="1" t="s">
        <v>74</v>
      </c>
      <c r="AD980" s="1" t="s">
        <v>74</v>
      </c>
      <c r="AE980" s="1" t="s">
        <v>74</v>
      </c>
      <c r="AF980" s="1" t="s">
        <v>74</v>
      </c>
      <c r="AG980" s="1" t="s">
        <v>74</v>
      </c>
      <c r="AH980" s="1" t="s">
        <v>74</v>
      </c>
      <c r="AI980" s="1" t="s">
        <v>74</v>
      </c>
      <c r="AJ980" s="1" t="s">
        <v>74</v>
      </c>
      <c r="AK980" s="1" t="s">
        <v>74</v>
      </c>
      <c r="AL980" s="1" t="s">
        <v>74</v>
      </c>
      <c r="AM980" s="1" t="s">
        <v>74</v>
      </c>
      <c r="AN980" s="1" t="s">
        <v>74</v>
      </c>
      <c r="AO980" s="1" t="s">
        <v>8057</v>
      </c>
      <c r="AP980" s="1" t="s">
        <v>74</v>
      </c>
      <c r="AQ980" s="1" t="s">
        <v>8058</v>
      </c>
      <c r="AR980" s="1" t="s">
        <v>74</v>
      </c>
      <c r="AS980" s="1" t="s">
        <v>74</v>
      </c>
      <c r="AT980" s="1" t="s">
        <v>74</v>
      </c>
      <c r="AU980" s="1">
        <v>1998.0</v>
      </c>
      <c r="AV980" s="1">
        <v>26.0</v>
      </c>
      <c r="AW980" s="1" t="s">
        <v>74</v>
      </c>
      <c r="AX980" s="1">
        <v>3.0</v>
      </c>
      <c r="AY980" s="1" t="s">
        <v>74</v>
      </c>
      <c r="AZ980" s="1" t="s">
        <v>74</v>
      </c>
      <c r="BA980" s="1" t="s">
        <v>74</v>
      </c>
      <c r="BB980" s="1">
        <v>948.0</v>
      </c>
      <c r="BC980" s="1">
        <v>950.0</v>
      </c>
      <c r="BD980" s="1" t="s">
        <v>74</v>
      </c>
      <c r="BE980" s="1" t="s">
        <v>74</v>
      </c>
      <c r="BF980" s="1" t="s">
        <v>74</v>
      </c>
      <c r="BG980" s="1" t="s">
        <v>74</v>
      </c>
      <c r="BH980" s="1" t="s">
        <v>74</v>
      </c>
      <c r="BI980" s="1" t="s">
        <v>74</v>
      </c>
      <c r="BJ980" s="1" t="s">
        <v>74</v>
      </c>
      <c r="BK980" s="1" t="s">
        <v>74</v>
      </c>
      <c r="BL980" s="1" t="s">
        <v>74</v>
      </c>
      <c r="BM980" s="1" t="s">
        <v>74</v>
      </c>
      <c r="BN980" s="1" t="s">
        <v>74</v>
      </c>
      <c r="BO980" s="1" t="s">
        <v>74</v>
      </c>
      <c r="BP980" s="1" t="s">
        <v>74</v>
      </c>
      <c r="BQ980" s="1" t="s">
        <v>74</v>
      </c>
      <c r="BR980" s="1" t="s">
        <v>74</v>
      </c>
      <c r="BS980" s="1" t="s">
        <v>8059</v>
      </c>
      <c r="BT980" s="1" t="str">
        <f>HYPERLINK("https%3A%2F%2Fwww.webofscience.com%2Fwos%2Fwoscc%2Ffull-record%2FWOS:000074937000013","View Full Record in Web of Science")</f>
        <v>View Full Record in Web of Science</v>
      </c>
    </row>
    <row r="981" ht="12.75" customHeight="1">
      <c r="A981" s="1" t="s">
        <v>72</v>
      </c>
      <c r="B981" s="1" t="s">
        <v>8060</v>
      </c>
      <c r="C981" s="1" t="s">
        <v>74</v>
      </c>
      <c r="D981" s="1" t="s">
        <v>74</v>
      </c>
      <c r="E981" s="1" t="s">
        <v>74</v>
      </c>
      <c r="F981" s="1" t="s">
        <v>8060</v>
      </c>
      <c r="G981" s="1" t="s">
        <v>74</v>
      </c>
      <c r="H981" s="1" t="s">
        <v>74</v>
      </c>
      <c r="I981" s="1" t="s">
        <v>8061</v>
      </c>
      <c r="J981" s="1" t="s">
        <v>8062</v>
      </c>
      <c r="K981" s="1" t="s">
        <v>74</v>
      </c>
      <c r="L981" s="1" t="s">
        <v>74</v>
      </c>
      <c r="M981" s="1" t="s">
        <v>74</v>
      </c>
      <c r="N981" s="1" t="s">
        <v>74</v>
      </c>
      <c r="O981" s="1" t="s">
        <v>74</v>
      </c>
      <c r="P981" s="1" t="s">
        <v>74</v>
      </c>
      <c r="Q981" s="1" t="s">
        <v>74</v>
      </c>
      <c r="R981" s="1" t="s">
        <v>74</v>
      </c>
      <c r="S981" s="1" t="s">
        <v>74</v>
      </c>
      <c r="T981" s="1" t="s">
        <v>74</v>
      </c>
      <c r="U981" s="1" t="s">
        <v>74</v>
      </c>
      <c r="V981" s="1" t="s">
        <v>8063</v>
      </c>
      <c r="W981" s="1" t="s">
        <v>74</v>
      </c>
      <c r="X981" s="1" t="s">
        <v>74</v>
      </c>
      <c r="Y981" s="1" t="s">
        <v>74</v>
      </c>
      <c r="Z981" s="1" t="s">
        <v>74</v>
      </c>
      <c r="AA981" s="1" t="s">
        <v>8064</v>
      </c>
      <c r="AB981" s="1" t="s">
        <v>8065</v>
      </c>
      <c r="AC981" s="1" t="s">
        <v>74</v>
      </c>
      <c r="AD981" s="1" t="s">
        <v>74</v>
      </c>
      <c r="AE981" s="1" t="s">
        <v>74</v>
      </c>
      <c r="AF981" s="1" t="s">
        <v>74</v>
      </c>
      <c r="AG981" s="1" t="s">
        <v>74</v>
      </c>
      <c r="AH981" s="1" t="s">
        <v>74</v>
      </c>
      <c r="AI981" s="1" t="s">
        <v>74</v>
      </c>
      <c r="AJ981" s="1" t="s">
        <v>74</v>
      </c>
      <c r="AK981" s="1" t="s">
        <v>74</v>
      </c>
      <c r="AL981" s="1" t="s">
        <v>74</v>
      </c>
      <c r="AM981" s="1" t="s">
        <v>74</v>
      </c>
      <c r="AN981" s="1" t="s">
        <v>74</v>
      </c>
      <c r="AO981" s="1" t="s">
        <v>8066</v>
      </c>
      <c r="AP981" s="1" t="s">
        <v>74</v>
      </c>
      <c r="AQ981" s="1" t="s">
        <v>74</v>
      </c>
      <c r="AR981" s="1" t="s">
        <v>74</v>
      </c>
      <c r="AS981" s="1" t="s">
        <v>74</v>
      </c>
      <c r="AT981" s="1" t="s">
        <v>429</v>
      </c>
      <c r="AU981" s="1">
        <v>1997.0</v>
      </c>
      <c r="AV981" s="1">
        <v>65.0</v>
      </c>
      <c r="AW981" s="1">
        <v>2.0</v>
      </c>
      <c r="AX981" s="1" t="s">
        <v>74</v>
      </c>
      <c r="AY981" s="1" t="s">
        <v>74</v>
      </c>
      <c r="AZ981" s="1" t="s">
        <v>74</v>
      </c>
      <c r="BA981" s="1" t="s">
        <v>74</v>
      </c>
      <c r="BB981" s="1">
        <v>273.0</v>
      </c>
      <c r="BC981" s="1">
        <v>279.0</v>
      </c>
      <c r="BD981" s="1" t="s">
        <v>74</v>
      </c>
      <c r="BE981" s="1" t="s">
        <v>8067</v>
      </c>
      <c r="BF981" s="2" t="str">
        <f>HYPERLINK("http://dx.doi.org/10.1016/S0166-0934(97)02194-0","http://dx.doi.org/10.1016/S0166-0934(97)02194-0")</f>
        <v>http://dx.doi.org/10.1016/S0166-0934(97)02194-0</v>
      </c>
      <c r="BG981" s="1" t="s">
        <v>74</v>
      </c>
      <c r="BH981" s="1" t="s">
        <v>74</v>
      </c>
      <c r="BI981" s="1" t="s">
        <v>74</v>
      </c>
      <c r="BJ981" s="1" t="s">
        <v>74</v>
      </c>
      <c r="BK981" s="1" t="s">
        <v>74</v>
      </c>
      <c r="BL981" s="1" t="s">
        <v>74</v>
      </c>
      <c r="BM981" s="1" t="s">
        <v>74</v>
      </c>
      <c r="BN981" s="1">
        <v>9186951.0</v>
      </c>
      <c r="BO981" s="1" t="s">
        <v>74</v>
      </c>
      <c r="BP981" s="1" t="s">
        <v>74</v>
      </c>
      <c r="BQ981" s="1" t="s">
        <v>74</v>
      </c>
      <c r="BR981" s="1" t="s">
        <v>74</v>
      </c>
      <c r="BS981" s="1" t="s">
        <v>8068</v>
      </c>
      <c r="BT981" s="1" t="str">
        <f>HYPERLINK("https%3A%2F%2Fwww.webofscience.com%2Fwos%2Fwoscc%2Ffull-record%2FWOS:A1997XC31600015","View Full Record in Web of Science")</f>
        <v>View Full Record in Web of Science</v>
      </c>
    </row>
    <row r="982" ht="12.75" customHeight="1">
      <c r="A982" s="1" t="s">
        <v>72</v>
      </c>
      <c r="B982" s="1" t="s">
        <v>8069</v>
      </c>
      <c r="C982" s="1" t="s">
        <v>74</v>
      </c>
      <c r="D982" s="1" t="s">
        <v>74</v>
      </c>
      <c r="E982" s="1" t="s">
        <v>74</v>
      </c>
      <c r="F982" s="1" t="s">
        <v>8069</v>
      </c>
      <c r="G982" s="1" t="s">
        <v>74</v>
      </c>
      <c r="H982" s="1" t="s">
        <v>74</v>
      </c>
      <c r="I982" s="1" t="s">
        <v>8070</v>
      </c>
      <c r="J982" s="1" t="s">
        <v>1872</v>
      </c>
      <c r="K982" s="1" t="s">
        <v>74</v>
      </c>
      <c r="L982" s="1" t="s">
        <v>74</v>
      </c>
      <c r="M982" s="1" t="s">
        <v>74</v>
      </c>
      <c r="N982" s="1" t="s">
        <v>74</v>
      </c>
      <c r="O982" s="1" t="s">
        <v>74</v>
      </c>
      <c r="P982" s="1" t="s">
        <v>74</v>
      </c>
      <c r="Q982" s="1" t="s">
        <v>74</v>
      </c>
      <c r="R982" s="1" t="s">
        <v>74</v>
      </c>
      <c r="S982" s="1" t="s">
        <v>74</v>
      </c>
      <c r="T982" s="1" t="s">
        <v>74</v>
      </c>
      <c r="U982" s="1" t="s">
        <v>74</v>
      </c>
      <c r="V982" s="1" t="s">
        <v>8071</v>
      </c>
      <c r="W982" s="1" t="s">
        <v>74</v>
      </c>
      <c r="X982" s="1" t="s">
        <v>74</v>
      </c>
      <c r="Y982" s="1" t="s">
        <v>74</v>
      </c>
      <c r="Z982" s="1" t="s">
        <v>74</v>
      </c>
      <c r="AA982" s="1" t="s">
        <v>8072</v>
      </c>
      <c r="AB982" s="1" t="s">
        <v>6578</v>
      </c>
      <c r="AC982" s="1" t="s">
        <v>74</v>
      </c>
      <c r="AD982" s="1" t="s">
        <v>74</v>
      </c>
      <c r="AE982" s="1" t="s">
        <v>74</v>
      </c>
      <c r="AF982" s="1" t="s">
        <v>74</v>
      </c>
      <c r="AG982" s="1" t="s">
        <v>74</v>
      </c>
      <c r="AH982" s="1" t="s">
        <v>74</v>
      </c>
      <c r="AI982" s="1" t="s">
        <v>74</v>
      </c>
      <c r="AJ982" s="1" t="s">
        <v>74</v>
      </c>
      <c r="AK982" s="1" t="s">
        <v>74</v>
      </c>
      <c r="AL982" s="1" t="s">
        <v>74</v>
      </c>
      <c r="AM982" s="1" t="s">
        <v>74</v>
      </c>
      <c r="AN982" s="1" t="s">
        <v>74</v>
      </c>
      <c r="AO982" s="1" t="s">
        <v>1874</v>
      </c>
      <c r="AP982" s="1" t="s">
        <v>8073</v>
      </c>
      <c r="AQ982" s="1" t="s">
        <v>74</v>
      </c>
      <c r="AR982" s="1" t="s">
        <v>74</v>
      </c>
      <c r="AS982" s="1" t="s">
        <v>74</v>
      </c>
      <c r="AT982" s="1" t="s">
        <v>4726</v>
      </c>
      <c r="AU982" s="1">
        <v>1997.0</v>
      </c>
      <c r="AV982" s="1">
        <v>186.0</v>
      </c>
      <c r="AW982" s="1">
        <v>2.0</v>
      </c>
      <c r="AX982" s="1" t="s">
        <v>74</v>
      </c>
      <c r="AY982" s="1" t="s">
        <v>74</v>
      </c>
      <c r="AZ982" s="1" t="s">
        <v>74</v>
      </c>
      <c r="BA982" s="1" t="s">
        <v>74</v>
      </c>
      <c r="BB982" s="1">
        <v>332.0</v>
      </c>
      <c r="BC982" s="1">
        <v>338.0</v>
      </c>
      <c r="BD982" s="1" t="s">
        <v>74</v>
      </c>
      <c r="BE982" s="1" t="s">
        <v>8074</v>
      </c>
      <c r="BF982" s="2" t="str">
        <f>HYPERLINK("http://dx.doi.org/10.1006/jcis.1996.4648","http://dx.doi.org/10.1006/jcis.1996.4648")</f>
        <v>http://dx.doi.org/10.1006/jcis.1996.4648</v>
      </c>
      <c r="BG982" s="1" t="s">
        <v>74</v>
      </c>
      <c r="BH982" s="1" t="s">
        <v>74</v>
      </c>
      <c r="BI982" s="1" t="s">
        <v>74</v>
      </c>
      <c r="BJ982" s="1" t="s">
        <v>74</v>
      </c>
      <c r="BK982" s="1" t="s">
        <v>74</v>
      </c>
      <c r="BL982" s="1" t="s">
        <v>74</v>
      </c>
      <c r="BM982" s="1" t="s">
        <v>74</v>
      </c>
      <c r="BN982" s="1">
        <v>9056362.0</v>
      </c>
      <c r="BO982" s="1" t="s">
        <v>74</v>
      </c>
      <c r="BP982" s="1" t="s">
        <v>74</v>
      </c>
      <c r="BQ982" s="1" t="s">
        <v>74</v>
      </c>
      <c r="BR982" s="1" t="s">
        <v>74</v>
      </c>
      <c r="BS982" s="1" t="s">
        <v>8075</v>
      </c>
      <c r="BT982" s="1" t="str">
        <f>HYPERLINK("https%3A%2F%2Fwww.webofscience.com%2Fwos%2Fwoscc%2Ffull-record%2FWOS:A1997WK06000014","View Full Record in Web of Science")</f>
        <v>View Full Record in Web of Science</v>
      </c>
    </row>
    <row r="983" ht="12.75" customHeight="1">
      <c r="A983" s="1" t="s">
        <v>72</v>
      </c>
      <c r="B983" s="1" t="s">
        <v>8076</v>
      </c>
      <c r="C983" s="1" t="s">
        <v>74</v>
      </c>
      <c r="D983" s="1" t="s">
        <v>74</v>
      </c>
      <c r="E983" s="1" t="s">
        <v>74</v>
      </c>
      <c r="F983" s="1" t="s">
        <v>8076</v>
      </c>
      <c r="G983" s="1" t="s">
        <v>74</v>
      </c>
      <c r="H983" s="1" t="s">
        <v>74</v>
      </c>
      <c r="I983" s="1" t="s">
        <v>8077</v>
      </c>
      <c r="J983" s="1" t="s">
        <v>159</v>
      </c>
      <c r="K983" s="1" t="s">
        <v>74</v>
      </c>
      <c r="L983" s="1" t="s">
        <v>74</v>
      </c>
      <c r="M983" s="1" t="s">
        <v>74</v>
      </c>
      <c r="N983" s="1" t="s">
        <v>74</v>
      </c>
      <c r="O983" s="1" t="s">
        <v>74</v>
      </c>
      <c r="P983" s="1" t="s">
        <v>74</v>
      </c>
      <c r="Q983" s="1" t="s">
        <v>74</v>
      </c>
      <c r="R983" s="1" t="s">
        <v>74</v>
      </c>
      <c r="S983" s="1" t="s">
        <v>74</v>
      </c>
      <c r="T983" s="1" t="s">
        <v>74</v>
      </c>
      <c r="U983" s="1" t="s">
        <v>74</v>
      </c>
      <c r="V983" s="1" t="s">
        <v>74</v>
      </c>
      <c r="W983" s="1" t="s">
        <v>74</v>
      </c>
      <c r="X983" s="1" t="s">
        <v>74</v>
      </c>
      <c r="Y983" s="1" t="s">
        <v>74</v>
      </c>
      <c r="Z983" s="1" t="s">
        <v>74</v>
      </c>
      <c r="AA983" s="1" t="s">
        <v>8078</v>
      </c>
      <c r="AB983" s="1" t="s">
        <v>74</v>
      </c>
      <c r="AC983" s="1" t="s">
        <v>74</v>
      </c>
      <c r="AD983" s="1" t="s">
        <v>74</v>
      </c>
      <c r="AE983" s="1" t="s">
        <v>74</v>
      </c>
      <c r="AF983" s="1" t="s">
        <v>74</v>
      </c>
      <c r="AG983" s="1" t="s">
        <v>74</v>
      </c>
      <c r="AH983" s="1" t="s">
        <v>74</v>
      </c>
      <c r="AI983" s="1" t="s">
        <v>74</v>
      </c>
      <c r="AJ983" s="1" t="s">
        <v>74</v>
      </c>
      <c r="AK983" s="1" t="s">
        <v>74</v>
      </c>
      <c r="AL983" s="1" t="s">
        <v>74</v>
      </c>
      <c r="AM983" s="1" t="s">
        <v>74</v>
      </c>
      <c r="AN983" s="1" t="s">
        <v>74</v>
      </c>
      <c r="AO983" s="1" t="s">
        <v>160</v>
      </c>
      <c r="AP983" s="1" t="s">
        <v>74</v>
      </c>
      <c r="AQ983" s="1" t="s">
        <v>74</v>
      </c>
      <c r="AR983" s="1" t="s">
        <v>74</v>
      </c>
      <c r="AS983" s="1" t="s">
        <v>74</v>
      </c>
      <c r="AT983" s="1" t="s">
        <v>161</v>
      </c>
      <c r="AU983" s="1">
        <v>1996.0</v>
      </c>
      <c r="AV983" s="1">
        <v>36.0</v>
      </c>
      <c r="AW983" s="1" t="s">
        <v>74</v>
      </c>
      <c r="AX983" s="1" t="s">
        <v>74</v>
      </c>
      <c r="AY983" s="1" t="s">
        <v>162</v>
      </c>
      <c r="AZ983" s="1" t="s">
        <v>74</v>
      </c>
      <c r="BA983" s="1" t="s">
        <v>74</v>
      </c>
      <c r="BB983" s="1">
        <v>109.0</v>
      </c>
      <c r="BC983" s="1">
        <v>109.0</v>
      </c>
      <c r="BD983" s="1" t="s">
        <v>74</v>
      </c>
      <c r="BE983" s="1" t="s">
        <v>74</v>
      </c>
      <c r="BF983" s="1" t="s">
        <v>74</v>
      </c>
      <c r="BG983" s="1" t="s">
        <v>74</v>
      </c>
      <c r="BH983" s="1" t="s">
        <v>74</v>
      </c>
      <c r="BI983" s="1" t="s">
        <v>74</v>
      </c>
      <c r="BJ983" s="1" t="s">
        <v>74</v>
      </c>
      <c r="BK983" s="1" t="s">
        <v>74</v>
      </c>
      <c r="BL983" s="1" t="s">
        <v>74</v>
      </c>
      <c r="BM983" s="1" t="s">
        <v>74</v>
      </c>
      <c r="BN983" s="1" t="s">
        <v>74</v>
      </c>
      <c r="BO983" s="1" t="s">
        <v>74</v>
      </c>
      <c r="BP983" s="1" t="s">
        <v>74</v>
      </c>
      <c r="BQ983" s="1" t="s">
        <v>74</v>
      </c>
      <c r="BR983" s="1" t="s">
        <v>74</v>
      </c>
      <c r="BS983" s="1" t="s">
        <v>8079</v>
      </c>
      <c r="BT983" s="1" t="str">
        <f>HYPERLINK("https%3A%2F%2Fwww.webofscience.com%2Fwos%2Fwoscc%2Ffull-record%2FWOS:A1996VR89800421","View Full Record in Web of Science")</f>
        <v>View Full Record in Web of Science</v>
      </c>
    </row>
    <row r="984" ht="12.75" customHeight="1">
      <c r="A984" s="1" t="s">
        <v>72</v>
      </c>
      <c r="B984" s="1" t="s">
        <v>8080</v>
      </c>
      <c r="C984" s="1" t="s">
        <v>74</v>
      </c>
      <c r="D984" s="1" t="s">
        <v>74</v>
      </c>
      <c r="E984" s="1" t="s">
        <v>74</v>
      </c>
      <c r="F984" s="1" t="s">
        <v>8080</v>
      </c>
      <c r="G984" s="1" t="s">
        <v>74</v>
      </c>
      <c r="H984" s="1" t="s">
        <v>74</v>
      </c>
      <c r="I984" s="1" t="s">
        <v>8081</v>
      </c>
      <c r="J984" s="1" t="s">
        <v>8082</v>
      </c>
      <c r="K984" s="1" t="s">
        <v>74</v>
      </c>
      <c r="L984" s="1" t="s">
        <v>74</v>
      </c>
      <c r="M984" s="1" t="s">
        <v>74</v>
      </c>
      <c r="N984" s="1" t="s">
        <v>74</v>
      </c>
      <c r="O984" s="1" t="s">
        <v>74</v>
      </c>
      <c r="P984" s="1" t="s">
        <v>74</v>
      </c>
      <c r="Q984" s="1" t="s">
        <v>74</v>
      </c>
      <c r="R984" s="1" t="s">
        <v>74</v>
      </c>
      <c r="S984" s="1" t="s">
        <v>74</v>
      </c>
      <c r="T984" s="1" t="s">
        <v>74</v>
      </c>
      <c r="U984" s="1" t="s">
        <v>74</v>
      </c>
      <c r="V984" s="1" t="s">
        <v>8083</v>
      </c>
      <c r="W984" s="1" t="s">
        <v>74</v>
      </c>
      <c r="X984" s="1" t="s">
        <v>74</v>
      </c>
      <c r="Y984" s="1" t="s">
        <v>74</v>
      </c>
      <c r="Z984" s="1" t="s">
        <v>74</v>
      </c>
      <c r="AA984" s="1" t="s">
        <v>1821</v>
      </c>
      <c r="AB984" s="1" t="s">
        <v>1822</v>
      </c>
      <c r="AC984" s="1" t="s">
        <v>74</v>
      </c>
      <c r="AD984" s="1" t="s">
        <v>74</v>
      </c>
      <c r="AE984" s="1" t="s">
        <v>74</v>
      </c>
      <c r="AF984" s="1" t="s">
        <v>74</v>
      </c>
      <c r="AG984" s="1" t="s">
        <v>74</v>
      </c>
      <c r="AH984" s="1" t="s">
        <v>74</v>
      </c>
      <c r="AI984" s="1" t="s">
        <v>74</v>
      </c>
      <c r="AJ984" s="1" t="s">
        <v>74</v>
      </c>
      <c r="AK984" s="1" t="s">
        <v>74</v>
      </c>
      <c r="AL984" s="1" t="s">
        <v>74</v>
      </c>
      <c r="AM984" s="1" t="s">
        <v>74</v>
      </c>
      <c r="AN984" s="1" t="s">
        <v>74</v>
      </c>
      <c r="AO984" s="1" t="s">
        <v>8084</v>
      </c>
      <c r="AP984" s="1" t="s">
        <v>74</v>
      </c>
      <c r="AQ984" s="1" t="s">
        <v>74</v>
      </c>
      <c r="AR984" s="1" t="s">
        <v>74</v>
      </c>
      <c r="AS984" s="1" t="s">
        <v>74</v>
      </c>
      <c r="AT984" s="1" t="s">
        <v>299</v>
      </c>
      <c r="AU984" s="1">
        <v>1996.0</v>
      </c>
      <c r="AV984" s="1">
        <v>67.0</v>
      </c>
      <c r="AW984" s="1">
        <v>1.0</v>
      </c>
      <c r="AX984" s="1" t="s">
        <v>74</v>
      </c>
      <c r="AY984" s="1" t="s">
        <v>74</v>
      </c>
      <c r="AZ984" s="1" t="s">
        <v>74</v>
      </c>
      <c r="BA984" s="1" t="s">
        <v>74</v>
      </c>
      <c r="BB984" s="1">
        <v>328.0</v>
      </c>
      <c r="BC984" s="1">
        <v>330.0</v>
      </c>
      <c r="BD984" s="1" t="s">
        <v>74</v>
      </c>
      <c r="BE984" s="1" t="s">
        <v>8085</v>
      </c>
      <c r="BF984" s="2" t="str">
        <f>HYPERLINK("http://dx.doi.org/10.1063/1.1146591","http://dx.doi.org/10.1063/1.1146591")</f>
        <v>http://dx.doi.org/10.1063/1.1146591</v>
      </c>
      <c r="BG984" s="1" t="s">
        <v>74</v>
      </c>
      <c r="BH984" s="1" t="s">
        <v>74</v>
      </c>
      <c r="BI984" s="1" t="s">
        <v>74</v>
      </c>
      <c r="BJ984" s="1" t="s">
        <v>74</v>
      </c>
      <c r="BK984" s="1" t="s">
        <v>74</v>
      </c>
      <c r="BL984" s="1" t="s">
        <v>74</v>
      </c>
      <c r="BM984" s="1" t="s">
        <v>74</v>
      </c>
      <c r="BN984" s="1" t="s">
        <v>74</v>
      </c>
      <c r="BO984" s="1" t="s">
        <v>74</v>
      </c>
      <c r="BP984" s="1" t="s">
        <v>74</v>
      </c>
      <c r="BQ984" s="1" t="s">
        <v>74</v>
      </c>
      <c r="BR984" s="1" t="s">
        <v>74</v>
      </c>
      <c r="BS984" s="1" t="s">
        <v>8086</v>
      </c>
      <c r="BT984" s="1" t="str">
        <f>HYPERLINK("https%3A%2F%2Fwww.webofscience.com%2Fwos%2Fwoscc%2Ffull-record%2FWOS:A1996TQ62300053","View Full Record in Web of Science")</f>
        <v>View Full Record in Web of Science</v>
      </c>
    </row>
    <row r="985" ht="12.75" customHeight="1">
      <c r="A985" s="1" t="s">
        <v>72</v>
      </c>
      <c r="B985" s="1" t="s">
        <v>8087</v>
      </c>
      <c r="C985" s="1" t="s">
        <v>74</v>
      </c>
      <c r="D985" s="1" t="s">
        <v>74</v>
      </c>
      <c r="E985" s="1" t="s">
        <v>74</v>
      </c>
      <c r="F985" s="1" t="s">
        <v>8087</v>
      </c>
      <c r="G985" s="1" t="s">
        <v>74</v>
      </c>
      <c r="H985" s="1" t="s">
        <v>74</v>
      </c>
      <c r="I985" s="1" t="s">
        <v>8088</v>
      </c>
      <c r="J985" s="1" t="s">
        <v>2657</v>
      </c>
      <c r="K985" s="1" t="s">
        <v>74</v>
      </c>
      <c r="L985" s="1" t="s">
        <v>74</v>
      </c>
      <c r="M985" s="1" t="s">
        <v>74</v>
      </c>
      <c r="N985" s="1" t="s">
        <v>74</v>
      </c>
      <c r="O985" s="1" t="s">
        <v>74</v>
      </c>
      <c r="P985" s="1" t="s">
        <v>74</v>
      </c>
      <c r="Q985" s="1" t="s">
        <v>74</v>
      </c>
      <c r="R985" s="1" t="s">
        <v>74</v>
      </c>
      <c r="S985" s="1" t="s">
        <v>74</v>
      </c>
      <c r="T985" s="1" t="s">
        <v>74</v>
      </c>
      <c r="U985" s="1" t="s">
        <v>74</v>
      </c>
      <c r="V985" s="1" t="s">
        <v>8089</v>
      </c>
      <c r="W985" s="1" t="s">
        <v>74</v>
      </c>
      <c r="X985" s="1" t="s">
        <v>74</v>
      </c>
      <c r="Y985" s="1" t="s">
        <v>74</v>
      </c>
      <c r="Z985" s="1" t="s">
        <v>74</v>
      </c>
      <c r="AA985" s="1" t="s">
        <v>74</v>
      </c>
      <c r="AB985" s="1" t="s">
        <v>74</v>
      </c>
      <c r="AC985" s="1" t="s">
        <v>74</v>
      </c>
      <c r="AD985" s="1" t="s">
        <v>74</v>
      </c>
      <c r="AE985" s="1" t="s">
        <v>74</v>
      </c>
      <c r="AF985" s="1" t="s">
        <v>74</v>
      </c>
      <c r="AG985" s="1" t="s">
        <v>74</v>
      </c>
      <c r="AH985" s="1" t="s">
        <v>74</v>
      </c>
      <c r="AI985" s="1" t="s">
        <v>74</v>
      </c>
      <c r="AJ985" s="1" t="s">
        <v>74</v>
      </c>
      <c r="AK985" s="1" t="s">
        <v>74</v>
      </c>
      <c r="AL985" s="1" t="s">
        <v>74</v>
      </c>
      <c r="AM985" s="1" t="s">
        <v>74</v>
      </c>
      <c r="AN985" s="1" t="s">
        <v>74</v>
      </c>
      <c r="AO985" s="1" t="s">
        <v>2659</v>
      </c>
      <c r="AP985" s="1" t="s">
        <v>74</v>
      </c>
      <c r="AQ985" s="1" t="s">
        <v>74</v>
      </c>
      <c r="AR985" s="1" t="s">
        <v>74</v>
      </c>
      <c r="AS985" s="1" t="s">
        <v>74</v>
      </c>
      <c r="AT985" s="1" t="s">
        <v>3446</v>
      </c>
      <c r="AU985" s="1">
        <v>1993.0</v>
      </c>
      <c r="AV985" s="1">
        <v>1161.0</v>
      </c>
      <c r="AW985" s="1">
        <v>1.0</v>
      </c>
      <c r="AX985" s="1" t="s">
        <v>74</v>
      </c>
      <c r="AY985" s="1" t="s">
        <v>74</v>
      </c>
      <c r="AZ985" s="1" t="s">
        <v>74</v>
      </c>
      <c r="BA985" s="1" t="s">
        <v>74</v>
      </c>
      <c r="BB985" s="1">
        <v>85.0</v>
      </c>
      <c r="BC985" s="1">
        <v>90.0</v>
      </c>
      <c r="BD985" s="1" t="s">
        <v>74</v>
      </c>
      <c r="BE985" s="1" t="s">
        <v>8090</v>
      </c>
      <c r="BF985" s="2" t="str">
        <f>HYPERLINK("http://dx.doi.org/10.1016/0167-4838(93)90200-B","http://dx.doi.org/10.1016/0167-4838(93)90200-B")</f>
        <v>http://dx.doi.org/10.1016/0167-4838(93)90200-B</v>
      </c>
      <c r="BG985" s="1" t="s">
        <v>74</v>
      </c>
      <c r="BH985" s="1" t="s">
        <v>74</v>
      </c>
      <c r="BI985" s="1" t="s">
        <v>74</v>
      </c>
      <c r="BJ985" s="1" t="s">
        <v>74</v>
      </c>
      <c r="BK985" s="1" t="s">
        <v>74</v>
      </c>
      <c r="BL985" s="1" t="s">
        <v>74</v>
      </c>
      <c r="BM985" s="1" t="s">
        <v>74</v>
      </c>
      <c r="BN985" s="1">
        <v>8422423.0</v>
      </c>
      <c r="BO985" s="1" t="s">
        <v>74</v>
      </c>
      <c r="BP985" s="1" t="s">
        <v>74</v>
      </c>
      <c r="BQ985" s="1" t="s">
        <v>74</v>
      </c>
      <c r="BR985" s="1" t="s">
        <v>74</v>
      </c>
      <c r="BS985" s="1" t="s">
        <v>8091</v>
      </c>
      <c r="BT985" s="1" t="str">
        <f>HYPERLINK("https%3A%2F%2Fwww.webofscience.com%2Fwos%2Fwoscc%2Ffull-record%2FWOS:A1993KG82600013","View Full Record in Web of Science")</f>
        <v>View Full Record in Web of Science</v>
      </c>
    </row>
    <row r="986" ht="12.75" customHeight="1">
      <c r="A986" s="1" t="s">
        <v>72</v>
      </c>
      <c r="B986" s="1" t="s">
        <v>8092</v>
      </c>
      <c r="C986" s="1" t="s">
        <v>74</v>
      </c>
      <c r="D986" s="1" t="s">
        <v>74</v>
      </c>
      <c r="E986" s="1" t="s">
        <v>74</v>
      </c>
      <c r="F986" s="1" t="s">
        <v>8092</v>
      </c>
      <c r="G986" s="1" t="s">
        <v>74</v>
      </c>
      <c r="H986" s="1" t="s">
        <v>74</v>
      </c>
      <c r="I986" s="1" t="s">
        <v>8093</v>
      </c>
      <c r="J986" s="1" t="s">
        <v>8094</v>
      </c>
      <c r="K986" s="1" t="s">
        <v>74</v>
      </c>
      <c r="L986" s="1" t="s">
        <v>74</v>
      </c>
      <c r="M986" s="1" t="s">
        <v>74</v>
      </c>
      <c r="N986" s="1" t="s">
        <v>74</v>
      </c>
      <c r="O986" s="1" t="s">
        <v>74</v>
      </c>
      <c r="P986" s="1" t="s">
        <v>74</v>
      </c>
      <c r="Q986" s="1" t="s">
        <v>74</v>
      </c>
      <c r="R986" s="1" t="s">
        <v>74</v>
      </c>
      <c r="S986" s="1" t="s">
        <v>74</v>
      </c>
      <c r="T986" s="1" t="s">
        <v>74</v>
      </c>
      <c r="U986" s="1" t="s">
        <v>74</v>
      </c>
      <c r="V986" s="1" t="s">
        <v>8095</v>
      </c>
      <c r="W986" s="1" t="s">
        <v>74</v>
      </c>
      <c r="X986" s="1" t="s">
        <v>74</v>
      </c>
      <c r="Y986" s="1" t="s">
        <v>74</v>
      </c>
      <c r="Z986" s="1" t="s">
        <v>74</v>
      </c>
      <c r="AA986" s="1" t="s">
        <v>74</v>
      </c>
      <c r="AB986" s="1" t="s">
        <v>74</v>
      </c>
      <c r="AC986" s="1" t="s">
        <v>74</v>
      </c>
      <c r="AD986" s="1" t="s">
        <v>74</v>
      </c>
      <c r="AE986" s="1" t="s">
        <v>74</v>
      </c>
      <c r="AF986" s="1" t="s">
        <v>74</v>
      </c>
      <c r="AG986" s="1" t="s">
        <v>74</v>
      </c>
      <c r="AH986" s="1" t="s">
        <v>74</v>
      </c>
      <c r="AI986" s="1" t="s">
        <v>74</v>
      </c>
      <c r="AJ986" s="1" t="s">
        <v>74</v>
      </c>
      <c r="AK986" s="1" t="s">
        <v>74</v>
      </c>
      <c r="AL986" s="1" t="s">
        <v>74</v>
      </c>
      <c r="AM986" s="1" t="s">
        <v>74</v>
      </c>
      <c r="AN986" s="1" t="s">
        <v>74</v>
      </c>
      <c r="AO986" s="1" t="s">
        <v>8096</v>
      </c>
      <c r="AP986" s="1" t="s">
        <v>8097</v>
      </c>
      <c r="AQ986" s="1" t="s">
        <v>74</v>
      </c>
      <c r="AR986" s="1" t="s">
        <v>74</v>
      </c>
      <c r="AS986" s="1" t="s">
        <v>74</v>
      </c>
      <c r="AT986" s="1" t="s">
        <v>74</v>
      </c>
      <c r="AU986" s="1">
        <v>1990.0</v>
      </c>
      <c r="AV986" s="1">
        <v>51.0</v>
      </c>
      <c r="AW986" s="1">
        <v>1.0</v>
      </c>
      <c r="AX986" s="1" t="s">
        <v>74</v>
      </c>
      <c r="AY986" s="1" t="s">
        <v>74</v>
      </c>
      <c r="AZ986" s="1" t="s">
        <v>74</v>
      </c>
      <c r="BA986" s="1" t="s">
        <v>74</v>
      </c>
      <c r="BB986" s="1">
        <v>1.0</v>
      </c>
      <c r="BC986" s="1">
        <v>9.0</v>
      </c>
      <c r="BD986" s="1" t="s">
        <v>74</v>
      </c>
      <c r="BE986" s="1" t="s">
        <v>8098</v>
      </c>
      <c r="BF986" s="2" t="str">
        <f>HYPERLINK("http://dx.doi.org/10.1002/jsfa.2740510102","http://dx.doi.org/10.1002/jsfa.2740510102")</f>
        <v>http://dx.doi.org/10.1002/jsfa.2740510102</v>
      </c>
      <c r="BG986" s="1" t="s">
        <v>74</v>
      </c>
      <c r="BH986" s="1" t="s">
        <v>74</v>
      </c>
      <c r="BI986" s="1" t="s">
        <v>74</v>
      </c>
      <c r="BJ986" s="1" t="s">
        <v>74</v>
      </c>
      <c r="BK986" s="1" t="s">
        <v>74</v>
      </c>
      <c r="BL986" s="1" t="s">
        <v>74</v>
      </c>
      <c r="BM986" s="1" t="s">
        <v>74</v>
      </c>
      <c r="BN986" s="1" t="s">
        <v>74</v>
      </c>
      <c r="BO986" s="1" t="s">
        <v>74</v>
      </c>
      <c r="BP986" s="1" t="s">
        <v>74</v>
      </c>
      <c r="BQ986" s="1" t="s">
        <v>74</v>
      </c>
      <c r="BR986" s="1" t="s">
        <v>74</v>
      </c>
      <c r="BS986" s="1" t="s">
        <v>8099</v>
      </c>
      <c r="BT986" s="1" t="str">
        <f>HYPERLINK("https%3A%2F%2Fwww.webofscience.com%2Fwos%2Fwoscc%2Ffull-record%2FWOS:A1990CT34800001","View Full Record in Web of Science")</f>
        <v>View Full Record in Web of Science</v>
      </c>
    </row>
    <row r="987" ht="12.75" customHeight="1">
      <c r="A987" s="1" t="s">
        <v>72</v>
      </c>
      <c r="B987" s="1" t="s">
        <v>8100</v>
      </c>
      <c r="C987" s="1" t="s">
        <v>74</v>
      </c>
      <c r="D987" s="1" t="s">
        <v>74</v>
      </c>
      <c r="E987" s="1" t="s">
        <v>74</v>
      </c>
      <c r="F987" s="1" t="s">
        <v>8100</v>
      </c>
      <c r="G987" s="1" t="s">
        <v>74</v>
      </c>
      <c r="H987" s="1" t="s">
        <v>74</v>
      </c>
      <c r="I987" s="1" t="s">
        <v>8101</v>
      </c>
      <c r="J987" s="1" t="s">
        <v>3404</v>
      </c>
      <c r="K987" s="1" t="s">
        <v>74</v>
      </c>
      <c r="L987" s="1" t="s">
        <v>74</v>
      </c>
      <c r="M987" s="1" t="s">
        <v>74</v>
      </c>
      <c r="N987" s="1" t="s">
        <v>74</v>
      </c>
      <c r="O987" s="1" t="s">
        <v>74</v>
      </c>
      <c r="P987" s="1" t="s">
        <v>74</v>
      </c>
      <c r="Q987" s="1" t="s">
        <v>74</v>
      </c>
      <c r="R987" s="1" t="s">
        <v>74</v>
      </c>
      <c r="S987" s="1" t="s">
        <v>74</v>
      </c>
      <c r="T987" s="1" t="s">
        <v>74</v>
      </c>
      <c r="U987" s="1" t="s">
        <v>74</v>
      </c>
      <c r="V987" s="1" t="s">
        <v>74</v>
      </c>
      <c r="W987" s="1" t="s">
        <v>74</v>
      </c>
      <c r="X987" s="1" t="s">
        <v>74</v>
      </c>
      <c r="Y987" s="1" t="s">
        <v>74</v>
      </c>
      <c r="Z987" s="1" t="s">
        <v>74</v>
      </c>
      <c r="AA987" s="1" t="s">
        <v>74</v>
      </c>
      <c r="AB987" s="1" t="s">
        <v>74</v>
      </c>
      <c r="AC987" s="1" t="s">
        <v>74</v>
      </c>
      <c r="AD987" s="1" t="s">
        <v>74</v>
      </c>
      <c r="AE987" s="1" t="s">
        <v>74</v>
      </c>
      <c r="AF987" s="1" t="s">
        <v>74</v>
      </c>
      <c r="AG987" s="1" t="s">
        <v>74</v>
      </c>
      <c r="AH987" s="1" t="s">
        <v>74</v>
      </c>
      <c r="AI987" s="1" t="s">
        <v>74</v>
      </c>
      <c r="AJ987" s="1" t="s">
        <v>74</v>
      </c>
      <c r="AK987" s="1" t="s">
        <v>74</v>
      </c>
      <c r="AL987" s="1" t="s">
        <v>74</v>
      </c>
      <c r="AM987" s="1" t="s">
        <v>74</v>
      </c>
      <c r="AN987" s="1" t="s">
        <v>74</v>
      </c>
      <c r="AO987" s="1" t="s">
        <v>3406</v>
      </c>
      <c r="AP987" s="1" t="s">
        <v>74</v>
      </c>
      <c r="AQ987" s="1" t="s">
        <v>74</v>
      </c>
      <c r="AR987" s="1" t="s">
        <v>74</v>
      </c>
      <c r="AS987" s="1" t="s">
        <v>74</v>
      </c>
      <c r="AT987" s="1" t="s">
        <v>299</v>
      </c>
      <c r="AU987" s="1">
        <v>1989.0</v>
      </c>
      <c r="AV987" s="1">
        <v>12.0</v>
      </c>
      <c r="AW987" s="1">
        <v>1.0</v>
      </c>
      <c r="AX987" s="1" t="s">
        <v>74</v>
      </c>
      <c r="AY987" s="1" t="s">
        <v>74</v>
      </c>
      <c r="AZ987" s="1" t="s">
        <v>74</v>
      </c>
      <c r="BA987" s="1" t="s">
        <v>74</v>
      </c>
      <c r="BB987" s="1">
        <v>1.0</v>
      </c>
      <c r="BC987" s="1">
        <v>11.0</v>
      </c>
      <c r="BD987" s="1" t="s">
        <v>74</v>
      </c>
      <c r="BE987" s="1" t="s">
        <v>8102</v>
      </c>
      <c r="BF987" s="2" t="str">
        <f>HYPERLINK("http://dx.doi.org/10.1007/BF01199753","http://dx.doi.org/10.1007/BF01199753")</f>
        <v>http://dx.doi.org/10.1007/BF01199753</v>
      </c>
      <c r="BG987" s="1" t="s">
        <v>74</v>
      </c>
      <c r="BH987" s="1" t="s">
        <v>74</v>
      </c>
      <c r="BI987" s="1" t="s">
        <v>74</v>
      </c>
      <c r="BJ987" s="1" t="s">
        <v>74</v>
      </c>
      <c r="BK987" s="1" t="s">
        <v>74</v>
      </c>
      <c r="BL987" s="1" t="s">
        <v>74</v>
      </c>
      <c r="BM987" s="1" t="s">
        <v>74</v>
      </c>
      <c r="BN987" s="1" t="s">
        <v>74</v>
      </c>
      <c r="BO987" s="1" t="s">
        <v>74</v>
      </c>
      <c r="BP987" s="1" t="s">
        <v>74</v>
      </c>
      <c r="BQ987" s="1" t="s">
        <v>74</v>
      </c>
      <c r="BR987" s="1" t="s">
        <v>74</v>
      </c>
      <c r="BS987" s="1" t="s">
        <v>8103</v>
      </c>
      <c r="BT987" s="1" t="str">
        <f>HYPERLINK("https%3A%2F%2Fwww.webofscience.com%2Fwos%2Fwoscc%2Ffull-record%2FWOS:A1989R481400001","View Full Record in Web of Science")</f>
        <v>View Full Record in Web of Science</v>
      </c>
    </row>
    <row r="988" ht="12.75" customHeight="1">
      <c r="A988" s="1" t="s">
        <v>72</v>
      </c>
      <c r="B988" s="1" t="s">
        <v>8104</v>
      </c>
      <c r="C988" s="1" t="s">
        <v>74</v>
      </c>
      <c r="D988" s="1" t="s">
        <v>74</v>
      </c>
      <c r="E988" s="1" t="s">
        <v>74</v>
      </c>
      <c r="F988" s="1" t="s">
        <v>8104</v>
      </c>
      <c r="G988" s="1" t="s">
        <v>74</v>
      </c>
      <c r="H988" s="1" t="s">
        <v>74</v>
      </c>
      <c r="I988" s="1" t="s">
        <v>8105</v>
      </c>
      <c r="J988" s="1" t="s">
        <v>6672</v>
      </c>
      <c r="K988" s="1" t="s">
        <v>74</v>
      </c>
      <c r="L988" s="1" t="s">
        <v>74</v>
      </c>
      <c r="M988" s="1" t="s">
        <v>74</v>
      </c>
      <c r="N988" s="1" t="s">
        <v>74</v>
      </c>
      <c r="O988" s="1" t="s">
        <v>74</v>
      </c>
      <c r="P988" s="1" t="s">
        <v>74</v>
      </c>
      <c r="Q988" s="1" t="s">
        <v>74</v>
      </c>
      <c r="R988" s="1" t="s">
        <v>74</v>
      </c>
      <c r="S988" s="1" t="s">
        <v>74</v>
      </c>
      <c r="T988" s="1" t="s">
        <v>74</v>
      </c>
      <c r="U988" s="1" t="s">
        <v>74</v>
      </c>
      <c r="V988" s="1" t="s">
        <v>74</v>
      </c>
      <c r="W988" s="1" t="s">
        <v>74</v>
      </c>
      <c r="X988" s="1" t="s">
        <v>74</v>
      </c>
      <c r="Y988" s="1" t="s">
        <v>74</v>
      </c>
      <c r="Z988" s="1" t="s">
        <v>74</v>
      </c>
      <c r="AA988" s="1" t="s">
        <v>74</v>
      </c>
      <c r="AB988" s="1" t="s">
        <v>8106</v>
      </c>
      <c r="AC988" s="1" t="s">
        <v>74</v>
      </c>
      <c r="AD988" s="1" t="s">
        <v>74</v>
      </c>
      <c r="AE988" s="1" t="s">
        <v>74</v>
      </c>
      <c r="AF988" s="1" t="s">
        <v>74</v>
      </c>
      <c r="AG988" s="1" t="s">
        <v>74</v>
      </c>
      <c r="AH988" s="1" t="s">
        <v>74</v>
      </c>
      <c r="AI988" s="1" t="s">
        <v>74</v>
      </c>
      <c r="AJ988" s="1" t="s">
        <v>74</v>
      </c>
      <c r="AK988" s="1" t="s">
        <v>74</v>
      </c>
      <c r="AL988" s="1" t="s">
        <v>74</v>
      </c>
      <c r="AM988" s="1" t="s">
        <v>74</v>
      </c>
      <c r="AN988" s="1" t="s">
        <v>74</v>
      </c>
      <c r="AO988" s="1" t="s">
        <v>6673</v>
      </c>
      <c r="AP988" s="1" t="s">
        <v>74</v>
      </c>
      <c r="AQ988" s="1" t="s">
        <v>74</v>
      </c>
      <c r="AR988" s="1" t="s">
        <v>74</v>
      </c>
      <c r="AS988" s="1" t="s">
        <v>74</v>
      </c>
      <c r="AT988" s="1" t="s">
        <v>74</v>
      </c>
      <c r="AU988" s="1">
        <v>1989.0</v>
      </c>
      <c r="AV988" s="1">
        <v>6.0</v>
      </c>
      <c r="AW988" s="1">
        <v>5.0</v>
      </c>
      <c r="AX988" s="1" t="s">
        <v>74</v>
      </c>
      <c r="AY988" s="1" t="s">
        <v>74</v>
      </c>
      <c r="AZ988" s="1" t="s">
        <v>74</v>
      </c>
      <c r="BA988" s="1" t="s">
        <v>74</v>
      </c>
      <c r="BB988" s="1">
        <v>293.0</v>
      </c>
      <c r="BC988" s="1">
        <v>301.0</v>
      </c>
      <c r="BD988" s="1" t="s">
        <v>74</v>
      </c>
      <c r="BE988" s="1" t="s">
        <v>8107</v>
      </c>
      <c r="BF988" s="2" t="str">
        <f>HYPERLINK("http://dx.doi.org/10.3109/10715768909055154","http://dx.doi.org/10.3109/10715768909055154")</f>
        <v>http://dx.doi.org/10.3109/10715768909055154</v>
      </c>
      <c r="BG988" s="1" t="s">
        <v>74</v>
      </c>
      <c r="BH988" s="1" t="s">
        <v>74</v>
      </c>
      <c r="BI988" s="1" t="s">
        <v>74</v>
      </c>
      <c r="BJ988" s="1" t="s">
        <v>74</v>
      </c>
      <c r="BK988" s="1" t="s">
        <v>74</v>
      </c>
      <c r="BL988" s="1" t="s">
        <v>74</v>
      </c>
      <c r="BM988" s="1" t="s">
        <v>74</v>
      </c>
      <c r="BN988" s="1">
        <v>2792845.0</v>
      </c>
      <c r="BO988" s="1" t="s">
        <v>74</v>
      </c>
      <c r="BP988" s="1" t="s">
        <v>74</v>
      </c>
      <c r="BQ988" s="1" t="s">
        <v>74</v>
      </c>
      <c r="BR988" s="1" t="s">
        <v>74</v>
      </c>
      <c r="BS988" s="1" t="s">
        <v>8108</v>
      </c>
      <c r="BT988" s="1" t="str">
        <f>HYPERLINK("https%3A%2F%2Fwww.webofscience.com%2Fwos%2Fwoscc%2Ffull-record%2FWOS:A1989AH19500002","View Full Record in Web of Science")</f>
        <v>View Full Record in Web of Science</v>
      </c>
    </row>
    <row r="989" ht="12.75" customHeight="1">
      <c r="A989" s="1" t="s">
        <v>72</v>
      </c>
      <c r="B989" s="1" t="s">
        <v>8109</v>
      </c>
      <c r="C989" s="1" t="s">
        <v>74</v>
      </c>
      <c r="D989" s="1" t="s">
        <v>74</v>
      </c>
      <c r="E989" s="1" t="s">
        <v>74</v>
      </c>
      <c r="F989" s="1" t="s">
        <v>8109</v>
      </c>
      <c r="G989" s="1" t="s">
        <v>74</v>
      </c>
      <c r="H989" s="1" t="s">
        <v>74</v>
      </c>
      <c r="I989" s="1" t="s">
        <v>8110</v>
      </c>
      <c r="J989" s="1" t="s">
        <v>190</v>
      </c>
      <c r="K989" s="1" t="s">
        <v>74</v>
      </c>
      <c r="L989" s="1" t="s">
        <v>74</v>
      </c>
      <c r="M989" s="1" t="s">
        <v>74</v>
      </c>
      <c r="N989" s="1" t="s">
        <v>74</v>
      </c>
      <c r="O989" s="1" t="s">
        <v>74</v>
      </c>
      <c r="P989" s="1" t="s">
        <v>74</v>
      </c>
      <c r="Q989" s="1" t="s">
        <v>74</v>
      </c>
      <c r="R989" s="1" t="s">
        <v>74</v>
      </c>
      <c r="S989" s="1" t="s">
        <v>74</v>
      </c>
      <c r="T989" s="1" t="s">
        <v>74</v>
      </c>
      <c r="U989" s="1" t="s">
        <v>74</v>
      </c>
      <c r="V989" s="1" t="s">
        <v>74</v>
      </c>
      <c r="W989" s="1" t="s">
        <v>74</v>
      </c>
      <c r="X989" s="1" t="s">
        <v>74</v>
      </c>
      <c r="Y989" s="1" t="s">
        <v>74</v>
      </c>
      <c r="Z989" s="1" t="s">
        <v>74</v>
      </c>
      <c r="AA989" s="1" t="s">
        <v>8111</v>
      </c>
      <c r="AB989" s="1" t="s">
        <v>74</v>
      </c>
      <c r="AC989" s="1" t="s">
        <v>74</v>
      </c>
      <c r="AD989" s="1" t="s">
        <v>74</v>
      </c>
      <c r="AE989" s="1" t="s">
        <v>74</v>
      </c>
      <c r="AF989" s="1" t="s">
        <v>74</v>
      </c>
      <c r="AG989" s="1" t="s">
        <v>74</v>
      </c>
      <c r="AH989" s="1" t="s">
        <v>74</v>
      </c>
      <c r="AI989" s="1" t="s">
        <v>74</v>
      </c>
      <c r="AJ989" s="1" t="s">
        <v>74</v>
      </c>
      <c r="AK989" s="1" t="s">
        <v>74</v>
      </c>
      <c r="AL989" s="1" t="s">
        <v>74</v>
      </c>
      <c r="AM989" s="1" t="s">
        <v>74</v>
      </c>
      <c r="AN989" s="1" t="s">
        <v>74</v>
      </c>
      <c r="AO989" s="1" t="s">
        <v>191</v>
      </c>
      <c r="AP989" s="1" t="s">
        <v>74</v>
      </c>
      <c r="AQ989" s="1" t="s">
        <v>74</v>
      </c>
      <c r="AR989" s="1" t="s">
        <v>74</v>
      </c>
      <c r="AS989" s="1" t="s">
        <v>74</v>
      </c>
      <c r="AT989" s="1" t="s">
        <v>299</v>
      </c>
      <c r="AU989" s="1">
        <v>1988.0</v>
      </c>
      <c r="AV989" s="1">
        <v>97.0</v>
      </c>
      <c r="AW989" s="1">
        <v>1.0</v>
      </c>
      <c r="AX989" s="1" t="s">
        <v>74</v>
      </c>
      <c r="AY989" s="1" t="s">
        <v>74</v>
      </c>
      <c r="AZ989" s="1" t="s">
        <v>74</v>
      </c>
      <c r="BA989" s="1" t="s">
        <v>74</v>
      </c>
      <c r="BB989" s="1">
        <v>9.0</v>
      </c>
      <c r="BC989" s="1">
        <v>15.0</v>
      </c>
      <c r="BD989" s="1" t="s">
        <v>74</v>
      </c>
      <c r="BE989" s="1" t="s">
        <v>74</v>
      </c>
      <c r="BF989" s="1" t="s">
        <v>74</v>
      </c>
      <c r="BG989" s="1" t="s">
        <v>74</v>
      </c>
      <c r="BH989" s="1" t="s">
        <v>74</v>
      </c>
      <c r="BI989" s="1" t="s">
        <v>74</v>
      </c>
      <c r="BJ989" s="1" t="s">
        <v>74</v>
      </c>
      <c r="BK989" s="1" t="s">
        <v>74</v>
      </c>
      <c r="BL989" s="1" t="s">
        <v>74</v>
      </c>
      <c r="BM989" s="1" t="s">
        <v>74</v>
      </c>
      <c r="BN989" s="1" t="s">
        <v>74</v>
      </c>
      <c r="BO989" s="1" t="s">
        <v>74</v>
      </c>
      <c r="BP989" s="1" t="s">
        <v>74</v>
      </c>
      <c r="BQ989" s="1" t="s">
        <v>74</v>
      </c>
      <c r="BR989" s="1" t="s">
        <v>74</v>
      </c>
      <c r="BS989" s="1" t="s">
        <v>8112</v>
      </c>
      <c r="BT989" s="1" t="str">
        <f>HYPERLINK("https%3A%2F%2Fwww.webofscience.com%2Fwos%2Fwoscc%2Ffull-record%2FWOS:A1988L426400002","View Full Record in Web of Science")</f>
        <v>View Full Record in Web of Science</v>
      </c>
    </row>
    <row r="990" ht="12.75" customHeight="1">
      <c r="A990" s="1" t="s">
        <v>72</v>
      </c>
      <c r="B990" s="1" t="s">
        <v>8087</v>
      </c>
      <c r="C990" s="1" t="s">
        <v>74</v>
      </c>
      <c r="D990" s="1" t="s">
        <v>74</v>
      </c>
      <c r="E990" s="1" t="s">
        <v>74</v>
      </c>
      <c r="F990" s="1" t="s">
        <v>8087</v>
      </c>
      <c r="G990" s="1" t="s">
        <v>74</v>
      </c>
      <c r="H990" s="1" t="s">
        <v>74</v>
      </c>
      <c r="I990" s="1" t="s">
        <v>8113</v>
      </c>
      <c r="J990" s="1" t="s">
        <v>2657</v>
      </c>
      <c r="K990" s="1" t="s">
        <v>74</v>
      </c>
      <c r="L990" s="1" t="s">
        <v>74</v>
      </c>
      <c r="M990" s="1" t="s">
        <v>74</v>
      </c>
      <c r="N990" s="1" t="s">
        <v>74</v>
      </c>
      <c r="O990" s="1" t="s">
        <v>74</v>
      </c>
      <c r="P990" s="1" t="s">
        <v>74</v>
      </c>
      <c r="Q990" s="1" t="s">
        <v>74</v>
      </c>
      <c r="R990" s="1" t="s">
        <v>74</v>
      </c>
      <c r="S990" s="1" t="s">
        <v>74</v>
      </c>
      <c r="T990" s="1" t="s">
        <v>74</v>
      </c>
      <c r="U990" s="1" t="s">
        <v>74</v>
      </c>
      <c r="V990" s="1" t="s">
        <v>8114</v>
      </c>
      <c r="W990" s="1" t="s">
        <v>74</v>
      </c>
      <c r="X990" s="1" t="s">
        <v>74</v>
      </c>
      <c r="Y990" s="1" t="s">
        <v>74</v>
      </c>
      <c r="Z990" s="1" t="s">
        <v>74</v>
      </c>
      <c r="AA990" s="1" t="s">
        <v>74</v>
      </c>
      <c r="AB990" s="1" t="s">
        <v>74</v>
      </c>
      <c r="AC990" s="1" t="s">
        <v>74</v>
      </c>
      <c r="AD990" s="1" t="s">
        <v>74</v>
      </c>
      <c r="AE990" s="1" t="s">
        <v>74</v>
      </c>
      <c r="AF990" s="1" t="s">
        <v>74</v>
      </c>
      <c r="AG990" s="1" t="s">
        <v>74</v>
      </c>
      <c r="AH990" s="1" t="s">
        <v>74</v>
      </c>
      <c r="AI990" s="1" t="s">
        <v>74</v>
      </c>
      <c r="AJ990" s="1" t="s">
        <v>74</v>
      </c>
      <c r="AK990" s="1" t="s">
        <v>74</v>
      </c>
      <c r="AL990" s="1" t="s">
        <v>74</v>
      </c>
      <c r="AM990" s="1" t="s">
        <v>74</v>
      </c>
      <c r="AN990" s="1" t="s">
        <v>74</v>
      </c>
      <c r="AO990" s="1" t="s">
        <v>2659</v>
      </c>
      <c r="AP990" s="1" t="s">
        <v>74</v>
      </c>
      <c r="AQ990" s="1" t="s">
        <v>74</v>
      </c>
      <c r="AR990" s="1" t="s">
        <v>74</v>
      </c>
      <c r="AS990" s="1" t="s">
        <v>74</v>
      </c>
      <c r="AT990" s="1" t="s">
        <v>8115</v>
      </c>
      <c r="AU990" s="1">
        <v>1987.0</v>
      </c>
      <c r="AV990" s="1">
        <v>916.0</v>
      </c>
      <c r="AW990" s="1">
        <v>2.0</v>
      </c>
      <c r="AX990" s="1" t="s">
        <v>74</v>
      </c>
      <c r="AY990" s="1" t="s">
        <v>74</v>
      </c>
      <c r="AZ990" s="1" t="s">
        <v>74</v>
      </c>
      <c r="BA990" s="1" t="s">
        <v>74</v>
      </c>
      <c r="BB990" s="1">
        <v>172.0</v>
      </c>
      <c r="BC990" s="1">
        <v>178.0</v>
      </c>
      <c r="BD990" s="1" t="s">
        <v>74</v>
      </c>
      <c r="BE990" s="1" t="s">
        <v>8116</v>
      </c>
      <c r="BF990" s="2" t="str">
        <f>HYPERLINK("http://dx.doi.org/10.1016/0167-4838(87)90105-1","http://dx.doi.org/10.1016/0167-4838(87)90105-1")</f>
        <v>http://dx.doi.org/10.1016/0167-4838(87)90105-1</v>
      </c>
      <c r="BG990" s="1" t="s">
        <v>74</v>
      </c>
      <c r="BH990" s="1" t="s">
        <v>74</v>
      </c>
      <c r="BI990" s="1" t="s">
        <v>74</v>
      </c>
      <c r="BJ990" s="1" t="s">
        <v>74</v>
      </c>
      <c r="BK990" s="1" t="s">
        <v>74</v>
      </c>
      <c r="BL990" s="1" t="s">
        <v>74</v>
      </c>
      <c r="BM990" s="1" t="s">
        <v>74</v>
      </c>
      <c r="BN990" s="1">
        <v>3676328.0</v>
      </c>
      <c r="BO990" s="1" t="s">
        <v>74</v>
      </c>
      <c r="BP990" s="1" t="s">
        <v>74</v>
      </c>
      <c r="BQ990" s="1" t="s">
        <v>74</v>
      </c>
      <c r="BR990" s="1" t="s">
        <v>74</v>
      </c>
      <c r="BS990" s="1" t="s">
        <v>8117</v>
      </c>
      <c r="BT990" s="1" t="str">
        <f>HYPERLINK("https%3A%2F%2Fwww.webofscience.com%2Fwos%2Fwoscc%2Ffull-record%2FWOS:A1987L220600003","View Full Record in Web of Science")</f>
        <v>View Full Record in Web of Science</v>
      </c>
    </row>
    <row r="991" ht="12.75" customHeight="1">
      <c r="A991" s="1" t="s">
        <v>72</v>
      </c>
      <c r="B991" s="1" t="s">
        <v>8118</v>
      </c>
      <c r="C991" s="1" t="s">
        <v>74</v>
      </c>
      <c r="D991" s="1" t="s">
        <v>74</v>
      </c>
      <c r="E991" s="1" t="s">
        <v>74</v>
      </c>
      <c r="F991" s="1" t="s">
        <v>8118</v>
      </c>
      <c r="G991" s="1" t="s">
        <v>74</v>
      </c>
      <c r="H991" s="1" t="s">
        <v>74</v>
      </c>
      <c r="I991" s="1" t="s">
        <v>8119</v>
      </c>
      <c r="J991" s="1" t="s">
        <v>107</v>
      </c>
      <c r="K991" s="1" t="s">
        <v>74</v>
      </c>
      <c r="L991" s="1" t="s">
        <v>74</v>
      </c>
      <c r="M991" s="1" t="s">
        <v>74</v>
      </c>
      <c r="N991" s="1" t="s">
        <v>74</v>
      </c>
      <c r="O991" s="1" t="s">
        <v>74</v>
      </c>
      <c r="P991" s="1" t="s">
        <v>74</v>
      </c>
      <c r="Q991" s="1" t="s">
        <v>74</v>
      </c>
      <c r="R991" s="1" t="s">
        <v>74</v>
      </c>
      <c r="S991" s="1" t="s">
        <v>74</v>
      </c>
      <c r="T991" s="1" t="s">
        <v>74</v>
      </c>
      <c r="U991" s="1" t="s">
        <v>74</v>
      </c>
      <c r="V991" s="1" t="s">
        <v>74</v>
      </c>
      <c r="W991" s="1" t="s">
        <v>74</v>
      </c>
      <c r="X991" s="1" t="s">
        <v>74</v>
      </c>
      <c r="Y991" s="1" t="s">
        <v>74</v>
      </c>
      <c r="Z991" s="1" t="s">
        <v>74</v>
      </c>
      <c r="AA991" s="1" t="s">
        <v>8120</v>
      </c>
      <c r="AB991" s="1" t="s">
        <v>74</v>
      </c>
      <c r="AC991" s="1" t="s">
        <v>74</v>
      </c>
      <c r="AD991" s="1" t="s">
        <v>74</v>
      </c>
      <c r="AE991" s="1" t="s">
        <v>74</v>
      </c>
      <c r="AF991" s="1" t="s">
        <v>74</v>
      </c>
      <c r="AG991" s="1" t="s">
        <v>74</v>
      </c>
      <c r="AH991" s="1" t="s">
        <v>74</v>
      </c>
      <c r="AI991" s="1" t="s">
        <v>74</v>
      </c>
      <c r="AJ991" s="1" t="s">
        <v>74</v>
      </c>
      <c r="AK991" s="1" t="s">
        <v>74</v>
      </c>
      <c r="AL991" s="1" t="s">
        <v>74</v>
      </c>
      <c r="AM991" s="1" t="s">
        <v>74</v>
      </c>
      <c r="AN991" s="1" t="s">
        <v>74</v>
      </c>
      <c r="AO991" s="1" t="s">
        <v>110</v>
      </c>
      <c r="AP991" s="1" t="s">
        <v>74</v>
      </c>
      <c r="AQ991" s="1" t="s">
        <v>74</v>
      </c>
      <c r="AR991" s="1" t="s">
        <v>74</v>
      </c>
      <c r="AS991" s="1" t="s">
        <v>74</v>
      </c>
      <c r="AT991" s="1" t="s">
        <v>1176</v>
      </c>
      <c r="AU991" s="1">
        <v>1986.0</v>
      </c>
      <c r="AV991" s="1">
        <v>26.0</v>
      </c>
      <c r="AW991" s="1">
        <v>3.0</v>
      </c>
      <c r="AX991" s="1" t="s">
        <v>74</v>
      </c>
      <c r="AY991" s="1" t="s">
        <v>74</v>
      </c>
      <c r="AZ991" s="1" t="s">
        <v>74</v>
      </c>
      <c r="BA991" s="1" t="s">
        <v>74</v>
      </c>
      <c r="BB991" s="1">
        <v>105.0</v>
      </c>
      <c r="BC991" s="1">
        <v>108.0</v>
      </c>
      <c r="BD991" s="1" t="s">
        <v>74</v>
      </c>
      <c r="BE991" s="1" t="s">
        <v>8121</v>
      </c>
      <c r="BF991" s="2" t="str">
        <f>HYPERLINK("http://dx.doi.org/10.1021/ci00051a004","http://dx.doi.org/10.1021/ci00051a004")</f>
        <v>http://dx.doi.org/10.1021/ci00051a004</v>
      </c>
      <c r="BG991" s="1" t="s">
        <v>74</v>
      </c>
      <c r="BH991" s="1" t="s">
        <v>74</v>
      </c>
      <c r="BI991" s="1" t="s">
        <v>74</v>
      </c>
      <c r="BJ991" s="1" t="s">
        <v>74</v>
      </c>
      <c r="BK991" s="1" t="s">
        <v>74</v>
      </c>
      <c r="BL991" s="1" t="s">
        <v>74</v>
      </c>
      <c r="BM991" s="1" t="s">
        <v>74</v>
      </c>
      <c r="BN991" s="1" t="s">
        <v>74</v>
      </c>
      <c r="BO991" s="1" t="s">
        <v>74</v>
      </c>
      <c r="BP991" s="1" t="s">
        <v>74</v>
      </c>
      <c r="BQ991" s="1" t="s">
        <v>74</v>
      </c>
      <c r="BR991" s="1" t="s">
        <v>74</v>
      </c>
      <c r="BS991" s="1" t="s">
        <v>8122</v>
      </c>
      <c r="BT991" s="1" t="str">
        <f>HYPERLINK("https%3A%2F%2Fwww.webofscience.com%2Fwos%2Fwoscc%2Ffull-record%2FWOS:A1986D988000005","View Full Record in Web of Science")</f>
        <v>View Full Record in Web of Science</v>
      </c>
    </row>
    <row r="992" ht="12.75" customHeight="1">
      <c r="A992" s="1" t="s">
        <v>72</v>
      </c>
      <c r="B992" s="1" t="s">
        <v>8123</v>
      </c>
      <c r="C992" s="1" t="s">
        <v>74</v>
      </c>
      <c r="D992" s="1" t="s">
        <v>74</v>
      </c>
      <c r="E992" s="1" t="s">
        <v>74</v>
      </c>
      <c r="F992" s="1" t="s">
        <v>8123</v>
      </c>
      <c r="G992" s="1" t="s">
        <v>74</v>
      </c>
      <c r="H992" s="1" t="s">
        <v>74</v>
      </c>
      <c r="I992" s="1" t="s">
        <v>8124</v>
      </c>
      <c r="J992" s="1" t="s">
        <v>1226</v>
      </c>
      <c r="K992" s="1" t="s">
        <v>74</v>
      </c>
      <c r="L992" s="1" t="s">
        <v>74</v>
      </c>
      <c r="M992" s="1" t="s">
        <v>74</v>
      </c>
      <c r="N992" s="1" t="s">
        <v>74</v>
      </c>
      <c r="O992" s="1" t="s">
        <v>74</v>
      </c>
      <c r="P992" s="1" t="s">
        <v>74</v>
      </c>
      <c r="Q992" s="1" t="s">
        <v>74</v>
      </c>
      <c r="R992" s="1" t="s">
        <v>74</v>
      </c>
      <c r="S992" s="1" t="s">
        <v>74</v>
      </c>
      <c r="T992" s="1" t="s">
        <v>74</v>
      </c>
      <c r="U992" s="1" t="s">
        <v>74</v>
      </c>
      <c r="V992" s="1" t="s">
        <v>74</v>
      </c>
      <c r="W992" s="1" t="s">
        <v>74</v>
      </c>
      <c r="X992" s="1" t="s">
        <v>74</v>
      </c>
      <c r="Y992" s="1" t="s">
        <v>74</v>
      </c>
      <c r="Z992" s="1" t="s">
        <v>74</v>
      </c>
      <c r="AA992" s="1" t="s">
        <v>1227</v>
      </c>
      <c r="AB992" s="1" t="s">
        <v>74</v>
      </c>
      <c r="AC992" s="1" t="s">
        <v>74</v>
      </c>
      <c r="AD992" s="1" t="s">
        <v>74</v>
      </c>
      <c r="AE992" s="1" t="s">
        <v>74</v>
      </c>
      <c r="AF992" s="1" t="s">
        <v>74</v>
      </c>
      <c r="AG992" s="1" t="s">
        <v>74</v>
      </c>
      <c r="AH992" s="1" t="s">
        <v>74</v>
      </c>
      <c r="AI992" s="1" t="s">
        <v>74</v>
      </c>
      <c r="AJ992" s="1" t="s">
        <v>74</v>
      </c>
      <c r="AK992" s="1" t="s">
        <v>74</v>
      </c>
      <c r="AL992" s="1" t="s">
        <v>74</v>
      </c>
      <c r="AM992" s="1" t="s">
        <v>74</v>
      </c>
      <c r="AN992" s="1" t="s">
        <v>74</v>
      </c>
      <c r="AO992" s="1" t="s">
        <v>1228</v>
      </c>
      <c r="AP992" s="1" t="s">
        <v>74</v>
      </c>
      <c r="AQ992" s="1" t="s">
        <v>74</v>
      </c>
      <c r="AR992" s="1" t="s">
        <v>74</v>
      </c>
      <c r="AS992" s="1" t="s">
        <v>74</v>
      </c>
      <c r="AT992" s="1" t="s">
        <v>1176</v>
      </c>
      <c r="AU992" s="1">
        <v>1986.0</v>
      </c>
      <c r="AV992" s="1">
        <v>133.0</v>
      </c>
      <c r="AW992" s="1">
        <v>8.0</v>
      </c>
      <c r="AX992" s="1" t="s">
        <v>74</v>
      </c>
      <c r="AY992" s="1" t="s">
        <v>74</v>
      </c>
      <c r="AZ992" s="1" t="s">
        <v>74</v>
      </c>
      <c r="BA992" s="1" t="s">
        <v>74</v>
      </c>
      <c r="BB992" s="1" t="s">
        <v>8125</v>
      </c>
      <c r="BC992" s="1" t="s">
        <v>8125</v>
      </c>
      <c r="BD992" s="1" t="s">
        <v>74</v>
      </c>
      <c r="BE992" s="1" t="s">
        <v>74</v>
      </c>
      <c r="BF992" s="1" t="s">
        <v>74</v>
      </c>
      <c r="BG992" s="1" t="s">
        <v>74</v>
      </c>
      <c r="BH992" s="1" t="s">
        <v>74</v>
      </c>
      <c r="BI992" s="1" t="s">
        <v>74</v>
      </c>
      <c r="BJ992" s="1" t="s">
        <v>74</v>
      </c>
      <c r="BK992" s="1" t="s">
        <v>74</v>
      </c>
      <c r="BL992" s="1" t="s">
        <v>74</v>
      </c>
      <c r="BM992" s="1" t="s">
        <v>74</v>
      </c>
      <c r="BN992" s="1" t="s">
        <v>74</v>
      </c>
      <c r="BO992" s="1" t="s">
        <v>74</v>
      </c>
      <c r="BP992" s="1" t="s">
        <v>74</v>
      </c>
      <c r="BQ992" s="1" t="s">
        <v>74</v>
      </c>
      <c r="BR992" s="1" t="s">
        <v>74</v>
      </c>
      <c r="BS992" s="1" t="s">
        <v>8126</v>
      </c>
      <c r="BT992" s="1" t="str">
        <f>HYPERLINK("https%3A%2F%2Fwww.webofscience.com%2Fwos%2Fwoscc%2Ffull-record%2FWOS:A1986D603100778","View Full Record in Web of Science")</f>
        <v>View Full Record in Web of Science</v>
      </c>
    </row>
    <row r="993" ht="12.75" customHeight="1">
      <c r="A993" s="1" t="s">
        <v>72</v>
      </c>
      <c r="B993" s="1" t="s">
        <v>8127</v>
      </c>
      <c r="C993" s="1" t="s">
        <v>74</v>
      </c>
      <c r="D993" s="1" t="s">
        <v>74</v>
      </c>
      <c r="E993" s="1" t="s">
        <v>74</v>
      </c>
      <c r="F993" s="1" t="s">
        <v>8128</v>
      </c>
      <c r="G993" s="1" t="s">
        <v>74</v>
      </c>
      <c r="H993" s="1" t="s">
        <v>74</v>
      </c>
      <c r="I993" s="1" t="s">
        <v>8129</v>
      </c>
      <c r="J993" s="1" t="s">
        <v>8130</v>
      </c>
      <c r="K993" s="1" t="s">
        <v>74</v>
      </c>
      <c r="L993" s="1" t="s">
        <v>74</v>
      </c>
      <c r="M993" s="1" t="s">
        <v>74</v>
      </c>
      <c r="N993" s="1" t="s">
        <v>74</v>
      </c>
      <c r="O993" s="1" t="s">
        <v>74</v>
      </c>
      <c r="P993" s="1" t="s">
        <v>74</v>
      </c>
      <c r="Q993" s="1" t="s">
        <v>74</v>
      </c>
      <c r="R993" s="1" t="s">
        <v>74</v>
      </c>
      <c r="S993" s="1" t="s">
        <v>74</v>
      </c>
      <c r="T993" s="1" t="s">
        <v>74</v>
      </c>
      <c r="U993" s="1" t="s">
        <v>74</v>
      </c>
      <c r="V993" s="1" t="s">
        <v>8131</v>
      </c>
      <c r="W993" s="1" t="s">
        <v>74</v>
      </c>
      <c r="X993" s="1" t="s">
        <v>74</v>
      </c>
      <c r="Y993" s="1" t="s">
        <v>74</v>
      </c>
      <c r="Z993" s="1" t="s">
        <v>74</v>
      </c>
      <c r="AA993" s="1" t="s">
        <v>8132</v>
      </c>
      <c r="AB993" s="1" t="s">
        <v>6218</v>
      </c>
      <c r="AC993" s="1" t="s">
        <v>74</v>
      </c>
      <c r="AD993" s="1" t="s">
        <v>74</v>
      </c>
      <c r="AE993" s="1" t="s">
        <v>74</v>
      </c>
      <c r="AF993" s="1" t="s">
        <v>74</v>
      </c>
      <c r="AG993" s="1" t="s">
        <v>74</v>
      </c>
      <c r="AH993" s="1" t="s">
        <v>74</v>
      </c>
      <c r="AI993" s="1" t="s">
        <v>74</v>
      </c>
      <c r="AJ993" s="1" t="s">
        <v>74</v>
      </c>
      <c r="AK993" s="1" t="s">
        <v>74</v>
      </c>
      <c r="AL993" s="1" t="s">
        <v>74</v>
      </c>
      <c r="AM993" s="1" t="s">
        <v>74</v>
      </c>
      <c r="AN993" s="1" t="s">
        <v>74</v>
      </c>
      <c r="AO993" s="1" t="s">
        <v>74</v>
      </c>
      <c r="AP993" s="1" t="s">
        <v>8133</v>
      </c>
      <c r="AQ993" s="1" t="s">
        <v>74</v>
      </c>
      <c r="AR993" s="1" t="s">
        <v>74</v>
      </c>
      <c r="AS993" s="1" t="s">
        <v>74</v>
      </c>
      <c r="AT993" s="1" t="s">
        <v>276</v>
      </c>
      <c r="AU993" s="1">
        <v>2024.0</v>
      </c>
      <c r="AV993" s="1">
        <v>10.0</v>
      </c>
      <c r="AW993" s="1">
        <v>9.0</v>
      </c>
      <c r="AX993" s="1" t="s">
        <v>74</v>
      </c>
      <c r="AY993" s="1" t="s">
        <v>74</v>
      </c>
      <c r="AZ993" s="1" t="s">
        <v>74</v>
      </c>
      <c r="BA993" s="1" t="s">
        <v>74</v>
      </c>
      <c r="BB993" s="1" t="s">
        <v>74</v>
      </c>
      <c r="BC993" s="1" t="s">
        <v>74</v>
      </c>
      <c r="BD993" s="1">
        <v>1005.0</v>
      </c>
      <c r="BE993" s="1" t="s">
        <v>8134</v>
      </c>
      <c r="BF993" s="2" t="str">
        <f>HYPERLINK("http://dx.doi.org/10.3390/horticulturae10091005","http://dx.doi.org/10.3390/horticulturae10091005")</f>
        <v>http://dx.doi.org/10.3390/horticulturae10091005</v>
      </c>
      <c r="BG993" s="1" t="s">
        <v>74</v>
      </c>
      <c r="BH993" s="1" t="s">
        <v>74</v>
      </c>
      <c r="BI993" s="1" t="s">
        <v>74</v>
      </c>
      <c r="BJ993" s="1" t="s">
        <v>74</v>
      </c>
      <c r="BK993" s="1" t="s">
        <v>74</v>
      </c>
      <c r="BL993" s="1" t="s">
        <v>74</v>
      </c>
      <c r="BM993" s="1" t="s">
        <v>74</v>
      </c>
      <c r="BN993" s="1" t="s">
        <v>74</v>
      </c>
      <c r="BO993" s="1" t="s">
        <v>74</v>
      </c>
      <c r="BP993" s="1" t="s">
        <v>74</v>
      </c>
      <c r="BQ993" s="1" t="s">
        <v>74</v>
      </c>
      <c r="BR993" s="1" t="s">
        <v>74</v>
      </c>
      <c r="BS993" s="1" t="s">
        <v>8135</v>
      </c>
      <c r="BT993" s="1" t="str">
        <f>HYPERLINK("https%3A%2F%2Fwww.webofscience.com%2Fwos%2Fwoscc%2Ffull-record%2FWOS:001326505800001","View Full Record in Web of Science")</f>
        <v>View Full Record in Web of Science</v>
      </c>
    </row>
    <row r="994" ht="12.75" customHeight="1">
      <c r="A994" s="1" t="s">
        <v>72</v>
      </c>
      <c r="B994" s="1" t="s">
        <v>8136</v>
      </c>
      <c r="C994" s="1" t="s">
        <v>74</v>
      </c>
      <c r="D994" s="1" t="s">
        <v>74</v>
      </c>
      <c r="E994" s="1" t="s">
        <v>74</v>
      </c>
      <c r="F994" s="1" t="s">
        <v>8137</v>
      </c>
      <c r="G994" s="1" t="s">
        <v>74</v>
      </c>
      <c r="H994" s="1" t="s">
        <v>74</v>
      </c>
      <c r="I994" s="1" t="s">
        <v>8138</v>
      </c>
      <c r="J994" s="1" t="s">
        <v>8139</v>
      </c>
      <c r="K994" s="1" t="s">
        <v>74</v>
      </c>
      <c r="L994" s="1" t="s">
        <v>74</v>
      </c>
      <c r="M994" s="1" t="s">
        <v>74</v>
      </c>
      <c r="N994" s="1" t="s">
        <v>74</v>
      </c>
      <c r="O994" s="1" t="s">
        <v>74</v>
      </c>
      <c r="P994" s="1" t="s">
        <v>74</v>
      </c>
      <c r="Q994" s="1" t="s">
        <v>74</v>
      </c>
      <c r="R994" s="1" t="s">
        <v>74</v>
      </c>
      <c r="S994" s="1" t="s">
        <v>74</v>
      </c>
      <c r="T994" s="1" t="s">
        <v>74</v>
      </c>
      <c r="U994" s="1" t="s">
        <v>74</v>
      </c>
      <c r="V994" s="1" t="s">
        <v>8140</v>
      </c>
      <c r="W994" s="1" t="s">
        <v>74</v>
      </c>
      <c r="X994" s="1" t="s">
        <v>74</v>
      </c>
      <c r="Y994" s="1" t="s">
        <v>74</v>
      </c>
      <c r="Z994" s="1" t="s">
        <v>74</v>
      </c>
      <c r="AA994" s="1" t="s">
        <v>74</v>
      </c>
      <c r="AB994" s="1" t="s">
        <v>74</v>
      </c>
      <c r="AC994" s="1" t="s">
        <v>74</v>
      </c>
      <c r="AD994" s="1" t="s">
        <v>74</v>
      </c>
      <c r="AE994" s="1" t="s">
        <v>74</v>
      </c>
      <c r="AF994" s="1" t="s">
        <v>74</v>
      </c>
      <c r="AG994" s="1" t="s">
        <v>74</v>
      </c>
      <c r="AH994" s="1" t="s">
        <v>74</v>
      </c>
      <c r="AI994" s="1" t="s">
        <v>74</v>
      </c>
      <c r="AJ994" s="1" t="s">
        <v>74</v>
      </c>
      <c r="AK994" s="1" t="s">
        <v>74</v>
      </c>
      <c r="AL994" s="1" t="s">
        <v>74</v>
      </c>
      <c r="AM994" s="1" t="s">
        <v>74</v>
      </c>
      <c r="AN994" s="1" t="s">
        <v>74</v>
      </c>
      <c r="AO994" s="1" t="s">
        <v>8141</v>
      </c>
      <c r="AP994" s="1" t="s">
        <v>74</v>
      </c>
      <c r="AQ994" s="1" t="s">
        <v>74</v>
      </c>
      <c r="AR994" s="1" t="s">
        <v>74</v>
      </c>
      <c r="AS994" s="1" t="s">
        <v>74</v>
      </c>
      <c r="AT994" s="1" t="s">
        <v>74</v>
      </c>
      <c r="AU994" s="1">
        <v>2024.0</v>
      </c>
      <c r="AV994" s="1" t="s">
        <v>74</v>
      </c>
      <c r="AW994" s="1">
        <v>60.0</v>
      </c>
      <c r="AX994" s="1" t="s">
        <v>74</v>
      </c>
      <c r="AY994" s="1" t="s">
        <v>74</v>
      </c>
      <c r="AZ994" s="1" t="s">
        <v>74</v>
      </c>
      <c r="BA994" s="1" t="s">
        <v>74</v>
      </c>
      <c r="BB994" s="1">
        <v>41.0</v>
      </c>
      <c r="BC994" s="1">
        <v>52.0</v>
      </c>
      <c r="BD994" s="1" t="s">
        <v>74</v>
      </c>
      <c r="BE994" s="1" t="s">
        <v>74</v>
      </c>
      <c r="BF994" s="1" t="s">
        <v>74</v>
      </c>
      <c r="BG994" s="1" t="s">
        <v>74</v>
      </c>
      <c r="BH994" s="1" t="s">
        <v>74</v>
      </c>
      <c r="BI994" s="1" t="s">
        <v>74</v>
      </c>
      <c r="BJ994" s="1" t="s">
        <v>74</v>
      </c>
      <c r="BK994" s="1" t="s">
        <v>74</v>
      </c>
      <c r="BL994" s="1" t="s">
        <v>74</v>
      </c>
      <c r="BM994" s="1" t="s">
        <v>74</v>
      </c>
      <c r="BN994" s="1" t="s">
        <v>74</v>
      </c>
      <c r="BO994" s="1" t="s">
        <v>74</v>
      </c>
      <c r="BP994" s="1" t="s">
        <v>74</v>
      </c>
      <c r="BQ994" s="1" t="s">
        <v>74</v>
      </c>
      <c r="BR994" s="1" t="s">
        <v>74</v>
      </c>
      <c r="BS994" s="1" t="s">
        <v>8142</v>
      </c>
      <c r="BT994" s="1" t="str">
        <f>HYPERLINK("https%3A%2F%2Fwww.webofscience.com%2Fwos%2Fwoscc%2Ffull-record%2FWOS:001271370700002","View Full Record in Web of Science")</f>
        <v>View Full Record in Web of Science</v>
      </c>
    </row>
    <row r="995" ht="12.75" customHeight="1">
      <c r="A995" s="1" t="s">
        <v>72</v>
      </c>
      <c r="B995" s="1" t="s">
        <v>8143</v>
      </c>
      <c r="C995" s="1" t="s">
        <v>74</v>
      </c>
      <c r="D995" s="1" t="s">
        <v>74</v>
      </c>
      <c r="E995" s="1" t="s">
        <v>74</v>
      </c>
      <c r="F995" s="1" t="s">
        <v>8144</v>
      </c>
      <c r="G995" s="1" t="s">
        <v>74</v>
      </c>
      <c r="H995" s="1" t="s">
        <v>74</v>
      </c>
      <c r="I995" s="1" t="s">
        <v>8145</v>
      </c>
      <c r="J995" s="1" t="s">
        <v>1299</v>
      </c>
      <c r="K995" s="1" t="s">
        <v>74</v>
      </c>
      <c r="L995" s="1" t="s">
        <v>74</v>
      </c>
      <c r="M995" s="1" t="s">
        <v>74</v>
      </c>
      <c r="N995" s="1" t="s">
        <v>74</v>
      </c>
      <c r="O995" s="1" t="s">
        <v>74</v>
      </c>
      <c r="P995" s="1" t="s">
        <v>74</v>
      </c>
      <c r="Q995" s="1" t="s">
        <v>74</v>
      </c>
      <c r="R995" s="1" t="s">
        <v>74</v>
      </c>
      <c r="S995" s="1" t="s">
        <v>74</v>
      </c>
      <c r="T995" s="1" t="s">
        <v>74</v>
      </c>
      <c r="U995" s="1" t="s">
        <v>74</v>
      </c>
      <c r="V995" s="1" t="s">
        <v>8146</v>
      </c>
      <c r="W995" s="1" t="s">
        <v>74</v>
      </c>
      <c r="X995" s="1" t="s">
        <v>74</v>
      </c>
      <c r="Y995" s="1" t="s">
        <v>74</v>
      </c>
      <c r="Z995" s="1" t="s">
        <v>74</v>
      </c>
      <c r="AA995" s="1" t="s">
        <v>74</v>
      </c>
      <c r="AB995" s="1" t="s">
        <v>74</v>
      </c>
      <c r="AC995" s="1" t="s">
        <v>74</v>
      </c>
      <c r="AD995" s="1" t="s">
        <v>74</v>
      </c>
      <c r="AE995" s="1" t="s">
        <v>74</v>
      </c>
      <c r="AF995" s="1" t="s">
        <v>74</v>
      </c>
      <c r="AG995" s="1" t="s">
        <v>74</v>
      </c>
      <c r="AH995" s="1" t="s">
        <v>74</v>
      </c>
      <c r="AI995" s="1" t="s">
        <v>74</v>
      </c>
      <c r="AJ995" s="1" t="s">
        <v>74</v>
      </c>
      <c r="AK995" s="1" t="s">
        <v>74</v>
      </c>
      <c r="AL995" s="1" t="s">
        <v>74</v>
      </c>
      <c r="AM995" s="1" t="s">
        <v>74</v>
      </c>
      <c r="AN995" s="1" t="s">
        <v>74</v>
      </c>
      <c r="AO995" s="1" t="s">
        <v>1300</v>
      </c>
      <c r="AP995" s="1" t="s">
        <v>74</v>
      </c>
      <c r="AQ995" s="1" t="s">
        <v>74</v>
      </c>
      <c r="AR995" s="1" t="s">
        <v>74</v>
      </c>
      <c r="AS995" s="1" t="s">
        <v>74</v>
      </c>
      <c r="AT995" s="1" t="s">
        <v>74</v>
      </c>
      <c r="AU995" s="1">
        <v>2024.0</v>
      </c>
      <c r="AV995" s="1" t="s">
        <v>74</v>
      </c>
      <c r="AW995" s="1">
        <v>24.0</v>
      </c>
      <c r="AX995" s="1" t="s">
        <v>74</v>
      </c>
      <c r="AY995" s="1" t="s">
        <v>74</v>
      </c>
      <c r="AZ995" s="1" t="s">
        <v>74</v>
      </c>
      <c r="BA995" s="1" t="s">
        <v>74</v>
      </c>
      <c r="BB995" s="1" t="s">
        <v>74</v>
      </c>
      <c r="BC995" s="1" t="s">
        <v>74</v>
      </c>
      <c r="BD995" s="1" t="s">
        <v>74</v>
      </c>
      <c r="BE995" s="1" t="s">
        <v>8147</v>
      </c>
      <c r="BF995" s="2" t="str">
        <f>HYPERLINK("http://dx.doi.org/10.7203/KAM.24.29846","http://dx.doi.org/10.7203/KAM.24.29846")</f>
        <v>http://dx.doi.org/10.7203/KAM.24.29846</v>
      </c>
      <c r="BG995" s="1" t="s">
        <v>74</v>
      </c>
      <c r="BH995" s="1" t="s">
        <v>74</v>
      </c>
      <c r="BI995" s="1" t="s">
        <v>74</v>
      </c>
      <c r="BJ995" s="1" t="s">
        <v>74</v>
      </c>
      <c r="BK995" s="1" t="s">
        <v>74</v>
      </c>
      <c r="BL995" s="1" t="s">
        <v>74</v>
      </c>
      <c r="BM995" s="1" t="s">
        <v>74</v>
      </c>
      <c r="BN995" s="1" t="s">
        <v>74</v>
      </c>
      <c r="BO995" s="1" t="s">
        <v>74</v>
      </c>
      <c r="BP995" s="1" t="s">
        <v>74</v>
      </c>
      <c r="BQ995" s="1" t="s">
        <v>74</v>
      </c>
      <c r="BR995" s="1" t="s">
        <v>74</v>
      </c>
      <c r="BS995" s="1" t="s">
        <v>8148</v>
      </c>
      <c r="BT995" s="1" t="str">
        <f>HYPERLINK("https%3A%2F%2Fwww.webofscience.com%2Fwos%2Fwoscc%2Ffull-record%2FWOS:001411162000005","View Full Record in Web of Science")</f>
        <v>View Full Record in Web of Science</v>
      </c>
    </row>
    <row r="996" ht="12.75" customHeight="1">
      <c r="A996" s="1" t="s">
        <v>72</v>
      </c>
      <c r="B996" s="1" t="s">
        <v>8149</v>
      </c>
      <c r="C996" s="1" t="s">
        <v>74</v>
      </c>
      <c r="D996" s="1" t="s">
        <v>74</v>
      </c>
      <c r="E996" s="1" t="s">
        <v>74</v>
      </c>
      <c r="F996" s="1" t="s">
        <v>8150</v>
      </c>
      <c r="G996" s="1" t="s">
        <v>74</v>
      </c>
      <c r="H996" s="1" t="s">
        <v>74</v>
      </c>
      <c r="I996" s="1" t="s">
        <v>8151</v>
      </c>
      <c r="J996" s="1" t="s">
        <v>8152</v>
      </c>
      <c r="K996" s="1" t="s">
        <v>74</v>
      </c>
      <c r="L996" s="1" t="s">
        <v>74</v>
      </c>
      <c r="M996" s="1" t="s">
        <v>74</v>
      </c>
      <c r="N996" s="1" t="s">
        <v>74</v>
      </c>
      <c r="O996" s="1" t="s">
        <v>74</v>
      </c>
      <c r="P996" s="1" t="s">
        <v>74</v>
      </c>
      <c r="Q996" s="1" t="s">
        <v>74</v>
      </c>
      <c r="R996" s="1" t="s">
        <v>74</v>
      </c>
      <c r="S996" s="1" t="s">
        <v>74</v>
      </c>
      <c r="T996" s="1" t="s">
        <v>74</v>
      </c>
      <c r="U996" s="1" t="s">
        <v>74</v>
      </c>
      <c r="V996" s="1" t="s">
        <v>8153</v>
      </c>
      <c r="W996" s="1" t="s">
        <v>74</v>
      </c>
      <c r="X996" s="1" t="s">
        <v>74</v>
      </c>
      <c r="Y996" s="1" t="s">
        <v>74</v>
      </c>
      <c r="Z996" s="1" t="s">
        <v>74</v>
      </c>
      <c r="AA996" s="1" t="s">
        <v>74</v>
      </c>
      <c r="AB996" s="1" t="s">
        <v>74</v>
      </c>
      <c r="AC996" s="1" t="s">
        <v>74</v>
      </c>
      <c r="AD996" s="1" t="s">
        <v>74</v>
      </c>
      <c r="AE996" s="1" t="s">
        <v>74</v>
      </c>
      <c r="AF996" s="1" t="s">
        <v>74</v>
      </c>
      <c r="AG996" s="1" t="s">
        <v>74</v>
      </c>
      <c r="AH996" s="1" t="s">
        <v>74</v>
      </c>
      <c r="AI996" s="1" t="s">
        <v>74</v>
      </c>
      <c r="AJ996" s="1" t="s">
        <v>74</v>
      </c>
      <c r="AK996" s="1" t="s">
        <v>74</v>
      </c>
      <c r="AL996" s="1" t="s">
        <v>74</v>
      </c>
      <c r="AM996" s="1" t="s">
        <v>74</v>
      </c>
      <c r="AN996" s="1" t="s">
        <v>74</v>
      </c>
      <c r="AO996" s="1" t="s">
        <v>8154</v>
      </c>
      <c r="AP996" s="1" t="s">
        <v>8155</v>
      </c>
      <c r="AQ996" s="1" t="s">
        <v>74</v>
      </c>
      <c r="AR996" s="1" t="s">
        <v>74</v>
      </c>
      <c r="AS996" s="1" t="s">
        <v>74</v>
      </c>
      <c r="AT996" s="1" t="s">
        <v>299</v>
      </c>
      <c r="AU996" s="1">
        <v>2024.0</v>
      </c>
      <c r="AV996" s="1">
        <v>31.0</v>
      </c>
      <c r="AW996" s="1">
        <v>1.0</v>
      </c>
      <c r="AX996" s="1" t="s">
        <v>74</v>
      </c>
      <c r="AY996" s="1" t="s">
        <v>74</v>
      </c>
      <c r="AZ996" s="1" t="s">
        <v>74</v>
      </c>
      <c r="BA996" s="1" t="s">
        <v>74</v>
      </c>
      <c r="BB996" s="1">
        <v>634.0</v>
      </c>
      <c r="BC996" s="1">
        <v>656.0</v>
      </c>
      <c r="BD996" s="1" t="s">
        <v>74</v>
      </c>
      <c r="BE996" s="1" t="s">
        <v>8156</v>
      </c>
      <c r="BF996" s="2" t="str">
        <f>HYPERLINK("http://dx.doi.org/10.1007/s11356-023-31172-6","http://dx.doi.org/10.1007/s11356-023-31172-6")</f>
        <v>http://dx.doi.org/10.1007/s11356-023-31172-6</v>
      </c>
      <c r="BG996" s="1" t="s">
        <v>74</v>
      </c>
      <c r="BH996" s="1" t="s">
        <v>8157</v>
      </c>
      <c r="BI996" s="1" t="s">
        <v>74</v>
      </c>
      <c r="BJ996" s="1" t="s">
        <v>74</v>
      </c>
      <c r="BK996" s="1" t="s">
        <v>74</v>
      </c>
      <c r="BL996" s="1" t="s">
        <v>74</v>
      </c>
      <c r="BM996" s="1" t="s">
        <v>74</v>
      </c>
      <c r="BN996" s="1">
        <v>3.8015401E7</v>
      </c>
      <c r="BO996" s="1" t="s">
        <v>74</v>
      </c>
      <c r="BP996" s="1" t="s">
        <v>74</v>
      </c>
      <c r="BQ996" s="1" t="s">
        <v>74</v>
      </c>
      <c r="BR996" s="1" t="s">
        <v>74</v>
      </c>
      <c r="BS996" s="1" t="s">
        <v>8158</v>
      </c>
      <c r="BT996" s="1" t="str">
        <f>HYPERLINK("https%3A%2F%2Fwww.webofscience.com%2Fwos%2Fwoscc%2Ffull-record%2FWOS:001122357200015","View Full Record in Web of Science")</f>
        <v>View Full Record in Web of Science</v>
      </c>
    </row>
    <row r="997" ht="12.75" customHeight="1">
      <c r="A997" s="1" t="s">
        <v>72</v>
      </c>
      <c r="B997" s="1" t="s">
        <v>8159</v>
      </c>
      <c r="C997" s="1" t="s">
        <v>74</v>
      </c>
      <c r="D997" s="1" t="s">
        <v>74</v>
      </c>
      <c r="E997" s="1" t="s">
        <v>74</v>
      </c>
      <c r="F997" s="1" t="s">
        <v>8160</v>
      </c>
      <c r="G997" s="1" t="s">
        <v>74</v>
      </c>
      <c r="H997" s="1" t="s">
        <v>74</v>
      </c>
      <c r="I997" s="1" t="s">
        <v>8161</v>
      </c>
      <c r="J997" s="1" t="s">
        <v>2197</v>
      </c>
      <c r="K997" s="1" t="s">
        <v>74</v>
      </c>
      <c r="L997" s="1" t="s">
        <v>74</v>
      </c>
      <c r="M997" s="1" t="s">
        <v>74</v>
      </c>
      <c r="N997" s="1" t="s">
        <v>74</v>
      </c>
      <c r="O997" s="1" t="s">
        <v>74</v>
      </c>
      <c r="P997" s="1" t="s">
        <v>74</v>
      </c>
      <c r="Q997" s="1" t="s">
        <v>74</v>
      </c>
      <c r="R997" s="1" t="s">
        <v>74</v>
      </c>
      <c r="S997" s="1" t="s">
        <v>74</v>
      </c>
      <c r="T997" s="1" t="s">
        <v>74</v>
      </c>
      <c r="U997" s="1" t="s">
        <v>74</v>
      </c>
      <c r="V997" s="1" t="s">
        <v>8162</v>
      </c>
      <c r="W997" s="1" t="s">
        <v>74</v>
      </c>
      <c r="X997" s="1" t="s">
        <v>74</v>
      </c>
      <c r="Y997" s="1" t="s">
        <v>74</v>
      </c>
      <c r="Z997" s="1" t="s">
        <v>74</v>
      </c>
      <c r="AA997" s="1" t="s">
        <v>74</v>
      </c>
      <c r="AB997" s="1" t="s">
        <v>74</v>
      </c>
      <c r="AC997" s="1" t="s">
        <v>74</v>
      </c>
      <c r="AD997" s="1" t="s">
        <v>74</v>
      </c>
      <c r="AE997" s="1" t="s">
        <v>74</v>
      </c>
      <c r="AF997" s="1" t="s">
        <v>74</v>
      </c>
      <c r="AG997" s="1" t="s">
        <v>74</v>
      </c>
      <c r="AH997" s="1" t="s">
        <v>74</v>
      </c>
      <c r="AI997" s="1" t="s">
        <v>74</v>
      </c>
      <c r="AJ997" s="1" t="s">
        <v>74</v>
      </c>
      <c r="AK997" s="1" t="s">
        <v>74</v>
      </c>
      <c r="AL997" s="1" t="s">
        <v>74</v>
      </c>
      <c r="AM997" s="1" t="s">
        <v>74</v>
      </c>
      <c r="AN997" s="1" t="s">
        <v>74</v>
      </c>
      <c r="AO997" s="1" t="s">
        <v>2199</v>
      </c>
      <c r="AP997" s="1" t="s">
        <v>74</v>
      </c>
      <c r="AQ997" s="1" t="s">
        <v>74</v>
      </c>
      <c r="AR997" s="1" t="s">
        <v>74</v>
      </c>
      <c r="AS997" s="1" t="s">
        <v>74</v>
      </c>
      <c r="AT997" s="1" t="s">
        <v>1176</v>
      </c>
      <c r="AU997" s="1">
        <v>2023.0</v>
      </c>
      <c r="AV997" s="1">
        <v>52.0</v>
      </c>
      <c r="AW997" s="1" t="s">
        <v>74</v>
      </c>
      <c r="AX997" s="1" t="s">
        <v>74</v>
      </c>
      <c r="AY997" s="1" t="s">
        <v>74</v>
      </c>
      <c r="AZ997" s="1" t="s">
        <v>74</v>
      </c>
      <c r="BA997" s="1" t="s">
        <v>74</v>
      </c>
      <c r="BB997" s="1" t="s">
        <v>74</v>
      </c>
      <c r="BC997" s="1" t="s">
        <v>74</v>
      </c>
      <c r="BD997" s="1">
        <v>29.0</v>
      </c>
      <c r="BE997" s="1" t="s">
        <v>74</v>
      </c>
      <c r="BF997" s="1" t="s">
        <v>74</v>
      </c>
      <c r="BG997" s="1" t="s">
        <v>74</v>
      </c>
      <c r="BH997" s="1" t="s">
        <v>74</v>
      </c>
      <c r="BI997" s="1" t="s">
        <v>74</v>
      </c>
      <c r="BJ997" s="1" t="s">
        <v>74</v>
      </c>
      <c r="BK997" s="1" t="s">
        <v>74</v>
      </c>
      <c r="BL997" s="1" t="s">
        <v>74</v>
      </c>
      <c r="BM997" s="1" t="s">
        <v>74</v>
      </c>
      <c r="BN997" s="1" t="s">
        <v>74</v>
      </c>
      <c r="BO997" s="1" t="s">
        <v>74</v>
      </c>
      <c r="BP997" s="1" t="s">
        <v>74</v>
      </c>
      <c r="BQ997" s="1" t="s">
        <v>74</v>
      </c>
      <c r="BR997" s="1" t="s">
        <v>74</v>
      </c>
      <c r="BS997" s="1" t="s">
        <v>8163</v>
      </c>
      <c r="BT997" s="1" t="str">
        <f>HYPERLINK("https%3A%2F%2Fwww.webofscience.com%2Fwos%2Fwoscc%2Ffull-record%2FWOS:001065602800001","View Full Record in Web of Science")</f>
        <v>View Full Record in Web of Science</v>
      </c>
    </row>
    <row r="998" ht="12.75" customHeight="1">
      <c r="A998" s="1" t="s">
        <v>72</v>
      </c>
      <c r="B998" s="1" t="s">
        <v>8164</v>
      </c>
      <c r="C998" s="1" t="s">
        <v>74</v>
      </c>
      <c r="D998" s="1" t="s">
        <v>74</v>
      </c>
      <c r="E998" s="1" t="s">
        <v>74</v>
      </c>
      <c r="F998" s="1" t="s">
        <v>8165</v>
      </c>
      <c r="G998" s="1" t="s">
        <v>74</v>
      </c>
      <c r="H998" s="1" t="s">
        <v>74</v>
      </c>
      <c r="I998" s="1" t="s">
        <v>8166</v>
      </c>
      <c r="J998" s="1" t="s">
        <v>1978</v>
      </c>
      <c r="K998" s="1" t="s">
        <v>74</v>
      </c>
      <c r="L998" s="1" t="s">
        <v>74</v>
      </c>
      <c r="M998" s="1" t="s">
        <v>74</v>
      </c>
      <c r="N998" s="1" t="s">
        <v>74</v>
      </c>
      <c r="O998" s="1" t="s">
        <v>74</v>
      </c>
      <c r="P998" s="1" t="s">
        <v>74</v>
      </c>
      <c r="Q998" s="1" t="s">
        <v>74</v>
      </c>
      <c r="R998" s="1" t="s">
        <v>74</v>
      </c>
      <c r="S998" s="1" t="s">
        <v>74</v>
      </c>
      <c r="T998" s="1" t="s">
        <v>74</v>
      </c>
      <c r="U998" s="1" t="s">
        <v>74</v>
      </c>
      <c r="V998" s="1" t="s">
        <v>8167</v>
      </c>
      <c r="W998" s="1" t="s">
        <v>74</v>
      </c>
      <c r="X998" s="1" t="s">
        <v>74</v>
      </c>
      <c r="Y998" s="1" t="s">
        <v>74</v>
      </c>
      <c r="Z998" s="1" t="s">
        <v>74</v>
      </c>
      <c r="AA998" s="1" t="s">
        <v>74</v>
      </c>
      <c r="AB998" s="1" t="s">
        <v>74</v>
      </c>
      <c r="AC998" s="1" t="s">
        <v>74</v>
      </c>
      <c r="AD998" s="1" t="s">
        <v>74</v>
      </c>
      <c r="AE998" s="1" t="s">
        <v>74</v>
      </c>
      <c r="AF998" s="1" t="s">
        <v>74</v>
      </c>
      <c r="AG998" s="1" t="s">
        <v>74</v>
      </c>
      <c r="AH998" s="1" t="s">
        <v>74</v>
      </c>
      <c r="AI998" s="1" t="s">
        <v>74</v>
      </c>
      <c r="AJ998" s="1" t="s">
        <v>74</v>
      </c>
      <c r="AK998" s="1" t="s">
        <v>74</v>
      </c>
      <c r="AL998" s="1" t="s">
        <v>74</v>
      </c>
      <c r="AM998" s="1" t="s">
        <v>74</v>
      </c>
      <c r="AN998" s="1" t="s">
        <v>74</v>
      </c>
      <c r="AO998" s="1" t="s">
        <v>1979</v>
      </c>
      <c r="AP998" s="1" t="s">
        <v>1980</v>
      </c>
      <c r="AQ998" s="1" t="s">
        <v>74</v>
      </c>
      <c r="AR998" s="1" t="s">
        <v>74</v>
      </c>
      <c r="AS998" s="1" t="s">
        <v>74</v>
      </c>
      <c r="AT998" s="1" t="s">
        <v>180</v>
      </c>
      <c r="AU998" s="1">
        <v>2023.0</v>
      </c>
      <c r="AV998" s="1">
        <v>24.0</v>
      </c>
      <c r="AW998" s="1">
        <v>39.0</v>
      </c>
      <c r="AX998" s="1" t="s">
        <v>74</v>
      </c>
      <c r="AY998" s="1" t="s">
        <v>74</v>
      </c>
      <c r="AZ998" s="1" t="s">
        <v>74</v>
      </c>
      <c r="BA998" s="1" t="s">
        <v>74</v>
      </c>
      <c r="BB998" s="1">
        <v>77.0</v>
      </c>
      <c r="BC998" s="1">
        <v>94.0</v>
      </c>
      <c r="BD998" s="1" t="s">
        <v>74</v>
      </c>
      <c r="BE998" s="1" t="s">
        <v>74</v>
      </c>
      <c r="BF998" s="1" t="s">
        <v>74</v>
      </c>
      <c r="BG998" s="1" t="s">
        <v>74</v>
      </c>
      <c r="BH998" s="1" t="s">
        <v>74</v>
      </c>
      <c r="BI998" s="1" t="s">
        <v>74</v>
      </c>
      <c r="BJ998" s="1" t="s">
        <v>74</v>
      </c>
      <c r="BK998" s="1" t="s">
        <v>74</v>
      </c>
      <c r="BL998" s="1" t="s">
        <v>74</v>
      </c>
      <c r="BM998" s="1" t="s">
        <v>74</v>
      </c>
      <c r="BN998" s="1" t="s">
        <v>74</v>
      </c>
      <c r="BO998" s="1" t="s">
        <v>74</v>
      </c>
      <c r="BP998" s="1" t="s">
        <v>74</v>
      </c>
      <c r="BQ998" s="1" t="s">
        <v>74</v>
      </c>
      <c r="BR998" s="1" t="s">
        <v>74</v>
      </c>
      <c r="BS998" s="1" t="s">
        <v>8168</v>
      </c>
      <c r="BT998" s="1" t="str">
        <f>HYPERLINK("https%3A%2F%2Fwww.webofscience.com%2Fwos%2Fwoscc%2Ffull-record%2FWOS:001004544400005","View Full Record in Web of Science")</f>
        <v>View Full Record in Web of Science</v>
      </c>
    </row>
    <row r="999" ht="12.75" customHeight="1">
      <c r="A999" s="1" t="s">
        <v>91</v>
      </c>
      <c r="B999" s="1" t="s">
        <v>8169</v>
      </c>
      <c r="C999" s="1" t="s">
        <v>74</v>
      </c>
      <c r="D999" s="1" t="s">
        <v>8170</v>
      </c>
      <c r="E999" s="1" t="s">
        <v>74</v>
      </c>
      <c r="F999" s="1" t="s">
        <v>8171</v>
      </c>
      <c r="G999" s="1" t="s">
        <v>74</v>
      </c>
      <c r="H999" s="1" t="s">
        <v>74</v>
      </c>
      <c r="I999" s="1" t="s">
        <v>8172</v>
      </c>
      <c r="J999" s="1" t="s">
        <v>8173</v>
      </c>
      <c r="K999" s="1" t="s">
        <v>887</v>
      </c>
      <c r="L999" s="1" t="s">
        <v>74</v>
      </c>
      <c r="M999" s="1" t="s">
        <v>74</v>
      </c>
      <c r="N999" s="1" t="s">
        <v>74</v>
      </c>
      <c r="O999" s="1" t="s">
        <v>8174</v>
      </c>
      <c r="P999" s="1" t="s">
        <v>8175</v>
      </c>
      <c r="Q999" s="1" t="s">
        <v>8176</v>
      </c>
      <c r="R999" s="1" t="s">
        <v>74</v>
      </c>
      <c r="S999" s="1" t="s">
        <v>74</v>
      </c>
      <c r="T999" s="1" t="s">
        <v>74</v>
      </c>
      <c r="U999" s="1" t="s">
        <v>74</v>
      </c>
      <c r="V999" s="1" t="s">
        <v>8177</v>
      </c>
      <c r="W999" s="1" t="s">
        <v>74</v>
      </c>
      <c r="X999" s="1" t="s">
        <v>74</v>
      </c>
      <c r="Y999" s="1" t="s">
        <v>74</v>
      </c>
      <c r="Z999" s="1" t="s">
        <v>74</v>
      </c>
      <c r="AA999" s="1" t="s">
        <v>74</v>
      </c>
      <c r="AB999" s="1" t="s">
        <v>74</v>
      </c>
      <c r="AC999" s="1" t="s">
        <v>74</v>
      </c>
      <c r="AD999" s="1" t="s">
        <v>74</v>
      </c>
      <c r="AE999" s="1" t="s">
        <v>74</v>
      </c>
      <c r="AF999" s="1" t="s">
        <v>74</v>
      </c>
      <c r="AG999" s="1" t="s">
        <v>74</v>
      </c>
      <c r="AH999" s="1" t="s">
        <v>74</v>
      </c>
      <c r="AI999" s="1" t="s">
        <v>74</v>
      </c>
      <c r="AJ999" s="1" t="s">
        <v>74</v>
      </c>
      <c r="AK999" s="1" t="s">
        <v>74</v>
      </c>
      <c r="AL999" s="1" t="s">
        <v>74</v>
      </c>
      <c r="AM999" s="1" t="s">
        <v>74</v>
      </c>
      <c r="AN999" s="1" t="s">
        <v>74</v>
      </c>
      <c r="AO999" s="1" t="s">
        <v>893</v>
      </c>
      <c r="AP999" s="1" t="s">
        <v>894</v>
      </c>
      <c r="AQ999" s="1" t="s">
        <v>8178</v>
      </c>
      <c r="AR999" s="1" t="s">
        <v>74</v>
      </c>
      <c r="AS999" s="1" t="s">
        <v>74</v>
      </c>
      <c r="AT999" s="1" t="s">
        <v>74</v>
      </c>
      <c r="AU999" s="1">
        <v>2023.0</v>
      </c>
      <c r="AV999" s="1">
        <v>14239.0</v>
      </c>
      <c r="AW999" s="1" t="s">
        <v>74</v>
      </c>
      <c r="AX999" s="1" t="s">
        <v>74</v>
      </c>
      <c r="AY999" s="1" t="s">
        <v>74</v>
      </c>
      <c r="AZ999" s="1" t="s">
        <v>74</v>
      </c>
      <c r="BA999" s="1" t="s">
        <v>74</v>
      </c>
      <c r="BB999" s="1">
        <v>517.0</v>
      </c>
      <c r="BC999" s="1">
        <v>532.0</v>
      </c>
      <c r="BD999" s="1" t="s">
        <v>74</v>
      </c>
      <c r="BE999" s="1" t="s">
        <v>8179</v>
      </c>
      <c r="BF999" s="2" t="str">
        <f>HYPERLINK("http://dx.doi.org/10.1007/978-3-031-43612-3_32","http://dx.doi.org/10.1007/978-3-031-43612-3_32")</f>
        <v>http://dx.doi.org/10.1007/978-3-031-43612-3_32</v>
      </c>
      <c r="BG999" s="1" t="s">
        <v>74</v>
      </c>
      <c r="BH999" s="1" t="s">
        <v>74</v>
      </c>
      <c r="BI999" s="1" t="s">
        <v>74</v>
      </c>
      <c r="BJ999" s="1" t="s">
        <v>74</v>
      </c>
      <c r="BK999" s="1" t="s">
        <v>74</v>
      </c>
      <c r="BL999" s="1" t="s">
        <v>74</v>
      </c>
      <c r="BM999" s="1" t="s">
        <v>74</v>
      </c>
      <c r="BN999" s="1" t="s">
        <v>74</v>
      </c>
      <c r="BO999" s="1" t="s">
        <v>74</v>
      </c>
      <c r="BP999" s="1" t="s">
        <v>74</v>
      </c>
      <c r="BQ999" s="1" t="s">
        <v>74</v>
      </c>
      <c r="BR999" s="1" t="s">
        <v>74</v>
      </c>
      <c r="BS999" s="1" t="s">
        <v>8180</v>
      </c>
      <c r="BT999" s="1" t="str">
        <f>HYPERLINK("https%3A%2F%2Fwww.webofscience.com%2Fwos%2Fwoscc%2Ffull-record%2FWOS:001158863600032","View Full Record in Web of Science")</f>
        <v>View Full Record in Web of Science</v>
      </c>
    </row>
    <row r="1000" ht="12.75" customHeight="1">
      <c r="A1000" s="1" t="s">
        <v>72</v>
      </c>
      <c r="B1000" s="1" t="s">
        <v>8181</v>
      </c>
      <c r="C1000" s="1" t="s">
        <v>74</v>
      </c>
      <c r="D1000" s="1" t="s">
        <v>74</v>
      </c>
      <c r="E1000" s="1" t="s">
        <v>74</v>
      </c>
      <c r="F1000" s="1" t="s">
        <v>8182</v>
      </c>
      <c r="G1000" s="1" t="s">
        <v>74</v>
      </c>
      <c r="H1000" s="1" t="s">
        <v>74</v>
      </c>
      <c r="I1000" s="1" t="s">
        <v>8183</v>
      </c>
      <c r="J1000" s="1" t="s">
        <v>8184</v>
      </c>
      <c r="K1000" s="1" t="s">
        <v>74</v>
      </c>
      <c r="L1000" s="1" t="s">
        <v>74</v>
      </c>
      <c r="M1000" s="1" t="s">
        <v>74</v>
      </c>
      <c r="N1000" s="1" t="s">
        <v>74</v>
      </c>
      <c r="O1000" s="1" t="s">
        <v>74</v>
      </c>
      <c r="P1000" s="1" t="s">
        <v>74</v>
      </c>
      <c r="Q1000" s="1" t="s">
        <v>74</v>
      </c>
      <c r="R1000" s="1" t="s">
        <v>74</v>
      </c>
      <c r="S1000" s="1" t="s">
        <v>74</v>
      </c>
      <c r="T1000" s="1" t="s">
        <v>74</v>
      </c>
      <c r="U1000" s="1" t="s">
        <v>74</v>
      </c>
      <c r="V1000" s="1" t="s">
        <v>74</v>
      </c>
      <c r="W1000" s="1" t="s">
        <v>74</v>
      </c>
      <c r="X1000" s="1" t="s">
        <v>74</v>
      </c>
      <c r="Y1000" s="1" t="s">
        <v>74</v>
      </c>
      <c r="Z1000" s="1" t="s">
        <v>74</v>
      </c>
      <c r="AA1000" s="1" t="s">
        <v>8185</v>
      </c>
      <c r="AB1000" s="1" t="s">
        <v>74</v>
      </c>
      <c r="AC1000" s="1" t="s">
        <v>74</v>
      </c>
      <c r="AD1000" s="1" t="s">
        <v>74</v>
      </c>
      <c r="AE1000" s="1" t="s">
        <v>74</v>
      </c>
      <c r="AF1000" s="1" t="s">
        <v>74</v>
      </c>
      <c r="AG1000" s="1" t="s">
        <v>74</v>
      </c>
      <c r="AH1000" s="1" t="s">
        <v>74</v>
      </c>
      <c r="AI1000" s="1" t="s">
        <v>74</v>
      </c>
      <c r="AJ1000" s="1" t="s">
        <v>74</v>
      </c>
      <c r="AK1000" s="1" t="s">
        <v>74</v>
      </c>
      <c r="AL1000" s="1" t="s">
        <v>74</v>
      </c>
      <c r="AM1000" s="1" t="s">
        <v>74</v>
      </c>
      <c r="AN1000" s="1" t="s">
        <v>74</v>
      </c>
      <c r="AO1000" s="1" t="s">
        <v>8186</v>
      </c>
      <c r="AP1000" s="1" t="s">
        <v>8187</v>
      </c>
      <c r="AQ1000" s="1" t="s">
        <v>74</v>
      </c>
      <c r="AR1000" s="1" t="s">
        <v>74</v>
      </c>
      <c r="AS1000" s="1" t="s">
        <v>74</v>
      </c>
      <c r="AT1000" s="1" t="s">
        <v>299</v>
      </c>
      <c r="AU1000" s="1">
        <v>2023.0</v>
      </c>
      <c r="AV1000" s="1">
        <v>36.0</v>
      </c>
      <c r="AW1000" s="1">
        <v>1.0</v>
      </c>
      <c r="AX1000" s="1" t="s">
        <v>74</v>
      </c>
      <c r="AY1000" s="1" t="s">
        <v>74</v>
      </c>
      <c r="AZ1000" s="1" t="s">
        <v>564</v>
      </c>
      <c r="BA1000" s="1" t="s">
        <v>74</v>
      </c>
      <c r="BB1000" s="1">
        <v>323.0</v>
      </c>
      <c r="BC1000" s="1">
        <v>325.0</v>
      </c>
      <c r="BD1000" s="1" t="s">
        <v>74</v>
      </c>
      <c r="BE1000" s="1" t="s">
        <v>8188</v>
      </c>
      <c r="BF1000" s="2" t="str">
        <f>HYPERLINK("http://dx.doi.org/10.1111/gove.12745","http://dx.doi.org/10.1111/gove.12745")</f>
        <v>http://dx.doi.org/10.1111/gove.12745</v>
      </c>
      <c r="BG1000" s="1" t="s">
        <v>74</v>
      </c>
      <c r="BH1000" s="1" t="s">
        <v>8189</v>
      </c>
      <c r="BI1000" s="1" t="s">
        <v>74</v>
      </c>
      <c r="BJ1000" s="1" t="s">
        <v>74</v>
      </c>
      <c r="BK1000" s="1" t="s">
        <v>74</v>
      </c>
      <c r="BL1000" s="1" t="s">
        <v>74</v>
      </c>
      <c r="BM1000" s="1" t="s">
        <v>74</v>
      </c>
      <c r="BN1000" s="1" t="s">
        <v>74</v>
      </c>
      <c r="BO1000" s="1" t="s">
        <v>74</v>
      </c>
      <c r="BP1000" s="1" t="s">
        <v>74</v>
      </c>
      <c r="BQ1000" s="1" t="s">
        <v>74</v>
      </c>
      <c r="BR1000" s="1" t="s">
        <v>74</v>
      </c>
      <c r="BS1000" s="1" t="s">
        <v>8190</v>
      </c>
      <c r="BT1000" s="1" t="str">
        <f>HYPERLINK("https%3A%2F%2Fwww.webofscience.com%2Fwos%2Fwoscc%2Ffull-record%2FWOS:000890784000001","View Full Record in Web of Science")</f>
        <v>View Full Record in Web of Science</v>
      </c>
    </row>
    <row r="1001" ht="12.75" customHeight="1">
      <c r="A1001" s="1" t="s">
        <v>72</v>
      </c>
      <c r="B1001" s="1" t="s">
        <v>8191</v>
      </c>
      <c r="C1001" s="1" t="s">
        <v>74</v>
      </c>
      <c r="D1001" s="1" t="s">
        <v>74</v>
      </c>
      <c r="E1001" s="1" t="s">
        <v>74</v>
      </c>
      <c r="F1001" s="1" t="s">
        <v>8192</v>
      </c>
      <c r="G1001" s="1" t="s">
        <v>74</v>
      </c>
      <c r="H1001" s="1" t="s">
        <v>74</v>
      </c>
      <c r="I1001" s="1" t="s">
        <v>8193</v>
      </c>
      <c r="J1001" s="1" t="s">
        <v>8194</v>
      </c>
      <c r="K1001" s="1" t="s">
        <v>74</v>
      </c>
      <c r="L1001" s="1" t="s">
        <v>74</v>
      </c>
      <c r="M1001" s="1" t="s">
        <v>74</v>
      </c>
      <c r="N1001" s="1" t="s">
        <v>74</v>
      </c>
      <c r="O1001" s="1" t="s">
        <v>74</v>
      </c>
      <c r="P1001" s="1" t="s">
        <v>74</v>
      </c>
      <c r="Q1001" s="1" t="s">
        <v>74</v>
      </c>
      <c r="R1001" s="1" t="s">
        <v>74</v>
      </c>
      <c r="S1001" s="1" t="s">
        <v>74</v>
      </c>
      <c r="T1001" s="1" t="s">
        <v>74</v>
      </c>
      <c r="U1001" s="1" t="s">
        <v>74</v>
      </c>
      <c r="V1001" s="1" t="s">
        <v>8195</v>
      </c>
      <c r="W1001" s="1" t="s">
        <v>74</v>
      </c>
      <c r="X1001" s="1" t="s">
        <v>74</v>
      </c>
      <c r="Y1001" s="1" t="s">
        <v>74</v>
      </c>
      <c r="Z1001" s="1" t="s">
        <v>74</v>
      </c>
      <c r="AA1001" s="1" t="s">
        <v>8196</v>
      </c>
      <c r="AB1001" s="1" t="s">
        <v>74</v>
      </c>
      <c r="AC1001" s="1" t="s">
        <v>74</v>
      </c>
      <c r="AD1001" s="1" t="s">
        <v>74</v>
      </c>
      <c r="AE1001" s="1" t="s">
        <v>74</v>
      </c>
      <c r="AF1001" s="1" t="s">
        <v>74</v>
      </c>
      <c r="AG1001" s="1" t="s">
        <v>74</v>
      </c>
      <c r="AH1001" s="1" t="s">
        <v>74</v>
      </c>
      <c r="AI1001" s="1" t="s">
        <v>74</v>
      </c>
      <c r="AJ1001" s="1" t="s">
        <v>74</v>
      </c>
      <c r="AK1001" s="1" t="s">
        <v>74</v>
      </c>
      <c r="AL1001" s="1" t="s">
        <v>74</v>
      </c>
      <c r="AM1001" s="1" t="s">
        <v>74</v>
      </c>
      <c r="AN1001" s="1" t="s">
        <v>74</v>
      </c>
      <c r="AO1001" s="1" t="s">
        <v>8197</v>
      </c>
      <c r="AP1001" s="1" t="s">
        <v>8198</v>
      </c>
      <c r="AQ1001" s="1" t="s">
        <v>74</v>
      </c>
      <c r="AR1001" s="1" t="s">
        <v>74</v>
      </c>
      <c r="AS1001" s="1" t="s">
        <v>74</v>
      </c>
      <c r="AT1001" s="1" t="s">
        <v>180</v>
      </c>
      <c r="AU1001" s="1">
        <v>2023.0</v>
      </c>
      <c r="AV1001" s="1">
        <v>58.0</v>
      </c>
      <c r="AW1001" s="1">
        <v>6.0</v>
      </c>
      <c r="AX1001" s="1" t="s">
        <v>74</v>
      </c>
      <c r="AY1001" s="1" t="s">
        <v>74</v>
      </c>
      <c r="AZ1001" s="1" t="s">
        <v>564</v>
      </c>
      <c r="BA1001" s="1" t="s">
        <v>74</v>
      </c>
      <c r="BB1001" s="1">
        <v>1031.0</v>
      </c>
      <c r="BC1001" s="1">
        <v>1038.0</v>
      </c>
      <c r="BD1001" s="1" t="s">
        <v>74</v>
      </c>
      <c r="BE1001" s="1" t="s">
        <v>8199</v>
      </c>
      <c r="BF1001" s="2" t="str">
        <f>HYPERLINK("http://dx.doi.org/10.1007/s11012-022-01551-3","http://dx.doi.org/10.1007/s11012-022-01551-3")</f>
        <v>http://dx.doi.org/10.1007/s11012-022-01551-3</v>
      </c>
      <c r="BG1001" s="1" t="s">
        <v>74</v>
      </c>
      <c r="BH1001" s="1" t="s">
        <v>8200</v>
      </c>
      <c r="BI1001" s="1" t="s">
        <v>74</v>
      </c>
      <c r="BJ1001" s="1" t="s">
        <v>74</v>
      </c>
      <c r="BK1001" s="1" t="s">
        <v>74</v>
      </c>
      <c r="BL1001" s="1" t="s">
        <v>74</v>
      </c>
      <c r="BM1001" s="1" t="s">
        <v>74</v>
      </c>
      <c r="BN1001" s="1" t="s">
        <v>74</v>
      </c>
      <c r="BO1001" s="1" t="s">
        <v>74</v>
      </c>
      <c r="BP1001" s="1" t="s">
        <v>74</v>
      </c>
      <c r="BQ1001" s="1" t="s">
        <v>74</v>
      </c>
      <c r="BR1001" s="1" t="s">
        <v>74</v>
      </c>
      <c r="BS1001" s="1" t="s">
        <v>8201</v>
      </c>
      <c r="BT1001" s="1" t="str">
        <f>HYPERLINK("https%3A%2F%2Fwww.webofscience.com%2Fwos%2Fwoscc%2Ffull-record%2FWOS:000825897300001","View Full Record in Web of Science")</f>
        <v>View Full Record in Web of Science</v>
      </c>
    </row>
  </sheetData>
  <printOptions/>
  <pageMargins bottom="0.75" footer="0.0" header="0.0" left="0.7" right="0.7" top="0.75"/>
  <pageSetup orientation="landscape"/>
  <drawing r:id="rId1"/>
</worksheet>
</file>