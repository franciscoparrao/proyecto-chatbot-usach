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0">
      <text>
        <t xml:space="preserve">aguchi, M; ; </t>
      </text>
    </comment>
    <comment authorId="0" ref="F290">
      <text>
        <t xml:space="preserve"> </t>
      </text>
    </comment>
  </commentList>
</comments>
</file>

<file path=xl/sharedStrings.xml><?xml version="1.0" encoding="utf-8"?>
<sst xmlns="http://schemas.openxmlformats.org/spreadsheetml/2006/main" count="18947" uniqueCount="3076">
  <si>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</si>
  <si>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</si>
  <si>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</si>
  <si>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</si>
  <si>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</si>
  <si>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</si>
  <si>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</si>
  <si>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</si>
  <si>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</si>
  <si>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</si>
  <si>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</si>
  <si>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</si>
  <si>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</si>
  <si>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</si>
  <si>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</si>
  <si>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</si>
  <si>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</si>
  <si>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</si>
  <si>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</si>
  <si>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</si>
  <si>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</si>
  <si>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</si>
  <si>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</si>
  <si>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</si>
  <si>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</si>
  <si>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</si>
  <si>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</si>
  <si>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</si>
  <si>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</si>
  <si>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</si>
  <si>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</si>
  <si>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</si>
  <si>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</si>
  <si>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</si>
  <si>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</si>
  <si>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</si>
  <si>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</si>
  <si>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</si>
  <si>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</si>
  <si>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</si>
  <si>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</si>
  <si>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</si>
  <si>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</si>
  <si>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</si>
  <si>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</si>
  <si>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</si>
  <si>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</si>
  <si>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</si>
  <si>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</si>
  <si>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</si>
  <si>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</si>
  <si>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</si>
  <si>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</si>
  <si>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</si>
  <si>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</si>
  <si>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</si>
  <si>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</si>
  <si>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</si>
  <si>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</si>
  <si>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</si>
  <si>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</si>
  <si>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</si>
  <si>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</si>
  <si>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</si>
  <si>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</si>
  <si>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</si>
  <si>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</si>
  <si>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</si>
  <si>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</si>
  <si>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</si>
  <si>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</si>
  <si>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</si>
  <si>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</si>
  <si>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Díaz-Rivera, MN; Birba, A; Fittipaldi, S; Mola, D; Morera, Y; de Vega, M; Moguilner, S; Lillo, P; Slachevsky, A; Campo, CG; Ibáñez, A; García, AM</t>
  </si>
  <si>
    <t/>
  </si>
  <si>
    <t>Diaz-Rivera, Mariano N.; Birba, Agustina; Fittipaldi, Sol; Mola, Debora; Morera, Yurena; de Vega, Manuel; Moguilner, Sebastian; Lillo, Patricia; Slachevsky, Andrea; Gonzalez Campo, Cecilia; Ibanez, Agustin; Garcia, Adolfo M.</t>
  </si>
  <si>
    <t>Multidimensional inhibitory signatures of sentential negation in behavioral variant frontotemporal dementia</t>
  </si>
  <si>
    <t>CEREBRAL CORTEX</t>
  </si>
  <si>
    <t>Background Processing of linguistic negation has been associated to inhibitory brain mechanisms. However, no study has tapped this link via multimodal measures in patients with core inhibitory alterations, a critical approach to reveal direct neural correlates and potential disease markers. Methods Here we examined oscillatory, neuroanatomical, and functional connectivity signatures of a recently reported Go/No-go negation task in healthy controls and behavioral variant frontotemporal dementia (bvFTD) patients, typified by primary and generalized inhibitory disruptions. To test for specificity, we also recruited persons with Alzheimer's disease (AD), a disease involving frequent but nonprimary inhibitory deficits. Results In controls, negative sentences in the No-go condition distinctly involved frontocentral delta (2-3 Hz) suppression, a canonical inhibitory marker. In bvFTD patients, this modulation was selectively abolished and significantly correlated with the volume and functional connectivity of regions supporting inhibition (e.g. precentral gyrus, caudate nucleus, and cerebellum). Such canonical delta suppression was preserved in the AD group and associated with widespread anatomo-functional patterns across non-inhibitory regions. Discussion These findings suggest that negation hinges on the integrity and interaction of spatiotemporal inhibitory mechanisms. Moreover, our results reveal potential neurocognitive markers of bvFTD, opening a new agenda at the crossing of cognitive neuroscience and behavioral neurology.</t>
  </si>
  <si>
    <t>Birba, Agustina/AFR-3037-2022; Lillo, Patricia/B-9730-2013; García, Adolfo/E-7150-2017; Morera, Yurena/ABF-5782-2021; de vega, manuel/F-8222-2011; Ibanez, Agustin/H-7976-2015</t>
  </si>
  <si>
    <t>Birba, Agustina/0000-0001-5998-6634; Ibanez, Agustin/0000-0001-6758-5101; Mola, Debora Jeanette/0000-0002-7810-2424; Moguilner, Sebastian/0000-0003-1731-8325</t>
  </si>
  <si>
    <t>1047-3211</t>
  </si>
  <si>
    <t>1460-2199</t>
  </si>
  <si>
    <t>DEC 20</t>
  </si>
  <si>
    <t>10.1093/cercor/bhac074</t>
  </si>
  <si>
    <t>MAR 2022</t>
  </si>
  <si>
    <t>WOS:000776252900001</t>
  </si>
  <si>
    <t>Niraula, G; Toneto, D; Goya, GF; Zoppellaro, G; Coaquira, JAH; Muraca, D; Denardin, JC; Almeida, TP; Knobel, M; Ayesh, AI; Sharma, SK</t>
  </si>
  <si>
    <t>Niraula, Gopal; Toneto, Denilson; Goya, Gerardo F.; Zoppellaro, Giorgio; Coaquira, Jose A. H.; Muraca, Diego; Denardin, Juliano C.; Almeida, Trevor P.; Knobel, Marcelo; Ayesh, Ahmad I.; Sharma, Surender K.</t>
  </si>
  <si>
    <t>Observation of magnetic vortex configuration in non-stoichiometric Fe3O4 nanospheres</t>
  </si>
  <si>
    <t>NANOSCALE ADVANCES</t>
  </si>
  <si>
    <t>Theoretical and micromagnetic simulation studies of magnetic nanospheres with vortex configurations suggest that such nanostructured materials have technological advantages over conventional nanosystems for applications based on high-power-rate absorption and subsequent emission. However, full experimental evidence of magnetic vortex configurations in spheres of submicrometer size is still lacking. Here, we report the microwave irradiation fabrication of Fe3O4 nanospheres and establish their magnetic vortex configuration based on experimental results, theoretical analysis, and micromagnetic simulations. Detailed magnetic and electrical measurements, together with Mossbauer spectroscopy data, provide evidence of a loss of stoichiometry in vortex nanospheres owing to the presence of a surface oxide layer, defects, and a higher concentration of cation vacancies. The results indicate that the magnetic vortex spin configuration can be established in bulk spherical magnetite materials. This study provides crucial information that can aid the synthesis of magnetic nanospheres with magnetically tailored properties; consequently, they may be promising candidates for future technological applications based on three-dimensional magnetic vortex structures.</t>
  </si>
  <si>
    <t>Goya, Gerardo/B-1915-2008; Denardin, Juliano/S-6407-2019; Knobel, Marcelo/A-2843-2009; Almeida, Trevor/N-6572-2015; Muraca, Diego/ABG-1092-2021; Niraula, Gopal/AAU-6031-2021; Ayesh, Ahmad/ABG-8380-2020; Zoppellaro, Giorgio/F-8453-2012; Muraca, Diego/K-5063-2015; Coaquira, Jose/AAB-6108-2019</t>
  </si>
  <si>
    <t>Muraca, Diego/0000-0002-4530-4265; Niraula, Gopal/0000-0002-8776-7794; Ayesh, Ahmad/0000-0002-0442-5941; Coaquira, Jose/0000-0002-8782-6838; Toneto da Silva, Denilson/0000-0003-1529-7137; Zoppellaro, Giorgio/0000-0003-2304-2564</t>
  </si>
  <si>
    <t>2516-0230</t>
  </si>
  <si>
    <t>SEP 12</t>
  </si>
  <si>
    <t>10.1039/d3na00433c</t>
  </si>
  <si>
    <t>AUG 2023</t>
  </si>
  <si>
    <t>WOS:001065162000001</t>
  </si>
  <si>
    <t>Mejía-López, J; Altbir, D; Landeros, P; Escrig, J; Romero, AH; Roshchin, IV; Li, CP; Fitzsimmons, MR; Batlle, X; Schuller, IK</t>
  </si>
  <si>
    <t>Mejia-Lopez, J.; Altbir, D.; Landeros, P.; Escrig, J.; Romero, A. H.; Roshchin, Igor V.; Li, C-P.; Fitzsimmons, M. R.; Batlle, X.; Schuller, Ivan K.</t>
  </si>
  <si>
    <t>Development of vortex state in circular magnetic nanodots: Theory and experiment</t>
  </si>
  <si>
    <t>PHYSICAL REVIEW B</t>
  </si>
  <si>
    <t>We compare magnetic reversal of nanostructured circular magnetic dots of different sizes. This comparison is based on superconducting quantum interference device (SQUID) magnetometry, neutron scattering, Monte Carlo simulation, and analytical calculations and is quantified using a parameter which characterizes the variation in the hysteresis curve width. Below a critical dot diameter, the magnetic reversal occurs by coherent rotation and above that diameter, the reversal occurs by formation of a magnetic vortex. The vortex-core diameter is controlled by competing magnetic energy contributions. For 20-nm-thick Fe dots, the values of the critical diameter (58-60 nm) and the vortex core (16-19 nm) are in very good agreement between the different experimental and theoretical methods: neutron scattering, SQUID magnetometry, Monte Carlo simulations, and analytical calculations.</t>
  </si>
  <si>
    <t>Roshchin, Igor/I-5162-2012; Schuller, Ivan/B-3162-2013; Landeros, Pedro/B-4603-2012; Altbir, Dora/R-6781-2018; Mejia-Lopez, Jose/T-6773-2017; Batlle, Xavier/H-5795-2012; romero, aldo/B-2344-2016; Escrig, Juan/N-4304-2015</t>
  </si>
  <si>
    <t>Landeros, Pedro/0000-0002-0927-1419; Fitzsimmons, Michael/0000-0001-6204-5480; Altbir, Dora/0000-0002-2945-4909; Mejia-Lopez, Jose/0000-0003-0301-3408; Batlle, Xavier/0000-0001-7897-2692; romero, aldo/0000-0001-5968-0571; Escrig, Juan/0000-0002-3958-8185</t>
  </si>
  <si>
    <t>2469-9950</t>
  </si>
  <si>
    <t>2469-9969</t>
  </si>
  <si>
    <t>MAY 1</t>
  </si>
  <si>
    <t>10.1103/PhysRevB.81.184417</t>
  </si>
  <si>
    <t>WOS:000278141800062</t>
  </si>
  <si>
    <t>Hidalgo-Hermoso, E; Caviedes, SV; Pizarro-Lucero, J; Cabello, J; Vicencio, R; Celis, S; Ortiz, C; Kemec, I; Abuhadba-Mediano, N; Asencio, R; Vera, F; Valencia, C; Lagos, R; Moreira-Arce, D; Salinas, F; Ramirez-Toloza, G; Muñoz-Quijano, R; Neira, V; Salgado, R; Abalos, P; Parra, B; Cardenas-Cáceres, S; Muena, NA; Tischler, ND; Del Pozo, I; Aduriz, G; Esperon, F; Muñoz-Leal, S; Aravena, P; Alegría-Morán, R; Cuadrado-Matías, R; Ruiz-Fons, F</t>
  </si>
  <si>
    <t>Hidalgo-Hermoso, Ezequiel; Caviedes, Sebastian Verasay; Pizarro-Lucero, Jose; Cabello, Javier; Vicencio, Rocio; Celis, Sebastian; Ortiz, Carolina; Kemec, Ignacio; Abuhadba-Mediano, Nour; Asencio, Ronie; Vera, Frank; Valencia, Carola; Lagos, Rocio; Moreira-Arce, Dario; Salinas, Fernanda; Ramirez-Toloza, Galia; Munoz-Quijano, Raul; Neira, Victor; Salgado, Rodrigo; Abalos, Pedro; Parra, Barbara; Cardenas-Caceres, Simone; Muena, Nicolas A.; Tischler, Nicole D.; Del Pozo, Itziar; Aduriz, Gorka; Esperon, Fernando; Munoz-Leal, Sebastian; Aravena, Paula; Alegria-Moran, Raul; Cuadrado-Matias, Raul; Ruiz-Fons, Francisco</t>
  </si>
  <si>
    <t>High Exposure to Livestock Pathogens in Southern Pudu (Pudu puda) from Chile</t>
  </si>
  <si>
    <t>ANIMALS</t>
  </si>
  <si>
    <t>A significant gap in exposure data for most livestock and zoonotic pathogens is common for several Latin America deer species. This study examined the seroprevalence against 13 pathogens in 164 wild and captive southern pudu from Chile between 2011 and 2023. Livestock and zoonotic pathogen antibodies were detected in 22 of 109 wild pudus (20.18%; 95% CI: 13.34-29.18) and 17 of 55 captive pudus (30.91%; 95% CI: 19.52-44.96), including five Leptospira interrogans serovars (15.38% and 10.71%), Toxoplasma gondii (8.57% and 37.50%), Chlamydia abortus (3.03% and 12.82%), Neospora caninum (0.00% and 9.52%), and Pestivirus (8.00% and 6.67%). Risk factors were detected for Leptospira spp., showing that fawn pudu have statistically significantly higher risk of positivity than adults. In the case of T. gondii, pudu living in free-range have a lower risk of being positive for this parasite. In under-human-care pudu, a Pestivirus outbreak is the most strongly suspected as the cause of abortions in a zoo in the past. This study presents the first evidence of Chlamydia abortus in wildlife in South America and exposure to T. gondii, L. interrogans, and N. caninum in wild ungulate species in Chile. High seroprevalence of livestock pathogens such as Pestivirus and Leptospira Hardjo in wild animals suggests a livestock transmission in Chilean template forest.</t>
  </si>
  <si>
    <t>Ruiz-Fons, Francisco/K-3161-2014; Salgado, Rodrigo/AAC-3591-2020; RAMIREZ, GALIA/H-9500-2013; Ortiz, Carolina/ABE-8963-2020; Alegria-Moran, Raul/H-3841-2013; Munoz, Sebastian/KTI-1588-2024; Ramirez, Victor/M-8736-2013; Aduriz, Gorka/LFV-5064-2024; Hidalgo-Hermoso, Ezequiel/ABB-6056-2020; Moreira-Arce, Dario/ABG-2898-2021; Pizarro-Lucero, José/AAG-7603-2021; Cuadrado, Raul/IAM-8771-2023; Munoz-Leal, Sebastian/C-5406-2018; ESPERON, FERNANDO/T-7538-2017</t>
  </si>
  <si>
    <t>Munoz-Leal, Sebastian/0000-0003-3547-6466; Verasay Caviedes, Sebastian/0000-0003-0995-1227; ESPERON, FERNANDO/0000-0002-8810-5071</t>
  </si>
  <si>
    <t>2076-2615</t>
  </si>
  <si>
    <t>FEB</t>
  </si>
  <si>
    <t>10.3390/ani14040526</t>
  </si>
  <si>
    <t>WOS:001175100100001</t>
  </si>
  <si>
    <t>Rache, B; Rocha, R; de Medeiros, LA; Okada, LM; Ferrari, G; Zeng, HM; Bigoni, A; Curado, MP; Azeredo, CM; Rezende, LFM</t>
  </si>
  <si>
    <t>Rache, Beatriz; Rocha, Rudi; de Medeiros, Luciana Alves; Okada, Leticia Martins; Ferrari, Gerson; Zeng, Hongmei; Bigoni, Alessandro; Curado, Maria Paula; Azeredo, Catarina M.; Rezende, Leandro F. M.</t>
  </si>
  <si>
    <t>Transition towards cancer mortality predominance over cardiovascular disease mortality in Brazil, 2000-2019: a population-based study</t>
  </si>
  <si>
    <t>LANCET REGIONAL HEALTH-AMERICAS</t>
  </si>
  <si>
    <t>Background Cardiovascular disease (CVD) and cancer are the first and second leading causes of death in Brazil and worldwide. However, an ongoing epidemiological transition in which cancer surpasses CVD has been observed in many high and middle-income countries. In this study, we provided a nationwide analysis of the transition towards cancer mortality predominance over CVD mortality in Brazil. Methods We leveraged data from 5570 municipalities using the Mortality Information System and classified the causes of death using ICD-10 codes. Age-standardized CVD and cancer mortality rates were calculated annually between 2000 and 2019. Mortality rate ratios (MRRs = CVD rates divided by cancer rates) described the predominance of cancer or CVD mortality across municipalities and states. Choropleth maps displayed state-specific MRRs and the transition in the predominant cause of death over time. Findings From 2000 to 2019, CVD mortality rates declined in 25 out of 27 states, whereas cancer mortality increased in 15 states, indicating a shift towards cancer predominance. While in 2000 cancer mortality was lower than CVD in all states and only exceeded the latter in 7% of the municipalities, by 2019 the gap narrowed considerably, with 13% of municipalities displaying higher cancer mortality rates vs CVD mortality rates. Additionally, higher household income correlated with higher mortality from cancer vs CVD. Interpretation An ongoing epidemiological transition in which cancer mortality surpasses CVD mortality is occurring in Brazil, particularly in municipalities with higher household incomes. Our findings may provide important information for policymakers and public health practitioners in Brazil. Copyright (c) 2024 The Author(s). Published by Elsevier Ltd. This is an open access article under the CC BY-NC license (http://creativecommons.org/licenses/by-nc/4.0/).</t>
  </si>
  <si>
    <t>Ferrari, Gerson/HHM-6173-2022; Azeredo, Catarina/AAG-7216-2019; de Medeiros, Luciana/D-2302-2019; Curado, Maria/M-6200-2013; Rezende, Leandro/C-1724-2012; Ferrari, Gerson/P-1152-2014</t>
  </si>
  <si>
    <t>Rezende, Leandro/0000-0002-7469-1399; Ferrari, Gerson/0000-0003-3177-6576; Rocha, Rudi/0000-0003-0689-6963</t>
  </si>
  <si>
    <t>2667-193X</t>
  </si>
  <si>
    <t>NOV</t>
  </si>
  <si>
    <t>10.1016/j.lana.2024.100904</t>
  </si>
  <si>
    <t>OCT 2024</t>
  </si>
  <si>
    <t>WOS:001331627000001</t>
  </si>
  <si>
    <t>Cordero, RR; Feron, S; Damiani, A; Llanillo, PJ; Carrasco, J; Khan, AL; Bintanja, R; Ouyang, ZT; Casassa, G</t>
  </si>
  <si>
    <t>Cordero, Raul R.; Feron, Sarah; Damiani, Alessandro; Llanillo, Pedro J.; Carrasco, Jorge; Khan, Alia L.; Bintanja, Richard; Ouyang, Zutao; Casassa, Gino</t>
  </si>
  <si>
    <t>Signature of the stratosphere-troposphere coupling on recent record-breaking Antarctic sea-ice anomalies</t>
  </si>
  <si>
    <t>CRYOSPHERE</t>
  </si>
  <si>
    <t>In February 2023, the sea-ice extent around Antarctica dropped to 1.79 x 10 6 km 2 , setting a satellite-era record low for the second straight year. Recent records stress the need for further research into the factors behind record-breaking Antarctic sea-ice anomalies. By influencing the circumpolar westerly winds, the stratospheric polar vortex has played a major role in the Antarctic surface climate in recent decades. However, the footprint of the polar vortex variability in the year-to-year changes in the Antarctic sea-ice cover remains obscured. Here, we use satellite retrievals and reanalysis data to study the response of the sea-ice extent around Antarctica to changes in the polar vortex strength. We focus on the last 2 decades that saw sharp changes in the stratospheric zonal flow, the tropospheric westerly winds and the sea-ice cover (the latter climbed to record highs in 2013 and 2014 before dropping to record lows in 2017, 2022 and 2023). Our results suggest that this unprecedented interannual variability is noticeably influenced by the polar vortex dynamics. The signature of the stratosphere-troposphere coupling is apparent in recent records (highs and lows) in the sea-ice extent around Antarctica.</t>
  </si>
  <si>
    <t>Damiani, Alessandro/X-4677-2019; Llanillo, Pedro/L-5877-2015; Cordero, Raul/M-7979-2017; Yang, Zutao/LSL-2505-2024; Carrasco, Jorge/K-2949-2014</t>
  </si>
  <si>
    <t>Damiani, Alessandro/0000-0003-3014-6193; Bintanja, Richard/0000-0002-0465-5923; Feron, Sarah/0000-0002-0572-5639; Yang, Zutao/0000-0002-6919-569X; Cordero, Raul R./0000-0001-7607-7993; Carrasco, Jorge/0000-0003-2154-5483</t>
  </si>
  <si>
    <t>1994-0416</t>
  </si>
  <si>
    <t>1994-0424</t>
  </si>
  <si>
    <t>NOV 27</t>
  </si>
  <si>
    <t>10.5194/tc-17-4995-2023</t>
  </si>
  <si>
    <t>WOS:001168840600001</t>
  </si>
  <si>
    <t>Wang, CH; Song, JY; Shi, DC; Reyna, JL; Horsey, H; Feron, S; Zhou, YY; Ouyang, ZT; Li, Y; Jackson, RB</t>
  </si>
  <si>
    <t>Wang, Chenghao; Song, Jiyun; Shi, Dachuan; Reyna, Janet L.; Horsey, Henry; Feron, Sarah; Zhou, Yuyu; Ouyang, Zutao; Li, Ying; Jackson, Robert B.</t>
  </si>
  <si>
    <t>Impacts of climate change, population growth, and power sector decarbonization on urban building energy use</t>
  </si>
  <si>
    <t>NATURE COMMUNICATIONS</t>
  </si>
  <si>
    <t>Climate, technologies, and socio-economic changes will influence future building energy use in cities. However, current low-resolution regional and state-level analyses are insufficient to reliably assist city-level decision-making. Here we estimate mid-century hourly building energy consumption in 277 U.S. urban areas using a bottom-up approach. The projected future climate change results in heterogeneous changes in energy use intensity (EUI) among urban areas, particularly under higher warming scenarios, with on average 10.1-37.7% increases in the frequency of peak building electricity EUI but over 110% increases in some cities. For each 1 degrees C of warming, the mean city-scale space-conditioning EUI experiences an average increase/decrease of similar to 14%/ similar to 10% for space cooling/heating. Heterogeneous city-scale building source energy use changes are primarily driven by population and power sector changes, on average ranging from -9% to 40% with consistent south-north gradients under different scenarios. Across the scenarios considered here, the changes in city-scale building source energy use, when averaged over all urban areas, are as follows: -2.5% to -2.0% due to climate change, 7.3% to 52.2% due to population growth, and -17.1% to -8.9% due to power sector decarbonization. Our findings underscore the necessity of considering intercity heterogeneity when developing sustainable and resilient urban energy systems.</t>
  </si>
  <si>
    <t>Li, Ying/AAO-5093-2020; shi, dachuan/AGH-4182-2022; Zhou, Yuyu/ABF-1638-2020; Yang, Zutao/LSL-2505-2024; Wang, Chenghao/O-7961-2017; Song, Jiyun/JKJ-1398-2023</t>
  </si>
  <si>
    <t>Wang, Chenghao/0000-0001-8846-4130; Feron, Sarah/0000-0002-0572-5639; Li, Ying/0000-0001-8499-4935; Zhou, Yuyu/0000-0003-1765-6789; Yang, Zutao/0000-0002-6919-569X; Reyna, Janet/0000-0003-3336-2879; Song, Jiyun/0000-0002-9483-0501; Jackson, Robert/0000-0001-8846-7147</t>
  </si>
  <si>
    <t>2041-1723</t>
  </si>
  <si>
    <t>OCT 18</t>
  </si>
  <si>
    <t>10.1038/s41467-023-41458-5</t>
  </si>
  <si>
    <t>WOS:001100768000016</t>
  </si>
  <si>
    <t>Khalid, HM; Rafique, Z; Muyeen, SM; Raqeeb, A; Said, Z; Saidur, R; Sopian, K</t>
  </si>
  <si>
    <t>Khalid, Haris M.; Rafique, Zimran; Muyeen, S. M.; Raqeeb, Abdul; Said, Zafar; Saidur, R.; Sopian, Kamaruzzaman</t>
  </si>
  <si>
    <t>Dust accumulation and aggregation on PV panels: An integrated survey on impacts, mathematical models, cleaning mechanisms, and possible sustainable solution</t>
  </si>
  <si>
    <t>SOLAR ENERGY</t>
  </si>
  <si>
    <t>Photovoltaic (PV) panels are one of the most emerging components of renewable energy integration. However, where the PV systems bring power conversion efficiency with its bulk installation setup and eco-friendly feasibility, it also brings the factors that could hamper the performance and efficiency of the system. One of these dependent factors is the accumulation of dust particles and its aggregation which could significantly influence the effect of PV systems. The dust can accumulate in its various forms of soiling by fusing with other environmental variations like rain, storm, and humidity. To resolve these challenges which could impact the energy yield of PV systems, the impact of dust as well as effective cleaning mechanisms are required to be studied to restore the performance and power generation output. In this article, an integrated survey of (1) possible factors of dust accumulation, (2) dust impact analysis, (3) mathematical model of dust accumulated PV panels, and (4) proposed cleaning mechanisms discussed in the literature, and (5) a possible sustainable solution for PV systems to survive in this dust accumulated environment are presented. This study also represents handy information to readers, engineers, and practitioners on the development phase of various technologies involved in minimizing the impact of dust accumulation by its removal, adequate cleaning, and restoration. It also addresses the future possible challenges of these cleaning mechanisms. A comprehensive list of publications to date in the open literature is thereby compiled to canvas a complete visual of the different developments in this area.</t>
  </si>
  <si>
    <t>Rahman, Md saidur/HHY-9727-2022; Sopian, Kamaruzzaman/A-3850-2009; Muyeen, S M/GQA-7738-2022; Khalid, Haris M./T-5118-2017; Said Khan, Zafar/C-4086-2016</t>
  </si>
  <si>
    <t>Muyeen, S M/0000-0003-4955-6889; Khalid, Haris M./0000-0002-1136-6433; Said Khan, Zafar/0000-0003-2376-9309</t>
  </si>
  <si>
    <t>0038-092X</t>
  </si>
  <si>
    <t>1471-1257</t>
  </si>
  <si>
    <t>10.1016/j.solener.2023.01.010</t>
  </si>
  <si>
    <t>JAN 2023</t>
  </si>
  <si>
    <t>WOS:000926054600001</t>
  </si>
  <si>
    <t>Kim, CH; Moran, VE; Hohmann, J; Echeverria, J; Yen, HR; Lu, AP; Heinrich, M</t>
  </si>
  <si>
    <t>Kim, Cheorl-Ho; Moran, Valentina Echeverria; Hohmann, Judit; Echeverria, Javier; Yen, Hung-Rong; Lu, Aiping; Heinrich, Michael</t>
  </si>
  <si>
    <t>Editorial: Insights in ethnopharmacology: 2021</t>
  </si>
  <si>
    <t>FRONTIERS IN PHARMACOLOGY</t>
  </si>
  <si>
    <t>Echeverría, Javier/E-9989-2011; Heinrich, Michael/HSC-5705-2023; Yen, Jui-Hung/AAV-3455-2020; Kim, Cheorl-Ho/T-6753-2019; LU, Aiping/JDX-0577-2023; Moran, Valentina/E-7765-2013</t>
  </si>
  <si>
    <t>Echeverria, Valentina/0000-0003-2393-5418; Echeverria, Javier/0000-0002-1688-968X</t>
  </si>
  <si>
    <t>1663-9812</t>
  </si>
  <si>
    <t>SEP 20</t>
  </si>
  <si>
    <t>10.3389/fphar.2022.997577</t>
  </si>
  <si>
    <t>WOS:000869092300001</t>
  </si>
  <si>
    <t>Aguilar-Farias, N; Miranda-Marquez, S; Martino-Fuentealba, P; Sadarangani, KP; Chandia-Poblete, D; Mella-Garcia, C; Carcamo-Oyarzun, J; Cristi-Montero, C; Rodriguez-Rodriguez, F; Delgado-Floody, P; Von Oetinger, A; Balboa-Castillo, T; Peña, S; Cuadrado, C; Bedregal, P; Celis-Morales, C; Garcia-Hermoso, A; Cortínez-O'Ryan, A</t>
  </si>
  <si>
    <t>Aguilar-Farias, Nicolas; Miranda-Marquez, Sebastian; Martino-Fuentealba, Pia; Sadarangani, Kabir P.; Chandia-Poblete, Damian; Mella-Garcia, Camila; Carcamo-Oyarzun, Jaime; Cristi-Montero, Carlos; Rodriguez-Rodriguez, Fernando; Delgado-Floody, Pedro; Von Oetinger, Astrid; Balboa-Castillo, Teresa; Pena, Sebastian; Cuadrado, Cristobal; Bedregal, Paula; Celis-Morales, Carlos; Garcia-Hermoso, Antonio; Cortinez-O'Ryan, Andrea</t>
  </si>
  <si>
    <t>2018 Chilean Physical Activity Report Card for Children and Adolescents: Full Report and International Comparisons</t>
  </si>
  <si>
    <t>JOURNAL OF PHYSICAL ACTIVITY &amp; HEALTH</t>
  </si>
  <si>
    <t>Background: The study summarizes the findings of the 2018 Chilean Report Card (RC) on Physical Activity (PA) for Children and Adolescents and compares the results with the first Chilean RC and with other countries from the Global Matrix 3.0. Methods: A Research Work Group using a standardized methodology from the Global Matrix 3.0 awarded grades for 13 PA-related indicators based on the percentage of compliance for defined benchmarks. Different public data sets, government reports, and papers informed the indicators. Results: The grades assigned were for (1) behaviors that contribute to overall PA levels: overall PA, D-; organized sport participation, D-; active play. INC; and active transportation, F; (2) factors associated with cardiometabolic risk: sedentary behavior, C-; overweight and obesity, F; fitness, D; sleep, INC; and (3) factors that influence PA: family and peers, F; school, D; inclusion, INC; community and built environment, B; government strategies and investments, B-. Conclusions: Chile's grades remained low compared with the first RC. On the positive side, Chile is advancing in environmental and policy aspects. Our findings indicate that the implementation of new strategies should be developed through collaboration between different sectors to maximize effective investments for increasing PA and decreasing sedentary time among children and adolescents in Chile.</t>
  </si>
  <si>
    <t>Cristi-Montero, Carlos/AAE-4945-2020; Aguilar-Farias, Nicolas/V-2742-2018; García-Hermoso, Antonio/ADU-2591-2022; Delgado-Floody, Pedro/D-9779-2019; Miranda-Marquez, Sebastian/ABD-7429-2021; Cuadrado, Cristobal/Q-3705-2019; C, Andrea/ISB-2574-2023; Garcia-Hermoso, Antonio/P-1857-2017; Carcamo-Oyarzun, Jaime/N-2362-2015; Cuadrado, Cristobal/J-2572-2014; RODRIGUEZ, FERNANDO/F-2842-2016</t>
  </si>
  <si>
    <t>Pena, Sebastian/0000-0002-2555-4179; von Oetinger, Astrid/0000-0001-9949-9507; Cortinez-O'Ryan, Andrea/0000-0001-6207-3377; Garcia-Hermoso, Antonio/0000-0002-1397-7182; Balboa-Castillo, Teresa/0000-0002-8568-7539; Carcamo-Oyarzun, Jaime/0000-0002-7536-8788; Cuadrado, Cristobal/0000-0002-0174-5958; RODRIGUEZ, FERNANDO/0000-0002-4999-4857</t>
  </si>
  <si>
    <t>1543-3080</t>
  </si>
  <si>
    <t>1543-5474</t>
  </si>
  <si>
    <t>AUG</t>
  </si>
  <si>
    <t>10.1123/jpah.2020-0120</t>
  </si>
  <si>
    <t>WOS:000556530000005</t>
  </si>
  <si>
    <t>Legaz, A; Prado, P; Moguiler, S; Báez, S; Santamaría-García, H; Birba, A; Barttfeld, P; García, AM; Fittipaldi, S; Ibañez, A</t>
  </si>
  <si>
    <t>Legaz, Agustina; Prado, Pavel; Moguiler, Sebastian; Baez, Sandra; Santamaria-Garcia, Hernando; Birba, Agustina; Barttfeld, Pablo; Garcia, Adolfo M.; Fittipaldi, Sol; Ibanez, Agustin</t>
  </si>
  <si>
    <t>Social and non-social working memory in neurodegeneration</t>
  </si>
  <si>
    <t>NEUROBIOLOGY OF DISEASE</t>
  </si>
  <si>
    <t>Although social functioning relies on working memory, whether a social-specific mechanism exists remains unclear. This undermines the characterization of neurodegenerative conditions with both working memory and social deficits. We assessed working memory domain-specificity across behavioral, electrophysiological, and neuroimaging dimensions in 245 participants. A novel working memory task involving social and non-social stimuli with three load levels was assessed across controls and different neurodegenerative conditions with recognized impairments in: working memory and social cognition (behavioral-variant frontotemporal dementia); general cognition (Alzheimer's disease); and unspecific patterns (Parkinson's disease). We also examined resting -state theta oscillations and functional connectivity correlates of working memory domain-specificity. Results in controls and all groups together evidenced increased working memory demands for social stimuli associated with frontocinguloparietal theta oscillations and salience network connectivity. Canonical frontal theta oscillations and executive-default mode network anticorrelation indexed non-social stimuli. Behavioral-variant fronto-temporal dementia presented generalized working memory deficits related to posterior theta oscillations, with social stimuli linked to salience network connectivity. In Alzheimer's disease, generalized working memory impairments were related to temporoparietal theta oscillations, with non-social stimuli linked to the executive network. Parkinson's disease showed spared working memory performance and canonical brain correlates. Findings support a social-specific working memory and related disease-selective pathophysiological mechanisms.</t>
  </si>
  <si>
    <t>Birba, Agustina/AFR-3037-2022; Baez, Sandra/ABC-7150-2020; García, Adolfo/E-7150-2017; Ibanez, Agustin/H-7976-2015; Prado, Pavel/O-2711-2019</t>
  </si>
  <si>
    <t>Moguilner, Sebastian/0000-0003-1731-8325; Birba, Agustina/0000-0001-5998-6634; Santamaria Garcia, Hernando/0000-0001-9422-3579; Barttfeld, Pablo/0000-0001-8530-6938</t>
  </si>
  <si>
    <t>0969-9961</t>
  </si>
  <si>
    <t>1095-953X</t>
  </si>
  <si>
    <t>JUL</t>
  </si>
  <si>
    <t>10.1016/j.nbd.2023.106171</t>
  </si>
  <si>
    <t>JUN 2023</t>
  </si>
  <si>
    <t>WOS:001015209600001</t>
  </si>
  <si>
    <t>Baez, S; Fittipaldi, S; de la Fuente, LA; Carballo, M; Ferrando, R; García-Cordero, I; Campo, CG; Garcia, AM; Sedeño, L; Ibáñez, A</t>
  </si>
  <si>
    <t>Baez, Sandra; Fittipaldi, Sol; Alethia de la Fuente, Laura; Carballo, Marcela; Ferrando, Rodolfo; Garcia-Cordero, Indira; Gonzalez Campo, Cecilia; Garcia, Adolfo M.; Sedeno, Lucas; Ibanez, Agustin</t>
  </si>
  <si>
    <t>Empathy deficits and their behavioral, neuroanatomical, and functional connectivity correlates in smoked cocaine users</t>
  </si>
  <si>
    <t>PROGRESS IN NEURO-PSYCHOPHARMACOLOGY &amp; BIOLOGICAL PSYCHIATRY</t>
  </si>
  <si>
    <t>Reduced empathic abilities are frequently observed in drug abusers. These deficits may compromise interpersonal interactions and contribute to diminished social functioning. However, previous evidence regarding empathy and addiction is behaviorally unspecific and virtually null in terms of their brain structural or functional correlates. Moreover, no previous study has investigated how empathy is affected by drugs whose consumption is particularly characterized by counter-empathic behaviors. Here, we conducted the first assessment of neurocognitive correlates of empathy for pain in dependent users (predominantly men) of smoked cocaine (SC, coca paste, n = 37). We compared their performance in the empathy task with that of two groups matched in relevant demographic variables: 24 dependent users of insufflated cocaine hydrochloride (CC) and 21 healthy controls. In addition, we explored the structural anatomy and functional connectivity (FC) correlates of empathic impairments across groups. Our results showed that, compared to CC and controls, SC users exhibited a selective reduction of empathic concern for intentional harms. These impairments were associated with lower gray matter volumes in regions subserving social cognition (i.e., right inferior parietal lobule, supramarginal and angular gyri). Furthermore, reduced empathic concern correlated with FC within affective empathy and social cognition networks, which are also linked to cognitive changes reported in addiction (i.e., inferior frontal and orbital gyri, posterior insula, supplementary motor area, cingulate cortex). Our findings suggest that chronic consumption of SC may involve reduced empathic concern and relevant neuroanatomical and FC abnormalities, which, in turn, may result in social interaction dysfunction. These results can inform theoretical and applied developments in neuropsychopharmacology.</t>
  </si>
  <si>
    <t>García, Adolfo/E-7150-2017; Baez, Sandra/ABC-7150-2020; Ibanez, Agustin/H-7976-2015</t>
  </si>
  <si>
    <t>Ferrando, Rodolfo/0000-0001-8317-6332; Ibanez, Agustin/0000-0001-6758-5101; Carballo, Marcela/0000-0001-7117-7581; Garcia Cordero, Indira Ruth/0000-0001-9739-5018</t>
  </si>
  <si>
    <t>0278-5846</t>
  </si>
  <si>
    <t>1878-4216</t>
  </si>
  <si>
    <t>AUG 30</t>
  </si>
  <si>
    <t>10.1016/j.pnpbp.2021.110328</t>
  </si>
  <si>
    <t>APR 2021</t>
  </si>
  <si>
    <t>WOS:000670371100002</t>
  </si>
  <si>
    <t>Petermann-Rocha, F; Apolinar, E; Nazar, G; Diaz-Toro, F; Celis, A; Deo, S; Ferrari, G; O'Donovan, G</t>
  </si>
  <si>
    <t>Petermann-Rocha, Fanny; Apolinar, Evelia; Nazar, Gabriela; Diaz-Toro, Felipe; Celis, Andres; Deo, Salil; Ferrari, Gerson; O'Donovan, Gary</t>
  </si>
  <si>
    <t>Associations of diabesity with all-cause and cardiovascular disease mortality: Findings from the Mexico City Prospective Study</t>
  </si>
  <si>
    <t>DIABETES OBESITY &amp; METABOLISM</t>
  </si>
  <si>
    <t>AimTo investigate the joint associations of diabetes and obesity with all-cause and cardiovascular disease (CVD) mortality in the Mexico City Prospective Study.Materials and MethodsIn total, 154 128 participants (67.2% women) were included in this prospective analysis. Diabetes was self-reported, while body mass index was used to calculate obesity. Using diabetes and obesity classifications, six groups were created: (a) normal (no diabetes and normal weight); (b) normal weight and diabetes; (c) overweight but not diabetes (overweight); (d) overweight and diabetes (prediabesity); (e) obesity but not diabetes (obesity); and (f) obesity and diabetes (diabesity). Associations between these categories and outcomes were investigated using Cox proportional hazard models adjusted for confounder factors.ResultsDuring 18.3 years of follow-up, 27 197 (17.6%) participants died (28.5% because of CV causes). In the maximally adjusted model, participants those with the highest risk {hazard ratio (HR): 2.37 [95% confidence interval (CI): 2.24-2.51]}, followed by those with diabesity [HR: 2.04 (95% CI: 1.94-2.15)]. Similar trends of associations were observed for CVD mortality. The highest CV mortality risk was observed in individuals with diabesity [HR: 1.80 (95% CI: 1.63-1.99)], followed by normal weight and diabetic individuals [HR: 1.78 (95% CI: 1.60-1.98)].ConclusionThis large prospective study identified that diabetes was the main driver of all-cause and CVD mortality in all the categories studied, with diabesity being the riskiest. Given the high prevalence of both conditions in Mexico, our results reinforce the importance of initiating prevention strategies from an early age.</t>
  </si>
  <si>
    <t>Apolinar-Jiménez, Evelia/AAT-5963-2020; Petermann-Rocha, Fanny/AAK-1230-2021; Diaz-Toro, Felipe/ABC-8025-2020; Ferrari, Gerson/HHM-6173-2022; Deo, Salil/AHE-2796-2022; Ferrari, Gerson/P-1152-2014</t>
  </si>
  <si>
    <t>O'Donovan, Gary/0000-0001-6748-6218; Apolinar-Jimenez, Evelia/0000-0003-3905-3479; DEO, SALIL/0000-0002-4729-1461; Petermann Rocha, Fanny/0000-0002-4384-4962; Ferrari, Gerson/0000-0003-3177-6576</t>
  </si>
  <si>
    <t>1462-8902</t>
  </si>
  <si>
    <t>1463-1326</t>
  </si>
  <si>
    <t>JUN</t>
  </si>
  <si>
    <t>10.1111/dom.15528</t>
  </si>
  <si>
    <t>MAR 2024</t>
  </si>
  <si>
    <t>WOS:001178078900001</t>
  </si>
  <si>
    <t>Ibañez, A; Fittipaldi, S; Trujillo, C; Jaramillo, T; Torres, A; Cardona, JF; Rivera, R; Slachevsky, A; García, A; Bertoux, M; Baez, S</t>
  </si>
  <si>
    <t>Ibanez, Agustin; Fittipaldi, Sol; Trujillo, Catalina; Jaramillo, Tania; Torres, Alejandra; Cardona, Juan F.; Rivera, Rodrigo; Slachevsky, Andrea; Garcia, Adolfo; Bertoux, Maxime; Baez, Sandra</t>
  </si>
  <si>
    <t>Predicting and Characterizing Neurodegenerative Subtypes with Multimodal Neurocognitive Signatures of Social and Cognitive Processes</t>
  </si>
  <si>
    <t>JOURNAL OF ALZHEIMERS DISEASE</t>
  </si>
  <si>
    <t>Background: Social cognition is critically compromised across neurodegenerative diseases, including the behavioral variant frontotemporal dementia (bvFTD), Alzheimer's disease (AD), and Parkinson's disease (PD). However, no previous study has used social cognition and other cognitive tasks to predict diagnoses of these conditions, let alone reporting the brain correlates of prediction outcomes. Objective: We performed a diagnostic classification analysis using social cognition, cognitive screening (CS), and executive function (EF) measures, and explored which anatomical and functional networks were associated with main predictors. Methods: Multiple group discriminant function analyses (MDAs) and ROC analyses of social cognition (facial emotional recognition, theory of mind), CS, and EF were implemented in 223 participants (bvFTD, AD, PD, controls). Gray matter volume and functional connectivity correlates of top discriminant scores were investigated. Results: Although all patient groups revealed deficits in social cognition, CS, and EF, our classification approach provided robust discriminatory characterizations. Regarding controls, probabilistic social cognition outcomes provided the best characterization for bvFTD (together with CS) and PD, but not AD (for which CS alone was the best predictor). Within patient groups, the best MDA probabilities scores yielded high classification rates for bvFTD versus PD (98.3%, social cognition), AD versus PD (98.6%, social cognition + CS), and bvFTD versus AD (71.7%, social cognition + CS). TopMDA scores were associated with specific patterns of atrophy and functional networks across neurodegenerative conditions. Conclusion: Standardized validated measures of social cognition, in combination with CS, can provide a dimensional classification with specific pathophysiological markers of neurodegeneration diagnoses.</t>
  </si>
  <si>
    <t>Bertoux, Maxime/ITU-8399-2023; García, Adolfo/E-7150-2017; Trujillo-Llano, Catalina/IAQ-4026-2023; Baez, Sandra/ABC-7150-2020; Cardona, Juan Felipe/O-9436-2015; Ibanez, Agustin/H-7976-2015</t>
  </si>
  <si>
    <t>Trujillo-Llano, Catalina/0009-0006-5638-2062; Cardona, Juan Felipe/0000-0001-6795-7753; Ibanez, Agustin/0000-0001-6758-5101</t>
  </si>
  <si>
    <t>1387-2877</t>
  </si>
  <si>
    <t>1875-8908</t>
  </si>
  <si>
    <t>10.3233/JAD-210163</t>
  </si>
  <si>
    <t>WOS:000692658700020</t>
  </si>
  <si>
    <t>Dasgupta, A; Cieza, LA; González-Ruilova, C; Bhowmik, T; Chavan, P; Batalla-Falcon, G; Herczeg, G; Ruiz-Rodriguez, D; Williams, JP; Sierra, A; Casassus, S; Guilera, O; Pérez, S; Orcajo, S; Nogueira, PH; Hales, AS; Miley, JM; Rannou, FR; Zurlo, A</t>
  </si>
  <si>
    <t>Dasgupta, Anuroop; Cieza, Lucas A.; Gonzalez-Ruilova, Camilo; Bhowmik, Trisha; Chavan, Prachi; Batalla-Falcon, Grace; Herczeg, Gregory; Ruiz-Rodriguez, Dary; Williams, Jonathan P.; Sierra, Anibal; Casassus, Simon; Guilera, Octavio; Perez, Sebastian; Orcajo, Santiago; Nogueira, P. H.; Hales, A. S.; Miley, J. M.; Rannou, Fernando R.; Zurlo, Alice</t>
  </si>
  <si>
    <t>The Ophiuchus DIsk Survey Employing ALMA (ODISEA): Complete Size Distributions for the 100 Brightest Disks across Multiplicity and Spectral Energy Distribution Classes</t>
  </si>
  <si>
    <t>ASTROPHYSICAL JOURNAL LETTERS</t>
  </si>
  <si>
    <t>The size of a protoplanetary disk is a fundamental property, yet most remain unresolved, even in nearby star-forming regions (d similar to 140-200 pc). We present the complete continuum size distribution for the 105 brightest protoplanetary disks (M-dust greater than or similar to 2 M-circle plus) in the Ophiuchus cloud, obtained from ALMA Band 8 (410 GHz) observations at 0.'' 05 (7 au) to 0.'' 15 (21 au) resolution. This sample includes 54 Class II and 51 Class I and flat-spectrum sources, providing a comprehensive distribution across evolutionary stages. We measure the half-width at half-maximum and the radius encircling 68% of the flux (R-68%) for most nonbinary disks, yielding the largest flux-limited sample of resolved disks in any star-forming region. The distribution is log-normal with a median value of similar to 14 au and a logarithmic standard deviation sigma log=0.46 (factor of 2.9 in linear scale). Disks in close-binary systems (&lt;200 au separation) have smaller radii, with a median value of similar to 5 au, indicating efficient radial drift as predicted by dust evolution models. The size distribution for young embedded objects (spectral energy distribution Class I and flat spectrum, age less than or similar to 1 Myr) is similar to that of Class II objects (age similar to a few Myr), implying that pressure bumps must be common at early disk stages to prevent millimeter-sized particle migration at astronomical unit scales.</t>
  </si>
  <si>
    <t>Zurlo, Alice/Q-5011-2019; Pérez, Sebastián/AAS-5857-2020; Rannou, Fernando/G-5749-2019; Casassus, Simon/I-8609-2016; Williams, Jonathan/B-1643-2009</t>
  </si>
  <si>
    <t>Perez, Sebastian/0000-0003-2953-755X; Chavan, Prachi/0000-0003-2406-0684</t>
  </si>
  <si>
    <t>2041-8205</t>
  </si>
  <si>
    <t>2041-8213</t>
  </si>
  <si>
    <t>MAR 1</t>
  </si>
  <si>
    <t>L4</t>
  </si>
  <si>
    <t>10.3847/2041-8213/adb03c</t>
  </si>
  <si>
    <t>WOS:001440394500001</t>
  </si>
  <si>
    <t>Abrevaya, S; Fittipaldi, S; García, AM; Dottori, M; Santamaria-Garcia, H; Birba, A; Yoris, A; Hildebrandt, MK; Salamone, P; De la Fuente, A; Alarco-Martí, S; García-Cordero, I; Matorrel-Caro, M; Pautassi, RM; Serrano, C; Sedeño, L; Ibáñez, A</t>
  </si>
  <si>
    <t>Abrevaya, Sofia; Fittipaldi, Sol; Garcia, Adolfo M.; Dottori, Martin; Santamaria-Garcia, Hernando; Birba, Agustina; Yoris, Adrian; Hildebrandt, Malin Katharina; Salamone, Paula; De la Fuente, Alethia; Alarco-Marti, Sofia; Garcia-Cordero, Indira; Matorrel-Caro, Miguel; Pautassi, Ricardo Marcos; Serrano, Cecilia; Sedeno, Lucas; Ibanez, Agustin</t>
  </si>
  <si>
    <t>At the Heart of Neurological Dimensionality: Cross-Nosological and Multimodal Cardiac Interoceptive Deficits</t>
  </si>
  <si>
    <t>PSYCHOSOMATIC MEDICINE</t>
  </si>
  <si>
    <t>Objective Neurological nosology, based on categorical systems, has largely ignored dimensional aspects of neurocognitive impairments. Transdiagnostic dimensional approaches of interoception (the sensing of visceral signals) may improve the descriptions of cross-pathological symptoms at behavioral, electrophysiological, and anatomical levels. Alterations of cardiac interoception (encompassing multidimensional variables such as accuracy, learning, sensibility, and awareness) and its neural correlates (electrophysiological markers, imaging-based anatomical and functional connectivity) have been proposed as critical across disparate neurological disorders. However, no study has examined the specific impact of neural (relative to autonomic) disturbances of cardiac interoception or their differential manifestations across neurological conditions. Methods Here, we used a computational approach to classify and evaluate which markers of cardiac interoception (behavioral, metacognitive, electrophysiological, volumetric, or functional) offer the best discrimination between neurological conditions and cardiac (hypertensive) disease (model 1), and among neurological conditions (Alzheimer's disease, frontotemporal dementia, multiple sclerosis, and brain stroke; model 2). In total, the study comprised 52 neurological patients (mean [standard deviation] age = 55.1 [17.3] years; 37 women), 25 cardiac patients (age = 66.2 [9.1] years; 13 women), and 72 healthy controls (age = 52.65 [17.1] years; 50 women). Results Cardiac interoceptive outcomes successfully classified between neurological and cardiac conditions (model 1: &gt;80% accuracy) but not among neurological conditions (model 2: 53% accuracy). Behavioral cardiac interoceptive alterations, although present in all conditions, were powerful in differentiating between neurological and cardiac diseases. However, among neurological conditions, cardiac interoceptive deficits presented more undifferentiated and unspecific disturbances across dimensions. Conclusions Our result suggests a diffuse pattern of interoceptive alterations across neurological conditions, highlighting their potential role as dimensional, transdiagnostic markers.</t>
  </si>
  <si>
    <t>García, Adolfo/E-7150-2017; Birba, Agustina/AFR-3037-2022; Salamone, Paula/AAI-5016-2020; Abrevaya, Sofia/KLC-9330-2024; Ibanez, Agustin/H-7976-2015; Pautassi, Ricardo Marcos/G-7261-2018</t>
  </si>
  <si>
    <t>Birba, Agustina/0000-0001-5998-6634; Abrevaya, Sofia/0000-0003-4091-9962; Ibanez, Agustin/0000-0001-6758-5101; Hildebrandt, Malin Katharina/0000-0001-6450-0600; Santamaria Garcia, Hernando/0000-0001-9422-3579; Pautassi, Ricardo Marcos/0000-0003-1876-2321; Garcia Cordero, Indira Ruth/0000-0001-9739-5018</t>
  </si>
  <si>
    <t>0033-3174</t>
  </si>
  <si>
    <t>1534-7796</t>
  </si>
  <si>
    <t>NOV-DEC</t>
  </si>
  <si>
    <t>10.1097/PSY.0000000000000868</t>
  </si>
  <si>
    <t>WOS:000596036200006</t>
  </si>
  <si>
    <t>Ahmadi, MN; Rezende, LFM; Ferrari, G; Cruz, BD; Lee, IM; Stamatakis, E</t>
  </si>
  <si>
    <t>Ahmadi, Matthew N.; Rezende, Leandro F. M.; Ferrari, Gerson; Cruz, Borja Del Pozo; Lee, I-Min; Stamatakis, Emmanuel</t>
  </si>
  <si>
    <t>Do the associations of daily steps with mortality and incident cardiovascular disease differ by sedentary time levels? A device-based cohort study</t>
  </si>
  <si>
    <t>BRITISH JOURNAL OF SPORTS MEDICINE</t>
  </si>
  <si>
    <t>Objectives This study aims to examine the associations of daily step count with all-cause mortality and incident cardiovascular disease (CVD) by sedentary time levels and to determine if the minimal and optimal number of daily steps is modified by high sedentary time. Methods Using data from the UK Biobank, this was a prospective dose-response analysis of total daily steps across low (&lt;10.5 hours/day) and high (&gt;= 10.5 hours/day) sedentary time (as defined by the inflection point of the adjusted absolute risk of sedentary time with the two outcomes). Mortality and incident CVD was ascertained through 31 October 2021. Results Among 72 174 participants (age=61.1 +/- 7.8 years), 1633 deaths and 6190 CVD events occurred over 6.9 (+/- 0.8) years of follow-up. Compared with the referent 2200 steps/day (5th percentile), the optimal dose (nadir of the curve) for all-cause mortality ranged between 9000 and 10 500 steps/day for high (HR (95% CI)=0.61 (0.51 to 0.73)) and low (0.69 (0.52 to 0.92)) sedentary time. For incident CVD, there was a subtle gradient of association by sedentary time level with the lowest risk observed at approximately 9700 steps/day for high (0.79 (0.72 to 0.86)) and low (0.71 (0.61 to 0.83)) sedentary time. The minimal dose (steps/day associated with 50% of the optimal dose) of daily steps was between 4000 and 4500 steps/day across sedentary time groups for all-cause mortality and incident CVD. Conclusions Any amount of daily steps above the referent 2200 steps/day was associated with lower mortality and incident CVD risk, for low and high sedentary time. Accruing 9000-10 500 steps/day was associated with the lowest mortality risk independent of sedentary time. For a roughly equivalent number of steps/day, the risk of incident CVD was lower for low sedentary time compared with high sedentary time.</t>
  </si>
  <si>
    <t>Lee, I-Min/ABD-5409-2021; Ferrari, Gerson/HHM-6173-2022; Stamatakis, Emmanuel/C-4958-2009; Ahmadi, Matthew/AAJ-4003-2020; Rezende, Leandro/C-1724-2012; del Pozo Cruz, Borja/IAM-4325-2023; Ferrari, Gerson/P-1152-2014</t>
  </si>
  <si>
    <t>Rezende, Leandro/0000-0002-7469-1399; del Pozo Cruz, Borja/0000-0003-3944-2212; Ahmadi, Matthew/0000-0002-3115-338X; Ferrari, Gerson/0000-0003-3177-6576</t>
  </si>
  <si>
    <t>0306-3674</t>
  </si>
  <si>
    <t>1473-0480</t>
  </si>
  <si>
    <t>MAR</t>
  </si>
  <si>
    <t>10.1136/bjsports-2023-107221</t>
  </si>
  <si>
    <t>WOS:001189994800003</t>
  </si>
  <si>
    <t>Delgado-Floody, P; Chirosa-Rios, L; Caamano-Navarrete, F; Valdes-Badilla, P; Herrera-Valenzuela, T; Monsalves-alvarez, M; Nunez-Espinosa, C; Castro-Sepulveda, M; Guzman-Munoz, E; Andrade, DC; Alvarez, C</t>
  </si>
  <si>
    <t>Delgado-Floody, Pedro; Chirosa-Rios, Luis; Caamano-Navarrete, Felipe; Valdes-Badilla, Pablo; Herrera-Valenzuela, Tomas; Monsalves-alvarez, Matias; Nunez-Espinosa, Cristian; Castro-Sepulveda, Mauricio; Guzman-Munoz, Eduardo; Andrade, David C.; alvarez, Cristian</t>
  </si>
  <si>
    <t>Concurrent training and interindividual response in women with a high number of metabolic syndrome risk factors</t>
  </si>
  <si>
    <t>FRONTIERS IN PHYSIOLOGY</t>
  </si>
  <si>
    <t>The non-responders (NRs) after exercise training have been poorly studied in populations with morbid obesity. The purpose of this study was to determine the NR prevalence after 20 weeks of concurrent training of morbidly obese women with a high or low number of metabolic syndrome (MetS) risk factors. Twenty-eight women with morbid obesity participated in an exercise training intervention and were allocated into two groups distributed based on a high (&amp; GE;3, n = 11) or low number (&lt; 3, n = 17) of MetS risk factors. The main outcomes were waist circumference (WC), fasting plasma glucose (FPG), high-density lipids (HDL-c), triglycerides (Tg), and systolic (SBP) and diastolic (DBP) blood pressure, and secondary outcomes were body composition, anthropometric and physical fitness, determined before and after 20 weeks of concurrent training. NRs were defined as previously used technical error cut-off points for the MetS outcomes. Significantly different (all p &lt; 0.05) prevalences of NRs between the H-MetS vs. L-MetS groups (respectively) in WC (NRs 18.2 % vs. 41.1 %, p &lt; 0.0001), SBP (NRs 72.7 % vs. 47.0 %, p = 0.022), DBP (NRs 54.5 % vs. 76.4 %, p &lt; 0.0001), FPG (NRs 100% vs. 64.8 %, p &lt; 0.0001), and HDL-c (NRs 90.9 % vs. 64.7 %, p = 0.012) were observed. In addition, the H-MetS group evidenced significant changes on &amp; UDelta;SBP (-10.2 &amp; PLUSMN; 11.4 mmHg), &amp; UDelta;FPG (-5.8 &amp; PLUSMN; 8.2 mg/dl), &amp; UDelta;HDL-c (+4.0 &amp; PLUSMN; 5.9 mg/dl), and &amp; UDelta;Tg (-8.8 &amp; PLUSMN; 33.8 mg/dl), all p &lt; 0.05. The L-MetS group only showed significant changes in &amp; UDelta;WC (-3.8 &amp; PLUSMN; 5.0 cm, p = 0.009). Comparing H-MetS vs. L-MetS groups, significant differences were observed in increment FPG (-5.8 &amp; PLUSMN; 8.2 vs. +0.3 &amp; PLUSMN; 3.2 mg/dl, p = 0.027), but not in other MetS outcomes. In conclusion, 20 weeks of concurrent training promotes greater beneficial effects in morbidly obese patients with a high number of MetS risk factors. However, the NR prevalence for improving MetS outcomes was significantly superior in these more-diseased groups in SBP, FPG, and HDL-c, independent of their major training-induced effects.</t>
  </si>
  <si>
    <t>Monsalves-Alvarez, Matias/K-7610-2019; ALVAREZ, CRISTIAN/S-8150-2019; Núñez-Espinosa, Cristian/ADF-6181-2022; Andrade, David/S-5896-2019; Herrera-Valenzuela, Tomas/L-1819-2019; Ríos, Luis/AAX-2127-2020</t>
  </si>
  <si>
    <t>Andrade, David Cristobal/0000-0003-2006-1444; Guzman-Munoz, Eduardo/0000-0001-7001-9004; Castro-Sepulveda, Mauricio/0000-0002-2270-299X; Nunez Espinosa, Cristian Andres/0000-0002-9896-7062; , Felipe Caamano-Navarrete/0000-0002-6884-589X; Caldas de Andrade, Daniela/0000-0002-7907-9342; Alvarez, Cristian/0000-0003-4783-9981</t>
  </si>
  <si>
    <t>1664-042X</t>
  </si>
  <si>
    <t>SEP 23</t>
  </si>
  <si>
    <t>10.3389/fphys.2022.934038</t>
  </si>
  <si>
    <t>WOS:000870523400001</t>
  </si>
  <si>
    <t>Chu, Y; Aune, D; Yu, C; Wu, Y; Ferrari, G; Rezende, LFM; Wang, Y</t>
  </si>
  <si>
    <t>Chu, Y.; Aune, D.; Yu, C.; Wu, Y.; Ferrari, G.; Rezende, L. F. M.; Wang, Y.</t>
  </si>
  <si>
    <t>Temporal trends in sleep pattern among Chinese adults between 2010 and 2018: findings from five consecutive nationally representative surveys</t>
  </si>
  <si>
    <t>PUBLIC HEALTH</t>
  </si>
  <si>
    <t>Objectives: This study aimed to comprehensively analyze the time trends in average sleep duration and prevalence of short sleep, poor sleep quality, and high sleep debt among Chinese adults.Study design: This was a cross-sectional study.Methods: The study used nationally representative data from Chinese Family Panel Survey (CFPS) among adults aged &gt;= 18 years. Linear regression and logistic regression were used to calculate P-values for trends across waves, and absolute difference in prevalences were calculated by linear regression. Poisson regression analysis was used to calculate the prevalence ratios of sleep-related problems.Results: In 2018, the estimated average sleep duration in adults was 7.6 h/d. A shorter sleep duration, higher proportion of short sleep, and poor sleep quality were observed in people aged &gt;= 65 years, women, people with primary school education or below, and residents in Liaoning province. The average sleep duration slightly decreased from 8.2 h/d in 2010 to 7.6 h/d in 2016, and then remained stable from 2016 to 2018. The prevalence of short sleep duration has markedly increased from 11.8% in 2010 to 24.1% in 2016, and then there was a decline in prevalence from 2016 to 2018, although this decrease was not significant. The prevalence of high sleep debt among employed people increased from 6.2% in 2010 to 8.6% in 2018 (absolute difference, 2.4 p.p; P trend = 0.063). In addition, the prevalence of poor sleep quality increased from 15.6% in 2012 to 21.3% in 2018 (absolute difference of 5.7 p.p; P trend&lt;0.001). For all the sleep-related variables, the degree of changes varied by sociodemographic subgroups.Conclusions: In this nationally representative survey of the Chinese population, the average sleep duration slightly decreased from 2010 to 2016, and then remained stable from 2016 to 2018. Poor sleep quality, and high sleep debt increased among most of the sociodemographic subgroups. Future studies are needed to understand the drivers of changes in sleep health among Chinese adults.(c) 2023 The Royal Society for Public Health. Published by Elsevier Ltd. All rights reserved.</t>
  </si>
  <si>
    <t>Wang, Lijun/HPE-0990-2023; Aune, Dagfinn/AFP-4300-2022; Ferrari, Gerson/HHM-6173-2022; Rezende, Leandro/C-1724-2012; Ferrari, Gerson/P-1152-2014</t>
  </si>
  <si>
    <t>Rezende, Leandro/0000-0002-7469-1399; Ferrari, Gerson/0000-0003-3177-6576; Aune, Dagfinn/0000-0002-4533-1722</t>
  </si>
  <si>
    <t>0033-3506</t>
  </si>
  <si>
    <t>1476-5616</t>
  </si>
  <si>
    <t>DEC</t>
  </si>
  <si>
    <t>10.1016/j.puhe.2023.10.004</t>
  </si>
  <si>
    <t>NOV 2023</t>
  </si>
  <si>
    <t>WOS:001116827800001</t>
  </si>
  <si>
    <t>Tala, A; Plaza, C; Galleguillos, T; Donaire, E; Tagle, C; González, I; Fonseca, R; Saavedra, MP; Cruz, J; Fuentes, N; Ibarra, A; Lemus, C; Vergara, A; Sotomayor, MC; Núñez, A</t>
  </si>
  <si>
    <t>Tala, Alvaro; Plaza, Cecilia; Galleguillos, Tamara; Donaire, Eugenio; Tagle, Camila; Gonzalez, Isabel; Fonseca, Rodrigo; Saavedra, MarIa Paz; Cruz, Javiera; Fuentes, Natalia; Ibarra, Alvaro; Lemus, Constanza; Vergara, Andres; Cristina Sotomayor, Maria; Nunez, Agustin</t>
  </si>
  <si>
    <t>Medical education and well-being: orientations towards the implementation of a positive teaching</t>
  </si>
  <si>
    <t>REVISTA MEDICA DE CHILE</t>
  </si>
  <si>
    <t>The transition to and through college can affect the mental health of college students. The situation in medical students is particularly worrisome, considering that they have high rates of psychopathology. These mental health problems can be associated with worse academic and professional outcomes and worse patient care. In this scenario, it is relevant to look at how this problem can be addressed considering variables of both mental health and educational systems in medicine. Therefore, initiatives to promote well-being during the career are proposed. The importance of well-being at an institutional level should be defined. Also, the foundations of learning neurosciences from the point of view of well-being should be incorporated. Considering that well-being goes beyond the absence of discomfort, the role of educational environment both in learning and in mental health should be recognized. Proven effective interventions should be incorporated. It must be considered that not every initiative linked to well-being is necessarily positive and that discomfort to a certain extent can be exploited educatively as well. The well-being of medical students is a complex, dynamic and multidimensional issue. These principles are orientations for different actors of the educational process, to define how they will approach this problem in their contexts.</t>
  </si>
  <si>
    <t>Fuentes, Natalia/KIG-8791-2024</t>
  </si>
  <si>
    <t>0034-9887</t>
  </si>
  <si>
    <t>0717-6163</t>
  </si>
  <si>
    <t>WOS:000836614000013</t>
  </si>
  <si>
    <t>Ju, Y; Moran, M; Wang, XZ; Avila-Palencia, I; Cortinez-O'Ryan, A; Moore, K; Slovic, AD; Sarmiento, OL; Gouveia, N; Caiaffa, WT; Aguilar, G; Sales, DM; de Pina, MDRP; Coelho, DM; Dronova, I</t>
  </si>
  <si>
    <t>Ju, Yang; Moran, Mika; Wang, Xize; Avila-Palencia, Ione; Cortinez-O'Ryan, Andrea; Moore, Kari; Slovic, Anne Dorothee; Sarmiento, Olga L.; Gouveia, Nelson; Caiaffa, Waleska Teixeira; Aguilar, Guilherme; Sales, Denise Marques; Rodrigues Pereira de Pina, Maria De Fatima; Coelho, Debora Moraes; Dronova, Iryna</t>
  </si>
  <si>
    <t>Latin American cities with higher socioeconomic status are greening from a lower baseline: evidence from the SALURBAL project</t>
  </si>
  <si>
    <t>ENVIRONMENTAL RESEARCH LETTERS</t>
  </si>
  <si>
    <t>The characteristics of urban green space have context-dependent associations with socioeconomic status (SES). Latin American cities provide a unique but understudied context to assess the green space-SES associations. We measured the quantity and quality of green space as greenness from satellite-derived Normalized Difference Vegetation Index, and we modeled the relationship between greenness and SES in 371 major Latin American cities between 2000 and 2010. We found that SES was negatively associated with average greenness at city and sub-city scales, which could be explained by urbanization generally improving SES while reducing the provision of green space. About 82% of the cities and 64% of the sub-cities experienced greening or increases in greenness over time. Although with lower average greenness, cities with higher SES had greater greening; however, it was the opposite for sub-cities. We suggest that greening is more likely to take place in peripheral sub-cities where SES tends to be lower. The findings challenge the belief that places with higher SES have better access to environmental resources and amenities; instead, this relationship is context dependent.</t>
  </si>
  <si>
    <t>Sarmiento, Olga/AAS-4165-2020; Slovic, Anne/N-8506-2013; C, Andrea/ISB-2574-2023; Caiaffa, Waleska/JZT-0552-2024; Aguilar, Guilherme/KHV-0533-2024; Wang, Xize/AAL-4880-2021; Ju, Yang/AAI-8472-2021; Moraes Coelho, Débora/KBB-5981-2024; Ju, Yang/GXN-0618-2022; Avila-Palencia, Ione/J-1062-2018; Gouveia, Nelson/C-4580-2013; Pina, Maria de Fatima/N-7574-2014</t>
  </si>
  <si>
    <t>Aguilar, Guilherme Aparecido Santos/0000-0002-8276-3065; Caiaffa, Waleska/0000-0001-5043-4980; Ju, Yang/0000-0002-1947-7533; Sarmiento, Olga L/0000-0002-9190-3568; Avila-Palencia, Ione/0000-0002-4353-2256; Moran, Mika/0000-0002-4225-0388; Slovic, Anne Dorothee/0000-0002-4780-5813; Cortinez-O'Ryan, Andrea/0000-0001-6207-3377; Wang, Xize/0000-0002-4861-6002; , Kari/0000-0001-8771-2593; Gouveia, Nelson/0000-0003-0625-0265; Pina, Maria de Fatima/0000-0002-1521-7865; Moraes Coelho, Debora/0000-0003-0948-0971</t>
  </si>
  <si>
    <t>1748-9326</t>
  </si>
  <si>
    <t>OCT</t>
  </si>
  <si>
    <t>10.1088/1748-9326/ac2a63</t>
  </si>
  <si>
    <t>WOS:000708653600001</t>
  </si>
  <si>
    <t>Ferrari, G; Herrera-Cuenca, M; Zimberg, IZ; Guajardo, V; Gómez, G; Quesada, D; Rigotti, A; Cortés, LY; García, MY; Pareja, RG; Peralta, M; Marques, A; Leme, ACB; Kovalskys, I; Rollo, S; Fisberg, M</t>
  </si>
  <si>
    <t>Ferrari, Gerson; Herrera-Cuenca, Marianella; Zalcman Zimberg, Iona; Guajardo, Viviana; Gomez, Georgina; Quesada, Dayana; Rigotti, Attilio; Yadira Cortes, Lilia; Yepez Garcia, Martha; Pareja, Rossina G.; Peralta, Miguel; Marques, Adilson; Leme, Ana Carolina B.; Kovalskys, Irina; Rollo, Scott; Fisberg, Mauro</t>
  </si>
  <si>
    <t>ELANS Study Grp</t>
  </si>
  <si>
    <t>A Comparison of Associations Between Self-Reported and Device-Based Sedentary Behavior and Obesity Markers in Adults: A Multi-National Cross-Sectional Study</t>
  </si>
  <si>
    <t>ASSESSMENT</t>
  </si>
  <si>
    <t>The purpose of this study was to examine the associations between self-reported and device-based measures of sedentary behavior (SB) with obesity markers in adults from Latin American countries. Sitting time and total time spent in different SBs were self-reported using two different questionnaires. Accelerometers were used to assess total sedentary time. Body mass index, waist, and neck circumferences were assessed. The highest self-reported sitting time was in Argentina, the highest total time spent in different SBs was in Brazil and Costa Rica, and the highest device-based sedentary time was observed in Peru. Neither self-reported sitting time, total time spent in different SBs or device-based sedentary time were associated with body mass index. Device-based sedentary time was positively associated with waist circumference and self-reported sitting time was positively associated with neck circumference. Caution is warranted when comparing the associations of self-reported and device-based assessments of SB with anthropometric variables.</t>
  </si>
  <si>
    <t>Cortes, Lilia/AAF-2960-2019; Yépez, Maria/N-7710-2017; Fisberg, Mauro/E-7149-2010; Gomez, Georgina/AAR-7272-2020; Ferrari, Gerson/ABG-6635-2021; Pareja, Rossina/D-9892-2018; Barco Leme, Ana Carolina/H-3619-2015; Marques, Adilson/K-4529-2014; Ferrari, Gerson/P-1152-2014; Peralta, Miguel/H-1666-2017</t>
  </si>
  <si>
    <t>Pareja, Rossina/0000-0001-7523-3181; Barco Leme, Ana Carolina/0000-0003-2782-4301; Marques, Adilson/0000-0001-9850-7771; Ferrari, Gerson/0000-0003-3177-6576; Peralta, Miguel/0000-0001-6072-6012; Cortes, Lilia Yadira/0000-0003-2789-3219</t>
  </si>
  <si>
    <t>1073-1911</t>
  </si>
  <si>
    <t>1552-3489</t>
  </si>
  <si>
    <t>10.1177/10731911211017637</t>
  </si>
  <si>
    <t>MAY 2021</t>
  </si>
  <si>
    <t>WOS:000657115200001</t>
  </si>
  <si>
    <t>Khalid, HM; Qasaymeh, MM; Muyeen, SM; Moursi, MSE; Foley, AM; Sweidan, TO; Sanjeevikumar, P</t>
  </si>
  <si>
    <t>Khalid, Haris M.; Qasaymeh, M. M.; Muyeen, S. M.; Moursi, Mohamed S. El; Foley, Aoife M.; Sweidan, Tha'er O.; Sanjeevikumar, P.</t>
  </si>
  <si>
    <t>WAMS Operations in Power Grids: A Track Fusion-Based Mixture Density Estimation-Driven Grid Resilient Approach Toward Cyberattacks</t>
  </si>
  <si>
    <t>IEEE SYSTEMS JOURNAL</t>
  </si>
  <si>
    <t>Synchrophasor-based wide-area monitoring system (WAMS) applications are vital for acquiring the real-time grid information under ambient and nonlinear conditions. The high dependence on sensor data and signal-processing software for daily grid operation is becoming a concern in an era prone to cyberattacks. To resolve this issue, a mixture density-based maximum likelihood (MDML) estimation was proposed to detect attack vectors. The algorithm was deployed at each monitoring node using a track-level fusion (TLF)-based architecture. A parallelized message passing interface (MPI)-based computing was processed to reduce its computational burden. This work adopted a mature application known as oscillation detection as an example of a monitoring candidate to demonstrate the proposed method. Two test cases were generated to examine the resilience and scalability of the proposed scheme. The tests were conducted in severe data-injection attacks and multiple system disturbances. Results show that the proposed TLF-based MDML estimation method can accurately extract the oscillatory parameters from the contaminated measurements.</t>
  </si>
  <si>
    <t>Qasaymeh, Mahmoud/KVY-5302-2024; Moursi, Mohamed/F-2942-2013; Muyeen, S M/GQA-7738-2022; Foley, Aoife/N-4404-2017; Khalid, Haris M./T-5118-2017; Padmanaban, Sanjeevikumar/N-2245-2014</t>
  </si>
  <si>
    <t>Foley, Aoife/0000-0001-6491-2592; Khalid, Haris M./0000-0002-1136-6433; El Moursi, Mohamed/0000-0001-6695-5342; Padmanaban, Sanjeevikumar/0000-0003-3212-2750; , Mahmoud/0009-0006-0836-6113</t>
  </si>
  <si>
    <t>1932-8184</t>
  </si>
  <si>
    <t>1937-9234</t>
  </si>
  <si>
    <t>SEP</t>
  </si>
  <si>
    <t>10.1109/JSYST.2023.3285492</t>
  </si>
  <si>
    <t>WOS:001025570700001</t>
  </si>
  <si>
    <t>Rojas, G; Martínez, P; Guajardo, V; Campos, S; Herrera, P; Vöhringer, PA; Gómez, V; Szabo, W; Araya, R</t>
  </si>
  <si>
    <t>Rojas, Graciela; Martinez, Pablo; Guajardo, Viviana; Campos, Solange; Herrera, Pablo; Vohringer, Paul A.; Gomez, Victor; Szabo, Wilsa; Araya, Ricardo</t>
  </si>
  <si>
    <t>A collaborative, computer-assisted, psycho-educational intervention for depressed patients with chronic disease at primary care: protocol for a cluster randomized controlled trial</t>
  </si>
  <si>
    <t>BMC PSYCHIATRY</t>
  </si>
  <si>
    <t>Background: Depression and chronic diseases are frequently comorbid public health problems. However, clinical guidelines often fail to consider comorbidities. This study protocol describes a cluster randomized trial (CRT) aimed to compare the effectiveness of a collaborative, computer-assisted, psycho-educational intervention versus enhanced usual care (EUC) in the treatment of depressed patients with hypertension and/or diabetes in primary care clinics (PCC) in Santiago, Chile. Methods: Two-arm, single-blind, CRT carried out at two municipalities in Santiago, Chile. Eight PCC will be randomly assigned (1:1 ratio within each municipality, 4 PCC in each municipality) to the INTERVENTION or EUC. A total of 360 depressed patients, aged at least 18 years, with Patient Health Questionnaire-9 Item [PHQ-9] scores &gt;= 15, and enrolled in the Cardiovascular Health Program at the participating PCC. Patients with alcohol/substance abuse; current treatment for depression, bipolar disorder, or psychosis; illiteracy; severe impairment; and resident in long-term care facilities, will be excluded. Patients in both arms will be invited to use the Web page of the project, which includes basic health education information. Patients in the INTERVENTION will receive eight sessions of a computer-assisted, psycho-educational intervention delivered by trained therapists, a structured telephone calls to monitor progress, and usual medical care for chronic diseases. Therapists will receive biweekly and monthly supervision by psychologist and psychiatrist, respectively. A monthly meeting will be held between the PCC team and a member of the research team to ensure continuity of care. Patients in EUC will receive depression treatment according to clinical guidelines and usual medical care for chronic diseases. Outcome assessments will be conducted at 3, 6, and 12 months after enrollment. The primary outcome will be depression improvement at 6 months, defined as &gt;= 50% reduction in baseline PHQ-9 scores. Intention-to-treat analyses will be performed. Discussion: This study will be one of the first to provide evidence for the effectiveness of a collaborative, computer-assisted, psycho-educational intervention for depressed patients with chronic disease at primary care in a Latin American country.</t>
  </si>
  <si>
    <t>Martínez, Pablo/LZF-5853-2025; Araya, Ricardo/S-3144-2019; Vohringer, Paul A/B-5860-2013</t>
  </si>
  <si>
    <t>Araya, Ricardo/0000-0002-0420-5148; rojas, maria graciela/0000-0002-9577-7415; Martinez, Pablo/0000-0003-4482-7993; Guajardo, Viviana/0000-0003-3906-5584; Vohringer, Paul A/0000-0002-2460-4680</t>
  </si>
  <si>
    <t>1471-244X</t>
  </si>
  <si>
    <t>AUG 21</t>
  </si>
  <si>
    <t>10.1186/s12888-021-03380-2</t>
  </si>
  <si>
    <t>WOS:000687156400001</t>
  </si>
  <si>
    <t>Griep, Y; Lukic, A; Kraak, JM; Bohle, SAL; Jiang, L; Vander Elst, T; De Witte, H</t>
  </si>
  <si>
    <t>Griep, Yannick; Lukic, Alexandra; Kraak, Johannes M.; Bohle, Sergio Andres Lopez; Jiang, Lixin; Vander Elst, Tinne; De Witte, Hans</t>
  </si>
  <si>
    <t>The chicken or the egg: The reciprocal relationship between job insecurity and mental health complaints</t>
  </si>
  <si>
    <t>JOURNAL OF BUSINESS RESEARCH</t>
  </si>
  <si>
    <t>To push the job insecurity literature forward, we bring together and simultaneously examine multiple theoretical frameworks to explain the direct job insecurity-mental health relationship and the reciprocal mental health-job insecurity relationship. Using 3-wave survey data, with a six-month time lag, from 1994 employees, we found that the stability of job insecurity from Time 1 to Time 2 was positively related to stress and social exchange mechanisms, as well as mental health complaints at Time 3. We also found that the stability of mental health complaints from Time 1 to Time 2 was positively related to the conservation of resources mechanism of absenteeism, as well as to perceptions of job insecurity at Time 3. Moreover, the stability of absenteeism over time was positively related to perceptions of job insecurity at Time 3. We discuss implications for the job insecurity literature, as well as make suggestions for future research and practical implications.</t>
  </si>
  <si>
    <t>Griep, Yannick/P-6621-2018; Bohle, Sergio/P-7698-2014</t>
  </si>
  <si>
    <t>Lopez Bohle, Sergio/0000-0002-6202-4089; Jiang, Lixin/0000-0003-0853-9329; De Witte, Hans/0000-0002-6691-517X; Kraak, Johannes/0000-0001-9073-4208; Vander Elst, Tinne/0000-0001-8709-2371</t>
  </si>
  <si>
    <t>0148-2963</t>
  </si>
  <si>
    <t>1873-7978</t>
  </si>
  <si>
    <t>10.1016/j.jbusres.2020.12.045</t>
  </si>
  <si>
    <t>JAN 2021</t>
  </si>
  <si>
    <t>WOS:000620055100015</t>
  </si>
  <si>
    <t>Troncoso, C; Petermann-Rocha, F; Brown, R; Leiva, AM; Martinez, MA; Diaz-Martinez, X; Garrido-Mendez, A; Poblete-Valderrama, F; Iturra-Gonzalez, JA; Villagran, M; Mardones, L; Salas-Bravo, C; Ulloa, N; Garcia-Hermoso, A; Ramirez-Velez, R; Gomez, JV; Celis-Morales, C</t>
  </si>
  <si>
    <t>Troncoso, Claudia; Petermann-Rocha, Fanny; Brown, Rosemary; Maria Leiva, Ana; Adela Martinez, Maria; Diaz-Martinez, Ximena; Garrido-Mendez, Alex; Poblete-Valderrama, Felipe; Iturra-Gonzalez, Jose A.; Villagran, Marcelo; Mardones, Lorena; Salas-Bravo, Carlos; Ulloa, Natalia; Garcia-Hermoso, Antonio; Ramirez-Velez, Robinson; Vasquez Gomez, Jaime; Celis-Morales, Carlos</t>
  </si>
  <si>
    <t>Patterns of healthy lifestyle behaviours in older adults: Findings from the Chilean National Health Survey 2009-2010</t>
  </si>
  <si>
    <t>EXPERIMENTAL GERONTOLOGY</t>
  </si>
  <si>
    <t>The purpose of this study was to investigate healthy lifestyle behaviours across age categories in the older population in Chile. Data from 1390 older adults (&gt;= 60 years), in the 2009-2010 Chilean National Health Survey were analyzed. We derived the following age categories: 60-65, 66-70, 71-75, 76-80 and &gt; 80 years. The associations between age and compliance with healthy lifestyle behaviours (smoking, sitting time, physical activity, sleep duration and intake of salt, alcohol, fruit and vegetables) were investigated using logistic regression. The probability of meeting the guidelines for alcohol intake (OR trend: 1.35 [95% CI: 1.11; 1.64], p = 0.001) and smoking (OR trend: 1.23 [95% CI: 1.13; 1.33], p &lt; 0.0001) increased with age, whereas spending &lt; 4 h per day sitting time or engaging in at least 150 min of physical activity per week or sleep on average between 7 and 9 h per day were less likely to be met with increasing age (OR trend: 0.77 [95% CI: 0.71; 0.83], p &lt; 0.000; OR trend: 0.73 [95% CI: 0.67; 0.79], p &lt; 0.0001, and OR trend: 0.89 [95% CI: 0.82; 0.96], p = 0.002, respectively). No significant trend across age categories was observed for fruit and vegetables, and salt intake. The probability of meeting at least 3 out of 7 healthy lifestyle behaviours across the age categories was also lower in older age categories compared to those aged 60 to 65 years. Overall, in older adults the probability of having the healthy lifestyle behaviours of physical activity, sitting time and sleeping behaviours was low but not for smoking or alcohol consumption. With an increasingly ageing population, these findings could inform stakeholders on which lifestyle behaviours could be targeted in the older adults and therefore which interventions should take place to promote healthy ageing.</t>
  </si>
  <si>
    <t>Garrido, Alex/IAP-5408-2023; Leiva, Ana/MTF-8082-2025; Villagran, Marcelo/AAP-1171-2020; Sanchez-Ferrer, MªLuisa/M-3080-2014; Petermann-Rocha, Fanny/AAK-1230-2021; García-Hermoso, Antonio/ADU-2591-2022; Mardones, Lorena/Z-4896-2019; Vásquez-Gómez, Jaime/AAJ-4316-2020; Diaz Martinez, Ximen/A-3527-2017; Ramirez-Velez, Robinson/D-5311-2016; Garcia-Hermoso, Antonio/P-1857-2017; Troncoso-Pantoja, Claudia/E-8932-2019; Mardones, Lorena/HHS-7166-2022</t>
  </si>
  <si>
    <t>Diaz Martinez, Ximen/0000-0001-9730-4374; Petermann Rocha, Fanny/0000-0002-4384-4962; Ramirez-Velez, Robinson/0000-0003-3075-6960; Martinez, Maria Adela/0000-0002-7609-7705; Garcia-Hermoso, Antonio/0000-0002-1397-7182; Brown, Rosemary/0000-0002-1719-2761; Villagran, Marcelo/0000-0003-3645-5659; Iturra Gonzalez, Jose Alejandro/0000-0002-5419-0757; Troncoso-Pantoja, Claudia/0000-0002-8433-5750; Mardones, Lorena/0000-0001-8037-4296</t>
  </si>
  <si>
    <t>0531-5565</t>
  </si>
  <si>
    <t>1873-6815</t>
  </si>
  <si>
    <t>10.1016/j.exger.2018.09.026</t>
  </si>
  <si>
    <t>WOS:000449275300021</t>
  </si>
  <si>
    <t>Mallol, J; Solé, D; Aranda, C; Toledo, EC; Aguirre, V; Urrutia-Pereira, M; Szulman, GA; Rosario, N; Chong, H; Sanchez-Lacerda, L; Niederbacher, J; Pinchak, C; de Olivera, PP; Arruda-Chávez, E; García-Marcos, L</t>
  </si>
  <si>
    <t>Mallol, Javier; Sole, Dirceu; Aranda, Carolina; Toledo, Eliana C.; Aguirre, Viviana; Urrutia-Pereira, Marilyn; Szulman, Gabriela A.; Rosario, Nelson; Chong, Herberto; Sanchez-Lacerda, Lillian; Niederbacher, Jurg; Pinchak, Catalina; de Olivera, Patricia Polles; Arruda-Chavez, Erika; Garcia-Marcos, Luis</t>
  </si>
  <si>
    <t>EISL Phase 3 Study Grp</t>
  </si>
  <si>
    <t>Hospital admission for symptoms exacerbation in 2,075 infants suffering from recurrent asthma-like symptoms: (EISL-3 South America)</t>
  </si>
  <si>
    <t>ALLERGOLOGIA ET IMMUNOPATHOLOGIA</t>
  </si>
  <si>
    <t>Background: Contrary to what happens in children and adults, the prevalence and the factors related to hospitalisation for asthma/wheezing in infants with recurrent asthma-like symptoms are poorly known. Methods: This study is part of the International Study of Wheezing in infants Phase 3; 2,079 infants (aged 12-18 months) with recurrent asthma-like symptoms, from 11 South American centres, were studied to determine the prevalence and the associated factors for wheezing exacerbation admission. Descriptive statistics and multivariate logistic regression were employed for analysis. Results: The prevalence of admission for wheezing was 29.7% (95% CI 27.7-31.6) and was significantly associated to severe wheezing episodes (OR: 3.89; 95% CI: 2.93-5.18, p &lt;0.001), physician-diagnosed asthma (OR: 1.79; 95% CI: 1.33-2.41, p.0.0001), use of inhaled corticosteroids (OR: 1.78; 95%CI: 1.38-2.29, p&lt;0.00011, maternal tobacco smoking during pregnancy (OR: 1.69; 95% CI: 1.19-2.39, p=0.003) and onset of wheezing in the first trimester of life (OR: 1.30; 95% CI: 1.02-1.66, p=0.038). Breast feeding &gt;= 4 months (OR: 0.72; 95% CI: 0.54-0.96, p=0.004), maternal high educational level (&gt;12 years) (OR: 0.66; 95% CI: 0.51-0.85, p=0.001) and total monthly household income &gt;= USS 3,000 (OR: 0.34; 95% CI: 0.18-0.67, p=0.002), were protective factors. Conclusions: Infants with recurrent asthma-like symptoms have a high rate of admissions. Tobacco smoking in pregnancy, viral respiratory illness in the first trimester of life and severe progression were risks for admissions. Improving medical management to prevent severe exacerbations, prolonging the postnatal period at home longer than 3 months, favouring breast-feeding and avoiding smoking during pregnancy may have a preventive role for admissions in infants with recurrent asthma-like symptoms. (C) 2021 Codon Publications. Published by Codon Publications.</t>
  </si>
  <si>
    <t>Solé, Dirceu/JAO-0340-2023; Rosario Filho, Nelson/HSE-9522-2023</t>
  </si>
  <si>
    <t>0301-0546</t>
  </si>
  <si>
    <t>1578-1267</t>
  </si>
  <si>
    <t>10.15586/aei.v49i4.100</t>
  </si>
  <si>
    <t>WOS:000669521100007</t>
  </si>
  <si>
    <t>Arce-Tord, C; Vidal, M; Casassus, S; Cárcamo, M; Dickinson, C; Hensley, BS; Génova-Santos, R; Bond, JR; Jones, ME; Readhead, ACS; Taylor, AC; Zensus, JA</t>
  </si>
  <si>
    <t>Arce-Tord, Carla; Vidal, Matias; Casassus, Simon; Carcamo, Miguel; Dickinson, Clive; Hensley, Brandon S.; Genova-Santos, Ricardo; Bond, J. Richard; Jones, Michael E.; Readhead, Anthony C. S.; Taylor, Angela C.; Zensus, J. Anton</t>
  </si>
  <si>
    <t>Resolved observations at 31 GHz of spinning dust emissivity variations in ρ Oph</t>
  </si>
  <si>
    <t>MONTHLY NOTICES OF THE ROYAL ASTRONOMICAL SOCIETY</t>
  </si>
  <si>
    <t>The rho Oph molecular cloud is one of the best examples of spinning dust emission, first detected by the cosmic background imager (CBI). Here, we present 4.5 arcmin observations with CBI 2 that confirm 31 GHz emission from rho Oph W, the PDR exposed to B-type star HD 147889, and highlight the absence of signal from Si, the brightest IR nebula in the complex. In order to quantify an association with dust-related emission mechanisms, we calculated correlations at different angular resolutions between the 31 GHz map and proxies for the column density of IR emitters, dust radiance, and optical depth templates. We found that the 31 GHz emission correlates best with the PAH column density tracers, while the correlation with the dust radiance improves when considering emission that is more extended (from the shorter baselines), suggesting that the angular resolution of the observations affects the correlation results. A proxy for the spinning dust emissivity reveals large variations within the complex, with a dynamic range of 25 at 3 sigma and a variation by a factor of at least 23, at 3 sigma, between the peak in rho Oph W and the location of S1, which means that environmental factors are responsible for boosting spinning dust emissivities locally.</t>
  </si>
  <si>
    <t>Casassus, Simon/I-8609-2016; Vidal, Matias/ISA-0138-2023; Santos, Ricardo/B-4118-2017; Carcamo, Miguel/LEM-3690-2024; Hensley, Brandon/D-8168-2014</t>
  </si>
  <si>
    <t>Vidal, Matias/0000-0003-2134-1587; Casassus, Simon/0000-0002-0433-9840; Dickinson, Clive/0000-0002-0045-442X; Arce-Tord, Carla/0000-0002-0176-4331</t>
  </si>
  <si>
    <t>0035-8711</t>
  </si>
  <si>
    <t>1365-2966</t>
  </si>
  <si>
    <t>10.1093/mnras/staa1422</t>
  </si>
  <si>
    <t>WOS:000543025500066</t>
  </si>
  <si>
    <t>Sepúlveda, E; Cordero, RR; Damiani, A; Feron, S; Pizarro, J; Zamorano, F; Kivi, R; Sánchez, R; Yela, M; Jumelet, J; Godoy, A; Carrasco, J; Crespo, JS; Seckmeyer, G; Jorquera, JA; Carrera, JM; Valdevenito, B; Cabrera, S; Redondas, A; Rowe, PM</t>
  </si>
  <si>
    <t>Sepulveda, Edgardo; Cordero, Raul R.; Damiani, Alessandro; Feron, Sarah; Pizarro, Jaime; Zamorano, Felix; Kivi, Rigel; Sanchez, Ricardo; Yela, Margarita; Jumelet, Julien; Godoy, Alejandro; Carrasco, Jorge; Crespo, Juan S.; Seckmeyer, Gunther; Jorquera, Jose A.; Carrera, Juan M.; Valdevenito, Braulio; Cabrera, Sergio; Redondas, Alberto; Rowe, Penny M.</t>
  </si>
  <si>
    <t>Evaluation of Antarctic Ozone Profiles derived from OMPS-LP by using Balloon-borne Ozonesondes</t>
  </si>
  <si>
    <t>SCIENTIFIC REPORTS</t>
  </si>
  <si>
    <t>Predicting radiative forcing due to Antarctic stratospheric ozone recovery requires detecting changes in the ozone vertical distribution. In this endeavor, the Limb Profiler of the Ozone Mapping and Profiler Suite (OMPS-LP), aboard the Suomi NPP satellite, has played a key role providing ozone profiles over Antarctica since 2011. Here, we compare ozone profiles derived from OMPS-LP data (version 2.5 algorithm) with balloon-borne ozonesondes launched from 8 Antarctic stations over the period 2012-2020. Comparisons focus on the layer from 12.5 to 27.5 km and include ozone profiles retrieved during the Sudden Stratospheric Warming (SSW) event registered in Spring 2019. We found that, over the period December-January-February-March, the root mean square error (RMSE) tends to be larger (about 20%) in the lower stratosphere (12.5-17.5 km) and smaller (about 10%) within higher layers (17.5-27.5 km). During the ozone hole season (September-October-November), RMSE values rise up to 40% within the layer from 12.5 to 22 km. Nevertheless, relative to balloon-borne measurements, the mean bias error of OMPS-derived Antarctic ozone profiles is generally lower than 0.3 ppmv, regardless of the season.</t>
  </si>
  <si>
    <t>Godoy, Alejandro/GPS-4942-2022; Damiani, Alessandro/X-4677-2019; Cordero, Raul/M-7979-2017; Redondas, Alberto/L-9299-2015; Carrasco, Jorge/K-2949-2014; Yela Gonzalez, Margarita/J-7346-2016</t>
  </si>
  <si>
    <t>Godoy, Alejandro Anibal/0000-0002-8599-4029; Feron, Sarah/0000-0002-0572-5639; Cordero, Raul R./0000-0001-7607-7993; Damiani, Alessandro/0000-0003-3014-6193; Carrasco, Jorge/0000-0003-2154-5483; Yela Gonzalez, Margarita/0000-0003-3775-3156</t>
  </si>
  <si>
    <t>2045-2322</t>
  </si>
  <si>
    <t>FEB 22</t>
  </si>
  <si>
    <t>10.1038/s41598-021-81954-6</t>
  </si>
  <si>
    <t>WOS:000621911100002</t>
  </si>
  <si>
    <t>de Victo, ER; Kovalskys, I; Fisberg, M; Gómez, G; Rigotti, A; Cortés, LY; García, MY; Pareja, RG; Herrera-Cuenca, M; Solé, D; Drenowatz, C; Marques, A; Ferrari, G</t>
  </si>
  <si>
    <t>de Victo, Eduardo Rossato; Kovalskys, Irina; Fisberg, Mauro; Gomez, Georgina; Rigotti, Attilio; Cortes, Lilia Yadira; Garcia, Martha Yepez; Pareja, Rossina G.; Herrera-Cuenca, Marianella; Sole, Dirceu; Drenowatz, Clemens; Marques, Adilson; Ferrari, Gerson</t>
  </si>
  <si>
    <t>Are the different cut-off points for sitting time associated with excess weight in adults? A population based study in Latin America</t>
  </si>
  <si>
    <t>BMC PUBLIC HEALTH</t>
  </si>
  <si>
    <t>BackgroundExcess weight is increasing worldwide, and in Latin America more than half of the population is excess weight. One of the reasons for this increase has been excessive sitting time. Still, it remains to be seen whether there is an excessive amount of that time in Latin American adults. This study aimed to associate different sitting time cut-off points with the excess weight.MethodsData from the Latin American Study of Nutrition and Health (ELANS), a cross-sectional population-based survey conducted in eight Latin American countries, were used. The excess weight indicators used were body mass index, and waist and neck circumferences. Sitting time was obtained using questionnaires and categorized at different cut-off points. Differences between sitting time categories (&lt; 4 or &gt;= 4; &lt; 6 or &gt;= 6; and &lt; 8 or &gt;= 8 hours/day) and excess weight were obtained by Student's t test for independent samples and the association between sitting time categories and different indicators of excess weight were obtained by logistic regression.ResultsThe median of the sitting time was 420 min/day (IQR: 240-600). There were no significant differences between body mass index (kg/m(2)) and waist circumference (cm) with categories of sitting time. The mean values of neck circumference (cm) were significantly higher in &gt;= 4, &gt;= 6 and &gt;= 8 hours/day than &lt; 4, &lt; 6, and &lt; 8 hours/day of sitting time in the pooled sample. Some distinct differences by country were observed. There were significant differences among excess weight by body mass index (63.2% versus 60.8) with &lt; 8 vs &gt;= 8 hours/day of sitting time. The proportion of excess weight by neck circumference was higher in participants who reported &gt;= 4, &gt;= 6, and &gt;= 8 hours/day compared to &lt; 4, &lt; 6, and &lt; 8 hours/day of sitting time. Considering &gt;= 8 hours/day of sitting time, higher odds of excess weight were found evaluated by body mass index (OR: 1.10; 95% CI: 1.01, 1.20) and neck circumference (OR: 1.13; CI 95%: 1.03, 1.24) overall.ConclusionsSitting time above 8 hours/day was associated with higher odds of excess weight, even though there were no differences in waist circumference between sitting time categories.</t>
  </si>
  <si>
    <t>Gomez, Georgina/AAR-7272-2020; Ferrari, Gerson/HHM-6173-2022; Solé, Dirceu/JAO-0340-2023; Victo, Eduardo/JQI-9333-2023; Cortes, Lilia/AAF-2960-2019; Ferrari, Gerson/P-1152-2014; Marques, Adilson/K-4529-2014</t>
  </si>
  <si>
    <t>Cortes, Lilia Yadira/0000-0003-2789-3219; Rossato de Victo, Eduardo/0000-0002-4409-741X; Ferrari, Gerson/0000-0003-3177-6576; Marques, Adilson/0000-0001-9850-7771</t>
  </si>
  <si>
    <t>1471-2458</t>
  </si>
  <si>
    <t>JAN 16</t>
  </si>
  <si>
    <t>10.1186/s12889-023-15029-8</t>
  </si>
  <si>
    <t>WOS:000916932100002</t>
  </si>
  <si>
    <t>Olivares, V; Picquenot, A; Su, YY; Gaspari, M; Gendron-Marsolais, ML; Polles, FL; Nulsen, P</t>
  </si>
  <si>
    <t>Olivares, Valeria; Picquenot, Adrien; Su, Yuanyuan; Gaspari, Massimo; Gendron-Marsolais, Marie-Lou; Polles, Fiorella L.; Nulsen, Paul</t>
  </si>
  <si>
    <t>An Hα-X-ray surface-brightness correlation for filaments in cooling-flow clusters</t>
  </si>
  <si>
    <t>NATURE ASTRONOMY</t>
  </si>
  <si>
    <t>Massive galaxies in cooling-flow clusters display clear evidence of feedback from active galactic nuclei (AGNs). Joint X-ray and radio observations have shown that AGN radio jets push aside the surrounding hot gas and form cavities in the hot intracluster medium (ICM). These systems host complex, kiloparsec-scale, multiphase filamentary structures, from warm and ionized (10,000 K) to cold and molecular (&lt;100 K). These striking clumpy filaments are believed to be a natural outcome of thermally unstable cooling from the hot ICM, probably triggered by feedback processes while contributing to feeding the AGN via chaotic cold accretion (CCA). However, the detailed constraints on the formation mechanism of the filaments are still uncertain, and the connection between the different gas phases has to be fully unveiled. By leveraging a sample of seven X-ray-bright cooling-flow clusters, we have discovered a tight positive correlation between the X-ray surface brightness and the H alpha surface brightness of the filaments over two orders of magnitude, as also found in stripped tails. We further show the quantitative consistency of such a relation with CCA predictions by leveraging hydrodynamical simulations. This discovery provides evidence for a shared excitation mechanism between hot and warm filaments, where multiphase condensation, triggered by AGN feedback, drives their tight co-evolution.</t>
  </si>
  <si>
    <t>Su, Yuanyuan/KEH-5981-2024</t>
  </si>
  <si>
    <t>Nulsen, Paul/0000-0003-0297-4493</t>
  </si>
  <si>
    <t>2397-3366</t>
  </si>
  <si>
    <t>10.1038/s41550-024-02473-8</t>
  </si>
  <si>
    <t>JAN 2025</t>
  </si>
  <si>
    <t>WOS:001409524100001</t>
  </si>
  <si>
    <t>Brenes, JC; Gomez, G; Quesada, D; Kovalskys, I; Rigotti, A; Cortes, LY; Garcia, MCY; Liria-Dominguez, R; Herrera-Cuenca, M; Guajardo, V; Fisberg, RM; Leme, ACB; Ferrari, G; Fisberg, M</t>
  </si>
  <si>
    <t>Brenes, Juan Carlos; Gomez, Georgina; Quesada, Dayana; Kovalskys, Irina; Rigotti, Attilio; Cortes, Lilia Yadira; Yepez Garcia, Martha Cecilia; Liria-Dominguez, Reyna; Herrera-Cuenca, Marianella; Guajardo, Viviana; Fisberg, Regina Mara; Leme, Ana Carolina B.; Ferrari, Gerson; Fisberg, Mauro</t>
  </si>
  <si>
    <t>Alcohol Contribution to Total Energy Intake and Its Association with Nutritional Status and Diet Quality in Eight Latina American Countries</t>
  </si>
  <si>
    <t>INTERNATIONAL JOURNAL OF ENVIRONMENTAL RESEARCH AND PUBLIC HEALTH</t>
  </si>
  <si>
    <t>Alcohol consumption is a modifiable risk factor for non-communicable diseases. This study aimed to characterize alcohol consumers at the nutritional, anthropometric, and sociodemographic levels. Data from 9218 participants from Argentina, Brazil, Chile, Colombia, Costa Rica, Ecuador, Peru, and Venezuela participating in Latin American Health and Nutrition Study (ELANS), a multi-country, population-based study, were used. Dietary intake was collected through two, 24 h recalls. Participants were classified into consumers (n = 1073) and non-alcohol consumers (n = 8145) using a cut-off criterium of &gt;= 15 g/day of alcohol consumption calculated from the estimation of their usual daily intake. Among alcohol consumers, the mean alcohol consumption was 69.22 +/- 2.18 grams (4.6. beverages/day), contributing to 484.62 kcal, which corresponded to 16.86% of the total energy intake. We found that the risk of alcohol consumption was higher in young and middle-aged men from low and middle socioeconomic status. Argentine, Brazil, and Chile had the highest percentage of consumers, while Ecuador showed the highest alcohol consumption. Alcohol drinkers were characterized by having higher body weight and wider neck, waist, hips circumferences. Alcohol drinkers had a higher energy intake, with macronutrients providing relatively less energy at the expense of the energy derived from alcohol. Alcohol drinkers showed lower and higher consumptions of healthy and unhealthy food groups, respectively. In addition, adequacy ratios for all micronutrients assessed were lower in alcohol consumers. All these deleterious effects of alcohol on nutritional and anthropometric parameters increased with the number of alcoholic beverages consumed daily. Altogether, these findings suggest that limiting alcohol consumption can contribute to reducing the risk of obesity, metabolic syndrome, and diet-related diseases.</t>
  </si>
  <si>
    <t>Gomez, Georgina/AAR-7272-2020; Liria, Reyna/CAA-0410-2022; Ferrari, Gerson/ABG-6635-2021; Garbarino, Giovanni Maria/ADH-5341-2022; Fisberg, Regina/Q-6494-2019; Cortes, Lilia/AAF-2960-2019; Fisberg, Mauro/E-7149-2010; Fisberg, Regina/C-4069-2012; Barco Leme, Ana Carolina/H-3619-2015; Ferrari, Gerson/P-1152-2014</t>
  </si>
  <si>
    <t>Fisberg, Mauro/0000-0003-2992-3215; Cortes, Lilia Yadira/0000-0003-2789-3219; Quesada, Dayana/0000-0001-7848-4744; Fisberg, Regina/0000-0002-4490-9035; Gomez, Georgina/0000-0003-3514-2984; Barco Leme, Ana Carolina/0000-0003-2782-4301; Ferrari, Gerson/0000-0003-3177-6576; Kovalskys, Irina/0000-0001-8481-5415; Yepez, Martha Cecilia/0000-0003-4119-238X</t>
  </si>
  <si>
    <t>1660-4601</t>
  </si>
  <si>
    <t>10.3390/ijerph182413130</t>
  </si>
  <si>
    <t>WOS:000773094000001</t>
  </si>
  <si>
    <t>Heinrich, M; Scotti, F; Andrade-Cetto, A; Berger-Gonzalez, M; Echeverría, J; Friso, F; Garcia-Cardona, F; Hesketh, A; Hitziger, M; Maake, C; Politi, M; Spadafora, C; Spadafora, R</t>
  </si>
  <si>
    <t>Heinrich, Michael; Scotti, Francesca; Andrade-Cetto, Adolfo; Berger-Gonzalez, Monica; Echeverria, Javier; Friso, Fabio; Garcia-Cardona, Felipe; Hesketh, Alan; Hitziger, Martin; Maake, Caroline; Politi, Matteo; Spadafora, Carmenza; Spadafora, Rita</t>
  </si>
  <si>
    <t>Access and Benefit Sharing Under the Nagoya Protocol-Quo Vadis? Six Latin American Case Studies Assessing Opportunities and Risk</t>
  </si>
  <si>
    <t>Background Global challenges related to access and benefit sharing (ABS) of biological resources have become a key concern in the area of research on herbal medicines, ethnopharmacology, drug discovery, and the development of other high value products for which Intellectual Property protection can be secured. While the Convention on Biological Diversity (CBD, Rio 1992) has been recognized as a huge step forward, the implementation of the Nagoya Protocol (NP) and of new forms of collaboration often remain unresolved, especially in the context of the fair and equitable sharing of benefits arising from the utilization of genetic resources (Convention on Biological Diversity, 2011). The vision and the specific implementation of this international treaty vary from country to country, which poses additional challenges. Aims Using a case study approach, in this analysis we aim at understanding the specific opportunities and challenges for implementing international collaborations regarding ABS in six Latin American countries-Chile, Colombia, Guatemala, Mexico, Panama, and Peru. Based on that analysis, we provide recommendations for the path ahead regarding international collaborations under ABS agreements in ethnopharmacological research. Results and Discussions The implementation of the NP varies in the six countries; and while they are all rich in biodiversity, access and benefit sharing mechanisms differ considerably. There is a need to engage in a consultation process with stakeholders, but this has often come to a halt. Institutional infrastructures to implement national policies are weak, and the level of knowledge about the NP and the CBD within countries remains limited. Conclusions Different policies in the six countries result in very diverse strategies and opportunities relating to the equitable use of biodiversity. A long-term strategy is required to facilitate a better understanding of the treaties and the resulting opportunities for a fairer development and implementation of transparent national polices, which currently differ in the six countries. So far, the benefits envisioned by the CBD and the NP remain unfulfilled for all stakeholders involved including local communities.</t>
  </si>
  <si>
    <t>politi, matteo/X-8796-2019; Echeverría, Javier/AAK-3323-2020; Spadafora, Carmenza/ABE-8973-2020; Andrade-Cetto, Adolfo/N-9850-2018</t>
  </si>
  <si>
    <t>Scotti, Francesca/0000-0001-5995-6363; politi, matteo/0000-0002-1185-8569; Friso, Fabio/0000-0001-5427-956X; Maake, Caroline/0000-0003-0378-8203; Echeverria, Javier/0000-0002-1688-968X; Spadafora, Carmenza/0000-0002-3002-9467; Andrade-Cetto, Adolfo/0000-0002-1638-3443</t>
  </si>
  <si>
    <t>JUN 8</t>
  </si>
  <si>
    <t>10.3389/fphar.2020.00765</t>
  </si>
  <si>
    <t>WOS:000543514900001</t>
  </si>
  <si>
    <t>Huang, WT; Aune, D; Ferrari, G; Zhang, L; Lan, YT; Nie, J; Chen, X; Xu, DL; Wang, YF; Rezende, LFM</t>
  </si>
  <si>
    <t>Huang, Wentao; Aune, Dagfinn; Ferrari, Gerson; Zhang, Lei; Lan, Yutao; Nie, Jing; Chen, Xiong; Xu, Dali; Wang, Yafeng; Rezende, Leandro F. M.</t>
  </si>
  <si>
    <t>Psychological Distress and All-Cause, Cardiovascular Disease, Cancer Mortality Among Adults with and without Diabetes</t>
  </si>
  <si>
    <t>CLINICAL EPIDEMIOLOGY</t>
  </si>
  <si>
    <t>Aim: To examine the association of psychological distress with all-cause, cardiovascular disease (CVD) and cancer mortality in US adults, and verified whether the associations differed between participants with and without diabetes. Methods: A total of 485,864 adults (446,288 without diabetes and 39,576 with diabetes) who participated in the National Health Interview Survey from 1997 to 2013 were linked to the National Death Index through December 31, 2015. Psychological distress was measured by the Kessler 6 distress scale (K6). Multivariable Cox proportional hazards regression models were performed to estimate hazard ratios (HR) and 95% confidence intervals (95% CI) for the association between psychological distress and mortality. Results: We ascertained 11,746 deaths (mean follow-up, 7. 7 years) among people with diabetes and 51,636 deaths (9.9 years) among those without diabetes. Psychological distress was associated with higher all-cause, CVD, and cancer mortality. Compared to non-diabetic adults without psychological distress, HRs (95% CI) were 1.07 (1.04 to 1.09) for mild, 1.26 (1.22 to 1.30) for moderate and 1.46 (1.38 to 1.55) for severe psychological distress. Compared to the same reference group, in diabetic participants the HRs were 1.39 (1.33 to 1.44) for no psychological distress, 1.59 (1.53 to 1.66) for mild, 1.90 (1.80 to 2.00) for moderate and 1.98 (1.82 to 2.17) for severe psychological distress. Similar associations were also observed for CVD and cancer mortality but with non-statistically significant interaction. Conclusion: Psychological distress was associated with higher mortality, particularly in participants with diabetes. Strategies to ameliorate psychological distress may be important to reduce mortality in this population.</t>
  </si>
  <si>
    <t>Aune, Dagfinn/AFP-4300-2022; Ferrari, Gerson/ABG-6635-2021; wang, yafeng/J-4829-2017; Ferrari, Gerson/P-1152-2014; Huang, Wentao/AAD-3487-2022; Rezende, Leandro/C-1724-2012</t>
  </si>
  <si>
    <t>Ferrari, Gerson/0000-0003-3177-6576; Huang, Wentao/0000-0002-9114-0898; Rezende, Leandro/0000-0002-7469-1399; Aune, Dagfinn/0000-0002-4533-1722; Nie, Jing/0009-0008-0539-8800</t>
  </si>
  <si>
    <t>1179-1349</t>
  </si>
  <si>
    <t>10.2147/CLEP.S308220</t>
  </si>
  <si>
    <t>WOS:000672678500001</t>
  </si>
  <si>
    <t>Rowe, PM; Cordero, RR; Warren, SG; Stewart, E; Doherty, SJ; Pankow, A; Schrempf, M; Casassa, G; Carrasco, J; Pizarro, J; MacDonell, S; Damiani, A; Lambert, F; Rondanelli, R; Huneeus, N; Fernandoy, F; Neshyba, S</t>
  </si>
  <si>
    <t>Rowe, Penny M.; Cordero, Raul R.; Warren, Stephen G.; Stewart, Emily; Doherty, Sarah J.; Pankow, Alec; Schrempf, Michael; Casassa, Gino; Carrasco, Jorge; Pizarro, Jaime; MacDonell, Shelley; Damiani, Alessandro; Lambert, Fabrice; Rondanelli, Roberto; Huneeus, Nicolas; Fernandoy, Francisco; Neshyba, Steven</t>
  </si>
  <si>
    <t>Black carbon and other light-absorbing impurities in snow in the Chilean Andes</t>
  </si>
  <si>
    <t>Vertical profiles of black carbon (BC) and other light-absorbing impurities were measured in seasonal snow and permanent snowfields in the Chilean Andes during Austral winters 2015 and 2016, at 22 sites between latitudes 18 degrees S and 41 degrees S. The samples were analyzed for spectrally-resolved visible light absorption. For surface snow, the average mass mixing ratio of BC was 15 ng/g in northern Chile (18-33 degrees S), 28 ng/g near Santiago (a major city near latitude 33 degrees S, where urban pollution plays a significant role), and 13 ng/g in southern Chile (33-41 degrees S). The regional average vertically-integrated loading of BC was 207 mu g/m(2) in the north, 780 mu g/m(2) near Santiago, and 2500 mu g/m(2) in the south, where the snow season was longer and the snow was deeper. For samples collected at locations where there had been no new snowfall for a week or more, the BC concentration in surface snow was high (similar to 10-100 ng/g) and the sub-surface snow was comparatively clean, indicating the dominance of dry deposition of BC. Mean albedo reductions due to light-absorbing impurities were 0.0150, 0.0160, and 0.0077 for snow grain radii of 100 mu m for northern Chile, the region near Santiago, and southern Chile; respective mean radiative forcings for the winter months were 2.8, 1.4, and 0.6 W/m(2). In northern Chile, our measurements indicate that light-absorption by impurities in snow was dominated by dust rather than BC.</t>
  </si>
  <si>
    <t>MacDonell, Shelley/J-2480-2016; Huneeus, Nicolas/IVH-5476-2023; Cordero, Raul/M-7979-2017; Damiani, Alessandro/X-4677-2019; Casassa, Gino/AAX-6142-2020; Lambert, Fabrice/M-2003-2014; Doherty, Sarah/D-5592-2015; Carrasco, Jorge/K-2949-2014; Rondanelli, Roberto/A-4717-2012</t>
  </si>
  <si>
    <t>Damiani, Alessandro/0000-0003-3014-6193; Rowe, Penny/0000-0002-7594-0553; Lambert, Fabrice/0000-0002-2192-024X; Huneeus, Nicolas/0000-0002-6214-5518; MacDonell, Shelley/0000-0001-9641-4547; Cordero, Raul R./0000-0001-7607-7993; Doherty, Sarah/0000-0002-7796-6968; Carrasco, Jorge/0000-0003-2154-5483; Rondanelli, Roberto/0000-0002-7440-7810; Fernandoy, Francisco/0000-0003-2252-7746; Pankow, Alec/0000-0001-9108-1683</t>
  </si>
  <si>
    <t>MAR 8</t>
  </si>
  <si>
    <t>10.1038/s41598-019-39312-0</t>
  </si>
  <si>
    <t>WOS:000460627700096</t>
  </si>
  <si>
    <t>Concha-Cisternas, Y; Petermann-Rocha, F; Garrido-Méndez, A; Díaz-Martínez, X; Leiva, AM; Salas-Bravo, C; Martínez-Sanguinetti, MA; Iturra-González, JA; Matus, C; Vásquez-Gómez, JA; Celis-Morales, C</t>
  </si>
  <si>
    <t>Concha-Cisternas, Yeny; Petermann-Rocha, Fanny; Garrido-Mendez, Alex; Diaz-Martinez, Ximena; Maria Leiva, Ana; Salas-Bravo, Carlos; Adela Martinez-Sanguinetti, Maria; Iturra-Gonzalez, Jose A.; Matus, Carlos; Vasquez-Gomez, Jaime A.; Celis-Morales, Carlos</t>
  </si>
  <si>
    <t>Representacion Grp Investigacion E</t>
  </si>
  <si>
    <t>Patterns of physical activity in Chilean adults across the lifespan</t>
  </si>
  <si>
    <t>NUTRICION HOSPITALARIA</t>
  </si>
  <si>
    <t>Background: international physical activity (PA) guidelines recommend 150 minutes of moderate to vigorous PA or 75 minutes of vigorous PA weekly; however, the proportion of the Chilean population who meet this recommendation across the lifespan remains unknown. Objective: to characterize PA patterns by age categories and sex in the Chilean population. Methods: participants from the Chilean Health Survey 2009-2010 (5,293 individuals) were included in this study. PA types (transport, moderate and vigorous) and sedentary behavior were measured using the global physical activity questionnaire (GPAQ). Time spent on different intensities of physical activity by age and sex was investigated using regression analyses. Results: compared to participants aged &lt; 20 years (reference group), commuting-related PA decreased for both men and women from the age of 60 years onwards. Moderate intensity PA increases for both sexes reaching the highest level between the ages of 40-49 years, and then it shows a decline with increasing age. Vigorous PA reaches the highest levels between ages 30-39 and 40-49 years for women and men, respectively. Time spent sitting increased markedly on participants aged 60 years and above, reaching the highest levels at the age of 80 years. Conclusion: in the Chilean population, there are clear patterns of change in PA levels and sitting time across age groups. These fi ndings may help informing stakeholders on tailoring interventions to increase PA levels, especially at ages when the population is more likely to reach their lowest levels of activity.</t>
  </si>
  <si>
    <t>Garrido, Alex/IAP-5408-2023; Leiva, Ana/MTF-8082-2025; Vásquez-Gómez, Jaime/AAJ-4316-2020; Petermann-Rocha, Fanny/AAK-1230-2021; Matus-Castillo, Carlos/HZI-2343-2023; Diaz, Ximena/A-3527-2017</t>
  </si>
  <si>
    <t>Petermann Rocha, Fanny/0000-0002-4384-4962</t>
  </si>
  <si>
    <t>0212-1611</t>
  </si>
  <si>
    <t>1699-5198</t>
  </si>
  <si>
    <t>JAN-FEB</t>
  </si>
  <si>
    <t>10.20960/nh.1942</t>
  </si>
  <si>
    <t>WOS:000459699300024</t>
  </si>
  <si>
    <t>Azulay-Abulafia, L; Felix, PAO; Souza, C; Carvalho, A; Levy, R; Valenzuela, F; Chouela, E; Amaya-Guerra, M; Hirayama, AL; Coberio, A; Castro, CS; Campanholo, C; Nunes, D; Vieira, E; Bressan, A; Palitot, E; Almeida, TL; Pinto, J; D' Elia, M; Oliveira, MT; Salas, L; Magalhaes, R; Martins, G</t>
  </si>
  <si>
    <t>Azulay-Abulafia, L.; Felix, P. A. O.; Souza, C.; Carvalho, A.; Levy, R.; Valenzuela, F.; Chouela, E.; Amaya-Guerra, M.; Hirayama, A. L.; Coberio, A.; Castro, C. S.; Campanholo, C.; Nunes, D.; Vieira, E.; Bressan, A.; Palitot, E.; Almeida, T. L.; Pinto, J.; D' Elia, M.; Oliveira, M. T.; Salas, L.; Magalhaes, R.; Martins, G.</t>
  </si>
  <si>
    <t>Immunobiologics in pregnancy: case reports from Latin America</t>
  </si>
  <si>
    <t>JOURNAL OF THE EUROPEAN ACADEMY OF DERMATOLOGY AND VENEREOLOGY</t>
  </si>
  <si>
    <t>Valenzuela, Fernando/AAX-5037-2020; Silva Souza, Cacilda/F-9926-2012</t>
  </si>
  <si>
    <t>Silva Souza, Cacilda/0000-0002-8157-7658</t>
  </si>
  <si>
    <t>0926-9959</t>
  </si>
  <si>
    <t>1468-3083</t>
  </si>
  <si>
    <t>APR</t>
  </si>
  <si>
    <t>SI</t>
  </si>
  <si>
    <t>P026</t>
  </si>
  <si>
    <t>WOS:000465603500026</t>
  </si>
  <si>
    <t>González-Ruíz, K; Correa-Bautista, JE; Izquierdo, M; García-Hermoso, A; Martínez-Vizcaíno, V; Lobelo, F; González-Jiménez, E; Schmidt-RioValle, J; Correa-Rodríguez, M; Fernández-Irigoyen, J; Palomino-Echeverría, S; Santamaría, E; Ramírez-Vélez, R</t>
  </si>
  <si>
    <t>Gonzalez-Ruiz, Katherine; Enrique Correa-Bautista, Jorge; Izquierdo, Mikel; Garcia-Hermoso, Antonio; Martinez-Vizcaino, Vicente; Lobelo, Felipe; Gonzalez-Jimenez, Emilio; Schmidt-RioValle, Jacqueline; Correa-Rodriguez, Maria; Fernandez-Irigoyen, Joaquin; Palomino-Echeverria, Sara; Santamaria, Enrique; Ramirez-Velez, Robinson</t>
  </si>
  <si>
    <t>Exercise dose on hepatic fat and cardiovascular health in adolescents with excess of adiposity</t>
  </si>
  <si>
    <t>PEDIATRIC OBESITY</t>
  </si>
  <si>
    <t>Objective The HEPAFIT study was aimed at examining the impact of a 6-month physical education intervention, considering various levels of exercise intensity, on hepatic fat and cardiometabolic health outcomes in adolescents with excess adiposity. Methods Adolescents (n = 120), 11-17 years with excess adiposity by body fat &gt;30%, were randomly assigned to one of the following 4 groups for 6 months: (1) standard physical education lessons, control (CTRL); (2) high-intensity physical education (HIPE); (3) low-to-moderate intensity physical education (LIPE) and (4) combined HIPE and LIPE (PLUS). The primary outcome was hepatic fat content measured by vibration-controlled transient elastography (controlled attenuation parameter [CAP]). Secondary outcomes were traditional cardiovascular health markers (body composition, serum lipids, aminotransferases and health-related physical fitness components). Results Adjusted mixed effects linear models revealed a significant decrease in CAP levels in HIPE (-20.02 dB/m, p &lt; 0.0001) (p = 0.001 vs. CTRL group) and PLUS (-16.25 dB/m, p = 0.005) groups. Body fat decreased in the HIPE (-2.88%, p &lt; 0.001) (p = 0.001 vs. CTRL group) and LIPE (-1.26%, p = 0.022) groups. The physical fitness components were increased in the HIPE and PLUS group relative to the baseline (p &lt; 0.05), and the HIPE group showed a reduction in the total cholesterol and low-density lipoprotein cholesterol (LDL-C) levels (p &lt; 0.05). Conclusions Implementation of a 6-month physical education exercise program, particularly high-intensity or combined high and low-intensity, improves hepatic fat storage and significantly reduces cardiometabolic markers in adolescents with excess of adiposity. Interventions involving supervised physical exercise may help to improve metabolism and fat deposition at the hepatic level, thus preventing the development of non-alcoholic fatty liver disease in adolescents.</t>
  </si>
  <si>
    <t>González-Ruíz, Katherine/CAA-4624-2022; Correa-Bautista, Jorge Enrique/JDD-3131-2023; García-Hermoso, Antonio/ADU-2591-2022; MARTINEZ VIZCAINO, VICENTE/R-4336-2017; Izquierdo, Mikel/A-4894-2010; Lobelo, Felipe/AAB-2264-2021; SANTAMARIA, ENRIQUE/A-6012-2017; Correa-Bautista, Jorge Enrique/N-2741-2015; Ramirez-Velez, Robinson/D-5311-2016; Garcia-Hermoso, Antonio/P-1857-2017; Correa-Rodriguez, Maria/G-1793-2018; Schmidt-Riovalle, Jacqueline/I-6333-2017; Fernandez-Irigoyen, Joaquin/JBR-8052-2023; Gonzalez-Jimenez, Emilio/I-6039-2017</t>
  </si>
  <si>
    <t>MARTINEZ VIZCAINO, VICENTE/0000-0001-6121-7893; Palomino-Echeverria, Sara/0000-0002-0451-3749; Izquierdo, Mikel/0000-0002-1506-4272; Lobelo, Felipe/0000-0003-4185-7193; SANTAMARIA, ENRIQUE/0000-0001-8046-8102; Correa-Bautista, Jorge Enrique/0000-0002-0646-2316; Ramirez-Velez, Robinson/0000-0003-3075-6960; Gonzalez-Ruiz, Katherine/0000-0001-7518-0761; Garcia-Hermoso, Antonio/0000-0002-1397-7182; Correa-Rodriguez, Maria/0000-0001-9165-4349; Schmidt-Riovalle, Jacqueline/0000-0003-2775-0058; Fernandez-Irigoyen, Joaquin/0000-0001-5072-4099; Gonzalez-Jimenez, Emilio/0000-0001-5103-6028</t>
  </si>
  <si>
    <t>2047-6302</t>
  </si>
  <si>
    <t>2047-6310</t>
  </si>
  <si>
    <t>e12869</t>
  </si>
  <si>
    <t>10.1111/ijpo.12869</t>
  </si>
  <si>
    <t>NOV 2021</t>
  </si>
  <si>
    <t>WOS:000714343600001</t>
  </si>
  <si>
    <t>Petermann-Rocha, F; Sillars, A; Brown, R; Sweeney, L; Troncoso, C; García-Hermosot, A; Leiva, AM; Martínez, MA; Diaz-Martínez, X; Poblete-Valderrama, F; Garrido-Mendez, A; Cataldo, X; Gonzalez, JI; Salas, C; Lara, J; Gray, SR; Celis-Morales, C</t>
  </si>
  <si>
    <t>Petermann-Rocha, Fanny; Sillars, Anne; Brown, Rosemary; Sweeney, Lauren; Troncoso, Claudia; Garcia-Hermosot, Antonio; Maria Leiva, Ana; Adela Martinez, Maria; Diaz-Martinez, Ximena; Poblete-Valderrama, Felipe; Garrido-Mendez, Alex; Cataldo, Ximena; Iturra Gonzalez, Jose; Salas, Carlos; Lara, Jose; Gray, Stuart R.; Celis-Morales, Carlos</t>
  </si>
  <si>
    <t>Sociodemographic patterns of urine sodium excretion and its association with hypertension in Chile: a cross-sectional analysis</t>
  </si>
  <si>
    <t>PUBLIC HEALTH NUTRITION</t>
  </si>
  <si>
    <t>ObjectiveThe aim of the study was to determine the main factors (sociodemographic, anthropometric, lifestyle and health status) associated with high Na excretion in a representative population of Chile.DesignNa excretion (g/d), a valid marker of Na intake, was determined by urine analysis and Tanaka's formulas. Blood pressure was measured by trained staff and derived from the mean of three readings recorded after 15 min rest. The associations of Na excretion with blood pressure and the primary correlates of high Na excretion were determined using logistic regression.SettingChileans aged &gt;= 15 years.ParticipantsParticipants (n 2913) from the Chilean National Health Survey 2009-2010.ResultsIndividuals aged 25 years or over, those who were obese and those who had hypertension, diabetes or metabolic syndrome were more likely to have higher Na excretion. The odds for hypertension increased by 102 % per 04 g/d increment in Na excretion (OR=110; 95 % CI 106, 114; P &lt; 00001). These findings were independent of major confounding factors.ConclusionsAge, sex, adiposity, sitting behaviours and existing co-morbidities such as diabetes were associated with higher Na excretion levels in the Chilean population. These findings could help policy makers to implement public health strategies tailored towards individuals who are more likely to consume high levels of dietary salt.</t>
  </si>
  <si>
    <t>Sanchez-Ferrer, MªLuisa/M-3080-2014; Diaz, Ximena/A-3527-2017; Petermann-Rocha, Fanny/AAK-1230-2021; García-Hermoso, Antonio/ADU-2591-2022; Leiva, Ana/MTF-8082-2025; Cataldo, Ximena/GRE-6139-2022; Garrido, Alex/IAP-5408-2023; Garcia-Hermoso, Antonio/P-1857-2017; Troncoso-Pantoja, Claudia/E-8932-2019; Gray, Stuart/L-2489-2017</t>
  </si>
  <si>
    <t>Martinez, Maria Adela/0000-0002-7609-7705; Petermann Rocha, Fanny/0000-0002-4384-4962; Garcia-Hermoso, Antonio/0000-0002-1397-7182; Troncoso-Pantoja, Claudia/0000-0002-8433-5750; Iturra Gonzalez, Jose Alejandro/0000-0002-5419-0757; Gray, Stuart/0000-0001-8969-9636; Lara, Jose/0000-0002-4449-9304; Brown, Rosemary/0000-0002-1719-2761</t>
  </si>
  <si>
    <t>1368-9800</t>
  </si>
  <si>
    <t>1475-2727</t>
  </si>
  <si>
    <t>10.1017/S1368980018003889</t>
  </si>
  <si>
    <t>WOS:000475687200011</t>
  </si>
  <si>
    <t>García, AM; Moguilner, S; Torquati, K; García-Marco, E; Herrera, E; Muñoz, E; Castillo, EM; Kleineschay, T; Sedeño, L; Ibáñez, A</t>
  </si>
  <si>
    <t>Garcia, Adolfo M.; Moguilner, Sebastian; Torquati, Kathya; Garcia-Marco, Enrique; Herrera, Eduar; Munoz, Edinson; Castillo, Eduardo M.; Kleineschay, Tara; Sedeno, Lucas; Ibanez, Agustin</t>
  </si>
  <si>
    <t>How meaning unfolds in neural time: Embodied reactivations can precede multimodal semantic effects during language processing</t>
  </si>
  <si>
    <t>NEUROIMAGE</t>
  </si>
  <si>
    <t>Research on how the brain construes meaning during language use has prompted two conflicting accounts. According to the 'grounded view', word understanding involves quick reactivations of sensorimotor (embodied) experiences evoked by the stimuli, with simultaneous or later engagement of multimodal (conceptual) systems integrating information from various sensory streams. Contrariwise, for the 'symbolic view', this capacity depends crucially on multimodal operations, with embodied systems playing epiphenomenal roles after comprehension. To test these contradictory hypotheses, the present magnetoencephalography study assessed implicit semantic access to grammatically constrained action and non-action verbs (n =100 per category) while measuring spatiotemporally precise signals from the primary motor cortex (M1, a core region subserving bodily movements) and the anterior temporal lobe (ATL, a putative multimodal semantic hub). Convergent evidence from sensor- and source-level analyses revealed that increased modulations for action verbs occurred earlier in M1 (similar to 130-190 ms) than in specific ATL hubs (similar to 250-410 ms). Moreover, machine-learning decoding showed that trial-by-trial classification peaks emerged faster in M1 (similar to 100-175 ms) than in the ATL (similar to 345-500 ms), with over 71% accuracy in both cases. Considering their latencies, these results challenge the 'symbolic view' and its implication that sensorimotor mechanisms play only secondary roles in semantic processing. Instead, our findings support the 'grounded view', showing that early semantic effects are critically driven by embodied reactivations and that these cannot be reduced to post-comprehension epiphenomena, even when words are individually classified. Briefly, our study offers non-trivial insights to constrain fine-grained models of language and understand how meaning unfolds in neural time.</t>
  </si>
  <si>
    <t>García Marco, Enrique/ABO-8279-2022; Herrera, Eduar/IXD-5515-2023; Ibanez, Agustin/H-7976-2015; Garcia, Adolfo/E-7150-2017</t>
  </si>
  <si>
    <t>Moguilner, Sebastian/0000-0003-1731-8325; Ibanez, Agustin/0000-0001-6758-5101; Munoz, Edinson/0000-0001-9949-1230; Garcia Marco, Enrique/0000-0002-5796-5124; Garcia, Adolfo/0000-0002-6936-0114; Herrera, Eduar/0000-0001-9409-245X</t>
  </si>
  <si>
    <t>1053-8119</t>
  </si>
  <si>
    <t>1095-9572</t>
  </si>
  <si>
    <t>AUG 15</t>
  </si>
  <si>
    <t>10.1016/j.neuroimage.2019.05.002</t>
  </si>
  <si>
    <t>WOS:000472161500040</t>
  </si>
  <si>
    <t>Mousazadeh, M; Naghdali, Z; Kabdasli, I; Sandoval, MA; Titchou, FE; Malekdar, F; Nasr, M; Martínez-Huitle, CA; Lichtfouse, E; Emamjomeh, MM</t>
  </si>
  <si>
    <t>Mousazadeh, Milad; Naghdali, Zohreh; Kabdasli, Isik; Sandoval, Miguel A.; Titchou, Fatima Ezzahra; Malekdar, Farideh; Nasr, Mahmoud; Martinez-Huitle, Carlos A.; Lichtfouse, Eric; Emamjomeh, Mohammad Mahdi</t>
  </si>
  <si>
    <t>Reclamation of forward osmosis reject water containing hexavalent chromium via coupled electrochemical-physical processes</t>
  </si>
  <si>
    <t>ENVIRONMENTAL TECHNOLOGY</t>
  </si>
  <si>
    <t>Forward osmosis is a water separation process that uses the natural energy of osmotic pressure to separate water from dissolved solutes through a semipermeable membrane. One of the major challenges using this process is the rejection water which contains high content of pollutants, hindering its practical application. Herein, for the first time, this work introduces a coupled electrochemical-physical process including iron-electrocoagulation/filtration/sedimentation as a cost-effective treatment to the forward osmosis reject water containing hexavalent chromium to be reclaimed. The synergistic treatment was optimized through a central composite design and response surface methodology to enhance hexavalent Cr removal and minimize operating costs, electrical energy consumption, and settled sludge volume. A 90.0% chromium removal was achieved under optimized conditions: electrolysis time of 59.7 min and current of 1.24 A (J = 6.32 mA cm(-2)). In addition, operating costs of 0.014 USD m(-3), electrical energy consumption of 0.005 kWh m(-3), and settled sludge volume of 445 mL L-1 were obtained.</t>
  </si>
  <si>
    <t>Sandoval, Miguel A/JCF-1838-2023; Mousazadehgavan, Milad/KTI-6446-2024; Kabdaşlı, Işık/AAD-9127-2020; Naghdali, Zohreh/AAH-5510-2019; Martínez-Huitle, Carlos/AAN-9273-2020; LICHTFOUSE, ERIC/HZL-9873-2023; Nasr, Mahmoud/G-7866-2018; Emamjomeh, Mohammad Mahdi/I-7710-2015; Mousazadehgavan, Milad/W-3041-2018</t>
  </si>
  <si>
    <t>Lichtfouse, Eric/0000-0002-8535-8073; Fatima Ezzahra, TITCHOU/0000-0002-0515-2295; Nasr, Mahmoud/0000-0001-5115-135X; Emamjomeh, Mohammad Mahdi/0000-0003-2772-6832; Mousazadehgavan, Milad/0000-0003-1464-3915</t>
  </si>
  <si>
    <t>0959-3330</t>
  </si>
  <si>
    <t>1479-487X</t>
  </si>
  <si>
    <t>FEB 23</t>
  </si>
  <si>
    <t>10.1080/09593330.2022.2130104</t>
  </si>
  <si>
    <t>OCT 2022</t>
  </si>
  <si>
    <t>WOS:000865357300001</t>
  </si>
  <si>
    <t>Yuki, G; Hespanhol, L; Mohr, L; Bhundoo, AK; Jiménez-Pavón, D; Novak, B; Nuccio, S; García, JDJ; Pillay, JD; Rum, L; Ramírez, CS; Vogt, L; Wilke, J</t>
  </si>
  <si>
    <t>Yuki, Gustavo; Hespanhol, Luiz; Mohr, Lisa; Bhundoo, Adelle Kemlall; Jimenez-Pavon, David; Novak, Bernhard; Nuccio, Stefano; Garcia, Jose Daniel Jimenez; Pillay, Julian David; Rum, Lorenzo; Ramirez, Celso Sanchez; Vogt, Lutz; Wilke, Jan</t>
  </si>
  <si>
    <t>Predictors of dropping out from a home tele-exercise programme: A cohort study derived from a randomised controlled trial</t>
  </si>
  <si>
    <t>HEALTH PROMOTION PERSPECTIVES</t>
  </si>
  <si>
    <t>Background: Online home exercises represent opportunities to increase physical activity levels. However, high dropout rates are commonly reported in such programmes. This study aimed to investigate the predictors of dropping out from an online home exercise programme. Methods: A total of 760 individuals from nine countries participated in this 8-week prospective cohort study derived from a randomised controlled trial. The participants were randomised into 4-week live-streamed exercise - &gt; 4-week recorded exercise or 4-week no intervention - &gt; 4-week recorded exercise group. Repeated measurements using weekly questionnaires were performed. Pain intensity, disability, mental well-being score, exercise motivation, sleep quality, impulsiveness/anxiety, and physical activity level were analysed. Results: A total of 53.8% (95% confidence interval [CI] 50.3%-57.3%) participants dropped out from the programme. The identified predictors of dropping out from the programme were: wellbeing (odds ratio [OR] 0.94, 95% CI 0.91-0.97) and disability (OR 1.02, 95% CI 1.002-1.04) at baseline considering the first 4 weeks; age (0.98; 95% CI 0.96-1.00) and baseline well-being (0.93; 95% CI 0.89-0.97) considering the entire follow-up (8 weeks); exercise motivation (0.92; 95% CI 0.87 to 0.97) and general impulsiveness/anxiety (1.04; 95% CI 1.01-1.07) repeated measured over time. Conclusion: About half of the participants dropped outfrom the online home exercise programme. Higher baseline scores in mental well-being and age predicted a reduction in dropping out. Higher baseline disability predicted an increase in dropping out. During the follow-up, higher exercise motivation was associated with a reduction in dropping out, and higher impulsiveness and anxiety were associated with an increase in dropping out.</t>
  </si>
  <si>
    <t>Wilke, Jan/X-8022-2019; Rum, Lorenzo/AAI-4856-2021; Nuccio, Stefano/ABS-2867-2022; Hespanhol Junior, Luiz Carlos/H-8636-2013</t>
  </si>
  <si>
    <t>Nuccio, Stefano/0000-0001-9234-9741; Hespanhol Junior, Luiz Carlos/0000-0003-1774-4746; Novak, Bernhard/0000-0003-3465-5999</t>
  </si>
  <si>
    <t>2228-6497</t>
  </si>
  <si>
    <t>10.34172/hpp.42935</t>
  </si>
  <si>
    <t>WOS:001352069600003</t>
  </si>
  <si>
    <t>Awad, PS; Teixeira-dos-Santos, D; Santos-Lobato, BL; Camargos, S; Cornejo-Olivas, M; Rieder, CRD; Mata, IF; Chaná-Cuevas, P; Klein, C; Schuh, AFS</t>
  </si>
  <si>
    <t>Awad, Paula Saffie; Teixeira-dos-Santos, Daniel; Santos-Lobato, Bruno Lopes; Camargos, Sarah; Cornejo-Olivas, Mario; Rieder, Carlos Roberto de Mello; Mata, Ignacio F.; Chana-Cuevas, Pedro; Klein, Christine; Schuh, Artur F. Schumacher</t>
  </si>
  <si>
    <t>Frequency of Hereditary and GBA1-Related Parkinsonism in Latin America: A Systematic Review and Meta-Analysis</t>
  </si>
  <si>
    <t>MOVEMENT DISORDERS</t>
  </si>
  <si>
    <t>Background Identifying hereditary parkinsonism is valuable for diagnosis, genetic counseling, patient prioritization in trials, and studying the disease for personalized therapies. However, most studies were conducted in Europeans, and limited data exist on admixed populations like those from Latin America.Objectives This study aims to assess the frequency and distribution of genetic parkinsonism in Latin America.Methods We conducted a systematic review and meta-analysis of the frequency of parkinsonian syndromes associated with genetic pathogenic variants in Latin America. We defined hereditary parkinsonism as those caused by the genes outlined by the MDS Nomenclature of Genetic Movement Disorders and heterozygous carriers of GBA1 pathogenic variants. A systematic search was conducted in PubMed, Web of Science, Embase, and LILACS in August 2022. Researchers reviewed titles and abstracts, and disagreements were resolved by a third researcher. After this screening, five researchers reanalyzed the selection criteria and extracted information based on the full paper. The frequency for each parkinsonism-related gene was determined by the presence of pathogenic/likely pathogenic variants among screened patients. Cochran's Q and I2 tests were used to quantify heterogeneity. Meta-regression, publication bias tests, and sensitivity analysis regarding study quality were also used for LRRK2-, PRKN-, and GBA1-related papers.Results We included 73 studies involving 3014 screened studies from 16 countries. Among 7668 Latin American patients, pathogenic variants were found in 19 different genes. The frequency of the pathogenic variants in LRRK2 was 1.38% (95% confidence interval [CI]: 0.52-2.57), PRKN was 1.16% (95% CI: 0.08-3.05), and GBA1 was 4.17% (95% CI: 2.57-6.08). For all meta-analysis, heterogeneity was high and publication bias tests were negative, except for PRKN, which was contradictory. Information on the number of pathogenic variants in the other genes is further presented in the text.Conclusions This study provides insights into hereditary and GBA1-related parkinsonism in Latin America. Lower GBA1 frequencies compared to European/North American cohorts may result from limited access to gene sequencing. Further research is vital for regional prevalence understanding, enabling personalized care and therapies.</t>
  </si>
  <si>
    <t>CAMARGOS, SARAH/Y-4071-2019; Teixeira-dos-Santos, Daniel/LKJ-6631-2024; Chana-Cuevas, Pedro/AAM-8215-2020; Cornejo-Olivas, Mario/F-9744-2017; Rieder, Carlos Roberto de Mello/O-6600-2018; CAMARGOS, SARAH/O-4670-2014; Schuh, Artur Francisco Schumacher/J-2023-2014</t>
  </si>
  <si>
    <t>Chana-Cuevas, Pedro/0000-0001-9946-3299; Rieder, Carlos Roberto de Mello/0000-0003-2950-7211; Teixeira-dos-Santos, Daniel/0000-0003-0182-424X; Saffie, Paula/0000-0002-8056-365X; Fernandez Mata, Ignacio/0000-0003-1198-0633; CAMARGOS, SARAH/0000-0001-9829-6783; Schuh, Artur Francisco Schumacher/0000-0002-8722-0908</t>
  </si>
  <si>
    <t>0885-3185</t>
  </si>
  <si>
    <t>1531-8257</t>
  </si>
  <si>
    <t>JAN</t>
  </si>
  <si>
    <t>10.1002/mds.29614</t>
  </si>
  <si>
    <t>WOS:001096374400001</t>
  </si>
  <si>
    <t>Rezende, LFM; Ferrari, G; Lee, DH; Aune, D; Liao, B; Huang, WT; Nie, J; Wang, YF; Giovannucci, E</t>
  </si>
  <si>
    <t>Rezende, Leandro F. M.; Ferrari, Gerson; Lee, Dong Hoon; Aune, Dagfinn; Liao, Bing; Huang, Wentao; Nie, Jing; Wang, Yafeng; Giovannucci, Edward</t>
  </si>
  <si>
    <t>Lifestyle risk factors and all-cause and cause-specific mortality: assessing the influence of reverse causation in a prospective cohort of 457,021 US adults</t>
  </si>
  <si>
    <t>EUROPEAN JOURNAL OF EPIDEMIOLOGY</t>
  </si>
  <si>
    <t>Background Lifestyle risk factors have been associated with increased all-cause and cause-specific mortality, but the influence of reverse causation has been underappreciated as a limitation in epidemiological studies. Methods Prospective cohort study including 457,021 US adults from the National Health Interview Survey 1997-2013 linked to the National Death Index records through December 31, 2015. Multivariable Cox models were performed to examine the association of lifestyle risk factors with all-cause and cause-specific mortality. Participants with prevalent diseases and the first 2, 5, 10, and 15 years of follow-up were excluded to account for reverse causation. Results During 4,441,609 person-years, we identified 60,323 total deaths. Heavy alcohol drinking (HR 1.12; 95% CI 1.08 to 1.16), smoking (HR 1.78; 95% CI 1.74 to 1.83) and lack of physical activity (HR 1.51; 95% CI 1.47 to 1.54) were associated with increased all-cause mortality. Overweight was associated with lower all-cause mortality (HR 0.88; 95% CI 0.86 to 0.90). After exclusion of participants with diseases and first 10 years of follow-up, associations changed to: heavy alcohol drinking (HR 1.31; 95% CI 1.20 to 1.43), smoking (HR 1.99; 95% CI 1.87 to 2.11), lack of physical activity (HR 1.21; 95% CI 1.15 to 1.27), and overweight (HR 1.05; 95% CI 1.00 to 1.10). Conclusions Methods to account for reverse causation suggest different effects of reverse causation on the associations between lifestyle risk factors and mortality. Exclusion of participants with diseases at baseline, and exclusion of 5-10 years of follow-up may be necessary to mitigate reverse causation.</t>
  </si>
  <si>
    <t>Ferrari, Gerson/ABG-6635-2021; liao, bing/IYS-8102-2023; wang, yafeng/J-4829-2017; Aune, Dagfinn/AFP-4300-2022; Giovannucci, Edward/ADE-8028-2022; Huang, Wentao/AAD-3487-2022; Ferrari, Gerson/P-1152-2014; Rezende, Leandro/C-1724-2012</t>
  </si>
  <si>
    <t>Lee, Dong Hoon/0000-0003-1329-4637; Huang, Wentao/0000-0002-9114-0898; Nie, Jing/0009-0008-0539-8800; Ferrari, Gerson/0000-0003-3177-6576; Aune, Dagfinn/0000-0002-4533-1722; Rezende, Leandro/0000-0002-7469-1399</t>
  </si>
  <si>
    <t>0393-2990</t>
  </si>
  <si>
    <t>1573-7284</t>
  </si>
  <si>
    <t>10.1007/s10654-021-00829-2</t>
  </si>
  <si>
    <t>JAN 2022</t>
  </si>
  <si>
    <t>WOS:000737784100001</t>
  </si>
  <si>
    <t>Hidalgo-Hermoso, E; Ruiz-Fons, F; Cabello-Stom, J; Ramírez, N; López, R; Sánchez, F; Mansell, M; Sánchez, C; Simonetti, JA; Peñaranda, D; Stipicic, G; Moreira-Arce, D; Cariñanos, A; Barría, I; Silva, A; Millán, J; Esperón, F</t>
  </si>
  <si>
    <t>Hidalgo-Hermoso, Ezequiel; Ruiz-Fons, Francisco; Cabello-Stom, Javier; Ramirez, Nathalie; Lopez, Rodrigo; Sanchez, Fernanda; Mansell, Myra; Sanchez, Carlos; Simonetti, Javier A.; Penaranda, Diego; Stipicic, Gregor; Moreira-Arce, Dario; Carinanos, Aintzane; Barria, Ismael; Silva, Alejandra; Millan, Javier; Esperon, Fernando</t>
  </si>
  <si>
    <t>Lack of Exposure to Mycobacterium bovis and Mycobacterium avium subsp. paratuberculosis in Chilean Cervids, and Evidence of a New Mycobacterium-like Sequence</t>
  </si>
  <si>
    <t>JOURNAL OF WILDLIFE DISEASES</t>
  </si>
  <si>
    <t>Screening of serum and fecal samples from huemul (Hippocamelus bisulcus) and pudu (Pudu puda) from southern Chile for Mycobacterium bovis and Mycobacterium avium paratuberculosis (MAP) found all but four samples Mycobacterium-negative. The positive sequences showed only 92-93% similarity with MAP and were from remote Isla Riesco populations.</t>
  </si>
  <si>
    <t>Moreira-Arce, Dario/ABG-2898-2021; Simonetti, Javier/A-4658-2008; Ruiz-Fons, Francisco/K-3161-2014; Lopez, Rodrigo/G-4412-2014; Hidalgo-Hermoso, Ezequiel/ABB-6056-2020; Sanchez, Fernanda/JOK-9028-2023; Sanchez, Carlos/W-6353-2019; Millan, Javier/B-5399-2008; ESPERON, FERNANDO/T-7538-2017</t>
  </si>
  <si>
    <t>Millan, Javier/0000-0001-5608-781X; ESPERON, FERNANDO/0000-0002-8810-5071</t>
  </si>
  <si>
    <t>0090-3558</t>
  </si>
  <si>
    <t>1943-3700</t>
  </si>
  <si>
    <t>10.7589/JWD-D-21-00135</t>
  </si>
  <si>
    <t>WOS:000831988400025</t>
  </si>
  <si>
    <t>Hales, AS; Marino, S; Sheehan, PD; Ulloa, S; Pérez, S; Matrà, L; Kral, Q; Wyatt, M; Dent, W; Carpenter, J</t>
  </si>
  <si>
    <t>Hales, Antonio S.; Marino, Sebastian; Sheehan, Patrick D.; Ulloa, Silvio; Perez, Sebastian; Matra, Luca; Kral, Quentin; Wyatt, Mark; Dent, William; Carpenter, John</t>
  </si>
  <si>
    <t>ALMA Observations of the HD 110058 Debris Disk</t>
  </si>
  <si>
    <t>ASTROPHYSICAL JOURNAL</t>
  </si>
  <si>
    <t>We present Atacama Large Millimeter/submillimeter Array (ALMA) observations of the young, gas-rich debris disk around HD 110058 at 0.'' 3-0.'' 6 resolution. The disk is detected in the 0.85 and 1.3 mm continuum, as well as the J = 2-1 and J = 3-2 transitions of (CO)-C-12 and (CO)-C-13. The observations resolve the dust and gas distributions and reveal that this is the smallest debris disk around stars of similar luminosity observed by ALMA. The new ALMA data confirm the disk is very close to edge-on, as shown previously in scattered-light images. We use radiative transfer modeling to constrain the physical properties of dust and gas disks. The dust density peaks at around 31 au and has a smooth outer edge that extends out to similar to 70 au. Interestingly, the dust emission is marginally resolved along the minor axis, which indicates that it is vertically thick if truly close to edge-on with an aspect ratio between 0.13 and 0.28. We also find that the CO gas distribution is more compact than the dust (similar to the disk around 49 Ceti), which could be due to a low viscosity and a higher gas release rate at small radii. Using simulations of the gas evolution taking into account the CO photodissociation, shielding, and viscous evolution, we find that HD 110058's CO gas mass and distribution are consistent with a secondary origin scenario. Finally, we find that the gas densities may be high enough to cause the outward drift of small dust grains in the disk.</t>
  </si>
  <si>
    <t>Wyatt, Mark/D-5853-2018; Marino, Sebastian/AFP-2400-2022; Pérez, Sebastián/AAS-5857-2020</t>
  </si>
  <si>
    <t>Carpenter, John/0000-0003-2251-0602; Hales, Antonio/0000-0001-5073-2849; Marino, Sebastian/0000-0002-5352-2924; Perez, Sebastian/0000-0003-2953-755X; Sheehan, Patrick/0000-0002-9209-8708; Matra, Luca/0000-0003-4705-3188</t>
  </si>
  <si>
    <t>0004-637X</t>
  </si>
  <si>
    <t>1538-4357</t>
  </si>
  <si>
    <t>DEC 1</t>
  </si>
  <si>
    <t>10.3847/1538-4357/ac9cd3</t>
  </si>
  <si>
    <t>WOS:000892898000001</t>
  </si>
  <si>
    <t>González-Ruilova, C; Cieza, LA; Hales, AS; Pérez, S; Zurlo, A; Arce-Tord, C; Casassus, S; Cánovas, H; Flock, M; Herczeg, GJ; Pinilla, P; Price, DJ; Principe, DA; Ruíz-Rodríguez, D; Williams, JP</t>
  </si>
  <si>
    <t>Gonzalez-Ruilova, Camilo; Cieza, Lucas A.; Hales, Antonio S.; Perez, Sebastian; Zurlo, Alice; Arce-Tord, Carla; Casassus, Simon; Canovas, Hector; Flock, Mario; Herczeg, Gregory J.; Pinilla, Paola; Price, Daniel J.; Principe, David A.; Ruiz-Rodriguez, Dary; Williams, Jonathan P.</t>
  </si>
  <si>
    <t>A Tale of Two Transition Disks: ALMA Long-baseline Observations of ISO-Oph 2 Reveal Two Closely Packed Nonaxisymmetric Rings and a ∼2 au Cavity</t>
  </si>
  <si>
    <t>ISO-Oph 2 is a wide-separation (240 au) binary system where the primary star harbors a massive (M-dust similar to 40M(circle plus)) ring-like disk with a dust cavity similar to 50 au in radius and the secondary hosts a much lighter (M-dust similar to 0.8M(circle plus)) disk. As part of the high-resolution follow-up of the Ophiuchus Disk Survey Employing ALMA (ODISEA) project, we present 1.3 mm continuum and(12)CO molecular line observations of the system at 002 (3 au) resolution. We resolve the disk around the primary into two nonaxisymmetric rings and find that the disk around the secondary is only similar to 7 au across and also has a dust cavity (r similar to 2.2 au). Based on the infrared flux ratio of the system and the M0 spectral type of the primary, we estimate the mass of the companion to be close to the brown-dwarf limit. Hence, we conclude that the ISO-Oph 2 system contains the largest and smallest cavities, the smallest measured disk size, and the resolved cavity around the lowest-mass object (M similar to 0.08M) in Ophiuchus. From the(12)CO data, we find a bridge of gas connecting both disks. While the morphology of the rings around the primary might be due to an unseen disturber within the cavity, we speculate that the bridge might indicate an alternative scenario in which the secondary has recently flown by the primary star causing the azimuthal asymmetries in its disk. The ISO-Oph 2 system is therefore a remarkable laboratory to study disk evolution, planet formation, and companion-disk interactions.</t>
  </si>
  <si>
    <t>Pérez, Sebastián/AAS-5857-2020; Casassus, Simon/I-8609-2016; Williams, Jonathan/B-1643-2009; Price, Daniel/A-8142-2016; Zurlo, Alice/Q-5011-2019; Canovas, Hector/HCI-1393-2022</t>
  </si>
  <si>
    <t>Pinilla (she/her), Paola/0000-0001-8764-1780; Arce-Tord, Carla/0000-0002-0176-4331; Gonzalez Ruilova, Camilo/0000-0003-4907-189X; Herczeg, Gregory/0000-0002-7154-6065; Cieza, Lucas/0000-0002-2828-1153; Canovas, Hector/0000-0001-7668-8022; Perez, Sebastian/0000-0003-2953-755X; Casassus, Simon/0000-0002-0433-9840; Zurlo, Alice/0000-0002-5903-8316; Hales, Antonio/0000-0001-5073-2849</t>
  </si>
  <si>
    <t>L33</t>
  </si>
  <si>
    <t>10.3847/2041-8213/abbcce</t>
  </si>
  <si>
    <t>WOS:000579641500001</t>
  </si>
  <si>
    <t>Ho, WCG; Guillot, S; Parkinson, PMS; Limyansky, B; Ng, CY; Bejger, M; Espinoza, CM; Haskell, B; Jaisawal, GK; Malacaria, C</t>
  </si>
  <si>
    <t>Ho, Wynn C. G.; Guillot, Sebastien; Parkinson, P. M. Saz; Limyansky, B.; Ng, C-Y; Bejger, Michal; Espinoza, Cristobal M.; Haskell, B.; Jaisawal, Gaurava K.; Malacaria, C.</t>
  </si>
  <si>
    <t>Proper motion, spectra, and timing of PSR J1813-1749 using Chandra and NICER</t>
  </si>
  <si>
    <t>PSR J1813-1749 is one of the most energetic rotation-powered pulsars known, producing a pulsar wind nebula (PWN) and gamma-ray and TeV emission, but whose spin period is only measurable in X-ray. We present analysis of two Chandra data sets that are separated by more than 10 yr and recent NICER data. The long baseline of the Chandra data allows us to derive a pulsar proper motion mu(RA) = (-0.067 +/- 0.010) arcsec yr-1 and mu(Dec). = (-0.014 +/- 0.007) arcsec yr(-1) and velocity v(perpendicular to) approximate to 900-1600 km s(-1) (assuming a distance d = 3-5 kpc), although we cannot exclude a contribution to the change in measured pulsar position due to a change in brightness structure of thePWNvery near the pulsar. We model the PWNand pulsar spectra using an absorbed power law and obtain best-fitting absorption N-H = (13.1 +/- 0.9) x 10(22) cm(-2), photon index = 1.5 +/- 0.1, and 0.310 keV luminosity L-X approximate to 5.4 x 10(34) erg s(-1)( d/ 5 kpc)(2) for the PWN and Gamma = 1.2 +/- 0.1 and L-X approximate to 9.3 x 10(33) erg s(-1)( d/ 5 kpc)(2) for PSR J1813-1749. These values do not change between the 2006 and 2016 observations. We use NICER observations from 2019 to obtain a timing model of PSR J1813-1749, with spin frequency nu = 22.35 Hz and spin frequency time derivative.. = (-6.428 +/- 0.003) x 10-11 Hz s-1. We also fit. measurements from 2009 to 2012 and our 2019 value and find a long-term spin-down rate (nu)over dot = (-6.3445 +/- 0.0004) x 10-11 Hz s(-1). We speculate that the difference in spin-down rates is due to glitch activity or emission mode switching.</t>
  </si>
  <si>
    <t>Parkinson, Pablo/I-7980-2013; Jaisawal, Gaurava K./ABD-4335-2020; Haskell, Brynmor/AAX-1002-2021; Bejger, Magdalena/W-7298-2018; Espinoza, Cristobal/U-4428-2017</t>
  </si>
  <si>
    <t>Ho, Wynn/0000-0002-6089-6836; Malacaria, Christian/0000-0002-0380-0041; Espinoza, Cristobal/0000-0003-2481-2348; Bejger, Michal/0000-0002-4991-8213; Haskell, Brynmor/0000-0002-8255-3519; Jaisawal, Gaurava Kumar/0000-0002-6789-2723</t>
  </si>
  <si>
    <t>10.1093/mnras/staa2653</t>
  </si>
  <si>
    <t>WOS:000587752500101</t>
  </si>
  <si>
    <t>Alfonso, JA; Cordero, RR; Rowe, PM; Neshyba, S; Casassa, G; Carrasco, J; MacDonell, S; Lambert, F; Pizarro, J; Fernandoy, F; Feron, S; Damiani, A; Llanillo, P; Sepulveda, E; Jorquera, J; Garcia, B; Carrera, JM; Oyola, P; Kang, CM</t>
  </si>
  <si>
    <t>Alfonso, Juan A.; Cordero, Raul R.; Rowe, Penny M.; Neshyba, Steven; Casassa, Gino; Carrasco, Jorge; MacDonell, Shelley; Lambert, Fabrice; Pizarro, Jaime; Fernandoy, Francisco; Feron, Sarah; Damiani, Alessandro; Llanillo, Pedro; Sepulveda, Edgardo; Jorquera, Jose; Garcia, Belkis; Carrera, Juan M.; Oyola, Pedro; Kang, Choong-Min</t>
  </si>
  <si>
    <t>Elemental and Mineralogical Composition of the Western Andean Snow (18°S-41°S)</t>
  </si>
  <si>
    <t>The snowpack is an important source of water for many Andean communities. Because of its importance, elemental and mineralogical composition analysis of the Andean snow is a worthwhile effort. In this study, we conducted a chemical composition analysis (major and trace elements, mineralogy, and chemical enrichment) of surface snow sampled at 21 sites across a transect of about 2,500 km in the Chilean Andes (18-41 degrees S). Our results enabled us to identify five depositional environments: (i) sites 1-3 (in the Atacama Desert, 18-26 degrees S) with relatively high concentrations of metals, high abundance of quartz and low presence of arsenates, (ii) sites 4-8 (in northern Chile, 29-32 degrees S) with relatively high abundance of quartz and low presence of metals and arsenates, (iii) sites 9-12 (in central Chile, 33-35 degrees S) with anthropogenic enrichment of metals, relatively high values of quartz and low abundance of arsenates, (iv) sites 13-14 (also in central Chile, 35-37 degrees S) with relatively high values of quartz and low presence of metals and arsenates, and v) sites 15-21 (in southern Chile, 37-41 degrees S) with relatively high abundance of arsenates and low presence of metals and quartz. We found significant anthropogenic enrichment at sites close to Santiago (a major city of 6 million inhabitants) and in the Atacama Desert (that hosts several major copper mines).</t>
  </si>
  <si>
    <t>Cordero, Raul/M-7979-2017; Damiani, Alessandro/X-4677-2019; MacDonell, Shelley/J-2480-2016; Casassa, Gino/AAX-6142-2020; Lambert, Fabrice/M-2003-2014; Carrasco, Jorge/K-2949-2014; Llanillo, Pedro/L-5877-2015</t>
  </si>
  <si>
    <t>Carrasco, Jorge/0000-0003-2154-5483; Damiani, Alessandro/0000-0003-3014-6193; MacDonell, Shelley/0000-0001-9641-4547; Cordero, Raul R./0000-0001-7607-7993; Rowe, Penny/0000-0002-7594-0553; Llanillo, Pedro/0000-0002-9308-501X; Feron, Sarah/0000-0002-0572-5639</t>
  </si>
  <si>
    <t>MAY 31</t>
  </si>
  <si>
    <t>10.1038/s41598-019-44516-5</t>
  </si>
  <si>
    <t>WOS:000469752800008</t>
  </si>
  <si>
    <t>Chrispeels, MJ; Holuigue, L; Latorre, R; Luan, S; Orellana, A; Peña-Cortes, H; Raikhel, NV; Ronald, PC; Trewavas, A</t>
  </si>
  <si>
    <t>Signal transduction networks and the biology of plant cells</t>
  </si>
  <si>
    <t>BIOLOGICAL RESEARCH</t>
  </si>
  <si>
    <t>The development of plant transformation in the mid-1980s and of many new tools for cell biology, molecular genetics, and biochemistry has resulted in enormous progress in plant biology in the past decade. With the completion of the genome sequence of Arabidopsis thaliana just around the corner, we can expect even faster progress in the next decade. The interface between cell biology and signal transduction is emerging as: a new and important field of research. In the past we thought of cell biology strictly in terms of organelles and their biogenesis and function. and researchers focused on questions such as, how do proteins enter chloroplasts? or. what is the structure of the macromolecules of the cell wall and how are these molecules secreted? Signal transduction dealt primarily with the perception of light (photomorphogenesis) or hormones and with the eff;;ct such signals have on enhancing the activity of specific genes. Now we see that the fields of cell biology and signal transduction are merging because signals pass between organelles and a single signal transduction pathway usually involves multiple organelles or cellular structures. Here are some examples to illustrate this new paradigm. How does abscisic acid (ABA) regulate stomatal closure? This pathway involves not only ABA receptors whose location is not yet known. but cation and anion channels in the plasma membrane, changes in the cytoskeleton, movement of water through water channels in the tonoplast and the plasma membrane, proteins with a farnesyl tail that can be located tither in the cytosol or attached to a membrane, and probably unidentified ion channels in the tonoplast. In addition there are highly localized calcium oscillations in the cytoplasm resulting from the release of calcium stored in various compartments. The activities of all these cellular structures need to be coordinated during ABA-induced stomatal closure. For another example of the interplay between the proteins of signal transduction pathways and cytoplasmic structures, consider how plants mount defense responses against pathogens. Elicitors produced by pathogens bind to receptors on the plant plasma membrane or in the cytosol and eventually activate a large number of genes. This results in the coordination of activities at the plasma membrane (production of reactive oxygen species), in the cytoskeleton. localized calcium oscillations, and the modulation of protein kinases and protein phosphatases whose locations remain to be determined. The movement of transcription factors into the nucleus to activate the defense genes requires their release from cytosolic anchors and passage through the nuclear pore complexes of the nuclear envelope. This review does not cover all the recent progress in plant signal transduction and cell biology; it is confined to the topics that were discussed at a recent (November 1998) workshop held in Santiago at which lecturers from Chile, the USA and the UK presented recent results from their laboratories.</t>
  </si>
  <si>
    <t>Ronald, Pamela/AAK-7664-2020; Peña-Cortes, Hugo/A-2758-2012; Orellana, Ariel/E-2166-2014</t>
  </si>
  <si>
    <t>Latorre, Ramon/0000-0002-6044-5795; Orellana, Ariel/0000-0002-9243-808X</t>
  </si>
  <si>
    <t>0716-9760</t>
  </si>
  <si>
    <t>WOS:000082279600008</t>
  </si>
  <si>
    <t>Castillo-Paredes, A; Iglésias, B; Farías-Valenzuela, C; Kovalskys, I; Gómez, G; Rigotti, A; Cortés, LY; García, MCY; Pareja, RG; Herrera-Cuenca, M; Fisberg, M; Drenowatz, C; Ferrero-Hernández, P; Ferrari, G</t>
  </si>
  <si>
    <t>Castillo-Paredes, Antonio; Iglesias, Beatriz; Farias-Valenzuela, Claudio; Kovalskys, Irina; Gomez, Georgina; Rigotti, Attilio; Yadira Cortes, Lilia; Yepez Garcia, Martha Cecilia; Pareja, Rossina G.; Herrera-Cuenca, Marianella; Fisberg, Mauro; Drenowatz, Clemens; Ferrero-Hernandez, Paloma; Ferrari, Gerson</t>
  </si>
  <si>
    <t>Perceived Neighborhood Safety and Active Transportation in Adults from Eight Latin American Countries</t>
  </si>
  <si>
    <t>Neighborhood built environment is associated with domain-specific physical activity. However, few studies with representative samples have examined the association between perceived neighborhood safety indicators and domain-specific active transportation in Latin America. This study aimed to examine the associations of perceived neighborhood safety with domain-specific active transportation in adults from eight Latin American countries. Data were obtained from the Latin American Study of Nutrition and Health (n = 8547, aged 18-65). Active transportation (walking and cycling) was assessed using the long form of the International Physical Activity Questionnaire. Specifically, traffic density and speed as well as street lightening, visibility of residents regarding pedestrians and bicyclists, traffic lights and crosswalks, safety of public spaces during the day and at night, crime rate during the day and at night were used to evaluate perceived neighborhood safety. Slow traffic speeds, unsafe public spaces during the day, and crime during the day were associated with &gt;= 10 min/week vs. &lt;10 min/week of walking. Furthermore, drivers exceeding the speed limit and crime rate during the day were associated with reporting &gt;= 10 min/week vs. &lt;10 min/week of cycling. These results indicate a stronger association of the perceived neighborhood safety with walking compared to cycling.</t>
  </si>
  <si>
    <t>Cortes, Lilia/AAF-2960-2019; Castillo-Paredes, Antonio/HLP-6825-2023; Drenowatz, Clemens/A-1928-2013; Iglesias, Beatriz/JOZ-3446-2023; Gomez, Georgina/AAR-7272-2020; Ferrari, Gerson/ABG-6635-2021; Ferrari, Gerson/P-1152-2014; Fisberg, Mauro/E-7149-2010</t>
  </si>
  <si>
    <t>Ferrari, Gerson/0000-0003-3177-6576; Gomez, Georgina/0000-0003-3514-2984; Farias Valenzuela, Claudio/0000-0002-4027-4415; Iglesias, Beatriz/0000-0002-6632-9904; Drenowatz, Clemens/0000-0002-3861-5364; Ferrero Hernandez, Paloma Andrea/0000-0002-0172-660X; Yepez, Martha Cecilia/0000-0003-4119-238X; Castillo Paredes, Antonio/0000-0002-7239-960X; Cortes, Lilia Yadira/0000-0003-2789-3219; Fisberg, Mauro/0000-0003-2992-3215; Kovalskys, Irina/0000-0001-8481-5415</t>
  </si>
  <si>
    <t>10.3390/ijerph191912811</t>
  </si>
  <si>
    <t>WOS:000866857900001</t>
  </si>
  <si>
    <t>Toro-Hernández, FD; Migeot, J; Marchant, N; Olivares, D; Ferrante, F; González-Gómez, R; Campo, CG; Fittipaldi, S; Rojas-Costa, GM; Moguilner, S; Slachevsky, A; Cuevas, PC; Ibáñez, A; Chaigneau, S; García, AM</t>
  </si>
  <si>
    <t>Toro-Hernandez, Felipe Diego; Migeot, Joaquin; Marchant, Nicolas; Olivares, Daniela; Ferrante, Franco; Gonzalez-Gomez, Raul; Campo, Cecilia Gonzalez; Fittipaldi, Sol; Rojas-Costa, Gonzalo M.; Moguilner, Sebastian; Slachevsky, Andrea; Cuevas, Pedro Chana; Ibanez, Agustin; Chaigneau, Sergio; Garcia, Adolfo M.</t>
  </si>
  <si>
    <t>Neurocognitive correlates of semantic memory navigation in Parkinson's disease</t>
  </si>
  <si>
    <t>NPJ PARKINSONS DISEASE</t>
  </si>
  <si>
    <t>Cognitive studies on Parkinson's disease (PD) reveal abnormal semantic processing. Most research, however, fails to indicate which conceptual properties are most affected and capture patients' neurocognitive profiles. Here, we asked persons with PD, healthy controls, and individuals with behavioral variant frontotemporal dementia (bvFTD, as a disease control group) to read concepts (e.g., 'sun') and list their features (e.g., hot). Responses were analyzed in terms of ten word properties (including concreteness, imageability, and semantic variability), used for group-level comparisons, subject-level classification, and brain-behavior correlations. PD (but not bvFTD) patients produced more concrete and imageable words than controls, both patterns being associated with overall cognitive status. PD and bvFTD patients showed reduced semantic variability, an anomaly which predicted semantic inhibition outcomes. Word-property patterns robustly classified PD (but not bvFTD) patients and correlated with disease-specific hypoconnectivity along the sensorimotor and salience networks. Fine-grained semantic assessments, then, can reveal distinct neurocognitive signatures of PD.</t>
  </si>
  <si>
    <t>Rojas, Gonzalo/B-2036-2013; Gonzalez-Gomez, Raul/AFF-4412-2022; Chaigneau, Sergio/AAG-6105-2020; Ibanez, Agustin/H-7976-2015; García, Adolfo/E-7150-2017</t>
  </si>
  <si>
    <t>Gonzalez-Gomez, Raul/0000-0003-2341-011X; Fittipaldi, Sol/0000-0001-7704-3349; toro Hernandez, felipe/0000-0003-1237-343X; Rojas-Costa, Gonzalo/0000-0002-6228-2678; Moguilner, Sebastian/0000-0003-1731-8325; Marchant, Nicolas/0000-0001-7891-1005; Ferrante, Franco Javier/0000-0002-9455-2214</t>
  </si>
  <si>
    <t>2373-8057</t>
  </si>
  <si>
    <t>JAN 9</t>
  </si>
  <si>
    <t>10.1038/s41531-024-00630-4</t>
  </si>
  <si>
    <t>WOS:001139057800003</t>
  </si>
  <si>
    <t>da Cunha, PL; Ruiz, F; Ferrante, F; Sterpin, LF; Ibanez, A; Slachevsky, A; Matallana, D; Martinez, A; Hesse, E; Garcia, AM</t>
  </si>
  <si>
    <t>da Cunha, Pamela Lopes; Ruiz, Fabian; Ferrante, Franco; Sterpin, Lucas Federico; Ibanez, Agustin; Slachevsky, Andrea; Matallana, Diana; Martinez, Angela; Hesse, Eugenia; Garcia, Adolfo M.</t>
  </si>
  <si>
    <t>Automated free speech analysis reveals distinct markers of Alzheimer's and frontotemporal dementia</t>
  </si>
  <si>
    <t>PLOS ONE</t>
  </si>
  <si>
    <t>Dementia can disrupt how people experience and describe events as well as their own role in them. Alzheimer's disease (AD) compromises the processing of entities expressed by nouns, while behavioral variant frontotemporal dementia (bvFTD) entails a depersonalized perspective with increased third-person references. Yet, no study has examined whether these patterns can be captured in connected speech via natural language processing tools. To tackle such gaps, we asked 96 participants (32 AD patients, 32 bvFTD patients, 32 healthy controls) to narrate a typical day of their lives and calculated the proportion of nouns, verbs, and first- or third-person markers (via part-of-speech and morphological tagging). We also extracted objective properties (frequency, phonological neighborhood, length, semantic variability) from each content word. In our main study (with 21 AD patients, 21 bvFTD patients, and 21 healthy controls), we used inferential statistics and machine learning for group-level and subject-level discrimination. The above linguistic features were correlated with patients' scores in tests of general cognitive status and executive functions. We found that, compared with HCs, (i) AD (but not bvFTD) patients produced significantly fewer nouns, (ii) bvFTD (but not AD) patients used significantly more third-person markers, and (iii) both patient groups produced more frequent words. Machine learning analyses showed that these features identified individuals with AD and bvFTD (AUC = 0.71). A generalizability test, with a model trained on the entire main study sample and tested on hold-out samples (11 AD patients, 11 bvFTD patients, 11 healthy controls), showed even better performance, with AUCs of 0.76 and 0.83 for AD and bvFTD, respectively. No linguistic feature was significantly correlated with cognitive test scores in either patient group. These results suggest that specific cognitive traits of each disorder can be captured automatically in connected speech, favoring interpretability for enhanced syndrome characterization, diagnosis, and monitoring.</t>
  </si>
  <si>
    <t>García, Adolfo/E-7150-2017; Ibanez, Agustin/H-7976-2015; Martinez-R, Angela/M-6698-2017</t>
  </si>
  <si>
    <t>Lopes da Cunha, Pamela/0000-0002-0067-0800; Martinez-R, Angela/0000-0002-2358-4198; Ferrante, Franco Javier/0000-0002-9455-2214</t>
  </si>
  <si>
    <t>1932-6203</t>
  </si>
  <si>
    <t>JUN 6</t>
  </si>
  <si>
    <t>e0304272</t>
  </si>
  <si>
    <t>10.1371/journal.pone.0304272</t>
  </si>
  <si>
    <t>WOS:001241954400047</t>
  </si>
  <si>
    <t>van den Eijnden, J; Sidoli, L; Trigo, MD; Degenaar, N; El Mellah, ; Fürst, F; Grinberg, ; Kretschmar, P; Martínez-Núñez, S; Miller-Jones, JCA; Postnov, K; Russell, TD</t>
  </si>
  <si>
    <t>van den Eijnden, J.; Sidoli, L.; Trigo, M. Diaz; Degenaar, N.; El Mellah, I; Furst, F.; Grinberg, V; Kretschmar, P.; Martinez-Nunez, S.; Miller-Jones, J. C. A.; Postnov, K.; Russell, T. D.</t>
  </si>
  <si>
    <t>The first mm detection of a neutron star high-mass X-ray binary</t>
  </si>
  <si>
    <t>Neutron stars accreting from OB supergiants are often divided between persistently and transiently accreting systems, called supergiant X-ray binaries (SgXBs) and supergiant fast X-ray transients (SFXTs). This dichotomy in accretion behaviour is typically attributed to systematic differences in the massive stellar wind, binary orbit, or magnetic field configuration, but direct observational evidence for these hypotheses remains sparse. To investigate their stellar winds, we present the results of pilot 100-GHz observations of one SFXT and one SgXB with the Northern Extended Millimetre Array. The SFXT, IGR J18410-0535, is detected as a point source at 63.4 +/- 9.6 mu Jy, while the SgXB, IGR J18410-0535 remains undetected. Radio observations of IGR J18410-0535 imply a flat or inverted low-frequency spectrum, arguing for wind emission and against non-thermal flaring. Due to the uncertain SFXT distance, however, the observations do not necessarily imply a difference between the wind properties of the SFXT and SgXB. We compare the mm constraints with other HMXBs and isolated OB supergiants, before considering how future mm campaigns can constrain HMXB wind properties by including X-ray measurements. Specifically, we discuss caveats and future steps to successfully measure wind mass-loss rates and velocities in HMXBs with coordinated mm, radio, and X-ray campaigns.</t>
  </si>
  <si>
    <t>Russell, Thomas/IXN-7885-2023; Postnov, Konstantin/K-4152-2017; Miller-Jones, James/B-2411-2013</t>
  </si>
  <si>
    <t>van den Eijnden, Jakob/0000-0002-5686-0611; Sidoli, Lara/0000-0001-9705-2883; Degenaar, Nathalie/0000-0002-0092-3548; Miller-Jones, James/0000-0003-3124-2814; Russell, Thomas/0000-0002-7930-2276; Postnov, Konstantin/0000-0002-1705-617X</t>
  </si>
  <si>
    <t>L129</t>
  </si>
  <si>
    <t>L135</t>
  </si>
  <si>
    <t>10.1093/mnrasl/slad130</t>
  </si>
  <si>
    <t>SEP 2023</t>
  </si>
  <si>
    <t>WOS:001152583500023</t>
  </si>
  <si>
    <t>Sánchez-Sáez, P; Reyes, I; Valenzuela, C; Förster, F; Eyheramendy, S; Elorrieta, F; Bauer, FE; Cabrera-Vives, G; Estévez, PA; Catelan, M; Pignata, G; Huijse, P; De Cicco, D; Arévalo, P; Carrasco-Davis, R; Abril, J; Kurtev, R; Borissova, J; Arredondo, J; Castillo-Navarrete, E; Rodriguez, D; Ruz-Mieres, D; Moya, A; Sabatini-Gacitúa, L; Sepúlveda-Cobo, C; Camacho-Iñiguez, E</t>
  </si>
  <si>
    <t>Sanchez-Saez, P.; Reyes, I; Valenzuela, C.; Forster, F.; Eyheramendy, S.; Elorrieta, F.; Bauer, F. E.; Cabrera-Vives, G.; Estevez, P. A.; Catelan, M.; Pignata, G.; Huijse, P.; De Cicco, D.; Arevalo, P.; Carrasco-Davis, R.; Abril, J.; Kurtev, R.; Borissova, J.; Arredondo, J.; Castillo-Navarrete, E.; Rodriguez, D.; Ruz-Mieres, D.; Moya, A.; Sabatini-Gacitua, L.; Sepulveda-Cobo, C.; Camacho-Iniguez, E.</t>
  </si>
  <si>
    <t>Alert Classification for the ALeRCE Broker System: The Light Curve Classifier</t>
  </si>
  <si>
    <t>ASTRONOMICAL JOURNAL</t>
  </si>
  <si>
    <t>We present the first version of the Automatic Learning for the Rapid Classification of Events (ALeRCE) broker light curve classifier. ALeRCE is currently processing the Zwicky Transient Facility (ZTF) alert stream, in preparation for the Vera C. Rubin Observatory. The ALeRCE light curve classifier uses variability features computed from the ZTF alert stream and colors obtained from AllWISE and ZTF photometry. We apply a balanced random forest algorithm with a two-level scheme where the top level classifies each source as periodic, stochastic, or transient, and the bottom level further resolves each of these hierarchical classes among 15 total classes. This classifier corresponds to the first attempt to classify multiple classes of stochastic variables (including core- and host-dominated active galactic nuclei, blazars, young stellar objects, and cataclysmic variables) in addition to different classes of periodic and transient sources, using real data. We created a labeled set using various public catalogs (such as the Catalina Surveys and Gaia DR2 variable stars catalogs, and the Million Quasars catalog), and we classify all objects with &gt;= 6 g-band or &gt;= 6 r-band detections in ZTF (868,371 sources as of 2020 June 9), providing updated classifications for sources with new alerts every day. For the top level we obtain macro-averaged precision and recall scores of 0.96 and 0.99, respectively, and for the bottom level we obtain macro-averaged precision and recall scores of 0.57 and 0.76, respectively. Updated classifications from the light curve classifier can be found at the ALeRCE Explorer website (http://alerce.online)..</t>
  </si>
  <si>
    <t>Saez, Paula/AAX-2872-2020; Cabrera-Vives, Guillermo/AHA-0641-2022; Borissova, Johanna N./KBQ-9809-2024; Reyes, Ignacio/HGD-1684-2022; Elorrieta, Felipe/AAX-2057-2020; Forster, Francisco/AAH-6014-2021; Bauer, Franz Erik/AEU-0656-2022; Catelan, Márcio/JDV-7579-2023; Huijse, Pablo/J-4700-2015; Estevez, Pablo/A-9377-2008</t>
  </si>
  <si>
    <t>Reyes, Ignacio/0000-0003-3627-0216; Kurtev, Radostin/0000-0002-9740-9974; Cabrera-Vives, Guillermo/0000-0002-2720-7218; Pignata, Giuliano/0000-0003-0006-0188; Arredondo, Javier/0000-0002-2045-7134; Elorrieta, Felipe/0000-0002-1835-7433; Moya Loustaunau, Alberto/0000-0002-7003-5087; Forster, Francisco/0000-0003-3459-2270; Eyheramendy, Susana/0000-0003-4723-9660; Arevalo, Patricia/0000-0001-5675-6323; Borissova, Jura/0000-0002-5936-7718; Huijse, Pablo/0000-0003-3541-1697; Valenzuela Carrasco, Camilo/0000-0001-5306-1390; Sanchez-Saez, Paula/0000-0003-0820-4692; Catelan, Marcio/0000-0001-6003-8877; Bauer, Franz Erik/0000-0002-8686-8737; Estevez, Pablo/0000-0001-9164-4722</t>
  </si>
  <si>
    <t>0004-6256</t>
  </si>
  <si>
    <t>1538-3881</t>
  </si>
  <si>
    <t>10.3847/1538-3881/abd5c1</t>
  </si>
  <si>
    <t>WOS:000620974000001</t>
  </si>
  <si>
    <t>Zurlo, A; Cieza, LA; Ansdell, M; Christiaens, V; Pérez, S; Lovell, J; Mesa, D; Williams, JP; Gonzalez-Ruilova, C; Carraro, R; Ruíz-Rodríguez, D; Wyatt, M</t>
  </si>
  <si>
    <t>Zurlo, Alice; Cieza, Lucas A.; Ansdell, Megan; Christiaens, Valentin; Perez, Sebastian; Lovell, Josh; Mesa, Dino; Williams, Jonathan P.; Gonzalez-Ruilova, Camilo; Carraro, Rosamaria; Ruiz-Rodriguez, Dary; Wyatt, Mark</t>
  </si>
  <si>
    <t>The effect of stellar multiplicity on protoplanetary discs: a near-infrared survey of the Lupus star-forming region</t>
  </si>
  <si>
    <t>We present results from a near-infrared (NIR) adaptive optics (AO) survey of pre-main-sequence stars in the Lupus molecular cloud with NACO at the Very Large Telescope (VLT) to identify (sub)stellar companions down to similar to 20-au separation and investigate the effects of multiplicity on circumstellar disc properties. We observe for the first time in the NIR with AO a total of 47 targets and complement our observations with archival data for another 58 objects previously observed with the same instrument. All 105 targets have millimetre Atacama Large Millimetre/sub-millimetre Array (ALMA) data available, which provide constraints on disc masses and sizes. We identify a total of 13 multiple systems, including 11 doubles and 2 triples. In agreement with previous studies, we find that the most massive (M-dust &gt; 50 M-circle dot) and largest (R-dust &gt; 70 au) discs are only seen around stars lacking visual companions (with separations of 20-4800 au) and that primaries tend to host more massive discs than secondaries. However, as recently shown in a very similar study of &gt;200 PMS stars in the Ophiuchus molecular cloud, the distributions of disc masses and sizes are similar for single and multiple systems for M-dust &lt; 50 M-circle plus and radii R-dust &lt; 70 au. Such discs correspond to similar to 80-90 per cent of the sample. This result can be seen in the combined sample of Lupus and Ophiuchus objects, which now includes more than 300 targets with ALMA imaging and NIR AO data, and implies that stellar companions with separations &gt;20 au mostly affect discs in the upper 10 per cent of the disc mass and size distributions.</t>
  </si>
  <si>
    <t>Wyatt, Mark/D-5853-2018; Pérez, Sebastián/AAS-5857-2020; Zurlo, Alice/Q-5011-2019; Mesa, Dany/AAY-8950-2020; Williams, Jonathan/B-1643-2009</t>
  </si>
  <si>
    <t>Ansdell, Megan/0000-0003-4142-9842; Mesa, Dino/0000-0001-8467-1933; Christiaens, Valentin/0000-0002-0101-8814; Lovell, Joshua Bennett/0000-0002-4248-5443; Zurlo, Alice/0000-0002-5903-8316; Williams, Jonathan/0000-0001-5058-695X; Perez, Sebastian/0000-0003-2953-755X; Cieza, Lucas/0000-0002-2828-1153; Gonzalez Ruilova, Camilo/0000-0003-4907-189X</t>
  </si>
  <si>
    <t>10.1093/mnras/staa3674</t>
  </si>
  <si>
    <t>WOS:000608475600050</t>
  </si>
  <si>
    <t>Pool, ER; Gera, R; Fransen, A; Perez, OD; Cremer, A; Aleksic, M; Tanwisuth, S; Quail, S; Ceceli, AO; Manfredi, DA; Nave, G; Tricomi, E; Balleine, B; Schonberg, T; Schwabe, L; O'Doherty, JP</t>
  </si>
  <si>
    <t>Pool, Eva R.; Gera, Rani; Fransen, Aniek; Perez, Omar D.; Cremer, Anna; Aleksic, Mladena; Tanwisuth, Sandy; Quail, Stephanie; Ceceli, Ahmet O.; Manfredi, Dylan A.; Nave, Gideon; Tricomi, Elizabeth; Balleine, Bernard; Schonberg, Tom; Schwabe, Lars; O'Doherty, John P.</t>
  </si>
  <si>
    <t>Determining the effects of training duration on the behavioral expression of habitual control in humans: a multilaboratory investigation</t>
  </si>
  <si>
    <t>LEARNING &amp; MEMORY</t>
  </si>
  <si>
    <t>It has been suggested that there are two distinct and parallel mechanisms for controlling instrumental behavior in mammals: goal-directed actions and habits. To gain an understanding of how these two systems interact to control behavior, it is essential to characterize the mechanisms by which the balance between these systems is influenced by experience. Studies in rodents have shown that the amount of training governs the relative expression of these two systems: Behavior is goal-directed following moderate training, but the more extensively an instrumental action is trained, the more it becomes habitual. It is less clear whether humans exhibit similar training effects on the expression of goal-directed and habitual behavior, as human studies have reported contradictory findings. To tackle these contradictory findings, we formed a consortium, where four laboratories undertook a preregistered experimental induction of habits by manipulating the amount of training. There was no statistical evidence for a main effect of the amount of training on the formation and expression of habits. However, exploratory analyses suggest a moderating effect of the affective component of stress on the impact of training over habit expression. Participants who were lower in affective stress appeared to be initially goal-directed, but became habitual with increased training, whereas participants who were high in affective stress were already habitual even after moderate training, thereby manifesting insensitivity to overtraining effects. Our findings highlight the importance of the role of moderating variables such as individual differences in stress and anxiety when studying the experimental induction of habits in humans.</t>
  </si>
  <si>
    <t>O'Doherty, John/F-1204-2013; Ceceli, Ahmet O./HQY-1991-2023; Schonberg, Tom/JBS-4839-2023; Pool, Eva R./LZG-7758-2025; Perez, Omar/IAO-4501-2023; Nave, Gideon/ABB-8881-2022</t>
  </si>
  <si>
    <t>Pool, Eva R./0000-0001-5929-1007; Schwabe, Lars/0000-0003-4429-4373; Nave, Gideon/0000-0001-6251-5630; Schonberg, Tom/0000-0002-4485-816X; Perez, Omar David/0000-0002-4168-5435; Ceceli, Ahmet O./0000-0002-4897-3990; Gera, Rani/0000-0003-1888-4337; Balleine, Bernard/0000-0001-8618-7950</t>
  </si>
  <si>
    <t>1072-0502</t>
  </si>
  <si>
    <t>1549-5485</t>
  </si>
  <si>
    <t>10.1101/lm.053413.121</t>
  </si>
  <si>
    <t>WOS:000731863300003</t>
  </si>
  <si>
    <t>Cieza, LA; González-Ruilova, C; Hales, AS; Pinilla, P; Ruíz-Rodríguez, D; Zurlo, A; Casassus, S; Pérez, S; Cánovas, H; Arce-Tord, C; Flock, M; Kurtovic, N; Marino, S; Nogueira, PH; Perez, L; Price, DJ; Principe, DA; Williams, JP</t>
  </si>
  <si>
    <t>Cieza, Lucas A.; Gonzalez-Ruilova, Camilo; Hales, Antonio S.; Pinilla, Paola; Ruiz-Rodriguez, Dary; Zurlo, Alice; Casassus, Simon; Perez, Sebastian; Canovas, Hector; Arce-Tord, Carla; Flock, Mario; Kurtovic, Nicolas; Marino, Sebastian; Nogueira, Pedro H.; Perez, Laura; Price, Daniel J.; Principe, David A.; Williams, Jonathan P.</t>
  </si>
  <si>
    <t>The Ophiuchus DIsc Survey Employing ALMA (ODISEA) - III. The evolution of substructures in massive discs at 3-5 au resolution</t>
  </si>
  <si>
    <t>We present 1.3 mm continuum ALMA long-baseline observations at 3-5 au resolution of 10 of the brightest discs from the Ophiuchus DIsc Survey Employing ALMA (ODISEA) project. We identify a total of 26 narrow rings and gaps distributed in 8 sources and 3 discs with small dust cavities (r &lt;10 au). We find that two discs around embedded protostars lack the clear gaps and rings that are ubiquitous in more evolved sources with Class II SEDs. Our sample includes five objects with previously known large dust cavities (r &gt;20 au). We find that the 1.3 mm radial profiles of these objects are in good agreement with those produced by numerical simulations of dust evolution and planet-disc interactions, which predict the accumulation of mm-sized grains at the edges of planet-induced cavities. Our long-baseline observations resulted in the largest sample of discs observed at similar to 3-5 au resolution in any given star-forming region (15 objects when combined with Ophiuchus objects in the DSHARP Large Program) and allow for a demographic study of the brightest similar to 5 per cent of the discs in Ophiuchus (i.e. the most likely formation sites of giant planets in the cloud). We use this unique sample to propose an evolutionary sequence and discuss a scenario in which the substructures observed in massive protoplanetary discs are mainly the result of planet formation and dust evolution. If this scenario is correct, the detailed study of disc substructures might provide a window to investigate a population of planets that remains mostly undetectable by other techniques.</t>
  </si>
  <si>
    <t>Casassus, Simon/I-8609-2016; Marino, Sebastian/AFP-2400-2022; Price, Daniel/A-8142-2016; Perez, Laura/KHC-6172-2024; Zurlo, Alice/Q-5011-2019; Williams, Jonathan/B-1643-2009; Pérez, Sebastián/AAS-5857-2020; Canovas, Hector/HCI-1393-2022</t>
  </si>
  <si>
    <t>Casassus, Simon/0000-0002-0433-9840; Williams, Jonathan/0000-0001-5058-695X; Cieza, Lucas/0000-0002-2828-1153; Zurlo, Alice/0000-0002-5903-8316; Pinilla (she/her), Paola/0000-0001-8764-1780; Gonzalez Ruilova, Camilo/0000-0003-4907-189X; Canovas, Hector/0000-0001-7668-8022; Perez, Sebastian/0000-0003-2953-755X; Arce-Tord, Carla/0000-0002-0176-4331; Perez, Laura M./0000-0002-1199-9564; Marino, Sebastian/0000-0002-5352-2924; Soares da Silva de Pinho Nogueira, Pedro Henrique/0000-0001-8450-3606</t>
  </si>
  <si>
    <t>10.1093/mnras/staa3787</t>
  </si>
  <si>
    <t>WOS:000608475600097</t>
  </si>
  <si>
    <t>Zheng, B; Báez, S; Su, L; Xiang, X; Weis, S; Ibáñez, A; García, AM</t>
  </si>
  <si>
    <t>Zheng, Binghan; Baez, Sandra; Su, Li; Xiang, Xia; Weis, Susanne; Ibanez, Agustin; Garcia, Adolfo M.</t>
  </si>
  <si>
    <t>Semantic and attentional networks in bilingual processing: fMRI connectivity signatures of translation directionality</t>
  </si>
  <si>
    <t>BRAIN AND COGNITION</t>
  </si>
  <si>
    <t>Comparisons between backward and forward translation (BT, FT) have long illuminated the organization of bilingual memory, with neuroscientific evidence indicating that FT would involve greater linguistic and attentional demands. However, no study has directly assessed the functional interaction between relevant mechanisms. Against this background, we conducted the first fMRI investigation of functional connectivity (FC) differences between BT and FT. In addition to yielding lower behavioral outcomes, FT was characterized by increased FC between a core semantic hub (the left anterior temporal lobe, ATL) and key nodes of attentional and vigilance networks (left inferior frontal, left orbitofrontal, and bilateral parietal clusters). Instead, distinct FC patterns for BT emerged only between the left ATL and the right thalamus, a region implicated in automatic relaying of sensory information to cortical regions. Therefore, FT seems to involve enhanced coupling between semantic and attentional mechanisms, suggesting that asymmetries in cross-language processing reflect dynamic interactions between linguistic and domain-general systems.</t>
  </si>
  <si>
    <t>Weis, Susanne/ADX-5848-2022; Baez, Sandra/ABC-7150-2020; García, Adolfo/E-7150-2017; Xia, Xiang/AAU-3151-2020; Ibanez, Agustin/H-7976-2015</t>
  </si>
  <si>
    <t>Su, Li/0000-0002-6347-3986; Ibanez, Agustin/0000-0001-6758-5101</t>
  </si>
  <si>
    <t>0278-2626</t>
  </si>
  <si>
    <t>1090-2147</t>
  </si>
  <si>
    <t>10.1016/j.bandc.2020.105584</t>
  </si>
  <si>
    <t>WOS:000553442700001</t>
  </si>
  <si>
    <t>Kerry, N; Al-Shawaf, L; Barbato, M; Batres, C; Blake, KR; Cha, YJ; Chauvin, GV; Clifton, JDW; Fernandez, AM; Galbarczyk, A; Ghossainy, ME; Jang, D; Jasienska, G; Karasawa, M; Laustsen, L; Loria, R; Luberti, F; Moran, J; Pavlovie, Z; Petersen, MB; Smith, AR; Zezelj, I; Murray, DR</t>
  </si>
  <si>
    <t>Kerry, Nicholas; Al-Shawaf, Laith; Barbato, Maria; Batres, Carlota; Blake, Khandis R.; Cha, Youngjae; Chauvin, Gregory, V; Clifton, Jeremy D. W.; Fernandez, Ana Maria; Galbarczyk, Andrzej; Ghossainy, Maliki E.; Jang, Dayk; Jasienska, Grazyna; Karasawa, Minoru; Laustsen, Lasse; Loria, Riley; Luberti, Francesca; Moran, James; Pavlovie, Zoran; Petersen, Michael Bang; Smith, Adam R.; Zezelj, Iris; Murray, Damian R.</t>
  </si>
  <si>
    <t>Experimental and cross-cultural evidence that parenthood and parental care motives increase social conservatism</t>
  </si>
  <si>
    <t>PROCEEDINGS OF THE ROYAL SOCIETY B-BIOLOGICAL SCIENCES</t>
  </si>
  <si>
    <t>Differences in attitudes on social issues such as abortion, immigration and sex are hugely divisive, and understanding their origins is among the most important tasks facing human behavioural sciences. Despite the clear psychological importance of parenthood and the motivation to provide care for children, researchers have only recently begun investigating their influence on social and political attitudes. Because socially conservative values ostensibly prioritize safety, stability and family values, we hypothesized that being more invested in parental care might make socially conservative policies more appealing. Studies 1 (preregistered; n = 376) and 2 (n = 1924) find novel evidence of conditional experimental effects of a parenthood prime, such that people who engaged strongly with a childcare manipulation showed an increase in social conservatism. Studies 3 (n = 2610, novel data from 10 countries) and 4 (n = 426 444, World Values Survey data) find evidence that both parenthood and parental care motivation are associated with increased social conservatism around the globe. Further, most of the positive association globally between age and social conservatism is accounted for by parenthood. These findings support the hypothesis that parenthood and parental care motivation increase social conservatism.</t>
  </si>
  <si>
    <t>Galbarczyk, Andrzej/J-4657-2019; Jasienska, Grazyna/E-4901-2011; Petersen, Michael Bang/JOZ-2626-2023; Žeželj, Iris/H-9339-2019; Moran, James/AAB-3347-2020; Fernandez, Ana Maria/E-6429-2011; Pavlovic, Zoran/Q-9027-2019</t>
  </si>
  <si>
    <t>Galbarczyk, Andrzej/0000-0002-7879-9735; Jasienska, Grazyna/0000-0001-8716-6342; Petersen, Michael Bang/0000-0002-6782-5635; Barbato, Maria Teresa/0000-0002-0905-2021; Fernandez, Ana Maria/0000-0003-4132-5891; Laustsen, Lasse/0000-0002-3726-9586; Pavlovic, Zoran/0000-0002-9231-5100</t>
  </si>
  <si>
    <t>0962-8452</t>
  </si>
  <si>
    <t>1471-2954</t>
  </si>
  <si>
    <t>SEP 14</t>
  </si>
  <si>
    <t>10.1098/rspb.2022.0978</t>
  </si>
  <si>
    <t>WOS:000876457100005</t>
  </si>
  <si>
    <t>Wilke, J; Mohr, L; Yuki, G; Bhundoo, AK; Jiménez-Pavón, D; Laiño, F; Murphy, N; Novak, B; Nuccio, S; Ortega-Gómez, S; Pillay, JD; Richter, F; Rum, L; Sanchez-Ramírez, C; Url, D; Vogt, L; Hespanhol, L</t>
  </si>
  <si>
    <t>Wilke, Jan; Mohr, Lisa; Yuki, Gustavo; Bhundoo, Adelle Kemlall; Jimenez-Pavon, David; Laino, Fernando; Murphy, Niamh; Novak, Bernhard; Nuccio, Stefano; Ortega-Gomez, Sonia; Pillay, Julian David; Richter, Falk; Rum, Lorenzo; Sanchez-Ramirez, Celso; Url, David; Vogt, Lutz; Hespanhol, Luiz</t>
  </si>
  <si>
    <t>Train at home, but not alone: a randomised controlled multicentre trial assessing the effects of live-streamed tele-exercise during COVID-19-related lockdowns</t>
  </si>
  <si>
    <t>Objective Public life restrictions associated with the COVID-19 pandemic caused reductions in physical activity (PA) and decreases in mental and somatic health. Considering the interplay between these factors, we investigated the effects of digital home exercise (DHE) during government-enforced lockdowns. Methods A multicentre randomised controlled trial was performed allocating healthy individuals from nine countries (N=763; 523 female) to a DHE or an inactive control group. During the 4-week main intervention, DHE members engaged in live-streamed multicomponent home exercise. Subsequently, both groups had access to prerecorded workouts for an additional 4 weeks. Outcomes, assessed weekly, included PA level (Nordic Physical Activity Questionnaire-Short), anxiety (Generalized Anxiety Disorder Scale-7), mental well-being (WHO-5 Questionnaire), sleep quality (Medical Outcome Study Sleep Scale), pain/disability (Chronic Pain Grade Scale) and exercise motivation (Self-Concordance Scale). Mixed models were used for analysis. Results Live-streamed DHE consistently increased moderate PA (eg, week 1: 1.65 times more minutes per week, 95% CI 1.40 to 1.94) and vigorous PA (eg, week 1: 1.31 times more minutes per week, 95% CI 1.08 to 1.61), although the effects decreased over time. In addition, exercise motivation, sleep quality and anxiety were slightly higher for DHE in the 4-week live streaming period. The same applied to mental well-being (mean difference at week 4: +0.99, 95% CI 0.13 to 1.86), but an inverted trend was observed after live streaming was substituted by prerecorded exercise. Conclusions Live-streamed DHE represents an efficacious method to enhance PA and selected markers of health during pandemic-related public life restrictions. However, research on implementation is warranted to reduce dropout rates.</t>
  </si>
  <si>
    <t>Hespanhol, Luiz/H-8636-2013; Wilke, Jan/X-8022-2019; Jimenez-Pavon, David/M-9005-2015; Nuccio, Stefano/ABS-2867-2022; Rum, Lorenzo/AAI-4856-2021</t>
  </si>
  <si>
    <t>Jimenez-Pavon, David/0000-0002-8977-4744; Murphy, Niamh/0000-0002-0176-2897; Novak, Bernhard/0000-0003-3465-5999; Ortega-Gomez, Sonia/0000-0001-8589-5672; Mohr-Wetzel, Lisa/0000-0003-0916-6448; Nuccio, Stefano/0000-0001-9234-9741; Bhundoo, Adelle Kemlall/0000-0003-1353-7459; Rum, Lorenzo/0000-0002-5870-7514</t>
  </si>
  <si>
    <t>10.1136/bjsports-2021-104994</t>
  </si>
  <si>
    <t>FEB 2022</t>
  </si>
  <si>
    <t>WOS:000756893700001</t>
  </si>
  <si>
    <t>Wolff, SG; Duchêne, G; Stapelfeldt, KR; Ménard, F; Flores, C; Padgett, D; Pinte, C; Villenave, M; van der Plas, G; Perrin, MD</t>
  </si>
  <si>
    <t>Wolff, Schuyler G.; Duchene, Gaspard; Stapelfeldt, Karl R.; Menard, Francois; Flores, Christian; Padgett, Deborah; Pinte, Christophe; Villenave, Marion; van der Plas, Gerrit; Perrin, Marshall D.</t>
  </si>
  <si>
    <t>The Anatomy of an Unusual Edge-on Protoplanetary Disk. I. Dust Settling in a Cold Disk</t>
  </si>
  <si>
    <t>As the earliest stage of planet formation, massive, optically thick, and gas-rich protoplanetary disks provide key insights into the physics of star and planet formation. When viewed edge-on, high-resolution images offer a unique opportunity to study both the radial and vertical structures of these disks and relate this to vertical settling, radial drift, grain growth, and changes in the midplane temperatures. In this work, we present multi-epoch Hubble Space Telescope and Keck scattered light images, and an Atacama Large Millimeter/submillimeter Array 1.3 mm continuum map for the remarkably flat edge-on protoplanetary disk SSTC2DJ163131.2-242627, a young solar-type star in rho Ophiuchus. We model the 0.8 mu m and 1.3 mm images in separate Markov Chain Monte Carlo (MCMC) runs to investigate the geometry and dust properties of the disk using the MCFOST radiative transfer code. In scattered light, we are sensitive to the smaller dust grains in the surface layers of the disk, while the submillimeter dust continuum observations probe larger grains closer to the disk midplane. An MCMC run combining both data sets using a covariance-based log-likelihood estimation was marginally successful, implying insufficient complexity in our disk model. The disk is well characterized by a flared disk model with an exponentially tapered outer edge viewed nearly edge-on, though some degree of dust settling is required to reproduce the vertically thin profile and lack of apparent flaring. A colder than expected disk midplane, evidence for dust settling, and residual radial substructures all point to a more complex radial density profile to be probed with future, higher-resolution observations.</t>
  </si>
  <si>
    <t>Stapelfeldt, Karl/D-2721-2012; Flores, Christian/KYR-7682-2024; Pinte, Christophe/MVW-1517-2025</t>
  </si>
  <si>
    <t>Duchene, Gaspard/0000-0002-5092-6464; Wolff, Schuyler/0000-0002-9977-8255; Villenave, Marion/0000-0002-8962-448X; Stapelfeldt, Karl/0000-0002-2805-7338; van der Plas, Gerrit/0000-0001-5688-187X; Flores, Christian/0000-0002-8591-472X</t>
  </si>
  <si>
    <t>MAY</t>
  </si>
  <si>
    <t>10.3847/1538-3881/abeb1d</t>
  </si>
  <si>
    <t>WOS:000645145000001</t>
  </si>
  <si>
    <t>Sequera, G; Aguirre, S; Estigarribia, G; Walter, KS; Horna-Campos, O; Liu, YE; Andrews, JR; Croda, J; Garcia-Basteiro, AL</t>
  </si>
  <si>
    <t>Sequera, Guillermo; Aguirre, Sarita; Estigarribia, Gladys; Walter, Katharine S.; Horna-Campos, Olivia; Liu, Yiran E.; Andrews, Jason R.; Croda, Julio; Garcia-Basteiro, Alberto L.</t>
  </si>
  <si>
    <t>Incarceration and TB: the epidemic beyond prison walls</t>
  </si>
  <si>
    <t>BMJ GLOBAL HEALTH</t>
  </si>
  <si>
    <t>Horna-Campos, Olivia Janett/KPY-2335-2024; Liu, Yiran/IYJ-9181-2023; Garcia-Basteiro, Alberto/AEO-1385-2022; Croda, Julio/I-5172-2013</t>
  </si>
  <si>
    <t>HORNA-CAMPOS, OLIVIA JANETT/0000-0001-8124-467X; Andrews, Jason/0000-0002-5967-251X</t>
  </si>
  <si>
    <t>2059-7908</t>
  </si>
  <si>
    <t>e014722</t>
  </si>
  <si>
    <t>10.1136/bmjgh-2023-014722</t>
  </si>
  <si>
    <t>WOS:001173826100003</t>
  </si>
  <si>
    <t>Devkota, HP; Paudel, KR; Hassan, MM; Dirar, AI; Das, N; Adhikari-Devkota, A; Echeverria, J; Logesh, R; Jha, NK; Singh, SK; Hansbro, PM; Chan, YH; Chellappan, DK; Dua, K</t>
  </si>
  <si>
    <t>Devkota, Hari Prasad; Paudel, Keshav Raj; Hassan, Md. Mahadi; Dirar, Amina Ibrahim; Das, Niranjan; Adhikari-Devkota, Anjana; Echeverria, Javier; Logesh, Rajan; Jha, Niraj Kumar; Singh, Sachin Kumar; Hansbro, Philip M.; Chan, Yinghan; Chellappan, Dinesh Kumar; Dua, Kamal</t>
  </si>
  <si>
    <t>Bioactive Compounds from Zingiber montanum and Their Pharmacological Activities with Focus on Zerumbone</t>
  </si>
  <si>
    <t>APPLIED SCIENCES-BASEL</t>
  </si>
  <si>
    <t>The genus Zingiber consists of about 85 species and many of these species are used as food, spices, and medicines. One of the species, Zingiber montanum (J. Koenig) Link ex A. Dietr. is native to Southeast Asia and has been extensively used as traditional medicines and food. The aim of this review was to collect and critically analyze the scientific information about the bioactive compounds and pharmacological activities of Z. montanum with focus on one of the main components, zerumbone (ZER). Various studies have reported the analysis of volatile constituents of the essential oils from Z. montanum. Similarly, many phenylbutanoids, flavonoids and terpenes were also isolated from rhizomes. These essential oils, extracts and compounds showed potent antimicrobial, anti-inflammatory and antioxidant activities among others. Zerumbone has been studied widely for its anticancer, anti-inflammatory, and other pharmacological activities. Future studies should focus on the exploration of various pharmacological activities of other compounds including phenylbutanoids and flavonoids. Bioassay guided isolation may result in the separation of other active components from the extracts. Z. montanum could be a promising source for the development of pharmaceutical products and functional foods.</t>
  </si>
  <si>
    <t>Jha, Nandan/AAX-9516-2020; Hansbro, Phil/G-7486-2013; Echeverría, Javier/AAK-3323-2020; SINGH, SACHIN/I-1948-2019; Hasan, Md.Mahadi/K-4273-2019; Paudel, Keshav Raj/M-6740-2015; Chellappan, Dinesh Kumar/I-1622-2019; Devkota, Hari Prasad/H-9939-2019; Chan, Yinghan/AAT-5517-2021; Rajan, Dr. Logesh/HPH-7500-2023</t>
  </si>
  <si>
    <t>Paudel, Keshav Raj/0000-0002-3591-2080; Ibrahim Ahmed Ibrahim Dirar, Amina/0000-0001-9954-2579; Chellappan, Dinesh Kumar/0000-0001-5567-6663; Devkota, Hari Prasad/0000-0002-0509-1621; Singh, Sachin/0000-0003-3823-6572; Chan, Yinghan/0000-0001-8405-8637; Dua, Kamal/0000-0002-7507-1159; Rajan, Dr. Logesh/0000-0001-6853-3565; Jha, Dr. Niraj Kumar/0000-0001-9486-4069; Echeverria, Javier/0000-0002-1688-968X</t>
  </si>
  <si>
    <t>2076-3417</t>
  </si>
  <si>
    <t>10.3390/app112110205</t>
  </si>
  <si>
    <t>WOS:000719513100001</t>
  </si>
  <si>
    <t>Zou, X; Rowe, PM; Gorodetskaya, I; Bromwich, DH; Lazzara, MA; Cordero, RR; Zhang, ZH; Kawzenuk, B; Cordeira, JM; Wille, JD; Ralph, FM; Bai, LS</t>
  </si>
  <si>
    <t>Zou, Xun; Rowe, Penny M.; Gorodetskaya, Irina; Bromwich, David H.; Lazzara, Matthew A.; Cordero, Raul R.; Zhang, Zhenhai; Kawzenuk, Brian; Cordeira, Jason M.; Wille, Jonathan D.; Ralph, F. Martin; Bai, Le-Sheng</t>
  </si>
  <si>
    <t>Strong Warming Over the Antarctic Peninsula During Combined Atmospheric River and Foehn Events: Contribution of Shortwave Radiation and Turbulence</t>
  </si>
  <si>
    <t>JOURNAL OF GEOPHYSICAL RESEARCH-ATMOSPHERES</t>
  </si>
  <si>
    <t>The Antarctica Peninsula (AP) has experienced more frequent and intense surface melting recently, jeopardizing the stability of ice shelves and ultimately leading to ice loss. Among the key phenomena that can initiate surface melting are atmospheric rivers (ARs) and leeside foehn; the combined impact of ARs and foehn led to moderate surface warming over the AP in December 2018 and record-breaking surface melting in February 2022. Focusing on the more intense 2022 case, this study uses high-resolution Polar WRF simulations with advanced model configurations, Reference Elevation Model of Antarctica topography, and observed surface albedo to better understand the relationship between ARs and foehn and their impacts on surface warming. With an intense AR (AR3) intrusion during the 2022 event, weak low-level blocking and heavy orographic precipitation on the upwind side resulted in latent heat release, which led to a more deep-foehn like case. On the leeside, sensible heat flux associated with the foehn magnitude was the major driver during the night and the secondary contributor during the day due to a stationary orographic gravity wave. Downward shortwave radiation was enhanced via cloud clearance and dominated surface melting during the daytime, especially after the peak of the AR/foehn events. However, due to the complex terrain of the AP, ARs can complicate the foehn event by transporting extra moisture to the leeside via gap flows. During the peak of the 2022 foehn warming, cloud formation on the leeside hampered the downward shortwave radiation and slightly increased the downward longwave radiation.</t>
  </si>
  <si>
    <t>zou, xun/ITT-0838-2023; Wille, Jonathan/KFQ-5871-2024; Cordero, Raul/M-7979-2017; Bromwich, David/C-9225-2016; Zhang, Zhenhai/ACT-3866-2022; Gorodetskaya, Irina/K-1987-2015; zou, xun/I-2438-2015</t>
  </si>
  <si>
    <t>Kawzenuk, Brian/0000-0003-1194-4296; Zhang, Zhenhai/0000-0001-8459-4704; Gorodetskaya, Irina/0000-0002-2294-7823; Lazzara, Matthew/0000-0002-4343-498X; Rowe, Penny/0000-0002-7594-0553; Wille, Jonathan/0000-0002-3918-5204; Cordero, Raul R./0000-0001-7607-7993; zou, xun/0000-0003-1620-3198; Bromwich, David/0000-0003-4608-8071</t>
  </si>
  <si>
    <t>2169-897X</t>
  </si>
  <si>
    <t>2169-8996</t>
  </si>
  <si>
    <t>AUG 27</t>
  </si>
  <si>
    <t>e2022JD038138</t>
  </si>
  <si>
    <t>10.1029/2022JD038138</t>
  </si>
  <si>
    <t>WOS:001191616100001</t>
  </si>
  <si>
    <t>Cisterna, BA; Vargas, AA; Puebla, C; Fernández, P; Escamilla, R; Lagos, CF; Matus, MF; Vilos, C; Cea, LA; Barnafi, E; Gaete, H; Escobar, DF; Cardozo, CP; Sáez, JC</t>
  </si>
  <si>
    <t>Cisterna, Bruno A.; Vargas, Anibal A.; Puebla, Carlos; Fernandez, Paola; Escamilla, Rosalba; Lagos, Carlos F.; Matus, Maria F.; Vilos, Cristian; Cea, Luis A.; Barnafi, Esteban; Gaete, Hugo; Escobar, Daniel F.; Cardozo, Christopher P.; Saez, Juan C.</t>
  </si>
  <si>
    <t>Active acetylcholine receptors prevent the atrophy of skeletal muscles and favor reinnervation</t>
  </si>
  <si>
    <t>Denervation of skeletal muscles induces severe muscle atrophy, which is preceded by cellular alterations such as increased plasma membrane permeability, reduced resting membrane potential and accelerated protein catabolism. The factors that induce these changes remain unknown. Conversely, functional recovery following denervation depends on successful reinnervation. Here, we show that activation of nicotinic acetylcholine receptors (nAChRs) by quantal release of acetylcholine (ACh) from motoneurons is sufficient to prevent changes induced by denervation. Using in vitro assays, ACh and non-hydrolysable ACh analogs repressed the expression of connexin43 and connexin45 hemichannels, which promote muscle atrophy. In co-culture studies, connexin43/45 hemichannel knockout or knockdown increased innervation of muscle fibers by dorsal root ganglion neurons. Our results show that ACh released by motoneurons exerts a hitherto unknown function independent of myofiber contraction. nAChRs and connexin hemichannels are potential molecular targets for therapeutic intervention in a variety of pathological conditions with reduced synaptic neuromuscular transmission.</t>
  </si>
  <si>
    <t>Lagos, Carlos/N-1445-2019; Vilos, Cristian/KPA-9958-2024; Lagos, Carlos F./H-1860-2013</t>
  </si>
  <si>
    <t>Escamilla Hernandez, Rosalba/0000-0002-4491-3907; Matus, Maria Francisca/0000-0002-4816-531X; Vilos, Cristian/0000-0001-5619-3348; Cisterna, Bruno A./0000-0002-3421-8628; Vargas Rios, Anibal/0000-0002-8387-3100; Saez, Juan/0000-0003-3811-0347; Puebla, Carlos/0000-0001-6648-2135; Lagos, Carlos F./0000-0002-5432-9747</t>
  </si>
  <si>
    <t>FEB 26</t>
  </si>
  <si>
    <t>10.1038/s41467-019-14063-8</t>
  </si>
  <si>
    <t>WOS:000564293100005</t>
  </si>
  <si>
    <t>Zurlo, A; Cieza, LA; Pérez, S; Christiaens, V; Williams, JP; Guidi, G; Cánovas, H; Casassus, S; Hales, A; Principe, DA; Ruíz-Rodríguez, D; Fernandez-Figueroa, A</t>
  </si>
  <si>
    <t>Zurlo, Alice; Cieza, Lucas A.; Perez, Sebastian; Christiaens, Valentin; Williams, Jonathan P.; Guidi, Greta; Canovas, Hector; Casassus, Simon; Hales, Antonio; Principe, David A.; Ruiz-Rodriguez, Dary; Fernandez-Figueroa, Antonia</t>
  </si>
  <si>
    <t>The Ophiuchus DIsc Survey Employing ALMA (ODISEA) - II. The effect of stellar multiplicity on disc properties</t>
  </si>
  <si>
    <t>We present adaptive optics (AO) near-infrared (NIR) observations using VLT/NACO and Keck/NIRC2 of Ophiuchus DIsc Survey Employing ALMA (ODISEA) targets. ODISEA is an ALMA survey of the entire population of circumstellar discs in the Ophiuchus molecular cloud. From the whole sample of ODISEA, we select all the discs that are not already observed in the NIR with AO and that are observable with NACO or NIRC2. The NIR-ODISEA survey consists of 147 stars observed in NIR AO imaging for the first time, as well as revisiting almost all the binary systems of Ophiuchus present in the literature (20 out of 21). In total, we detect 20 new binary systems and one triple system. For each of them, we calculate the projected separation and position angle of the companion, as well as their NIR and millimetre flux ratios. From the NIR contrast, we derived the masses of the secondaries, finding that nine of them are in the substellar regime (30-50 M-Jup). Discs in multiple systems reach a maximum total dust mass of similar to 50 M-circle plus, while discs in single stars can reach a dust mass of 200 M-circle plus. Discs with masses above 10 M-circle plus are found only around binaries with projected separations larger than similar to 110 au. The maximum disc size is also larger around single star than binaries. However, since most discs in Ophiuchus are very small and low-mass, the effect of visual binaries is relatively weak in the general disc population.</t>
  </si>
  <si>
    <t>Casassus, Simon/I-8609-2016; Pérez, Sebastián/AAS-5857-2020; Zurlo, Alice/Q-5011-2019; Williams, Jonathan/B-1643-2009; Canovas, Hector/HCI-1393-2022</t>
  </si>
  <si>
    <t>Canovas, Hector/0000-0001-7668-8022; Guidi, Greta/0000-0002-7002-8928; Cieza, Lucas/0000-0002-2828-1153; Christiaens, Valentin/0000-0002-0101-8814; Williams, Jonathan/0000-0001-5058-695X; Perez, Sebastian/0000-0003-2953-755X; Zurlo, Alice/0000-0002-5903-8316</t>
  </si>
  <si>
    <t>10.1093/mnras/staa1886</t>
  </si>
  <si>
    <t>WOS:000574923200075</t>
  </si>
  <si>
    <t>Garufi, A; Avenhaus, H; Pérez, S; Quanz, SP; van Holstein, RG; Bertrang, GHM; Casassus, S; Cieza, L; Principe, DA; van der Plas, G; Zurlo, A</t>
  </si>
  <si>
    <t>Garufi, A.; Avenhaus, H.; Perez, S.; Quanz, S. P.; van Holstein, R. G.; Bertrang, G. H-M; Casassus, S.; Cieza, L.; Principe, D. A.; van der Plas, G.; Zurlo, A.</t>
  </si>
  <si>
    <t>Disks Around T Tauri Stars with SPHERE (DARTTS-S) II. Twenty-one new polarimetric images of young stellar disks</t>
  </si>
  <si>
    <t>ASTRONOMY &amp; ASTROPHYSICS</t>
  </si>
  <si>
    <t>Context. Near-IR polarimetric images of protoplanetary disks enable us to characterize substructures that might be due to the interaction with (forming) planets. The available census is strongly biased toward massive disks around old stars, however. Aims. The DARTTS program aims at alleviating this bias by imaging a large number of T Tauri stars with diverse properties. Methods. DARTTS-S employs VLT/SPHERE to image the polarized scattered light from disks. In parallel, DARTTS-A provides ALMA images of the same targets for a comparison of different dust components. In this work, we present new SPHERE images of 21 circumstellar disks, which is the largest sample released to date. We also recalculated some relevant stellar and disk properties following Gaia DR2. Results. The targets of this work are significantly younger than those published thus far with polarimetric near-IR (NIR) imaging. Scattered light is unambiguously resolved in 11 targets, and some polarized unresolved signal is detected in 3 additional sources. Some disk substructures are detected. However, the paucity of spirals and shadows from this sample reinforces the trend according to which these NIR features are associated with Herbig stars, either because they are older or more massive. Furthermore, disk rings that are apparent in ALMA observations of some targets do not appear to have corresponding detections with SPHERE. Inner cavities larger than 15 au are also absent from our images, even though they are expected from the spectral energy distribution. On the other hand, 3 objects show extended filaments at larger scale that are indicative of strong interaction with the surrounding medium. All but one of the undetected disks are best explained by their limited size (less than or similar to 20 au), and the high occurrence of stellar companions in these sources suggests an important role in limiting the disk size. One undetected disk is massive and very large at millimeter wavelengths, implying that it is self-shadowed in the NIR. Conclusions. This work paves the way toward a more complete and less biased sample of scattered-light observations, which is required to interpret how disk features evolve throughout the disk lifetime.</t>
  </si>
  <si>
    <t>Casassus, Simon/I-8609-2016; Zurlo, Alice/Q-5011-2019; Pérez, Sebastián/AAS-5857-2020</t>
  </si>
  <si>
    <t>Garufi, Antonio/0000-0002-4266-0643; van der Plas, Gerrit/0000-0001-5688-187X; Bertrang, Gesa H.-M./0000-0001-5127-0172; van Holstein, Rob G./0000-0003-1520-8405; Cieza, Lucas/0000-0002-2828-1153; Perez, Sebastian/0000-0003-2953-755X</t>
  </si>
  <si>
    <t>0004-6361</t>
  </si>
  <si>
    <t>1432-0746</t>
  </si>
  <si>
    <t>JAN 14</t>
  </si>
  <si>
    <t>A82</t>
  </si>
  <si>
    <t>10.1051/0004-6361/201936946</t>
  </si>
  <si>
    <t>WOS:000507376600001</t>
  </si>
  <si>
    <t>Molina-Donoso, M; González-Hernández, J; Delgado, C; Cancino, V; Bello-Lepe, S; Alonso-Sánchez, MF; Forno, G; Henríquez, F; Lillo, P; Musa, G; Alegría, P; Délano, PH; Retuerto, N; Amieva, H; Slachevsky, A</t>
  </si>
  <si>
    <t>Molina-Donoso, Matias; Gonzalez-Hernandez, Jorge; Delgado, Carolina; Cancino, Vicente; Bello-Lepe, Sebastian; Alonso-Sanchez, Maria Francisca; Forno, Gonzalo; Henriquez, Fernando; Lillo, Patricia; Musa, Gada; Alegria, Patricia; Delano, Paul H.; Retuerto, Noelia; Amieva, Helene; Slachevsky, Andrea</t>
  </si>
  <si>
    <t>Development of Normative Data for the Mini Mental State Examination (MMSE) in the Elderly Population of Chile: A Multi-City Study</t>
  </si>
  <si>
    <t>Background: The Mini-Mental State Examination (MMSE) is one of the most widely used tests to assess the global cognitive deterioration of older adults. There are many versions of this Test in Spanish. A validation study was previously conducted in Chile, but to date, no standards computed from a large population sample are available. Aim: to develop normative scores according to age and educational level for older people living in Chile. Method: Data were collected from a sample of 1199 subjects between 50 and 91 years of age from various research centers. Results: We present the normative scores in percentiles calculated according to age (50-64, 65-74, 75-91 years of age) and educational level (1-12 years and more than 13 years of formal schooling). Conclusion: This article provides normative scores for the MMSE that should be useful in clinical practice as they may help better interpret the performances of Chilean older adults who seek consultation for cognitive impairment.</t>
  </si>
  <si>
    <t>Bello-Lepe, Sebastian/GRS-8565-2022; Lillo, Patricia/B-9730-2013; delgado, carolina/AAS-2383-2021; Alonso-Sánchez, María Francisca/N-3270-2014; Delano, Paul/I-1030-2013</t>
  </si>
  <si>
    <t>WOS:001259479300005</t>
  </si>
  <si>
    <t>Kurtovic, NT; Pinilla, P; Penzlin, ABT; Benisty, M; Pérez, L; Ginski, C; Isella, A; Kley, W; Menard, F; Pérez, S; Bayo, A</t>
  </si>
  <si>
    <t>Kurtovic, N. T.; Pinilla, P.; Penzlin, Anna B. T.; Benisty, M.; Perez, L.; Ginski, C.; Isella, A.; Kley, W.; Menard, F.; Perez, S.; Bayo, A.</t>
  </si>
  <si>
    <t>The morphology of CS Cha circumbinary disk suggesting the existence of a Saturn-mass planet</t>
  </si>
  <si>
    <t>Context. Planets have been detected in circumbinary orbits in several different systems, despite the additional challenges faced during their formation in such an environment. Aims. We investigate the possibility of planetary formation in the spectroscopic binary CS Cha by analyzing its circumbinary disk. Methods. The system was studied with high angular resolution ALMA observations at 0.87 mm. Visibilities modeling and Keplerian fitting are used to constrain the physical properties of CS Cha, and the observations were compared to hydrodynamic simulations. Results. Our observations are able to resolve the disk cavity in the dust continuum emission and the (CO)-C-12 J:3-2 transition. We find the dust continuum disk to be azimuthally axisymmetric (less than 9% of intensity variation along the ring) and of low eccentricity (of 0.039 at the peak brightness of the ring). Conclusions. Under certain conditions, low eccentricities can be achieved in simulated disks without the need of a planet, however, the combination of low eccentricity and axisymmetry is consistent with the presence of a Saturn-like planet orbiting near the edge of the cavity.</t>
  </si>
  <si>
    <t>Pérez, Sebastián/AAS-5857-2020; Perez, Laura/KHC-6172-2024; Kley, Wilhelm/A-4921-2012</t>
  </si>
  <si>
    <t>Penzlin, Anna/0000-0002-8873-6826; Kurtovic, Nicolas/0000-0002-2358-4796; Perez, Laura M./0000-0002-1199-9564; Pinilla (she/her), Paola/0000-0001-8764-1780; Perez, Sebastian/0000-0003-2953-755X; Ginski, Christian/0000-0002-4438-1971</t>
  </si>
  <si>
    <t>AUG 24</t>
  </si>
  <si>
    <t>A151</t>
  </si>
  <si>
    <t>10.1051/0004-6361/202243505</t>
  </si>
  <si>
    <t>WOS:000843723700005</t>
  </si>
  <si>
    <t>Beltrán, FA; Torres-Dáaz, LL; Troncoso-Escudero, P; Villalobos-González, J; Mayorga-Weber, G; Lara, M; Covarrubias-Pinto, A; Valdivia, S; Vicencio, I; Papic, E; Paredes-Martínez, C; Silva-Januàrio, ME; Rojas, A; Dasilva, LLP; Court, F; Rosas-Arellano, A; Bátiz, LF; Rojas, P; Rivera, FJ; Castro, MA</t>
  </si>
  <si>
    <t>Beltran, Felipe A.; Torres-Diaz, L. Leandro; Troncoso-Escudero, Paulina; Villalobos-Gonzalez, Juan; Mayorga-Weber, Gonzalo; Lara, Marcelo; Covarrubias-Pinto, Adriana; Valdivia, Sharin; Vicencio, Isidora; Papic, Eduardo; Paredes-Martinez, Carolina; Silva-Januario, Mara E.; Rojas, Alejandro; Dasilva, Luis L. P.; Court, Felipe; Rosas-Arellano, Abraham; Batiz, Luis Federico; Rojas, Patricio; Rivera, Francisco J.; Castro, Maite A.</t>
  </si>
  <si>
    <t>Distinct roles of ascorbic acid in extracellular vesicles and free form: Implications for metabolism and oxidative stress in presymptomatic Huntington's disease</t>
  </si>
  <si>
    <t>FREE RADICAL BIOLOGY AND MEDICINE</t>
  </si>
  <si>
    <t>Huntington's disease (HD) is a neurodegenerative disorder caused by a CAG trinucleotide repeat expansion in the first exon of the huntingtin gene. The huntingtin protein (Htt) is ubiquitously expressed and localized in several organelles, including endosomes, where it plays an essential role in intracellular trafficking. Presymptomatic HD is associated with a failure in energy metabolism and oxidative stress. Ascorbic acid is a potent antioxidant that plays a key role in modulating neuronal metabolism and is highly concentrated in the brain. During synaptic activity, neurons take up ascorbic acid released by glial cells; however, this process is disrupted in HD. In this study, we aim to elucidate the molecular and cellular mechanisms underlying this dysfunction. Using an electrophysiological approach in presymptomatic YAC128 HD slices, we observed decreased ascorbic acid flux from astrocytes to neurons, which altered neuronal metabolic substrate preferences. Ascorbic acid efflux and recycling were also decreased in cultured astrocytes from YAC128 HD mice. We confirmed our findings using GFAPHD160Q, an HD mice model expressing mutant N-terminal Htt mainly in astrocytes. For the first time, we demonstrated that ascorbic acid is released from astrocytes via extracellular vesicles (EVs). Decreased number of particles and exosomal markers were observed in EV fractions from cultured YAC128 HD astrocytes and Htt-KD cells. We observed reduced number of multivesicular bodies (MVBs) in YAC128 HD striatum via electron microscopy, suggesting mutant Htt alters MVB biogenesis. EVs containing ascorbic acid effectively reduced reactive oxygen species, whereas free ascorbic acid played a role in modulating neuronal metabolic substrate preferences. These findings suggest that the early redox imbalance observed in HD arises from a reduced release of ascorbic acid-containing EVs by astrocytes. Meanwhile, a decrease in free ascorbic acid likely contributes to presymptomatic metabolic impairment.</t>
  </si>
  <si>
    <t>Court, Felipe/C-5911-2015; ROSAS-ARELLANO, ABRAHAM/AAJ-3873-2020; daSilva, Luis/AAD-5657-2019; papic, eduardo/MYR-4309-2025; Covarrubias, Adriana/MTB-7398-2025; Rivera, Francisco/D-7398-2015</t>
  </si>
  <si>
    <t>Rivera, Francisco J./0000-0001-7895-6318; Court, Felipe/0000-0002-9394-7601; Mayorga-Weber, Gonzalo/0000-0002-3266-2768</t>
  </si>
  <si>
    <t>0891-5849</t>
  </si>
  <si>
    <t>1873-4596</t>
  </si>
  <si>
    <t>FEB 1</t>
  </si>
  <si>
    <t>10.1016/j.freeradbiomed.2024.12.001</t>
  </si>
  <si>
    <t>DEC 2024</t>
  </si>
  <si>
    <t>WOS:001392131300001</t>
  </si>
  <si>
    <t>Wan, CP; Langyan, S; Echeverría, J; Devkota, HP; Tewari, D; Moosavi, MA; Ezzat, SM; Perez-Vazquez, A; Fraga-Corral, M; Cravotto, G; Prieto, MA; Belwal, T; Li, MX</t>
  </si>
  <si>
    <t>Wan, Chunpeng; Langyan, Sapna; Echeverria, Javier; Devkota, Hari Prasad; Tewari, Devesh; Moosavi, Mohammad Amin; Ezzat, Shahira Mohammed; Perez-Vazquez, Ana; Fraga-Corral, M.; Cravotto, Giancarlo; Prieto, Miguel A.; Belwal, Tarun; Li, Mingxi</t>
  </si>
  <si>
    <t>Edible fruits and berries as a source of functional polyphenols: current scene and future perspectives</t>
  </si>
  <si>
    <t>PHYTOCHEMISTRY REVIEWS</t>
  </si>
  <si>
    <t>In recent years, there is a growing interest in nutraceutical-rich functional foods for promoting human health. Wild fruits and berries are excellent sources of phytochemicals even though the most deeply studied are the polyphenolic compounds, among them, the major ones such as flavonoids, anthocyanins, or tannins. This review aimed to comprehensively analyze the currently available literature on wild edible fruits and berries, since these fruits are characterized for their high content of polyphenolic compounds. Moreover, both intrinsic (ripening and genetic variability) and extrinsic (environmental conditions: habitat, light, temperature) factors where considered since they affect the polyphenolic content in these fruits. Besides, the therapeutic potential of berries for treating human diseases was assessed through the revision of in vivo and in vitro assays and clinical studies, having in mind that most of these effects are exerted due to their antioxidant capacity. Furthermore, recent challenges and future trends on the research and utilization of wild fruits and berries were addressed to complete the overview of this sustainable source of natural ingredients. Finally, ScienceDirect, Scopus, and Google Scholar were the databases used for the compilation of the information present in this review, selecting the more recent studies and comparing from a critical point of view, the information found. Thus, this review compiled information of berries regarding their polyphenolic content and the variations this suffer depending on different variables; the potential use of the berries for a therapeutic application; and the trends and challenges that the use of berries faces after the research done.</t>
  </si>
  <si>
    <t>Tewari, Devesh/P-9954-2019; wan, chunpeng/T-8707-2019; Devkota, Hari/H-9939-2019; Langyan, Sapna/AAD-2571-2022; Li, Yong-Qiang/E-4298-2019; Echeverría, Javier/E-9989-2011; Cravotto, Giancarlo/AAT-9306-2020; Fraga-Corral, María/G-7335-2017; Ezzat, Shahira/AAJ-3122-2021; Belwal, Tarun/H-2530-2018; Prieto, Miguel A./G-4516-2011</t>
  </si>
  <si>
    <t>Cravotto, Giancarlo/0000-0001-7574-7350; Prieto, Miguel A./0000-0002-3513-0054</t>
  </si>
  <si>
    <t>1568-7767</t>
  </si>
  <si>
    <t>1572-980X</t>
  </si>
  <si>
    <t>2023 OCT 17</t>
  </si>
  <si>
    <t>10.1007/s11101-023-09892-x</t>
  </si>
  <si>
    <t>OCT 2023</t>
  </si>
  <si>
    <t>WOS:001152359000001</t>
  </si>
  <si>
    <t>dos Santos, M; Ferrari, G; Lee, DH; Rey-López, JP; Aune, D; Liao, B; Huang, WT; Nie, J; Wang, YF; Giovannucci, E; Rezende, LFM</t>
  </si>
  <si>
    <t>dos Santos, Mauricio; Ferrari, Gerson; Lee, Dong Hoon; Rey-Lopez, Juan Pablo; Aune, Dagfinn; Liao, Bing; Huang, Wentao; Nie, Jing; Wang, Yafeng; Giovannucci, Edward; Rezende, Leandro F. M.</t>
  </si>
  <si>
    <t>Association of the Weekend Warrior and Other Leisure-time Physical Activity Patterns With All-Cause and Cause-Specific Mortality A Nationwide Cohort Study</t>
  </si>
  <si>
    <t>JAMA INTERNAL MEDICINE</t>
  </si>
  <si>
    <t>IMPORTANCE It is unclear whether the weekly recommended amount of moderate to vigorous physical activity (MVPA) has the same benefits for mortality risk when activity sessions are spread throughout the week vs concentrated in fewer days. OBJECTIVE To examine the association of weekend warrior and other patterns of leisure-time physical activity with all-cause and cause-specific mortality. DESIGN, SETTING, AND PARTICIPANTS This large nationwide prospective cohort study included 350 978 adults who self-reported physical activity to the US National Health Interview Survey from 1997 to 2013. Participant data were linked to the National Death Index through December 31, 2015. EXPOSURES Participants were grouped by self-reported activity level: physically inactive (&lt;150 minutes per week [min/wk] of MVPA) or physically active (&gt;= 150 min/wk of moderate or &gt;= 75 min/wk of vigorous activity). The active group was further classified by pattern: weekend warrior (1-2 sessions/wk) or regularly active (&gt;= 3 session/wk); and then, by frequency, duration/session, and intensity of activity. MAIN OUTCOMES AND MEASURES All-cause, cardiovascular disease (CVD), and cancer mortality. Statistical analyses were performed in April 2022. RESULTS A total of 350 978 participants (mean [SD] age, 41.4 [15.2] years; 192 432 [50.8%] women; 209 432 [67.8%] Non-Hispanic White) were followed during a median of 10.4 years (3.6 million person-years). There were 21 898 deaths documented, including 4130 from CVD and 6034 from cancer. Compared with physically inactive participants, hazard ratios (HR) for all-cause mortality were 0.92 (95% CI, 0.83-1.02) for weekend warrior and 0.85 (95% CI, 0.83-0.88) for regularly active participants; findings for cause-specific mortality were similar. Given the same amount of total MVPA, weekend warrior participants had similar all-cause and cause-specific mortality rates as regularly active participants. The HRs for weekend warrior vs regularly active participants were 1.08 (95% CI, 0.97-1.20) for all-cause mortality; 1.14 (95% CI, 0.85-1.53) for CVD mortality; and 1.07 (95% CI, 0.87-1.31) for cancer mortality. CONCLUSIONS AND RELEVANCE The findings of this large prospective cohort study suggest that individuals who engage in active patterns of physical activity, whether weekend warrior or regularly active, experience lower all-cause and cause-specific mortality rates than inactive individuals. Significant differences were not observed for all-cause or cause-specific mortality between weekend warriors and regularly active participants after accounting for total amount of MVPA; therefore, individuals who engage in the recommended levels of physical activity may experience the same benefit whether the sessions are performed throughout the week or concentrated into fewer days.</t>
  </si>
  <si>
    <t>Giovannucci, Edward/ADE-8028-2022; liao, bing/IYS-8102-2023; Ferrari, Gerson/HHM-6173-2022; wang, yafeng/J-4829-2017; Aune, Dagfinn/AFP-4300-2022; Rezende, Leandro/C-1724-2012; Ferrari, Gerson/P-1152-2014; Huang, Wentao/AAD-3487-2022</t>
  </si>
  <si>
    <t>Rezende, Leandro/0000-0002-7469-1399; Nie, Jing/0009-0008-0539-8800; Aune, Dagfinn/0000-0002-4533-1722; Ferrari, Gerson/0000-0003-3177-6576; Huang, Wentao/0000-0002-9114-0898; Lee, Dong Hoon/0000-0003-1329-4637</t>
  </si>
  <si>
    <t>2168-6106</t>
  </si>
  <si>
    <t>2168-6114</t>
  </si>
  <si>
    <t>10.1001/jamainternmed.2022.2488</t>
  </si>
  <si>
    <t>JUL 2022</t>
  </si>
  <si>
    <t>WOS:000822042400003</t>
  </si>
  <si>
    <t>Cristi-Montero, C; Solis-Urra, P; Sanchez-Martinez, J; Olivares-Arancibia, J; Hernandez-Jana, S; Gajardo-Araya, G; Palma-Leal, X; Sadarangani, KP; Estinto, MP; Encina, Y; Alvarez, C; Delgado-Floody, P; Aguilar-Farias, N; Ferrari, G; Mahecha-Matsudo, S; Zavala-Crichton, JP; Ibarra-Mora, J; Parra-Saldias, M; Nanjari-Miranda, R; Rodriguez-Rodriguez, F</t>
  </si>
  <si>
    <t>Cristi-Montero, Carlos; Solis-Urra, Patricio; Sanchez-Martinez, Javier; Olivares-Arancibia, Jorge; Hernandez-Jana, Sam; Gajardo-Araya, Guillermo; Palma-Leal, Ximena; Sadarangani, Kabir P.; Portela Estinto, Matias; Encina, Yonatan; Alvarez, Cristian; Delgado-Floody, Pedro; Aguilar-Farias, Nicolas; Ferrari, Gerson; Mahecha-Matsudo, Sandra; Zavala-Crichton, Juan Pablo; Ibarra-Mora, Jessica; Parra-Saldias, Maribel; Nanjari-Miranda, Rodrigo; Rodriguez-Rodriguez, Fernando</t>
  </si>
  <si>
    <t>Which one? A comparative study of traditional and sports uniforms on academic achievement, cognitive performance, playtime, bullying, and discrimination in adolescents: The Cogni-Action Project</t>
  </si>
  <si>
    <t>FRONTIERS IN PUBLIC HEALTH</t>
  </si>
  <si>
    <t>ObjectiveThe aim of this study was to compare academic achievement, cognitive performance, playtime, bullying, and discrimination in adolescents according to traditional uniforms (TUs) and sports uniforms (SUs) worn at school, while simultaneously exploring the influence of the school vulnerability index. MethodsA total of 988 Chilean adolescents (52.6% boys) aged 10-14 years participated in this cross-sectional study. Academic achievement was evaluated by the average grade in maths, language, and science grades, while cognitive performance was assessed through eight cognitive tasks. TUs affecting physical activity, playtime, bullying, and discrimination were queried. Mixed model analyses were performed. ResultsNo differences were observed in academic achievement (TU: 5.4 +/- 0.1 vs. SU: 5.5 +/- 0.2, p = 0.785) or in cognitive performance (TU: 99.6 +/- 0.8 vs. SU: 98.9 +/- 1.8, p= 0.754) according to the school uniformtype. Moreover, 64.1 % of participants declared that wearing TU affects their physical activity (traditional uniforms: + 8 min and sports uniforms: + 20 min), and those who believed so spent more time playing than those who answered negatively (14.5 min, p = 0.012). Finally, adolescents wearing SU displayed a lower feeling of bullying and discrimination; this finding depended mainly on the school's vulnerability. ConclusionIt is concluded that wearing TU does not show an educational advantage at an academic and cognitive level that justifies its obligation. In addition, it could be suggested that schools consider adolescents' opinions in adopting a more comfortable uniform, such as the SU. This feasible and low-cost measure would help to increase adolescents' physical activity during the school day, and, contrary to belief, it would not be related to increased feelings of bullying and discrimination.</t>
  </si>
  <si>
    <t>Solis-Urra, Patricio/ABH-5748-2022; Aguilar-Farias, Nicolas/V-2742-2018; Cristi-Montero, Carlos/AAE-4945-2020; Zavala, Juan/J-4625-2016; Ferrari, Gerson/HHM-6173-2022; Palma-Leal, Ximena/AAA-4112-2022; Sanchez-Martinez, Javier/AAN-3385-2021; ALVAREZ, CRISTIAN/S-8150-2019; RODRIGUEZ, FERNANDO/F-2842-2016; Ferrari, Gerson/P-1152-2014</t>
  </si>
  <si>
    <t>Parra- Saldias, Maribel/0000-0001-5488-9878; RODRIGUEZ, FERNANDO/0000-0002-4999-4857; Hernandez Jana, Sam Steven/0000-0002-1743-4636; Alvarez, Cristian/0000-0003-4783-9981; Palma-Leal, Ximena/0000-0002-0215-9280; Ferrari, Gerson/0000-0003-3177-6576; Solis-Urra, Patricio/0000-0002-2493-9528</t>
  </si>
  <si>
    <t>2296-2565</t>
  </si>
  <si>
    <t>AUG 12</t>
  </si>
  <si>
    <t>10.3389/fpubh.2022.917970</t>
  </si>
  <si>
    <t>WOS:000848273500001</t>
  </si>
  <si>
    <t>Petermann-Rocha, F; Brown, RE; Diaz-Martínezh, X; Leiva, AM; Martinez, MA; Poblete-Valderrama, F; Garrido-Méndez, A; Matus-Castillo, C; Luarte-Rocha, C; Salas-Bravo, C; Troncoso-Pantoja, C; García-Hermoso, A; Ramírez-Vélez, R; Vásquez-Gómez, JA; Rodríguez-Rodríguez, F; Alvarez, C; Celis-Morales, C</t>
  </si>
  <si>
    <t>Petermann-Rocha, Fanny; Brown, Rosemary E.; Diaz-Martinezh, Ximena; Leiva, Ana M.; Martinez, Maria A.; Poblete-Valderrama, Felipe; Garrido-Mendez, Alex; Matus-Castillo, Carlos; Luarte-Rocha, Cristian; Salas-Bravo, Carlos; Troncoso-Pantoja, Claudia; Garcia-Hermoso, Antonio; Ramirez-Velez, Robinson; Vasquez-Gomez, Jaime A.; Rodriguez-Rodriguez, Fernando; Alvarez, Cristian; Celis-Morales, Carlos</t>
  </si>
  <si>
    <t>ELHOC Res</t>
  </si>
  <si>
    <t>Association of leisure time and occupational physical activity with obesity and cardiovascular risk factors in Chile</t>
  </si>
  <si>
    <t>JOURNAL OF SPORTS SCIENCES</t>
  </si>
  <si>
    <t>The aim of this study was to investigate the association between physical activity (PA), both occupational (OPA) and during leisure time (LTPA), with obesity and cardiovascular risk factors in Chilean adults. 5,157 participants from the Chilean National Health Survey 2009-2010 were included in this study. OPA and LTPA levels were assessed using the Global Physical Activity Questionnaire. The association between both PA with obesity and cardiovascular risk factors was determined using logistic regression. Our findings showed a significant trend between higher LTPA and lower odds for obesity (OR 0.64 [95% CI: 0.53; 0.76], central obesity 0.52 [0.44; 0.61]) and other cardiovascular risk factors including diabetes (OR: 0.72 [0.55; 0.94]), hypertension (OR: 0.59 [0.50; 0.71]) and metabolic syndrome (OR: 0.62 [0.50; 0.78]). In contrast, OPA was only associated with lower odds of diabetes (OR: 0.79 [0.65; 0.98]) and hypertension (0.85 [0.74; 0.98]). In conclusion, LTPA was associated with a lower risk of all major cardiovascular risk factors, whereas OPA was only associated with a lower risk of diabetes and hypertension.</t>
  </si>
  <si>
    <t>Leiva, Ana/MTF-8082-2025; Matus-Castillo, Carlos/HZI-2343-2023; Vásquez-Gómez, Jaime/AAJ-4316-2020; Sanchez-Ferrer, MªLuisa/M-3080-2014; Petermann-Rocha, Fanny/AAK-1230-2021; Garrido, Alex/IAP-5408-2023; García-Hermoso, Antonio/ADU-2591-2022; ALVAREZ, CRISTIAN/S-8150-2019; Troncoso-Pantoja, Claudia/E-8932-2019; Garcia-Hermoso, Antonio/P-1857-2017; Ramirez-Velez, Robinson/D-5311-2016; Vasquez-Gomez, Jaime/G-1342-2017; RODRIGUEZ, FERNANDO/F-2842-2016</t>
  </si>
  <si>
    <t>Brown, Rosemary/0000-0002-1719-2761; Petermann Rocha, Fanny/0000-0002-4384-4962; Luarte Rocha, Cristian Eduardo/0000-0002-1172-8692; Troncoso-Pantoja, Claudia/0000-0002-8433-5750; Garcia-Hermoso, Antonio/0000-0002-1397-7182; Poblete-Valderrama, Felipe/0000-0002-8960-3996; Matus-Castillo, Carlos/0000-0001-8019-6442; Ramirez-Velez, Robinson/0000-0003-3075-6960; Martinez, Maria Adela/0000-0002-7609-7705; Vasquez-Gomez, Jaime/0000-0003-0597-793X; RODRIGUEZ, FERNANDO/0000-0002-4999-4857; Alvarez, Cristian/0000-0003-4783-9981</t>
  </si>
  <si>
    <t>0264-0414</t>
  </si>
  <si>
    <t>1466-447X</t>
  </si>
  <si>
    <t>NOV 17</t>
  </si>
  <si>
    <t>10.1080/02640414.2019.1647738</t>
  </si>
  <si>
    <t>AUG 2019</t>
  </si>
  <si>
    <t>WOS:000479836800001</t>
  </si>
  <si>
    <t>Silva, DD; Jofré, P; Tissera, PB; Yaxley, KJ; Jara, JG; Eldridge, CJL; Sillero, E; Yates, RM; Hua, X; Das, P; Aguilera-Gómez, C; Johnston, EJ; Rojas-Arriagada, A; Foley, R; Gilmore, G</t>
  </si>
  <si>
    <t>Silva, Danielle de Brito; Jofre, Paula; Tissera, Patricia B.; Yaxley, Keaghan J.; Jara, Jenny Gonzalez; Eldridge, Camilla J. L.; Sillero, Emanuel; Yates, Robert M.; Hua, Xia; Das, Payel; Aguilera-Gomez, Claudia; Johnston, Evelyn J.; Rojas-Arriagada, Alvaro; Foley, Robert; Gilmore, Gerard</t>
  </si>
  <si>
    <t>On the Evolutionary History of a Simulated Disk Galaxy as Seen by Phylogenetic Trees</t>
  </si>
  <si>
    <t>Phylogenetic methods have long been used in biology and more recently have been extended to other fields-for example, linguistics and technology-to study evolutionary histories. Galaxies also have an evolutionary history and fall within this broad phylogenetic framework. Under the hypothesis that chemical abundances can be used as a proxy for the interstellar medium's DNA, phylogenetic methods allow us to reconstruct hierarchical similarities and differences among stars-essentially, a tree of evolutionary relationships and thus history. In this work, we apply phylogenetic methods to a simulated disk galaxy obtained with a chemodynamical code to test the approach. We found that at least 100 stellar particles are required to reliably portray the evolutionary history of a selected stellar population in this simulation, and that the overall evolutionary history is reliably preserved when the typical uncertainties in the chemical abundances are smaller than 0.08 dex. The results show that the shapes of the trees are strongly affected by the age-metallicity relation, as well as the star formation history of the galaxy. We found that regions with low star formation rates produce shorter trees than regions with high star formation rates. Our analysis demonstrates that phylogenetic methods can shed light on the process of galaxy evolution.</t>
  </si>
  <si>
    <t>Yates, Robert/ADC-1847-2022; hua, xia/HTT-1436-2023; Das, Payel/AAC-4783-2020</t>
  </si>
  <si>
    <t>Yaxley, Keaghan/0000-0001-6091-8794; Das, Payel/0000-0002-3239-4222; Jofre, Paula/0000-0002-0722-7406; Eldridge, Camilla/0009-0003-4599-2170; Hua, Xia/0000-0003-3485-789X; Aguilera-Gomez, Claudia/0000-0002-9052-382X; Yates, Robert/0000-0001-9320-4958; Gonzalez Jara, Jenny/0009-0002-7459-0747; Tissera, Patricia Beatriz/0000-0001-5242-2844</t>
  </si>
  <si>
    <t>10.3847/1538-4357/ad036a</t>
  </si>
  <si>
    <t>WOS:001162941800001</t>
  </si>
  <si>
    <t>Ferreccio, C; Huidobro, A; Cortés, S; Bambs, C; Toro, P; Van De Wyngard, V; Acevedo, J; Paredes, F; Venegas, P; Verdejo, H; Oyarzún-González, X; Cook, P; Castro, PF; Foerster, C; Vargas, C; Koshiol, J; Araya, JC; Cruz, F; Corvalán, AH; Quest, AF; Kogan, MJ; Lavandero, S</t>
  </si>
  <si>
    <t>Ferreccio, Catterina; Huidobro, Andrea; Cortes, Sandra; Bambs, Claudia; Toro, Pablo; Van De Wyngard, Vanessa; Acevedo, Johanna; Paredes, Fabio; Venegas, Pia; Verdejo, Hugo; Oyarzun-Gonzalez, Ximena; Cook, Paz; Castro, Pablo F.; Foerster, Claudia; Vargas, Claudio; Koshiol, Jill; Carlos Araya, Juan; Cruz, Francisco; Corvalan, Alejandro H.; Quest, Andrew F.; Kogan, Marcelo J.; Lavandero, Sergio</t>
  </si>
  <si>
    <t>MAUCO Study Grp</t>
  </si>
  <si>
    <t>Cohort Profile: The Maule Cohort (MAUCO)</t>
  </si>
  <si>
    <t>INTERNATIONAL JOURNAL OF EPIDEMIOLOGY</t>
  </si>
  <si>
    <t>Verdejo, Hugo/G-4436-2014; Huidobro, Laura/AAN-8812-2021; Vargas, Claudio/AAX-6076-2020; Lavandero, Sergio/B-6001-2013; Toro, Pablo/HGA-8367-2022; kogan, Marcelo/I-2868-2013; Koshiol, Jill/L-8686-2014; Araya-Orostica, Juan/Q-5575-2018; Foerster, Claudia/H-7013-2013</t>
  </si>
  <si>
    <t>VARGAS, CLAUDIO/0000-0002-8705-0873; Oyarzun-Gonzalez, Ximena/0000-0002-7752-9127; BAMBS, CLAUDIA/0000-0002-7043-6833; Garrido, Marcelo/0000-0001-8905-8986; Acevedo, Johanna/0000-0002-6341-1865; Koshiol, Jill/0000-0002-3832-6204; Verdejo, Hugo E./0000-0003-0078-4792; Cook, Paz/0000-0003-1638-0418; Castro Galvez, Pablo/0000-0002-9320-1703; ferreccio, catterina/0000-0001-6331-5534; Huidobro, Laura/0000-0001-6179-6688; Kogan, Marcelo/0000-0003-0608-5087; Toro, Pablo/0000-0002-1507-0912; Cortes, Sandra/0000-0003-3293-1419; Araya-Orostica, Juan/0000-0003-3501-8203; Foerster, Claudia/0000-0001-8452-5362</t>
  </si>
  <si>
    <t>0300-5771</t>
  </si>
  <si>
    <t>1464-3685</t>
  </si>
  <si>
    <t>+</t>
  </si>
  <si>
    <t>10.1093/ije/dyaa003</t>
  </si>
  <si>
    <t>WOS:000593364900010</t>
  </si>
  <si>
    <t>Ferrari, GLD; Werneck, AO; da Silva, DR; Kovalskys, I; Gómez, G; Rigotti, A; Sanabria, LYC; García, MCY; Pareja, RG; Herrera-Cuenca, M; Zimberg, IZ; Guajardo, V; Pratt, M; Bolados, CC; Kloss, RF; Rollo, S; Fisberg, M</t>
  </si>
  <si>
    <t>Ferrari, Gerson Luis de Moraes; Oliveira Werneck, Andre; Rodrigues da Silva, Danilo; Kovalskys, Irina; Gomez, Georgina; Rigotti, Attilio; Yadira Cortes Sanabria, Lilia; Garcia, Martha Cecilia Yepez; Pareja, Rossina G.; Herrera-Cuenca, Marianella; Zalcman Zimberg, Iona; Guajardo, Viviana; Pratt, Michael; Cofre Bolados, Cristian; Fuentes Kloss, Rodrigo; Rollo, Scott; Fisberg, Mauro</t>
  </si>
  <si>
    <t>Socio-Demographic Correlates of Total and Domain-Specific Sedentary Behavior in Latin America: A Population-Based Study</t>
  </si>
  <si>
    <t>Purpose: The aim of this study was to identify socio-demographic correlates of total and domain-specific sedentary behavior (SB). Methods: Cross-sectional findings are based on 9218 participants (15-65 years) from the Latin American Study of Nutrition and Health. Data were collected between September 2014 and February 2015. Participants reported time spent in SB across specific domains. Sex, age, ethnicity, socioeconomic (SEL), and education level were used as sociodemographic indicators. Results: Participants spent a total of 373.3 min/day engaged in total SB. Men, younger adults, other ethnicities, higher SEL and educational level presented higher total SB when compared with women, older adults, white/Caucasian, and low SEL and educational level. Men spent more time on the playing videogames (b: 32.8: 95% CI: 14.6;51.1) and riding in an automobile (40.5: 31.3; 49.8). Computer time, reading, socializing or listening to music was higher in younger participants (&lt;30 years) compared with those &gt;= 50 years in the total sample. Compared to the low SEL and educational level groups, middle (11.7: 5.7; 17.6) and higher (15.1: 5.3; 24.9) SEL groups as well as middle (9.8: 3.6; 15.9) and higher (16.6: 6.5; 26.8) education level groups reported more time spent reading. Conclusion: Socio-demographic characteristics are associated with SB patterns (total and specific) across Latin American countries.</t>
  </si>
  <si>
    <t>Gomez, Georgina/AAR-7272-2020; Cortes, Lilia/AAF-2960-2019; Fisberg, Mauro/E-7149-2010; Zimberg, Iona/E-8452-2012; Ferrari, Gerson/ABG-6635-2021; Pareja, Rossina/D-9892-2018; Werneck, Andre/N-5006-2016; Ferrari, Gerson/P-1152-2014; Silva, Danilo/E-3747-2018</t>
  </si>
  <si>
    <t>Pareja, Rossina/0000-0001-7523-3181; Gomez, Georgina/0000-0003-3514-2984; Guajardo, Viviana/0000-0001-6629-9891; Yepez, Martha Cecilia/0000-0003-4119-238X; Reis, AlessanRSS/0000-0001-8486-7469; Werneck, Andre/0000-0002-9166-4376; Zimberg, Iona Zalcman/0000-0002-3207-0076; Kovalskys, Irina/0000-0001-8481-5415; Rollo, Scott/0000-0003-1122-2728; Ferrari, Gerson/0000-0003-3177-6576; Cortes, Lilia Yadira/0000-0003-2789-3219; Silva, Danilo/0000-0003-3995-4795; Herrera-Cuenca, Marianella/0000-0003-0162-3480</t>
  </si>
  <si>
    <t>10.3390/ijerph17155587</t>
  </si>
  <si>
    <t>WOS:000567711000001</t>
  </si>
  <si>
    <t>Peña-Jorquera, H; Hernández-Jaña, S; Sanchez-Martinez, J; Espinoza-Puelles, JP; Martínez-Flores, R; Barreto-Schuch, F; Yáñez-Sepúlveda, R; Delgado-Floody, P; Ferrari, G; Sadarangani, KP; Cancino-López, J; Bento-Torres, J; Espinoza-Salinas, A; Stamatakis, E; Cristi-Montero, C</t>
  </si>
  <si>
    <t>Pena-Jorquera, Humberto; Hernandez-Jana, Sam; Sanchez-Martinez, Javier; Espinoza-Puelles, Juan Pablo; Martinez-Flores, Ricardo; Barreto-Schuch, Felipe; Yanez-Sepulveda, Rodrigo; Delgado-Floody, Pedro; Ferrari, Gerson; Sadarangani, Kabir P.; Cancino-Lopez, Jorge; Bento-Torres, Joao; Espinoza-Salinas, Alexis; Stamatakis, Emmanuel; Cristi-Montero, Carlos</t>
  </si>
  <si>
    <t>Dog companionship and cortisol levels in youth. A systematic review and meta-analysis</t>
  </si>
  <si>
    <t>SOCIAL SCIENCE &amp; MEDICINE</t>
  </si>
  <si>
    <t>Objective: Traditional and non-traditional strategies have been employed to improve youth health. Dog-assisted interventions have been proposed as a novel strategy to regulate stress and its consequences across all age groups. This systematic review and multilevel meta-analysis assessed the influence of dog-assisted interventions on cortisol levels in youth and explored potential moderators. Sources: We conducted a comprehensive systematic search across multiple databases, including PubMed, Scopus, Web of Science, Cochrane Library, and ScienceDirect, up to June 17, 2024, to evaluate the impact of dog-assisted interventions on youth cortisol levels. Two reviewers independently extracted and verified data from eligible randomized clinical trials, with a third reviewer ensuring accuracy. Cochrane's RoB 2.0 tool was used to assess the risk of bias. Heterogeneity was analyzed using Q and I2 statistics. A random-effects model was employed to calculate effect sizes (ES) using R software. Summary of the findings: Significant cortisol reductions were found for interventions lasting &gt;15 min (ES: 0.65; p = .038), with a non-significant trend towards reduced cortisol in non-medical settings (ES: 0.46; p = .070). No significant effects were observed for shorter interventions, different control groups, or age-specific analyses. Meta-regression analysis revealed significant differences, showing better outcomes with longer intervention times and fewer female participants. Conclusion: Dog-assisted interventions lasting &gt;15 min seem to be a promising and non-traditional strategy for regulating cortisol levels in children and adolescents in stressful situations. This study outlines gaps in the research and future directions.</t>
  </si>
  <si>
    <t>Cristi-Montero, Carlos/AAE-4945-2020; Yañez, Rodrigo/HFZ-9707-2022; Cancino-López, Jorge/AAX-3079-2021; Sanchez-Martinez, Javier/AAN-3385-2021; Schuch, Felipe/AAF-5028-2019; Torres, João/F-5129-2016; Ferrari, Gerson/HHM-6173-2022; Ferrari, Gerson/P-1152-2014; Schuch, Felipe/L-4620-2016</t>
  </si>
  <si>
    <t>Martinez-Flores, Ricardo/0000-0002-8435-2710; Yanez-Sepulveda, Rodrigo/0000-0002-9311-6576; Ferrari, Gerson/0000-0003-3177-6576; Schuch, Felipe/0000-0002-5190-4515; Pena-Jorquera, Humberto/0009-0001-4572-7364; Espinoza-Puelles, Juan Pablo/0009-0004-3192-5070</t>
  </si>
  <si>
    <t>0277-9536</t>
  </si>
  <si>
    <t>1873-5347</t>
  </si>
  <si>
    <t>10.1016/j.socscimed.2025.117815</t>
  </si>
  <si>
    <t>FEB 2025</t>
  </si>
  <si>
    <t>WOS:001429018200001</t>
  </si>
  <si>
    <t>Hernandez, P; Herrera-Cuenca, M; Ferrari, G; Almeida, RY; Garcia, MCY; Caceres, MV; Sanabria, LYC; Sifontes, Y; Landaeta-Jimenez, M; Gomez, G; Monge-Rojas, R; Pareja, RG; Rigotti, A; Kovalskys, I; Fisberg, M</t>
  </si>
  <si>
    <t>Hernandez, Pablo; Herrera-Cuenca, Marianella; Ferrari, Gerson; Almeida, Rafaela Yepez; Garcia, Martha Cecilia Yepez; Caceres, Monica Villar; Sanabria, Lilia Yadira Cortes; Sifontes, Yaritza; Landaeta-Jimenez, Maritza; Gomez, Georgina; Monge-Rojas, Rafael; Pareja, Rossina G.; Rigotti, Attilio; Kovalskys, Irina; Fisberg, Mauro</t>
  </si>
  <si>
    <t>Energy imbalance gap was associated with body mass index and sex in Latin American adolescents-results from the ELANS study</t>
  </si>
  <si>
    <t>FRONTIERS IN NUTRITION</t>
  </si>
  <si>
    <t>Introduction Energy imbalance gap (EIG) is defined as the average daily difference between energy intake (EI) and energy expenditure (EE). This study aimed to examine the associations between EIG and sociodemographic and anthropometric variables in the adolescent population of eight Latin America countries. Methods A total of 680 adolescents aged 15 to 18 were included in this study. The estimation of EI was based on two non-consecutive 24-h dietary recalls. EE was predicted from Schofield equations using physical activity level obtained through the long version of the International Physical Activity Questionnaire. Sociodemographic data and anthropometric measurements were also obtained. A descriptive analysis and multilevel linear regression models were used to examine associations between variables. Results The mean EI, EE, and EIG were 2091.3 kcal, 2067.8 kcal, and 23.5 kcal, respectively. Argentina had the highest EI and EIG, whereas Chile had the lowest EI and EIG. Males had a higher EI (2262.4 kcal) and EE (2172.2 kcal) than females (1930.1 kcal and 2084.5 kcal), respectively (p &lt; 0.05). Overweight subjects had a lower EIG than did underweight and normal-weight subjects (p &lt; 0.05). Subjects with low socioeconomic status (SES) had a lower EE (2047.0 kcal) than those with a high SES (2164.2 kcal) (p &lt; 0.05). Conclusion Sex and BMI were associated with EIG in adolescents from Latin America.</t>
  </si>
  <si>
    <t>Ferrari, Gerson/ABG-6635-2021; Cortes, Lilia/AAF-2960-2019</t>
  </si>
  <si>
    <t>Cortes, Lilia Yadira/0000-0003-2789-3219</t>
  </si>
  <si>
    <t>2296-861X</t>
  </si>
  <si>
    <t>MAR 14</t>
  </si>
  <si>
    <t>10.3389/fnut.2024.1380315</t>
  </si>
  <si>
    <t>WOS:001192160300001</t>
  </si>
  <si>
    <t>Hinton, R; Armstrong, C; Asri, E; Baesel, K; Barnett, S; Blauvelt, C; Buang, SNB; Bury, L; Das, JK; Franz-Vasdeki, J; Milman, HM; Murray, J; Palma, S; Renner, I; Roche, M; Saint, V; Simpson, S; Singh, L; McGhie, DV; Ukhova, D; van Dijk, J; Xinico, S; Fogstad, H; Graham, W; Kuruvilla, S</t>
  </si>
  <si>
    <t>Hinton, Rachael; Armstrong, Corinne; Asri, Eriana; Baesel, Klaus; Barnett, Sarah; Blauvelt, Carla; Buang, Saidatul Norbaya Bt; Bury, Louise; Das, Jai K.; Franz-Vasdeki, Jennifer; Milman, Helia Molina; Murray, John; Palma, Susana; Renner, Ilona; Roche, Marion; Saint, Victoria; Simpson, Sarah; Singh, Lucy; McGhie, Diana Vaca; Ukhova, Daria; van Dijk, Jetske; Xinico, Silvia; Fogstad, Helga; Graham, Wendy; Kuruvilla, Shyama</t>
  </si>
  <si>
    <t>Specific considerations for research on the effectiveness of multisectoral collaboration: methods and lessons from 12 country case studies</t>
  </si>
  <si>
    <t>GLOBALIZATION AND HEALTH</t>
  </si>
  <si>
    <t>Background: The success of the Sustainable Development Goals (SDGs) is predicated on multisectoral collaboration (MSC), and the COVID-19 pandemic makes it more urgent to learn how this can be done better. Complex challenges facing countries, such as COVID-19, cut across health, education, environment, financial and other sectors. Addressing these challenges requires the range of responsible sectors and intersecting services - across health, education, social and financial protection, economic development, law enforcement, among others - transform the way they work together towards shared goals. While the necessity of MSC is recognized, research is needed to understand how sectors collaborate, inform how to do so more efficiently, effectively and equitably, and ascertain similarities and differences across contexts. To answer these questions and inform practice, research to strengthen the evidence-base on MSC is critical. Methods: This paper draws on a 12-country study series on MSC for health and sustainable development, in the context of the health and rights of women, children and adolescents. It is written by core members of the research coordination and country teams. Issues were analyzed during the study period through 'real-time' discussions and structured reporting, as well as through literature reviews and retrospective feedback and analysis at the end of the study. Results: We identify four considerations that are unique to MSC research which will be of interest to other researchers, in the context of COVID-19 and beyond: 1) use theoretical frameworks to frame research questions as relevant to all sectors and to facilitate theoretical generalizability and evolution; 2) specifically incorporate sectoral analysis into MSC research methods; 3) develop a core set of research questions, using mixed methods and contextual adaptations as needed, with agreement on criteria for research rigor; and 4) identify shared indicators of success and failure across sectors to assess MSCs. Conclusion: In responding to COVID-19 it is evident that effective MSC is an urgent priority. It enables partners from diverse sectors to effectively convene to do more together than alone. Our findings have practical relevance for achieving this objective and contribute to the growing literature on partnerships and collaboration. We must seize the opportunity here to identify remaining knowledge gaps on how diverse sectors can work together efficiently and effectively in different settings to accelerate progress towards achieving shared goals.</t>
  </si>
  <si>
    <t>Ukhova, Daria/KYR-0998-2024; murray, john/HKF-5992-2023; Das, Jai K./JOZ-1359-2023</t>
  </si>
  <si>
    <t>Das, Jai/0000-0002-2966-7162; Simpson, Sarah/0000-0003-1896-5145; Graham, Wendy/0000-0003-1473-5342; Saint, Victoria/0000-0003-4663-1716; Hinton, Rachael/0000-0002-0452-6304; Ukhova, Daria/0000-0002-9554-8604; Kuruvilla, Shyama/0000-0002-0327-4467</t>
  </si>
  <si>
    <t>1744-8603</t>
  </si>
  <si>
    <t>10.1186/s12992-021-00664-w</t>
  </si>
  <si>
    <t>WOS:000613711600001</t>
  </si>
  <si>
    <t>Asher, MI; Anderson, HR; Stewart, AW; Crane, J; Ait-Khaled, N; Anabwani, G; Anderson, HR; Beasley, R; Bjorksten, B; Burr, ML; Clayton, TO; Ellwood, P; Keil, U; Lai, CKW; Mallol, J; Martinez, FD; Mitchell, EA; Montefort, S; Pearce, N; Robertson, CF; Shah, JR; Sibbald, B; Strachan, DP; von Mutius, E; Weiland, SK; Williams, HC</t>
  </si>
  <si>
    <t>ISAAC Steering Comm</t>
  </si>
  <si>
    <t>Worldwide variations in the prevalence of asthma symptoms: the International Study of Asthma and Allergies in Childhood (ISAAC)</t>
  </si>
  <si>
    <t>EUROPEAN RESPIRATORY JOURNAL</t>
  </si>
  <si>
    <t>The International Study of Asthma and Allergies in Childhood (ISAAC) was designed to allow comparisons between populations in different countries. ISAAC Phase One, reported here, used standardized simple surveys which were conducted among representative samples of school children from centres in most regions of the world. Two age groups (13-14 and 6-7 yrs) with approximately 3,000 children in each group were studied in each centre. The 13-14 yr olds (n=463,801) were studied in 155 centres (56 countries) and the 6-7 yr olds (n=257,800) were studied in 91 centres (38 countries). There were marked variations in the prevalence of asthma symptoms with up to 15-fold differences between countries. The prevalence of wheeze in the last 12 months ranged from 2.1-32.2% in the older age group and 4.1-32.1% in the younger age group and was particularly high in English speaking countries and Latin America. A video questionnaire completed in the older age group in 99 centres (42 countries) showed a similar pattern. The major differences between populations found in the International Study of Asthma and Allergies in Childhood Phase One are likely to be due to environmental factors. The results provide a framework for studies between populations in contrasting environments which are likely to yield new clues about the aetiology of asthma.</t>
  </si>
  <si>
    <t>Galán, Fernando/I-2000-2017; Anderson, Hugh/A-7417-2016; Clayton, Tadd/B-7914-2009; Asher, Innes/O-2604-2016; Ellwood, Philippa/G-7555-2015</t>
  </si>
  <si>
    <t>Ellwood, Philippa/0000-0002-1994-4023</t>
  </si>
  <si>
    <t>0903-1936</t>
  </si>
  <si>
    <t>WOS:000075510900011</t>
  </si>
  <si>
    <t>Cordero, RR; Sepúlveda, E; Feron, S; Wang, CH; Damiani, A; Fernandoy, F; Neshyba, S; Rowe, PM; Asencio, V; Carrasco, J; Alfonso, JA; MacDonell, S; Seckmeyer, G; Carrera, JM; Jorquera, J; Llanillo, P; Dana, J; Khan, AL; Casassa, G</t>
  </si>
  <si>
    <t>Cordero, Raul R.; Sepulveda, Edgardo; Feron, Sarah; Wang, Chenghao; Damiani, Alessandro; Fernandoy, Francisco; Neshyba, Steven; Rowe, Penny M.; Asencio, Valentina; Carrasco, Jorge; Alfonso, Juan A.; MacDonell, Shelley; Seckmeyer, Gunther; Carrera, Juan M.; Jorquera, Jose; Llanillo, Pedro; Dana, Jacob; Khan, Alia L.; Casassa, Gino</t>
  </si>
  <si>
    <t>Black carbon in the Southern Andean snowpack</t>
  </si>
  <si>
    <t>The Andean snowpack is an important source of water for many communities. As other snow-covered regions around the world, the Andes are sensitive to black carbon (BC) deposition from fossil fuel and biomass combustion. BC darkens the snow surface, reduces the albedo, and accelerates melting. Here, we report on measurements of the BC content conducted by using the meltwater filtration (MF) technique in snow samples collected across a transect of more than 2500 km from the mid-latitude Andes to the southern tip of South America. Addressing some of the key knowledge gaps regarding the effects of the BC deposition on the Andean snow, we identified BC-impacted areas, assessed the BC-related albedo reduction, and estimated the resulting snow losses. We found that BC concentrations in our samples generally ranged from 2 to 15 ng g(-1), except for the nearly BC-free Patagonian Icefields and for the BC-impacted sites nearby Santiago (a metropolis of 6 million inhabitants). We estimate that the seasonal snowpack shrinking attributable to the BC deposition ranges from 4 mm water equivalent (w.e.) at relatively clean sites in Patagonia to 241 mm w.e. at heavily impacted sites close to Santiago.</t>
  </si>
  <si>
    <t>MacDonell, Shelley/J-2480-2016; Cordero, Raul/M-7979-2017; Damiani, Alessandro/X-4677-2019; Carrasco, Jorge/K-2949-2014; Llanillo, Pedro/L-5877-2015; Wang, Chenghao/O-7961-2017</t>
  </si>
  <si>
    <t>Feron, Sarah/0000-0002-0572-5639; Carrasco, Jorge/0000-0003-2154-5483; Cordero, Raul R./0000-0001-7607-7993; Llanillo, Pedro/0000-0002-9308-501X; Damiani, Alessandro/0000-0003-3014-6193; Wang, Chenghao/0000-0001-8846-4130; MacDonell, Shelley/0000-0001-9641-4547</t>
  </si>
  <si>
    <t>APR 1</t>
  </si>
  <si>
    <t>10.1088/1748-9326/ac5df0</t>
  </si>
  <si>
    <t>WOS:000772645600001</t>
  </si>
  <si>
    <t>Ellwood, P; Asher, MI; Billo, NE; Bissell, K; Chiang, CY; Ellwood, EM; El-Sony, A; García-Marcos, L; Mallol, J; Marks, GB; Pearce, NE; Strachan, DP</t>
  </si>
  <si>
    <t>Ellwood, Philippa; Asher, M. Innes; Billo, Nils E.; Bissell, Karen; Chiang, Chen-Yuan; Ellwood, Eamon M.; El-Sony, Asma; Garcia-Marcos, Luis; Mallol, Javier; Marks, Guy B.; Pearce, Neil E.; Strachan, David P.</t>
  </si>
  <si>
    <t>The Global Asthma Network rationale and methods for Phase I global surveillance: prevalence, severity, management and risk factors</t>
  </si>
  <si>
    <t>The Global Asthma Network (GAN), established in 2012, followed the International Study of Asthma and Allergies in Childhood (ISAAC). ISAAC Phase One involved over 700 000 adolescents and children from 156 centres in 56 countries; it found marked worldwide variation in symptom prevalence of asthma, rhinitis and eczema that was not explained by the current understanding of these diseases; ISAAC Phase Three involved over 1 187 496 adolescents and children (237 centres in 98 countries). It found that asthma symptom prevalence was increasing in many locations especially in low-and middle-income countries where severity was also high, and identified several environmental factors that required further investigation. GAN Phase I, described in this article, builds on the ISAAC findings by collecting further information on asthma, rhinitis and eczema prevalence, severity, diagnoses, asthma emergency room visits, hospital admissions, management and use of asthma essential medicines. The subjects will be the same age groups as ISAAC, and their parents. In this first global monitoring of asthma in children and adults since 2003, further evidence will be obtained to understand asthma, management practices and risk factors, leading to further recognition that asthma is an important non-communicable disease and to reduce its global burden.</t>
  </si>
  <si>
    <t>El-Sony, Asma/G-9112-2019; Asher, Innes/O-2604-2016; Bissell, Karen/ABB-2734-2020; Marks, Guy/F-5058-2013; Yusuf, Osman/AAI-1142-2020; Ellwood, Philippa/G-7555-2015</t>
  </si>
  <si>
    <t>Pearce, Neil/0000-0002-9938-7852; Mallol, Javier/0000-0003-2528-8672; Marks, Guy/0000-0002-8976-8053; Billo, Nils Eric/0000-0002-5735-5107; Garcia-Marcos, Luis/0000-0002-0925-3851; Yusuf, Osman/0000-0002-8067-1204; Ellwood, Philippa/0000-0002-1994-4023</t>
  </si>
  <si>
    <t>1399-3003</t>
  </si>
  <si>
    <t>10.1183/13993003.01605-2016</t>
  </si>
  <si>
    <t>WOS:000397423500035</t>
  </si>
  <si>
    <t>Zurlo, A; Cugno, G; Montesinos, M; Perez, S; Canovas, H; Casassus, S; Christiaens, V; Cieza, L; Huelamo, N</t>
  </si>
  <si>
    <t>Zurlo, A.; Cugno, G.; Montesinos, M.; Perez, S.; Canovas, H.; Casassus, S.; Christiaens, V; Cieza, L.; Huelamo, N.</t>
  </si>
  <si>
    <t>The widest Hα survey of accreting protoplanets around nearby transition disks</t>
  </si>
  <si>
    <t>Context. The mechanisms of planet formation are still under debate. We know little about how planets form, even if more than 4000 exoplanets have been detected to date. Recent investigations target the cot of newly born planets: the protoplanetary disk. At the first stages of their life, exoplanets still accrete material from the gas-rich disk in which they are embedded. Transitional disks are indeed disks that show peculiarities, such as gaps, spiral arms, and rings, which can be connected to the presence of substellar companions. Aims. To investigate what is responsible for these features, we selected all the known transitional disks in the solar neighborhood (&lt;200 pc) that are visible from the southern hemisphere. We conducted a survey of 11 transitional disks with the SPHERE instrument at the Very Large Telescope. This is the largest H alpha survey that has been conducted so far to look for protoplanets. The observations were performed with the H alpha filter of ZIMPOL in order to target protoplanets that are still in the accretion stage. All the selected targets are very young stars, less than 20 Myr, and show low extinction in the visible. Methods. We reduced the ZIMPOL pupil stabilized data by applying the method of the angular spectral differential imaging (ASDI), which combines both techniques. The datacubes are composed of the Cnt_H alpha and the narrow band filter H alpha, which are taken simultaneously to permit the suppression of the speckle pattern. The principal component analysis method was employed for the reduction of the data. For each dataset, we derived the 5 sigma contrast limit and converted it in upper limits on the accretion luminosity. Results. We do not detect any new accreting substellar companions around the targeted transition disks down to an average contrast of 12 magnitudes at 0.'' 2 from the central star. We have recovered the signal of the accreting M star companion around the star HD 142527. We have detected and resolved, for the first time in visible light, the quadruple system HD 98800. For every other system, we can exclude the presence of massive actively accreting companions, assuming that the accretion is not episodic and that the extinction is negligible. The mean accretion luminosity limit is 10(-6) L-circle dot at a separation of 0.'' 2 from the host.</t>
  </si>
  <si>
    <t>Pérez, Sebastián/AAS-5857-2020; Montesinos, Matias/IAN-6347-2023; Zurlo, Alice/Q-5011-2019; Casassus, Simon/I-8609-2016; Canovas, Hector/HCI-1393-2022; Huelamo, Nuria/C-3042-2017</t>
  </si>
  <si>
    <t>Canovas, Hector/0000-0001-7668-8022; Zurlo, Alice/0000-0002-5903-8316; Montesinos, Matias/0000-0001-9789-5098; Huelamo, Nuria/0000-0002-2711-8143; Christiaens, Valentin/0000-0002-0101-8814</t>
  </si>
  <si>
    <t>JAN 21</t>
  </si>
  <si>
    <t>A119</t>
  </si>
  <si>
    <t>10.1051/0004-6361/201936891</t>
  </si>
  <si>
    <t>WOS:000508936600001</t>
  </si>
  <si>
    <t>Leone, FPG; Timmerman, D; Bourne, T; Valentin, L; Epstein, E; Goldstein, SR; Marret, H; Parsons, A; Gull, B; Istre, O; Sepulveda, W; Ferrazzi, E; Van den Bosch, T</t>
  </si>
  <si>
    <t>Leone, F. P. G.; Timmerman, D.; Bourne, T.; Valentin, L.; Epstein, E.; Goldstein, S. R.; Marret, H.; Parsons, A.; Gull, B.; Istre, O.; Sepulveda, W.; Ferrazzi, E.; Van den Bosch, T.</t>
  </si>
  <si>
    <t>IETA Grp</t>
  </si>
  <si>
    <t>Re: Consensus opinion of International Endometrial Tumor Analysis (IETA) group Reply</t>
  </si>
  <si>
    <t>ULTRASOUND IN OBSTETRICS &amp; GYNECOLOGY</t>
  </si>
  <si>
    <t>epstein, elisabeth/F-4586-2014; Timmerman, Dirk/AAD-2363-2019; Ferrazzi, Enrico/AAB-9416-2019; Bourne, Tom/I-6478-2012</t>
  </si>
  <si>
    <t>Timmerman, Dirk/0000-0002-3707-6645</t>
  </si>
  <si>
    <t>0960-7692</t>
  </si>
  <si>
    <t>1469-0705</t>
  </si>
  <si>
    <t>10.1002/uog.7630</t>
  </si>
  <si>
    <t>WOS:000277353500023</t>
  </si>
  <si>
    <t>Sevilla, FRS; Liu, YL; Barocio, E; Korba, P; Andrade, M; Bellizio, F; Bos, J; Chaudhuri, B; Chavez, H; Cremer, J; Eriksson, R; Hamon, C; Herrera, M; Huijsman, M; Ingram, M; Klaar, D; Krishnan, V; Mola, J; Netto, M; Paolone, M; Papadopoulos, P; Ramirez, M; Rueda, J; Sattinger, W; Terzija, V; Tindemans, S; Trigueros, A; Wang, YJ; Zhao, JB</t>
  </si>
  <si>
    <t>Sevilla, Felix Rafael Segundo; Liu, Yanli; Barocio, Emilio; Korba, Petr; Andrade, Manuel; Bellizio, Federica; Bos, Jorrit; Chaudhuri, Balarko; Chavez, Hector; Cremer, Jochen; Eriksson, Robert; Hamon, Camille; Herrera, Miguel; Huijsman, Marnick; Ingram, Michael; Klaar, Danny; Krishnan, Venkat; Mola, Jorge; Netto, Marcos; Paolone, Mario; Papadopoulos, Panagiotis; Ramirez, Miguel; Rueda, Jose; Sattinger, Walter; Terzija, Vladimir; Tindemans, Simon; Trigueros, Alberto; Wang, Yajun; Zhao, Junbo</t>
  </si>
  <si>
    <t>State-of-the-art of data collection, analytics, and future needs of transmission utilities worldwide to account for the continuous growth of sensing data</t>
  </si>
  <si>
    <t>INTERNATIONAL JOURNAL OF ELECTRICAL POWER &amp; ENERGY SYSTEMS</t>
  </si>
  <si>
    <t>Nowadays, transmission system operators require higher degree of observability in real-time to gain situational awareness and improve the decision-making process to guarantee a safe and reliable operation. Digitalization of energy systems allows utilities to monitor the system dynamic performance in real-time at fast time scales. The use of such technologies has unlocked new opportunities to introduce new data driven algorithms for improving the stability assessment and control of the system. Motivated by these challenges, a group of experts have worked together to highlight and establish a baseline set of these common concerns, which can be used as motivation to propose innovative analytics and data-driven solutions. In this document, the results of a survey on 10 transmission system operators around the world are presented and it aims to understand the current practices of the participating companies, in terms of data acquisition, handling, storage, modelling and analytics. The overall objective of this document is to capture the actual needs from the interviewed utilities, thereby laying the groundwork for setting valid assumptions for the development of advanced algorithms in this field.</t>
  </si>
  <si>
    <t>Andrade, Manuel/Q-3896-2019; Rueda, Jose/F-4910-2012; Krishnan, Venkat/H-8018-2015; Tindemans, Simon/X-6543-2019; Netto, Marcos/E-4758-2016; Paolone, Mario/G-3015-2015; Zhao, Junbo/R-8341-2019</t>
  </si>
  <si>
    <t>Segundo Sevilla, Felix Rafael/0000-0002-9562-3547; Chaudhuri, Balarko/0000-0003-3747-7534; Tindemans, Simon/0000-0001-8369-7568; Cremer, Jochen Lorenz/0000-0001-9284-5083; Netto, Marcos/0000-0001-7002-3345; Bellizio, Federica/0000-0002-7351-1704; Paolone, Mario/0000-0001-7073-9036; Rueda Torres, Jose Luis/0000-0001-7288-0228; Papadopoulos, Panagiotis/0000-0001-7343-2590; Zhao, Junbo/0000-0002-8498-9666; Korba, Petr/0000-0002-5408-7653; Andrade, Manuel/0000-0001-6179-7680; Ramirez-Gonzalez, Miguel/0000-0002-7269-7463</t>
  </si>
  <si>
    <t>0142-0615</t>
  </si>
  <si>
    <t>1879-3517</t>
  </si>
  <si>
    <t>10.1016/j.ijepes.2021.107772</t>
  </si>
  <si>
    <t>WOS:000805127900006</t>
  </si>
  <si>
    <t>Ferrari, G; Farías-Valenzuela, C; Guzmán-Habinger, J; Drenowatz, C; Marques, A; Kovalskys, I; Gómez, G; Rigotti, A; Cortés, LY; García, MCY; Pareja, RG; Herrera-Cuenca, M; Marconcin, P; Chávez, JL; Fisberg, M</t>
  </si>
  <si>
    <t>Ferrari, Gerson; Farias-Valenzuela, Claudio; Guzman-Habinger, Juan; Drenowatz, Clemens; Marques, Adilson; Kovalskys, Irina; Gomez, Georgina; Rigotti, Attilio; Cortes, Lilia Yadira; Yepez Garcia, Martha Cecilia; Pareja, Rossina G.; Herrera-Cuenca, Marianella; Marconcin, Priscila; Chavez, Javiera Lobos; Fisberg, Mauro</t>
  </si>
  <si>
    <t>Relationship between socio-demographic correlates and human development index with physical activity and sedentary time in a cross-sectional multicenter study</t>
  </si>
  <si>
    <t>Background: Socio-demographic correlates and human development index (HDI) are associated with self-reported physical activity, but only a few studies have focused on device-measured physical activity and sedentary time in Latin America. We examined the relationship between socio-demographic correlates and HDI with physical activity and sedentary time in a cross-sectional study. Methods: We based our analyses on 2522 (53.1% women; 18-65 years [mean age 38.3 years]) adults drawn from the eight Latin America countries. Physical activity (light, moderate, vigorous, and moderate-to-vigorous intensity and steps) and sedentary time were assessed using Actigraph GT3X+ accelerometers. Sex, age, and race/ethnicity were self-reported. The HDI country information was obtained from the United Nations Development Program. Results: For the age, ethnicity, vigorous physical activity and steps/day, there were significant differences between high and very high HDI countries. Women and younger age presented lower sedentary time than men and older. In moderate-to-vigorous physical activity, we found lower duration in women (-13.4 min/week), younger age (-0.1 min/ week), and white/caucasian (-2.7 min/week) than men, older ages and mixed ethnicity. Women (-1266.5 steps/week) and very high HDI (-847.3 steps/week) presented lower steps than men and high HDI. Black (2853.9 steps/week), other (1785.4 steps/week), and white/caucasian ethnicity (660.6 steps/week) showed higher steps than mixed ethnicity. Conclusions: Different socio-demographic correlates are associated with physical activity intensity; however, HDI is associated with vigorous physical activity and steps in the Latin American region, which can in turn guide policies to promote physical activity in the region.</t>
  </si>
  <si>
    <t>Gomez, Georgina/AAR-7272-2020; Marconcin, Priscila/GRO-2708-2022; Ferrari, Gerson/ABG-6635-2021; Cortes, Lilia/AAF-2960-2019; Marques, Adilson/K-4529-2014; Ferrari, Gerson/P-1152-2014</t>
  </si>
  <si>
    <t>Marques, Adilson/0000-0001-9850-7771; Guzman Habinger, Juan/0000-0003-2243-2528; Ferrari, Gerson/0000-0003-3177-6576; Cortes, Lilia Yadira/0000-0003-2789-3219</t>
  </si>
  <si>
    <t>APR 6</t>
  </si>
  <si>
    <t>10.1186/s12889-022-13117-9</t>
  </si>
  <si>
    <t>WOS:000778981000009</t>
  </si>
  <si>
    <t>Weaver, D; Strong, K; Schneider, M; Rowe, PM; Sioris, C; Walker, KA; Mariani, Z; Uttal, T; McElroy, CT; Vömel, H; Spassiani, A; Drummond, JR</t>
  </si>
  <si>
    <t>Weaver, Dan; Strong, Kimberly; Schneider, Matthias; Rowe, Penny M.; Sioris, Chris; Walker, Kaley A.; Mariani, Zen; Uttal, Taneil; McElroy, C. Thomas; Vomel, Holger; Spassiani, Alessio; Drummond, James R.</t>
  </si>
  <si>
    <t>Intercomparison of atmospheric water vapour measurements at a Canadian High Arctic site</t>
  </si>
  <si>
    <t>ATMOSPHERIC MEASUREMENT TECHNIQUES</t>
  </si>
  <si>
    <t>Water vapour is a critical component of the Earth system. Techniques to acquire and improve measurements of atmospheric water vapour and its isotopes are under active development. This work presents a detailed intercomparison of water vapour total column measurements taken between 2006 and 2014 at a Canadian High Arctic research site (Eureka, Nunavut). Instruments include radiosondes, sun photometers, a microwave radiometer, and emission and solar absorption Fourier transform infrared (FTIR) spectrometers. Close agreement is observed between all combination of datasets, with mean differences &lt;= 1.0 kg m(-2) and correlation coefficients &gt;= 0.98. The one exception in the observed high correlation is the comparison between the microwave radiometer and a radiosonde product, which had a correlation coefficient of 0.92. A variety of biases affecting Eureka instruments are revealed and discussed. A subset of Eureka radiosonde measurements was processed by the Global Climate Observing System (GCOS) Reference Upper Air Network (GRUAN) for this study. Comparisons reveal a small dry bias in the standard radiosonde measurement water vapour total columns of approximately 4 %. A recently produced solar ab-sorption FTIR spectrometer dataset resulting from the MUSICA (MUlti-platform remote Sensing of Isotopologues for investigating the Cycle of Atmospheric water) retrieval technique is shown to offer accurate measurements of water vapour total columns (e.g. average agreement within 5.2% of GRUAN and 6.5% of a co-located emission FTIR spectrometer). However, comparisons show a small wet bias of approximately 6% at the high-latitude Eureka site. In addition, a new dataset derived from Atmospheric Emitted Radiance Interferometer (AERI) measurements is shown to provide accurate water vapour measurements (e.g. average agreement was within 4% of GRUAN), which usefully enables measurements to be taken during day and night (especially valuable during polar night).</t>
  </si>
  <si>
    <t>Drummond, James/O-7467-2014; Spassiani, Alessio/IUM-2181-2023; Schneider, Matthias/B-1441-2013; Strong, Kimberly/D-2563-2012</t>
  </si>
  <si>
    <t>Mariani, Zen/0000-0001-9368-5659; Spassiani, Alessio/0000-0002-3692-1675; Walker, Kaley/0000-0003-3420-9454; Rowe, Penny/0000-0002-7594-0553; Weaver, Dan/0000-0002-5400-5099; Strong, Kimberly/0000-0001-9947-1053</t>
  </si>
  <si>
    <t>1867-1381</t>
  </si>
  <si>
    <t>1867-8548</t>
  </si>
  <si>
    <t>AUG 11</t>
  </si>
  <si>
    <t>10.5194/amt-10-2851-2017</t>
  </si>
  <si>
    <t>WOS:000407671900001</t>
  </si>
  <si>
    <t>de Blume, AG; Londoño, DMM; Daset, L; Cuadro, A; Delgado, MM; Núñez, OM; de la Cadena, CG; Navarro, MBB; Trejo, NA; Balmaceda, AR; Rodríguez, VJ; Ferreras, AP; Urquijo, S; Arias, WL; Rivera, LI; Schulmeyer, M; Rivera-Sanchez, J</t>
  </si>
  <si>
    <t>de Blume, Antonio Gutierrez P.; Londono, Diana Marcela Montoya; Daset, Lilian; Cuadro, Ariel; Delgado, Mauricio Molina; Nunez, Olivia Moran; de la Cadena, Claudia Garcia; Navarro, Maria Beatriz Beltran; Trejo, Natalia Arias; Balmaceda, Ana Ramirez; Jimenez Rodriguez, Virginia; Puente Ferreras, Anibal; Urquijo, Sebastian; Arias, Walter Lizandro; Rivera, Laura Ines; Schulmeyer, Marion; Rivera-Sanchez, Jesus</t>
  </si>
  <si>
    <t>Normative data and standardization of an international protocol for the evaluation of metacognition in Spanish-speaking university students: A cross-cultural analysis</t>
  </si>
  <si>
    <t>METACOGNITION AND LEARNING</t>
  </si>
  <si>
    <t>A deeper understanding of what factors influence metacognition has never become more pressing than in today's digital era, in which information flows constantly and quickly. To this end, the present study explored the role of culture in mediating how individuals experience metacognitive phenomena. For this purpose, the International Group on Metacognition (IGM) developed a rigorous standard international protocol to measure metacognition in Spanish-speaking university students (N = 1,461) in 12 cultures in Latin-America and Spain, employing both a subjective measure of metacognitive awareness (the Metacognitive Awareness Inventory [MAI]) and various metrics of objective metacognitive monitoring across three domains of learning-vocabulary, probabilities (mathematical reasoning), and paper folding (visual-spatial reasoning). Data were subsequently compared across the various cultures with subjective metacognitive awareness and the raw frequencies of the four mutually exclusive cells of the 2 x 2 performance/judgment array as outcomes. Results revealed significant differences regarding both macro-level components of subjective metacognitive awareness, knowledge and regulation of cognition. Further, significant and meaningful differences emerged for the raw frequencies of the four mutually exclusive cells as a function of culture, especially for vocabulary, in which differences among cultures emerged for all four cells. Implications for metacognitive research, theory, and practice are discussed.</t>
  </si>
  <si>
    <t>Schulmeyer, Marion/O-7850-2018; Urquijo, Sebastian/HKN-3612-2023; Burgos, María/L-5265-2014; JIMÉNEZ, VIRGINIA/AAG-5067-2019; Gutierrez de Blume, Antonio/I-9105-2019</t>
  </si>
  <si>
    <t>Gutierrez de Blume, Antonio/0000-0001-6809-1728; Schulmeyer, Marion K./0000-0002-0707-0656; Montoya Londono, Diana Marcela/0000-0001-8007-0102</t>
  </si>
  <si>
    <t>1556-1623</t>
  </si>
  <si>
    <t>1556-1631</t>
  </si>
  <si>
    <t>10.1007/s11409-023-09338-x</t>
  </si>
  <si>
    <t>MAR 2023</t>
  </si>
  <si>
    <t>WOS:000945803800001</t>
  </si>
  <si>
    <t>García-Huerta, P; Troncoso-Escudero, P; Wu, D; Thiruvalluvan, A; Cisternas-Olmedo, M; Henríquez, DR; Plate, L; Chana-Cuevas, P; Saquel, C; Thielen, P; Longo, KA; Geddes, BJ; Lederkremer, GZ; Sharma, N; Shenkman, M; Naphade, S; Sardi, SP; Spichiger, C; Richter, HG; Court, FA; Tshilenge, KT; Ellerby, LM; Wiseman, RL; Gonzalez-Billault, C; Bergink, S; Vidal, RL; Hetz, C</t>
  </si>
  <si>
    <t>Garcia-Huerta, Paula; Troncoso-Escudero, Paulina; Wu, Di; Thiruvalluvan, Arun; Cisternas-Olmedo, Marisol; Henriquez, Daniel R.; Plate, Lars; Chana-Cuevas, Pedro; Saquel, Cristian; Thielen, Peter; Longo, Kenneth A.; Geddes, Brad J.; Lederkremer, Gerardo Z.; Sharma, Neeraj; Shenkman, Marina; Naphade, Swati; Sardi, S. Pablo; Spichiger, Carlos; Richter, Hans G.; Court, Felipe A.; Tshilenge, Kizito Tshitoko; Ellerby, Lisa M.; Wiseman, R. Luke; Gonzalez-Billault, Christian; Bergink, Steven; Vidal, Rene L.; Hetz, Claudio</t>
  </si>
  <si>
    <t>Insulin-like growth factor 2 (IGF2) protects against Huntington's disease through the extracellular disposal of protein aggregates</t>
  </si>
  <si>
    <t>ACTA NEUROPATHOLOGICA</t>
  </si>
  <si>
    <t>Impaired neuronal proteostasis is a salient feature of many neurodegenerative diseases, highlighting alterations in the function of the endoplasmic reticulum (ER). We previously reported that targeting the transcription factor XBP1, a key mediator of the ER stress response, delays disease progression and reduces protein aggregation in various models of neurodegeneration. To identify disease modifier genes that may explain the neuroprotective effects of XBP1 deficiency, we performed gene expression profiling of brain cortex and striatum of these animals and uncovered insulin-like growth factor 2 (Igf2) as the major upregulated gene. Here, we studied the impact of IGF2 signaling on protein aggregation in models of Huntington's disease (HD) as proof of concept. Cell culture studies revealed that IGF2 treatment decreases the load of intracellular aggregates of mutant huntingtin and a polyglutamine peptide. These results were validated using induced pluripotent stem cells (iPSC)-derived medium spiny neurons from HD patients and spinocerebellar ataxia cases. The reduction in the levels of mutant huntingtin was associated with a decrease in the half-life of the intracellular protein. The decrease in the levels of abnormal protein aggregation triggered by IGF2 was independent of the activity of autophagy and the proteasome pathways, the two main routes for mutant huntingtin clearance. Conversely, IGF2 signaling enhanced the secretion of soluble mutant huntingtin species through exosomes and microvesicles involving changes in actin dynamics. Administration of IGF2 into the brain of HD mice using gene therapy led to a significant decrease in the levels of mutant huntingtin in three different animal models. Moreover, analysis of human postmortem brain tissue and blood samples from HD patients showed a reduction in IGF2 level. This study identifies IGF2 as a relevant factor deregulated in HD, operating as a disease modifier that buffers the accumulation of abnormal protein species.</t>
  </si>
  <si>
    <t>Hetz, Claudio/ABD-7514-2021; Plate, Lars/I-7452-2019; Chana-Cuevas, Pedro/AAM-8215-2020; Gonzalez-Billault, Christian/P-2393-2019; Longo, Kenneth/A-5631-2010; Court, Felipe/C-5911-2015; Vidal, Rene/S-7154-2019; Bergink, Steven/AAE-3020-2019; Wu, Di/HNP-3772-2023; TSHILENGE, Kizito-Tshitoko/AAU-6453-2021; Sharma, Neeraj/AAX-9110-2020; Richter, Hans/D-6273-2013; Gonzalez-Billault, Christian/K-9622-2013</t>
  </si>
  <si>
    <t>Court, Felipe/0000-0002-9394-7601; TSHILENGE, Kizito-Tshitoko/0000-0001-9151-2391; Hetz, Claudio/0000-0003-1120-7966; Bergink, Steven/0000-0002-1142-869X; Sharma, Neeraj/0000-0002-8229-3083; Saquel, Cristian/0000-0002-9809-4556; Vidal, Rene/0000-0002-4305-7387; Troncoso-Escudero, Paulina/0000-0001-9458-274X; Spichiger, Carlos/0000-0002-5269-8135; Lederkremer, Gerardo/0000-0002-9857-7152; Plate, Lars/0000-0003-4363-6116; Cisternas-Olmedo, Marisol/0000-0001-9610-9454; Richter, Hans/0000-0002-7224-9388; Gonzalez-Billault, Christian/0000-0003-0335-1482; Thiruvalluvan, Arun/0000-0002-7661-9163</t>
  </si>
  <si>
    <t>0001-6322</t>
  </si>
  <si>
    <t>1432-0533</t>
  </si>
  <si>
    <t>10.1007/s00401-020-02183-1</t>
  </si>
  <si>
    <t>JUL 2020</t>
  </si>
  <si>
    <t>WOS:000546557000001</t>
  </si>
  <si>
    <t>García, AM; Hesse, E; Birba, A; Adolfi, F; Mikulan, E; Caro, MM; Petroni, A; Bekinschtein, TA; García, MD; Silva, W; Ciraolo, C; Vaucheret, E; Sedeño, L; Ibáñez, A</t>
  </si>
  <si>
    <t>Garcia, Adolfo M.; Hesse, Eugenia; Birba, Agustina; Adolfi, Federico; Mikulan, Ezequiel; Martorell Caro, Miguel; Petroni, Agustin; Bekinschtein, Tristan A.; del Carmen Garcia, Maria; Silva, Walter; Ciraolo, Carlos; Vaucheret, Esteban; Sedeno, Lucas; Ibanez, Agustin</t>
  </si>
  <si>
    <t>Time to Face Language: Embodied Mechanisms Underpin the Inception of Face-Related Meanings in the Human Brain</t>
  </si>
  <si>
    <t>In construing meaning, the brain recruits multimodal (conceptual) systems and embodied (modality-specific) mechanisms. Yet, no consensus exists on how crucial the latter are for the inception of semantic distinctions. To address this issue, we combined electroencephalographic (EEG) and intracranial EEG (iEEG) to examine when nouns denoting facial body parts (FBPs) and nonFBPs are discriminated in face-processing and multimodal networks. First, FBP words increased N170 amplitude (a hallmark of early facial processing). Second, they triggered fast (similar to 100 ms) activity boosts within the face-processing network, alongside later (similar to 275 ms) effects in multimodal circuits. Third, iEEG recordings from face-processing hubs allowed decoding similar to 80% of items before 200 ms, while classification based on multimodal-network activity only surpassed similar to 70% after 250 ms. Finally, EEG and iEEG connectivity between both networks proved greater in early (0-200 ms) than later (200-400 ms) windows. Collectively, our findings indicate that, at least for some lexico-semantic categories, meaning is construed through fast reenactments of modality-specific experience.</t>
  </si>
  <si>
    <t>García, Adolfo/E-7150-2017; Molina, Miguel/AAB-8582-2020; Birba, Agustina/AFR-3037-2022; Massé, Carmen/L-7906-2019; Mikulan, Ezequiel/JDC-4446-2023; Adolfi, Federico/K-4661-2019; Ibanez, Agustin/H-7976-2015</t>
  </si>
  <si>
    <t>Mikulan, Ezequiel/0000-0001-7259-6120; Birba, Agustina/0000-0001-5998-6634; Petroni, Agustin/0000-0001-7352-6300; Ibanez, Agustin/0000-0001-6758-5101; Martorell Caro, Miguel Angel/0009-0007-6838-5831</t>
  </si>
  <si>
    <t>10.1093/cercor/bhaa178</t>
  </si>
  <si>
    <t>WOS:000582709400031</t>
  </si>
  <si>
    <t>Rezende, LFM; Ahmadi, M; Ferrari, G; Cruz, BD; Lee, IM; Friedenreich, CM; Stamatakis, E</t>
  </si>
  <si>
    <t>Rezende, Leandro F. M.; Ahmadi, Matthew; Ferrari, Gerson; Cruz, Borja del Pozo; Lee, I-Min; Friedenreich, Christine M.; Stamatakis, Emmanuel</t>
  </si>
  <si>
    <t>Joint Associations of Sedentary Time and Intensity-Specific Physical Activity With Cancer Mortality: A Device-Based Cohort Study of 72,458 UK Adults</t>
  </si>
  <si>
    <t>Background: There are no studies examining the prospective joint association of device-based measures of sedentary time and physical activity (PA) with cancer mortality. We examined the joint associations of sedentary time and intensity-specific PA with cancer mortality in 72,458 adults from UK Biobank. Methods: Participants wore an Axivity AX3 accelerometer on their dominant wrist for at least 3 days (with at least 1 weekend day). Cox regression was performed to estimate hazard ratios (HR) and 95% confidence intervals (CIs) for joint associations of sedentary time and intensity-specific PA (light [LPA], moderate [MPA], and vigorous PA [VPA]) with cancer mortality (reference group: high intensity-specific PA and low sedentary time) adjusted for confounders and mutually adjusted for other PA intensities. Results: Associations between sedentary time and cancer mortality were stronger among participants with low PA, irrespective of the intensity. Compared with participants with lower sedentary time (&lt;11 h/d) and high MPA (median of 49 min/d), HR were 1.27 (95% CI, 0.90-1.78) for high sedentary time and high MPA, 1.35 (95% CI, 1.03-1.77) for high sedentary time and medium MPA (49 min/d), and 1.49 (95% CI, 1.15-1.92) for high sedentary time and low MPA (13 min/d). HR for high sedentary time and low light PA (61 min/d) and high sedentary time and low vigorous PA (1 min/d) were 1.25 (95% CI, 1.02-1.59) and 1.57 (95% CI, 1.20-2.06), respectively. Conclusions: Relatively large amounts of LPA and MPA and small amounts of VPA appeared to attenuate the association between sedentary time and cancer mortality.</t>
  </si>
  <si>
    <t>Ahmadi, Matthew/AAJ-4003-2020; Ferrari, Gerson/HHM-6173-2022; Stamatakis, Emmanuel/C-4958-2009; Friedenreich, Christine/LKJ-4397-2024; Lee, I-Min/ABD-5409-2021; del Pozo Cruz, Borja/IAM-4325-2023; Rezende, Leandro/C-1724-2012; Ferrari, Gerson/P-1152-2014</t>
  </si>
  <si>
    <t>Ahmadi, Matthew/0000-0002-3115-338X; Friedenreich, Christine/0000-0002-4783-1966; del Pozo Cruz, Borja/0000-0003-3944-2212; Rezende, Leandro/0000-0002-7469-1399; Ferrari, Gerson/0000-0003-3177-6576</t>
  </si>
  <si>
    <t>2025 JAN 11</t>
  </si>
  <si>
    <t>10.1123/jpah.2024-0436</t>
  </si>
  <si>
    <t>WOS:001397341400001</t>
  </si>
  <si>
    <t>Arredondo, C; Cefaliello, C; Dyrda, A; Jury, N; Martinez, P; Díaz, I; Amaro, A; Tran, H; Morales, D; Pertusa, M; Stoica, L; Fritz, E; Corvalán, D; Abarzúa, S; Méndez-Ruette, M; Fernández, P; Rojas, F; Kumar, MS; Aguilar, R; Almeida, S; Weiss, A; Bustos, FJ; González-Nilo, F; Otero, C; Tevy, MF; Bosco, DA; Sáez, JC; Kähne, T; Gao, FB; Berry, JD; Nicholson, K; Sena-Esteves, M; Madrid, R; Varela, D; Montecino, M; Brown, RH; van Zundert, B</t>
  </si>
  <si>
    <t>Arredondo, Cristian; Cefaliello, Carolina; Dyrda, Agnieszka; Jury, Nur; Martinez, Pablo; Diaz, Ivan; Amaro, Armando; Tran, Helene; Morales, Danna; Pertusa, Maria; Stoica, Lorelei; Fritz, Elsa; Corvalan, Daniela; Abarzua, Sebastian; Mendez-Ruette, Maxs; Fernandez, Paola; Rojas, Fabiola; Kumar, Meenakshi Sundaram; Aguilar, Rodrigo; Almeida, Sandra; Weiss, Alexandra; Bustos, Fernando J.; Gonzalez-Nilo, Fernando; Otero, Carolina; Tevy, Maria Florencia; Bosco, Daryl A.; Saez, Juan C.; Kahne, Thilo; Gao, Fen-Biao; Berry, James D.; Nicholson, Katharine; Sena-Esteves, Miguel; Madrid, Rodolfo; Varela, Diego; Montecino, Martin; Brown, Robert H.; van Zundert, Brigitte</t>
  </si>
  <si>
    <t>Excessive release of inorganic polyphosphate by ALS/FTD astrocytes causes non-cell-autonomous toxicity to motoneurons</t>
  </si>
  <si>
    <t>NEURON</t>
  </si>
  <si>
    <t>Non-cell-autonomous mechanisms contribute to neurodegenerative diseases such as amyotrophic lateral sclerosis (ALS) and frontotemporal dementia (FTD), in which astrocytes release unidentified factors that are toxic to motoneurons (MNs). We report here that mouse and patient iPSC-derived astrocytes with diverse ALS/FTD-linked mutations (SOD1, TARDBP, and C9ORF72) display elevated levels of intracellular inorganic polyphosphate (polyP), a ubiquitous, negatively charged biopolymer. PolyP levels are also increased in astrocyte-conditioned media (ACM) from ALS/FTD astrocytes. ACM-mediated MN death is prevented by degrading or neutralizing polyP in ALS/FTD astrocytes or ACM. Studies further reveal that postmortem familial and sporadic ALS spinal cord sections display enriched polyP staining signals and that ALS cerebrospinal fluid (CSF) exhibits increased polyP concentrations. Our in vitro results establish excessive astrocyte-derived polyP as a critical factor in non-cell-autonomous MN degeneration and a potential therapeutic target for ALS/ FTD. The CSF data indicate that polyP might serve as a new biomarker for ALS/FTD.</t>
  </si>
  <si>
    <t>Tran, Vu Hoang/AAT-9423-2021; Varela, Diego/AAG-7489-2019; Aguilar, Rodrigo/AAG-6178-2019; Madrid, Rodolfo/MCJ-4974-2025; Dyrda, Agnieszka/AAB-9420-2021; Díaz García, Iván/A-9208-2019; Tevy, Florencia/AAF-6583-2019; Martinez, Pablo/B-5861-2014; Kähne, Thilo/E-4858-2012; Bustos, Fernando/JRW-1656-2023; Gonzalez Nilo, Fernando Danilo/M-5671-2016</t>
  </si>
  <si>
    <t>Gonzalez Nilo, Fernando Danilo/0000-0001-6857-3575; Jury-Garfe, Nur/0000-0002-1143-3595; Tevy, Maria Florencia/0000-0002-8915-1328; Amaro, Armando/0009-0001-7996-1730; Pertusa, Maria/0000-0003-3856-9019; Montecino, Martin/0000-0002-6025-0023; Saez, Juan/0000-0003-3811-0347; Corvalan Bustos, Daniela Alejandra/0009-0009-6939-0434; Madrid, Rodolfo/0000-0002-8623-5761; Aguilar, Rodrigo/0000-0003-0410-5478; Varela, Diego/0000-0002-9352-414X; Dyrda, Agnieszka/0000-0001-8796-2402; van Zundert, Brigitte/0000-0002-4129-9972; Martinez Contreras, Pablo/0000-0003-3496-4652</t>
  </si>
  <si>
    <t>0896-6273</t>
  </si>
  <si>
    <t>1097-4199</t>
  </si>
  <si>
    <t>MAY 18</t>
  </si>
  <si>
    <t>10.1016/j.neuron.2022.02.010</t>
  </si>
  <si>
    <t>MAY 2022</t>
  </si>
  <si>
    <t>WOS:000806724800010</t>
  </si>
  <si>
    <t>Sergelius, P; Lee, JH; Fruchart, O; Salem, MS; Allende, S; Escobar, RA; Gooth, J; Zierold, R; Toussaint, JC; Schneider, S; Pohl, D; Rellinghaus, B; Martin, S; Garcia, J; Reith, H; Spende, A; Toimil-Molares, ME; Altbir, D; Cowburn, R; Görlitz, D; Nielsch, K</t>
  </si>
  <si>
    <t>Sergelius, Philip; Lee, Ji Hyun; Fruchart, Olivier; Salem, Mohamed Shaker; Allende, Sebastian; Escobar, Roberto Alejandro; Gooth, Johannes; Zierold, Robert; Toussaint, Jean-Christophe; Schneider, Sebastian; Pohl, Darius; Rellinghaus, Bernd; Martin, Sylvain; Garcia, Javier; Reith, Heiko; Spende, Anne; Toimil-Molares, Maria-Eugenia; Altbir, Dora; Cowburn, Russel; Goerlitz, Detlef; Nielsch, Kornelius</t>
  </si>
  <si>
    <t>Intra-wire coupling in segmented Ni/Cu nanowires deposited by electrodeposition</t>
  </si>
  <si>
    <t>NANOTECHNOLOGY</t>
  </si>
  <si>
    <t>Segmented magnetic nanowires are a promising route for the development of three dimensional data storage techniques. Such devices require a control of the coercive field and the coupling mechanisms between individual magnetic elements. In our study, we investigate electrodeposited nanomagnets within host templates using vibrating sample magnetometry and observe a strong dependence between nanowire length and coercive field (25 nm-5 mu m) and diameter (25-45 nm). A transition from a magnetization reversal through coherent rotation to domain wall propagation is observed at an aspect ratio of approximately 2. Our results are further reinforced via micromagnetic simulations and angle dependent hysteresis loops. The found behavior is exploited to create nanowires consisting of a fixed and a free segment in a spin-valve like structure. The wires are released from the membrane and electrically contacted, displaying a giant magnetoresistance effect that is attributed to individual switching of the coupled nanomagnets. We develop a simple analytical model to describe the observed switching phenomena and to predict stable and unstable regimes in coupled nanomagnets of certain geometries.</t>
  </si>
  <si>
    <t>Nielsch, Kornelius/S-3196-2016; Rellinghaus, Bernd/ABG-3396-2021; Görlitz, Detlef/D-8530-2012; Fruchart, Olivier/N-4829-2018; Reith, Heiko/I-3808-2015; Altbir, Dora/R-6781-2018; Zierold, Robert/M-5361-2018; Garcia Fernandez, Javier/S-4840-2016; Toimil-Molares, Maria Eugenia/C-5946-2015</t>
  </si>
  <si>
    <t>Fruchart, Olivier/0000-0001-7717-5229; Rellinghaus, Bernd/0000-0002-1367-8545; Reith, Heiko/0000-0003-1662-3774; Toussaint, Jean-Christophe/0000-0001-5382-3594; Altbir, Dora/0000-0002-2945-4909; Zierold, Robert/0000-0003-0292-0970; Nielsch, Kornelius/0000-0003-2271-7726; Garcia Fernandez, Javier/0000-0001-7762-600X; Toimil-Molares, Maria Eugenia/0000-0002-3146-3193</t>
  </si>
  <si>
    <t>0957-4484</t>
  </si>
  <si>
    <t>1361-6528</t>
  </si>
  <si>
    <t>FEB 10</t>
  </si>
  <si>
    <t>10.1088/1361-6528/aa5118</t>
  </si>
  <si>
    <t>WOS:000412983200002</t>
  </si>
  <si>
    <t>Rezende, LFM; Ahmadi, M; Ferrari, G; Cruz, BD; Lee, IM; Ekelund, U; Stamatakis, E</t>
  </si>
  <si>
    <t>Rezende, Leandro F. M.; Ahmadi, Matthew; Ferrari, Gerson; Cruz, Borja del Pozo; Lee, I-Min; Ekelund, Ulf; Stamatakis, Emmanuel</t>
  </si>
  <si>
    <t>Device-measured sedentary time and intensity-specific physical activity in relation to all-cause and cardiovascular disease mortality: the UK Biobank cohort study</t>
  </si>
  <si>
    <t>INTERNATIONAL JOURNAL OF BEHAVIORAL NUTRITION AND PHYSICAL ACTIVITY</t>
  </si>
  <si>
    <t>Background and aimsUnderstanding the amounts of intensity-specific movement needed to attenuate the association between sedentary time and mortality may help to inform personalized prescription and behavioral counselling. Herein, we examined the joint associations of sedentary time and intensity-specific physical activity with all-cause and cardiovascular disease (CVD) mortality.MethodsProspective cohort study including 73,729 adults from the UK Biobank who wore an Axivity AX3 accelerometer on their dominant wrist for at least 3 days, being one a weekend day, between June 2013 and December 2015. We considered the median tertile values of sedentary time and physical activity in each intensity band to determine the amount of physical activity needed to attenuate the association between sedentary time and mortality.ResultsDuring a median of 6.9 years of follow-up (628,807 person-years), we documented 1521 deaths, including 388 from CVD. Physical activity of any intensity attenuated the detrimental association of sedentary time with mortality. Overall, at least a median of 6 min/day of vigorous physical activity, 30 min/day of MVPA, 64 min/day of moderate physical activity, or 163 min/day of light physical activity (mutually-adjusted for other intensities) attenuated the association between sedentary time and mortality. High sedentary time was associated with higher risk of CVD mortality only among participants with low MVPA (HR 1.96; 95% CI 1.23 to 3.14).ConclusionsDifferent amounts of each physical activity intensity may attenuate the association between high sedentary time and mortality.</t>
  </si>
  <si>
    <t>del Pozo Cruz, Borja/IAM-4325-2023; Rezende, Leandro/C-1724-2012; Ahmadi, Matthew/AAJ-4003-2020; Stamatakis, Emmanuel/C-4958-2009; Lee, I-Min/ABD-5409-2021; Ekelund, Ulf/AAE-8471-2019; Ferrari, Gerson/HHM-6173-2022</t>
  </si>
  <si>
    <t>1479-5868</t>
  </si>
  <si>
    <t>JUL 3</t>
  </si>
  <si>
    <t>10.1186/s12966-024-01615-5</t>
  </si>
  <si>
    <t>WOS:001261588000003</t>
  </si>
  <si>
    <t>Lee, DH; Rezende, LFM; Ferrari, G; Aune, D; Keum, N; Tabung, FK; Giovannucci, EL</t>
  </si>
  <si>
    <t>Lee, Dong Hoon; Rezende, Leandro F. M.; Ferrari, Gerson; Aune, Dagfinn; Keum, NaNa; Tabung, Fred K.; Giovannucci, Edward L.</t>
  </si>
  <si>
    <t>Physical activity and all-cause and cause-specific mortality: assessing the impact of reverse causation and measurement error in two large prospective cohorts</t>
  </si>
  <si>
    <t>Most cohort studies have only a single physical activity (PA) measure and are thus susceptible to reverse causation and measurement error. Few studies have examined the impact of these potential biases on the association between PA and mortality. A total of 133,819 participants from Nurses' Health Study and Health Professionals Follow-up Study (1986-2014) reported PA through biennial questionnaires. Cox regression was used to estimate hazard ratios (HRs) and 95% confidence intervals (CIs) for PA and mortality using different analytic approaches comparing single (baseline, simple update = most recent) versus repeated (cumulative average) measures of PA and applying various lag times separating PA measurement and time at risk. Over 3.2 million person-years, we documented 47,273 deaths. The pooled multivariable-adjusted HR (95% CI) of all-cause mortality per 10 MET-hour/week was 0.95 (0.94-0.96) for baseline PA, 0.78 (0.77-0.79) for simple updated PA and 0.87 (0.86-0.88) for cumulative average PA in the range of 0-50 MET-hour/week. Simple updated PA showed the strongest inverse association, suggesting larger impact of reverse causation. Application of 2-year lag substantially reduced the apparent reverse causation (0.85 (0.84-0.86) for simple updated PA and 0.90 (0.89-0.91) for cumulative average PA), and 4-12-year lags had minimal additional effects. In the dose-response analysis, baseline or simple updated PA showed a J or U-shaped association with all-cause mortality while cumulative average PA showed an inverse association across a wide range of PA (0-150 MET-hour/week). Similar findings were observed for different specific mortality causes. In conclusion, PA measured at baseline or with short lag time was prone to bias. Cumulative average PA showed robust evidence that PA is inversely associated with mortality in a dose-response manner.</t>
  </si>
  <si>
    <t>Giovannucci, Edward/ADE-8028-2022; Aune, Dagfinn/AFP-4300-2022; Tabung, Fred/AAQ-7823-2021; Ferrari, Gerson/ABG-6635-2021; Rezende, Leandro/C-1724-2012; Ferrari, Gerson/P-1152-2014</t>
  </si>
  <si>
    <t>Rezende, Leandro/0000-0002-7469-1399; Ferrari, Gerson/0000-0003-3177-6576; Aune, Dagfinn/0000-0002-4533-1722; Lee, Dong Hoon/0000-0003-1329-4637</t>
  </si>
  <si>
    <t>10.1007/s10654-020-00707-3</t>
  </si>
  <si>
    <t>WOS:000607017400002</t>
  </si>
  <si>
    <t>Micera, A; Zhukov, AN; López, RA; Boella, E; Tenerani, A; Velli, M; Lapenta, G; Innocenti, ME</t>
  </si>
  <si>
    <t>Micera, A.; Zhukov, A. N.; Lopez, R. A.; Boella, E.; Tenerani, A.; Velli, M.; Lapenta, G.; Innocenti, M. E.</t>
  </si>
  <si>
    <t>On the Role of Solar Wind Expansion as a Source of Whistler Waves: Scattering of Suprathermal Electrons and Heat Flux Regulation in the Inner Heliosphere</t>
  </si>
  <si>
    <t>The role of solar wind expansion in generating whistler waves is investigated using the EB-iPic3D code, which models solar wind expansion self-consistently within a fully kinetic semi-implicit approach. The simulation is initialized with an electron velocity distribution function modeled after observations of the Parker Solar Probe during its first perihelion at 0.166 au, consisting of a dense core and an antisunward strahl. This distribution function is initially stable with respect to kinetic instabilities. Expansion drives the solar wind into successive regimes where whistler heat flux instabilities are triggered. These instabilities produce sunward whistler waves initially characterized by predominantly oblique propagation with respect to the interplanetary magnetic field. The excited waves interact with the electrons via resonant scattering processes. As a consequence, the strahl pitch angle distribution broadens and its drift velocity reduces. The strahl electrons are scattered in the direction perpendicular to the magnetic field, and an electron halo is formed. At a later stage, resonant electron firehose instability is triggered and further affects the electron temperature anisotropy as the solar wind expands. Wave-particle interaction processes are accompanied by a substantial reduction of the solar wind heat flux. The simulated whistler waves are in qualitative agreement with observations in terms of wave frequencies, amplitudes, and propagation angles. Our work proposes an explanation for the observations of oblique and parallel whistler waves in the solar wind. We conclude that solar wind expansion has to be factored in when trying to explain kinetic processes at different heliocentric distances.</t>
  </si>
  <si>
    <t>Micera, Alfredo/HQZ-7963-2023; Tenerani, Anna/F-1059-2016; Boella, Elisabetta/ABD-3303-2021; Lopez, Rodrigo/H-7576-2013; Boella, Elisabetta/K-6607-2015; Lapenta, Giovanni/J-5221-2016</t>
  </si>
  <si>
    <t>Lopez, Rodrigo/0000-0003-3223-1498; Innocenti, Maria Elena/0000-0002-5782-0013; Boella, Elisabetta/0000-0003-1970-6794; Zhukov, Andrei/0000-0002-2542-9810; Lapenta, Giovanni/0000-0002-3123-4024; Micera, Alfredo/0000-0001-9293-174X</t>
  </si>
  <si>
    <t>10.3847/1538-4357/ac1067</t>
  </si>
  <si>
    <t>WOS:000697838800001</t>
  </si>
  <si>
    <t>Liu, JP; Bromwich, D; Chen, DK; Cordero, R; Jung, T; Raphael, M; Turner, J; Yang, QH</t>
  </si>
  <si>
    <t>Liu, Jiping; Bromwich, David; Chen, Dake; Cordero, Raul; Jung, Thomas; Raphael, Marilyn; Turner, John; Yang, Qinghua</t>
  </si>
  <si>
    <t>Preface to the Special Issue on Antarctic Meteorology and Climate: Past, Present and Future</t>
  </si>
  <si>
    <t>ADVANCES IN ATMOSPHERIC SCIENCES</t>
  </si>
  <si>
    <t>Cordero, Raul/M-7979-2017; Junde, Lu/KIE-2936-2024; Bromwich, David/C-9225-2016; Jung, Thomas/J-5239-2012</t>
  </si>
  <si>
    <t>Cordero, Raul R./0000-0001-7607-7993; Jung, Thomas/0000-0002-2651-1293</t>
  </si>
  <si>
    <t>0256-1530</t>
  </si>
  <si>
    <t>1861-9533</t>
  </si>
  <si>
    <t>10.1007/s00376-020-2001-7</t>
  </si>
  <si>
    <t>WOS:000526544900001</t>
  </si>
  <si>
    <t>Ferrante, FJ; Migeot, J; Birba, A; Amoruso, L; Pérez, G; Hesse, E; Tagliazucchi, E; Estienne, C; Serrano, C; Slachevsky, A; Matallana, D; Reyes, P; Ibáñez, A; Fittipaldi, S; Campo, CG; García, AM</t>
  </si>
  <si>
    <t>Ferrante, Franco J.; Migeot, Joaquin; Birba, Agustina; Amoruso, Lucia; Perez, Gonzalo; Hesse, Eugenia; Tagliazucchi, Enzo; Estienne, Claudio; Serrano, Cecilia; Slachevsky, Andrea; Matallana, Diana; Reyes, Pablo; Ibanez, Agustin; Fittipaldi, Sol; Gonzalez Campo, Cecilia; Garcia, Adolfo M.</t>
  </si>
  <si>
    <t>Multivariate word properties in fluency tasks reveal markers of Alzheimer's dementia</t>
  </si>
  <si>
    <t>ALZHEIMERS &amp; DEMENTIA</t>
  </si>
  <si>
    <t>INTRODUCTION: Verbal fluency tasks are common in Alzheimer's disease (AD) assessments. Yet, standard valid response counts fail to reveal disease-specific semanticmemory patterns. Here, we leveraged automatedword-property analysis to capture neurocognitive markers of AD vis-a-vis behavioral variant frontotemporal dementia (bvFTD). METHODS: Patients and healthy controls completed two fluency tasks. We counted valid responses and computed each word's frequency, granularity, neighborhood, length, familiarity, and imageability. These features were used for group-level discrimination, patient-level identification, and correlations with executive and neural (magnetic resonanance imaging [MRI], functionalMRI [fMRI], electroencephalography [EEG]) patterns. RESULTS: Valid responses revealed deficits in both disorders. Conversely, frequency, granularity, and neighborhood yielded robust group- and subject-level discrimination only in AD, also predicting executive outcomes. Disease-specific cortical thickness patterns were predicted by frequency in both disorders. Default-mode and salience network hypoconnectivity, and EEG beta hypoconnectivity, were predicted by frequency and granularity only in AD. DISCUSSION: Word-property analysis of fluency can boost AD characterization and diagnosis.</t>
  </si>
  <si>
    <t>García, Adolfo/E-7150-2017; Birba, Agustina/AFR-3037-2022; Ibanez, Agustin/H-7976-2015; Amoruso, Lucía/V-3127-2017; Tagliazucchi Greiner, Enzo/F-3618-2019; Reyes, Pablo Alexander/N-6695-2017</t>
  </si>
  <si>
    <t>Tagliazucchi Greiner, Enzo/0000-0003-0421-9993; Amoruso, Lucia/0000-0003-4696-2187; Reyes, Pablo Alexander/0000-0001-6705-7157; Ferrante, Franco Javier/0000-0002-9455-2214; Birba, Agustina/0000-0001-5998-6634</t>
  </si>
  <si>
    <t>1552-5260</t>
  </si>
  <si>
    <t>1552-5279</t>
  </si>
  <si>
    <t>10.1002/alz.13472</t>
  </si>
  <si>
    <t>WOS:001082121200001</t>
  </si>
  <si>
    <t>Martin, JS; Leone, G; Riveros-Jensen, K; Alam, MA; Cabrera, R; San Martin, D; Oses, R; Blamey, JM; Demergasso, C; Abrevaya, XC; Guiliani, N; Britt, DT; Liu, Y; Silva, W; Slumba, K; Tovar, D; Leal, MA; Pablo, MAD</t>
  </si>
  <si>
    <t>Martin, Jose San; Leone, Giovanni; Riveros-Jensen, Karl; Alam, Mohammad Ayaz; Cabrera, Ricardo; San Martin, Diego; Oses, Romulo; Blamey, Jenny M.; Demergasso, Cecilia; Abrevaya, Ximena C.; Guiliani, Nicolas; Britt, Daniel T.; Liu, Yang; Silva, Washington; Slumba, Karlis; Tovar, David; Leal, Maria Angelica; Pablo, Miguel Angel de</t>
  </si>
  <si>
    <t>Prospecting the first Chilean Martian simulants from the Atacama Desert for ISRU and potential applications</t>
  </si>
  <si>
    <t>ICARUS</t>
  </si>
  <si>
    <t>Martian simulants are an essential part of in situ resource utilization (ISRU) technology development and testing, and aid in providing new astrobiology insights regarding Mars's past habitability. This study proposes a new method involving average and standard deviation (ASD), complementary to figure of merit (FOM) simulant evaluation methods, for geochemical prospection and evaluation of simulant feedstock using portable XRF (pXRF) and whole-rock (ICP-OES) analyses. It also presents simulant modification calculations (SMC) that integrate multiple approaches used in simulant production and design, and provides theoretical mineral recipes (estimated mineral composition) and their estimated geochemical compositions for FOM evaluation of an intended target composition. These methods were used to prospect simulant material in volcanic-subvolcanic outcrops at the SW edge of the Atacama Desert in Chile, and to evaluate their potential for standard and enhanced simulant development. Through ASD (pXRF data) and FOM (ICP-OES data) evaluation, this resulted in the presentation of the first Chilean basic Martian bedrock simulant that can be used for biomining applications, which is tentatively labeled as Chilean Atacama Desert 1 (CAD-1). An Excel file with the applied prospection method and database is also available for simulant feedstock prospection (Supplementary section). Applying these methods will provide more base materials and components for simulant development and allow flexibility in their design for general and specific applications.</t>
  </si>
  <si>
    <t>Cabrera, Ricardo/H-8132-2014; Riveros, Karl/HHZ-6059-2022; Blamey, Jenny/M-2637-2014; Slumba, Karlis/MIT-4182-2025; Leone, Giovanni/KJM-7160-2024; Alam, Mohammad Ayaz/B-7511-2009; Demergasso, Cecilia/A-7392-2013</t>
  </si>
  <si>
    <t>Alam, Mohammad Ayaz/0000-0002-3189-8744; Slumba, Karlis/0000-0003-2171-8866; Demergasso, Cecilia/0000-0003-4563-3066; San Martin, Diego/0000-0002-4790-2488; Tovar, David/0000-0002-8419-2470; Leone, Giovanni/0000-0003-1479-9039</t>
  </si>
  <si>
    <t>0019-1035</t>
  </si>
  <si>
    <t>1090-2643</t>
  </si>
  <si>
    <t>MAR 15</t>
  </si>
  <si>
    <t>10.1016/j.icarus.2024.116403</t>
  </si>
  <si>
    <t>WOS:001386406200001</t>
  </si>
  <si>
    <t>Förster, F; Cabrera-Vives, G; Castillo-Navarrete, E; Estévez, PA; Sánchez-Sáez, P; Arredondo, J; Bauer, FE; Carrasco-Davis, R; Catelan, M; Elorrieta, F; Eyheramendy, S; Huijse, P; Pignata, G; Reyes, E; Reyes, I; Rodríguez-Mancini, D; Ruz-Mieres, D; Valenzuela, C; Alvarez-Maldonado, I; Astorga, N; Borissova, J; Clocchiatti, A; De Cicco, D; Donoso-Oliva, C; Hernández-García, L; Graham, MJ; Jordán, A; Kurtev, R; Mahabal, A; Maureira, JC; Muñoz-Arancibia, A; Molina-Ferreiro, R; Moya, A; Palma, W; Pérez-Carrasco, M; Protopapas, P; Romero, M; Sabatini-Gacitua, L; Sánchez, A; San Martín, J; Sepúlveda-Cobo, C; Vera, E; Vergara, JR</t>
  </si>
  <si>
    <t>Forster, F.; Cabrera-Vives, G.; Castillo-Navarrete, E.; Estevez, P. A.; Sanchez-Saez, P.; Arredondo, J.; Bauer, F. E.; Carrasco-Davis, R.; Catelan, M.; Elorrieta, F.; Eyheramendy, S.; Huijse, P.; Pignata, G.; Reyes, E.; Reyes, I.; Rodriguez-Mancini, D.; Ruz-Mieres, D.; Valenzuela, C.; Alvarez-Maldonado, I.; Astorga, N.; Borissova, J.; Clocchiatti, A.; De Cicco, D.; Donoso-Oliva, C.; Hernandez-Garcia, L.; Graham, M. J.; Jordan, A.; Kurtev, R.; Mahabal, A.; Maureira, J. C.; Munoz-Arancibia, A.; Molina-Ferreiro, R.; Moya, A.; Palma, W.; Perez-Carrasco, M.; Protopapas, P.; Romero, M.; Sabatini-Gacitua, L.; Sanchez, A.; San Martin, J.; Sepulveda-Cobo, C.; Vera, E.; Vergara, J. R.</t>
  </si>
  <si>
    <t>The Automatic Learning for the Rapid Classification of Events (ALeRCE) Alert Broker</t>
  </si>
  <si>
    <t>We introduce the Automatic Learning for the Rapid Classification of Events (ALeRCE) broker, an astronomical alert broker designed to provide a rapid and self-consistent classification of large etendue telescope alert streams, such as that provided by the Zwicky Transient Facility (ZTF) and, in the future, the Vera C. Rubin Observatory Legacy Survey of Space and Time (LSST). ALeRCE is a Chilean-led broker run by an interdisciplinary team of astronomers and engineers working to become intermediaries between survey and follow-up facilities. ALeRCE uses a pipeline that includes the real-time ingestion, aggregation, cross-matching, machine-learning (ML) classification, and visualization of the ZTF alert stream. We use two classifiers: a stamp-based classifier, designed for rapid classification, and a light curve-based classifier, which uses the multiband flux evolution to achieve a more refined classification. We describe in detail our pipeline, data products, tools, and services, which are made public for the community (see ). Since we began operating our real-time ML classification of the ZTF alert stream in early 2019, we have grown a large community of active users around the globe. We describe our results to date, including the real-time processing of 1.5 x 10(8) alerts, the stamp classification of 3.4 x 10(7) objects, the light-curve classification of 1.1 x 10(6) objects, the report of 6162 supernova candidates, and different experiments using LSST-like alert streams. Finally, we discuss the challenges ahead in going from a single stream of alerts such as ZTF to a multistream ecosystem dominated by LSST.</t>
  </si>
  <si>
    <t>, Alejandro/KHW-2251-2024; Cabrera-Vives, Guillermo/AHA-0641-2022; SANCHEZ, ALEXIS/KFA-5909-2024; Vergara, Jorge/AAU-9466-2020; Reyes, Ignacio/HGD-1684-2022; Borissova, Johanna N./KBQ-9809-2024; Saez, Paula/AAX-2872-2020; Forster, Francisco/AAH-6014-2021; Catelan, Márcio/JDV-7579-2023; Bauer, Franz Erik/AEU-0656-2022; Elorrieta, Felipe/AAX-2057-2020; Estevez, Pablo/A-9377-2008; Huijse, Pablo/J-4700-2015</t>
  </si>
  <si>
    <t>Valenzuela Carrasco, Camilo/0000-0001-5306-1390; Elorrieta, Felipe/0000-0002-1835-7433; Moya Loustaunau, Alberto/0000-0002-7003-5087; Sanchez-Saez, Paula/0000-0003-0820-4692; Clocchiatti, Alejandro/0000-0003-3068-4258; Pignata, Giuliano/0000-0003-0006-0188; Estevez, Pablo/0000-0001-9164-4722; Huijse, Pablo/0000-0003-3541-1697; Bauer, Franz Erik/0000-0002-8686-8737; Vergara, Jorge R./0000-0001-6699-4181; Kurtev, Radostin/0000-0002-9740-9974; Borissova, Jura/0000-0002-5936-7718; Hernandez-Garcia, Lorena/0000-0002-8606-6961; Eyheramendy, Susana/0000-0003-4723-9660; Forster, Francisco/0000-0003-3459-2270; Catelan, Marcio/0000-0001-6003-8877; , Wilfredo/0000-0002-7814-2653; Cabrera-Vives, Guillermo/0000-0002-2720-7218; Arredondo, Javier/0000-0002-2045-7134</t>
  </si>
  <si>
    <t>10.3847/1538-3881/abe9bc</t>
  </si>
  <si>
    <t>WOS:000645164000001</t>
  </si>
  <si>
    <t>Beasley, R; Keil, U; von Mutius, E; Pearce, N; Aït-Khaled, N; Anabwani, G; Anderson, HR; Asher, MI; Björkstéin, B; Burr, ML; Clayton, TO; Crane, J; Ellwood, P; Lai, CKW; Mallol, J; Martinez, FD; Mitchell, EA; Montefort, S; Robertson, CF; Shah, JR; Sibbald, B; Stewart, AW; Strachan, DP; Weiland, SK; Williams, HC</t>
  </si>
  <si>
    <t>Int Study Asthma Allergies Childhood</t>
  </si>
  <si>
    <t>Worldwide variation in prevalence of symptoms of asthma, allergic rhinoconjunctivitis, and atopic eczema:: ISAAC</t>
  </si>
  <si>
    <t>LANCET</t>
  </si>
  <si>
    <t>Background Systematic international comparisons of the prevalences of asthma and other allergic disorders in children are needed for better understanding of their global epidemiology, to generate new hypotheses, and to assess existing hypotheses of possible causes. We investigated worldwide prevalence of asthma, allergic rhinoconjunctivitis, and atopic eczema. Methods We studied 463 801 children aged 13-14 years in 155 collaborating centres in 56 countries. Children self-reported, through one-page questionnaires, symptoms of these three atopic disorders. In 99 centres in 42 countries, a video asthma questionnaire was also used for 304 796 children. Findings We found differences of between 20-fold and 60-fold between centres in the prevalence of symptoms of asthma, allergic rhinoconjunctivitis, and atopic eczema, with four-fold to 12-fold variations between the 10th and 90th percentiles for the different disorders. For asthma symptoms, the highest 12-month prevalences were from centres in the UK, Australia, New Zealand, and Republic of Ireland, followed by most centres in North, Central, and South America; the lowest prevalences were from centres in several Eastern European countries, Indonesia, Greece, China, Taiwan, Uzbekistan, India, and Ethiopia. For allergic rhinoconjunctivitis, the centres with the highest prevalences were scattered across the world. The centres with the lowest prevalences were similar to those for asthma symptoms. For atopic eczema, the highest prevalences came from scattered centres, including some from Scandinavia and Africa that were not among centres with the highest asthma prevalences; the lowest prevalence rates of atopic eczema were similar in centres, as for asthma symptoms. Interpretation The variation in the prevalences of asthma, allergic rhinoconjunctivitis, and atopic-eczema symptoms is striking between different centres throughout the world. These findings will form the basis of further studies to investigate factors that potentially lead to these international patterns.</t>
  </si>
  <si>
    <t>Galán, Fernando/I-2000-2017; Clayton, Tadd/B-7914-2009; Asher, Innes/O-2604-2016; Beasley, Richard/AAH-3908-2019; Ellwood, Philippa/G-7555-2015</t>
  </si>
  <si>
    <t>Pearce, Neil/0000-0002-9938-7852; Amarales, Lidia/0009-0007-0832-7867; Beasley, Richard/0000-0003-0337-406X; Ellwood, Philippa/0000-0002-1994-4023</t>
  </si>
  <si>
    <t>0140-6736</t>
  </si>
  <si>
    <t>APR 25</t>
  </si>
  <si>
    <t>10.1016/S0140-6736(97)07302-9</t>
  </si>
  <si>
    <t>WOS:000073283600007</t>
  </si>
  <si>
    <t>Blanco, AI; Marino, S; Matrà, L; Booth, M; Carpenter, J; Faramaz, V; Henning, T; Hughes, AM; Kennedy, GM; Pérez, S; Ricci, L; Wyatt, MC</t>
  </si>
  <si>
    <t>Blanco, Amaia Imaz; Marino, Sebastian; Matra, Luca; Booth, Mark; Carpenter, John; Faramaz, Virginie; Henning, Thomas; Hughes, A. Meredith; Kennedy, Grant M.; Perez, Sebastian; Ricci, Luca; Wyatt, Mark C.</t>
  </si>
  <si>
    <t>Inner edges of planetesimal belts: collisionally eroded or truncated?</t>
  </si>
  <si>
    <t>The radial structure of debris discs can encode important information about their dynamical and collisional history. In this paper, we present a three-phase analytical model to analyse the collisional evolution of solids in debris discs, focusing on their joint radial and temporal dependence. Consistent with previous models, we find that as the largest planetesimals reach collisional equilibrium in the inner regions, the surface density of dust and solids becomes proportional to similar to r(2) within a certain critical radius. We present simple equations to estimate the critical radius and surface density of dust as a function of the maximum planetesimal size and initial surface density in solids (and vice versa). We apply this model to Atacama Large Millimeter/submillimeter Array observations of seven wide debris discs. We use both parametric and non-parametric modelling to test if their inner edges are shallow and consistent with collisional evolution. We find that four out of seven have inner edges consistent with collisional evolution. Three of these would require small maximum planetesimal sizes below 10 km, with HR 8799's disc potentially lacking solids larger than a few centimetres. The remaining systems have inner edges that are much sharper, which requires maximum planetesimal sizes greater than or similar to 10 km. Their sharp inner edges suggest they could have been truncated by planets, which JWST could detect. In the context of our model, we find that the seven discs require surface densities below a Minimum Mass Solar Nebula, avoiding the so-called disc mass problem. Finally, during the modelling of HD 107146 we discover that its wide gap is split into two narrower ones, which could be due to two low-mass planets formed within the disc.</t>
  </si>
  <si>
    <t>Henning, Thomas/O-4372-2018; Pérez, Sebastián/AAS-5857-2020; Marino, Sebastian/AFP-2400-2022</t>
  </si>
  <si>
    <t>Kennedy, Grant/0000-0001-6831-7547; Marino, Sebastian/0000-0002-5352-2924; Faramaz, Virginie/0000-0001-6403-841X; Matra, Luca/0000-0003-4705-3188; Hughes, A. Meredith/0000-0002-4803-6200; Booth, Mark/0000-0001-8568-6336; Perez, Sebastian/0000-0003-2953-755X</t>
  </si>
  <si>
    <t>MAY 11</t>
  </si>
  <si>
    <t>10.1093/mnras/stad1221</t>
  </si>
  <si>
    <t>MAY 2023</t>
  </si>
  <si>
    <t>WOS:000994685100031</t>
  </si>
  <si>
    <t>Williams, H; Robertson, C; Stewart, A; Aït-Khaled, N; Anabwani, G; Anderson, R; Asher, I; Beasley, R; Björksten, B; Burr, M; Clayton, T; Crane, J; Ellwood, P; Keil, U; Lai, C; Mallol, J; Martinez, F; Mitchell, E; Montefort, S; Pearce, N; Shah, J; Sibbald, B; Strachan, D; von Mutius, E; Weiland, SK</t>
  </si>
  <si>
    <t>Worldwide variations in the prevalence of symptoms of atopic eczema in the international study of asthma and allergies in childhood</t>
  </si>
  <si>
    <t>JOURNAL OF ALLERGY AND CLINICAL IMMUNOLOGY</t>
  </si>
  <si>
    <t>Background: Little is known about the prevalence of atopic eczema outside Northern Europe. Objectives: We sought to describe the magnitude and variation in the prevalence of atopic eczema symptoms throughout the world. Methods: A cross-sectional questionnaire survey was conducted on random samples of schoolchildren aged 6 to 7 years and 13 to 14 years from centers in 56 countries throughout the world. Those children with a positive response to being questioned about the presence of an itchy relapsing skin rash in the last 12 months that had affected their skin creases mere considered to have atopic eczema. Children whose atopic eczema symptoms resulted in sleep disturbance for 1 or more nights per week were considered to have severe atopic eczema. Results: Complete data was available for 256,410 children aged 6 to 7 years in 90 centers and 458,623 children aged 13 to 14 gears in 153 centers. The prevalence range for symptoms of atopic eczema was from less than 2% in Iran to over 16% in Japan and Sweden in the 6 to 7 year age range and less than 1% in Albania to over 17% in Nigeria for the 13 to 14 year age range. Higher prevalences of atopic eczema symptoms were reported in Australasia and Northern Europe, and lower prevalences were reported in Eastern and Central Europe and Asia. Similar patterns were seen for symptoms of severe atopic eczema. Conclusions: Atopic eczema is a common health problem for children and adolescents throughout the world. Symptoms of atopic eczema exhibit wide variations in prevalence both within and between countries inhabited by similar ethnic groups, suggesting that environmental factors may be critical in determining disease expression. Studies that include objective skin examinations are required to confirm these findings.</t>
  </si>
  <si>
    <t>Mitchell, Edward/B-7259-2013; Anderson, Hugh/A-7417-2016; Asher, Innes/O-2604-2016; Clayton, Tadd/B-7914-2009; FRACP, Tissa/I-2086-2019; Beasley, Richard/AAH-3908-2019; Anabwani, Gabriel/I-2371-2016; Ellwood, Philippa/G-7555-2015</t>
  </si>
  <si>
    <t>Anabwani, Gabriel/0000-0002-8555-4373; Beasley, Richard/0000-0003-0337-406X; Ellwood, Philippa/0000-0002-1994-4023; Mallol, Javier/0000-0003-2528-8672; Pearce, Neil/0000-0002-9938-7852; williams, hywel/0000-0002-5646-3093; Amarales, Lidia/0009-0007-0832-7867</t>
  </si>
  <si>
    <t>0091-6749</t>
  </si>
  <si>
    <t>1097-6825</t>
  </si>
  <si>
    <t>10.1016/S0091-6749(99)70536-1</t>
  </si>
  <si>
    <t>WOS:000078112300020</t>
  </si>
  <si>
    <t>Ouyang, ZT; Sciusco, P; Jiao, T; Feron, S; Lei, C; Li, F; John, R; Fan, PL; Li, X; Williams, CA; Chen, GZ; Wang, CH; Chen, JQ</t>
  </si>
  <si>
    <t>Ouyang, Zutao; Sciusco, Pietro; Jiao, Tong; Feron, Sarah; Lei, Cheyenne; Li, Fei; John, Ranjeet; Fan, Peilei; Li, Xia; Williams, Christopher A.; Chen, Guangzhao; Wang, Chenghao; Chen, Jiquan</t>
  </si>
  <si>
    <t>Albedo changes caused by future urbanization contribute to global warming</t>
  </si>
  <si>
    <t>The replacement of natural lands with urban structures has multiple environmental consequences, yet little is known about the magnitude and extent of albedo-induced warming contributions from urbanization at the global scale in the past and future. Here, we apply an empirical approach to quantify the climate effects of past urbanization and future urbanization projected under different shared socioeconomic pathways (SSPs). We find an albedo-induced warming effect of urbanization for both the past and the projected futures under three illustrative scenarios. The albedo decease from urbanization in 2018 relative to 2001 has yielded a 100-year average annual global warming of 0.00014 [0.00008, 0.00021] degrees C. Without proper mitigation, future urbanization in 2050 relative to 2018 and that in 2100 relative to 2018 under the intermediate emission scenario (SSP2-4.5) would yield a 100-year average warming effect of 0.00107 [0.00057,0.00179] degrees C and 0.00152 [0.00078,0.00259] degrees C, respectively, through altering the Earth's albedo. Albedo changes caused by projected future urban land expansion will contribute to global warming without proper mitigation. This warming effect will be larger under higher emission scenarios than under lower emission scenarios.</t>
  </si>
  <si>
    <t>Fan, Peilei/ADY-3708-2022; Wiliams, Christopher/P-4904-2015; Chen, Jiquan/D-1955-2009; Yang, Zutao/LSL-2505-2024; Wang, Chenghao/O-7961-2017; John, Ranjeet/Z-1070-2019; LI, XIA/A-1235-2013; Chen, Guangzhao/AGG-1130-2022</t>
  </si>
  <si>
    <t>Wang, Chenghao/0000-0001-8846-4130; Yang, Zutao/0000-0002-6919-569X; John, Ranjeet/0000-0002-0150-8450; Feron, Sarah/0000-0002-0572-5639; Fan, Peilei/0000-0003-4448-4281; Lei, Cheyenne/0000-0002-7274-6309; Sciusco, Pietro/0000-0001-7640-4472; LI, XIA/0000-0003-3050-8529; Williams, Christopher A./0000-0002-5047-0639; Chen, Guangzhao/0000-0001-7537-2288</t>
  </si>
  <si>
    <t>JUL 1</t>
  </si>
  <si>
    <t>10.1038/s41467-022-31558-z</t>
  </si>
  <si>
    <t>WOS:000819790100027</t>
  </si>
  <si>
    <t>Sánchez-López, M; García-Hermoso, A; Ortega, FB; Moliner-Urdiales, D; Labayen, I; Castro-Piñero, J; Benito, PJ; Vicente-Rodríguez, G; Sanchis-Moysi, J; Cantallops, J; Artero, EG; Martínez-Vizcaíno, V</t>
  </si>
  <si>
    <t>Sanchez-Lopez, Mairena; Garcia-Hermoso, Antonio; Ortega, Francisco B.; Moliner-Urdiales, Diego; Labayen, Idoia; Castro-Pinero, Jose; Benito, Pedro J.; Vicente-Rodriguez, German; Sanchis-Moysi, Joaquin; Cantallops, Jaume; Artero, Enrique G.; Martinez-Vizcaino, Vicente</t>
  </si>
  <si>
    <t>Validity and reliability of the International fItness scale (IFIS) in preschool children</t>
  </si>
  <si>
    <t>EUROPEAN JOURNAL OF SPORT SCIENCE</t>
  </si>
  <si>
    <t>Objectives Examine the validity and reliability of parent-reported International FItness Scale (IFIS) in preschoolers. Method A cross-sectional study of 3051 Spanish preschoolers (3-5 years). Fitness was measured by PREFIT battery and reported by parents using an adapted version of the IFIS. Waist circumference was evaluated, and the waist-to-height ratio (WHtR) was calculated. Seventy-six parents of randomly selected schoolchildren completed the IFIS twice for a reliability assessment. Results ANCOVA, adjusted for sex, age and WHtR, showed that preschoolers who were scored by their parents as having average-to-very good fitness had better levels of measured physical fitness than those preschoolers who were classified as having very poor/poor fitness levels (18.1laps to 22.1laps vs 15.6laps for cardiorespiratory fitness; 6.6 kg to 7.5 kg vs 5.3 kg for muscular fitness-handgrip-; 71.7 cm to 76.4 cm vs 62.0 cm for muscular fitness-standing long jump-; 17.2s to 16.2s vs 18.2s for speed/agility; and 11.2s to 15.6s vs 8.7s for balance; p &lt; 0.001). The weighted kappa for concordance between parent-reported fitness levels and objective assessment was poor (kappa &lt;= 0.18 for all fitness measures). Overall, the mean values of the abdominal adiposity indicators were significantly lower in high-level fitness categories reported by parents than in low-level fitness categories (p &lt; 0.05). The test-retest reliability ranged from 0.46 to 0.62. Conclusions The reliability of the parent-reported IFIS are acceptable, but the concordance between parents reported and objectively measures fitness levels is poor, suggesting that parents' responses may not be able to correctly classify preschoolers according to their fitness level.</t>
  </si>
  <si>
    <t>Moliner-Urdiales, Diego/H-8689-2013; Artero, Enrique/AAA-7876-2019; LABAYEN, IDOIA/C-7661-2009; VIZCAINO, VICENTE/AAZ-9034-2021; García-Hermoso, Antonio/ADU-2591-2022; SANCHEZ-LOPEZ, MAIRENA/J-7933-2016; Garcia-Hermoso, Antonio/P-1857-2017; Benito, Pedro J/G-1653-2015; Ortega, Francisco B/B-4002-2010; SANCHIS-MOYSI, JOAQUIN/H-7017-2015; Vicente Rodriguez, German/J-9846-2016; Castro-Pinero, Jose/H-5857-2015; Artero, Enrique G./L-8628-2014</t>
  </si>
  <si>
    <t>Sanchez Lopez, Mairena/0000-0002-0217-0623; Garcia-Hermoso, Antonio/0000-0002-1397-7182; Moliner-Urdiales, Diego/0000-0001-9868-3396; Benito, Pedro J/0000-0002-1631-8182; Ortega, Francisco B/0000-0003-2001-1121; SANCHIS-MOYSI, JOAQUIN/0000-0001-6602-7087; Vicente Rodriguez, German/0000-0002-4303-4097; Castro-Pinero, Jose/0000-0002-7353-0382; Artero, Enrique G./0000-0002-2618-6128</t>
  </si>
  <si>
    <t>1746-1391</t>
  </si>
  <si>
    <t>1536-7290</t>
  </si>
  <si>
    <t>MAY 4</t>
  </si>
  <si>
    <t>10.1080/17461391.2022.2049884</t>
  </si>
  <si>
    <t>APR 2022</t>
  </si>
  <si>
    <t>WOS:000789830500001</t>
  </si>
  <si>
    <t>Li, AQ; Khatib, R; Lopes, LC; Aloweni, F; Lu, LM; He, QY; Wu, JM; Zhang, PM; Tang, YY; Pavalagantharajah, S; Sekercioglu, N; Garcia, CAC; Koujanian, S; Agarwal, A; Kennedy, SA; Neumann, I; Schulman, S; Wiercioch, W; Rada, G; Peseski, AM; Ortel, TL; Zhang, YQ</t>
  </si>
  <si>
    <t>Li, Anqi; Khatib, Rasha; Lopes, Luciane Cruz; Aloweni, Fazila; Lu, Liming; He, Qingyong; Wu, Jiaming; Zhang, Peiming; Tang, Yuyuan; Pavalagantharajah, Sureka; Sekercioglu, Nigar; Garcia, Carlos A. Cuello; Koujanian, Serge; Agarwal, Arnav; Kennedy, Sean Alexander; Neumann, Ignacio; Schulman, Sam; Wiercioch, Wojtek; Rada, Gabriel; Peseski, Andrew M.; Ortel, Thomas L.; Zhang, Yu-Qing</t>
  </si>
  <si>
    <t>Duration of primary/secondary treatment to prevent recurrent venous thromboembolism: a systematic review and meta-analysis</t>
  </si>
  <si>
    <t>BLOOD ADVANCES</t>
  </si>
  <si>
    <t>Antithrombotic therapy can prevent recurrent deep vein thrombosis (DVT) and pulmonary embolism (PE). It is, however, associated with an increased risk for major bleeding. This meta-analysis systematically reviewed the evidence regarding the duration of antithrombotic therapy to assess benefits and harms. We systematically searched for randomized controlled trials (RCTs) that compared shorter (3-6 months) with longer (&gt;6 months) courses of anticoagulation for the primary treatment of venous thromboembolism (VTE) or that compared discontinued with indefinite antithrombotic therapy for the secondary prevention of VTE. Pairs of reviewers screened the eligible trials and collected data. This study included 22 RCTs (11 617 participants). Pooled estimates showed that, for the primary treatment of unprovoked VTE, VTE provoked by chronic risk factors or transient risk factors, treating patients with a longer course (&gt;6 months) of anticoagulation, as opposed to a shorter course (3-6 months), probably reduced recurrent PE (risk ratio [RR], 0.66; 95% confidence interval [CI], 0.42-1.02) and DVT (RR, 0.85; 95% CI, 0.63-1.14), but it was associated with increased mortality (RR, 1.43; 95% CI, 0.85-2.41) (moderate certainty) and a higher risk for major bleeding (RR, 2.02; 95% CI, 1.02-3.98; high certainty). For the secondary prevention of unprovoked VTE and VTE provoked by chronic risk factors, when compared with discontinuing treatment, indefinite anticoagulation therapy was associated with decreased mortality (RR, 0.54; 95% CI, 0.36-0.81), a reduction in recurrent PE (RR, 0.25; 95% CI, 0.16-0.41) and DVT (RR, 0.15; 95% CI, 0.10-0.21), and an increase in the risk for bleeding (RR, 1.98; 95% CI, 1.18-3.30), all supported by high certainty. Indefinite antiplatelet therapy may be associated with decreased mortality (RR, 0.95; 95% CI: 0.53-1.68; low certainty), probably a reduction in recurrent PE (RR, 0.65; 95% CI, 0.41-1.03) and DVT (RR, 0.44; 95% CI, 0.17-1.13) (moderate certainty), and may increase the risk for bleeding (RR, 1.28; 95% CI, 0.48-3.41; low certainty). In summary, for the primary treatment of all types of VTE, shorter (3-6 months) duration of anticoagulation is more beneficial. For the secondary prevention of unprovoked VTE or VTE provoked by chronic risk factors, indefinite antithrombotic treatment is more beneficial.</t>
  </si>
  <si>
    <t>Khatib, Rasha/GXV-8883-2022; Wiercioch, Wojtek/AAQ-8087-2020; SEKERCIOGLU, Nigar/AFR-0250-2022; Neumann, Ignacio/ABB-5013-2020; Lopes, Luciane/H-3159-2019; Zhang, Peiming/AAC-9592-2022</t>
  </si>
  <si>
    <t>2473-9529</t>
  </si>
  <si>
    <t>2473-9537</t>
  </si>
  <si>
    <t>APR 8</t>
  </si>
  <si>
    <t>10.1182/bloodadvances.2024015371</t>
  </si>
  <si>
    <t>APR 2025</t>
  </si>
  <si>
    <t>WOS:001466154700001</t>
  </si>
  <si>
    <t>Chian, A; Miranda, R; Bertucci, C; Blanco-Cano, X; Borovsky, J; Dasso, S; Echer, E; Franco, A; Girgis, KM; González-Esparza, JA; Hada, T; Hasegawa, H; Hsieh, SY; Kajdic, P; Mazelle, C; Rempel, E; Rojas-Castillo, D; Sánchez-Cano, B; Sibeck, D; Stepanova, M; Valdés-Galicia, J; Valdivia, J</t>
  </si>
  <si>
    <t>Chian, Abraham; Miranda, Rodrigo; Bertucci, Cesar; Blanco-Cano, Xochitl; Borovsky, Joe; Dasso, Sergio; Echer, Ezequiel; Franco, Adriane; Girgis, Kirolosse M.; Gonzalez-Esparza, J. Americo; Hada, Tohru; Hasegawa, Hiroshi; Hsieh, Syau-Yun; Kajdic, Primoz; Mazelle, Christian; Rempel, Erico; Rojas-Castillo, Diana; Sanchez-Cano, Beatriz; Sibeck, David; Stepanova, Marina; Valdes-Galicia, Jose; Valdivia, Juan</t>
  </si>
  <si>
    <t>Terrestrial and Martian space weather: A complex systems approach</t>
  </si>
  <si>
    <t>JOURNAL OF ATMOSPHERIC AND SOLAR-TERRESTRIAL PHYSICS</t>
  </si>
  <si>
    <t>A comparative overview of Terrestrial and Martian space weather is presented, with emphasis on applying the tools of complexity and nonlinear dynamics to study the spatiotemporal dynamics and structures of sun- Earth and sun-Mars space environment. The following topics are reviewed: (1) complex systems approach to solar atmosphere and solar wind; (2) complex systems approach to planetary bow shock and magnetosphere- ionosphere; (3) Martian space weather, bow shock, and magnetosphere-ionosphere; (4) imaging planetary magnetosphere-ionosphere.</t>
  </si>
  <si>
    <t>Valdivia, Juan/A-3631-2008; Hasegawa, Hiroshi/A-1192-2007; Sibeck, David/D-4424-2012; Stepanova, Marina/D-6329-2011; Bertucci, Cesar/GOG-8941-2022; Dasso, Sergio/AAY-2543-2020; Gonzalez-Esparza, J. Americo/U-6787-2017; Girgis, Kirolosse/HPH-2472-2023</t>
  </si>
  <si>
    <t>Gonzalez-Esparza, J. Americo/0000-0003-4774-1829; Valdivia, Juan Alejandro/0000-0003-3381-9904; Girgis, Kirolosse/0000-0001-5729-9822</t>
  </si>
  <si>
    <t>1364-6826</t>
  </si>
  <si>
    <t>1879-1824</t>
  </si>
  <si>
    <t>10.1016/j.jastp.2024.106253</t>
  </si>
  <si>
    <t>MAY 2024</t>
  </si>
  <si>
    <t>WOS:001245223300001</t>
  </si>
  <si>
    <t>O'Donovan, G; Petermann-Rocha, F; Ferrari, G; Lee, IM; Hamer, M; Stamatakis, E; Sarmiento, OL; Ibáñez, A; Lopez-Jaramillo, P</t>
  </si>
  <si>
    <t>O'Donovan, Gary; Petermann-Rocha, Fanny; Ferrari, Gerson; Lee, I-Min; Hamer, Mark; Stamatakis, Emmanuel; Sarmiento, Olga L.; Ibanez, Agustin; Lopez-Jaramillo, Patricio</t>
  </si>
  <si>
    <t>Associations of the 'weekend warrior' physical activity pattern with all-cause, cardiovascular disease and cancer mortality: the Mexico City Prospective Study</t>
  </si>
  <si>
    <t>Objectives The objective was to investigate the benefits of the 'weekend warrior' physical activity pattern in Latin America, where many people take part in high levels of non-exercise physical activity.Methods Participants in the Mexico City Prospective Study were surveyed from 1998 to 2004 and resurveyed from 2015 to 2019. Those who exercised up to once or twice per week were termed weekend warriors. Those who exercised more often were termed regularly active. Analyses were adjusted for potential confounders.Results The main analysis included 26 006 deaths in 154 882 adults (67% female) aged 52 +/- 13 years followed for 18 +/- 4 years (mean +/- SD). Compared with those who reported no exercise, the HR (95% CI) was 0.88 (0.83 to 0.93) in the weekend warriors and 0.88 (0.84 to 0.91) in the regularly active. Similar results were observed for cardiovascular disease and cancer mortality, but associations were weaker. Stratified analyses showed that substantial reductions in all-cause mortality risk only occurred when the duration of exercise sessions was at least 30-60 min. The repeated-measures analysis included 843 deaths in 10 023 adults followed for 20 +/- 2 years. Compared with being inactive or becoming inactive, the HR was 0.86 (95% CI 0.65 to 1.12) when being a weekend warrior or becoming a weekend warrior and 0.85 (95% CI 0.70 to 1.03) when being regularly active or becoming regularly active.Conclusions This is the first prospective study to investigate the benefits of the weekend warrior physical activity pattern in Latin America. The results suggest that even busy adults could benefit from taking part in one or two sessions of exercise per week.</t>
  </si>
  <si>
    <t>Sarmiento, Olga/AAS-4165-2020; Lee, I-Min/ABD-5409-2021; Ferrari, Gerson/HHM-6173-2022; Petermann-Rocha, Fanny/AAK-1230-2021; Hamer, Mark/C-1602-2008; Stamatakis, Emmanuel/C-4958-2009; Ibanez, Agustin/H-7976-2015; Ferrari, Gerson/P-1152-2014</t>
  </si>
  <si>
    <t>Petermann Rocha, Fanny/0000-0002-4384-4962; Ibanez, Agustin/0000-0001-6758-5101; Ferrari, Gerson/0000-0003-3177-6576; O'Donovan, Gary/0000-0001-6748-6218</t>
  </si>
  <si>
    <t>10.1136/bjsports-2023-107612</t>
  </si>
  <si>
    <t>FEB 2024</t>
  </si>
  <si>
    <t>WOS:001156540900001</t>
  </si>
  <si>
    <t>Legaz, A; Abrevaya, S; Dottori, M; Campo, CG; Birba, A; Caro, MM; Aguirre, J; Slachevsky, A; Aranguiz, R; Serrano, C; Gillan, CM; Leroi, I; García, AM; Fittipaldi, S; Ibañez, A</t>
  </si>
  <si>
    <t>Legaz, Agustina; Abrevaya, Sofia; Dottori, Martin; Gonzalez Campo, Cecilia; Birba, Agustina; Martorell Caro, Miguel; Aguirre, Julieta; Slachevsky, Andrea; Aranguiz, Rafael; Serrano, Cecilia; Gillan, Claire M.; Leroi, Iracema; Garcia, Adolfo M.; Fittipaldi, Sol; Ibanez, Agustin</t>
  </si>
  <si>
    <t>Multimodal mechanisms of human socially reinforced learning across neurodegenerative diseases</t>
  </si>
  <si>
    <t>BRAIN</t>
  </si>
  <si>
    <t>Social feedback can selectively enhance learning in diverse domains. Relevant neurocognitive mechanisms have been studied mainly in healthy persons, yielding correlational findings. Neurodegenerative lesion models, coupled with multimodal brain measures, can complement standard approaches by revealing direct multidimensional correlates of the phenomenon. To this end, we assessed socially reinforced and non-socially reinforced learning in 40 healthy participants as well as persons with behavioural variant frontotemporal dementia (n = 21), Parkinson's disease (n = 31) and Alzheimer's disease (n = 20). These conditions are typified by predominant deficits in social cognition, feedback-based learning and associative learning, respectively, although all three domains may be partly compromised in the other conditions. We combined a validated behavioural task with ongoing EEG signatures of implicit learning (medial frontal negativity) and offline MRI measures (voxel-based morphometry). In healthy participants, learning was facilitated by social feedback relative to non-social feedback. In comparison with controls, this effect was specifically impaired in behavioural variant frontotemporal dementia and Parkinson's disease, while unspecific learning deficits (across social and non-social conditions) were observed in Alzheimer's disease. EEG results showed increased medial frontal negativity in healthy controls during social feedback and learning. Such a modulation was selectively disrupted in behavioural variant frontotemporal dementia. Neuroanatomical results revealed extended temporo-parietal and fronto-limbic correlates of socially reinforced learning, with specific temporo-parietal associations in behavioural variant frontotemporal dementia and predominantly fronto-limbic regions in Alzheimer's disease. In contrast, non-socially reinforced learning was consistently linked to medial temporal/hippocampal regions. No associations with cortical volume were found in Parkinson's disease. Results are consistent with core social deficits in behavioural variant frontotemporal dementia, subtle disruptions in ongoing feedback-mechanisms and social processes in Parkinson's disease and generalized learning alterations in Alzheimer's disease. This multimodal approach highlights the impact of different neurodegenerative profiles on learning and social feedback. Our findings inform a promising theoretical and clinical agenda in the fields of social learning, socially reinforced learning and neurodegeneration.</t>
  </si>
  <si>
    <t>Abrevaya, Sofia/KLC-9330-2024; Molina, Miguel/AAB-8582-2020; Gillan, Claire/AAA-7348-2020; Birba, Agustina/AFR-3037-2022; García, Adolfo/E-7150-2017; Aránguiz, Rafael/U-5918-2019; Ibanez, Agustin/H-7976-2015</t>
  </si>
  <si>
    <t>Gillan, Claire/0000-0001-9065-403X; Birba, Agustina/0000-0001-5998-6634; Ibanez, Agustin/0000-0001-6758-5101; Aguirre, Maria Julieta/0000-0001-8310-1402; Martorell Caro, Miguel Angel/0009-0007-6838-5831; Abrevaya, Sofia/0000-0003-4091-9962</t>
  </si>
  <si>
    <t>0006-8950</t>
  </si>
  <si>
    <t>1460-2156</t>
  </si>
  <si>
    <t>APR 29</t>
  </si>
  <si>
    <t>10.1093/brain/awab345</t>
  </si>
  <si>
    <t>WOS:000768342100001</t>
  </si>
  <si>
    <t>Cordero, RR; Sepúlveda, E; Feron, S; Damiani, A; Fernandoy, F; Neshyba, S; Rowe, PM; Asencio, V; Carrasco, J; Alfonso, JA; Llanillo, P; Wachter, P; Seckmeyer, G; Stepanova, M; Carrera, JM; Jorquera, J; Wang, CH; Malhotra, A; Dana, J; Khan, AL; Casassa, G</t>
  </si>
  <si>
    <t>Cordero, Raul R.; Sepulveda, Edgardo; Feron, Sarah; Damiani, Alessandro; Fernandoy, Francisco; Neshyba, Steven; Rowe, Penny M.; Asencio, Valentina; Carrasco, Jorge; Alfonso, Juan A.; Llanillo, Pedro; Wachter, Paul; Seckmeyer, Gunther; Stepanova, Marina; Carrera, Juan M.; Jorquera, Jose; Wang, Chenghao; Malhotra, Avni; Dana, Jacob; Khan, Alia L.; Casassa, Gino</t>
  </si>
  <si>
    <t>Black carbon footprint of human presence in Antarctica</t>
  </si>
  <si>
    <t>The snow surrounding research facilities and shore tourist-landing sites in Antarctica was found to be darker than elsewhere in the continent, which suggests that local emissions of black carbon are accelerating seasonal snowmelt in impacted regions. Black carbon (BC) from fossil fuel and biomass combustion darkens the snow and makes it melt sooner. The BC footprint of research activities and tourism in Antarctica has likely increased as human presence in the continent has surged in recent decades. Here, we report on measurements of the BC concentration in snow samples from 28 sites across a transect of about 2,000 km from the northern tip of Antarctica (62 degrees S) to the southern Ellsworth Mountains (79 degrees S). Our surveys show that BC content in snow surrounding research facilities and popular shore tourist-landing sites is considerably above background levels measured elsewhere in the continent. The resulting radiative forcing is accelerating snow melting and shrinking the snowpack on BC-impacted areas on the Antarctic Peninsula and associated archipelagos by up to 23 mm water equivalent (w.e.) every summer.</t>
  </si>
  <si>
    <t>Cordero, Raul/M-7979-2017; Damiani, Alessandro/X-4677-2019; Malhotra, Avni/R-4970-2019; Wang, Chenghao/O-7961-2017; Carrasco, Jorge/K-2949-2014; Stepanova, Marina/D-6329-2011; Llanillo, Pedro/L-5877-2015</t>
  </si>
  <si>
    <t>Cordero, Raul R./0000-0001-7607-7993; Wang, Chenghao/0000-0001-8846-4130; Carrasco, Jorge/0000-0003-2154-5483; Stepanova, Marina/0000-0002-1053-3375; Rowe, Penny/0000-0002-7594-0553; Malhotra, Avni/0000-0002-7850-6402; Damiani, Alessandro/0000-0003-3014-6193; Feron, Sarah/0000-0002-0572-5639; Llanillo, Pedro/0000-0002-9308-501X</t>
  </si>
  <si>
    <t>10.1038/s41467-022-28560-w</t>
  </si>
  <si>
    <t>WOS:000759803800008</t>
  </si>
  <si>
    <t>Candelaria, M; Villela, L; Torres-Viera, MA; Peña, C; Roa, M; Zambrano, D; Colunga-Pedraza, PRR; Robles-Rodríguez, A; Pérez-Jacobo, F; Oliver, AC; Irigín, MV; Baena, R; Idroboj, H; Paredes, SR; Oliday, R; Castro, D; Montaño-Figueroa, E; Perini, GF; Fernández-Aguila, JD; Malpica, LE; Beltrank, BE; Castillo, JJ</t>
  </si>
  <si>
    <t>Candelaria, Myrna; Villela, Luis; Torres-Viera, Maria-Alejandra; Pena, Camila; Roa, Macarena; Zambrano, Daniela; Colunga-Pedraza, Perla R. R.; Robles-Rodriguez, Arianna; Perez-Jacobo, Fernando; Oliver, Ana Carolina; Irigoin, Maria Victoria; Baena, Rosio; Idroboj, Henry; Paredes, Sally R.; Oliday, Rosa; Castro, Denisse; Montano-Figueroa, Efeen; Perini, Guillherme F.; Fernandez-Aguila, Julio D.; Malpica, Luis E.; Beltrank, Brady E.; Castillo, Jorge J.</t>
  </si>
  <si>
    <t>Real-world experience in older patients with diffuse large B-cell lymphoma treated in Latin America: A study by the Latin American study group of lymphoproliferative disorders (GELL)</t>
  </si>
  <si>
    <t>JOURNAL OF GERIATRIC ONCOLOGY</t>
  </si>
  <si>
    <t>Beltran, Brady/P-8655-2019; Castro, Denisse/AAA-1488-2021; Castillo, Jorge/H-4372-2019; Colunga-Pedraza, Perla R./G-5734-2018</t>
  </si>
  <si>
    <t>Colunga-Pedraza, Perla R./0000-0002-9937-439X; Beltran, Brady/0000-0003-4469-3817</t>
  </si>
  <si>
    <t>1879-4068</t>
  </si>
  <si>
    <t>1879-4076</t>
  </si>
  <si>
    <t>10.1016/j.jgo.2023.101565</t>
  </si>
  <si>
    <t>WOS:001073697500001</t>
  </si>
  <si>
    <t>Ferrari, G; Guzmán-Habinger, J; Chávez, JL; Werneck, AO; Silva, DR; Kovalskys, I; Gómez, G; Rigotti, A; Cortés, LY; García, MCY; Pareja, RG; Herrera-Cuenca, M; Drenowatz, C; Cristi-Montero, C; Marques, A; Peralta, M; Leme, ACB; Fisberg, M</t>
  </si>
  <si>
    <t>Ferrari, Gerson; Guzman-Habinger, Juan; Chavez, Javiera L.; Werneck, Andre O.; Silva, Danilo R.; Kovalskys, Irina; Gomez, Georgina; Rigotti, Attilio; Yadira Cortes, Lilia; Yepez Garcia, Martha Cecilia; Pareja, Rossina G.; Herrera-Cuenca, Marianella; Drenowatz, Clemens; Cristi-Montero, Carlos; Marques, Adilson; Peralta, Miguel; Leme, Ana Carolina B.; Fisberg, Mauro</t>
  </si>
  <si>
    <t>Sociodemographic inequities and active transportation in adults from Latin America: an eight-country observational study</t>
  </si>
  <si>
    <t>INTERNATIONAL JOURNAL FOR EQUITY IN HEALTH</t>
  </si>
  <si>
    <t>Background: Active transportation is a crucial sort of physical activity for developing sustainable environments and provides essential health benefits. This is particularly important in Latin American countries because they present the highest burden of non-communicable diseases relative to other worldwide regions. This study aimed to examine the patterns of active transportation and its association with sociodemographic inequities in Latin American countries. Methods: This cross-sectional study was conducted in eight countries. Participants (n = 8547, 18-65 years) self-reported their active transportation (walking, cycling, and total) using the International Physical Activity Questionnaire. Sex, age, ethnicity, socioeconomic level, education level, public and private transport use, and transport mode were used as sociodemographic inequities. Results: Participants spent a total of 19.9, 3.1, and 23.3 min/day with walking, cycling, and total active transportation, respectively. Mixed and other ethnicity (Asian, Indigenous, Gypsy, and other), high socioeconomic level as well as middle and high education level presented higher walking than Caucasian, low socioeconomic and education level. Private transport mode and use of &gt;= 6 days/week of private transport showed lower walking than public transport mode and &lt;= 2 days/week of private transport. Use of &gt;= 3 days/week of public transport use presented higher walking than &lt;= 2 days/week of public transport. Men had higher cycling for active transportation than women. Use of &gt;= 3 days/week of public transport use presented higher cycling than &lt;= 2 days/week of public transport. &gt;= 6 days/week showed lower cycling than &lt;= 2 days/week of private transport use. Men (b: 5.57: 95 %CI: 3.89;7.26), black (3.77: 0.23;7.31), mixed (3.20: 1.39;5.00) and other ethnicity (7.30: 2.55;12.04), had higher total active transportation than women and Caucasian. Private transport mode (-7.03: -11.65;-2.41) and &gt;= 6 days/week of private transport use (-4.80: -6.91;-0.31) showed lower total active transportation than public transport mode and &lt;= 2 days/week of private transport use. Use of 3-5 (5.10: 1.35;8.85) and &gt;= 6 days/week (8.90: 3.07;14.73) of public transport use presented higher total active transportation than &lt;= 2 days/week of public transport use. Differences among countries were observed. Conclusions: Sociodemographic inequities are associated differently with active transportation across Latin American countries. Interventions and policies that target the promotion of active policies transportation essential to consider sociodemographic inequities.Y</t>
  </si>
  <si>
    <t>Cortes, Lilia/AAF-2960-2019; Ferrari, Gerson/ABG-6635-2021; Cristi-Montero, Carlos/AAE-4945-2020; Gomez, Georgina/AAR-7272-2020; da Silva, Danilo/E-3747-2018; Werneck, André/N-5006-2016; Rezende, Leandro/C-1724-2012; Marques, Adilson/K-4529-2014; Ferrari, Gerson/P-1152-2014; Peralta, Miguel/H-1666-2017; Barco Leme, Ana Carolina/H-3619-2015; Pareja, Rossina/D-9892-2018</t>
  </si>
  <si>
    <t>Guzman Habinger, Juan/0000-0003-2243-2528; Rezende, Leandro/0000-0002-7469-1399; Marques, Adilson/0000-0001-9850-7771; Ferrari, Gerson/0000-0003-3177-6576; Peralta, Miguel/0000-0001-6072-6012; Barco Leme, Ana Carolina/0000-0003-2782-4301; Cortes, Lilia Yadira/0000-0003-2789-3219; Pareja, Rossina/0000-0001-7523-3181</t>
  </si>
  <si>
    <t>1475-9276</t>
  </si>
  <si>
    <t>AUG 26</t>
  </si>
  <si>
    <t>10.1186/s12939-021-01524-0</t>
  </si>
  <si>
    <t>WOS:000690964400001</t>
  </si>
  <si>
    <t>Singh, L; Joshi, T; Tewari, D; Echeverría, J; Mocan, A; Sah, AN; Parvanov, E; Tzvetkov, NT; Ma, ZF; Lee, YY; Poznanski, P; Huminiecki, L; Sacharczuk, M; Józwik, A; Horbanczuk, JO; Feder-Kubis, J; Atanasov, AG</t>
  </si>
  <si>
    <t>Singh, Laxman; Joshi, Tanuj; Tewari, Devesh; Echeverria, Javier; Mocan, Andrei; Sah, Archana N.; Parvanov, Emil; Tzvetkov, Nikolay T.; Ma, Zheng Feei; Lee, Yeong Yeh; Poznanski, Piotr; Huminiecki, Lukasz; Sacharczuk, Mariusz; Jozwik, Artur; Horbanczuk, Jaroslaw O.; Feder-Kubis, Joanna; Atanasov, Atanas G.</t>
  </si>
  <si>
    <t>Ethnopharmacological Applications Targeting Alcohol Abuse: Overview and Outlook</t>
  </si>
  <si>
    <t>Excessive alcohol consumption is the cause of several diseases and thus is of a major concern for society. Worldwide alcohol consumption has increased by many folds over the past decades. This urgently calls for intervention and relapse counteract measures. Modern pharmacological solutions induce complete alcohol self-restraint and prevent relapse, but they have many side effects. Natural products are most promising as they cause fewer adverse effects. Here we discuss in detail the medicinal plants used in various traditional/folklore medicine systems for targeting alcohol abuse. We also comprehensively describe preclinical and clinical studies done on some of these plants along with the possible mechanisms of action.</t>
  </si>
  <si>
    <t>Lee, Yeong/H-2777-2019; Poznański, Piotr/AAZ-1709-2020; Sah, Archana/AAV-2080-2020; Horbanczuk, Jaroslaw/ABD-8389-2021; Echeverría, Javier/AAK-3323-2020; singh, laxman/C-9064-2013; Mocan, Andrei/AAT-8274-2021; Ma, Zheng Feei/B-1225-2015; Tewari, Devesh/P-9954-2019; Joshi, Tanuj/AAV-2610-2020; Singh, Laxman/I-5328-2015; Lee, Yeong Yeh/G-2470-2010; Jozwik, Artur/HJY-6775-2023; Atanasov, Atanas/C-5535-2013</t>
  </si>
  <si>
    <t>Singh, Laxman/0000-0001-9046-0112; Feder-Kubis, Joanna/0000-0002-2883-8556; Lee, Yeong Yeh/0000-0002-6486-7717; Poznanski, Piotr/0000-0002-1321-2235; Jozwik, Artur/0000-0001-5546-9891; Atanasov, Atanas/0000-0003-2545-0967; Tewari, Dr. Devesh/0000-0002-5125-3791; Echeverria, Javier/0000-0002-1688-968X; Parvanov, Emil/0000-0001-6744-0949; Sah, Archana Negi/0000-0001-8684-6389</t>
  </si>
  <si>
    <t>FEB 14</t>
  </si>
  <si>
    <t>10.3389/fphar.2019.01593</t>
  </si>
  <si>
    <t>WOS:000517466000001</t>
  </si>
  <si>
    <t>Walsen, K; Jofré, P; Buder, S; Yaxley, K; Das, P; Yates, RM; Hua, X; Signor, T; Eldridge, C; Rojas-Arriagada, A; Tissera, PB; Johnston, E; Aguilera-Gomez, C; Zoccali, M; Gilmore, G; Foley, R</t>
  </si>
  <si>
    <t>Walsen, Kurt; Jofre, Paula; Buder, Sven; Yaxley, Keaghan; Das, Payel; Yates, Robert M.; Hua, Xia; Signor, Theosamuele; Eldridge, Camilla; Rojas-Arriagada, Alvaro; Tissera, Patricia B.; Johnston, Evelyn; Aguilera-Gomez, Claudia; Zoccali, Manuela; Gilmore, Gerry; Foley, Robert</t>
  </si>
  <si>
    <t>Assembling a high-precision abundance catalogue of solar twins in GALAH for phylogenetic studies</t>
  </si>
  <si>
    <t>Stellar chemical abundances have proved themselves a key source of information for understanding the evolution of the Milky Way, and the scale of major stellar surveys such as GALAH have massively increased the amount of chemical data available. However, progress is hampered by the level of precision in chemical abundance data as well as the visualization methods for comparing the multidimensional outputs of chemical evolution models to stellar abundance data. Machine learning methods have greatly improved the former; while the application of tree-building or phylogenetic methods borrowed from biology are beginning to show promise with the latter. Here, we analyse a sample of GALAH solar twins to address these issues. We apply The Cannon algorithm to generate a catalogue of about 40 000 solar twins with 14 high precision abundances which we use to perform a phylogenetic analysis on a selection of stars that have two different ranges of eccentricities. From our analyses, we are able to find a group with mostly stars on circular orbits and some old stars with eccentric orbits whose age-[Y/Mg] relation agrees remarkably well with the chemical clocks published by previous high precision abundance studies. Our results show the power of combining survey data with machine learning and phylogenetics to reconstruct the history of the Milky Way.</t>
  </si>
  <si>
    <t>Das, Payel/GWQ-5753-2022; Yates, Robert/ADC-1847-2022; Hua, Xia/N-9600-2014</t>
  </si>
  <si>
    <t>Aguilera-Gomez, Claudia/0000-0002-9052-382X; Eldridge, Camilla/0009-0003-4599-2170; Das, Payel/0000-0002-3239-4222; Buder, Sven/0000-0002-4031-8553; Rojas-Arriagada, Alvaro/0000-0003-0208-8854; Yates, Robert/0000-0001-9320-4958; Hua, Xia/0000-0003-3485-789X; Zoccali, Manuela/0000-0002-5829-2267; Yaxley, Keaghan/0000-0001-6091-8794</t>
  </si>
  <si>
    <t>MAR 18</t>
  </si>
  <si>
    <t>10.1093/mnras/stae280</t>
  </si>
  <si>
    <t>WOS:001189423300014</t>
  </si>
  <si>
    <t>Miyasaki, JM; Lim, SY; Chaudhuri, KR; Antonini, A; Piemonte, M; Richfield, E; Gonzalez, DA; Lorenzl, S; Walker, R; Bhidayasiri, R; Bouca, R; McConvey, V</t>
  </si>
  <si>
    <t>Miyasaki, Janis M.; Lim, Shen-Yang; Chaudhuri, K. Ray; Antonini, Angelo; Piemonte, Maria; Richfield, Edward; Alburquerque Gonzalez, Daniela; Lorenzl, Stefan; Walker, Richard; Bhidayasiri, Roongroj; Bouca, Raquel; McConvey, Victor</t>
  </si>
  <si>
    <t>Int Parkinson Movement Disorder So</t>
  </si>
  <si>
    <t>Access and Attitudes Toward Palliative Care Among Movement Disorders Clinicians</t>
  </si>
  <si>
    <t>Background Neuropalliative care is an emerging field for those with neurodegenerative illnesses, but access to neuropalliative care remains limited. Objective We sought to determine Movement Disorder Society (MDS) members' attitudes and access to palliative care. Methods A quantitative and qualitative survey instrument was developed by the MDS Palliative Care Task Force and e-mailed to all members for completion. Descriptive statistics and qualitative analysis were triangulated. Results Of 6442 members contacted, 652 completed the survey. Completed surveys indicating country of the respondent overwhelmingly represented middle- and high-income countries. Government-funded homecare was available to 54% of respondents based on patient need, 25% limited access, and 21% during hospitalization or an acute defined event. Eighty-nine percent worked in multidisciplinary teams. The majority endorsed trigger-based referrals to palliative care (75.5%), while 24.5% indicated any time after diagnosis was appropriate. Although 66% referred patients to palliative care, 34% did not refer patients. Barriers were identified by 68% of respondents, the most significant being available workforce, financial support for palliative care, and perceived knowledge of palliative care physicians specific to movement disorders. Of 499 respondents indicating their training in palliative care or desire to learn these skills, 55% indicated a desire to gain more skills. Conclusions The majority of MDS member respondents endorsed a role for palliative care in movement disorders. Many members have palliative training or collaborate with palliative care physicians. Although significant barriers exist to access palliative care, the desire to gain more skills and education on palliative care is an opportunity for professional development within the MDS. (c) 2021 International Parkinson and Movement Disorder Society</t>
  </si>
  <si>
    <t>Antonini, Angelo/H-9726-2019; Lim, Shen-Yang/E-5099-2010; Bhidayasiri, Roongroj/IVV-3614-2023; PIMENTEL PIEMONTE, MARIA ELISA/D-1997-2013</t>
  </si>
  <si>
    <t>Lim, Shen-Yang/0000-0002-6942-2522; Miyasaki, Janis/0000-0002-6372-6007; Ray Chaudhuri, K/0000-0003-2815-0505; Antonini, Angelo/0000-0003-1040-2807; Bhidayasiri, Roongroj/0000-0002-6901-2064</t>
  </si>
  <si>
    <t>10.1002/mds.28773</t>
  </si>
  <si>
    <t>AUG 2021</t>
  </si>
  <si>
    <t>WOS:000688138600001</t>
  </si>
  <si>
    <t>Salamone, PC; Legaz, A; Sedeño, L; Moguilner, S; Fraile-Vazquez, M; Campo, CG; Fittipaldi, S; Yoris, A; Miranda, M; Birba, A; Galiani, A; Abrevaya, S; Neely, A; Caro, MM; Alifano, F; Villagra, R; Anunziata, F; de Oliveira, MO; Pautassi, RM; Slachevsky, A; Serrano, C; García, AM; Ibañez, A</t>
  </si>
  <si>
    <t>Salamone, Paula C.; Legaz, Agustina; Sedeno, Lucas; Moguilner, Sebastian; Fraile-Vazquez, Matias; Campo, Cecilia Gonzalez; Fittipaldi, Sol; Yoris, Adrian; Miranda, Magdalena; Birba, Agustina; Galiani, Agostina; Abrevaya, Sofia; Neely, Alejandra; Caro, Miguel Martorell; Alifano, Florencia; Villagra, Roque; Anunziata, Florencia; de Oliveira, Maira Okada; Pautassi, Ricardo M.; Slachevsky, Andrea; Serrano, Cecilia; Garcia, Adolfo M.; Ibanez, Agustin</t>
  </si>
  <si>
    <t>Interoception Primes Emotional Processing: Multimodal Evidence from Neurodegeneration</t>
  </si>
  <si>
    <t>JOURNAL OF NEUROSCIENCE</t>
  </si>
  <si>
    <t>Recent frameworks in cognitive neuroscience and behavioral neurology underscore interoceptive priors as core modulators of negative emotions. However, the field lacks experimental designs manipulating the priming of emotions via interoception and exploring their multimodal signatures in neurodegenerative models. Here, we designed a novel task that involves interoceptive and control-exteroceptive priming conditions followed by post-interoception and post-exteroception facial emotion recognition (FER). We recruited 114 participants, including healthy controls (HCs) as well as patients with behavioral variant frontotemporal dementia (bvFTD), Parkinson's disease (PD), and Alzheimer's disease (AD). We measured online EEG modulations of the heart-evoked potential (HEP), and associations with both brain structural and resting-state functional connectivity patterns. Behaviorally, post-interoception negative FER was enhanced in HCs but selectively disrupted in bvFTD and PD, with AD presenting generalized disruptions across emotion types. Only bvFTD presented impaired interoceptive accuracy. Increased HEP modulations during post-interoception negative FER was observed in HCs and AD, but not in bvFTD or PD patients. Across all groups, post-interoception negative FER correlated with the volume of the insula and the ACC. Also, negative FER was associated with functional connectivity along the (a) salience network in the post-interoception condition, and along the (b) executive network in the post-exteroception condition. These patterns were selectively disrupted in bvFTD (a) and PD (b), respectively. Our approach underscores the multidimensional impact of interoception on emotion, while revealing a specific pathophysiological marker of bvFTD. These findings inform a promising theoretical and clinical agenda in the fields of nteroception, emotion, allostasis, and neurodegeneration.</t>
  </si>
  <si>
    <t>Abrevaya, Sofia/KLC-9330-2024; García, Adolfo/E-7150-2017; Birba, Agustina/AFR-3037-2022; Molina, Miguel/AAB-8582-2020; Salamone, Paula/AAI-5016-2020; de Oliveira, Maira/P-1671-2019; Ibanez, Agustin/H-7976-2015; Pautassi, Ricardo Marcos/G-7261-2018</t>
  </si>
  <si>
    <t>Anunziata, Florencia/0000-0001-8341-2227; Moguilner, Sebastian/0000-0003-1731-8325; Miranda, Magdalena/0000-0002-6789-274X; Ibanez, Agustin/0000-0001-6758-5101; Martorell Caro, Miguel Angel/0009-0007-6838-5831; Pautassi, Ricardo Marcos/0000-0003-1876-2321; Abrevaya, Sofia/0000-0003-4091-9962; Birba, Agustina/0000-0001-5998-6634</t>
  </si>
  <si>
    <t>0270-6474</t>
  </si>
  <si>
    <t>1529-2401</t>
  </si>
  <si>
    <t>MAY 12</t>
  </si>
  <si>
    <t>10.1523/JNEUROSCI.2578-20.2021</t>
  </si>
  <si>
    <t>WOS:000651383800011</t>
  </si>
  <si>
    <t>Birba, A; Fittipaldi, S; Escobar, JCC; Campo, CG; Legaz, A; Galiani, A; Rivera, MND; Caro, MM; Alifano, F; Piña-Escudero, SD; Cardona, JF; Neely, A; Forno, G; Carpinella, M; Slachevsky, A; Serrano, C; Sedeño, L; Ibáñez, A; García, AM</t>
  </si>
  <si>
    <t>Birba, Agustina; Fittipaldi, Sol; Cediel Escobar, Judith C.; Gonzalez Campo, Cecilia; Legaz, Agustina; Galiani, Agostina; Diaz Rivera, Mariano N.; Martorell Caro, Miquel; Alifano, Florencia; Pina-Escudero, Stefanie D.; Cardona, Juan Felipe; Neely, Alejandra; Forno, Gonzalo; Carpinella, Mari; Slachevsky, Andrea; Serrano, Cecilia; Sedeno, Lucas; Ibanez, Agustin; Garcia, Adolfo M.</t>
  </si>
  <si>
    <t>Multimodal Neurocognitive Markers of Naturalistic Discourse Typify Diverse Neurodegenerative Diseases</t>
  </si>
  <si>
    <t>Neurodegeneration has multiscalar impacts, including behavioral, neuroanatomical, and neurofunctional disruptions. Can disease-differential alterations be captured across such dimensions using naturalistic stimuli? To address this question, we assessed comprehension of four naturalistic stories, highlighting action, nonaction, social, and nonsocial events, in Parkinson's disease (PD) and behavioral variant frontotemporal dementia (bvFTD) relative to Alzheimer's disease patients and healthy controls. Text-specific correlates were evaluated via voxel-based morphometry, spatial (fMRI), and temporal (hd-EEG) functional connectivity. PD patients presented action-text deficits related to the volume of action-observation regions, connectivity across motor-related and multimodal-semantic hubs, and frontal hd-EEG hypoconnectivity. BvFTD patients exhibited social-text deficits, associated with atrophy and spatial connectivity patterns along social-network hubs, alongside right frontotemporal hd-EEG hypoconnectivity. Alzheimer's disease patients showed impairments in all stories, widespread atrophy and spatial connectivity patterns, and heightened occipitotemporal hd-EEG connectivity. Our framework revealed disease-specific signatures across behavioral, neuroanatomical, and neurofunctional dimensions, highlighting the sensitivity and specificity of a single naturalistic task. This investigation opens a translational agenda combining ecological approaches and multimodal cognitive neuroscience for the study of neurodegeneration.</t>
  </si>
  <si>
    <t>García, Adolfo/E-7150-2017; Molina, Miguel/AAB-8582-2020; Birba, Agustina/AFR-3037-2022; Ibanez, Agustin/H-7976-2015; Cardona, Juan Felipe/O-9436-2015</t>
  </si>
  <si>
    <t>Cediel Escobar, Judith Cristina/0000-0002-6743-0991; Pina Escudero, Stefanie Danielle/0000-0001-7467-8365; Martorell Caro, Miguel Angel/0009-0007-6838-5831; Ibanez, Agustin/0000-0001-6758-5101; Forno, Gonzalo/0000-0003-2739-6028; Birba, Agustina/0000-0001-5998-6634; Cardona, Juan Felipe/0000-0001-6795-7753</t>
  </si>
  <si>
    <t>AUG 3</t>
  </si>
  <si>
    <t>10.1093/cercor/bhab421</t>
  </si>
  <si>
    <t>DEC 2021</t>
  </si>
  <si>
    <t>WOS:000789256400001</t>
  </si>
  <si>
    <t>Walker, RH; Gatto, EM; Bustamante, ML; Bernal-Pacheco, O; Cardoso, F; Castilhos, RM; Chana-Cuevas, P; Cornejo-Olivas, M; Estrada-Bellmann, I; Jardim, LB; López-Castellanos, R; López-Contreras, R; Maia, DP; Mazzetti, P; Miranda, M; Rodríguez-Violante, M; Teive, H; Tumas, V</t>
  </si>
  <si>
    <t>Walker, Ruth H.; Gatto, Emilia M.; Leonor Bustamante, M.; Bernal-Pacheco, Oscar; Cardoso, Francisco; Castilhos, Raphael M.; Chana-Cuevas, Pedro; Cornejo-Olivas, Mario; Estrada-Bellmann, Ingrid; Jardim, Laura B.; Lopez-Castellanos, Ricardo; Lopez-Contreras, Ricardo; Maia, Debora P.; Mazzetti, Pilar; Miranda, Marcelo; Rodriguez-Violante, Mayela; Teive, Helio; Tumas, Vitor</t>
  </si>
  <si>
    <t>Huntington's disease-like disorders in Latin America and the Caribbean</t>
  </si>
  <si>
    <t>PARKINSONISM &amp; RELATED DISORDERS</t>
  </si>
  <si>
    <t>Diseases with a choreic phenotype can be due to a variety of genetic etiologies. As testing for Huntington's disease (HD) becomes more available in previously resource-limited regions, it is becoming apparent that there are patients in these areas with other rare genetic conditions which cause an HD-like phenotype. Documentation of the presence of these conditions is important in order to provide appropriate diagnostic and clinical care for these populations. Information for this article was gathered in two ways; the literature was surveyed for publications reporting a variety of genetic choreic disorders, and movement disorders specialists from countries in Latin America and the Caribbean were contacted regarding their experiences with chorea of genetic etiology. Here we discuss the availability of molecular diagnostics for HD and for other choreic disorders, along with a summary of the published reports of affected subjects, and authors' personal experiences from the regions. While rare, patients affected by non-HD genetic choreas are evidently present in Latin America and the Caribbean. HD like 2 is particularly prevalent in countries where the population has African ancestry. The incidence of other conditions is likely determined by other variations in ethnic background and settlement patterns. As genetic resources and awareness of these disorders improve, more patients are likely to be identified, and have the potential to benefit from education, support, and ultimately molecular therapies.</t>
  </si>
  <si>
    <t>Tumas, Vitor/C-9949-2014; Chana-Cuevas, Pedro/AAM-8215-2020; Maia, Debora/KPY-4587-2024; Bellmann, Ingrid/W-8744-2019; Cardoso, Francisco/R-8542-2019; Castilhos, Raphael/V-9098-2019; Cornejo-Olivas, Mario/F-9744-2017; Rodriguez-Violante, Mayela/G-7056-2015</t>
  </si>
  <si>
    <t>Castilhos, Raphael/0000-0002-1905-2084; Cornejo-Olivas, Mario/0000-0001-6313-5680; Rodriguez-Violante, Mayela/0000-0002-6041-9941; Miranda, Marcelo/0009-0001-0974-4757; Walker, Ruth/0000-0002-8366-072X; Tumas, Vitor/0000-0003-2402-2709</t>
  </si>
  <si>
    <t>1353-8020</t>
  </si>
  <si>
    <t>1873-5126</t>
  </si>
  <si>
    <t>10.1016/j.parkreldis.2018.05.021</t>
  </si>
  <si>
    <t>WOS:000445980300003</t>
  </si>
  <si>
    <t>Werneck, AO; Araujo, RHO; Aguilar-Farias, N; Ferrari, G; Brazo-Sayavera, J; García-Witulski, C; Dourado, VZ; Barboza, LL; Silva, ECM; Sadarangani, KP; Nieto-Martinez, R; García-Hermoso, A; Ramírez-Vélez, R; Silva, DR</t>
  </si>
  <si>
    <t>Werneck, Andre O.; Araujo, Raphael H. O.; Aguilar-Farias, Nicolas; Ferrari, Gerson; Brazo-Sayavera, Javier; Garcia-Witulski, Christian; Dourado, Victor Z.; Barboza, Luciana L.; Silva, Ellen C. M.; Sadarangani, Kabir P.; Nieto-Martinez, Ramfis; Garcia-Hermoso, Antonio; Ramirez-Velez, Robinson; Silva, Danilo R.</t>
  </si>
  <si>
    <t>South Amer Phys Activity Sedentary</t>
  </si>
  <si>
    <t>Time trends and inequalities of physical activity domains and sitting time in South America</t>
  </si>
  <si>
    <t>JOURNAL OF GLOBAL HEALTH</t>
  </si>
  <si>
    <t>Background We aimed to investigate time trends and inequalities of different physical activity (PA) domains and sitting time (ST) in adults from South American countries. Methods We included cross-sectional data of nationally representative surveys on adults (n = 597 843) from nine South American countries (Argentina, Bolivia, Brazil, Chile, Colombia, Ecuador, Peru, Uruguay, and Venezuela), with data collection time frames ranging from 2005 to 2020. Data on different PA domains (leisure-time, transport, and occupational) and ST were assessed through questionnaires. Trends according to education level (quintiles), gender (m/w), and age group (18-34 years, 35-49 years, 50-64 years) were estimated for the harmonized indicators of nonzero PA in the different domains, &gt;= 150 min/week of total PA and &gt;= 8 hours/d of ST. Results Chile (2009/2010 = 78.9% vs 2016/2017 = 70.5%), and Peru (2009/2010 = 78.6% vs 2011 = 69.6%) reduced total PA, while Brazil (2013 = 57.3% vs 2019 = 67.0%) and Uruguay (2006 = 69.4% vs 2013 = 79.4%) increased, and Argentina and Venezuela maintained. There was an increasing trend for ST in Argentina, Peru, and Uruguay. Leisure-time PA increased in most countries (6/8 countries). Transport PA was relatively stable, while occupational PA presented mixed findings. Education inequalities increased over time for total and leisure-time PA, while age and gender inequalities were relatively constant. Conclusions Future South American countries' efforts may be warranted to promote PA and reduce ST in adults, while addressing inequalities when implementing actions.</t>
  </si>
  <si>
    <t>Araujo, Raphael/W-5556-2018; Werneck, André/N-5006-2016; Dourado, Victor/E-6784-2012; Aguilar-Farias, Nicolas/V-2742-2018; Martinez, Ramfis/I-7205-2019; Garcia-Witulski, Christian/KIE-0496-2024; Barboza, Luciana/W-6323-2018; Brazo-Sayavera, Javier/G-5601-2011; Ferrari, Gerson/ABG-6635-2021; García-Hermoso, Antonio/ADU-2591-2022; Ramirez-Velez, Robinson/D-5311-2016; Ferrari, Gerson/P-1152-2014; Garcia-Hermoso, Antonio/P-1857-2017; Mendes da Silva, Ellen Caroline/HMD-4285-2023; Silva, Danilo/E-3747-2018</t>
  </si>
  <si>
    <t>de Oliveira Araujo, Raphael Henrique/0000-0002-9405-3052; Barboza, Luciana Leite Silva/0000-0002-3179-5630; Garcia-Witulski, Christian/0000-0001-6444-0521; Ramirez-Velez, Robinson/0000-0003-3075-6960; Ferrari, Gerson/0000-0003-3177-6576; Garcia-Hermoso, Antonio/0000-0002-1397-7182; Mendes da Silva, Ellen Caroline/0000-0001-9856-0054; Silva, Danilo/0000-0003-3995-4795</t>
  </si>
  <si>
    <t>2047-2978</t>
  </si>
  <si>
    <t>2047-2986</t>
  </si>
  <si>
    <t>10.7189/jogh.12.04027</t>
  </si>
  <si>
    <t>WOS:000782103300001</t>
  </si>
  <si>
    <t>Liu, HB; Tsai, AL; Chen, WP; Liu, JZ; Zhang, X; Ma, S; Elbakyan, V; Green, JD; Hales, AS; Liu, SY; Takami, M; Pérez, S; Vorobyov, EI; Yang, YL</t>
  </si>
  <si>
    <t>Liu, Hauyu Baobab; Tsai, An-Li; Chen, Wen Ping; Liu, Jin Zhong; Zhang, Xuan; Ma, Shuo; Elbakyan, Vardan; Green, Joel D.; Hales, Antonio S.; Liu, Sheng-Yuan; Takami, Michihiro; Perez, Sebastian; Vorobyov, Eduard, I; Yang, Yao-Lun</t>
  </si>
  <si>
    <t>Millimeter-sized Dust Grains Surviving the Water-sublimating Temperature in the Inner 10 au of the FU Ori Disk</t>
  </si>
  <si>
    <t>Previous observations have shown that the less than or similar to 10 au, greater than or similar to 400 K hot inner disk of the archetypal accretion outburst young stellar object, FU Ori, is dominated by viscous heating. To constrain dust properties in this region, we have performed radio observations toward this disk using the Karl G. Jansky Very Large Array in 2020 June-July, September, and November. We also performed complementary optical photometric monitoring observations. We found that the dust thermal emission from the hot inner disk mid-plane of FU Ori has been approximately stationary and the maximum dust grain size is greater than or similar to 1.6 mm in this region. If the hot inner disk of FU Ori, which is inward of the 150-170 K water snowline, is turbulent (e.g., corresponding to a Sunyaev &amp; Shakura viscous alpha ( t ) greater than or similar to 0.1), or if the actual maximum grain size is still larger than the lower limit we presently constrain, then as suggested by the recent analytical calculations and the laboratory measurements, water-ice-free dust grains may be stickier than water-ice-coated dust grains in protoplanetary disks. Additionally, we find that the free-free emission and the Johnson B- and V-band magnitudes of these binary stars were brightening in 2016-2020. The optical and radio variability might be related to the dynamically evolving protostellar- or disk-accretion activities. Our results highlight that the hot inner disks of outbursting objects are important laboratories for testing models of dust grain growth. Given the active nature of such systems, to robustly diagnose the maximum dust grain sizes, it is important to carry out coordinated multiwavelength radio observations.</t>
  </si>
  <si>
    <t>Pérez, Sebastián/AAS-5857-2020; Vorobyov, Eduard/AAB-7987-2020; Liu, Sheng-Yuan/AAZ-4303-2020; Takami, Michihiro/ABA-7396-2020; Tsai, Anli/JFS-9111-2023; Liu, Hauyu Baobab/ABA-1430-2020; Elbakyan, Vardan/L-3407-2016; Yang, Yao-Lun/AAK-1629-2021</t>
  </si>
  <si>
    <t>Hales, Antonio/0000-0001-5073-2849; Liu, Sheng-Yuan/0000-0003-4603-7119; Liu, Hauyu Baobab/0000-0003-2300-2626; zhang, xuan/0000-0002-5750-8177; Perez, Sebastian/0000-0003-2953-755X; Chen, Wen-Ping/0000-0003-0262-272X; Ma, Shuo/0000-0002-8324-0506; Green, Joel/0000-0003-1665-5709; Elbakyan, Vardan/0000-0002-9433-900X; Tsai, An-Li/0000-0002-3211-4219; Yang, Yao-Lun/0000-0001-8227-2816</t>
  </si>
  <si>
    <t>10.3847/1538-4357/ac31b9</t>
  </si>
  <si>
    <t>WOS:000735170900001</t>
  </si>
  <si>
    <t>Ojeda, V; Schaaf, A; Altamirano, TA; Bonaparte, B; Bragagnolo, L; Chazarreta, L; Cockle, K; Dias, R; Di Sallo, F; Ibarra, JT; Ippi, S; Jauregui, A; Jiménez, JE; Lammertink, M; López, F; Montellano, MGN; de la Peña, M; Rivera, L; Vivanco, C; Santillán, M; Soto, GE; Vergara, PM; Wynia, A; Politi, N</t>
  </si>
  <si>
    <t>Ojeda, Valeria; Schaaf, Alejandro; Altamirano, Tomas A.; Bonaparte, Bianca; Bragagnolo, Laura; Chazarreta, Laura; Cockle, Kristina; Dias, Raphael; Di Sallo, Facundo; Ibarra, J. Tomas; Ippi, Silvina; Jauregui, Adrian; Jimenez, Jaime E.; Lammertink, Martjan; Lopez, Fernando; Montellano, Maria Gabriela Nunez; de la Pena, Martin; Rivera, Luis; Vivanco, Constanza; Santillan, Miguel; Soto, Gerardo E.; Vergara, Pablo M.; Wynia, Amy; Politi, Natalia</t>
  </si>
  <si>
    <t>Latitude does not influence cavity entrance orientation of South American avian excavators</t>
  </si>
  <si>
    <t>ORNITHOLOGY</t>
  </si>
  <si>
    <t>In the Northern Hemisphere, several avian cavity excavators (e.g., woodpeckers) orient their cavities increasingly toward the equator as latitude increases (i.e. farther north), and it is proposed that they do so to take advantage of incident solar radiation at their nests. If latitude is a key driver of cavity orientations globally, this pattern should extend to the Southern Hemisphere. Here, we test the prediction that cavities are oriented increasingly northward at higher (i.e. colder) latitudes in the Southern Hemisphere and describe the preferred entrance direction(s) of 1,501 cavities excavated by 25 avian species (n = 22 Picidae, 2 Trogonidae, 1 Furnariidae) across 12 terrestrial ecoregions (15 degrees S to 55 degrees S) in South America. We used Bayesian projected normal mixed-effects models for circular data to examine the influence of latitude, and potential confounding factors, on cavity orientation. Also, a probability model-selection procedure was used to simultaneously examine multiple orientation hypotheses in each ecoregion to explore underlying cavity-orientation patterns. Contrary to predictions, and patterns from the Northern Hemisphere, birds did not orient their cavities more toward the equator with increasing latitude, suggesting that latitude may not be an important underlying selective force shaping excavation behavior in South America. Moreover, unimodal cavity-entrance orientations were not frequent among the ecoregions analyzed (only in 4 ecoregions), whereas bimodal (in 5 ecoregions) or uniform (in 3 ecoregions) orientations were also present, although many of these patterns were not very clear. Our results highlight the need to include data from under-studied biotas and regions to improve inferences at macroecological scales. Furthermore, we suggest a re-analysis of Northern Hemisphere cavity orientation patterns using a multi-model approach, and a more comprehensive assessment of the role of environmental factors as drivers of cavity orientation at different spatial scales in both hemispheres.</t>
  </si>
  <si>
    <t>Santillan, Miguel/Q-6591-2018; POLITI, Natalia/MTB-3550-2025; Cockle, Kristina/AEW-9224-2022; Soto, Gerardo/JAX-4165-2023; Ojeda, Valeria/GRE-9437-2022; Bonaparte, Eugenia Bianca/KVY-4605-2024; Vergara, Pablo/F-2519-2010</t>
  </si>
  <si>
    <t>Di Sallo, Facundo Gabriel/0000-0001-6682-8677; Soto, Gerardo/0000-0002-9706-6588; Vergara, Pablo/0000-0002-0024-1678; Ippi, Silvina/0000-0002-4225-2885; Bonaparte, Eugenia Bianca/0000-0001-9306-3980; Santillan, Miguel Angel/0000-0003-3302-5290</t>
  </si>
  <si>
    <t>0004-8038</t>
  </si>
  <si>
    <t>2732-4613</t>
  </si>
  <si>
    <t>JAN 4</t>
  </si>
  <si>
    <t>10.1093/ornithology/ukaa064</t>
  </si>
  <si>
    <t>WOS:000647777800001</t>
  </si>
  <si>
    <t>Ramirez-Campillo, R; Diaz, D; Martinez-Salazar, C; Valdés-Badilla, P; Delgado-Floody, P; Méndez-Rebolledo, G; Cañas-Jamet, R; Cristi-Montero, C; García-Hermoso, A; Celis-Morales, C; Moran, J; Buford, TW; Rodriguez-Mañas, L; Alonso-Martinez, AM; Izquierdo, M</t>
  </si>
  <si>
    <t>Ramirez-Campillo, Rodrigo; Diaz, Daniela; Martinez-Salazar, Cristian; Valdes-Badilla, Pablo; Delgado-Floody, Pedro; Mendez-Rebolledo, Guillermo; Canas-Jamet, Rodrigo; Cristi-Montero, Carlos; Garcia-Hermoso, Antonio; Celis-Morales, Carlos; Moran, Jason; Buford, Thomas W.; Rodriguez-Manas, Leocadio; Alonso-Martinez, Alicia M.; Izquierdo, Mikel</t>
  </si>
  <si>
    <t>Effects of different doses of high-speed resistance training on physical performance and quality of life in older women: a randomized controlled trial</t>
  </si>
  <si>
    <t>CLINICAL INTERVENTIONS IN AGING</t>
  </si>
  <si>
    <t>Objective: This study aimed to compare the effects of two frequencies of high-speed resistance training (HSRT) on physical performance and quality of life of older women. Methods: A total of 24 older women participated in a 12-week HSRT program composed of either two or three sessions/week (equated for volume and intensity). Women were randomized into three arms: a control group (CG, n=8), a resistance training group performing two sessions/week (RT2, n=8), and a resistance training group performing three sessions/week (RT3, n=8). The training program for both experimental groups included exercises that required high-speed concentric muscle actions. Results: No baseline differences were observed among groups. Compared with the CG, both training groups showed similar small to moderate improvements (P&lt;0.05) in muscle strength, power, functional performance, balance, and quality of life. Conclusion: These results suggest that equated for volume and intensity, two and three training sessions/week of HSRT are equally effective for improving physical performance and quality of life of older women.</t>
  </si>
  <si>
    <t>Rodriguez-Manas, Leocadio/AFL-1127-2022; Moran, Jason/AAJ-1208-2020; Buford, Thomas/B-1111-2011; Cristi-Montero, Carlos/AAE-4945-2020; Ramirez-Campillo, Rodrigo/M-1258-2016; García-Hermoso, Antonio/ADU-2591-2022; Delgado-Floody, Pedro/D-9779-2019; Garcia-Hermoso, Antonio/P-1857-2017; Izquierdo, Mikel/A-4894-2010; Alonso-Martinez, Alicia M./KYR-7889-2024</t>
  </si>
  <si>
    <t>Rodriguez-Manas, Leocadio/0000-0002-6551-1333; Ramirez-Campillo, Rodrigo/0000-0003-2035-3279; Delgado-Floody, Pedro/0000-0001-9952-993X; Mendez-Rebolledo, Guillermo/0000-0001-7948-3807; Garcia-Hermoso, Antonio/0000-0002-1397-7182; Valdes-Badilla, Pablo/0000-0002-3948-8280; Cristi-Montero, Carlos/0000-0002-9940-507X; Izquierdo, Mikel/0000-0002-1506-4272; Moran, Jason/0000-0001-7452-6855; Alonso-Martinez, Alicia M./0000-0002-7204-696X</t>
  </si>
  <si>
    <t>1178-1998</t>
  </si>
  <si>
    <t>10.2147/CIA.S121313</t>
  </si>
  <si>
    <t>WOS:000389798200001</t>
  </si>
  <si>
    <t>Casassus, S; Marino, S; Lyra, W; Baruteau, C; Vidal, M; Wootten, A; Pérez, S; Alarcon, F; Barraza, M; Cárcamo, M; Dong, RB; Sierra, A; Zhu, ZH; Ricci, L; Christiaens, V; Cieza, L</t>
  </si>
  <si>
    <t>Casassus, Simon; Marino, Sebastian; Lyra, Wladimir; Baruteau, Clement; Vidal, Matias; Wootten, Alwyn; Perez, Sebastian; Alarcon, Felipe; Barraza, Marcelo; Carcamo, Miguel; Dong, Ruobing; Sierra, Anibal; Zhu, Zhaohuan; Ricci, Luca; Christiaens, Valentin; Cieza, Lucas</t>
  </si>
  <si>
    <t>Cm-wavelength observations of MWC758: resolved dust trapping in a vortex</t>
  </si>
  <si>
    <t>The large crescents imaged by ALMA in transition discs suggest that azimuthal dust trapping concentrates the larger grains, but centimetre-wavelengths continuum observations are required to map the distribution of the largest observable grains. A previous detection at similar to 1 cm of an unresolved clump along the outer ring of MWC758 (Clump 1), and buried inside more extended sub-mm continuum, motivates followup VLA observations. Deep multiconfiguration integrations reveal the morphology of Clump 1 and additional cm-wave components that we characterize via comparison with a deconvolution of recent 342 GHz data (similar to 1 mm). Clump 1, which concentrates similar to 1/ 3 of the whole disc flux density at similar to 1 cm, is resolved as a narrow arc with a deprojected aspect ratio x &gt; 5.6, and with half the azimuthal width than at 342 GHz. The spectral trends in the morphology of Clump 1 are quantitatively consistent with the LyraLin prescriptions for dust trapping in an anticyclonic vortex, provided with porous grains (f similar to 0.2 +/- 0.2) in a very elongated (x similar to 14 +/- 3) and cold (T similar to 23 +/- 2K) vortex. The same prescriptions constrain the turbulence parameter a and the gas surface density Sigma(g) through log(10) (alpha x Sigma g/g cm(-2)) similar to -2.3 +/- 0.4, thus requiring values for Sigma(g) larger than a factor of a few compared to that reported in the literature from the CO isotopologues, if alpha less than or similar to 10(-3). Such physical conditions imply an appreciably optically thick continuum even at cm-wavelengths (tau(33GHz) similar to 0.2). A secondary and shallower peak at 342 GHz is about twice fainter relative to Clump 1 at 33 GHz. Clump 2 appears to be less efficient at trapping large grains.</t>
  </si>
  <si>
    <t>Rui, Dong/LDG-0179-2024; Pérez, Sebastián/AAS-5857-2020; Casassus, Simon/I-8609-2016; Marino, Sebastian/AFP-2400-2022; Vidal, Matias/ISA-0138-2023; Carcamo, Miguel/LEM-3690-2024</t>
  </si>
  <si>
    <t>Wootten, Henry/0000-0001-7026-6099; Marino, Sebastian/0000-0002-5352-2924; Lyra, Wladimir/0000-0002-3768-7542; Alarcon, Felipe/0000-0002-2692-7862; Christiaens, Valentin/0000-0002-0101-8814; Cieza, Lucas/0000-0002-2828-1153; Sierra Morales, Anibal/0000-0002-5991-8073; Perez, Sebastian/0000-0003-2953-755X; Dong, Ruobing/0000-0001-9290-7846; Vidal, Matias/0000-0003-2134-1587; Carcamo, Miguel/0000-0003-0564-8167; Barraza Alfaro, Marcelo/0000-0001-6378-7873</t>
  </si>
  <si>
    <t>10.1093/mnras/sty3269</t>
  </si>
  <si>
    <t>WOS:000462280000025</t>
  </si>
  <si>
    <t>Alaguero, A; Cuello, N; Ménard, F; Ceppi, S; Ribas, A; Nealon, R; Vioque, M; Izquierdo, A; Miley, J; Macías, E; Price, DJ</t>
  </si>
  <si>
    <t>Alaguero, Antoine; Cuello, Nicolas; Menard, Francois; Ceppi, Simone; Ribas, Alvaro; Nealon, Rebecca; Vioque, Miguel; Izquierdo, Andres; Miley, James; Macias, Enrique; Price, Daniel J.</t>
  </si>
  <si>
    <t>V892 Tau: A tidally perturbed circumbinary disc in a triple stellar system</t>
  </si>
  <si>
    <t>Context. V892 Tau is a young binary star surrounded by a circumbinary disc that shows hints of an interaction with the low-mass nearby star V892 Tau NE. Aims. The goal of this paper is to constrain the orbit of V892 Tau NE and to determine the resulting circumbinary disc dynamics. Methods. We present new ALMA observations of the V892 Tau circumbinary disc at a twice higher angular and spectral resolution. We modelled the data with V892 Tau as a triple system and performed a grid of hydrodynamical simulations testing several orbits of the companion. The simulation outputs were then post-processed to build synthetic maps that we compared to the observations. Results. The (CO)-C-12 emission of the disc shows clear non-Keplerian features such as spiral arms. When comparing the data with our synthetic observations, we interpreted these features as ongoing interactions with the companion. Our simulations indicate that an eccentricity of e similar to 0.5 of the companion is needed to reproduce the observed disc extent and that a mutual inclination of triangle i similar to 60 degrees with the inner binary reproduces the measured disc tilt. Conclusions. In order to explain most of the features of the circumbinary disc, we propose that V892 Tau NE follows an orbit with a mild eccentricity 0.2 &lt; e &lt; 0.5 and a mutual inclination of 30 degrees &lt; triangle i &lt; 60 degrees. Such a misaligned companion suggests the disc is oscillating and precessing with time, stabilising in an intermediate plane with a non-zero mutual inclination with the inner binary. Given the orbital configuration, we show that the stability of future planets is compromised in the second half of the disc once the gas has dissipated.</t>
  </si>
  <si>
    <t>Macias, Enrique/HPC-6016-2023; Nealon, Rebecca/CAH-2137-2022</t>
  </si>
  <si>
    <t>Macias, Enrique/0000-0003-1283-6262; Vioque, Miguel/0000-0002-4147-3846; Izquierdo, Andres/0000-0001-8446-3026; Ceppi, Simone/0000-0002-0457-1340; , Alaguero Antoine/0009-0001-7840-0536; Ribas, Alvaro/0000-0003-3133-3580</t>
  </si>
  <si>
    <t>JUL 26</t>
  </si>
  <si>
    <t>A311</t>
  </si>
  <si>
    <t>10.1051/0004-6361/202449683</t>
  </si>
  <si>
    <t>WOS:001278251300003</t>
  </si>
  <si>
    <t>Weber, P; Perez, S; Guidi, G; Kurtovic, NT; Zurlo, A; Garufi, A; Pinilla, P; Mayama, S; van Holstein, RG; Dullemond, CP; Cuello, N; Principe, D; Cieza, L; Gonzalez-Ruilova, C; Girard, J</t>
  </si>
  <si>
    <t>Weber, Philipp; Perez, Sebastian; Guidi, Greta; Kurtovic, Nicolas T.; Zurlo, Alice; Garufi, Antonio; Pinilla, Paola; Mayama, Satoshi; van Holstein, Rob G.; Dullemond, Cornelis P.; Cuello, Nicolas; Principe, David; Cieza, Lucas; Gonzalez-Ruilova, Camilo; Girard, Julien</t>
  </si>
  <si>
    <t>The SPHERE view of three interacting twin disc systems in polarized light</t>
  </si>
  <si>
    <t>Dense stellar environments as hosts of ongoing star formation increase the probability of gravitational encounters among stellar systems during the early stages of evolution. Stellar interaction may occur through non-recurring, hyperbolic, or parabolic passages (a so-called 'fly-by'), through secular binary evolution, or through binary capture. In all three scenarios, the strong gravitational perturbation is expected to manifest itself in the disc structures around the individual stars. Here, we present near-infrared polarized light observations that were taken with the SPHERE/IRDIS instrument of three known interacting twin-disc systems: AS 205, EM* SR 24, and FU Orionis. The scattered light exposes spirals likely caused by the gravitational interaction. On a larger scale, we observe connecting filaments between the stars. We analyse their very complex polarized intensity and put particular attention to the presence of multiple light sources in these systems. The local angle of linear polarization indicates the source whose light dominates the scattering process from the bridging region between the two stars. Further, we show that the polarized intensity from scattering with multiple relevant light sources results from an incoherent summation of the individuals' contribution. This can produce nulls of polarized intensity in an image, as potentially observed in AS 205. We discuss the geometry and content of the systems by comparing the polarized light observations with other data at similar resolution, namely with ALMA continuum and gas emission. Collective observational data can constrain the systems' geometry and stellar trajectories, with the important potential to differentiate between dynamical scenarios of stellar interaction.</t>
  </si>
  <si>
    <t>Weber, Philipp/HLX-1365-2023; Zurlo, Alice/Q-5011-2019; Girard, Julien/GRJ-2731-2022; Pérez, Sebastián/AAS-5857-2020</t>
  </si>
  <si>
    <t>Pinilla (she/her), Paola/0000-0001-8764-1780; Cieza, Lucas/0000-0002-2828-1153; Guidi, Greta/0000-0002-7002-8928; Weber, Philipp/0000-0002-3354-6654; Perez, Sebastian/0000-0003-2953-755X; Girard, Julien/0000-0001-8627-0404; Principe, David/0000-0002-7939-377X; Gonzalez Ruilova, Camilo/0000-0003-4907-189X; Dullemond, Cornelis/0000-0002-7078-5910</t>
  </si>
  <si>
    <t>10.1093/mnras/stac3478</t>
  </si>
  <si>
    <t>DEC 2022</t>
  </si>
  <si>
    <t>WOS:000928531300025</t>
  </si>
  <si>
    <t>Poblete, PP; Cuello, N; Pérez, S; Marino, S; Calcino, J; Macías, E; Ribas, A; Zurlo, A; Cuadra, J; Montesinos, M; Zúñiga-Fernández, S; Bayo, A; Pinte, C; Ménard, F; Price, DJ</t>
  </si>
  <si>
    <t>Poblete, P. P.; Cuello, N.; Perez, S.; Marino, S.; Calcino, J.; Macias, E.; Ribas, A.; Zurlo, A.; Cuadra, J.; Montesinos, M.; Zuniga-Fernandez, S.; Bayo, A.; Pinte, C.; Menard, F.; Price, D. J.</t>
  </si>
  <si>
    <t>The protoplanetary disc around HD 169142: circumstellar or circumbinary?</t>
  </si>
  <si>
    <t>Stellar binaries represent a substantial fraction of stellar systems, especially among young stellar objects. Accordingly, binaries play an important role in setting the architecture of a large number of protoplanetary discs. Binaries in coplanar and polar orientations with respect to the circumbinary disc are stable configurations and could induce non-axisymmetric structures in the dust and gas distributions. In this work, we suggest that the structures shown in the central region of the protoplanetary disc HD 169142 are produced by the presence of an inner stellar binary and a circumbinary (P-type) planet. We find that a companion with a mass ratio of 0.1, semimajor axis of 9.9au, eccentricity of 0.2, and inclination of 90 degrees, together with a 2M(J) coplanar planet on a circular orbit at 45au reproduce the structures at the innermost ring observed at 1.3mm and the shape of spiral features in scattered light observations. The model predicts changes in the disc's dust structure, and star's astrometric parameters, which would allow testing its veracity by monitoring this system over the next 20yr.</t>
  </si>
  <si>
    <t>Zurlo, Alice/Q-5011-2019; Montesinos, Matias/IAN-6347-2023; Marino, Sebastian/AFP-2400-2022; Pinte, Christophe/MVW-1517-2025; Cuadra, Jorge/GYV-4257-2022; Macias, Enrique/HPC-6016-2023; Pérez, Sebastián/AAS-5857-2020; Calcino, Josh/F-5964-2019</t>
  </si>
  <si>
    <t>Cuadra, Jorge/0000-0003-1965-3346; Calcino, Josh/0000-0001-7764-3627; Marino, Sebastian/0000-0002-5352-2924; Poblete, Pedro/0000-0003-0974-8747; Zuniga-Fernandez, Sebastian/0000-0002-9350-830X; Ribas, Alvaro/0000-0003-3133-3580; Montesinos, Matias/0000-0001-9789-5098; Zurlo, Alice/0000-0002-5903-8316; Macias, Enrique/0000-0003-1283-6262; Perez, Sebastian/0000-0003-2953-755X</t>
  </si>
  <si>
    <t>10.1093/mnras/stab3474</t>
  </si>
  <si>
    <t>WOS:000736094100014</t>
  </si>
  <si>
    <t>Ferrari, G; Drenowatz, C; Kovalskys, I; Gómez, G; Rigotti, A; Cortés, LY; García, MY; Pareja, RG; Herrera-Cuenca, M; Del'Arco, AP; Peralta, M; Marques, A; Leme, ACB; Sadarangani, KP; Guzmán-Habinger, J; Chaves, JL; Fisberg, M</t>
  </si>
  <si>
    <t>Ferrari, Gerson; Drenowatz, Clemens; Kovalskys, Irina; Gomez, Georgina; Rigotti, Attilio; Yadira Cortes, Lilia; Yepez Garcia, Martha; Pareja, Rossina G.; Herrera-Cuenca, Marianella; Del'Arco, Ana Paula; Peralta, Miguel; Marques, Adilson; Leme, Ana Carolina B.; Sadarangani, Kabir P.; Guzman-Habinger, Juan; Lobos Chaves, Javiera; Fisberg, Mauro</t>
  </si>
  <si>
    <t>Walking and cycling, as active transportation, and obesity factors in adolescents from eight countries</t>
  </si>
  <si>
    <t>BMC PEDIATRICS</t>
  </si>
  <si>
    <t>Background Evidence has shown that active transportation decreases obesity rates, but considering walking or cycling as separate modes could provide additional information on the health benefits in adolescents. This study aimed to examine the associations between walking and cycling as form active transportation and obesity indicators in Latin American adolescents. Methods Population-based study with 671 adolescents (mean age: 15.9 [standard deviation: 0.8] years) from eight countries participating in the Latin American Study of Nutrition and Health/Estudio Latino Americano Nutrition y Salud (ELANS). Walking and cycling for active transportation were measured using the International Physical Activity Questionnaire long version. Body mass index, waist circumference, neck circumference, and relative fat mass were used as obesity indicators. Associations were estimated using logistic regression models for the pooled data adjusted for country, sex, age, socio-economic levels, race/ethnicity, leisure-time physical activity and energy intake. Results Mean time spent walking and cycling was 22.6 (SD: 33.1) and 5.1 (SD: 24.1) min/day, respectively. The median values were 12.8 (IQR: 4.2; 25.7) and 0 (IQR: 0; 6.2) for walking and cycling. Participants reporting &gt;= 10 min/week of walking or cycling for active transportation were 84.2% and 15.5%, respectively. Costa Rica (94.3% and 28.6%) showed the highest prevalence for walking and cycling, respectively, while Venezuela (68.3% and 2.4%) showed the lowest prevalence. There was no significant association between walking for active transportation and any obesity indicator. In the overall sample, cycling for &gt;= 10 min/week was significantly associated with a lower likelihood of overweight/obesity based on BMI (OR: 0.86; 95%CI: 0.88; 0.94) and waist circumference (OR: 0.90; 95%CI: 0.83; 0.97) adjusted for country, sex, age, socio-economic level, race/ethnicity, leisure-time physical activity and energy intake compared to cycling for &lt; 10 min/week. There were no significant associations between cycling for active transportation and neck circumference as well as relative fat mass. Conclusions Cycling for active transportation was negatively associated with obesity indicators, especially body mass index and waist circumference. Programs for promoting cycling for active transportation could be a feasible strategy to tackle the high obesity rates in adolescents in Latin America.</t>
  </si>
  <si>
    <t>Gomez, Georgina/AAR-7272-2020; Ferrari, Gerson/HHM-6173-2022; Cortes, Lilia/AAF-2960-2019; Yépez, Maria/N-7710-2017; Peralta, Miguel/H-1666-2017; Ferrari, Gerson/P-1152-2014; Barco Leme, Ana Carolina/H-3619-2015; Marques, Adilson/K-4529-2014</t>
  </si>
  <si>
    <t>Peralta, Miguel/0000-0001-6072-6012; Ferrari, Gerson/0000-0003-3177-6576; Cortes, Lilia Yadira/0000-0003-2789-3219; Barco Leme, Ana Carolina/0000-0003-2782-4301; Marques, Adilson/0000-0001-9850-7771</t>
  </si>
  <si>
    <t>1471-2431</t>
  </si>
  <si>
    <t>10.1186/s12887-022-03577-8</t>
  </si>
  <si>
    <t>WOS:000847692400004</t>
  </si>
  <si>
    <t>Birba, A; Santamaría-García, H; Prado, P; Cruzat, J; Ballesteros, AS; Legaz, A; Fittipaldi, S; Duran-Aniotz, C; Slachevsky, A; Santibañez, R; Sigman, M; García, AM; Whelan, R; Moguilner, S; Ibáñez, A</t>
  </si>
  <si>
    <t>Birba, Agustina; Santamaria-Garcia, Hernando; Prado, Pavel; Cruzat, Josefina; Sainz Ballesteros, Agustin; Legaz, Agustina; Fittipaldi, Sol; Duran-Aniotz, Claudia; Slachevsky, Andrea; Santibanez, Rodrigo; Sigman, Mariano; Garcia, Adolfo M.; Whelan, Robert; Moguilner, Sebastian; Ibanez, Agustin</t>
  </si>
  <si>
    <t>Allostatic-Interoceptive Overload in Frontotemporal Dementia</t>
  </si>
  <si>
    <t>BIOLOGICAL PSYCHIATRY</t>
  </si>
  <si>
    <t>BACKGROUND: The predictive coding theory of allostatic-interoceptive load states that brain networks mediating autonomic regulation and interoceptive-exteroceptive balance regulate the internal milieu to anticipate future needs and environmental demands. These functions seem to be distinctly compromised in behavioral variant frontotemporal dementia (bvFTD), including alterations of the allostatic-interoceptive network (AIN). Here, we hypothesize that bvFTD is typified by an allostatic-interoceptive overload. METHODS: We assessed resting-state heartbeat evoked potential (rsHEP) modulation as well as its behavioral and multimodal neuroimaging correlates in patients with bvFTD relative to healthy control subjects and patients with Alzheimer's disease (N = 94). We measured 1) resting-state electroencephalography (to assess the rsHEP, prompted by visceral inputs and modulated by internal body sensing), 2) associations between rsHEP and its neural generators (source location), 3) cognitive disturbances (cognitive state, executive functions, facial emotion recognition), 4) brain atrophy, and 5) resting-state functional magnetic resonance imaging functional connectivity (AIN vs. control networks). RESULTS: Relative to healthy control subjects and patients with Alzheimer's disease, patients with bvFTD presented more negative rsHEP amplitudes with sources in critical hubs of the AIN (insula, amygdala, somatosensory cortex, hippocampus, anterior cingulate cortex). This exacerbated rsHEP modulation selectively predicted the patients' cognitive profile (including cognitive decline, executive dysfunction, and emotional impairments). In addition, increased rsHEP modulation in bvFTD was associated with decreased brain volume and connectivity of the AIN. Machine learning results confirmed AIN specificity in predicting the bvFTD group. CONCLUSIONS: Altogether, these results suggest that bvFTD may be characterized by an allostatic-interoceptive overload manifested in ongoing electrophysiological markers, brain atrophy, functional networks, and cognition.</t>
  </si>
  <si>
    <t>Cruzat, Josephine/AAX-4082-2020; Whelan, Robert/E-5365-2010; Santibáñez, Rodrigo/AAG-2266-2019; Prado, Pavel/O-2711-2019; Birba, Agustina/AFR-3037-2022; García, Adolfo/E-7150-2017; Ibanez, Agustin/H-7976-2015</t>
  </si>
  <si>
    <t>Cruzat, Josephine/0000-0002-3252-8657; Prado, Pavel/0000-0002-1324-6400; Ibanez, Agustin/0000-0001-6758-5101; Birba, Agustina/0000-0001-5998-6634; Santamaria Garcia, Hernando/0000-0001-9422-3579; Santibanez, Rodrigo/0000-0002-2391-4468; Duran-Aniotz, Claudia/0000-0003-2503-8366; Moguilner, Sebastian/0000-0003-1731-8325</t>
  </si>
  <si>
    <t>0006-3223</t>
  </si>
  <si>
    <t>1873-2402</t>
  </si>
  <si>
    <t>10.1016/j.biopsych.2022.02.955</t>
  </si>
  <si>
    <t>JUN 2022</t>
  </si>
  <si>
    <t>WOS:000833423000009</t>
  </si>
  <si>
    <t>Ribas, A; Macías, E; Weber, P; Pérez, S; Cuello, N; Dong, R; Aguayo, A; Cáceres, C; Carpenter, J; Dent, WRF; de Gregorio-Monsalvo, I; Duchêne, G; Espaillat, CC; Riviere-Marichalar, P; Villenave, M</t>
  </si>
  <si>
    <t>Ribas, A.; Macias, E.; Weber, P.; Perez, S.; Cuello, N.; Dong, R.; Aguayo, A.; Caceres, C.; Carpenter, J.; Dent, W. R. F.; de Gregorio-Monsalvo, I.; Duchene, G.; Espaillat, C. C.; Riviere-Marichalar, P.; Villenave, M.</t>
  </si>
  <si>
    <t>The ALMA view of MP Mus (PDS 66): A protoplanetary disk with no visible gaps down to 4 au scales</t>
  </si>
  <si>
    <t>Aims. We aim to characterize the protoplanetary disk around the nearby (d similar to 100 pc), young solar analog MP Mus (PDS 66) and to reveal any signs of planets or ongoing planet formation in the system. Methods. We present new ALMA observations of MP Mus at 0.89 mm, 1.3 mm, and 2.2 mm with angular resolutions of similar to 1 '', 0.05 '', and 0.25 '', respectively. These data probe the dust and gas in the disk with unprecedented detail and sensitivity. Results. The disk appears smooth down to the 4 au resolution of the 1.3 mm observations, in contrast with most disks observed at comparable spatial scales. The dust disk has a radius of 60 +/- 5 au, a dust mass of 0.14(-0.06)(+0.11) M-Jup, and a millimeter spectral index &lt;2 in the inner 30 au, suggesting optically thick emission from grains with a high albedo in this region. Several molecular gas lines are also detected extending up to 130 +/- 15 au, similar to small grains traced by scattered light observations. Comparing the fluxes of different CO isotopologues with previous models yields a gas mass of 0.1-1 M-Jup, implying a gas-to-dust ratio of 1-10. We also measured a dynamical stellar mass of M-dyn = 1.30 +/- 0.08 M-circle dot and derived an age of 7-10 Myr. Conclusions. The survival of large grains in an evolved disk without gaps or rings is surprising, and it is possible that existing substructures remain undetected due to optically thick emission at 1.3 mm. Alternatively, small structures may still remain unresolved with the current observations. Based on simple scaling relations for gap-opening planets and gap widths, this lack of substructures places upper limits to the masses of planets in the disk as low as 2 M-circle plus-0.06 M-Jup at r &gt; 40 au. The lack of millimeter emission at radii r &gt; 60 au also suggests that the gap in scattered light between 30 and 80 au is likely not a gap in the disk density, but a shadow cast by a puffed-up inner disk.</t>
  </si>
  <si>
    <t>Pérez, Sebastián/AAS-5857-2020; Rui, Dong/LDG-0179-2024; Macias, Enrique/HPC-6016-2023; Weber, Philipp/HLX-1365-2023; Espaillat, Catherine/HNS-4827-2023; Caceres, Claudio/Q-6297-2016</t>
  </si>
  <si>
    <t>Macias, Enrique/0000-0003-1283-6262; Ribas, Alvaro/0000-0003-3133-3580; de Gregorio-Monsalvo, Itziar/0000-0003-4518-407X; Carpenter, John/0000-0003-2251-0602; Caceres, Claudio/0000-0002-6617-3823; Perez, Sebastian/0000-0003-2953-755X; Weber, Philipp/0000-0002-3354-6654; Villenave, Marion/0000-0002-8962-448X; Dong, Ruobing/0000-0001-9290-7846</t>
  </si>
  <si>
    <t>MAY 10</t>
  </si>
  <si>
    <t>A77</t>
  </si>
  <si>
    <t>10.1051/0004-6361/202245637</t>
  </si>
  <si>
    <t>WOS:000999205500004</t>
  </si>
  <si>
    <t>Werneck, AO; Araujo, RHO; Anza-Ramírez, C; Brazo-Sayavera, J; García-Witulski, C; Aguilar-Farias, N; Baldew, SS; Sadarangani, KP; Ramírez-Vélez, R; García-Hermoso, A; Ferrari, G; Cañete, F; Nieto-Martinez, R; Silva, DR</t>
  </si>
  <si>
    <t>Werneck, Andre O.; Araujo, Raphael H. O.; Anza-Ramirez, Cecilia; Brazo-Sayavera, Javier; Garcia-Witulski, Christian; Aguilar-Farias, Nicolas; Baldew, Se-Sergio; Sadarangani, Kabir P.; Ramirez-Velez, Robinson; Garcia-Hermoso, Antonio; Ferrari, Gerson; Canete, Felicia; Nieto-Martinez, Ramfis; Silva, Danilo R.</t>
  </si>
  <si>
    <t>Physical Activity and Sitting Time Patterns and Sociodemographic Correlates Among 155,790 South American Adults</t>
  </si>
  <si>
    <t>Background: To estimate the prevalence of different physical activity (PA) domains and sitting time (ST), and to analyze the association with sociodemographic indicators. Methods: Data from the most recent nationally representative survey from each of the South American countries, comprising 155,790 adults (18-64 y), were used. Data on leisure-time, transport, and occupational PA (all 3 domains as nonzero), total PA (&gt;= 150min/wk), and ST (&gt;= 8 h/d) were assessed by specific questionnaires in each survey. Gender, age group (18-34, 35-49, and 50-64 y), and education (quintiles) were used as sociodemographic factors. Random effect meta-analysis of the association between sociodemographic factors and PA and ST were conducted. Results: The prevalence of PA guidelines compliance and elevated ST in South America was 70.3% and 14.1%, respectively. Women were less likely to achieve the recommended levels of total and domain-based PA. Participants in the highest quintile of education were more likely for elevated ST (2.80, 2.08-3.77), lower occupational PA (0.65, 0.44-0.95), but higher leisure-time PA (3.13, 2.31-4.27), in comparison with lowest quintile. Older adults were less likely to participate in total and leisure-time PA. Conclusion: Our findings highlight the urge to tackle the inequalities in PA practice in South America, especially gender and education inequalities, for leisure-time PA.</t>
  </si>
  <si>
    <t>Anza-Ramirez, Cecilia/AAP-6223-2021; Araujo, Raphael/W-5556-2018; Ferrari, Gerson/HHM-6173-2022; García-Hermoso, Antonio/ADU-2591-2022; Garcia-Witulski, Christian/KIE-0496-2024; Aguilar-Farias, Nicolas/V-2742-2018; Martinez, Ramfis/I-7205-2019; Silva, Danilo/E-3747-2018; Werneck, Andre/N-5006-2016; Garcia-Hermoso, Antonio/P-1857-2017; Brazo-Sayavera, Javier/G-5601-2011; Ferrari, Gerson/P-1152-2014; Ramirez-Velez, Robinson/D-5311-2016</t>
  </si>
  <si>
    <t>Garcia-Witulski, Christian/0000-0001-6444-0521; Silva, Danilo/0000-0003-3995-4795; de Oliveira Araujo, Raphael Henrique/0000-0002-9405-3052; Werneck, Andre/0000-0002-9166-4376; Garcia-Hermoso, Antonio/0000-0002-1397-7182; Anza-Ramirez, Cecilia/0000-0001-7364-8252; Brazo-Sayavera, Javier/0000-0001-6249-5131; Ferrari, Gerson/0000-0003-3177-6576; Baldew, Se-Sergio/0000-0003-0122-5570; Ramirez-Velez, Robinson/0000-0003-3075-6960</t>
  </si>
  <si>
    <t>10.1123/jpah.2022-0305</t>
  </si>
  <si>
    <t>WOS:000991226500001</t>
  </si>
  <si>
    <t>Lee, DH; Rezende, LFM; Joh, HK; Keum, N; Ferrari, G; Rey-Lopez, JP; Rimm, EB; Tabung, FK; Giovannucci, EL</t>
  </si>
  <si>
    <t>Lee, Dong Hoon; Rezende, Leandro F. M.; Joh, Hee-Kyung; Keum, NaNa; Ferrari, Gerson; Rey-Lopez, Juan Pablo; Rimm, Eric B.; Tabung, Fred K.; Giovannucci, Edward L.</t>
  </si>
  <si>
    <t>Long-Term Leisure-Time Physical Activity Intensity and All-Cause and Cause-Specific Mortality: A Prospective Cohort of US Adults</t>
  </si>
  <si>
    <t>CIRCULATION</t>
  </si>
  <si>
    <t>Background: The 2018 physical activity guidelines for Americans recommend a minimum of 150 to 300 min/wk of moderate physical activity (MPA), 75 to 150 min/wk of vigorous physical activity (VPA), or an equivalent combination of both. However, it remains unclear whether higher levels of long-term VPA and MPA are, independently and jointly, associated with lower mortality. Methods: A total of 116 221 adults from 2 large prospective US cohorts (Nurses' Health Study and Health Professionals Follow-up Study, 1988-2018) were analyzed. Detailed self-reported leisure-time physical activity was assessed with a validated questionnaire, repeated up to 15 times during the follow-up. Cox regression was used to estimate the hazard ratio and 95% CI of the association between long-term leisure-time physical activity intensity and all-cause and cause-specific mortality. Results: During 30 years of follow-up, we identified 47 596 deaths. In analyses mutually adjusted for MPA and VPA, hazard ratios comparing individuals meeting the long-term leisure-time VPA guideline (75-149 min/wk) versus no VPA were 0.81 (95% CI, 0.76-0.87) for all-cause mortality, 0.69 (95% CI, 0.60-0.78) for cardiovascular disease (CVD) mortality, and 0.85 (95% CI, 0.79-0.92) for non-CVD mortality. Meeting the long-term leisure-time MPA guideline (150-299 min/wk) was similarly associated with lower mortality: 19% to 25% lower risk of all-cause, CVD, and non-CVD mortality. Compared with those meeting the long-term leisure-time physical activity guidelines, participants who reported 2 to 4 times above the recommended minimum of long-term leisure-time VPA (150-299 min/wk) or MPA (300-599 min/wk) showed 2% to 4% and 3% to 13% lower mortality, respectively. Higher levels of either long-term leisure-time VPA (&gt;= 300 min/wk) or MPA (&gt;= 600 min/wk) did not clearly show further lower all-cause, CVD, and non-CVD mortality or harm. In joint analyses, for individuals who reported &lt;300 min/wk of long-term leisure-time MPA, additional leisure-time VPA was associated with lower mortality; however, among those who reported &gt;= 300 min/wk of long-term leisure-time MPA, additional leisure-time VPA did not appear to be associated with lower mortality beyond MPA. Conclusions: The nearly maximum association with lower mortality was achieved by performing approximate to 150 to 300 min/wk of long-term leisure-time VPA, 300 to 600 min/wk of long-term leisure-time MPA, or an equivalent combination of both.</t>
  </si>
  <si>
    <t>Ferrari, Gerson/HHM-6173-2022; Tabung, Fred/AAQ-7823-2021; Giovannucci, Edward/ADE-8028-2022; Joh, Hee/J-5674-2012; Rezende, Leandro/C-1724-2012; Ferrari, Gerson/P-1152-2014</t>
  </si>
  <si>
    <t>Lee, Dong Hoon/0000-0003-1329-4637; Rezende, Leandro/0000-0002-7469-1399; Ferrari, Gerson/0000-0003-3177-6576; Joh, Hee-Kyung/0000-0003-3854-7012</t>
  </si>
  <si>
    <t>0009-7322</t>
  </si>
  <si>
    <t>1524-4539</t>
  </si>
  <si>
    <t>AUG 16</t>
  </si>
  <si>
    <t>10.1161/CIRCULATIONAHA.121.058162</t>
  </si>
  <si>
    <t>WOS:000843014700007</t>
  </si>
  <si>
    <t>Ferrari, G; Werneck, AO; da Silva, DR; Kovalskys, I; Gómez, G; Rigotti, A; Sanabria, LYC; García, MCY; Pareja, RG; Herrera-Cuenca, M; Zimberg, IZ; Guajardo, V; Pratt, M; Bolados, CC; Saldía, EJ; Pires, C; Marques, A; Peralta, M; de Victo, ER; Fisberg, M</t>
  </si>
  <si>
    <t>Ferrari, Gerson; Oliveira Werneck, Andre; Rodrigues da Silva, Danilo; Kovalskys, Irina; Gomez, Georgina; Rigotti, Attilio; Yadira Cortes Sanabria, Lilia; Garcia, Martha Cecilia Yepez; Pareja, Rossina G.; Herrera-Cuenca, Marianella; Zimberg, Iona Zalcman; Guajardo, Viviana; Pratt, Michael; Cofre Bolados, Cristian; Saldia, Emilio Jofre; Pires, Carlos; Marques, Adilson; Peralta, Miguel; Rossato de Victo, Eduardo; Fisberg, Mauro</t>
  </si>
  <si>
    <t>Association between Perceived Neighborhood Built Environment and Walking and Cycling for Transport among Inhabitants from Latin America: The ELANS Study</t>
  </si>
  <si>
    <t>Purpose: This study aimed to examine the associations of the perceived neighborhood built environment with walking and cycling for transport in inhabitants from Latin American countries. Methods: This cross-sectional study involved 9218 participants (15-65 years) from the Latin American Study of Nutrition and Health, which included a nationally representative sample of eight countries. All participants completed the International Physical Activity Questionnaire-Long Form for measure walking and cycling for transport and the Neighborhood Environment Walkability Scale-Abbreviated. Furthermore, perceived proximity from home to public open spaces and shopping centers was assessed. Results: Perceived land use mix-access (OR: 1.32; 95%CI: 1.16,1.50) and the existence of many alternative routes in the neighbourhood (1.09 1.01,1.17) were associated with higher odds of reporting any walking for transport (&gt;= 10 min/week). Perceived slow speed of traffic (1.88 1.82,1.93) and few drivers exceeding the speed limits (1.92; 1.86,1.98) were also related to higher odds of reporting any walking for transport. The odds of reporting any cycling for transport (&gt;= 10 min/week) were higher in participants perceiving more walking/cycling facilities (1.87 1.76,1.99), and better aesthetics (1.22 1.09,1.38). Conclusions: Dissimilar perceived neighborhood built environment characteristics were associated with walking and cycling for transport among inhabitants from Latin America.</t>
  </si>
  <si>
    <t>Cortes, Lilia/AAF-2960-2019; Zimberg, Iona/E-8452-2012; Fisberg, Mauro/E-7149-2010; Ferrari, Gerson/ABG-6635-2021; Victo, Eduardo/JQI-9333-2023; Gomez, Georgina/AAR-7272-2020; Pareja, Rossina/D-9892-2018; Pires, Carlos/N-9271-2014; Ferrari, Gerson/P-1152-2014; Silva, Danilo/E-3747-2018; Werneck, Andre/N-5006-2016; Peralta, Miguel/H-1666-2017; Marques, Adilson/K-4529-2014</t>
  </si>
  <si>
    <t>Cortes, Lilia Yadira/0000-0003-2789-3219; Herrera-Cuenca, Marianella/0000-0003-0162-3480; Gomez, Georgina/0000-0003-3514-2984; Rossato de Victo, Eduardo/0000-0002-4409-741X; Pareja, Rossina/0000-0001-7523-3181; Pires, Carlos/0000-0001-9190-1119; Kovalskys, Irina/0000-0001-8481-5415; Ferrari, Gerson/0000-0003-3177-6576; Silva, Danilo/0000-0003-3995-4795; Werneck, Andre/0000-0002-9166-4376; Peralta, Miguel/0000-0001-6072-6012; Marques, Adilson/0000-0001-9850-7771; Yepez, Martha Cecilia/0000-0003-4119-238X</t>
  </si>
  <si>
    <t>10.3390/ijerph17186858</t>
  </si>
  <si>
    <t>WOS:000580026900001</t>
  </si>
  <si>
    <t>Luarte, T; Gómez-Aburto, VA; Poblete-Castro, I; Castro-Nallar, E; Huneeus, N; Molina-Montenegro, M; Egas, C; Azcune, G; Pérez-Parada, A; Lohmann, R; Bohlin-Nizzetto, P; Dachs, J; Bengtson-Nash, S; Chiang, G; Pozo, K; Galbán-Malagón, CJ</t>
  </si>
  <si>
    <t>Luarte, Thais; Gomez-Aburto, Victoria A.; Poblete-Castro, Ignacio; Castro-Nallar, Eduardo; Huneeus, Nicolas; Molina-Montenegro, Marco; Egas, Claudia; Azcune, German; Perez-Parada, Andres; Lohmann, Rainier; Bohlin-Nizzetto, Pernilla; Dachs, Jordi; Bengtson-Nash, Susan; Chiang, Gustavo; Pozo, Karla; Galban-Malagon, Cristobal J.</t>
  </si>
  <si>
    <t>Levels of persistent organic pollutants (POPs) in the Antarctic atmosphere over time (1980 to 2021) and estimation of their atmospheric half-lives</t>
  </si>
  <si>
    <t>ATMOSPHERIC CHEMISTRY AND PHYSICS</t>
  </si>
  <si>
    <t>Persistent organic pollutants (POPs) are synthetic compounds that were intentionally produced in large quantities and have been distributed in the global environment, originating a threat due to their persistence, bioaccumulative potential, and toxicity. POPs reach the Antarctic continent through long-range atmospheric transport (LRAT). In these areas, low temperatures play a significant role in the environmental fate of POPs, retaining them for a long time due to cold trapping by diffusion and wet deposition, acting as a net sink for many POPs. However, in the current context of climate change, the remobilization of POPs that were trapped in water, ice, and soil for decades is happening. Therefore, continuous monitoring of POPs in polar air is necessary to assess whether there is a recent re-release of historical pollutants back to the environment. We reviewed the scientific literature on atmospheric levels of several POP families (polychlorinated biphenyls - PCBs, hexachlorobenzene - HCB, hexachlorocyclohexanes - HCHs, and dichlorodiphenyltrichloroethane - DDT) from 1980 to 2021. We estimated the atmospheric half-life using characteristic decreasing times (TD). We observed that HCB levels in the Antarctic atmosphere were higher than the other target organochlorine pesticides (OCPs), but HCB also displayed higher fluctuations and did not show a significant decrease over time. Conversely, the atmospheric levels of HCHs, some DDTs, and PCBs have decreased significantly. The estimated atmospheric half-lives for POPs decreased in the following order: 4,4' DDE (13.5 years) &gt; 4,4' DDD (12.8 years) &gt; 4,4' DDT (7.4 years) &gt; 2,4' DDE (6.4 years) &gt; 2,4' DDT (6.3 years) &gt; a-HCH (6 years) &gt; HCB (6 years) &gt; ?-HCH (4.2 years). For PCB congeners, they decreased in the following order: PCB 153 (7.6 years) &gt; PCB 138 (6.5 years) &gt; PCB 101 (4.7 years) &gt; PCB 180 (4.6 years) &gt; PCB 28 (4 years) &gt; PCB 52 (3.7 years) &gt; PCB 118 (3.6 years). For HCH isomers and PCBs, the Stockholm Convention (SC) ban on POPs did have an impact on decreasing their levels during the last decades. Nevertheless, their ubiquity in the Antarctic atmosphere shows the problematic issues related to highly persistent synthetic chemicals.</t>
  </si>
  <si>
    <t>Gómez, Victoria/HCG-8836-2022; Poblete-Castro, Ignacio/J-2755-2019; Perez Ortiz, Edwyn/HGD-8377-2022; Bengtson Nash, Susan/I-3942-2015; Pozo, Karla/D-3822-2012; Castro-Nallar, Eduardo/I-5925-2019; Huneeus, Nicolas/IVH-5476-2023; Dachs, Jordi/LOU-0520-2024; Chiang, Gustavo/ABA-9349-2020; Bohlin-Nizzetto, Pernilla/C-3345-2019; Galbán-Malagón, Cristóbal/ABU-7252-2022; Molina-Montenegro, Marco/HGF-1381-2022; Galban Malagon, Cristobal/J-2384-2015</t>
  </si>
  <si>
    <t>Galban Malagon, Cristobal/0000-0001-8397-5804; Chiang, Gustavo/0000-0003-4504-355X; Azcune, German/0000-0003-3016-9352; Perez Parada, Andres/0000-0003-0321-8171; Huneeus, Nicolas/0000-0002-6214-5518; Castro-Nallar, Eduardo/0000-0003-4384-8661; Poblete-Castro, Ignacio/0000-0001-6649-0389; Gomez Aburto, Victoria Antonieta/0000-0001-6343-762X</t>
  </si>
  <si>
    <t>1680-7316</t>
  </si>
  <si>
    <t>1680-7324</t>
  </si>
  <si>
    <t>JUL 19</t>
  </si>
  <si>
    <t>10.5194/acp-23-8103-2023</t>
  </si>
  <si>
    <t>WOS:001032496900001</t>
  </si>
  <si>
    <t>Hanitzsch, T; Hanusch, F; Mellado, C; Anikina, M; Berganza, R; Cangoz, I; Coman, M; Hamada, B; Hernández, ME; Karadjov, CD; Moreira, SV; Mwesige, PG; Plaisance, PL; Reich, Z; Seethaler, J; Skewes, EA; Noor, DV; Yuen, EKW</t>
  </si>
  <si>
    <t>Hanitzsch, Thomas; Hanusch, Folker; Mellado, Claudia; Anikina, Maria; Berganza, Rosa; Cangoz, Incilay; Coman, Mihai; Hamada, Basyouni; Elena Hernandez, Maria; Karadjov, Christopher D.; Moreira, Sonia Virginia; Mwesige, Peter G.; Plaisance, Patrick Lee; Reich, Zvi; Seethaler, Josef; Skewes, Elizabeth A.; Noor, Dani Vardiansyah; Yuen, Edgar Kee Wang</t>
  </si>
  <si>
    <t>MAPPING JOURNALISM CULTURES ACROSS NATIONS A comparative study of 18 countries</t>
  </si>
  <si>
    <t>JOURNALISM STUDIES</t>
  </si>
  <si>
    <t>This article reports key findings from a comparative survey of the role perceptions, epistemological orientations and ethical views of 1800 journalists from 18 countries. The results show that detachment, non-involvement, providing political information and monitoring the government are considered essential journalistic functions around the globe. Impartiality, the reliability and factualness of information, as well as adherence to universal ethical principles are also valued worldwide, though their perceived importance varies across countries. Various aspects of interventionism, objectivism and the importance of separating facts from opinion, on the other hand, seem to play out differently around the globe. Western journalists are generally less supportive of any active promotion of particular values, ideas and social change, and they adhere more to universal principles in their ethical decisions. Journalists from non-western contexts, on the other hand, tend to be more interventionist in their role perceptions and more flexible in their ethical views.</t>
  </si>
  <si>
    <t>REICH, ZVI/F-1913-2012; vardiansyah, dani/GOG-7825-2022; Moreira, Sonia/I-4274-2017; Berganza, Rosa/M-1921-2019; Hanitzsch, Thomas/G-7007-2011; Seethaler, Josef/E-6759-2019; Hanitzsch, Thomas/J-3684-2017; Coman, Mihai/HGE-6150-2022</t>
  </si>
  <si>
    <t>Hanusch, Folker/0000-0002-7344-0483; reich, zvi/0000-0002-5523-1821; Seethaler, Josef/0000-0001-8857-3935; Berganza, Rosa/0000-0002-6393-9707; Hanitzsch, Thomas/0000-0002-7104-6300; Mellado, Claudia/0000-0002-9281-1526; Coman, Mihai/0000-0003-2270-7958</t>
  </si>
  <si>
    <t>1461-670X</t>
  </si>
  <si>
    <t>PII 929635394</t>
  </si>
  <si>
    <t>10.1080/1461670X.2010.512502</t>
  </si>
  <si>
    <t>WOS:000290675700001</t>
  </si>
  <si>
    <t>Espín-Sarzosa, D; Palma-Behnke, R; Cañizares, CA; Annakkage, U; Elizondo, M; Espina, E; Du, W; Kabalan, M; Meegahapola, L; Mendoza-Araya, PA; Nasr, E; Pavani, A; Ramos, R; Ropp, M; Schneider, KP; Simpson-Porco, JW; Strunz, K; Taranto, G; Tuffner, F; Reilly, JT</t>
  </si>
  <si>
    <t>Espin-Sarzosa, Danny; Palma-Behnke, Rodrigo; Canizares, Claudio A.; Annakkage, Udaya; Elizondo, Marcelo; Espina, Enrique; Du, Wei; Kabalan, Mahmoud; Meegahapola, Lasantha; Mendoza-Araya, Patricio A.; Nasr, Ehsan; Pavani, Ahda; Ramos, Rodrigo; Ropp, Michael; Schneider, Kevin P.; Simpson-Porco, John W.; Strunz, Kai; Taranto, Glauco; Tuffner, Francis; Reilly, James T.</t>
  </si>
  <si>
    <t>Microgrid Modeling for Stability Analysis</t>
  </si>
  <si>
    <t>IEEE TRANSACTIONS ON SMART GRID</t>
  </si>
  <si>
    <t>This document is a summary of a report prepared by the IEEE PES Task Force (TF) on Microgrid (MG) Dynamic Modeling, IEEE Power and Energy Society, Tech. Rep. PES-TR106, 2023. In this paper, the major issues and challenges in microgrid modeling for stability analysis are discussed, and a review of state-of-the-art modeling approaches and trends is presented. In the context of the IEEE 1547 standard, the document covers issues associated with component models for MG dynamic studies and simulations, including generator and grid modeling, full and average converter models, unbalanced and balanced system conditions, dynamic and static loads, protection requirements, and detailed and simplified controls considering communications delays, packet losses, and security issues. Considering the future integration of grids and MGs to form broad integrated networks, a discussion is presented of the use of phasor vis-&amp; agrave;-vis electromagnetic transient simulation tools for MG dynamic stability studies, as well as modeling scale-up issues and MG equivalent models. Specifically white-, grey-, and black-box models, are presented. This TF paper and companion report constitute a modeling guide for R&amp;D groups working on developments and standards of MGs with a focus on stability issues.</t>
  </si>
  <si>
    <t>Du, Wei/AAI-1530-2019; Espina, Enrique/AGZ-7297-2022; Taranto, Glauco/A-8255-2013; Elizondo, Marcelo/KEI-5859-2024; Pavani, Ahda/F-9062-2012; Strunz, Kai/AAD-8656-2020; Palma-Behnke, Rodrigo/A-1849-2012; Simpson-Porco, John/HTS-9570-2023; Mendoza-Araya, Patricio/E-2971-2013; Schneider, Kevin/Q-5352-2017; Andrade Ramos, Rodrigo/F-5923-2010; Meegahapola, Lasantha/G-4650-2012</t>
  </si>
  <si>
    <t>Du, Wei/0000-0001-5954-3622; Andrade Ramos, Rodrigo/0000-0002-2240-1150; Palma-Behnke, Rodrigo/0000-0002-7508-0944; Annakkage, Udaya/0000-0002-1361-6694; Espin-Sarzosa, Danny/0000-0003-2701-0746; Canizares, Claudio/0000-0003-1458-2569; Meegahapola, Lasantha/0000-0003-4471-8471</t>
  </si>
  <si>
    <t>1949-3053</t>
  </si>
  <si>
    <t>1949-3061</t>
  </si>
  <si>
    <t>10.1109/TSG.2023.3326063</t>
  </si>
  <si>
    <t>WOS:001216877100021</t>
  </si>
  <si>
    <t>Cristi-Montero, C; Hernandez-Jaña, S; Zavala-Crichton, JP; Tremblay, MS; Ortega, FB; Feter, N; Mota, J; Aguilar-Farias, N; Ferrari, G; Sadarangani, KP; Gaya, A</t>
  </si>
  <si>
    <t>Cristi-Montero, Carlos; Hernandez-Jana, Sam; Zavala-Crichton, Juan Pablo; Tremblay, Mark S.; Ortega, Francisco B.; Feter, Natan; Mota, Jorge; Aguilar-Farias, Nicolas; Ferrari, Gerson; Sadarangani, Kabir P.; Gaya, Anelise</t>
  </si>
  <si>
    <t>Mentally active but not inactive sedentary behaviors are positively related to adolescents' cognitive-academic achievements, a cross-sectional study - The Cogni-Action Project</t>
  </si>
  <si>
    <t>MENTAL HEALTH AND PHYSICAL ACTIVITY</t>
  </si>
  <si>
    <t>Excessive adolescent sedentary behaviors (SBs) may affect cognitive-academic achievements; however, findings vary according to the SB evaluated and their mental requirements. This study aimed to understand the multi-variate association between different SBs and diverse cognitive-academic achievements as a primary analysis. As a secondary one, we differentiated between mentally active and inactive SBs. In this study, 1296 Chilean ado-lescents (10-14 years old) reported their SB via questionnaires. Cognitive performance was assessed with a neurocognitive battery, and academic achievement was based on school grades. Canonical correlation analysis was performed to determine the mode of covariation (MofC) between two sets of variables. The first set accounted for eight SBs (five considered as active mentally and three as inactive mentally). The second set accounted for 13 cognitive and academic variables (eight cognitive tasks and five school subjects). Several covariates and a cluster (schools, k = 19) were also included in the analysis. The primary analysis revealed a single significant MofC, with a small canonical relationship (r = 0.22, p = 0.002). This MofC indicated that time spent using computers and engaging in scholarly tasks at home was positively correlated with cognitive pro-cessing speed as well as with academic scores in English and History. Secondary analysis revealed two significant modes of covariation. The first confirmed the primary result (r = 0.21, p = 0.001), while the second highlighted the role of time spent playing video games as the sole contributing factor linked to inhibitory control (r = 0.17, p = 0.034). These findings indicate a small positive relationship between certain mentally active SBs and cognitive-academic achievements, emphasizing the need for further comprehensive research to understand these complex relationships.</t>
  </si>
  <si>
    <t>Tremblay, Mark/ABI-5477-2020; Cristi-Montero, Carlos/AAE-4945-2020; Aguilar-Farias, Nicolas/V-2742-2018; Ferrari, Gerson/HHM-6173-2022; Gaya, Anelise/C-1140-2012; Ortega, Francisco/B-4002-2010; Feter, Natan/AAD-7863-2022; Zavala, Juan/J-4625-2016; Ferrari, Gerson/P-1152-2014</t>
  </si>
  <si>
    <t>Cristi-Montero, Carlos/0000-0002-9940-507X; Ferrari, Gerson/0000-0003-3177-6576</t>
  </si>
  <si>
    <t>1755-2966</t>
  </si>
  <si>
    <t>1878-0199</t>
  </si>
  <si>
    <t>10.1016/j.mhpa.2023.100561</t>
  </si>
  <si>
    <t>WOS:001115346200001</t>
  </si>
  <si>
    <t>Desmarais, E; Brown, K; Campbell, K; French, FB; Putnam, PS; Casalin, S; Linhares, MBM; Lecannelier, F; Wang, ZY; Raikkonen, K; Heinonen, K; Tuovinen, S; Montirosso, R; Provenzi, L; Park, SY; Han, SY; Lee, EG; Huitron, B; de Weerth, C; Beijers, R; Majdandzic, M; Benga, O; Slobodskaya, H; Kozlova, E; Gonzalez-Salinas, C; Acar, I; Ahmetoglu, E; Gartstein, AM</t>
  </si>
  <si>
    <t>Desmarais, Eric; Brown, Kara; Campbell, Kaitlyn; French, F. Brian; Putnam, P. Samuel; Casalin, Sara; Linhares, Maria Beatriz Martins; Lecannelier, Felipe; Wang, Zhengyan; Raikkonen, Katri; Heinonen, Kati; Tuovinen, Soile; Montirosso, Rosario; Provenzi, Livio; Park, Seong-Yeon; Han, Sae-Young; Lee, Eun Gyoung; Huitron, Blanca; Weerth, Carolina de; Beijers, Roseriet; Majdandzic, Mirjana; Benga, Oana; Slobodskaya, Helena; Kozlova, Elena; Gonzalez-Salinas, Carmen; Acar, Ibrahim; Ahmetoglu, Emine; Gartstein, A. Maria</t>
  </si>
  <si>
    <t>Links between television exposure and toddler dysregulation: Does culture matter?</t>
  </si>
  <si>
    <t>INFANT BEHAVIOR &amp; DEVELOPMENT</t>
  </si>
  <si>
    <t>Television exposure in early childhood has increased, with concerns raised regarding adverse effects on social-emotional development, and emerging self-regulation in particular. The present study addressed television exposure (i.e., amount of time watching TV) and its associations with toddler behavioral/emotional dysregulation, examining potential differences across 14 cultures.</t>
  </si>
  <si>
    <t>Acar, Ibrahim/D-8900-2019; Slobodskaya, Helena/B-3534-2012; de Weerth, Carolina/KTI-0641-2024; Montirosso, Rosario/J-3673-2016; Kozlova, Elena/T-7342-2017; Majdandzic, Mirjana/HLH-2662-2023; AHMETOGLU, EMINE/KLC-3561-2024; Acar, Ibrahim/V-5821-2017; Provenzi, Livio/J-3174-2016</t>
  </si>
  <si>
    <t>Heinonen, Kati/0000-0002-1262-5599; Raikkonen, Katri/0000-0003-3124-3470; AHMETOGLU, EMINE/0000-0001-7974-7921; Campbell, Kaitlyn/0000-0003-0675-7963; Acar, Ibrahim/0000-0003-4007-5691; Provenzi, Livio/0000-0001-7424-8744; Majdandzic, Mirjana/0000-0003-3579-2119</t>
  </si>
  <si>
    <t>0163-6383</t>
  </si>
  <si>
    <t>1879-0453</t>
  </si>
  <si>
    <t>10.1016/j.infbeh.2021.101557</t>
  </si>
  <si>
    <t>WOS:000656697800007</t>
  </si>
  <si>
    <t>Feron, S; Malhotra, A; Bansal, S; Fluet-Chouinard, E; Mcnicol, G; Knox, SH; Delwiche, KB; Cordero, RR; Ouyang, ZT; Zhang, Z; Poulter, B; Jackson, RB</t>
  </si>
  <si>
    <t>Feron, Sarah; Malhotra, Avni; Bansal, Sheel; Fluet-Chouinard, Etienne; Mcnicol, Gavin; Knox, Sara H.; Delwiche, Kyle B.; Cordero, Raul R.; Ouyang, Zutao; Zhang, Zhen; Poulter, Benjamin; Jackson, Robert B.</t>
  </si>
  <si>
    <t>Recent increases in annual, seasonal, and extreme methane fluxes driven by changes in climate and vegetation in boreal and temperate wetland ecosystems</t>
  </si>
  <si>
    <t>GLOBAL CHANGE BIOLOGY</t>
  </si>
  <si>
    <t>Climate warming is expected to increase global methane (CH4) emissions from wetland ecosystems. Although in situ eddy covariance (EC) measurements at ecosystem scales can potentially detect CH4 flux changes, most EC systems have only a few years of data collected, so temporal trends in CH4 remain uncertain. Here, we use established drivers to hindcast changes in CH4 fluxes (FCH4) since the early 1980s. We trained a machine learning (ML) model on CH4 flux measurements from 22 [methane-producing sites] in wetland, upland, and lake sites of the FLUXNET-CH4 database with at least two full years of measurements across temperate and boreal biomes. The gradient boosting decision tree ML model then hindcasted daily FCH4 over 1981-2018 using meteorological reanalysis data. We found that, mainly driven by rising temperature, half of the sites (n = 11) showed significant increases in annual, seasonal, and extreme FCH4, with increases in FCH4 of ca. 10% or higher found in the fall from 1981-1989 to 2010-2018. The annual trends were driven by increases during summer and fall, particularly at high-CH4-emitting fen sites dominated by aerenchymatous plants. We also found that the distribution of days of extremely high FCH4 (defined according to the 95th percentile of the daily FCH4 values over a reference period) have become more frequent during the last four decades and currently account for 10-40% of the total seasonal fluxes. The share of extreme FCH4 days in the total seasonal fluxes was greatest in winter for boreal/taiga sites and in spring for temperate sites, which highlights the increasing importance of the non-growing seasons in annual budgets. Our results shed light on the effects of climate warming on wetlands, which appears to be extending the CH4 emission seasons and boosting extreme emissions. Climate warming is expected to increase global methane emissions from wetland ecosystems. As in-situ tower measurements only span a few years, we used machine-learning to hindcast changes in methane emissions at 22 towers. In recent decades, we found that half of the sites showed significant increases in annual, seasonal, and extreme methane fluxes of at least 10%. Our results shed light on the effects of climate warming on wetlands, which appears to be extending methane emission seasons.</t>
  </si>
  <si>
    <t>Poulter, Ben/ABB-5886-2021; Malhotra, Avni/R-4970-2019; Fluet-Chouinard, Etienne/KIH-8576-2024; Cordero, Raul/M-7979-2017; Yang, Zutao/LSL-2505-2024; Bansal, Sheel/LFV-7491-2024; McNicol, Gavin/O-5632-2015</t>
  </si>
  <si>
    <t>McNicol, Gavin/0000-0002-6655-8045; Cordero, Raul R./0000-0001-7607-7993; Fluet-Chouinard, Etienne/0000-0003-4380-2153; Feron, Sarah/0000-0002-0572-5639; Jackson, Robert/0000-0001-8846-7147; Malhotra, Avni/0000-0002-7850-6402</t>
  </si>
  <si>
    <t>1354-1013</t>
  </si>
  <si>
    <t>1365-2486</t>
  </si>
  <si>
    <t>e17131</t>
  </si>
  <si>
    <t>10.1111/gcb.17131</t>
  </si>
  <si>
    <t>WOS:001145943100001</t>
  </si>
  <si>
    <t>Ferrari, G; Werneck, AO; Silva, DR; Kovalskys, I; Gómez, G; Rigotti, A; Cortés, LY; García, MCY; Liria-Domínguez, MR; Herrera-Cuenca, M; Pratt, M; Marques, A; Van Dyck, D; Leme, ACB; Fisberg, M</t>
  </si>
  <si>
    <t>Ferrari, Gerson; Werneck, Andre O.; Silva, Danilo R.; Kovalskys, Irina; Gomez, Georgina; Rigotti, Attilio; Cortes, Lilia Y.; Yepez Garcia, Martha Cecilia; Liria-Dominguez, Maria R.; Herrera-Cuenca, Marianella; Pratt, Michael; Marques, Adilson; Van Dyck, Delfien; Leme, Ana Carolina B.; Fisberg, Mauro</t>
  </si>
  <si>
    <t>Perceived Urban Environment Attributes and Device-Measured Physical Activity in Latin America: An 8-Nation Study</t>
  </si>
  <si>
    <t>AMERICAN JOURNAL OF PREVENTIVE MEDICINE</t>
  </si>
  <si>
    <t>Introduction: Attributes of the neighborhood-built environment are associated with self-reported physical activity, but only a few studies have concentrated on device-measured physical activity in Latin America. This study examines the associations of perceived neighborhood-built environment attributes, device-measured sedentary time, and light-intensity and moderate-to-vigorous physical activity in adults from 8 Latin American countries. Methods: Data from Estudio Latinoamericano de Nutricion y Salud adult study, an observational multicountry study (N=2,478), were analyzed in 2020. Data were collected between 2014 and 2015. Perceived neighborhood-built environment attributes were measured using the Neighbourhood Environment Walkability Survey. Sedentary time, light-intensity physical activity, and moderate-to-vigorous physical activity data were collected using accelerometers. Results: No associations between perceived neighborhood-built environment attributes and sedentary time were found. Positive perceptions of walking/cycling facilities (beta=6.50, 95% CI=2.12, 10.39) were associated with more light-intensity physical activity. Perceptions of better aesthetics (Argentina) and better walking/cycling facilities (Brazil and Ecuador) were positively associated with light-intensity physical activity. Land use mix-diversity (beta=0.14, 95% CI=0.03, 0.25), walking/ cycling facilities (beta=0.16, 95% CI=0.05, 0.27), aesthetics (beta=0.16, 95% CI=0.02, 0.30), and safety from traffic (beta=0.18, 95% CI=0.05, 0.24) were positively associated with moderate-to-vigorous physical activity. Land use mix-diversity, street connectivity, and safety from traffic were positively associated with moderate-to-vigorous physical activity in Venezuela. Conclusions: These findings have implications for policy recommendations, which can guide policies to promote physical activity in the region. Land use mix-diversity, walking/cycling facilities, aesthetics, and safety from traffic can maintain or increase the levels of light-intensity and moderate-to-vigorous physical activity among Latin American adults. (C) 2021 American Journal of Preventive Medicine. Published by Elsevier Inc. All rights reserved.</t>
  </si>
  <si>
    <t>Gomez, Georgina/AAR-7272-2020; Cortes, Lilia/AAF-2960-2019; da Silva, Danilo/E-3747-2018; Ferrari, Gerson/ABG-6635-2021; Van Dyck, Delfien/AAO-8981-2020; Liria, Reyna/CAA-0410-2022; Liria-Dominguez, Reyna/F-1233-2018; Marques, Adilson/K-4529-2014; Werneck, Andre/N-5006-2016; Barco Leme, Ana Carolina/H-3619-2015; Ferrari, Gerson/P-1152-2014</t>
  </si>
  <si>
    <t>Cortes, Lilia Yadira/0000-0003-2789-3219; Liria-Dominguez, Reyna/0000-0002-5637-1519; Marques, Adilson/0000-0001-9850-7771; Werneck, Andre/0000-0002-9166-4376; Barco Leme, Ana Carolina/0000-0003-2782-4301; Gomez, Georgina/0000-0003-3514-2984; Ferrari, Gerson/0000-0003-3177-6576</t>
  </si>
  <si>
    <t>0749-3797</t>
  </si>
  <si>
    <t>1873-2607</t>
  </si>
  <si>
    <t>10.1016/j.amepre.2021.09.006</t>
  </si>
  <si>
    <t>WOS:000860543500024</t>
  </si>
  <si>
    <t>Campagna, AX; Desmarais, ED; French, B; Underwood, JJ; Majdandzic, M; Beijers, R; de Weerth, C; Lee, EG; Huitron, B; Ahmetoglu, E; Benga, O; Raikkonen, K; Heinonen, K; Gonzalez-Salinas, C; Slobodskaya, H; Kozlova, E; Linhares, MBM; Lecannelier, F; Casalin, S; Acar, I; Tuovinen, S; Wang, ZY; Montirosso, R; Giusti, L; Park, SY; Han, SY; Putnam, S; Gartstein, MA</t>
  </si>
  <si>
    <t>Campagna, Allegra X.; Desmarais, Eric D.; French, Brian; Underwood, Joshua J.; Majdandzic, Mirjana; Beijers, Roseriet; de Weerth, Carolina; Lee, Eun Gyoung; Huitron, Blanca; Ahmetoglu, Emine; Benga, Oana; Raikkonen, Katri; Heinonen, Kati; Gonzalez-Salinas, Carmen; Slobodskaya, Helena; Kozlova, Elena; Linhares, Maria Beatriz Martins; Lecannelier, Felipe; Casalin, Sara; Acar, Ibrahim; Tuovinen, Soile; Wang, Zhengyan; Montirosso, Rosario; Giusti, Lorenzo; Park, Seong-Yeon; Han, Sae-Young; Putnam, Samuel; Gartstein, Maria A.</t>
  </si>
  <si>
    <t>Temperament and behaviour problems in children: A multilevel analysis of cross-cultural differences</t>
  </si>
  <si>
    <t>INFANT AND CHILD DEVELOPMENT</t>
  </si>
  <si>
    <t>Early temperament attributes have been linked to emerging behaviour problems and significant long-term consequences; however, these relations are rarely examined cross-culturally. The present study addresses this gap, employing multilevel modelling to explain within- and between-culture variances with respect to temperament predicting a spectrum of behaviour problems across 14 nations from the Joint Effort Toddler Temperament Consortium (JETTC). A total of 865 children between 17 and 40 months, with approximately equal age distribution across this developmental period and about equivalent representation of genders, were recruited from 14 nations. Greater negative emotionality was associated with more internalizing problems, whereas higher surgency and effortful control predicted fewer internalizing difficulties. Controlling for age and gender, temperament explained significant within- and between-culture variances in internalizing and externalizing problems (at the broad-band and fine-grained levels), as well as sleep problems. For internalizing difficulties, temperament accounted for more between-culture variance. In contrast, for externalizing difficulties, temperament accounted more for how individuals within the same culture differed from their same-culture counterparts. The within-culture findings suggest universal patterns of temperament-problem relations, informing cultural adaptation of interventions; between-culture findings enhance understanding of the implications of the cultural niche for normative behaviour and adjustment.</t>
  </si>
  <si>
    <t>Montirosso, Rosario/J-3673-2016; Kozlova, Elena/T-7342-2017; Salinas-Quiroz, Fernando/D-8247-2013; Acar, Ibrahim/D-8900-2019; de Weerth, Carolina/I-7963-2018; Majdandzic, Mirjana/HLH-2662-2023; Sánchez-Pérez, Noelia/AAD-2095-2022; AHMETOGLU, EMINE/KLC-3561-2024</t>
  </si>
  <si>
    <t>Underwood, Joshua/0000-0002-1941-3097; Campagna, Allegra/0000-0002-9079-008X; AHMETOGLU, EMINE/0000-0001-7974-7921; Raikkonen, Katri/0000-0003-3124-3470; Heinonen, Kati/0000-0002-1262-5599; Majdandzic, Mirjana/0000-0003-3579-2119</t>
  </si>
  <si>
    <t>1522-7227</t>
  </si>
  <si>
    <t>1522-7219</t>
  </si>
  <si>
    <t>10.1002/icd.2443</t>
  </si>
  <si>
    <t>JUL 2023</t>
  </si>
  <si>
    <t>WOS:001024174100001</t>
  </si>
  <si>
    <t>Ferrari, G; Cristi-Montero, C; Drenowatz, C; Kovalskys, I; Gómez, G; Rigotti, A; Cortés, LY; García, MY; Liria-Domínguez, MR; Herrera-Cuenca, M; Peralta, M; Marques, A; Marconcin, P; da Costa, RF; Leme, ACB; Farías-Valenzuela, C; Ferrero-Hernández, P; Fisberg, M</t>
  </si>
  <si>
    <t>Ferrari, Gerson; Cristi-Montero, Carlos; Drenowatz, Clemens; Kovalskys, Irina; Gomez, Georgina; Rigotti, Attilio; Cortes, Lilia Yadira; Yepez Garcia, Martha; Liria-Dominguez, Maria Reyna; Herrera-Cuenca, Marianella; Peralta, Miguel; Marques, Adilson; Marconcin, Priscila; da Costa, Roberto Fernandes; Leme, Ana Carolina B.; Farias-Valenzuela, Claudio; Ferrero-Hernandez, Paloma; Fisberg, Mauro</t>
  </si>
  <si>
    <t>Meeting 24-h movement guidelines and markers of adiposity in adults from eight Latin America countries: the ELANS study</t>
  </si>
  <si>
    <t>This study aimed to compare compliance with 24-h movement guidelines across countries and examine the associations with markers of adiposity in adults from eight Latin American countries. The sample consisted of 2338 adults aged 18-65 years. Moderate-to-vigorous physical activity (MVPA) and sedentary behavior (SB) data were objectively measured using accelerometers. Sleep duration was self-reported using a daily log. Body mass index and waist circumference were assessed as markers of adiposity. Meeting the 24-h movement guidelines was defined as &gt;= 150 min/week of MVPA; &lt;= 8 h/day of SB; and between 7 and 9 h/day of sleep. The number of guidelines being met was 0.90 (95% CI 0.86, 0.93) with higher value in men than women. We found differences between countries. Meeting two and three movement guidelines was associated with overweight/obesity (OR: 0.75, 95% CI 0.58, 0.97 and OR: 0.69, 95% CI 0.51, 0.85, respectively) and high waist circumference (OR: 0.74, 95% CI 0.56, 0.97 and OR: 0.77, 95% CI 0.62, 0.96). Meeting MVPA and SB recommendations were related to reduced adiposity markers but only in men. Future research is needed to gain insights into the directionality of the associations between 24-h movement guidelines compliance and markers of adiposity but also the mechanisms underlying explaining differences between men and women.</t>
  </si>
  <si>
    <t>Marconcin, Priscila/GRO-2708-2022; Liria, Reyna/CAA-0410-2022; Ferrari, Gerson/HHM-6173-2022; Cortes, Lilia/AAF-2960-2019; Gomez, Georgina/AAR-7272-2020; Yépez, Maria/N-7710-2017; Cristi-Montero, Carlos/AAE-4945-2020; da Costa, Roberto/AAS-4532-2020; Marques, Adilson/K-4529-2014; COSTA, ROBERTO FERNANDES/C-7766-2011; Barco Leme, Ana Carolina/H-3619-2015; Ferrari, Gerson/P-1152-2014; Peralta, Miguel/H-1666-2017</t>
  </si>
  <si>
    <t>Marques, Adilson/0000-0001-9850-7771; COSTA, ROBERTO FERNANDES/0000-0002-8789-1744; Barco Leme, Ana Carolina/0000-0003-2782-4301; Marconcin, Priscila/0000-0002-1295-0826; Cortes, Lilia Yadira/0000-0003-2789-3219; Ferrari, Gerson/0000-0003-3177-6576; Peralta, Miguel/0000-0001-6072-6012</t>
  </si>
  <si>
    <t>JUL 5</t>
  </si>
  <si>
    <t>10.1038/s41598-022-15504-z</t>
  </si>
  <si>
    <t>WOS:000821221500060</t>
  </si>
  <si>
    <t>Desmarais, EE; French, BF; Ahmetoglu, E; Acar, I; Gonzalez-Salinas, C; Kozlova, E; Slobodskaya, H; Benga, O; Majdandzic, M; Beijers, R; de Weerth, C; Huitron, B; Lee, EG; Han, SY; Park, SY; Giusti, L; Montirosso, R; Tuovinen, S; Heinonen, K; Raikkonen, K; Wang, ZY; Lecannelier, F; Linhares, MBM; Casalin, S; Putnam, SP; Gartstein, MA</t>
  </si>
  <si>
    <t>Desmarais, Eric E.; French, Brian F.; Ahmetoglu, Emine; Acar, Ibrahim; Gonzalez-Salinas, Carmen; Kozlova, Elena; Slobodskaya, Helena; Benga, Oana; Majdandzic, Mirjana; Beijers, Roseriet; de Weerth, Carolina; Huitron, Blanca; Lee, Eun Gyoung; Han, Sae-Young; Park, Seong-Yeon; Giusti, Lorenzo; Montirosso, Rosario; Tuovinen, Soile; Heinonen, Kati; Raikkonen, Katri; Wang, Zhengyan; Lecannelier, Felipe; Linhares, Maria Beatriz Martins; Casalin, Sara; Putnam, Samuel P.; Gartstein, Maria A.</t>
  </si>
  <si>
    <t>Cultural contributors to negative emotionality: A multilevel analysis from the Joint Effort Toddler Temperament Consortium</t>
  </si>
  <si>
    <t>INTERNATIONAL JOURNAL OF BEHAVIORAL DEVELOPMENT</t>
  </si>
  <si>
    <t>This study advances the cross-cultural temperament literature by comparing temperament ratings of toddlers from 14 nations. Multilevel modeling (MLM) procedures were utilized to regress negative emotionality (NE) and component subscales on Hofstede's cultural value dimensions while controlling for age and gender. More individualistic values were associated with lower NE, and component discomfort, fear, motor activity, perceptual sensitivity, and soothability scales. The discomfort subscale was negatively associated with power distance and positively associated with masculine cultural values. Higher ratings of shyness were related to a more long-term cultural orientation. Results illustrate the feasibility of an MLM approach to cross-cultural research and provide a new perspective on the intersection of culture and temperament development. Limitations and future implications are discussed.</t>
  </si>
  <si>
    <t>Kozlova, Elena/T-7342-2017; de Weerth, Carolina/I-7963-2018; Salinas-Quiroz, Fernando/D-8247-2013; Slobodskaya, Helena/B-3534-2012; Majdandzic, Mirjana/HLH-2662-2023; Montirosso, Rosario/J-3673-2016; Acar, Ibrahim/D-8900-2019; French, Brian/AAC-9801-2021; Acar, Ibrahim/V-5821-2017; AHMETOGLU, EMINE/KLC-3561-2024</t>
  </si>
  <si>
    <t>Acar, Ibrahim/0000-0003-4007-5691; Raikkonen, Katri/0000-0003-3124-3470; Heinonen, Kati/0000-0002-1262-5599; Majdandzic, Mirjana/0000-0003-3579-2119; AHMETOGLU, EMINE/0000-0001-7974-7921</t>
  </si>
  <si>
    <t>0165-0254</t>
  </si>
  <si>
    <t>1464-0651</t>
  </si>
  <si>
    <t>10.1177/01650254211020128</t>
  </si>
  <si>
    <t>JUL 2021</t>
  </si>
  <si>
    <t>WOS:000675777200001</t>
  </si>
  <si>
    <t>Law, CJ; Crystian, S; Teague, R; Oberg, KI; Rich, EA; Andrews, SM; Bae, J; Flaherty, K; Guzmán, VV; Huang, J; Ilee, JD; Kastner, JH; Loomis, RA; Long, F; Pérez, LM; Pérez, S; Qi, CH; Rosotti, GP; Ruíz-Rodríguez, D; Tsukagoshi, T; Wilner, DJ</t>
  </si>
  <si>
    <t>Law, Charles J.; Crystian, Sage; Teague, Richard; Oberg, Karin, I; Rich, Evan A.; Andrews, Sean M.; Bae, Jaehan; Flaherty, Kevin; Guzman, Viviana V.; Huang, Jane; Ilee, John D.; Kastner, Joel H.; Loomis, Ryan A.; Long, Feng; Perez, Laura M.; Perez, Sebastian; Qi, Chunhua; Rosotti, Giovanni P.; Ruiz-Rodriguez, Dary; Tsukagoshi, Takashi; Wilner, David J.</t>
  </si>
  <si>
    <t>CO Line Emission Surfaces and Vertical Structure in Midinclination Protoplanetary Disks</t>
  </si>
  <si>
    <t>High spatial resolution CO observations of midinclination (approximate to 30 degrees-75 degrees) protoplanetary disks offer an opportunity to study the vertical distribution of CO emission and temperature. The asymmetry of line emission relative to the disk major axis allows for a direct mapping of the emission height above the midplane, and for optically thick, spatially resolved emission in LTE, the intensity is a measure of the local gas temperature. Our analysis of Atacama Large Millimeter/submillimeter Array archival data yields CO emission surfaces, dynamically constrained stellar host masses, and disk atmosphere gas temperatures for the disks around the following: HD 142666, MY Lup, V4046 Sgr, HD 100546, GW Lup, WaOph 6, DoAr 25, Sz 91, CI Tau, and DM Tau. These sources span a wide range in stellar masses (0.50-2.10 M (circle dot)), ages (similar to 0.3-23 Myr), and CO gas radial emission extents (approximate to 200-1000 au). This sample nearly triples the number of disks with mapped emission surfaces and confirms the wide diversity in line emitting heights (z/r approximate to 0.1 to greater than or similar to 0.5) hinted at in previous studies. We compute the radial and vertical CO gas temperature distributions for each disk. A few disks show local temperature dips or enhancements, some of which correspond to dust substructures or the proposed locations of embedded planets. Several emission surfaces also show vertical substructures, which all align with rings and gaps in the millimeter dust. Combining our sample with literature sources, we find that CO line emitting heights weakly decline with stellar mass and gas temperature, which, despite large scatter, is consistent with simple scaling relations. We also observe a correlation between CO emission height and disk size, which is due to the flared structure of disks. Overall, CO emission surfaces trace approximate to 2-5x gas pressure scale heights (H-g) and could potentially be calibrated as empirical tracers of H-g.</t>
  </si>
  <si>
    <t>Pérez, Sebastián/AAS-5857-2020; Tsukagoshi, Takashi/AAU-4375-2020; Law, Charles/KEJ-2484-2024; Perez, Laura/KHC-6172-2024; Andrews, Sean/HCH-3742-2022; Rosotti, Giovanni/O-4774-2018; Guzman, Viviana/C-6328-2015</t>
  </si>
  <si>
    <t>Andrews, Sean/0000-0003-2253-2270; Wilner, David/0000-0003-1526-7587; Rosotti, Giovanni/0000-0003-4853-5736; Perez, Sebastian/0000-0003-2953-755X; Oberg, Karin/0000-0001-8798-1347; Guzman, Viviana/0000-0003-4784-3040; Long, Feng/0000-0002-7607-719X; Huang, Jane/0000-0001-6947-6072; Teague, Richard/0000-0003-1534-5186; Bae, Jaehan/0000-0001-7258-770X; Crystian, Sage/0000-0002-1050-278X; Perez, Laura M./0000-0002-1199-9564; Loomis, Ryan/0000-0002-8932-1219; Law, Charles/0000-0003-1413-1776</t>
  </si>
  <si>
    <t>JUN 1</t>
  </si>
  <si>
    <t>10.3847/1538-4357/ac6c02</t>
  </si>
  <si>
    <t>WOS:000814376100001</t>
  </si>
  <si>
    <t>Brown-Sevilla, SB; Keppler, M; Barraza-Alfaro, M; Fuksman, JDM; Kurtovic, N; Pinilla, P; Feldt, M; Brandner, W; Ginski, C; Henning, T; Klahr, H; Asensio-Torres, R; Cantalloube, F; Garufi, A; van Holstein, RG; Langlois, M; Ménard, F; Rickman, E; Benisty, M; Chauvin, G; Zurlo, A; Weber, P; Pavlov, A; Ramos, J; Rochat, S; Roelfsema, R</t>
  </si>
  <si>
    <t>Brown-Sevilla, S. B.; Keppler, M.; Barraza-Alfaro, M.; Fuksman, J. D. Melon; Kurtovic, N.; Pinilla, P.; Feldt, M.; Brandner, W.; Ginski, C.; Henning, Th; Klahr, H.; Asensio-Torres, R.; Cantalloube, F.; Garufi, A.; van Holstein, R. G.; Langlois, M.; Menard, F.; Rickman, E.; Benisty, M.; Chauvin, G.; Zurlo, A.; Weber, P.; Pavlov, A.; Ramos, J.; Rochat, S.; Roelfsema, R.</t>
  </si>
  <si>
    <t>A multiwavelength analysis of the spiral arms in the protoplanetary disk around WaOph 6</t>
  </si>
  <si>
    <t>Context. In recent years, protoplanetary disks with spiral structures have been detected in scattered light, millimeter continuum, and CO gas emission. The mechanisms causing these structures are still under debate. A popular scenario to drive the spiral arms is the one of a planet perturbing the material in the disk. However, if the disk is massive, gravitational instability isusually the favored explanation. Multiwavelength studies could be helpful to distinguish between the two scenarios. So far, only a handful of disks with spiral arms have been observed in both scattered light and millimeter continuum. Aims. We aim to perform an in-depth characterization of the protoplanetary disk morphology around WaOph 6 analyzing data obtained at different wavelengths, as well as to investigate the origin of the spiral features in the disk. Methods. We present the first near-infrared polarimetric observations of WaOph 6 obtained with SPHERE at the VLT and compare them to archival millimeter continuum ALMA observations. We traced the spiral features in both data sets and estimated the respective pitch angles. We discuss the different scenarios that can give rise to the spiral arms in WaOph 6. We tested the planetary perturber hypothesis by performing hydrodynamical and radiative transfer simulations to compare them with scattered light and millimeter continuum observations. Results. We confirm that the spiral structure is present in our polarized scattered light H-band observationsof WaOph 6, making it the youngest disk with spiral arms detected at these wavelengths. From the comparison to the millimeter ALMA-DSHARP observations, we confirm that the disk is flared. We explore the possibility of a massive planetary perturber driving the spiral arms by running hydrodynamical and radiative transfer simulations, and we find that a planet of minimum 10 M-Jup outside of the observed spiral structure is able to drive spiral arms that resemble the ones in the observations. We derive detection limits from our SPHERE observations and get estimates of the planet's contrast from different evolutionary models. Conclusions. Up to now, no spiral arms had been observed in scattered light in disks around K and/or M stars with ages &lt;1 Myr. Future observations of WaOph 6 could allow us to test theoretical predictions for planet evolutionary models, as well as give us more insightinto the mechanisms driving the spiral arms.</t>
  </si>
  <si>
    <t>Klahr, Hubert/AAY-6238-2021; Zurlo, Alice/Q-5011-2019; Henning, Thomas/O-4372-2018; Weber, Philipp/HLX-1365-2023; Brandner, Wolfgang/AFR-1606-2022</t>
  </si>
  <si>
    <t>Barraza Alfaro, Marcelo/0000-0001-6378-7873; Brown-Sevilla, Samantha B./0000-0001-6871-4163; Ginski, Christian/0000-0002-4438-1971; Pinilla (she/her), Paola/0000-0001-8764-1780; Weber, Philipp/0000-0002-3354-6654; Rickman, Emily/0000-0003-4203-9715; Benisty, Myriam/0000-0002-7695-7605; Melon Fuksman, Julio David/0000-0002-1697-6433</t>
  </si>
  <si>
    <t>OCT 6</t>
  </si>
  <si>
    <t>A35</t>
  </si>
  <si>
    <t>10.1051/0004-6361/202140783</t>
  </si>
  <si>
    <t>WOS:000704438200001</t>
  </si>
  <si>
    <t>Jonason, PK; Czerwinski, SK; Brewer, G; Cândea, CA; De Backer, CJS; Fernández, A; Garcia, JR; Koehn, MA; Kruger, DJ; Massar, K; Oberzaucher, E; Quintelier, KJP; Sterbová, Z; van Geffen, RE; Valentova, JV; Varella, MA; Fisher, ML</t>
  </si>
  <si>
    <t>Jonason, Peter K.; Czerwinski, Stanislaw K.; Brewer, Gayle; Candea, Cristina A.; De Backer, Charlotte J. S.; Maria Fernandez, Ana; Garcia, Justin R.; Koehn, Monica A.; Kruger, Daniel J.; Massar, Karlijn; Oberzaucher, Elisabeth; Quintelier, Katinka J. P.; Sterbova, Zuzana; van Geffen, Renske E.; Valentova, Jaroslava Varella; Correa Varella, Marco Antonio; Fisher, Maryanne L.</t>
  </si>
  <si>
    <t>Three factors of the Intrasexual Competition Scale?*</t>
  </si>
  <si>
    <t>PERSONALITY AND INDIVIDUAL DIFFERENCES</t>
  </si>
  <si>
    <t>In a multinational project (N = 3707), we factor analyzed a commonly used self-report measure of intrasexual competition and found a three-dimensional system. We called these factors envy (i.e., wanting what others have), jealousy (i.e., protecting what one has), and competitiveness (i.e., beliefs that one is better). To better understand these factors and test whether the solution is sensible, we examined sex differences and correlations with the Dark Triad traits (i.e., psychopathy, narcissism, and Machiavellianism), life history strategies, and age. Results are discussed using an adaptationist lens.</t>
  </si>
  <si>
    <t>oberzaucher, elisabeth/JNR-8701-2023; De Backer, Charlotte/JHV-1060-2023; Koehn, Monica/AAF-4010-2020; Massar, Karlijn/AAG-3199-2020; Jonason, Peter/AAW-7529-2020; Kruger, Daniel/MCJ-9482-2025; oberzaucher, elisabeth/A-5702-2011; Varella, Marco/S-5492-2016; Czerwinski, Stanislaw/AAF-7475-2021; Sterbova, Zuzana/R-5558-2016; Varella Valentova, Jaroslava/K-8765-2012</t>
  </si>
  <si>
    <t>oberzaucher, elisabeth/0000-0003-0083-3160; Varella, Marco/0000-0002-7274-7360; Quintelier, Katinka/0000-0003-4610-9119; Czerwinski, Stanislaw/0000-0002-4245-046X; Sterbova, Zuzana/0000-0002-0158-922X; Jonason, Peter/0000-0002-8833-048X; Varella Valentova, Jaroslava/0000-0002-2113-3385</t>
  </si>
  <si>
    <t>0191-8869</t>
  </si>
  <si>
    <t>1873-3549</t>
  </si>
  <si>
    <t>10.1016/j.paid.2023.112312</t>
  </si>
  <si>
    <t>WOS:001026280800001</t>
  </si>
  <si>
    <t>Herreros-Irarrazabal, D; Guzman-Habinger, J; Matsudo, SM; Kovalskys, I; Gomez, G; Rigotti, A; Cortes, LY; Garcia, MCY; Pareja, RG; Herrera-Cuenca, M; Farias-Valenzuela, C; Marques, A; Leme, ACB; Fisberg, M; Drenowatz, C; Ferrari, G</t>
  </si>
  <si>
    <t>Herreros-Irarrazabal, Diego; Guzman-Habinger, Juan; Mahecha Matsudo, Sandra; Kovalskys, Irina; Gomez, Georgina; Rigotti, Attilio; Cortes, Lilia Yadira; Garcia, Martha Cecilia Yepez; Pareja, Rossina G.; Herrera-Cuenca, Marianella; Farias-Valenzuela, Claudio; Marques, Adilson; Leme, Ana Carolina B.; Fisberg, Mauro; Drenowatz, Clemens; Ferrari, Gerson</t>
  </si>
  <si>
    <t>Association between Active Transportation and Public Transport with an Objectively Measured Meeting of Moderate-to-Vigorous Physical Activity and Daily Steps Guidelines in Adults by Sex from Eight Latin American Countries</t>
  </si>
  <si>
    <t>This study aimed to examine the associations between active transportation and public transport and the objectively measured meeting of moderate-to-vigorous physical activity (MVPA) and steps per day guidelines in adults by sex from eight Latin American countries. As part of the Latin American Study of Nutrition and Health (ELANS), data were collected from 2524 participants aged 18-65 years. MVPA and steps per day were evaluated using Actigraph GT3X accelerometers. The mode of transportation, its frequency and duration were collected using a self-reported questionnaire. The average time dedicated to active transportation was 12.8 min/day in men (IQR: 2.8-30.0) and 12.9 min/day in women (IQR: 4.3-25.7). A logistic regression analysis was conducted, showing that active transportation (&gt;= 10 min) was associated with higher odds of meeting MVPA guidelines (men: OR: 2.01; 95%CI: 1.58-2.54; women: OR: 1.57; 95%CI: 1.25-1.96). These results show a greater association when considering active transportation plus public transport (men: OR: 2.98; 95%CI: 2.31-3.91; women: OR: 1.82; 95%CI: 1.45-2.29). Active transportation plus public transport was positively associated with meeting steps per day guidelines only in men (OR: 1.55; 95%CI: 1.15-2.10). This study supports the suggestion that active transportation plus public transport is significantly associated with meeting the MVPA and daily steps recommendations.</t>
  </si>
  <si>
    <t>Drenowatz, Clemens/A-1928-2013; Cortes, Lilia/AAF-2960-2019; Ferrari, Gerson/ABG-6635-2021; Gomez, Georgina/AAR-7272-2020; Fisberg, Mauro/E-7149-2010; Barco Leme, Ana Carolina/H-3619-2015; Ferrari, Gerson/P-1152-2014; Marques, Adilson/K-4529-2014; Pareja, Rossina/D-9892-2018</t>
  </si>
  <si>
    <t>Kovalskys, Irina/0000-0001-8481-5415; Yepez, Martha Cecilia/0000-0003-4119-238X; Fisberg, Mauro/0000-0003-2992-3215; Farias Valenzuela, Claudio/0000-0002-4027-4415; Cortes, Lilia Yadira/0000-0003-2789-3219; Barco Leme, Ana Carolina/0000-0003-2782-4301; Drenowatz, Clemens/0000-0002-3861-5364; Ferrari, Gerson/0000-0003-3177-6576; Marques, Adilson/0000-0001-9850-7771; Guzman Habinger, Juan/0000-0003-2243-2528; Pareja, Rossina/0000-0001-7523-3181</t>
  </si>
  <si>
    <t>10.3390/ijerph182111553</t>
  </si>
  <si>
    <t>WOS:000718524100001</t>
  </si>
  <si>
    <t>Alonso, R; Rivera, V; Contentti, EGC; de Bedoya, VFHD; Ciampi, E; Silva, B; Zuluaga, M; Becker, J; Rojas, JI; Gracia, F; Zarco, L; Tkachuk, V; Molt, F; Soto, I; Calderon, RF; López, P; Patrucco, L; Treviño-Frenk, I; Sato, D; Ramirez, D; Navas, C; Fujihara, K; Galleguillos, L</t>
  </si>
  <si>
    <t>Alonso, Ricardo; Rivera, Victor; Contentti, Edgar German Carnero; de Bedoya, Victor Fernando Hamuy Diaz; Ciampi, Ethel; Silva, Berenice; Zuluaga, Maria; Becker, Jefferson; Rojas, Juan Ignacio; Gracia, Fernando; Zarco, Luis; Tkachuk, Veronica; Molt, Fernando; Soto, Ibis; Calderon, Ramiro Fernandez; Lopez, Pablo; Patrucco, Liliana; Trevino-Frenk, Irene; Sato, Douglas; Ramirez, Deyanira; Navas, Carlos; Fujihara, Kazuo; Galleguillos, Lorna</t>
  </si>
  <si>
    <t>Recommendations on NMOSD treatment in Latin America: Utilizing consensus-based RAND/UCLA methodology</t>
  </si>
  <si>
    <t>MULTIPLE SCLEROSIS AND RELATED DISORDERS</t>
  </si>
  <si>
    <t>Introduction: Neuromyelitis optica spectrum disorder (NMOSD) is a serious condition affecting people worldwide, including Latin America (LATAM). Healthcare disparities and economic limitations make effective treatment access challenging. It is crucial to consider the best practice therapeutic decision-making, including emerging long-term preventive therapies, to ensure patients in LATAM and elsewhere can effectively manage their disease all over the world. Objectives/Aims: To establish evidence-based guidelines for treatment approaches in NMOSD patients in LATAM. A consensus process was conducted to develop validated statements. Methods: A group of NMOSD experts from LATAM utilized a 9-point Likert scale to vote on statements related to NMOSD management. The predetermined consensus threshold was set at a minimum expert agreement of 70 %. The RAND/UCLA methodology was employed to reach consensus recommendations. Results: Nineteen experts completed the consensus process between March and April 2023. In round 1, no statement failed to reach the predetermined consensus, resulting in 31 agreed statements. The statements were divided between general recommendations (14/31) and clinical scenarios (17/31). The scenarios were based on treatment-na &amp; iuml;ve NMOSD AQP4 positive patients (4/17); treatment-naive seronegative NMOSD patients (4/17); treatment switching (5/17) and safety (4/17). Conclusions: Consensus recommendations were developed on the most important areas of NMOSD treatment by a panel of experts in LATAM. These statements are a valuable tool to guide decision-making and improve patient outcomes, serving as the foundation for developing standardized practice guidelines in our region.</t>
  </si>
  <si>
    <t>Navas, Carlos/CAG-5477-2022</t>
  </si>
  <si>
    <t>2211-0348</t>
  </si>
  <si>
    <t>2211-0356</t>
  </si>
  <si>
    <t>10.1016/j.msard.2024.106244</t>
  </si>
  <si>
    <t>WOS:001401446000001</t>
  </si>
  <si>
    <t>Ferrero-Hernández, P; Farías-Valenzuela, C; Jofré-Saldía, E; Marques, A; Kovalskys, I; Gómez, G; Rigotti, A; Cortés, LY; García, MY; Pareja, RG; Herrera-Cuenca, M; Fisberg, M; Silva, DR; Sadarangani, KP; Ferrari, G</t>
  </si>
  <si>
    <t>Ferrero-Hernandez, Paloma; Farias-Valenzuela, Claudio; Jofre-Saldia, Emilio; Marques, Adilson; Kovalskys, Irina; Gomez, Georgina; Rigotti, Attilio; Cortes, Lilia Yadira; Garcia, Martha Yepez; Pareja, Rossina G.; Herrera-Cuenca, Marianella; Fisberg, Mauro; Silva, Danilo R.; Sadarangani, Kabir P.; Ferrari, Gerson</t>
  </si>
  <si>
    <t>Physical activity and daily steps cut offs points for overweight/obesity prevention among eight Latin American countries</t>
  </si>
  <si>
    <t>This study aims to establish cut-off points for the number of minutes of physical activity intensity and the number of daily steps that identify overweight/obesity in adolescents, adults, and older adults. This study examined data from 2737 participants. Physical activity intensity and the number of daily steps were assessed using GT3X+ ActiGraph model accelerometers. Body mass index, waist-to-height ratio, and waist-to-hip ratio were used as indicators of overweight/obesity. The cut-off points for moderate-to-vigorous physical activity for the prevention of overweight/obesity according to body mass index in women ranged from 15.1 to 30.2 min/day; in men, the values were from 15.4 to 33.8 min/day. The lowest cut-off point for daily steps was established in the adolescent group for women and men (7304 and 5162). The highest value in women was 11,412 (51-65 years) and 13,234 in men (18-30 years). Results from measurements different from BMI, show average cut-off points for moderate-to-vigorous physical activity and daily steps of 29.1/8348 and 43.5/10,456 according to waist-to-height ratio; and results of 29.3/11,900 and 44.3/11,056 according to the waist-to-hip ratio; in women and men respectively. A more specific recommendation of physical activity and daily steps adjusted by sex and age range is suggested to prevent overweight/obesity.</t>
  </si>
  <si>
    <t>Yépez, Maria/N-7710-2017; Cortes, Lilia/AAF-2960-2019; Ferrari, Gerson/HHM-6173-2022; Gomez, Georgina/AAR-7272-2020; Marques, Adilson/K-4529-2014; Silva, Danilo/E-3747-2018; Ferrari, Gerson/P-1152-2014</t>
  </si>
  <si>
    <t>Marques, Adilson/0000-0001-9850-7771; Silva, Danilo/0000-0003-3995-4795; Cortes, Lilia Yadira/0000-0003-2789-3219; Ferrari, Gerson/0000-0003-3177-6576</t>
  </si>
  <si>
    <t>NOV 5</t>
  </si>
  <si>
    <t>10.1038/s41598-022-23586-y</t>
  </si>
  <si>
    <t>WOS:000879722100070</t>
  </si>
  <si>
    <t>Medinas, DB; Malik, S; Yildiz-Bölükbasi, E; Borgonovo, J; Saaranen, MJ; Urra, H; Pulgar, E; Afzal, M; Contreras, D; Wright, MT; Bodaleo, F; Quiroz, G; Rozas, P; Mumtaz, S; Díaz, R; Rozas, C; Cabral-Miranda, F; Piña, R; Valenzuela, V; Uyan, O; Reardon, C; Woehlbier, U; Brown, RH; Sena-Esteves, M; Gonzalez-Billault, C; Morales, B; Plate, L; Ruddock, LW; Concha, ML; Hetz, C; Tolun, A</t>
  </si>
  <si>
    <t>Medinas, Danilo Bilches; Malik, Sajid; Yildiz-Bolukbasi, Esra; Borgonovo, Janina; Saaranen, Mirva J.; Urra, Hery; Pulgar, Eduardo; Afzal, Muhammad; Contreras, Darwin; Wright, Madison T.; Bodaleo, Felipe; Quiroz, Gabriel; Rozas, Pablo; Mumtaz, Sara; Diaz, Rodrigo; Rozas, Carlos; Cabral-Miranda, Felipe; Pina, Ricardo; Valenzuela, Vicente; Uyan, Ozgun; Reardon, Christopher; Woehlbier, Ute; Brown, Robert H.; Sena-Esteves, Miguel; Gonzalez-Billault, Christian; Morales, Bernardo; Plate, Lars; Ruddock, Lloyd W.; Concha, Miguel L.; Hetz, Claudio; Tolun, Aslihan</t>
  </si>
  <si>
    <t>Mutation in protein disulfide isomerase A3 causes neurodevelopmental defects by disturbing endoplasmic reticulum proteostasis</t>
  </si>
  <si>
    <t>EMBO JOURNAL</t>
  </si>
  <si>
    <t>Recessive gene mutations underlie many developmental disorders and often lead to disabling neurological problems. Here, we report identification of a homozygous c.170G&gt;A (p.Cys57Tyr or C57Y) mutation in the gene coding for protein disulfide isomerase A3 (PDIA3, also known as ERp57), an enzyme that catalyzes formation of disulfide bonds in the endoplasmic reticulum, to be associated with syndromic intellectual disability. Experiments in zebrafish embryos show that PDIA3(C57Y) expression is pathogenic and causes developmental defects such as axonal disorganization as well as skeletal abnormalities. Expression of PDIA3(C57Y) in the mouse hippocampus results in impaired synaptic plasticity and memory consolidation. Proteomic and functional analyses reveal that PDIA3(C57Y) expression leads to dysregulation of cell adhesion and actin cytoskeleton dynamics, associated with altered integrin biogenesis and reduced neuritogenesis. Biochemical studies show that PDIA3(C57Y) has decreased catalytic activity and forms disulfide-crosslinked aggregates that abnormally interact with chaperones in the endoplasmic reticulum. Thus, rare disease gene variant can provide insight into how perturbations of neuronal proteostasis can affect the function of the nervous system.</t>
  </si>
  <si>
    <t>YILDIZ, Esra/AFQ-6113-2022; Piña, ricardo/AAU-1694-2020; Malik, Sajid/H-7816-2019; Morales Castañeda, Bernardo/GPP-1642-2022; Plate, Lars/I-7452-2019; Borgonovo, Janina/HZL-8801-2023; Woehlbier, Ute/HTT-6023-2023; Gonzalez-Billault, Christian/P-2393-2019; Diaz, Rodrigo/LBI-6390-2024; Medinas, Danilo/ABA-1182-2021; Hetz, Claudio/ABD-7514-2021; Concha, Miguel/I-2551-2013; mumtaz, sara/ABD-5323-2020; Gonzalez-Billault, Christian/K-9622-2013</t>
  </si>
  <si>
    <t>Plate, Lars/0000-0003-4363-6116; Wright, Madison/0000-0002-2274-7856; Hetz, Claudio/0000-0003-1120-7966; Rozas, Carlos/0000-0002-6422-9600; Concha, Miguel/0000-0003-3353-9398; Borgonovo, Janina/0009-0003-6899-6975; Quiroz Nahuelpan, Gabriel Francisco Esteban/0000-0002-1883-886X; Urra, Hery/0000-0002-6846-558X; mumtaz, sara/0000-0003-0503-1060; Malik, Sajid/0000-0001-5563-9053; Pulgar, Eduardo/0000-0001-9569-062X; Bilches Medinas, Danilo/0000-0002-1822-1974; Gonzalez-Billault, Christian/0000-0003-0335-1482; Cabral Miranda, Felipe/0000-0003-4390-2760; Woehlbier, Ute/0000-0003-3114-9708; Pina, Ricardo/0000-0002-2316-8952; YILDIZ BOLUKBASI, Esra/0000-0002-3251-8133</t>
  </si>
  <si>
    <t>0261-4189</t>
  </si>
  <si>
    <t>1460-2075</t>
  </si>
  <si>
    <t>JAN 17</t>
  </si>
  <si>
    <t>e105531</t>
  </si>
  <si>
    <t>10.15252/embj.2020105531</t>
  </si>
  <si>
    <t>WOS:000729837800001</t>
  </si>
  <si>
    <t>Ferrari, G; Werneck, AO; Silva, DR; Kovalskys, I; Gómez, G; Rigotti, A; Cortés, LY; García, MY; Liria, M; Herrera-Cuenca, M; Zimberg, IZ; Guajardo, V; Pratt, M; Cristi-Montero, C; Marques, A; Peralta, M; Bolados, CC; Leme, ACB; Rollo, S; Fisberg, M</t>
  </si>
  <si>
    <t>Ferrari, Gerson; Werneck, Andre O.; Silva, Danilo R.; Kovalskys, Irina; Gomez, Georgina; Rigotti, Attilio; Cortes, Lilia Yadira; Garcia, Martha Yepez; Liria, Maria; Herrera-Cuenca, Marianella; Zimberg, Iona Zalcman; Guajardo, Viviana; Pratt, Michael; Cristi-Montero, Carlos; Marques, Adilson; Peralta, Miguel; Bolados, Cristian Cofre; Leme, Ana Carolina B.; Rollo, Scott; Fisberg, Mauro</t>
  </si>
  <si>
    <t>Agreement Between Self-Reported and Device-Based Sedentary Time among Eight Countries: Findings from the ELANS</t>
  </si>
  <si>
    <t>PREVENTION SCIENCE</t>
  </si>
  <si>
    <t>The purpose of this study was to analyze the agreement between self-reported and device-based sedentary time among eight countries in Latin America. As part of the Latin American Study of Nutrition and Health (ELANS), data were collected from 2524 participants (18-65 years) across eight countries. Participants reported time spent sedentary in different activities (computer use at home, videogame use, reading, sitting down to chat with friends/relatives or listening to music, speaking on the phone, watching TV, and riding in a car). Overall sitting time was assessed using a single item from the International Physical Activity Questionnaire (IPAQ). Device-based sedentary time was assessed using Actigraph GT3X accelerometers. Self-reported overall sitting time (227.1 min/day) produced the lowest values of the three assessment methods, followed by self-reported sum of different types of sedentary behavior (364.1 min/day) and device-based sedentary time (568.6 min/day). Overall, correlation coefficients and ICC varied from weak to moderate (rho: 0.25-0.39; ICC: 0.21:0.39) between self-reported sum of different types of sedentary behavior, self-reported overall sitting time, and device-based sedentary time. The Bland-Altman plots indicated low to moderate agreement between self-reported overall sitting time and device-based sedentary time by sex. Self-report measures underestimate sedentary behavior and overall sitting time when compared with device-based measures. The weak and moderate level of agreement between methods indicates that caution is required when comparing associations between different self-report and device-based measures of sedentary behavior with health outcomes.</t>
  </si>
  <si>
    <t>Cristi-Montero, Carlos/AAE-4945-2020; Yépez, Maria/N-7710-2017; Cortes, Lilia/AAF-2960-2019; Zimberg, Iona/E-8452-2012; Gomez, Georgina/AAR-7272-2020; Ferrari, Gerson/ABG-6635-2021; Fisberg, Mauro/E-7149-2010; Ferrari, Gerson/P-1152-2014; Marques, Adilson/K-4529-2014; Werneck, Andre/N-5006-2016; Peralta, Miguel/H-1666-2017; Silva, Danilo/E-3747-2018; Barco Leme, Ana Carolina/H-3619-2015</t>
  </si>
  <si>
    <t>Ferrari, Gerson/0000-0003-3177-6576; Marques, Adilson/0000-0001-9850-7771; Cortes, Lilia Yadira/0000-0003-2789-3219; Werneck, Andre/0000-0002-9166-4376; Peralta, Miguel/0000-0001-6072-6012; Silva, Danilo/0000-0003-3995-4795; Barco Leme, Ana Carolina/0000-0003-2782-4301</t>
  </si>
  <si>
    <t>1389-4986</t>
  </si>
  <si>
    <t>1573-6695</t>
  </si>
  <si>
    <t>10.1007/s11121-021-01206-x</t>
  </si>
  <si>
    <t>WOS:000612284700001</t>
  </si>
  <si>
    <t>Ramirez-Campillo, R; Alvarez, C; García-Hermoso, A; Ramírez-Vélez, R; Gentil, P; Asadi, A; Chaabene, H; Moran, J; Meylan, C; García-de-Alcaraz, A; Sanchez-Sanchez, J; Nakamura, FY; Granacher, U; Kraemer, W; Izquierdo, M</t>
  </si>
  <si>
    <t>Ramirez-Campillo, Rodrigo; Alvarez, Cristian; Garcia-Hermoso, Antonio; Ramirez-Velez, Robinson; Gentil, Paulo; Asadi, Abbas; Chaabene, Helmi; Moran, Jason; Meylan, Cesar; Garcia-de-Alcaraz, Antonio; Sanchez-Sanchez, Javier; Nakamura, Fabio Y.; Granacher, Urs; Kraemer, William; Izquierdo, Mikel</t>
  </si>
  <si>
    <t>Methodological Characteristics and Future Directions for Plyometric Jump Training Research: A Scoping Review</t>
  </si>
  <si>
    <t>SPORTS MEDICINE</t>
  </si>
  <si>
    <t>Recently, there has been a proliferation of published articles on the effect of plyometric jump training, including several review articles and meta-analyses. However, these types of research articles are generally of narrow scope. Furthermore, methodological limitations among studies (e.g., a lack of active/passive control groups) prevent the generalization of results, and these factors need to be addressed by researchers. On that basis, the aims of this scoping review were to (1) characterize the main elements of plyometric jump training studies (e.g., training protocols) and (2) provide future directions for research. From 648 potentially relevant articles, 242 were eligible for inclusion in this review. The main issues identified related to an insufficient number of studies conducted in females, youths, and individual sports (similar to 24.0, similar to 37.0, and similar to 12.0% of overall studies, respectively); insufficient reporting of effect size values and training prescription (similar to 34.0 and similar to 55.0% of overall studies, respectively); and studies missing an active/passive control group and randomization (similar to 40.0 and similar to 20.0% of overall studies, respectively). Furthermore, plyometric jump training was often combined with other training methods and added to participants' daily training routines (similar to 47.0 and similar to 39.0% of overall studies, respectively), thus distorting conclusions on its independent effects. Additionally, most studies lasted no longer than 7 weeks. In future, researchers are advised to conduct plyometric training studies of high methodological quality (e.g., randomized controlled trials). More research is needed in females, youth, and individual sports. Finally, the identification of specific dose-response relationships following plyometric training is needed to specifically tailor intervention programs, particularly in the long term.</t>
  </si>
  <si>
    <t>de Alcaraz, Antonio/AAG-8271-2019; Chaabene, Helmi/I-7317-2019; Asadi, Abbas/R-6489-2019; Ramirez-Campillo, Rodrigo/M-1258-2016; ALVAREZ, CRISTIAN/S-8150-2019; Nakamura, Fábio/AAC-3069-2020; Moran, Jason/AAJ-1208-2020; García-Hermoso, Antonio/ADU-2591-2022; Ramirez-Velez, Robinson/D-5311-2016; Sanchez-Sanchez, Javier/N-1712-2016; Gentil, Paulo/L-7968-2016; Granacher, Urs/T-9900-2017; Izquierdo, Mikel/A-4894-2010; Garcia-Hermoso, Antonio/P-1857-2017</t>
  </si>
  <si>
    <t>Ramirez-Velez, Robinson/0000-0003-3075-6960; Chaabene, Helmi/0000-0001-7812-7931; Ramirez-Campillo, Rodrigo/0000-0003-2035-3279; Sanchez-Sanchez, Javier/0000-0003-4585-247X; Gentil, Paulo/0000-0003-2459-4977; Granacher, Urs/0000-0002-7095-813X; Izquierdo, Mikel/0000-0002-1506-4272; Garcia-Hermoso, Antonio/0000-0002-1397-7182; Alvarez, Cristian/0000-0003-4783-9981; Moran, Jason/0000-0001-7452-6855; GARCIA DE ALCARAZ SERRANO, ANTONIO/0000-0001-8210-4118; Nakamura, Fabio Yuzo/0000-0002-5336-3652</t>
  </si>
  <si>
    <t>0112-1642</t>
  </si>
  <si>
    <t>1179-2035</t>
  </si>
  <si>
    <t>10.1007/s40279-018-0870-z</t>
  </si>
  <si>
    <t>WOS:000438111000003</t>
  </si>
  <si>
    <t>Csajbók, Z; Sterbová, Z; Brewer, G; Cåndea, CA; De Backer, CJS; Fernández, AM; Fisher, ML; Garcia, JR; Kruger, DJ; Massar, K; Oberzaucher, E; Quintelier, KJP; van Geffen, RE; Valentova, JV; Varella, MAC; Jonason, PK</t>
  </si>
  <si>
    <t>Csajbok, Zsofia; Sterbova, Zuzana; Brewer, Gayle; Candea, Cristina A.; De Backer, Charlotte J. S.; Fernandez, Ana Maria; Fisher, Maryanne L.; Garcia, Justin R.; Kruger, Daniel J.; Massar, Karlijn; Oberzaucher, Elisabeth; Quintelier, Katinka J. P.; van Geffen, Renske E.; Valentova, Jaroslava Varella; Varella, Marco Antonio Correa; Jonason, Peter K.</t>
  </si>
  <si>
    <t>Individual Differences in How Desirable People Think They Are as a Mate</t>
  </si>
  <si>
    <t>ARCHIVES OF SEXUAL BEHAVIOR</t>
  </si>
  <si>
    <t>Mate value is an important concept in mate choice research although its operationalization and understanding are limited. Here, we reviewed and evaluated previously established conceptual and methodological approaches measuring mate value and presented original research using individual differences in how people view themselves as a face-valid proxy for mate value in long- and short-term contexts. In data from 41 nations (N = 3895, M-age = 24.71, 63% women, 47% single), we tested sex, age, and relationship status effects on self-perceived mate desirability, along with individual differences in the Dark Triad traits, life history strategies, peer-based comparison of desirability, and self-reported mating success. Both sexes indicated more short-term than long-term mate desirability; however, men reported more long-term mate desirability than women, whereas women reported more short-term mate desirability than men. Further, individuals who were in a committed relationship felt more desirable than those who were not. Concerning the cross-sectional stability of mate desirability across the lifespan, in men, short- and long-term desirability rose to the age of 40 and 50, respectively, and decreased afterward. In women, short-term desirability rose to the age of 38 and decreased afterward, whereas long-term desirability remained stable over time. Our results suggest that measuring long- and short-term self-perceived mate desirability reveals predictable correlates.</t>
  </si>
  <si>
    <t>Massar, Karlijn/AAG-3199-2020; oberzaucher, elisabeth/JNR-8701-2023; Kruger, Daniel/MCJ-9482-2025; Urpí-Fernández, Ana-María/AAF-7098-2019; Štěrbová, Zuzana/AFL-2444-2022; De Backer, Charlotte/JHV-1060-2023; Jonason, Peter/AAW-7529-2020; Csajbok, Zsofia/U-7954-2017; Sterbova, Zuzana/R-5558-2016; Varella, Marco/S-5492-2016; oberzaucher, elisabeth/A-5702-2011; Varella Valentova, Jaroslava/K-8765-2012</t>
  </si>
  <si>
    <t>Csajbok, Zsofia/0000-0002-5800-1597; Sterbova, Zuzana/0000-0002-0158-922X; Jonason, Peter/0000-0002-8833-048X; Varella, Marco/0000-0002-7274-7360; oberzaucher, elisabeth/0000-0003-0083-3160; Varella Valentova, Jaroslava/0000-0002-2113-3385; Quintelier, Katinka/0000-0003-4610-9119</t>
  </si>
  <si>
    <t>0004-0002</t>
  </si>
  <si>
    <t>1573-2800</t>
  </si>
  <si>
    <t>10.1007/s10508-023-02601-x</t>
  </si>
  <si>
    <t>WOS:000984617900001</t>
  </si>
  <si>
    <t>Lubin, D; Zhang, DM; Silber, I; Scott, RC; Kalogeras, P; Battaglia, A; Bromwich, DH; Cadeddu, M; Eloranta, E; Fridlind, A; Frossard, A; Hines, KM; Kneifel, S; Leaitch, WR; Lin, WY; Nicolas, J; Powers, H; Quinn, PK; Rowe, P; Russell, LM; Sharma, S; Verlinde, J; Vogelmann, AM</t>
  </si>
  <si>
    <t>Lubin, Dan; Zhang, Damao; Silber, Israel; Scott, Ryan C.; Kalogeras, Petros; Battaglia, Alessandro; Bromwich, David H.; Cadeddu, Maria; Eloranta, Edwin; Fridlind, Ann; Frossard, Amanda; Hines, Keith M.; Kneifel, Stefan; Leaitch, W. Richard; Lin, Wuyin; Nicolas, Julien; Powers, Heath; Quinn, Patricia K.; Rowe, Penny; Russell, Lynn M.; Sharma, Sangeeta; Verlinde, Johannes; Vogelmann, Andrew M.</t>
  </si>
  <si>
    <t>The Atmospheric Radiation Measurement (ARM) West Antarctic Radiation Experiment</t>
  </si>
  <si>
    <t>BULLETIN OF THE AMERICAN METEOROLOGICAL SOCIETY</t>
  </si>
  <si>
    <t>The U.S. Department of Energy Atmospheric Radiation Measurement (ARM) West Antarctic Radiation Experiment (AWARE) performed comprehensive meteorological and aerosol measurements and ground-based atmospheric remote sensing at two Antarctic stations using the most advanced instrumentation available. A suite of cloud research radars, lidars, spectral and broadband radiometers, aerosol chemical and microphysical sampling equipment, and meteorological instrumentation was deployed at McMurdo Station on Ross Island from December 2015 through December 2016. A smaller suite of radiometers and meteorological equipment, including radiosondes optimized for surface energy budget measurement, was deployed on the West Antarctic Ice Sheet between 4 December 2015 and 17 January 2016. AWARE provided Antarctic atmospheric data comparable to several well-instrumented high Arctic sites that have operated for many years and that reveal numerous contrasts with the Arctic in aerosol and cloud microphysical properties. These include persistent differences in liquid cloud occurrence, cloud height, and cloud thickness. Antarctic aerosol properties are also quite different from the Arctic in both seasonal cycle and composition, due to the continent's isolation from lower latitudes by Southern Ocean storm tracks. Antarctic aerosol number and mass concentrations are not only non-negligible but perhaps play a more important role than previously recognized because of the higher sensitivities of clouds at the very low concentrations caused by the large-scale dynamical isolation. Antarctic aerosol chemical composition, particularly organic components, has implications for local cloud microphysics. The AWARE dataset, fully available online in the ARM Program data archive, offers numerous case studies for unique and rigorous evaluation of mixed-phase cloud parameterization in climate models.</t>
  </si>
  <si>
    <t>Modini, Rob/A-8451-2014; Quinn, Patricia/R-1493-2016; Zhang, Damao/JVD-9442-2023; Kneifel, Stefan/A-2044-2015; Verlinde, Johannes/H-8351-2017; Bromwich, David/C-9225-2016; Zhang, Damao/A-2900-2016; Fridlind, Ann/E-1495-2012; Vogelmann, Andrew/M-8779-2014</t>
  </si>
  <si>
    <t>Zhang, Damao/0000-0002-3518-292X; Rowe, Penny/0000-0002-7594-0553; Leaitch, Warren Richard/0000-0003-1503-5639; Silber, Israel/0000-0001-6588-2145; Fridlind, Ann/0000-0002-9020-0852; Frossard, Amanda/0000-0002-5728-0854; Scott, Ryan/0000-0002-9182-0834; Battaglia, Alessandro/0000-0001-9243-3484; Lubin, Dan/0000-0002-5899-8358; Vogelmann, Andrew/0000-0003-1918-5423; Russell, Lynn/0000-0002-6108-2375</t>
  </si>
  <si>
    <t>0003-0007</t>
  </si>
  <si>
    <t>1520-0477</t>
  </si>
  <si>
    <t>E1069</t>
  </si>
  <si>
    <t>E1091</t>
  </si>
  <si>
    <t>10.1175/BAMS-D-18-0278.1</t>
  </si>
  <si>
    <t>WOS:000588379300008</t>
  </si>
  <si>
    <t>Barry, PH; De Moor, JM; Chiodi, A; Aguilera, F; Hudak, MR; Bekaert, DV; Turner, SJ; Curtice, J; Seltzer, AM; Jessen, GL; Osses, E; Blamey, JM; Amenabar, MJ; Selci, M; Cascone, M; Bastianoni, A; Nakagawa, M; Filipovich, R; Bustos, E; Schrenk, MO; Buongiorno, J; Ramirez, CJ; Rogers, TJ; Lloyd, KG; Giovannelli, D</t>
  </si>
  <si>
    <t>Barry, P. H.; De Moor, J. M.; Chiodi, A.; Aguilera, F.; Hudak, M. R.; Bekaert, D. V.; Turner, S. J.; Curtice, J.; Seltzer, A. M.; Jessen, G. L.; Osses, E.; Blamey, J. M.; Amenabar, M. J.; Selci, M.; Cascone, M.; Bastianoni, A.; Nakagawa, M.; Filipovich, R.; Bustos, E.; Schrenk, M. O.; Buongiorno, J.; Ramirez, C. J.; Rogers, T. J.; Lloyd, K. G.; Giovannelli, D.</t>
  </si>
  <si>
    <t>The Helium and Carbon Isotope Characteristics of the Andean Convergent Margin</t>
  </si>
  <si>
    <t>FRONTIERS IN EARTH SCIENCE</t>
  </si>
  <si>
    <t>Subduction zones represent the interface between Earth's interior (crust and mantle) and exterior (atmosphere and oceans), where carbon and other volatile elements are actively cycled between Earth reservoirs by plate tectonics. Helium is a sensitive tracer of volatile sources and can be used to deconvolute mantle and crustal sources in arcs; however it is not thought to be recycled into the mantle by subduction processes. In contrast, carbon is readily recycled, mostly in the form of carbon-rich sediments, and can thus be used to understand volatile delivery via subduction. Further, carbon is chemically-reactive and isotope fractionation can be used to determine the main processes controlling volatile movements within arc systems. Here, we report helium isotope and abundance data for 42 deeply-sourced fluid and gas samples from the Central Volcanic Zone (CVZ) and Southern Volcanic Zone (SVZ) of the Andean Convergent Margin (ACM). Data are used to assess the influence of subduction parameters (e.g., crustal thickness, subduction inputs, and convergence rate) on the composition of volatiles in surface volcanic fluid and gas emissions. He isotopes from the CVZ backarc range from 0.1 to 2.6 R-A (n = 23), with the highest values in the Puna and the lowest in the Sub-Andean foreland fold-and-thrust belt. Atmosphere-corrected He isotopes from the SVZ range from 0.7 to 5.0 R-A (n = 19). Taken together, these data reveal a clear southeastward increase in He-3/He-4, with the highest values (in the SVZ) falling below the nominal range associated with pure upper mantle helium (8 +/- 1 R-A), approaching the mean He isotope value for arc gases of (5.4 +/- 1.9 R-A). Notably, the lowest values are found in the CVZ, suggesting more significant crustal inputs (i.e., assimilation of He-4) to the helium budget. The crustal thickness in the CVZ (up to 70 km) is significantly larger than in the SVZ, where it is just similar to 40 km. We suggest that crustal thickness exerts a primary control on the extent of fluid-crust interaction, as helium and other volatiles rise through the upper plate in the ACM. We also report carbon isotopes from (n = 11) sites in the CVZ, where delta C-13 varies between -15.3 parts per thousand and -1.2 parts per thousand [vs. Vienna Pee Dee Belemnite (VPDB)] and CO2/He-3 values that vary by over two orders of magnitude (6.9 x 10(8)-1.7 x 10(11)). In the SVZ, carbon isotope ratios are also reported from (n = 13) sites and vary between -17.2 parts per thousand and -4.1 parts per thousand. CO2/He-3 values vary by over four orders of magnitude (4.7 x 10(7)-1.7 x 10(12)). Low delta C-13 and CO2/He-3 values are consistent with CO2 removal (e.g., calcite precipitation and gas dissolution) in shallow hydrothermal systems. Carbon isotope fractionation modeling suggests that calcite precipitation occurs at temperatures coincident with the upper temperature limit for life (122 degrees C), suggesting that biology may play a role in C-He systematics of arc-related volcanic fluid and gas emissions.</t>
  </si>
  <si>
    <t>Hudak, Michael/HLG-3370-2023; Blamey, Jenny/M-2637-2014; lloyd, Karen/A-4165-2011; Giovannelli, Donato/A-4812-2011; Turner, Stephen/GXM-4654-2022; Matthew, Schrenk/AAH-5682-2020; Jessen, Gerdhard/AAG-1605-2020; Amenabar, Maximiliano/AAD-5354-2020</t>
  </si>
  <si>
    <t>Rogers, Timothy/0000-0002-4292-619X; Barry, Peter/0000-0002-6960-1555; Bustos, Emilce/0000-0001-5501-1805; Jessen, Gerdhard L./0000-0002-2602-6052; Bastianoni, Alessia/0000-0003-0314-1610; Aguilera, Felipe/0000-0003-1135-9978; Amenabar, Maximiliano/0000-0003-1890-5353</t>
  </si>
  <si>
    <t>2296-6463</t>
  </si>
  <si>
    <t>JUN 13</t>
  </si>
  <si>
    <t>10.3389/feart.2022.897267</t>
  </si>
  <si>
    <t>WOS:000819250000001</t>
  </si>
  <si>
    <t>Pham, C; Desmarais, E; Jones, V; French, BF; Wang, ZY; Putnam, S; Casalin, S; Linhares, MBM; Lecannelier, F; Tuovinen, S; Heinonen, K; Raikkonen, K; Montirosso, R; Giusti, L; Park, SY; Han, SY; Lee, EG; Huitron, B; de Weerth, C; Beijers, R; Majdandzic, M; Gonzalez-Salinas, C; Acar, I; Slobodskaya, H; Kozlova, E; Ahmetoglu, E; Benga, O; Gartstein, MA</t>
  </si>
  <si>
    <t>Pham, Christie; Desmarais, Eric; Jones, Victoria; French, Brian F. F.; Wang, Zhengyan; Putnam, Samuel; Casalin, Sara; Linhares, Maria Beatriz Martins; Lecannelier, Felipe; Tuovinen, Soile; Heinonen, Kati; Raikkonen, Katri; Montirosso, Rosario; Giusti, Lorenzo; Park, Seong-Yeon; Han, Sae-Young; Lee, Eun Gyoung; Huitron, Blanca; de Weerth, Carolina; Beijers, Roseriet; Majdandzic, Mirjana; Gonzalez-Salinas, Carmen; Acar, Ibrahim; Slobodskaya, Helena; Kozlova, Elena; Ahmetoglu, Emine; Benga, Oana; Gartstein, Maria A. A.</t>
  </si>
  <si>
    <t>Relations between bedtime parenting behaviors and temperament across 14 cultures</t>
  </si>
  <si>
    <t>FRONTIERS IN PSYCHOLOGY</t>
  </si>
  <si>
    <t>ObjectivesThe present study examined parental sleep-supporting practices during toddlerhood in relation to temperament across 14 cultures. We hypothesized that passive sleep-supporting techniques (e.g., talking, cuddling), but not active techniques (e.g., walking, doing an activity together), would be associated with less challenging temperament profiles: higher Surgency (SUR) and Effortful Control (EC) and lower Negative Emotionality (NE), with fine-grained dimensions exhibiting relationships consistent with their overarching factors (e.g., parallel passive sleep-supporting approach effects for dimensions of NE). MethodsCaregivers (N = 841) across 14 cultures (M = 61 families per site) reported toddler (between 17 and 40 months of age; 52% male) temperament and sleep-supporting activities. Utilizing linear multilevel regression models and group-mean centering procedures, we assessed the role of between- and within-cultural variance in sleep-supporting practices in relation to temperament. ResultsBoth within-and between-culture differences in passive sleep-supporting techniques were associated with temperament attributes, (e.g., lower NE at the between-culture level; higher within-culture EC). For active techniques only within-culture effects were significant (e.g., demonstrating a positive association with NE). Adding sleep-supporting behaviors to the regression models accounted for significantly more between-culture temperament variance than child age and gender alone. ConclusionHypotheses were largely supported. Findings suggest parental sleep practices could be potential targets for interventions to mitigate risk posed by challenging temperament profiles (e.g., reducing active techniques that are associated with greater distress proneness and NE).</t>
  </si>
  <si>
    <t>de Weerth, Carolina/I-7963-2018; Majdandzic, Mirjana/HLH-2662-2023; Salinas-Quiroz, Fernando/D-8247-2013; Acar, Ibrahim/D-8900-2019; Montirosso, Rosario/J-3673-2016; Kozlova, Elena/T-7342-2017; Acar, Ibrahim/V-5821-2017; AHMETOGLU, EMINE/KLC-3561-2024; de Weerth, Carolina/KTI-0641-2024</t>
  </si>
  <si>
    <t>Acar, Ibrahim/0000-0003-4007-5691; AHMETOGLU, EMINE/0000-0001-7974-7921; de Weerth, Carolina/0000-0002-0921-1811; Heinonen, Kati/0000-0002-1262-5599; Majdandzic, Mirjana/0000-0003-3579-2119; Raikkonen, Katri/0000-0003-3124-3470</t>
  </si>
  <si>
    <t>1664-1078</t>
  </si>
  <si>
    <t>NOV 24</t>
  </si>
  <si>
    <t>10.3389/fpsyg.2022.1004082</t>
  </si>
  <si>
    <t>WOS:000893770900001</t>
  </si>
  <si>
    <t>C</t>
  </si>
  <si>
    <t>Roshchin, IV; Li, CP; Suhl, H; Batlle, X; Roy, S; Sinha, SK; Park, S; Pynn, R; Fitzsimmons, MR; Mejía-López, J; Altbir, D; Romero, AH; Dumas, R; Liu, K; Schuller, IK</t>
  </si>
  <si>
    <t>IEEE</t>
  </si>
  <si>
    <t>Roshchin, Igor V.; Li, Chang-Peng; Suhl, Harry; Batlle, Xavier; Roy, S.; Sinha, Sunil K.; Park, S.; Pynn, Roger; Fitzsimmons, M. R.; Mejia-Lopez, Jose; Altbir, Dora; Romero, A. H.; Dumas, R.; Liu, Kai; Schuller, Ivan K.</t>
  </si>
  <si>
    <t>Magnetic Vortices in Sub-100 nm Magnets</t>
  </si>
  <si>
    <t>ICEAA: 2009 INTERNATIONAL CONFERENCE ON ELECTROMAGNETICS IN ADVANCED APPLICATIONS, VOLS 1 AND 2</t>
  </si>
  <si>
    <t>International Conference on Electromagnetics in Advanced Applications (ICEAA 2009)</t>
  </si>
  <si>
    <t>SEP 14-18, 2009</t>
  </si>
  <si>
    <t>Torino, ITALY</t>
  </si>
  <si>
    <t>Presented is a quantitative study of,the magnetic vortex state and the vortex core in sub-100 nm magnetic dots. Arrays of magnetic nanodots covering over 1 cm(2) are fabricated using self-assembled nanopores in anodized alumina. Transition from a vortex to a single domain state for the Fe dots is studied by magnetization measurements (SQUID, VSM, and MOKE) as a function of the dots size and magnetic field. Micromagnetic and Monte Carlo simulations confirm the experimental observations. Thermal activation and exchange bias have a large effect on the vortex nucleation field. Quantitative analysis of grazing incidence small angle neutron scattering measurements with polarization analysis, performed on 65 nm Fe dots yields the magnetization of the vortex core of 140+/-50 emu/cm(3) and its diameter of 19+/-4 nm, in agreement with the simulations results.</t>
  </si>
  <si>
    <t>Liu, Kai/B-1163-2008; Altbir, Dora/R-6781-2018; Schuller, Ivan/B-3162-2013; Batlle, Xavier/H-5795-2012; romero, aldo/B-2344-2016; Roshchin, Igor/I-5162-2012; Mejia-Lopez, Jose/T-6773-2017</t>
  </si>
  <si>
    <t>Mejia-Lopez, Jose/0000-0003-0301-3408</t>
  </si>
  <si>
    <t>978-1-4244-3385-8</t>
  </si>
  <si>
    <t>WOS:000278037600266</t>
  </si>
  <si>
    <t>Leveau, LM; Bocelli, ML; Quesada-Acuna, SG; González-Lagos, C; Tapia, PG; Dri, GF; Delgado-V, CA; Garitano-Zavala, A; Campos, J; Benedetti, Y; Ortega-Alvarez, R; Rodríguez, AIC; López, DS; Fontana, CS; da Silva, TW; Vargas, SSZ; Toledo, MCB; Sarquis, JA; Giraudo, A; Echevarria, AL; Fanjul, ME; Martínez, MV; Haedo, J; Sanz, LGC; Peña, Y; Fernandez, V; Marinero, V; Abilhoa, V; Amorin, R; Ibáñez, JFE; Juri, MD; Camín, S; Marone, L; Piratelli, AJ; Franchin, AG; Crispim, L; Morelli, F</t>
  </si>
  <si>
    <t>Leveau, Lucas M.; Lucia Bocelli, Mariana; Gabriel Quesada-Acuna, Sergio; Gonzalez-Lagos, Cesar; Gutierrez Tapia, Pablo; Franzoi Dri, Gabriela; Delgado-V, Carlos A.; Garitano-Zavala, Alvaro; Campos, Jackeline; Benedetti, Yanina; Ortega-Alvarez, Ruben; Contreras Rodriguez, Antonio Isain; Souza Lopez, Daniela; Suertegaray Fontana, Carla; Weinert da Silva, Thaiane; Zalewski Vargas, Sarah Sandri; Barbosa Toledo, Maria Cecilia; Andres Sarquis, Juan; Giraudo, Alejandro; Lilian Echevarria, Ada; Elisa Fanjul, Maria; Valeria Martinez, Maria; Haedo, Josefina; Cano Sanz, Luis Gonzalo; Pena, Yuri; Fernandez, Viviana; Marinero, Veronica; Abilhoa, Vinicius; Amorin, Rafael; Escobar Ibanez, Juan Fernando; Dolores Juri, Maria; Camin, Sergio; Marone, Luis; Joao Piratelli, Augusto; Gabriel Franchin, Alexandre; Crispim, Larissa; Morelli, Federico</t>
  </si>
  <si>
    <t>Bird diversity-environment relationships in urban parks and cemeteries of the Neotropics during breeding and non-breeding seasons</t>
  </si>
  <si>
    <t>PEERJ</t>
  </si>
  <si>
    <t>Background: Urbanization will increase in the next decades, causing the loss of green areas and bird diversity within cities. There is a lack of studies at a continental scale analyzing the relationship between urban green areas, such as parks and cemeteries, and bird species richness in the Neotropical region. Bird diversity-environment relationships in urban parks and cemeteries may be influenced by latitudinal gradients or species-area relationships. However, the seasonal variation of species diversity- environment has not been analyzed at a continental scale in the Neotropics. Methods: Bird surveys were conducted in 36 cemeteries and 37 parks within 18 Neotropical cities during non-breeding and breeding seasons. Bird diversity was assessed through Hill numbers, focusing on species richness, the effective number of species derived from Shannon index and the Simpson index. Environmental variables included latitude, altitude, and local scale variables such as area size, habitat diversity and pedestrian traffic. Results: Species richness and Shannon diversity were higher during the breeding season, whereas Simpson diversity did not vary between seasons. During both seasons, species richness increased with area size, was negatively related to altitude, and was the highest at 20 degrees latitude. Species richness was also positively related to habitat diversity, pedestrian traffic, and was highest in suburban areas during the non-breeding season. Shannon and Simpson diversity showed significant relationships with habitat diversity and area size during the breeding season. Bird diversity was similar between parks and cemeteries. Discussion: Our results showed that urban parks and cemeteries have similar roles in conserving urban bird diversity in Neotropical cities. However, species diversityenvironment relations at the continental scale varied between seasons, highlighting the importance of conducting annual studies.</t>
  </si>
  <si>
    <t>Franchin, Alexandre/HIZ-8423-2022; Toledo, Maria Cecília/AAW-4461-2020; Garitano-Zavala, Alvaro/JGD-3981-2023; Abilhoa, Vinicius/J-3676-2017; Benedetti, Yanina/B-8815-2016; Fernandez, Viviana/KUD-6803-2024; González-Lagos, Cesar/AAJ-3382-2020; Cano Sanz, Luis/AGX-2324-2022; Fontana, Carla/N-6402-2019; Piratelli, Augusto/J-2104-2012; Marone, Luis/JAC-0226-2023; Morelli, Federico/P-1094-2018</t>
  </si>
  <si>
    <t>Delgado-V., Carlos A/0000-0002-1609-0835; Cano Sanz, Luis Gonzalo/0000-0003-4173-9824; Benedetti, Yanina/0000-0003-1600-2310; Pena Dominguez, Yuri Adais/0000-0001-9839-1684; Piratelli, Augusto/0000-0003-0268-4007; Fernandez Maldonado, Viviana Noemi/0000-0002-2369-5736; Marone, Luis/0000-0002-6773-643X; Morelli, Federico/0000-0003-1099-1357; Bocelli, Mariana Lucia/0000-0002-4476-610X; Toledo, Maria Cecilia/0000-0002-2082-5558</t>
  </si>
  <si>
    <t>2167-8359</t>
  </si>
  <si>
    <t>DEC 14</t>
  </si>
  <si>
    <t>e14496</t>
  </si>
  <si>
    <t>10.7717/peerj.14496</t>
  </si>
  <si>
    <t>WOS:000965028600004</t>
  </si>
  <si>
    <t>Batiha, GE; Alqarni, M; Awad, DAB; Algammal, AM; Nyamota, R; Wahed, MII; Shah, MA; Amin, MN; Adetuyi, BO; Hetta, HF; Cruz-Martins, N; Koirala, N; Ghosh, A; Echeverría, J; Pagnossa, JP; Sabatier, JM</t>
  </si>
  <si>
    <t>Batiha, Gaber El-Saber; Alqarni, Mohammed; Awad, Dina A. B.; Algammal, Abdelazeem M.; Nyamota, Richard; Wahed, Mir I. I.; Shah, Muhammad Ajmal; Amin, Mohammad N.; Adetuyi, Babatunde O.; Hetta, Helal F.; Cruz-Martins, Natalia; Koirala, Niranjan; Ghosh, Arabinda; Echeverria, Javier; Pagnossa, Jorge Pamplona; Sabatier, Jean-Marc</t>
  </si>
  <si>
    <t>Dairy-Derived and Egg White Proteins in Enhancing Immune System Against COVID-19</t>
  </si>
  <si>
    <t>Coronavirus disease (COVID-19) is a global health challenge, caused by the severe acute respiratory syndrome coronavirus-2 (SARS-CoV-2) triggers a plethora of respiratory disturbances and even multiple organs failure that can be fatal. Nutritional intervention is one of the key components toward to a proper management of COVID-19 patients, especially in those requiring medication, and should thus be considered the first-line treatment. Immuno-modulation and -stimulation are currently being explored in COVID-19 management and are gaining interest by food and pharmaceutical industries. Various dietary combinations, bioactive components, nutrients and fortified foods have been reported to modulate inflammation during disease progression. Dietary combinations of dairy-derived products and eggs are gaining an increasing attention given the huge immunomodulatory and anti-inflammatory properties attributed to some of their chemical constituents. Eggs are complex dietary components containing many essential nutrients and bioactive compounds as well as a high-quality proteins. Similarly, yogurts can replenish beneficial bacteria and contains macronutrients capable of stimulating immunity by enhancing cell immunity, reducing oxidative stress, neutralizing inflammation and regulating the intestinal barriers and gut microbiome. Thus, this review highlights the impact of nutritional intervention on COVID-19 management, focusing on the immunomodulatory and inflammatory effects of immune-enhancing nutrients.</t>
  </si>
  <si>
    <t>Hetta, Helal/U-6794-2019; Pagnossa, Jorge/JCD-7024-2023; Echeverría, Javier/AAK-3323-2020; Wahed, Mir/AAS-4468-2020; Adetuyi, Babatunde/ISS-5349-2023; Amin, Mohammad Nurul/ABD-2941-2020; Richard, Nyamota/AAP-4096-2021; Awad, Dina/GVT-6776-2022; Alqarni, Mohammed/GQI-3737-2022; Algammal, Abdelazeem/F-2151-2019; Shah, Muhammad Ajmal/M-7872-2015; Cruz-Martins, Natalia/P-2972-2015; Koirala, Niranjan/W-3197-2018</t>
  </si>
  <si>
    <t>Wahed, Mir Imam Ibne/0000-0002-3718-542X; Algammal, Abdelazeem/0000-0001-5580-1559; Shah, Muhammad Ajmal/0000-0003-3471-184X; Echeverria, Javier/0000-0002-1688-968X; Cruz-Martins, Natalia/0000-0002-5934-5201; Koirala, Niranjan/0000-0002-7777-1191; Awad Mohamed, Dina Abdelrazik Bayoumi/0000-0003-1115-4219; Ghosh, Arabinda/0000-0002-3891-5949; Pagnossa, Jorge/0000-0002-7710-2254; Nyamota, Richard/0000-0002-9569-1953</t>
  </si>
  <si>
    <t>JUL 12</t>
  </si>
  <si>
    <t>10.3389/fnut.2021.629440</t>
  </si>
  <si>
    <t>WOS:000677473900001</t>
  </si>
  <si>
    <t>Liu, HB; Mérand, A; Green, JD; Pérez, S; Hales, AS; Yang, YL; Dunham, MM; Hasegawa, Y; Henning, T; Galván-Madrid, R; Kóspál, A; Takami, M; Vorobyov, EI; Zhu, ZH</t>
  </si>
  <si>
    <t>Liu, Hauyu Baobab; Merand, Antoine; Green, Joel D.; Perez, Sebastian; Hales, Antonio S.; Yang, Yao-Lun; Dunham, Michael M.; Hasegawa, Yasuhiro; Henning, Thomas; Galvan-Madrid, Roberto; Kospal, Agnes; Takami, Michihiro; Vorobyov, Eduard I.; Zhu, Zhaohuan</t>
  </si>
  <si>
    <t>Diagnosing 0.1-10 au Scale Morphology of the FU Ori Disk Using ALMA and VLTI/GRAVITY</t>
  </si>
  <si>
    <t>We report new Atacama Large Millimeter/submillimeter Array Band 3 (86-100 GHz; similar to 80 mas angular resolution) and Band 4 (146-160 GHz; similar to 50 mas angular resolution) observations of the dust continuum emission toward the archetypal and ongoing accretion burst young stellar object FU Ori, which simultaneously covered its companion, FU Ori S. In addition, we present near-infrared (2-2.45 mu m) observations of FU Ori taken with the General Relativity Analysis via VLT InTerferometrY (GRAVITY; similar to 1 mas angular resolution) instrument on the Very Large Telescope Interferometer (VLTI). We find that the emission in both FU Ori and FU Ori S at (sub)millimeter and near-infrared bands is dominated by structures inward of similar to 10 au radii. We detected closure phases close to zero from FU Ori with VLTI/GRAVITY, which indicate the source is approximately centrally symmetric and therefore is likely viewed nearly face-on. Our simple model to fit the GRAVITY data shows that the inner 0.4 au radii of the FU Ori disk has a triangular spectral shape at 2-2.45 mu m, which is consistent with the H2O and CO absorption features in a (M) over dot similar to 10(-4) M-circle dot yr(-1), viscously heated accretion disk. At larger (similar to 0.4-10 au) radii, our analysis shows that viscous heating may also explain the observed (sub)millimeter and centimeter spectral energy distribution when we assume a constant, similar to 10(-4) M-circle dot yr(-1) mass inflow rate in this region. This explains how the inner 0.4 au disk is replenished with mass at a modest rate, such that it neither depletes nor accumulates significant masses over its short dynamic timescale. Finally, we tentatively detect evidence of vertical dust settling in the inner 10 au of the FU Ori disk, but confirmation requires more complete spectral sampling in the centimeter bands.</t>
  </si>
  <si>
    <t>Henning, Thomas/O-4372-2018; Takami, Michihiro/ABA-7396-2020; Vorobyov, Eduard/AAB-7987-2020; Pérez, Sebastián/AAS-5857-2020; Liu, Hauyu Baobab/ABA-1430-2020; Yang, Yao-Lun/AAK-1629-2021</t>
  </si>
  <si>
    <t>Merand, Antoine/0000-0003-2125-0183; Yang, Yao-Lun/0000-0001-8227-2816; Perez, Sebastian/0000-0003-2953-755X; Takami, Michihiro/0000-0001-9248-7546; Green, Joel/0000-0003-1665-5709; Liu, Hauyu Baobab/0000-0003-2300-2626; Galvan Madrid, Roberto/0000-0003-1480-4643; Hales, Antonio/0000-0001-5073-2849</t>
  </si>
  <si>
    <t>OCT 10</t>
  </si>
  <si>
    <t>10.3847/1538-4357/ab391c</t>
  </si>
  <si>
    <t>WOS:000501733600022</t>
  </si>
  <si>
    <t>Sehic, E; French, BF; Majdandzic, M; Wang, ZY; Beijers, R; de Weerth, C; Park, SY; Huitron, B; Ahmetoglu, E; Benga, O; Raikkonen, K; Heinonen, K; Gonzalez-Salinas, C; Slobodskaya, H; Kozlova, E; Linhares, MBM; Lecannelier, F; Casalin, S; Acar, I; Tuovinen, S; Montirosso, R; Giusti, L; Han, SY; Lee, EG; Putnam, S; Gartstein, MA</t>
  </si>
  <si>
    <t>Sehic, Ela; French, Brian F.; Majdandzic, Mirjana; Wang, Zhengyan; Beijers, Roseriet; de Weerth, Carolina; Park, Seong-Yeon; Huitron, Blanca; Ahmetoglu, Emine; Benga, Oana; Raikkonen, Katri; Heinonen, Kati; Gonzalez-Salinas, Carmen; Slobodskaya, Helena; Kozlova, Elena; Linhares, Maria Beatriz Martins; Lecannelier, Felipe; Casalin, Sara; Acar, Ibrahim; Tuovinen, Soile; Montirosso, Rosario; Giusti, Lorenzo; Han, Sae-Young; Lee, Eun Gyoung; Putnam, Samuel; Gartstein, Maria A.</t>
  </si>
  <si>
    <t>Cultural Values and Parental Psychology: A Multilevel Analysis From the Joint Effort Toddler Temperament Consortium</t>
  </si>
  <si>
    <t>JOURNAL OF FAMILY PSYCHOLOGY</t>
  </si>
  <si>
    <t>The present study aims to gain a greater understanding of the manner in which culture may impact parenting and, thus, child development by examining the relationship between cultural values, socialization goals (SGs), and parental ethnotheories (PEs). Specifically, this study examined links between cultural value dimensions (i.e., individualism/collectivism, power distance, masculinity/femininity, uncertainty avoidance, indulgence/restraint, and long-term/short-term orientation; Hofstede et al., 2010) and autonomous as well as relational SGs and PEs. We examined data collected from mothers of toddlers (N = 865) between 17 and 40 months of age (M = 26.88 months, SD = 5.65 months; 52% boys) from 14 nations represented in the Joint Effort Toddler Temperament Consortium. We hypothesized that: (a) Cultural values consistent with independent cultural ideals would be positively associated with SGs and PEs representative of greater autonomy and independence, and (b) Cultural values consistent with interdependent ideals would be positively associated with SGs and PEs representative of greater interrelatedness. Multilevel modeling was used to regress parental psychology on Hofstede's cultural values. Support for these hypotheses was somewhat mixed; higher ratings of culture-level indulgence were associated with higher autonomous PEs, as well as with higher relational and autonomous SGs. Furthermore, higher ratings of culture-level masculinity were associated with lower relational PEs and with lower autonomous SGs. The results suggest differences in the effects for cultural values associated with parenting versus cultural values associated with child outcomes and highlight considerations related to dichotomous cultural frameworks. The findings help explain both individual- and country-level variations in aspects of parental psychology.</t>
  </si>
  <si>
    <t>Acar, Ibrahim/D-8900-2019; Kozlova, Elena/T-7342-2017; de Weerth, Carolina/I-7963-2018; Majdandzic, Mirjana/HLH-2662-2023; Montirosso, Rosario/J-3673-2016; Ahmetoglu, Emine/KLC-3561-2024; Salinas-Quiroz, Fernando/D-8247-2013</t>
  </si>
  <si>
    <t>Heinonen, Kati/0000-0002-1262-5599</t>
  </si>
  <si>
    <t>0893-3200</t>
  </si>
  <si>
    <t>1939-1293</t>
  </si>
  <si>
    <t>10.1037/fam0001221</t>
  </si>
  <si>
    <t>JUL 2024</t>
  </si>
  <si>
    <t>WOS:001300854500001</t>
  </si>
  <si>
    <t>Habinger, JG; Chávez, JL; Matsudo, SM; Kovalskys, I; Gómez, G; Rigotti, A; Sanabria, LYC; García, MCY; Pareja, RG; Herrera-Cuenca, M; Zimberg, IZ; Guajardo, V; Pratt, M; Bolados, CC; Valenzuela, CF; Marques, A; Peralta, M; Leme, ACB; Fisberg, M; Werneck, AO; da Silva, DR; Ferrari, G</t>
  </si>
  <si>
    <t>Guzman Habinger, Juan; Lobos Chavez, Javiera; Mahecha Matsudo, Sandra; Kovalskys, Irina; Gomez, Georgina; Rigotti, Attilio; Cortes Sanabria, Lilia Yadira; Yepez Garcia, Martha Cecilia; Pareja, Rossina G.; Herrera-Cuenca, Marianella; Zalcman Zimberg, Iona; Guajardo, Viviana; Pratt, Michael; Cofre Bolados, Cristian; Farias Valenzuela, Claudio; Marques, Adilson; Peralta, Miguel; Leme, Ana Carolina B.; Fisberg, Mauro; Oliveira Werneck, Andre; Rodrigues da Silva, Danilo; Ferrari, Gerson</t>
  </si>
  <si>
    <t>Active Transportation and Obesity Indicators in Adults from Latin America: ELANS Multi-Country Study</t>
  </si>
  <si>
    <t>Purpose: The aim of this study was to determine the association between active transportation and obesity indicators in adults from eight Latin American countries. Methods: Data from the ELANS study, an observational multi-country study (n: 8336; 18-65 years), were used. Active transportation (walking and cycling) and leisure time physical activity was assessed using the International Physical Activity Questionnaire (long version). The obesity indicators considered were: body mass index, and waist and neck circumference. Results: In the total sample, the average time dedicated to active transportation was 24.3 min/day, with the highest amount of active transportation being Costa Rica (33.5 min/day), and the lowest being Venezuela (15.7 min/day). The countries with the highest proportion of active transportation were Ecuador (71.9%), and the lowest was Venezuela (40.5%). Results from linear regression analyses suggest that active transportation was significantly and independently associated with a lower body mass index (beta: -0.033; 95% CI: -0.064; -0.002), but not with waist circumference (beta: -0.037; 95% CI: -1.126; 0.390 and neck circumference (beta: -0.007; 95% CI: -0.269; 0.130). Conclusions: Active transportation is significantly associated with a lower body mass index. Governments should incentivize this type of transportation as it could help to reduce the obesity pandemic in Latin America.</t>
  </si>
  <si>
    <t>Ferrari, Gerson/ABG-6635-2021; Fisberg, Mauro/E-7149-2010; Gomez, Georgina/AAR-7272-2020; Cortes, Lilia/AAF-2960-2019; Zimberg, Iona/E-8452-2012; Marques, Adilson/K-4529-2014; Silva, Danilo/E-3747-2018; Pareja, Rossina/D-9892-2018; Ferrari, Gerson/P-1152-2014; Barco Leme, Ana Carolina/H-3619-2015; Peralta, Miguel/H-1666-2017; Werneck, Andre/N-5006-2016</t>
  </si>
  <si>
    <t>Marques, Adilson/0000-0001-9850-7771; Farias Valenzuela, Claudio/0000-0002-4027-4415; Silva, Danilo/0000-0003-3995-4795; Guzman Habinger, Juan/0000-0003-2243-2528; Gomez, Georgina/0000-0003-3514-2984; Pareja, Rossina/0000-0001-7523-3181; Ferrari, Gerson/0000-0003-3177-6576; Barco Leme, Ana Carolina/0000-0003-2782-4301; Peralta, Miguel/0000-0001-6072-6012; Herrera-Cuenca, Marianella/0000-0003-0162-3480; Kovalskys, Irina/0000-0001-8481-5415; Yepez, Martha Cecilia/0000-0003-4119-238X; Werneck, Andre/0000-0002-9166-4376; Cortes, Lilia Yadira/0000-0003-2789-3219</t>
  </si>
  <si>
    <t>10.3390/ijerph17196974</t>
  </si>
  <si>
    <t>WOS:000586528500001</t>
  </si>
  <si>
    <t>Vitek, M; Das, A; Pourcenoux, Y; Missler, A; Paumier, C; Das, S; De Ghosh, ; Lucio, DR; Zanlorensi, LA Jr; Menotti, D; Boutros, F; Damer, N; Grebe, JH; Kuijper, A; Hu, J; He, Y; Wang, C; Liu, H; Wang, Y; Sun, Z; Osorio-Roig, D; Rathgeb, C; Busch, C; Tapia, J; Valenzuela, A; Zampoukis, G; Tsochatzidis, L; Pratikakis, ; Nathan, S; Suganya, R; Mehta, ; Dhall, A; Raja, K; Gupta, G; Khiarak, JN; Akbari-Shahper, M; Jaryani, F; Asgari-Chenaghlu, M; Vyas, R; Dakshit, S; Peer, P; Pal, U; Struc,</t>
  </si>
  <si>
    <t>Vitek, M.; Das, A.; Pourcenoux, Y.; Missler, A.; Paumier, C.; Das, S.; De Ghosh, I; Lucio, D. R.; Zanlorensi Jr, L. A.; Menotti, D.; Boutros, F.; Damer, N.; Grebe, J. H.; Kuijper, A.; Hu, J.; He, Y.; Wang, C.; Liu, H.; Wang, Y.; Sun, Z.; Osorio-Roig, D.; Rathgeb, C.; Busch, C.; Tapia, J.; Valenzuela, A.; Zampoukis, G.; Tsochatzidis, L.; Pratikakis, I; Nathan, S.; Suganya, R.; Mehta, V; Dhall, A.; Raja, K.; Gupta, G.; Khiarak, J. N.; Akbari-Shahper, M.; Jaryani, F.; Asgari-Chenaghlu, M.; Vyas, R.; Dakshit, S.; Peer, P.; Pal, U.; Struc, V</t>
  </si>
  <si>
    <t>SSBC 2020: Sclera Segmentation Benchmarking Competition in the Mobile Environment</t>
  </si>
  <si>
    <t>IEEE/IAPR INTERNATIONAL JOINT CONFERENCE ON BIOMETRICS (IJCB 2020)</t>
  </si>
  <si>
    <t>IEEE/IAPR International Joint Conference on Biometrics (IJCB)</t>
  </si>
  <si>
    <t>SEP 28-OCT 01, 2020</t>
  </si>
  <si>
    <t>ELECTR NETWORK</t>
  </si>
  <si>
    <t>IEEE,IAPR,IEEE Biometr Council,Google,Qualcomm,NSF</t>
  </si>
  <si>
    <t>The paper presents a summary of the 2020 Sclera Segmentation Benchmarking Competition (SSBC), the 7th in the series of group benchmarking efforts centred around the problem of sclera segmentation. Different from previous editions, the goal of SSBC 2020 was to evaluate the performance of sclera-segmentation models on images captured with mobile devices. The competition was used as a platform to assess the sensitivity of existing models to i) differences in mobile devices used for image capture and ii) changes in the ambient acquisition conditions. 26 research groups registered for SSBC 2020, out of which 13 took part in the final round and submitted a total of 16 segmentation models for scoring. These included a wide variety of deep-learning solutions as well as one approach based on standard image processing techniques. Experiments were conducted with three recent datasets. Most of the segmentation models achieved relatively consistent performance across images captured with different mobile devices (with slight differences across devices), but struggled most with low-quality images captured in challenging ambient conditions, i.e., in an indoor environment and with poor lighting.</t>
  </si>
  <si>
    <t>Wang, Yunlong/ABC-2186-2022; NourmohammadiKhiarak, Jalil/AAK-7949-2020; Lucio, Diego Rafael/GLT-4634-2022; Zanlorensi, Luiz/W-3148-2019; Ramamoorthy, Suganya/HDN-7426-2022; Asgari-Chenaghlu, Meysam/ABF-2616-2020; Jaryani, Farhang/AAR-5512-2020; Kuijper, Arjan/A-7814-2012; Valenzuela, Ali/AAU-2245-2021; nathan, sabari/AAV-9169-2020; Das, Sumanta/HKW-0326-2023; Menotti, David/M-6205-2014</t>
  </si>
  <si>
    <t>Das, Sumanta/0000-0003-4821-6057; Valenzuela, Andres/0000-0002-8172-1541; Nourmohammadi Khiarak, Jalil/0000-0002-1928-9081; Dakshit, Sristi/0000-0002-0907-5215; Gupta, Gourav/0000-0003-3122-1976</t>
  </si>
  <si>
    <t>978-1-7281-9186-7</t>
  </si>
  <si>
    <t>10.1109/ijcb48548.2020.9304881</t>
  </si>
  <si>
    <t>WOS:000723870900028</t>
  </si>
  <si>
    <t>Dressler, D; Altenmueller, E; Bhidayasiri, R; Bohlega, S; Chana, P; Chung, TM; Frucht, S; Garcia-Ruiz, PJ; Kaelin, A; Kaji, R; Kanovsky, P; Laskawi, R; Micheli, F; Orlova, O; Relja, M; Rosales, R; Slawek, J; Timerbaeva, S; Warner, TT; Saberi, FA</t>
  </si>
  <si>
    <t>Dressler, Dirk; Altenmueller, Eckart; Bhidayasiri, Roongroj; Bohlega, Saeed; Chana, Pedro; Chung, Tae Mo; Frucht, Steven; Garcia-Ruiz, Pedro J.; Kaelin, Alain; Kaji, Ryuji; Kanovsky, Petr; Laskawi, Rainer; Micheli, Federico; Orlova, Olga; Relja, Maja; Rosales, Raymond; Slawek, Jaroslaw; Timerbaeva, Sofia; Warner, Thomas T.; Saberi, Fereshte Adib</t>
  </si>
  <si>
    <t>Strategies for treatment of dystonia</t>
  </si>
  <si>
    <t>JOURNAL OF NEURAL TRANSMISSION</t>
  </si>
  <si>
    <t>Treatment of dystonias is generally symptomatic. To produce sufficient therapy effects, therefore, frequently a multimodal and interdisciplinary therapeutic approach becomes necessary, combining botulinum toxin therapy, deep brain stimulation, oral antidystonic drugs, adjuvant drugs and rehabilitation therapy including physiotherapy, occupational therapy, re-training, speech therapy, psychotherapy and sociotherapy. This review presents the recommendations of the IAB-Interdisciplinary Working Group for Movement Disorders Special Task Force on Interdisciplinary Treatment of Dystonia. It reviews the different therapeutic modalities and outlines a strategy to adapt them to the dystonia localisation and severity of the individual patient. Hints to emerging and future therapies will be given.</t>
  </si>
  <si>
    <t>Kaelin, Alain/GQI-3930-2022; Warner, Thomas/A-1454-2013; Chana, Pedro/ABG-9944-2020; Bhidayasiri, Roongroj/IVV-3614-2023; Garcia Ruiz, Pedro J/G-8660-2013</t>
  </si>
  <si>
    <t>Warner, Thomas/0000-0001-6195-6995; Kaelin-Lang, Alain/0000-0002-5249-073X; Frucht, Steven/0000-0002-4653-0491; Bhidayasiri, Roongroj/0000-0002-6901-2064; Garcia Ruiz, Pedro J/0000-0001-6194-672X; Slawek, Jaroslaw/0000-0001-6816-0877</t>
  </si>
  <si>
    <t>0300-9564</t>
  </si>
  <si>
    <t>1435-1463</t>
  </si>
  <si>
    <t>10.1007/s00702-015-1453-x</t>
  </si>
  <si>
    <t>WOS:000373162900011</t>
  </si>
  <si>
    <t>Kuruvilla, S; Hinton, R; Boerma, T; Bunney, R; Casamitjana, N; Cortez, R; Fracassi, P; Franz-Vasdeki, J; Helldén, D; McManus, J; Papp, S; Rasanathan, K; Requejo, J; Silver, KL; Tenhoope-Bender, P; Velleman, Y; Wegner, MN; Armstrong, CE; Barnett, S; Blauvelt, C; Buang, SN; Bury, L; Callahan, EA; Das, JK; Gurnani, V; Kaba, MW; Milman, HM; Murray, J; Renner, I; Roche, ML; Saint, V; Simpson, S; Subedar, H; Ukhova, D; Velásquez, CN; Young, P; Graham, W</t>
  </si>
  <si>
    <t>Kuruvilla, Shyama; Hinton, Rachael; Boerma, Ties; Bunney, Ryan; Casamitjana, Nuria; Cortez, Rafael; Fracassi, Patrizia; Franz-Vasdeki, Jennifer; Hellden, Daniel; McManus, Joanne; Papp, Susan; Rasanathan, Kumanan; Requejo, Jennifer; Silver, Karlee L.; Tenhoope-Bender, Petra; Velleman, Yael; Wegner, Mary Nell; Armstrong, Corinne E.; Barnett, Sarah; Blauvelt, Carla; Buang, Saidatul Norbaya; Bury, Louise; Callahan, Emily A.; Das, Jai K.; Gurnani, Vandana; Kaba, Mary White; Molina Milman, Helia; Murray, John; Renner, Ilona; Roche, Marion Leslie; Saint, Victoria; Simpson, Sarah; Subedar, Hasina; Ukhova, Daria; Nieves Velasquez, Claudia; Young, Patricia; Graham, Wendy</t>
  </si>
  <si>
    <t>Business not as usual: how multisectoral collaboration can promote transformative change for health and sustainable development</t>
  </si>
  <si>
    <t>BMJ-BRITISH MEDICAL JOURNAL</t>
  </si>
  <si>
    <t>Velleman, Yael/AAR-7314-2021; Helldén, Daniel/GVU-2202-2022; Ukhova, Daria/KYR-0998-2024; Fracassi, Patrizia/AAR-3537-2020; Das, Jai K./JOZ-1359-2023</t>
  </si>
  <si>
    <t>Kuruvilla, Shyama/0000-0002-0327-4467; Simpson, Sarah/0000-0003-1896-5145; Graham, Wendy/0000-0003-1473-5342; Saint, Victoria/0000-0003-4663-1716; Ukhova, Daria/0000-0002-9554-8604; Cortez, Rafael/0000-0002-9334-320X; Armstrong, Corinne/0000-0001-5576-7338</t>
  </si>
  <si>
    <t>0959-535X</t>
  </si>
  <si>
    <t>1756-1833</t>
  </si>
  <si>
    <t>DEC 7</t>
  </si>
  <si>
    <t>k4771</t>
  </si>
  <si>
    <t>10.1136/bmj.k4771</t>
  </si>
  <si>
    <t>WOS:000452850000010</t>
  </si>
  <si>
    <t>Dressler, D; Bhidayasiri, R; Bohlega, S; Chana, P; Chien, HF; Chung, TM; Colosimo, C; Ebke, M; Fedoroff, K; Frank, B; Kaji, R; Kanovsky, P; Koçer, S; Micheli, F; Orlova, O; Paus, S; Pirtosek, Z; Relja, M; Rosales, RL; Sagástegui-Rodríguez, JA; Schoenle, PW; Shahidi, GA; Timerbaeva, S; Walter, U; Saberi, FA</t>
  </si>
  <si>
    <t>Dressler, Dirk; Bhidayasiri, Roongroj; Bohlega, Saeed; Chana, Pedro; Chien, Hsin Fen; Chung, Tae Mo; Colosimo, Carlo; Ebke, Markus; Fedoroff, Klemens; Frank, Bernd; Kaji, Ryuji; Kanovsky, Petr; Kocer, Serdar; Micheli, Federico; Orlova, Olga; Paus, Sebastian; Pirtosek, Zvezdan; Relja, Maja; Rosales, Raymond L.; Alberto Sagastegui-Rodriguez, Jose; Schoenle, Paul W.; Shahidi, Gholam Ali; Timerbaeva, Sofia; Walter, Uwe; Saberi, Fereshte Adib</t>
  </si>
  <si>
    <t>Defining spasticity: a new approach considering current movement disorders terminology and botulinum toxin therapy</t>
  </si>
  <si>
    <t>JOURNAL OF NEUROLOGY</t>
  </si>
  <si>
    <t>Spasticity is a symptom occurring in many neurological conditions including stroke, multiple sclerosis, hypoxic brain damage, traumatic brain injury, tumours and heredodegenerative diseases. It affects large numbers of patients and may cause major disability. So far, spasticity has merely been described as part of the upper motor neurone syndrome or defined in a narrowed neurophysiological sense. This consensus organised by IAB-Interdisciplinary Working Group Movement Disorders wants to provide a brief and practical new definition of spasticity-for the first time-based on its various forms of muscle hyperactivity as described in the current movement disorders terminology. We propose the following new definition system: Spasticity describes involuntary muscle hyperactivity in the presence of central paresis. The involuntary muscle hyperactivity can consist of various forms of muscle hyperactivity: spasticity sensu strictu describes involuntary muscle hyperactivity triggered by rapid passive joint movements, rigidity involuntary muscle hyperactivity triggered by slow passive joint movements, dystonia spontaneous involuntary muscle hyperactivity and spasms complex involuntary movements usually triggered by sensory or acoustic stimuli. Spasticity can be described by a documentation system grouped along clinical picture (axis 1), aetiology (axis 2), localisation (axis 3) and additional central nervous system deficits (axis 4). Our new definition allows distinction of spasticity components accessible to BT therapy and those inaccessible. The documentation sheet presented provides essential information for planning of BT therapy.</t>
  </si>
  <si>
    <t>Kocer, Serdar/AAG-2708-2019; Pirtosek, Zvezdan/AAB-4729-2020; Chana, Pedro/ABG-9944-2020; Colosimo, Carlo/AAY-8552-2020; Bhidayasiri, Roongroj/IVV-3614-2023; Walter, Uwe/O-4591-2017; Fheodoroff, Klemens/H-6406-2013</t>
  </si>
  <si>
    <t>Shahidi, Gholam Ali/0000-0002-3889-4973; Walter, Uwe/0000-0002-6280-785X; Fheodoroff, Klemens/0000-0002-6508-5055</t>
  </si>
  <si>
    <t>0340-5354</t>
  </si>
  <si>
    <t>1432-1459</t>
  </si>
  <si>
    <t>10.1007/s00415-018-8759-1</t>
  </si>
  <si>
    <t>WOS:000428928200013</t>
  </si>
  <si>
    <t>Strategies for treatment of dystonia (vol 123, pg 251, 2016)</t>
  </si>
  <si>
    <t>Chana, Pedro/ABG-9944-2020; Bhidayasiri, Roongroj/IVV-3614-2023; Kaelin, Alain/GQI-3930-2022; Warner, Thomas/A-1454-2013</t>
  </si>
  <si>
    <t>Kaelin-Lang, Alain/0000-0002-5249-073X; Frucht, Steven/0000-0002-4653-0491; Slawek, Jaroslaw/0000-0001-6816-0877; Warner, Thomas/0000-0001-6195-6995</t>
  </si>
  <si>
    <t>10.1007/s00702-015-1471-8</t>
  </si>
  <si>
    <t>WOS:000373162900012</t>
  </si>
  <si>
    <t>Duch, R; Roope, LSJ; Violato, M; Becerra, MF; Robinson, TS; Bonnefon, JF; Friedman, J; Loewen, PJ; Mamidi, P; Melegaro, A; Blanco, M; Vargas, J; Seither, J; Candio, P; Cruz, AG; Hua, XY; Barnett, A; Clarke, PM</t>
  </si>
  <si>
    <t>Duch, Raymond; Roope, Laurence S. J.; Violato, Mara; Becerra, Matias Fuentes; Robinson, Thomas S.; Bonnefon, Jean-Francois; Friedman, Jorge; Loewen, Peter John; Mamidi, Pavan; Melegaro, Alessia; Blanco, Mariana; Vargas, Juan; Seither, Julia; Candio, Paolo; Cruz, Ana Gibertoni; Hua, Xinyang; Barnett, Adrian; Clarke, Philip M.</t>
  </si>
  <si>
    <t>Citizens from 13 countries share similar preferences for COVID-19 vaccine allocation priorities</t>
  </si>
  <si>
    <t>PROCEEDINGS OF THE NATIONAL ACADEMY OF SCIENCES OF THE UNITED STATES OF AMERICA</t>
  </si>
  <si>
    <t>How does the public want a COVID-19 vaccine to be allocated? We conducted a conjoint experiment asking 15,536 adults in 13 countries to evaluate 248,576 profiles of potential vaccine recipients who varied randomly on five attributes. Our sample includes diverse countries from all continents. The results suggest that in addition to giving priority to health workers and to those at high risk, the public favors giving priority to a broad range of key workers and to those with lower income. These preferences are similar across respondents of different education levels, incomes, and political ideologies, as well as across most surveyed countries. The public favored COVID-19 vaccines being allocated solely via government programs but were highly polarized in some developed countries on whether taking a vaccine should be mandatory. There is a consensus among the public on many aspects of COVID-19 vaccination, which needs to be taken into account when developing and communicating rollout</t>
  </si>
  <si>
    <t>friedman, jorge/ABC-4538-2021; Barnett, Adrian/I-9850-2012; Robinson, Thomas/AAI-8344-2021</t>
  </si>
  <si>
    <t>Duch, Raymond/0000-0002-1166-7674; Melegaro, Alessia/0000-0003-2221-8898; Violato, Mara/0000-0002-0484-7706; Fuentes Becerra, Matias/0000-0001-5777-7580; Clarke, Philip/0000-0002-7555-5348; Hua, Xinyang/0000-0003-2102-5461; Candio, Paolo/0000-0003-1521-088X; Seither, Julia/0000-0002-7079-7647; Barnett, Adrian/0000-0001-6339-0374; Roope, Laurence/0000-0001-9098-9331; Friedman, Jorge/0000-0002-3262-1296; Robinson, Thomas S./0000-0001-7097-1599</t>
  </si>
  <si>
    <t>0027-8424</t>
  </si>
  <si>
    <t>SEP 21</t>
  </si>
  <si>
    <t>e2026382118</t>
  </si>
  <si>
    <t>10.1073/pnas.2026382118</t>
  </si>
  <si>
    <t>WOS:000709574100011</t>
  </si>
  <si>
    <t>Wilke, J; Mohr, L; Tenforde, AS; Edouard, P; Fossati, C; González-Gross, M; Ramirez, CS; Laiño, F; Tan, B; Pillay, JD; Pigozzi, F; Jimenez-Pavon, D; Novak, B; Url, D; Zhang, M; van Poppel, M; Heidt, C; Willwacher, S; Vogt, L; Verhagen, E; Hollander, K; Hespanhol, L; Yuki, G</t>
  </si>
  <si>
    <t>Wilke, Jan; Mohr, Lisa; Tenforde, Adam S.; Edouard, Pascal; Fossati, Chiara; Gonzalez-Gross, Marcela; Ramirez, Celso Sanchez; Laino, Fernando; Tan, Benedict; Pillay, Julian David; Pigozzi, Fabio; Jimenez-Pavon, David; Novak, Bernhard; Url, David; Zhang, Mandy; van Poppel, Mireille; Heidt, Christoph; Willwacher, Steffen; Vogt, Lutz; Verhagen, Evert; Hollander, Karsten; Hespanhol, Luiz; Yuki, Gustavo</t>
  </si>
  <si>
    <t>Restrictercise! Preferences Regarding Digital Home Training Programs during Confinements Associated with the COVID-19 Pandemic</t>
  </si>
  <si>
    <t>Confinement measures during the COVID-19 pandemic have caused substantial reductions in global physical activity (PA) levels. In view of the manifold health benefits of PA, the development of interventions counteracting this trend is paramount. Our survey with 15,261 participants (38 +/- 15 years, 58.5% females) examined preferences towards digital home exercise programs in 14 countries affected by COVID-19. More than two-thirds of the sample (68.4%, n = 10,433) indicated being interested in home exercise, and most participants were willing to work out at least three times per week (89.3%, n = 9328). Binary logistic regression revealed that female sex, working part-time, younger age, and being registered in a gym were associated with willingness to exercise. Flexibility (71.1%, n = 7377), resistance (68.6%, n = 7116), and endurance training (62.4%, n = 6478) were the most preferred types of exercise. Our results may guide health providers in developing individually tailored PA interventions during the current and future pandemics.</t>
  </si>
  <si>
    <t>Hollander, Karsten/H-9475-2015; Van Poppel, Mireille/AAL-8228-2020; Wilke, Jan/X-8022-2019; Gonzalez-Gross, Marcela/W-8000-2018; Jimenez-Pavon, David/M-9005-2015; Hespanhol Junior, Luiz Carlos/H-8636-2013; Verhagen, Evert/A-1502-2013</t>
  </si>
  <si>
    <t>Tan, Benedict/0000-0002-1762-849X; Pillay, Julian/0000-0001-8502-8878; Jimenez-Pavon, David/0000-0002-8977-4744; Laino, Fernando/0000-0002-7058-7914; Hollander, Karsten/0000-0002-5682-9665; Heidt, Christoph/0000-0002-3535-4058; Van Poppel, Mireille/0000-0001-5694-4324; Wilke, Jan/0000-0001-9147-2369; Fossati, Chiara/0000-0002-2870-7185; Mohr-Wetzel, Lisa/0000-0003-0916-6448; SANCHEZ-RAMIREZ, CELSO/0000-0001-6696-5751; , Gustavo Yuki/0000-0003-1131-6265; Hespanhol Junior, Luiz Carlos/0000-0003-1774-4746; Gonzalez-Gross, Marcela/0000-0001-7757-3235; Verhagen, Evert/0000-0001-9227-8234; Reis, AlessanRSS/0000-0001-8486-7469; Novak, Bernhard/0000-0003-3465-5999</t>
  </si>
  <si>
    <t>10.3390/ijerph17186515</t>
  </si>
  <si>
    <t>WOS:000581311100001</t>
  </si>
  <si>
    <t>Ferrari, G; Marques, A; Barreira, TV; Kovalskys, I; Gómez, G; Rigotti, A; Cortés, LY; García, MCY; Pareja, RG; Herrera-Cuenca, M; Guajardo, V; Leme, ACB; Habinger, JG; Valdivia-Moral, P; Suárez-Reyes, M; Ihle, A; Gouveia, ER; Fisberg, M</t>
  </si>
  <si>
    <t>Ferrari, Gerson; Marques, Adilson; Barreira, Tiago V.; Kovalskys, Irina; Gomez, Georgina; Rigotti, Attilio; Cortes, Lilia Yadira; Garcia, Martha Cecilia Yepez; Pareja, Rossina G.; Herrera-Cuenca, Marianella; Guajardo, Viviana; Leme, Ana Carolina B.; Guzman Habinger, Juan; Valdivia-Moral, Pedro; Suarez-Reyes, Monica; Ihle, Andreas; Gouveia, Elvio R.; Fisberg, Mauro</t>
  </si>
  <si>
    <t>Accelerometer-Measured Daily Step Counts and Adiposity Indicators among Latin American Adults: A Multi-Country Study</t>
  </si>
  <si>
    <t>The aim of the present study was to examine the sex-related associations between accelerometer-measured daily step counts and adiposity indicators in adults from eight Latin American countries. We analyzed data from 2524 adults (aged 18-65 years) from the Latin American Study of Nutrition and Health. Device-measured daily step counts were measured by accelerometers (ActiGraph GT3X). The outcomes were body mass index (BMI; (kg/m2), waist and neck circumference (in cm). Overall, the mean of daily steps counts, BMI, waist and neck circumference were 10699.8, 27.3, 89.6, and 35.8. Weak and negative associations were observed between daily steps counts and BMI (r = -0.17; p &lt; 0.05) and waist circumference (r = -0.16; p &lt; 0.05); however, step counts was not associated with neck circumference. Daily steps counts were negatively associated with BMI (beta: -0.054; 95%CI: -0.077; -0.012) and waist circumference (-0.098; -0.165; -0.030) independently of age and socioeconomic level. In men, there were significant negative associations between daily steps counts with BMI (-0.075; -0.119; -0.031) and waist circumference (-0.140; -0.233; -0.048), and in women, there was no significant association with either of the body composition indicators. The findings from this study need to be examined in prospective settings that use device-measured from Latin America.</t>
  </si>
  <si>
    <t>Suárez- Reyes, Mónica/GYE-3153-2022; Gomez, Georgina/AAR-7272-2020; Barreira, Tiago/AAD-9429-2021; Cortes, Lilia/AAF-2960-2019; Ferrari, Gerson/ABG-6635-2021; Valdivia-Moral, Pedro/J-7490-2013; Fisberg, Mauro/E-7149-2010; Barco Leme, Ana Carolina/H-3619-2015; Marques, Adilson/K-4529-2014; Ferrari, Gerson/P-1152-2014; Gouveia, Elvio Rubio/F-9156-2015; Pareja, Rossina/D-9892-2018</t>
  </si>
  <si>
    <t>Barco Leme, Ana Carolina/0000-0003-2782-4301; Gomez, Georgina/0000-0003-3514-2984; Guzman Habinger, Juan/0000-0003-2243-2528; Barreira, Tiago/0000-0001-7108-3374; Yepez, Martha Cecilia/0000-0003-4119-238X; Ihle, Andreas/0000-0001-9845-5190; Marques, Adilson/0000-0001-9850-7771; Ferrari, Gerson/0000-0003-3177-6576; Cortes, Lilia Yadira/0000-0003-2789-3219; Kovalskys, Irina/0000-0001-8481-5415; Gouveia, Elvio Rubio/0000-0003-0927-692X; Pareja, Rossina/0000-0001-7523-3181</t>
  </si>
  <si>
    <t>10.3390/ijerph18094641</t>
  </si>
  <si>
    <t>WOS:000650235900001</t>
  </si>
  <si>
    <t>Nogueira, PH; Zurlo, A; Pérez, S; González-Ruilova, C; Cieza, LA; Hales, A; Bhowmik, T; Ruíz-Rodríguez, DA; Principe, DA; Herczeg, GJ; Williams, JP; Cuadra, J; Montesinos, M; Cuello, N; Chavan, P; Casassus, S; Zhu, ZH; Goicovic, FG</t>
  </si>
  <si>
    <t>Nogueira, Pedro Henrique; Zurlo, Alice; Perez, Sebastian; Gonzalez-Ruilova, Camilo; Cieza, Lucas A.; Hales, Antonio; Bhowmik, Trisha; Ruiz-Rodriguez, Dary A.; Principe, David A.; Herczeg, Gregory J.; Williams, Jonathan P.; Cuadra, Jorge; Montesinos, Matias; Cuello, Nicolas; Chavan, Prachi; Casassus, Simon; Zhu, Zhaohuan; Goicovic, Felipe G.</t>
  </si>
  <si>
    <t>Resolving the binary components of the outbursting protostar HBC 494 with ALMA</t>
  </si>
  <si>
    <t>Episodic accretion is a low-mass pre-main sequence phenomenon characterized by sudden outbursts of enhanced accretion. These objects are classified into two: protostars with elevated levels of accretion that lasts for decades or more, called FUors, and protostars with shorter and repetitive bursts, called EXors. HBC 494 is a FUor object embedded in the Orion Molecular Cloud. Earlier Atacama Large (sub-)Millimeter Array (ALMA) continuum observations showed an asymmetry in the disc at 0.2 resolution. Here, we present follow-up observations at similar to 0.03, resolving the system into two components: HBC 494 N (primary) and HBC 494 S (secondary). No circumbinary disc was detected. Both discs are resolved with a projected separation of similar to 0.18 (75 au). Their projected dimensions are 84 +/- 1.8 x66.9 +/- 1.5 mas for HBC 494 N and 64.6 +/- 2.5 x46.0 +/- 1.9 mas for HBC 494 S. The discs are almost aligned and with similar inclinations. The observations show that the primary is similar to 5 times brighter/more massive and similar to 2 times bigger than the secondary. We notice that the northern component has a similar mass to the FUors, while the southern has to EXors. The HBC 494 discs show individual sizes that are smaller than single eruptive YSOs. In this work, we also report (CO)-C-12, (CO)-C-13, and (CO)-O-18 molecular line observations. At large scale, the (CO)-C-12 emission shows bipolar outflows, while the (CO)-C-13 and (CO)-O-18 maps show a rotating and infalling envelope around the system. At a smaller scale, the (CO)-C-12 and (CO)-C-13 moment zero maps show cavities within the continuum discs' area, which may indicate continuum over-subtraction or slow-moving jets and chemical destruction along the line of sight.</t>
  </si>
  <si>
    <t>Pérez, Sebastián/AAS-5857-2020; Montesinos, Matias/IAN-6347-2023; Casassus, Simon/I-8609-2016; Zurlo, Alice/Q-5011-2019; Williams, Jonathan/O-2696-2017</t>
  </si>
  <si>
    <t>Chavan, Prachi/0000-0003-2406-0684; Perez, Sebastian/0000-0003-2953-755X; Cieza, Lucas/0000-0002-2828-1153; Soares da Silva de Pinho Nogueira, Pedro Henrique/0000-0001-8450-3606; Herczeg, Gregory/0000-0002-7154-6065; Principe, David/0000-0002-7939-377X; Zurlo, Alice/0000-0002-5903-8316; Casassus, Simon/0000-0002-0433-9840; Hales, Antonio/0000-0001-5073-2849; Bhowmik, Trisha/0000-0002-4314-9070; Ruiz-Rodriguez, Dary/0000-0003-3573-8163; Gonzalez Ruilova, Camilo/0000-0003-4907-189X</t>
  </si>
  <si>
    <t>JUN 22</t>
  </si>
  <si>
    <t>10.1093/mnras/stad1614</t>
  </si>
  <si>
    <t>WOS:001023895800007</t>
  </si>
  <si>
    <t>Sadarangani, KP; De Roia, GF; Lobo, P; Chavez, R; Meyer, J; Cristi-Montero, C; Martinez-Gomez, D; Ferrari, G; Schuch, FB; Gil-Salmerón, A; Solmi, M; Veronese, N; Alzahrani, H; Grabovac, I; Caperchione, CM; Tully, MA; Smith, L</t>
  </si>
  <si>
    <t>Sadarangani, Kabir P.; De Roia, Gabriela F.; Lobo, Pablo; Chavez, Robinson; Meyer, Jacob; Cristi-Montero, Carlos; Martinez-Gomez, David; Ferrari, Gerson; Schuch, Felipe B.; Gil-Salmeron, Alejandro; Solmi, Marco; Veronese, Nicola; Alzahrani, Hosam; Grabovac, Igor; Caperchione, Cristina M.; Tully, Mark A.; Smith, Lee</t>
  </si>
  <si>
    <t>Changes in Sitting Time, Screen Exposure and Physical Activity during COVID-19 Lockdown in South American Adults: A Cross-Sectional Study</t>
  </si>
  <si>
    <t>The worldwide prevalence of insufficient physical activity (PA) and prolonged sedentary behavior (SB) were high before the coronavirus (COVID-19) pandemic. Measures that were taken by governments (such as home confinement) to control the spread of COVID-19 may have affected levels of PA and SB. This cross-sectional study among South American adults during the first months of COVID-19 aims to (i) compare sitting time (ST), screen exposure, moderate PA (MPA), vigorous PA (VPA), and moderate-to-vigorous PA (MVPA) before and during lockdown to sociodemographic correlates and (ii) to assess the impact of lockdown on combinations of groups reporting meeting/not-meeting PA recommendations and engaging/not-engaging excessive ST (&gt;= 7 h/day). Bivariate associations, effect sizes, and multivariable linear regressions were used. Adults from Argentina (n = 575) and Chile (n = 730) completed an online survey with questions regarding demographics, lifestyle factors, and chronic diseases. Mean reductions of 42.7 and 22.0 min./day were shown in MPA and VPA, respectively; while increases of 212.4 and 164.3 min./day were observed in screen and ST, respectively. Those who met PA recommendations and spent &lt;7 h/day of ST experienced greatest changes, reporting greater than 3 h/day higher ST and more than 1.5 h/day lower MVPA. Findings from the present study suggest that efforts to promote PA to South American adults during and after COVID-19 restrictions are needed.</t>
  </si>
  <si>
    <t>Alzahrani, Hosam/GPW-7252-2022; solmi, marco/K-3906-2018; Ferrari, Gerson/ABG-6635-2021; Meyer, Jacob/AAD-8057-2020; Lobo, Pablo/KMX-4709-2024; Smith, Lee/JPA-1418-2023; Cristi-Montero, Carlos/AAE-4945-2020; Schuch, Felipe/AAF-5028-2019; Gil-Salmerón, Alejandro/AAT-4375-2020; Tully, Mark/AAB-2939-2019; Veronese, Nicola/K-4343-2018; Ferrari, Gerson/P-1152-2014; Schuch, Felipe/L-4620-2016; Grabovac, Igor/F-9210-2017</t>
  </si>
  <si>
    <t>Gil-Salmeron, Alejandro/0000-0003-3172-8486; Tully, Mark/0000-0001-9710-4014; Veronese, Nicola/0000-0002-9328-289X; Cristi-Montero, Carlos/0000-0002-9940-507X; Meyer, Jacob/0000-0003-3180-5728; solmi, marco/0000-0003-4877-7233; Smith, Lee/0000-0002-5340-9833; sadarangani, kabir/0000-0002-3757-3799; Lobo, Pablo/0000-0002-5969-943X; Ferrari, Gerson/0000-0003-3177-6576; Schuch, Felipe/0000-0002-5190-4515; Grabovac, Igor/0000-0001-9605-1467; Alzahrani, Hosam/0000-0002-4383-115X</t>
  </si>
  <si>
    <t>10.3390/ijerph18105239</t>
  </si>
  <si>
    <t>WOS:000654900300001</t>
  </si>
  <si>
    <t>Weber, P; Pérez, S; Zurlo, A; Miley, J; Hales, A; Cieza, L; Principe, D; Cárcamo, M; Garufi, A; Kóspál, A; Takami, M; Kastner, J; Zhu, ZH; Williams, J</t>
  </si>
  <si>
    <t>Weber, Philipp; Perez, Sebastian; Zurlo, Alice; Miley, James; Hales, Antonio; Cieza, Lucas; Principe, David; Carcamo, Miguel; Garufi, Antonio; Kospal, Agnes; Takami, Michihiro; Kastner, Joel; Zhu, Zhaohuan; Williams, Jonathan</t>
  </si>
  <si>
    <t>Spirals and Clumps in V960 Mon: Signs of Planet Formation via Gravitational Instability around an FU Ori Star?</t>
  </si>
  <si>
    <t>The formation of giant planets has traditionally been divided into two pathways: core accretion and gravitational instability. However, in recent years, gravitational instability has become less favored, primarily due to the scarcity of observations of fragmented protoplanetary disks around young stars and the low occurrence rate of massive planets on very wide orbits. In this study, we present a SPHERE/IRDIS polarized light observation of the young outbursting object V960 Mon. The image reveals a vast structure of intricately shaped scattered light with several spiral arms. This finding motivated a reanalysis of archival Atacama Large Millimeter/submillimeter Array 1.3 mm data acquired just two years after the onset of the outburst of V960 Mon. In these data, we discover several clumps of continuum emission aligned along a spiral arm that coincides with the scattered light structure. We interpret the localized emission as fragments formed from a spiral arm under gravitational collapse. Estimating the mass of solids within these clumps to be of several Earth masses, we suggest this observation to be the first evidence of gravitational instability occurring on planetary scales. This study discusses the significance of this finding for planet formation and its potential connection with the outbursting state of V960 Mon.</t>
  </si>
  <si>
    <t>Pérez, Sebastián/AAS-5857-2020; Carcamo, Miguel/LEM-3690-2024; Weber, Philipp/HLX-1365-2023; Takami, Michihiro/ABA-7396-2020; Williams, Jonathan/O-2696-2017; Zurlo, Alice/Q-5011-2019</t>
  </si>
  <si>
    <t>Cieza, Lucas/0000-0002-2828-1153; Hales, Antonio/0000-0001-5073-2849; Zurlo, Alice/0000-0002-5903-8316; Kospal, Agnes/0000-0001-7157-6275; Miley, James/0000-0002-1575-680X; Weber, Philipp/0000-0002-3354-6654; Carcamo, Miguel/0000-0003-0564-8167; Principe, David/0000-0002-7939-377X; Perez, Sebastian/0000-0003-2953-755X; Garufi, Antonio/0000-0002-4266-0643</t>
  </si>
  <si>
    <t>L17</t>
  </si>
  <si>
    <t>10.3847/2041-8213/ace186</t>
  </si>
  <si>
    <t>WOS:001046478800001</t>
  </si>
  <si>
    <t>Moguilner, S; Birba, A; Fittipaldi, S; Gonzalez-Campo, C; Tagliazucchi, E; Reyes, P; Matallana, D; Parra, MA; Slachevsky, A; Farías, G; Cruzat, J; García, A; Eyre, HA; La Joie, R; Rabinovici, G; Whelan, R; Ibáñez, A</t>
  </si>
  <si>
    <t>Moguilner, Sebastian; Birba, Agustina; Fittipaldi, Sol; Gonzalez-Campo, Cecilia; Tagliazucchi, Enzo; Reyes, Pablo; Matallana, Diana; Parra, Mario A.; Slachevsky, Andrea; Farias, Gonzalo; Cruzat, Josefina; Garcia, Adolfo; Eyre, Harris A.; La Joie, Renaud; Rabinovici, Gil; Whelan, Robert; Ibanez, Agustin</t>
  </si>
  <si>
    <t>Multi-feature computational framework for combined signatures of dementia in underrepresented settings</t>
  </si>
  <si>
    <t>JOURNAL OF NEURAL ENGINEERING</t>
  </si>
  <si>
    <t>Objective. The differential diagnosis of behavioral variant frontotemporal dementia (bvFTD) and Alzheimer's disease (AD) remains challenging in underrepresented, underdiagnosed groups, including Latinos, as advanced biomarkers are rarely available. Recent guidelines for the study of dementia highlight the critical role of biomarkers. Thus, novel cost-effective complementary approaches are required in clinical settings. Approach. We developed a novel framework based on a gradient boosting machine learning classifier, tuned by Bayesian optimization, on a multi-feature multimodal approach (combining demographic, neuropsychological, magnetic resonance imaging (MRI), and electroencephalography/functional MRI connectivity data) to characterize neurodegeneration using site harmonization and sequential feature selection. We assessed 54 bvFTD and 76 AD patients and 152 healthy controls (HCs) from a Latin American consortium (ReDLat). Main results. The multimodal model yielded high area under the curve classification values (bvFTD patients vs HCs: 0.93 (+/- 0.01); AD patients vs HCs: 0.95 (+/- 0.01); bvFTD vs AD patients: 0.92 (+/- 0.01)). The feature selection approach successfully filtered non-informative multimodal markers (from thousands to dozens). Results. Proved robust against multimodal heterogeneity, sociodemographic variability, and missing data. Significance. The model accurately identified dementia subtypes using measures readily available in underrepresented settings, with a similar performance than advanced biomarkers. This approach, if confirmed and replicated, may potentially complement clinical assessments in developing countries.</t>
  </si>
  <si>
    <t>La Joie, Renaud/AAC-8569-2021; Whelan, Robert/E-5365-2010; Eyre, Harris/AAT-2457-2021; Parra, Mario/C-6135-2009; Cruzat, Josephine/AAX-4082-2020; Reyes, Pablo/AFI-9110-2022; García, Adolfo/E-7150-2017; Rabinovici, Gil/AAA-2495-2020; Birba, Agustina/AFR-3037-2022; Tagliazucchi Greiner, Enzo/F-3618-2019; Ibanez, Agustin/H-7976-2015; Farias, Gonzalo/J-5665-2017; Reyes, Pablo Alexander/N-6695-2017</t>
  </si>
  <si>
    <t>Moguilner, Sebastian/0000-0003-1731-8325; Tagliazucchi Greiner, Enzo/0000-0003-0421-9993; Ibanez, Agustin/0000-0001-6758-5101; Birba, Agustina/0000-0001-5998-6634; Farias, Gonzalo/0000-0002-7979-8398; Cruzat, Josephine/0000-0002-3252-8657; Eyre, Harris/0000-0003-4827-8258; Reyes, Pablo Alexander/0000-0001-6705-7157; Matallana-Eslava, Diana L./0000-0001-6529-7077</t>
  </si>
  <si>
    <t>1741-2560</t>
  </si>
  <si>
    <t>1741-2552</t>
  </si>
  <si>
    <t>AUG 1</t>
  </si>
  <si>
    <t>10.1088/1741-2552/ac87d0</t>
  </si>
  <si>
    <t>WOS:000844321400001</t>
  </si>
  <si>
    <t>Wilke, J; Hollander, K; Mohr, L; Edouard, P; Fossati, C; González-Gross, M; Ramírez, CS; Laiño, F; Tan, B; Pillay, JD; Pigozzi, F; Jimenez-Pavon, D; Sattler, MC; Jaunig, J; Zhang, M; van Poppel, M; Heidt, C; Willwacher, S; Vogt, L; Verhagen, E; Hespanhol, L; Tenforde, AS</t>
  </si>
  <si>
    <t>Wilke, Jan; Hollander, Karsten; Mohr, Lisa; Edouard, Pascal; Fossati, Chiara; Gonzalez-Gross, Marcela; Sanchez Ramirez, Celso; Laino, Fernando; Tan, Benedict; Pillay, Julian David; Pigozzi, Fabio; Jimenez-Pavon, David; Sattler, Matteo C.; Jaunig, Johannes; Zhang, Mandy; van Poppel, Mireille; Heidt, Christoph; Willwacher, Steffen; Vogt, Lutz; Verhagen, Evert; Hespanhol, Luiz; Tenforde, Adam S.</t>
  </si>
  <si>
    <t>Drastic Reductions in Mental Well-Being Observed Globally During the COVID-19 Pandemic: Results From the ASAP Survey</t>
  </si>
  <si>
    <t>FRONTIERS IN MEDICINE</t>
  </si>
  <si>
    <t>Most countries affected by the COVID-19 pandemic have repeatedly restricted public life to control the contagion. However, the health impact of confinement measures is hitherto unclear. We performed a multinational survey investigating changes in mental and physical well-being (MWB/PWB) during the first wave of the pandemic. A total of 14,975 individuals from 14 countries provided valid responses. Compared to pre-restrictions, MWB, as measured by the WHO-5 questionnaire, decreased considerably during restrictions (68.1 +/- 16.9 to 51.9 +/- 21.0 points). Whereas 14.2% of the participants met the cutoff for depression screening pre-restrictions, this share tripled to 45.2% during restrictions. Factors associated with clinically relevant decreases in MWB were female sex (odds ratio/OR = 1.20, 95% CI: 1.11-1.29), high physical activity levels pre-restrictions (OR = 1.29, 95% CI 1.16-1.42), decreased vigorous physical activity during restrictions (OR = 1.14, 95% CI: 1.05-1.23), and working (partially) outside the home vs. working remotely (OR = 1.29, 95% CI: 1.16-1.44/OR = 1.35, 95% CI: 1.23-1.47). Reductions, although smaller, were also seen for PWB. Scores in the SF-36 bodily pain subscale decreased from 85.8 +/- 18.7% pre-restrictions to 81.3 +/- 21.9% during restrictions. Clinically relevant decrements of PWB were associated with female sex (OR = 1.62, 95% CI: 1.50-1.75), high levels of public life restrictions (OR = 1.26, 95% CI: 1.18-1.36), and young age (OR = 1.10, 95% CI: 1.03-1.19). Study findings suggest lockdowns instituted during the COVID-19 pandemic may have had substantial adverse public health effects. The development of interventions mitigating losses in MWB and PWB is, thus, paramount when preparing for forthcoming waves of COVID-19 or future public life restrictions.</t>
  </si>
  <si>
    <t>Gianfagna, Francesco/K-4561-2016; Hollander, Karsten/H-9475-2015; Hespanhol, Luiz/H-8636-2013; Jaunig, Johannes/HHM-4374-2022; Sattler, Matteo/N-7642-2019; Wilke, Jan/X-8022-2019; Verhagen, Evert/A-1502-2013; Jimenez-Pavon, David/M-9005-2015</t>
  </si>
  <si>
    <t>Jimenez-Pavon, David/0000-0002-8977-4744; Jaunig, Johannes/0000-0002-1179-6492; Mohr-Wetzel, Lisa/0000-0003-0916-6448; Gonzalez-Gross, Marcela/0000-0001-7757-3235</t>
  </si>
  <si>
    <t>2296-858X</t>
  </si>
  <si>
    <t>MAR 26</t>
  </si>
  <si>
    <t>10.3389/fmed.2021.578959</t>
  </si>
  <si>
    <t>WOS:000637958100001</t>
  </si>
  <si>
    <t>Modhiran, N; Lauer, SM; Amarilla, AA; Hewins, P; Broek, SILV; Low, YS; Thakur, N; Liang, BJM; Nieto, GV; Jung, JM; Paramitha, D; Isaacs, A; Sng, JDJ; Song, DV; Jorgensen, JT; Cheuquemilla, Y; Burger, J; Andersen, IV; Himelreichs, J; Jara, R; Macloughlin, R; Miranda-Chacon, Z; Chana-Cuevas, P; Kramer, V; Spahn, C; Mielke, T; Khromykh, AA; Munro, T; Jones, ML; Young, PR; Chappell, K; Bailey, D; Kjaer, A; Herth, MM; Jurado, KA; Schwefel, D; Rojas-Fernandez, A; Watterson, D</t>
  </si>
  <si>
    <t>Modhiran, Naphak; Lauer, Simon Malte; Amarilla, Alberto A.; Hewins, Peter; Broek, Sara Irene Lopes van den; Low, Yu Shang; Thakur, Nazia; Liang, Benjamin; Nieto, Guillermo Valenzuela; Jung, James; Paramitha, Devina; Isaacs, Ariel; Sng, Julian D. J.; Song, David; Jorgensen, Jesper Tranekjaer; Cheuquemilla, Yorka; Burger, Jorg; Andersen, Ida Vang; Himelreichs, Johanna; Jara, Ronald; Macloughlin, Ronan; Miranda-Chacon, Zaray; Chana-Cuevas, Pedro; Kramer, Vasko; Spahn, Christian; Mielke, Thorsten; Khromykh, Alexander A.; Munro, Trent; Jones, Martina L.; Young, Paul R.; Chappell, Keith; Bailey, Dalan; Kjaer, Andreas; Herth, Matthias Manfred; Jurado, Kellie Ann; Schwefel, David; Rojas-Fernandez, Alejandro; Watterson, Daniel</t>
  </si>
  <si>
    <t>A nanobody recognizes a unique conserved epitope and neutralizes SARS-CoV-2 omicron variants</t>
  </si>
  <si>
    <t>ISCIENCE</t>
  </si>
  <si>
    <t>The severe acute respiratory syndrome coronavirus 2 (SARS-CoV2) Omicron variant sub-lineages spread rapidly worldwide, mostly due to their immune-evasive properties. This has put a significant part of the population at risk for severe disease and underscores the need for effective anti-SARS-CoV-2 agents against emergent strains in vulnerable patients. Camelid nanobodies are attractive therapeutic candidates due to their high stability, ease of large-scale production, and potential for delivery via inhalation. Here, we characterize the receptor binding domain (RBD)-specific nanobody W25 and show superior neutralization activity toward Omicron sub-lineages in comparison to all other SARS-CoV2 variants. Structure analysis of W25 in complex with the SARS-CoV2 spike glycoprotein shows that W25 engages an RBD epitope not covered by any of the antibodies previously approved for emergency use. In vivo evaluation of W25 prophylactic and therapeutic treatments across multiple SARS-CoV-2 variant infection models, together with W25 biodistribution analysis in mice, demonstrates favorable pre-clinical proper-ties. Together, these data endorse W25 for further clinical development.</t>
  </si>
  <si>
    <t>Jørgensen, Jesper/AAY-3085-2020; Valenzuela Nieto, Guillermo/JPX-5383-2023; Khromykh, Alexander/X-7200-2018; Amarilla, Alberto/AFO-4805-2022; Munro, Trent/AAC-1129-2020; Chappell, Keith/A-8643-2012; Jones, Martina/B-7724-2011; Chana-Cuevas, Pedro/AAM-8215-2020; Modhiran, Naphak/H-9455-2019; Schwefel, David/HLP-7732-2023; MacLoughlin, Ronan/G-3530-2013; Sng, Julian/LFR-7743-2024; Rojas Fernandez, Alejandro/K-3291-2014; Kjaer, Andreas/E-8932-2015</t>
  </si>
  <si>
    <t>Andersen, Ida Vang/0000-0003-4949-8965; Jara Gacitua, Ronald/0009-0005-2861-3911; Schwefel, David/0000-0002-2945-0908; Liang, Benjamin/0000-0003-3304-4715; Rojas Fernandez, Alejandro/0000-0002-6004-5425; Lauer, Simon/0000-0003-3518-5116; Kjaer, Andreas/0000-0002-2706-5547; Jones, Martina/0000-0002-5154-6017; Valenzuela Nieto, Guillermo Eduardo/0000-0002-3012-8289</t>
  </si>
  <si>
    <t>2589-0042</t>
  </si>
  <si>
    <t>JUL 21</t>
  </si>
  <si>
    <t>10.1016/j.isci.2023.107085</t>
  </si>
  <si>
    <t>WOS:001056899500001</t>
  </si>
  <si>
    <t>Yeung, AWK; Tzvetkov, NT; Durazzo, A; Lucarini, M; Souto, EB; Santini, A; Gan, RY; Jozwik, A; Grzybek, W; Horbanczuk, JO; Mocan, A; Echeverría, J; Wang, DD; Atanasov, AG</t>
  </si>
  <si>
    <t>Yeung, Andy Wai Kan; Tzvetkov, Nikolay T.; Durazzo, Alessandra; Lucarini, Massimo; Souto, Eliana B.; Santini, Antonello; Gan, Ren-You; Jozwik, Artur; Grzybek, Weronika; Horbanczuk, Jaroslaw O.; Mocan, Andrei; Echeverria, Javier; Wang, Dongdong; Atanasov, Atanas G.</t>
  </si>
  <si>
    <t>Natural products in diabetes research: quantitative literature analysis</t>
  </si>
  <si>
    <t>NATURAL PRODUCT RESEARCH</t>
  </si>
  <si>
    <t>The current study aimed to identify which natural products and which research directions are related to the major contributors to academic journals for diabetes therapy. Bibliometric data were extracted from the Web of Science online database using the search string TOPIC = (''natural product*' OR ''natural compound*' OR ''natural molecule*' OR 'phytochemical*' OR ''secondary metabolite*') AND TS = ('diabet*') and analysed by a bibliometric software, VOSviewer. The search yielded 3694 publications, which were collectively cited 80,791 times, with an H-index of 117 and 21.9 citations per publication on average. The top-contributing countries were India, the USA, China, South Korea and Brazil. Curcumin, flavanone, resveratrol, carotenoid, polyphenols, flavonol, flavone and berberine were the most frequently cited natural products or compound classes. Our results provide a brief overview of the major directions of natural product research in diabetes up to now and hint on promising avenues for future research.</t>
  </si>
  <si>
    <t>Mocan, Andrei/AAT-8274-2021; Horbanczuk, Jaroslaw/ABD-8389-2021; Qiu, Sen/V-5718-2018; Santini, Antonello/J-4923-2019; Souto, Eliana B./T-1645-2019; Lucarini, Massimo/AAL-9254-2020; Echeverría, Javier/AAK-3323-2020; Gan, Renyou/C-9868-2009; Durazzo, Alessandra/AAN-4182-2020; Atanasov, Atanas/C-5535-2013; Yeung, Andy Wai Kan/M-4332-2019; Jozwik, Artur/HJY-6775-2023</t>
  </si>
  <si>
    <t>Atanasov, Atanas/0000-0003-2545-0967; Yeung, Andy Wai Kan/0000-0003-3672-357X; Jozwik, Artur/0000-0001-5546-9891; Echeverria, Javier/0000-0002-1688-968X; Durazzo, Alessandra/0000-0002-7747-9107; SANTINI, Antonello/0000-0001-5505-3327; Souto, Eliana B./0000-0002-9737-6017; Gan, Ren-You/0000-0002-4162-1511</t>
  </si>
  <si>
    <t>1478-6419</t>
  </si>
  <si>
    <t>1478-6427</t>
  </si>
  <si>
    <t>DEC 17</t>
  </si>
  <si>
    <t>10.1080/14786419.2020.1821019</t>
  </si>
  <si>
    <t>OCT 2020</t>
  </si>
  <si>
    <t>WOS:000576123300001</t>
  </si>
  <si>
    <t>Eyigoz, E; Courson, M; Sedeño, L; Rogg, K; Orozco-Arroyave, JR; Nöth, E; Skodda, S; Trujillo, N; Rodríguez, M; Rusz, J; Muñoz, E; Cardona, JF; Herrera, E; Hesse, E; Ibáñez, A; Cecchi, G; García, AM</t>
  </si>
  <si>
    <t>Eyigoz, Elif; Courson, Melody; Sedeno, Lucas; Rogg, Katharina; Orozco-Arroyave, Juan Rafael; Noth, Elmar; Skodda, Sabine; Trujillo, Natalia; Rodriguez, Mabel; Rusz, Jan; Munoz, Edinson; Cardona, Juan F.; Herrera, Eduar; Hesse, Eugenia; Ibanez, Agustin; Cecchi, Guillermo; Garcia, Adolfo M.</t>
  </si>
  <si>
    <t>From discourse to pathology: Automatic identification of Parkinson's disease patients via morphological measures across three languages</t>
  </si>
  <si>
    <t>CORTEX</t>
  </si>
  <si>
    <t>Embodied cognition research on Parkinson's disease (PD) points to disruptions of frontostriatal language functions as sensitive targets for clinical assessment. However, no existing approach has been tested for crosslinguistic validity, let alone by combining naturalistic tasks with machine-learning tools. To address these issues, we conducted the first classifier-based examination of morphological processing (a core frontostriatal function) in spontaneous monologues from PD patients across three typologically different languages. The study comprised 330 participants, encompassing speakers of Spanish (61 patients, 57 matched controls), German (88 patients, 88 matched controls), and Czech (20 patients, 16 matched controls). All subjects described the activities they perform during a regular day, and their monologues were automatically coded via morphological tagging, a computerized method that labels each word with a part-of-speech tag (e.g., noun, verb) and specific morphological tags (e.g., person, gender, number, tense). The ensuing data were subjected to machine-learning analyses to assess whether differential morphological patterns could classify between patients and controls and reflect the former's degree of motor impairment. Results showed robust classification rates, with over 80% of patients being discriminated from controls in each language separately. Moreover, the most discriminative morphological features were associated with the patients' motor compromise (as indicated by Pearson r correlations between predicted and collected motor impairment scores that ranged from moderate to moderate-to-strong across languages). Taken together, our results suggest that morphological patterning, an embodied frontostriatal domain, may be distinctively affected in PD across languages and even under ecological testing conditions. (C) 2020 Elsevier Ltd. All rights reserved.</t>
  </si>
  <si>
    <t>Courson, Melody/AAM-1249-2021; García, Adolfo/E-7150-2017; Ibanez, Agustin/H-7976-2015; Cardona, Juan Felipe/O-9436-2015; Rodriguez, Mabel/J-3993-2018; Rusz, Jan/S-2054-2018</t>
  </si>
  <si>
    <t>Eyigoz, Elif/0000-0002-6700-7958; Orozco-Arroyave, Juan Rafael/0000-0002-8507-0782; Ibanez, Agustin/0000-0001-6758-5101; Cardona, Juan Felipe/0000-0001-6795-7753; Rodriguez, Mabel/0000-0002-8150-9225; Rusz, Jan/0000-0002-1036-3054</t>
  </si>
  <si>
    <t>0010-9452</t>
  </si>
  <si>
    <t>1973-8102</t>
  </si>
  <si>
    <t>10.1016/j.cortex.2020.08.020</t>
  </si>
  <si>
    <t>WOS:000588059000015</t>
  </si>
  <si>
    <t>Lorca-Puls, DL; Gajardo-Vidal, A; Mandelli, ML; Illán-Gala, I; Ezzes, Z; Wauters, LD; Battistella, G; Bogley, R; Ratnasiri, B; Licata, AE; Battista, P; García, AM; Tee, BL; Lukic, S; Boxer, AL; Rosen, HJ; Seeley, WW; Grinberg, LT; Spina, S; Miller, BL; Miller, ZA; Henry, ML; Dronkers, NF; Gorno-Tempini, ML</t>
  </si>
  <si>
    <t>Lorca-Puls, Diego L.; Gajardo-Vidal, Andrea; Mandelli, Maria Luisa; Illan-Gala, Ignacio; Ezzes, Zoe; Wauters, Lisa D.; Battistella, Giovanni; Bogley, Rian; Ratnasiri, Buddhika; Licata, Abigail E.; Battista, Petronilla; Garcia, Adolfo M.; Tee, Boon Lead; Lukic, Sladjana; Boxer, Adam L.; Rosen, Howard J.; Seeley, William W.; Grinberg, Lea T.; Spina, Salvatore; Miller, Bruce L.; Miller, Zachary A.; Henry, Maya L.; Dronkers, Nina F.; Gorno-Tempini, Maria Luisa</t>
  </si>
  <si>
    <t>Neural basis of speech and grammar symptoms in non-fluent variant primary progressive aphasia spectrum</t>
  </si>
  <si>
    <t>The non-fluent/agrammatic variant of primary progressive aphasia (nfvPPA) is a neurodegenerative syndrome primarily defined by the presence of apraxia of speech (AoS) and/or expressive agrammatism. In addition, many patients exhibit dysarthria and/or receptive agrammatism. This leads to substantial phenotypic variation within the speech-language domain across individuals and time, in terms of both the specific combination of symptoms as well as their severity. How to resolve such phenotypic heterogeneity in nfvPPA is a matter of debate. 'Splitting' views propose separate clinical entities: 'primary progressive apraxia of speech' when AoS occurs in the absence of expressive agrammatism, 'progressive agrammatic aphasia' (PAA) in the opposite case, and 'AOS + PAA' when mixed motor speech and language symptoms are clearly present. While therapeutic interventions typically vary depending on the predominant symptom (e.g. AoS versus expressive agrammatism), the existence of behavioural, anatomical and pathological overlap across these phenotypes argues against drawing such clear-cut boundaries. In the current study, we contribute to this debate by mapping behaviour to brain in a large, prospective cohort of well characterized patients with nfvPPA (n = 104). We sought to advance scientific understanding of nfvPPA and the neural basis of speech-language by uncovering where in the brain the degree of MRI-based atrophy is associated with inter-patient variability in the presence and severity of AoS, dysarthria, expressive agrammatism or receptive agrammatism.Our cross-sectional examination of brain-behaviour relationships revealed three main observations. First, we found that the neural correlates of AoS and expressive agrammatism in nfvPPA lie side by side in the left posterior inferior frontal lobe, explaining their behavioural dissociation/association in previous reports. Second, we identified a 'left-right' and 'ventral-dorsal' neuroanatomical distinction between AoS versus dysarthria, highlighting (i) that dysarthria, but not AoS, is significantly influenced by tissue loss in right-hemisphere motor-speech regions; and (ii) that, within the left hemisphere, dysarthria and AoS map onto dorsally versus ventrally located motor-speech regions, respectively. Third, we confirmed that, within the large-scale grammar network, left frontal tissue loss is preferentially involved in expressive agrammatism and left temporal tissue loss in receptive agrammatism.Our findings thus contribute to define the function and location of the epicentres within the large-scale neural networks vulnerable to neurodegenerative changes in nfvPPA. We propose that nfvPPA be redefined as an umbrella term subsuming a spectrum of speech and/or language phenotypes that are closely linked by the underlying neuroanatomy and neuropathology. Lorca-Puls et al. dissect the neuroanatomy of the most characteristic clinical features of nfvPPA: impaired motor speech and agrammatism. They propose that nfvPPA be reinterpreted as a spectrum disorder subsuming multiple speech-language phenotypes that are closely linked by the underlying neuroanatomy and neuropathology.</t>
  </si>
  <si>
    <t>García, Adolfo/E-7150-2017; Dronkers, Nina/K-6312-2015; Grinberg, Lea/F-2834-2014; Battista, Petronilla/G-2538-2019; Illán, Ignacio/KBC-3160-2024; Wauters, Lisa Dianne/MSZ-8564-2025; Mandelli, Maria/AAL-2840-2020; Mastrangelo, Mario/G-6519-2018; Licata, Abigail/HMD-3499-2023; Seeley, William/AHE-2770-2022; Gajardo-Vidal, Andrea/HTL-6464-2023; Henry, Maya/U-1748-2019</t>
  </si>
  <si>
    <t>Gajardo-Vidal, Andrea/0000-0003-3946-0795; Lorca-Puls, Diego L./0009-0004-4534-1834; Illan-Gala, Ignacio/0000-0002-5418-2052; Licata, Abigail/0000-0003-2278-0856</t>
  </si>
  <si>
    <t>10.1093/brain/awad327</t>
  </si>
  <si>
    <t>JAN 2024</t>
  </si>
  <si>
    <t>WOS:001143240300001</t>
  </si>
  <si>
    <t>Cieza, LA; Casassus, S; Pérez, S; Hales, A; Cárcamo, M; Ansdell, M; Avenhaus, H; Bayo, A; Bertrang, GHM; Cánovas, H; Christiaens, V; Dent, W; Ferrero, G; Gamen, R; Olofsson, J; Orcajo, S; Osses, A; Peña-Ramirez, K; Principe, D; Ruíz-Rodríguez, D; Schreiber, MR; van der Plas, G; Williams, JP; Zurlo, A</t>
  </si>
  <si>
    <t>Cieza, Lucas A.; Casassus, Simon; Perez, Sebastian; Hales, Antonio; Carcamo, Miguel; Ansdell, Megan; Avenhaus, Henning; Bayo, Amelia; Bertrang, Gesa H. -M.; Canovas, Hector; Christiaens, Valentin; Dent, William; Ferrero, Gabriel; Gamen, Roberto; Olofsson, Johan; Orcajo, Santiago; Osses, Axel; Pena-Ramirez, Karla; Principe, David; Ruiz-Rodriguez, Dary; Schreiber, Matthias R.; van der Plas, Gerrit; Williams, Jonathan P.; Zurlo, Alice</t>
  </si>
  <si>
    <t>ALMA Observations of Elias 2-24: A Protoplanetary Disk with Multiple Gaps in the Ophiuchus Molecular Cloud</t>
  </si>
  <si>
    <t>We present ALMA 1.3 mm continuum observations at 0.'' 2 (25 au) resolution of Elias. 2-24, one of the largest and brightest protoplanetary disks in the Ophiuchus Molecular Cloud, and we report the presence of three partially resolved concentric gaps located at similar to 20, 52, and 87 au from the star. We perform radiative transfer modeling of the disk to constrain its surface density and temperature radial profile and place the disk structure in the context of mechanisms capable of forming narrow gaps such as condensation fronts and dynamical clearing by actively forming planets. In particular, we estimate the disk temperature at the locations of the gaps to be 23, 15, and 12 K (at 20, 52, and 87 au, respectively), very close to the expected snowlines of CO (23-28 K) and N-2 (12-15 K). Similarly, by assuming that the widths of the gaps correspond to 4-8x. the Hill radii of forming planets (as suggested by numerical simulations), we estimate planet masses in the range of 0.2-1.5 M-Jup, 1.0-8.0 M-Jup, and 0.02-0.15 M-Jup for the inner, middle, and outer gap, respectively. Given the surface density profile of the disk, the amount of missing mass at the location of each one of these gaps (between 4 and 20 MJup) is more than sufficient to account for the formation of such planets.</t>
  </si>
  <si>
    <t>Bayo, Amelia/M-1322-2014; Williams, Jonathan/B-1643-2009; Pérez, Sebastián/AAS-5857-2020; Olofsson, Johan/AAA-9906-2020; Carcamo, Miguel/LEM-3690-2024; Casassus, Simon/I-8609-2016; Zurlo, Alice/Q-5011-2019; Gamen, Roberto/A-1728-2015; Osses, Axel/AAG-4825-2019; Canovas, Hector/HCI-1393-2022; Osses, Axel/I-6366-2016; Schreiber, Matthias R./AAQ-1185-2020</t>
  </si>
  <si>
    <t>Pena Ramirez, Karla/0000-0002-5855-401X; Orcajo, Santiago/0000-0002-7625-1768; Casassus, Simon/0000-0002-0433-9840; Olofsson, Johan/0000-0003-4475-3605; Zurlo, Alice/0000-0002-5903-8316; Carcamo, Miguel/0000-0003-0564-8167; Cieza, Lucas/0000-0002-2828-1153; Ansdell, Megan/0000-0003-4142-9842; Hales, Antonio/0000-0001-5073-2849; van der Plas, Gerrit/0000-0001-5688-187X; Gamen, Roberto/0000-0002-5227-9627; Christiaens, Valentin/0000-0002-0101-8814; Canovas, Hector/0000-0001-7668-8022; Perez, Sebastian/0000-0003-2953-755X; Osses, Axel/0000-0001-6833-4064; Bayo, Amelia/0000-0001-7868-7031; Schreiber, Matthias R./0000-0003-3903-8009; Bertrang, Gesa H.-M./0000-0001-5127-0172</t>
  </si>
  <si>
    <t>L23</t>
  </si>
  <si>
    <t>10.3847/2041-8213/aa9b7b</t>
  </si>
  <si>
    <t>WOS:000417721000001</t>
  </si>
  <si>
    <t>Ferrari, G; Alberico, C; Drenowatz, C; Kovalskys, I; Gómez, G; Rigotti, A; Cortés, LY; García, MY; Liria-Domínguez, MR; Herrera-Cuenca, M; Peralta, M; Marques, A; Marconcin, P; Cristi-Montero, C; Leme, ACB; Zimberg, IZ; Farías-Valenzuela, C; Fisberg, M; Rollo, S</t>
  </si>
  <si>
    <t>Ferrari, Gerson; Alberico, Claudia; Drenowatz, Clemens; Kovalskys, Irina; Gomez, Georgina; Rigotti, Attilio; Yadira Cortes, Lilia; Yepez Garcia, Martha; Reyna Liria-Dominguez, Maria; Herrera-Cuenca, Marianella; Peralta, Miguel; Marques, Adilson; Marconcin, Priscila; Cristi-Montero, Carlos; Leme, Ana Carolina B.; Zalcman Zimberg, Iona; Farias-Valenzuela, Claudio; Fisberg, Mauro; Rollo, Scott</t>
  </si>
  <si>
    <t>Prevalence and sociodemographic correlates of meeting the Canadian 24-hour movement guidelines among latin american adults: a multi-national cross-sectional study</t>
  </si>
  <si>
    <t>Background: 24-hour movement behaviors, including moderate-to-vigorous physical activity (MVPA), sedentary time (ST), and sleep duration, have important implications for health across the lifespan. However, no studies exist that have examined the integration of these 24-hour movement behaviors in Latin America. The purpose of this study was to examine the prevalence of meeting the Canadian 24-Hour Movement Guideline recommendations and sociodemographic correlates of meeting the guidelines in adults from eight Latin American countries. Methods: This was a multi-national cross-sectional study of 2338 adults aged 18 to 64 years from the Latin American Study of Nutrition and Health. MVPA and ST data were collected using accelerometers. Sleep duration was self-reported using a daily log. Socio-demographic correlates included sex, age, education level, and marital status. Meeting the 24-hour movement guidelines was defined as: &gt;= 150 min/week of MVPA; &lt;= 8 h/day of ST; and between 7 and 9 h/day of sleep. Logistic regression models were estimated on pooled data. Results: The prevalence of adults who met the MVPA, ST, sleep duration, and integrated recommendations was 48.3, 22.0, 19.4, and 1.6%, respectively. Overall, being a woman (OR: 0.72; 95%CI: 0.55,0.93) and having a middle (0.63; 0.47,0.85) or high education level (0.31; 0.17,0.56) was associated with lower odds of meeting all three of the 24-hour movement guideline recommendations. Being married (1.70; 1.25,2.29) was associated with greater odds of meeting all three recommendations. Being a woman (0.46; 0.39,0.55), aged 50-64 years (0.77; 0.60,0.97), and married (0.79; 0.65,0.96) were associated with lower odds of meeting the MVPA recommendation. Having a middle (0.64; 0.50,0.80) or high (0.36; 0.23,0.55) education level was associated with lower odds and being married (1.86; 1.46,2.36) was associated with greater odds of meeting the ST recommendation. Being a woman (0.63; 0.51,0.78) was associated with lower odds; whereas being aged 50-64 years (1.40; 1.04,1.88) and having a middle education level (1.37; 1.09,1.73) were associated with greater odds of meeting the sleep duration recommendation. Conclusions: Overall, the proportion of Latin American adults achieving healthy levels of 24-hour movement behaviors was low. Further efforts are needed to promote more MVPA, less ST, and sufficient sleep in Latin American adults.</t>
  </si>
  <si>
    <t>Cristi-Montero, Carlos/AAE-4945-2020; Liria, Reyna/CAA-0410-2022; Yépez, Maria/N-7710-2017; Gomez, Georgina/AAR-7272-2020; Sarmento, Hugo/K-8684-2012; Cortes, Lilia/AAF-2960-2019; Marconcin, Priscila/GRO-2708-2022; Ferrari, Gerson/ABG-6635-2021; Zimberg, Iona/E-8452-2012; Marques, Adilson/K-4529-2014; Ferrari, Gerson/P-1152-2014; Barco Leme, Ana Carolina/H-3619-2015; Peralta, Miguel/H-1666-2017</t>
  </si>
  <si>
    <t>Marques, Adilson/0000-0001-9850-7771; Ferrari, Gerson/0000-0003-3177-6576; Barco Leme, Ana Carolina/0000-0003-2782-4301; Peralta, Miguel/0000-0001-6072-6012; Cortes, Lilia Yadira/0000-0003-2789-3219</t>
  </si>
  <si>
    <t>FEB 3</t>
  </si>
  <si>
    <t>10.1186/s12889-022-12613-2</t>
  </si>
  <si>
    <t>WOS:000750259100002</t>
  </si>
  <si>
    <t>de Regt, S; Ginski, C; Kenworthy, MA; Caceres, C; Garufi, A; Gledhill, TM; Hales, AS; Huelamo, N; Kóspál, A; Millar-Blanchaer, MA; Pérez, S; Schreiber, MR</t>
  </si>
  <si>
    <t>de Regt, S.; Ginski, C.; Kenworthy, M. A.; Caceres, C.; Garufi, A.; Gledhill, T. M.; Hales, A. S.; Huelamo, N.; Kospal, A.; Millar-Blanchaer, M. A.; Perez, S.; Schreiber, M. R.</t>
  </si>
  <si>
    <t>Polarimetric differential imaging with VLT/NACO A comprehensive PDI pipeline for NACO data (PIPPIN)</t>
  </si>
  <si>
    <t>Context. The observed diversity of exoplanets can possibly be traced back to the planet formation processes. Planet-disk interactions induce sub-structures in the circumstellar disk that can be revealed via scattered light observations. However, a high-contrast imaging technique such as polarimetric differential imaging (PDI) must first be applied to suppress the stellar diffraction halo. Aims. In this work we present the PDI PiPelIne for NACO data (PIPPIN), which reduces the archival polarimetric observations made with the NACO instrument at the Very Large Telescope. Prior to this work, such a comprehensive pipeline to reduce polarimetric NACO data did not exist. We identify a total of 243 datasets of 57 potentially young stellar objects observed before NACO's decommissioning. Methods. The PIPPIN pipeline applies various levels of instrumental polarisation correction and is capable of reducing multiple observing setups, including half-wave plate or de-rotator usage and wire-grid observations. A novel template-matching method is applied to assess the detection significance of polarised signals in the reduced data. Results. In 22 of the 57 observed targets, we detect polarised light resulting from a scattering of circumstellar dust. The detections exhibit a collection of known sub-structures, including rings, gaps, spirals, shadows, and in- or outflows of material. Since NACO was equipped with a near-infrared wavefront sensor, it made unique polarimetric observations of a number of embedded protostars. This is the first time detections of the Class I objects Elia 2-21 and YLW 16A have been published. Alongside the outlined PIPPIN pipeline, we publish an archive of the reduced data products, thereby improving the accessibility of these data for future studies.</t>
  </si>
  <si>
    <t>Stello, Dennis/Q-9754-2019; Pérez, Sebastián/AAS-5857-2020; Huelamo, Nuria/C-3042-2017; Caceres, Claudio/Q-6297-2016</t>
  </si>
  <si>
    <t>Ginski, Christian/0000-0002-4438-1971; Gledhill, Timothy M./0000-0002-2859-4600; Perez, Sebastian/0000-0003-2953-755X; de Regt, Sam/0000-0003-4760-6168; Caceres, Claudio/0000-0002-6617-3823</t>
  </si>
  <si>
    <t>APR 9</t>
  </si>
  <si>
    <t>A73</t>
  </si>
  <si>
    <t>10.1051/0004-6361/202348736</t>
  </si>
  <si>
    <t>WOS:001198946600011</t>
  </si>
  <si>
    <t>Sadarangani, KP; Schuch, FB; De Roia, G; Martínez-Gomez, D; Chávez, R; Lobo, P; Cristi-Montero, C; Werneck, AO; Alzahrani, H; Ferrari, G; Ibanez, A; Silva, DR; Von Oetinger, A; Matias, TS; Grabovac, I; Meyer, J</t>
  </si>
  <si>
    <t>Sadarangani, Kabir P.; Schuch, Felipe Barreto; De Roia, Gabriela; Martinez-Gomez, David; Chavez, Robinson; Lobo, Pablo; Cristi-Montero, Carlos; Werneck, Andre O.; Alzahrani, Hosam; Ferrari, Gerson; Ibanez, Agustin; Silva, Danilo R.; Von Oetinger, Astrid; Matias, Thiago S.; Grabovac, Igor; Meyer, Jacob</t>
  </si>
  <si>
    <t>Exchanging screen for non-screen sitting time or physical activity might attenuate depression and anxiety: A cross-sectional isotemporal analysis during early pandemics in South America</t>
  </si>
  <si>
    <t>JOURNAL OF SCIENCE AND MEDICINE IN SPORT</t>
  </si>
  <si>
    <t>Objectives: To examine the theoretical substitutions of screen exposure, non-screen sitting time, moderate and vigorous physical activity with depressive and anxiety symptoms in South American adults during the COVID19 pandemic. Design: A cross-sectional study during the first months of the COVID-19 pandemic with data from 1981 adults from Chile, Argentina, and Brazil. Methods: Depressive and anxiety symptoms were assessed using the Beck Depression and Anxiety Inventories. Participants also reported physical activity, sitting time, screen exposure, sociodemographic, and tobacco use data. Isotemporal substitution models were created using multivariable linear regression methods. Results: Vigorous physical activity, moderate physical activity, and screen exposure were independently associated with depression and anxiety symptoms. In adjusted isotemporal substitution models, replacing 10 min/day of either screen exposure or non-screen sitting time with any intensity of physical activity was associated with lower levels of depressive symptoms. Improvements in anxiety symptoms were found when reallocating either screen exposure or non-screen sitting time to moderate physical activity. Furthermore, replacing 10 min/day of screen exposure with non-screen sitting time was beneficially associated with anxiety (B = -0.033; 95 % CI = -0.059, -0.006) , de-pression (B = -0.026; 95 % CI = -0.050, -0.002).Conclusions: Replacement of screen exposure with any intensity of physical activity or non-screen sitting time could improve mental health symptoms. Strategies aiming to reduce depressive and anxiety symptoms highlight physical activity promotion. However, future interventions should explore specific sedentary behaviors as some will relate positively while others negatively.&amp; COPY; 2023 The Authors. Published by Elsevier Ltd on behalf of Sports Medicine Australia. This is an open access article under the CC BY-NC-ND license (http://creativecommons.org/licenses/by-nc-nd/4.0/).</t>
  </si>
  <si>
    <t>Meyer, Jacob/AAD-8057-2020; Matias, Thiago/AAT-8059-2020; Schuch, Felipe/AAF-5028-2019; Cristi-Montero, Carlos/AAE-4945-2020; Alzahrani, Hosam/GPW-7252-2022; Werneck, André/N-5006-2016; Ferrari, Gerson/HHM-6173-2022; Lobo, Pablo/KMX-4709-2024; Ferrari, Gerson/P-1152-2014; Silva, Danilo/E-3747-2018; Ibanez, Agustin/H-7976-2015; Schuch, Felipe/L-4620-2016</t>
  </si>
  <si>
    <t>Ferrari, Gerson/0000-0003-3177-6576; Silva, Danilo/0000-0003-3995-4795; Lobo, Pablo/0000-0002-5969-943X; Ibanez, Agustin/0000-0001-6758-5101; Schuch, Felipe/0000-0002-5190-4515</t>
  </si>
  <si>
    <t>1440-2440</t>
  </si>
  <si>
    <t>1878-1861</t>
  </si>
  <si>
    <t>10.1016/j.jsams.2023.04.007</t>
  </si>
  <si>
    <t>WOS:001034160500001</t>
  </si>
  <si>
    <t>Wilke, J; Mohr, L; Tenforde, AS; Edouard, P; Fossati, C; González-Gross, M; Ramírez, CS; Laiño, F; Tan, BE; Pillay, JD; Pigozzi, F; Jimenez-Pavon, D; Novak, B; Jaunig, J; Zhang, M; van Poppel, M; Heidt, C; Willwacher, S; Yuki, G; Lieberman, DE; Vogt, L; Verhagen, E; Hespanhol, L; Hollander, K</t>
  </si>
  <si>
    <t>Wilke, Jan; Mohr, Lisa; Tenforde, Adam S.; Edouard, Pascal; Fossati, Chiara; Gonzalez-Gross, Marcela; Sanchez Ramirez, Celso; Laino, Fernando; Tan, Benedict; Pillay, Julian David; Pigozzi, Fabio; Jimenez-Pavon, David; Novak, Bernhard; Jaunig, Johannes; Zhang, Mandy; van Poppel, Mireille; Heidt, Christoph; Willwacher, Steffen; Yuki, Gustavo; Lieberman, Daniel E.; Vogt, Lutz; Verhagen, Evert; Hespanhol, Luiz; Hollander, Karsten</t>
  </si>
  <si>
    <t>A Pandemic within the Pandemic? Physical Activity Levels Substantially Decreased in Countries Affected by COVID-19</t>
  </si>
  <si>
    <t>Governments have restricted public life during the COVID-19 pandemic, inter alia closing sports facilities and gyms. As regular exercise is essential for health, this study examined the effect of pandemic-related confinements on physical activity (PA) levels. A multinational survey was performed in 14 countries. Times spent in moderate-to-vigorous physical activity (MVPA) as well as in vigorous physical activity only (VPA) were assessed using the Nordic Physical Activity Questionnaire (short form). Data were obtained for leisure and occupational PA pre- and during restrictions. Compliance with PA guidelines was calculated based on the recommendations of the World Health Organization (WHO). In total, n = 13,503 respondents (39 +/- 15 years, 59% females) were surveyed. Compared to pre-restrictions, overall self-reported PA declined by 41% (MVPA) and 42.2% (VPA). Reductions were higher for occupational vs. leisure time, young and old vs. middle-aged persons, previously more active vs. less active individuals, but similar between men and women. Compared to pre-pandemic, compliance with WHO guidelines decreased from 80.9% (95% CI: 80.3-81.7) to 62.5% (95% CI: 61.6-63.3). Results suggest PA levels have substantially decreased globally during the COVID-19 pandemic. Key stakeholders should consider strategies to mitigate loss in PA in order to preserve health during the pandemic.</t>
  </si>
  <si>
    <t>Gonzalez-Gross, Marcela/W-8000-2018; Verhagen, Evert/A-1502-2013; Wilke, Jan/X-8022-2019; Jaunig, Johannes/HHM-4374-2022; Hollander, Karsten/H-9475-2015; Hespanhol Junior, Luiz Carlos/H-8636-2013; Jimenez-Pavon, David/M-9005-2015</t>
  </si>
  <si>
    <t>Edouard, Pascal/0000-0003-1969-3612; Hespanhol Junior, Luiz Carlos/0000-0003-1774-4746; Wilke, Jan/0000-0001-9147-2369; Jaunig, Johannes/0000-0002-1179-6492; Tan, Benedict/0000-0002-1762-849X; Gonzalez-Gross, Marcela/0000-0001-7757-3235; Jimenez-Pavon, David/0000-0002-8977-4744; Hollander, Karsten/0000-0002-5682-9665; , Gustavo Yuki/0000-0003-1131-6265; Laino, Fernando/0000-0002-7058-7914; Heidt, Christoph/0000-0002-3535-4058; Fossati, Chiara/0000-0002-2870-7185; Mohr-Wetzel, Lisa/0000-0003-0916-6448; Novak, Bernhard/0000-0003-3465-5999; Pillay, Julian/0000-0001-8502-8878; Pigozzi, Fabio/0000-0001-5808-9405; SANCHEZ-RAMIREZ, CELSO/0000-0001-6696-5751</t>
  </si>
  <si>
    <t>10.3390/ijerph18052235</t>
  </si>
  <si>
    <t>WOS:000628182700001</t>
  </si>
  <si>
    <t>Cutcher-Gershenfeld, J; Baker, KS; Berente, N; Berkman, PA; Canavan, P; Feltus, FA; Garmulewicz, A; Hutchins, R; King, JL; Kirkpatrick, C; Lenhardt, C; Lewis, S; Maffe, M; Mittleman, B; Sampath, R; Shin, N; Stall, S; Winter, S; Veazey, P</t>
  </si>
  <si>
    <t>Cutcher-Gershenfeld, Joel; Baker, Karen S.; Berente, Nicholas; Berkman, Paul Arthur; Canavan, Pat; Feltus, F. Alex; Garmulewicz, Alysia; Hutchins, Ron; King, John Leslie; Kirkpatrick, Christine; Lenhardt, Chris; Lewis, Spencer; Maffe, Michael; Mittleman, Barbara; Sampath, Rajesh; Shin, Namchul; Stall, Shelley; Winter, Susan; Veazey, Pips</t>
  </si>
  <si>
    <t>Negotiated Sharing of Pandemic Data, Models, and Resources</t>
  </si>
  <si>
    <t>NEGOTIATION JOURNAL</t>
  </si>
  <si>
    <t>Urgent responses to the COVID-19 pandemic depend on increased collaboration and sharing of data, models, and resources among scientists and researchers. In many scientific fields and disciplines, institutional norms treat data, models, and resources as proprietary, emphasizing competition among scientists and researchers locally and internationally. Concurrently, long-standing norms of open data and collaboration exist in some scientific fields and have accelerated within the last two decades. In both cases-where the institutional arrangements are ready to accelerate for the needed collaboration in a pandemic and where they run counter to what is needed-the rules of the game are on the table for institutional-level renegotiation. These challenges to the negotiated order in science are important, difficult to study, and highly consequential. The COVID-19 pandemic offers something of a natural experiment to study these dynamics. Preliminary findings highlight: the chilling effect of politics where open sharing could be expected to accelerate; the surprisingly conservative nature of contests and prizes; open questions around whether collaboration will persist following an inflection point in the pandemic; and the strong potential for launching and sustaining pre-competitive initiatives.</t>
  </si>
  <si>
    <t>Garmulewicz, Alysia/HTS-8792-2023; Gershenfeld, Joel/ABF-5729-2020; Berente, Nicholas/AAA-2514-2020; Lenhardt, W. Christopher/H-3257-2016</t>
  </si>
  <si>
    <t>Sampath, Rajesh/0000-0003-0782-7687; Kirkpatrick, Christine/0000-0002-4451-8042; Garmulewicz, Alysia/0000-0001-8468-5809; Winter, Susan/0000-0002-4524-0927; Stall, Shelley/0000-0003-2926-8353; Lenhardt, W. Christopher/0000-0001-9677-784X; Cutcher-Gershenfeld, Joel/0000-0001-7659-7024; Shin, Namchul/0000-0001-7353-8571</t>
  </si>
  <si>
    <t>0748-4526</t>
  </si>
  <si>
    <t>1571-9979</t>
  </si>
  <si>
    <t>10.1111/nejo.12340</t>
  </si>
  <si>
    <t>WOS:000574150500001</t>
  </si>
  <si>
    <t>Grambling, TA; Newell, DL; Lloyd, KG; Hiett, CD; Upin, H; Barry, PH; Giovannelli, D; de Moor, JM; Chiodi, A; Jessen, GL; Blamey, JM; Szynkiewicz, A</t>
  </si>
  <si>
    <t>Grambling, Tyler A.; Newell, Dennis L.; Lloyd, Karen G.; Hiett, Coleman D.; Upin, Heather; Barry, Peter H.; Giovannelli, Donato; de Moor, J. Maarten; Chiodi, Agostina; Jessen, Gerdhard L.; Blamey, Jenny M.; Szynkiewicz, Anna</t>
  </si>
  <si>
    <t>Tracing the orogenic sulfur cycle in the Andes using stable isotope composition of dissolved sulfate in thermal springs</t>
  </si>
  <si>
    <t>CHEMICAL GEOLOGY</t>
  </si>
  <si>
    <t>The cycling of sulfur (S) to the upper crust and surface via thermal springs at convergent margins has not been explored outside areas with active arc volcanism, even though subduction plays a key role in the Earth's longterm S cycle. To address this knowledge gap, we analyzed stable sulfur and oxygen isotope compositions ((SS)-S-34 and (SO)-O-18 values) of dissolved sulfate (SO42- ) in 55 thermal springs from five distinct settings in the Andean orogen. These regions are the Peruvian flat slab and backarc, transition between these two, Argentinian backarc, and Chilean forearc. Although the flat-slab settings had lower SO42- concentrations (&lt;2000 mg/L) compared to the steep-slab settings (&lt;12,700 mg/L), there was no significant relationship between isotope composition of SO42- and slab geometry. The (SS)-S-34 and (SO)-O-18 values of SO42- varied widely across the studied areas (+0.2 to +23.5 %o and -3.3 to +16.0 %o, respectively) and reflected the isotope compositions of local bedrock endmembers from dissolution of marine evaporites (+5 to +25 %o and + 10 to +20 %o, respectively) and oxidation of magmatic and/or hydrothermal S and ore sulfide minerals with variable S34S (0 to +16 %o). The (SO)-O-18 and (SH)-H-2 values of thermal spring water (-18.5 to -3.3 %o and - 141.1 to -23.7 %o, respectively) were consistent with meteoric precipitation, and in most cases decreased with increasing altitude following precipitation in the Andes. Generally, our isotope results do not support the direct transfer of slab-derived S/SO42- to thermal springs in the investigated settings. Rather, the (SS)-S-34 and (SO)-O-18 of SO42- in the thermal springs are a sensitive indicator of local water-rock interactions that remobilize bedrock S originating from a complex orogenic cycle reflecting tectonic uplift, erosion, weathering, and exhumation history across the duration of Andean Mountain building.</t>
  </si>
  <si>
    <t>Giovannelli, Donato/A-4812-2011; Grambling, Tyler/KQR-1755-2024; Blamey, Jenny/M-2637-2014; Newell, David/KCL-5777-2024; lloyd, Karen/A-4165-2011; Jessen, Gerdhard/AAG-1605-2020</t>
  </si>
  <si>
    <t>Jessen, Gerdhard L./0000-0002-2602-6052</t>
  </si>
  <si>
    <t>0009-2541</t>
  </si>
  <si>
    <t>1872-6836</t>
  </si>
  <si>
    <t>DEC 5</t>
  </si>
  <si>
    <t>10.1016/j.chemgeo.2024.122365</t>
  </si>
  <si>
    <t>SEP 2024</t>
  </si>
  <si>
    <t>WOS:001310191800001</t>
  </si>
  <si>
    <t>Ho, WCG; Kuiper, L; Espinoza, CM; Guillot, S; Ray, PS; Smith, DA; Bogdanov, S; Antonopoulou, D; Arzoumanian, Z; Bejger, M; Enoto, T; Esposito, P; Harding, AK; Haskell, B; Lewandowska, N; Maitra, C; Vasilopoulos, G</t>
  </si>
  <si>
    <t>Ho, Wynn C. G.; Kuiper, Lucien; Espinoza, Cristobal M.; Guillot, Sebastien; Ray, Paul S.; Smith, D. A.; Bogdanov, Slavko; Antonopoulou, Danai; Arzoumanian, Zaven; Bejger, Michal; Enoto, Teruaki; Esposito, Paolo; Harding, Alice K.; Haskell, Brynmor; Lewandowska, Natalia; Maitra, Chandreyee; Vasilopoulos, Georgios</t>
  </si>
  <si>
    <t>Timing Six Energetic Rotation-powered X-Ray Pulsars, Including the Fast-spinning Young PSR J0058-7218 and Big Glitcher PSR J0537-6910</t>
  </si>
  <si>
    <t>Measuring a pulsar's rotational evolution is crucial to understanding the nature of the pulsar. Here, we provide updated timing models for the rotational evolution of six pulsars, five of which are rotation phase-connected using primarily NICER X-ray data. For the newly discovered fast energetic young pulsar, PSR J0058-7218, we increase the baseline of its timing model from 1.4 days to 8 months and not only measure more precisely its spin-down rate (nu) over dot=(-6.2324 +/- 0.0001)x10(-11)Hzs(-1) (nu) over dot=(4.2 +/- 0.2)x10(-21)Hzs(-2). For the fastest and most energetic young pulsar, PSR J0537-6910 (with a 16 ms spin period), we detect four more glitches, for a total of 15 glitches over 4.5 yr of NICER monitoring, and show that its spin-down behavior continues to set this pulsar apart from all others, including a long-term braking index n = -1.234 +/- 0.009 and interglitch braking indices that asymptote to less than or similar to 7 for long times after a glitch. For PSR J1101-6101, we measure a much more accurate spin-down rate that agrees with a previous value measured without phase connection. For PSR J1412+7922 (also known as Calvera), we extend the baseline of its timing model from our previous 1 yr model to 4.4 yr, and for PSR J1849-0001, we extend the baseline from 1.5 to 4.7 yr. We also present a long-term timing model of the energetic pulsar PSR J1813-1749, by fitting previous radio and X-ray spin frequencies from 2009-2019 and new ones measured here using 2018 NuSTAR and 2021 Chandra data.</t>
  </si>
  <si>
    <t>Ray, Tridib/B-1640-2015; Bejger, Magdalena/W-7298-2018; Lewandowska, Natalia/ADA-6225-2022; Esposito, Paolo/ABE-6389-2020; Haskell, Brynmor/AAX-1002-2021; Enoto, Teruaki/I-9948-2019; Espinoza, Cristobal/U-4428-2017</t>
  </si>
  <si>
    <t>Espinoza, Cristobal/0000-0003-2481-2348; Ho, Wynn/0000-0002-6089-6836; Bejger, Michal/0000-0002-4991-8213; Kuiper, Lucien/0000-0002-7889-6586; Lewandowska, Natalia/0000-0003-0771-6581; Haskell, Brynmor/0000-0002-8255-3519; Bogdanov, Slavko/0000-0002-9870-2742; Ray, Paul/0000-0002-5297-5278; Smith, David/0000-0002-7833-0275</t>
  </si>
  <si>
    <t>NOV 1</t>
  </si>
  <si>
    <t>10.3847/1538-4357/ac8743</t>
  </si>
  <si>
    <t>WOS:000873307100001</t>
  </si>
  <si>
    <t>Lorenzo-Betancor, O; Mehta, S; Ramchandra, J; Mumuney, S; Schumacher-Schuh, AF; Cornejo-Olivas, M; Sarapura-Castro, EH; Torres, L; Inca-Martinez, MA; Mazzetti, P; Cosentino, C; Micheli, F; Tumas, V; Dieguez, E; Raggio, V; Borges, V; Ferraz, HB; Chana-Cuevas, P; Jimenez-Del-Rio, M; Velez-Pardo, C; Moreno, S; Lopera, F; Orozco-Velez, JL; Muñoz-Ospina, B; Rieder, CRM; Medina-Escobar, A; Yearout, D; Zabetian, CP; Mata, IF</t>
  </si>
  <si>
    <t>Lorenzo-Betancor, Oswaldo; Mehta, Seysha; Ramchandra, Janvi; Mumuney, Sekinat; Schumacher-Schuh, Artur F.; Cornejo-Olivas, Mario; Sarapura-Castro, Elison H.; Torres, Luis; Inca-Martinez, Miguel A.; Mazzetti, Pilar; Cosentino, Carlos; Micheli, Federico; Tumas, Vitor; Dieguez, Elena; Raggio, Victor; Borges, Vanderci; Ferraz, Henrique B.; Chana-Cuevas, Pedro; Jimenez-Del-Rio, Marlene; Velez-Pardo, Carlos; Moreno, Sonia; Lopera, Francisco; Orozco-Velez, Jorge L.; Munoz-Ospina, Beatriz; Rieder, Carlos R. M.; Medina-Escobar, Alex; Yearout, Dora; Zabetian, Cyrus P.; Mata, Ignacio F.</t>
  </si>
  <si>
    <t>Latin Amer Res Consortium Genetics PD LARGE PD</t>
  </si>
  <si>
    <t>Parkinson's Disease Gene Screening in Familial Cases from Central and South America</t>
  </si>
  <si>
    <t>Background: Parkinson's disease (PD) is the second most common neurodegenerative disease following Alzheimer's disease. Nearly 30 causative genes have been identified for PD and related disorders. However, most of these genes were identified in European-derived families, and little is known about their role in Latin American populations. Objectives: Our goal was to assess the spectrum and frequency of pathogenic variants in known PD genes in familial PD patients from Latin America. Methods: We selected 335 PD patients with a family history of PD from the Latin American Research Consortium on the Genetics of PD. We capture-sequenced the coding regions of 26 genes related to neurodegenerative parkinsonism. Of the 335 PD patients, 324 had sufficient sequencing coverage to be analyzed. Results: We identified pathogenic variants in 41 individuals (12.7%) in FBXO7, GCH1, LRRK2, PARK7, PINK1, PLA2G6, PRKN, SNCA, and TARDBP, GBA1 risk variants in 25 individuals (7.7%), and variants of uncertain significance in another 24 individuals (7.4%) in ATP13A2, ATP1A3, DNAJC13, DNAJC6, GBA1, LRKK2, PINK1, VPS13C, and VPS35. Of the 70 unique variants identified, 19 were more frequent in Latin Americans than in any other population. Conclusions: This is the first screening of known PD genes in a large cohort of patients with familial PD from Latin America. There were substantial differences in the spectrum of variants observed in comparison to previous findings from PD families of European origin. Our data provide further evidence that differences exist between the genetic architecture of PD in Latinos and European-derived populations. (c) 2024 The Author(s). Movement Disorders published by Wiley Periodicals LLC on behalf of International Parkinson and Movement Disorder Society.</t>
  </si>
  <si>
    <t>Cornejo-Olivas, Mario/F-9744-2017; Ferraz, Henrique/B-9195-2012; Rieder, Carlos/O-6600-2018; Tumas, Vitor/C-9949-2014; CAMARGOS, SARAH/O-4670-2014; Schuh, Artur Francisco Schumacher/J-2023-2014</t>
  </si>
  <si>
    <t>CAMARGOS, SARAH/0000-0001-9829-6783; Schuh, Artur Francisco Schumacher/0000-0002-8722-0908; Mori, Nicanor/0000-0002-2270-1663; Sarapura-Castro, Elison/0000-0002-1562-3062; Tumas, Vitor/0000-0003-2402-2709; Ramchandra, Janvi/0009-0002-5473-2146</t>
  </si>
  <si>
    <t>10.1002/mds.29931</t>
  </si>
  <si>
    <t>WOS:001276270500001</t>
  </si>
  <si>
    <t>Haghayegh, S; Hermida, RC; Smolensky, MH; Gallardo, MJ; Duran-Aniotz, C; Slachevsky, A; Behrens, MI; Aguillon, D; Santamaria-Garcia, H; García, AM; Matallana, D; Ibáñez, A; Hu, K</t>
  </si>
  <si>
    <t>Haghayegh, Shahab; Hermida, Ramon C.; Smolensky, Michael H.; Gallardo, Mili Jimenez; Duran-Aniotz, Claudia; Slachevsky, Andrea; Behrens, Maria Isabel; Aguillon, David; Santamaria-Garcia, Hernando; Garcia, Adolfo M.; Matallana, Diana; Ibanez, Agustin; Hu, Kun</t>
  </si>
  <si>
    <t>Critical Review of the Methodological Shortcoming of Ambulatory Blood Pressure Monitoring and Cognitive Function Studies</t>
  </si>
  <si>
    <t>CLOCKS &amp; SLEEP</t>
  </si>
  <si>
    <t>Growing evidence suggests that abnormal diurnal blood pressure rhythms may be associated with many adverse health outcomes, including increased risk of cognitive impairment and dementia. This study evaluates methodological aspects of research on bidirectional associations between ambulatory blood pressure monitoring (ABPM) patterns and cognitive function. By examining the 28 recent studies included in a recent systematic review on the association between ABPM patterns with cognitive function and risk of dementia, our review revealed several significant limitations in study design, sample characteristics, ABPM protocol, cognitive assessment, and data analysis. The major concerns include a lack of diversity in study populations with underrepresentation of Blacks and Latinos, a predominant focus on Alzheimer's disease or all-cause dementia without distinguishing other dementia subtypes, different and not standardized measures of cognition or dementia, prevalent use of 24 h monitoring without considering the adaption effect, inconsistent definitions of dipping status, and ignorance of individual differences in timings of daily activities such as bed and awakening times. In addition, confounding variables such as class, dose, and timing of antihypertensive medication are inadequately controlled or considered. Further, longitudinal studies were scarce examining the bidirectional relationship between ABPM patterns and cognitive decline over time. Collectively, these deficiencies undermine the reliability and generalizability of current findings. Addressing these methodological challenges is crucial for a more comprehensive understanding of diurnal blood pressure rhythms in diverse populations and for developing an evidence-based guideline for ambulatory monitoring and control of blood pressure across the sleep-wake cycle to prevent cognitive decline and dementia.</t>
  </si>
  <si>
    <t>Hermida, Mª/G-6834-2015; Hu, Kun/AAJ-1897-2020; Behrens, Maria/I-1083-2013; Ibanez, Agustin/H-7976-2015</t>
  </si>
  <si>
    <t>Ibanez, Agustin/0000-0001-6758-5101; Hu, Kun/0000-0003-0350-3132</t>
  </si>
  <si>
    <t>2624-5175</t>
  </si>
  <si>
    <t>MAR 6</t>
  </si>
  <si>
    <t>10.3390/clockssleep7010011</t>
  </si>
  <si>
    <t>WOS:001451963300001</t>
  </si>
  <si>
    <t>Tee, BL; Li-Ying, LKC; Chen, TF; Yan, CTY; Tsoh, J; Chan, ALT; Wong, A; Lo, RY; Lu, CJ; Sun, Y; Wang, PN; Lee, Y; Chiu, MJ; Allen, IE; Battistella, G; Bak, TH; Chuang, YC; García, AM; Gorno-Tempini, ML</t>
  </si>
  <si>
    <t>Tee, Boon Lead; Li-Ying, Lorinda Kwan-Chen; Chen, Ta-Fu; Yan, Connie T. Y.; Tsoh, Joshua; Chan, Andrew Lung-Tat; Wong, Adrian; Lo, Raymond Y.; Lu, Chien Jung; Sun, Yu; Wang, Pei-Ning; Lee, YiChen; Chiu, Ming-Jang; Allen, Isabel Elaine; Battistella, Giovanni; Bak, Thomas H.; Chuang, Yu-Chen; Garcia, Adolfo M.; Gorno-Tempini, Maria Luisa</t>
  </si>
  <si>
    <t>More than a piece of cake: Noun classifier processing in primary progressive aphasia</t>
  </si>
  <si>
    <t>INTRODUCTION: Clinical understanding of primary progressive aphasia (PPA) has been primarily derived from Indo-European languages. Generalizing certain linguistic findings across languages is unfitting due to contrasting linguistic structures. While PPA patients showed noun classes impairments, Chinese languages lack noun classes. Instead, Chinese languages are classifier language, and how PPA patients manipulate classifiers is unknown. METHODS: We included 74 native Chinese speakers (22 controls, 52 PPA). For classifier production task, participants were asked to produce the classifiers of high-frequency items. In a classifier recognition task, participants were asked to choose the correct classifier. RESULTS: Both semantic variant (sv) PPA and logopenic variant (lv) PPA scored significantly lower in classifier production task. In classifier recognition task, lvPPA patients outperformed svPPA patients. The classifier production scores were correlated to cortical volume over left temporal and visual association cortices. DISCUSSION: This study highlights noun classifiers as linguistic markers to discriminate PPA syndromes in Chinese speakers.</t>
  </si>
  <si>
    <t>Chen, yafang/GVS-0304-2022; Mastrangelo, Mario/G-6519-2018; Chen, Yung-Chung/GRY-3101-2022; Lin, Chung-Ying/I-5434-2016; Yan, Connie/AAJ-8510-2021; Lee, Yi-Chung/GZK-7162-2022; Chiu, Ming-Jang/AAR-3940-2020; García, Adolfo/E-7150-2017; KWAN-CHEN, Li Ying Lorinda/AFY-4489-2022</t>
  </si>
  <si>
    <t>KWAN-CHEN, Li Ying Lorinda/0000-0002-9820-5711</t>
  </si>
  <si>
    <t>10.1002/alz.13701</t>
  </si>
  <si>
    <t>WOS:001151609200001</t>
  </si>
  <si>
    <t>Chaparro-Solano, HM; Inca-Martinez, M; Peixoto-Leal, T; Martinez-Ramirez, D; González-González, M; Rodriguez-Violante, M; Hernández-Medrano, AJ; Rentería, ME; Alcauter, S; Olguin, P; Flores, AC; de la Cerda, A; Farías, G; Nuñez, JC; Chana-Cuevas, P; Saffie, P; Gatto, E; Rojas, NG; Da Prat, G; Micheli, F; Marchetti, C; Franchello, E; Velez-Pardo, C; Jimenez-Del-Rio, M; Velez, JLO; Ospina, BEM; Arboleda, G; Arboleda, H; Fernandez, W; Arboleda, CE; Vinuela, A; Rios-Pinto, JE; Cornejo-Olivas, M; Mori-Quispe, N; Mejía-Rojas, K; Medina-Colque, AC; Cornejo-Herrera, I; Ochoa-Valle, EM; Mata, IF</t>
  </si>
  <si>
    <t>Chaparro-Solano, H. M.; Inca-Martinez, M.; Peixoto-Leal, T.; Martinez-Ramirez, D.; Gonzalez-Gonzalez, M.; Rodriguez-Violante, M.; Hernandez-Medrano, A. J.; Renteria, M. E.; Alcauter, S.; Olguin, P.; Colombo Flores, A.; de la Cerda, A.; Farias, G.; Nunez, J. C.; Chana-Cuevas, P.; Saffie, P.; Gatto, E.; Gonzalez Rojas, N.; Da Prat, G.; Micheli, F.; Marchetti, C.; Franchello, E.; Velez-Pardo, C.; Jimenez-Del-Rio, M.; Orozco Velez, J. L.; Munoz Ospina, B. E.; Arboleda, G.; Arboleda, H.; Fernandez, W.; Arboleda, C. E.; Vinuela, A.; Rios-Pinto, J. E.; Cornejo-Olivas, M.; Mori-Quispe, N.; Mejia-Rojas, K.; Medina-Colque, A. C.; Cornejo-Herrera, I.; Ochoa-Valle, E. M.; Mata, I. F.</t>
  </si>
  <si>
    <t>LARGPD</t>
  </si>
  <si>
    <t>EXPLORING LEVODOPA-INDUCED DYSKINESIA IN LATIN AMERICAN PARKINSON`S DISEASE PATIENTS: INSIGHTS FROM THE LARGE-PD CONSORTIUM</t>
  </si>
  <si>
    <t>Rentería, Miguel/M-6671-2017; Olguin, Patricio/H-3270-2014; Farías, Gonzalo/J-5665-2017; Abdallah, Mohamed/ABB-6297-2021; Hernández Medrano, Ana Jimena/KBQ-6277-2024; Cornejo-Olivas, Mario/F-9744-2017; Weleff, Jeremy/HGA-4154-2022; Maspero, Marianna/KGK-8232-2024</t>
  </si>
  <si>
    <t>O_15</t>
  </si>
  <si>
    <t>WOS:001296262300016</t>
  </si>
  <si>
    <t>Elting, JW; Sanders, ML; Panerai, RB; Aries, M; Bor-Seng-Shu, E; Caicedo, A; Chacon, M; Gommer, ED; Van Huffel, S; Jara, JL; Kostoglou, K; Mahdi, A; Marmarelis, VZ; Mitsis, GD; Müller, M; Nikolic, D; Nogueira, RC; Payne, SJ; Puppo, C; Shin, DC; Simpson, DM; Tarumi, T; Yelicich, B; Zhang, R; Claassen, JAHR</t>
  </si>
  <si>
    <t>Elting, Jan Willem; Sanders, Marit L.; Panerai, Ronney B.; Aries, Marcel; Bor-Seng-Shu, Edson; Caicedo, Alexander; Chacon, Max; Gommer, Erik D.; Van Huffel, Sabine; Jara, Jose L.; Kostoglou, Kyriaki; Mahdi, Adam; Marmarelis, Vasilis Z.; Mitsis, Georgios D.; Muller, Martin; Nikolic, Dragana; Nogueira, Ricardo C.; Payne, Stephen J.; Puppo, Corina; Shin, Dae C.; Simpson, David M.; Tarumi, Takashi; Yelicich, Bernardo; Zhang, Rong; Claassen, Jurgen A. H. R.</t>
  </si>
  <si>
    <t>Assessment of dynamic cerebral autoregulation in humans: Is reproducibility dependent on blood pressure variability?</t>
  </si>
  <si>
    <t>We tested the influence of blood pressure variability on the reproducibility of dynamic cerebral autoregulation (DCA) estimates. Data were analyzed from the 2nd CARNet bootstrap initiative, where mean arterial blood pressure (MABP), cerebral blood flow velocity (CBFV) and end tidal CO2 were measured twice in 75 healthy subjects. DCA was analyzed by 14 different centers with a variety of different analysis methods. Intraclass Correlation (ICC) values increased significantly when subjects with low power spectral density MABP (PSD-MABP) values were removed from the analysis for all gain, phase and autoregulation index (ARI) parameters. Gain in the low frequency band (LF) had the highest ICC, followed by phase LF and gain in the very low frequency band. No significant differences were found between analysis methods for gain parameters, but for phase and ARI parameters, significant differences between the analysis methods were found. Alternatively, the Spearman-Brown prediction formula indicated that prolongation of the measurement duration up to 35 minutes may be needed to achieve good reproducibility for some DCA parameters. We conclude that poor DCA reproducibility (ICC&lt; 0.4) can improve to good (ICC &gt; 0.6) values when cases with low PSD-MABP are removed, and probably also when measurement duration is increased.</t>
  </si>
  <si>
    <t>Kostoglou, Kyriaki/ABF-6574-2021; Mitsis, Georgios/AGY-4548-2022; Gommer, Erik/AAQ-9423-2021; BOR-SENG-SHU, EDSON/AAC-9762-2019; Aries, Marcel/HFF-8727-2022; Sanders, Marit/A-2827-2016; Dorado, Alexander/ABG-9304-2020; Claassen, Jurgen/A-9806-2008; Nogueira, Ricardo/V-3482-2019; Tarumi, Takashi/M-9976-2018; Jara, JL/J-7254-2015</t>
  </si>
  <si>
    <t>Tarumi, Takashi/0000-0001-7061-8867; Gommer, Erik/0000-0003-1054-2682; Jara, JL/0000-0002-3348-7017; Kostoglou, Kyriaki/0000-0002-3513-9286; Payne, Stephen John/0000-0003-1156-2810; Nogueira, Ricardo/0000-0003-3309-3760</t>
  </si>
  <si>
    <t>JAN 10</t>
  </si>
  <si>
    <t>e0227651</t>
  </si>
  <si>
    <t>10.1371/journal.pone.0227651</t>
  </si>
  <si>
    <t>WOS:000534350000106</t>
  </si>
  <si>
    <t>Ferrari, G; Werneck, AO; da Silva, DR; Kovalskys, I; Gómez, G; Rigotti, A; Sanabria, LYC; García, MY; Pareja, RG; Herrera-Cuenca, M; Zimberg, IZ; Guajardo, V; Pratt, M; Cristi-Montero, C; Rodríguez-Rodríguez, F; Marques, A; Cerin, E; Van Dyck, D; Pires, C; Fisberg, M</t>
  </si>
  <si>
    <t>Ferrari, Gerson; Werneck, Andre Oliveira; da Silva, Danilo Rodrigues; Kovalskys, Irina; Gomez, Georgina; Rigotti, Attilio; Sanabria, Lilia Yadira Cortes; Garcia, Martha Yepez; Pareja, Rossina G.; Herrera-Cuenca, Marianella; Zimberg, Iona Zalcman; Guajardo, Viviana; Pratt, Michael; Cristi-Montero, Carlos; Rodriguez-Rodriguez, Fernando; Marques, Adilson; Cerin, Ester; Van Dyck, Delfien; Pires, Carlos; Fisberg, Mauro</t>
  </si>
  <si>
    <t>Is the perceived neighborhood built environment associated with domain-specific physical activity in Latin American adults? An eight-country observational study</t>
  </si>
  <si>
    <t>Background: Characteristics of the neighborhood built environment are associated with physical activity (PA). However, few studies with representative samples have examined environmental correlates of domain-specific PA in Latin America. We examined the associations of the perceived neighborhood built environment with domain-specific PA in a large sample of adults from eight Latin American countries. Methods: This study examined data from 8185 adults (aged 18-65 years) from eight Latin American countries. The Neighbourhood Environment Walkability Survey - Abbreviated (NEWS-A) scale was used to assess perceptions of land use mix-diversity, land use mix-access, street connectivity, walking/cycling facilities, aesthetics, safety from traffic, and safety from crime. Perceived proximity from home to public open spaces (metropolitan parks, playgrounds, public squares) and to shopping centers was also measured. Transport-related and leisure-time PA were assessed using the long form of the International Physical Activity Questionnaire. Both logistic and linear regression models were estimated on pooled data. Results: Perceptions of higher land use mix-access (OR: 1.40; 95% CI: 1.22,1.61), the existence of many alternative routes in the neighbourhood (1.12; 1.04,1.20), slow speed of traffic (1.19; 1.03,1.35) and few drivers exceeding the speed limits (1.09; 1.03,1.15) were associated with greater odds of reporting at least 10 min/week of transport-related PA. Perceptions of higher levels of land use mix-diversity, better aesthetics and greater safety from crime, the presence of crosswalks and pedestrian signals, and greater proximity of shopping centers were associated with more min/week of transport-related PA. Perceptions of higher land use mix-diversity (1.12; 1.05,1.20), higher land use mix-access (1.27; 1.13,1.43), more walking/cycling facilities (1.18; 1.09,1.28), and better aesthetics (1.10; 1.02,1.18) were associated with greater odds of engaging in at least 10 min/week of leisure-time PA versus none. Perceptions of higher land use mix-diversity were associated with more min/week of leisure PA. Conclusions: Different perceived neighborhood built environment characteristics were associated with domain-specific PA among adults from Latin America countries. Interventions designed to modify perceptions of the neighbourhood built environment might influence initiation or maintenance of domain-specific PA.</t>
  </si>
  <si>
    <t>Yépez, Maria/N-7710-2017; Fisberg, Mauro/E-7149-2010; Gomez, Georgina/AAR-7272-2020; Zimberg, Iona/E-8452-2012; Cortes, Lilia/AAF-2960-2019; Cristi-Montero, Carlos/AAE-4945-2020; Ferrari, Gerson/ABG-6635-2021; Van Dyck, Delfien/AAO-8981-2020; Werneck, Andre/N-5006-2016; Marques, Adilson/K-4529-2014; Pires, Carlos/N-9271-2014; Ferrari, Gerson/P-1152-2014; /L-1271-2015; RODRIGUEZ, FERNANDO/F-2842-2016; Silva, Danilo/E-3747-2018; Pareja, Rossina/D-9892-2018</t>
  </si>
  <si>
    <t>Werneck, Andre/0000-0002-9166-4376; Marques, Adilson/0000-0001-9850-7771; Pires, Carlos/0000-0001-9190-1119; Ferrari, Gerson/0000-0003-3177-6576; /0000-0002-7599-165X; RODRIGUEZ, FERNANDO/0000-0002-4999-4857; Silva, Danilo/0000-0003-3995-4795; Cortes, Lilia Yadira/0000-0003-2789-3219; Van Dyck, Delfien/0000-0003-1783-9075; Pareja, Rossina/0000-0001-7523-3181</t>
  </si>
  <si>
    <t>OCT 1</t>
  </si>
  <si>
    <t>10.1186/s12966-020-01030-6</t>
  </si>
  <si>
    <t>WOS:000576963400001</t>
  </si>
  <si>
    <t>Maito, MA; Santamaría-García, H; Moguilner, S; Possin, KL; Godoy, ME; Avila-Funes, JA; Behrens, M; Brusco, IL; Bruno, MA; Cardona, JF; Custodio, N; García, AM; Javandel, S; Lopera, F; Matallana, DL; Miller, B; de Oliveira, MO; Pina-Escudero, SD; Slachevsky, A; Ortiz, ALS; Takada, LT; Tagliazuchi, E; Valcour, V; Yokoyama, JS; Ibañez, A</t>
  </si>
  <si>
    <t>Maito, Marcelo Adrian; Santamaria-Garcia, Hernando; Moguilner, Sebastian; Possin, Katherine L.; Godoy, Maria E.; Avila-Funes, Jose Alberto; Behrens, Maria, I; Brusco, Ignacio L.; Bruno, Martin A.; Cardona, Juan F.; Custodio, Nilton; Garcia, Adolfo M.; Javandel, Shireen; Lopera, Francisco; Matallana, Diana L.; Miller, Bruce; de Oliveira, Maira Okada; Pina-Escudero, Stefanie D.; Slachevsky, Andrea; Ortiz, Ana L. Sosa; Takada, Leonel T.; Tagliazuchi, Enzo; Valcour, Victor; Yokoyama, Jennifer S.; Ibanez, Agustin</t>
  </si>
  <si>
    <t>Classification of Alzheimer's disease and frontotemporal dementia using routine clinical and cognitive measures across multicentric underrepresented samples: A cross sectional observational study</t>
  </si>
  <si>
    <t>Background Global brain health initiatives call for improving methods for the diagnosis of Alzheimer's disease (AD) and frontotemporal dementia (FTD) in underrepresented populations. However, diagnostic procedures in upper -middle-income countries (UMICs) and lower-middle income countries (LMICs), such as Latin American countries (LAC), face multiple challenges. These include the heterogeneity in diagnostic methods, lack of clinical harmonisation, and limited access to biomarkers. Methods This cross-sectional observational study aimed to identify the best combination of predictors to discriminate between AD and FTD using demographic, clinical and cognitive data among 1794 participants [904 diagnosed with AD, 282 diagnosed with FTD, and 606 healthy controls (HCs)] collected in 11 clinical centres across five LAC (ReDLat cohort). Findings A fully automated computational approach included classical statistical methods, support vector machine procedures, and machine learning techniques (random forest and sequential feature selection procedures). Results demonstrated an accurate classification of patients with AD and FTD and HCs. A machine learning model produced the best values to differentiate AD from FTD patients with an accuracy = 0.91. The top features included social cognition, neuropsychiatric symptoms, executive functioning performance, and cognitive screening; with secondary contributions from age, educational attainment, and sex. Interpretation Results demonstrate that data-driven techniques applied in archival clinical datasets could enhance diagnostic procedures in regions with limited resources. These results also suggest specific fine-grained cognitive and behavioural measures may aid in the diagnosis of AD and FTD in LAC. Moreover, our results highlight an opportunity for harmonisation of clinical tools for dementia diagnosis in the region. Copyright (c) 2022 The Author(s). Published by Elsevier Ltd. This is an open access article under the CC BY-NC-ND license (http://creativecommons.org/licenses/by-nc-nd/4.0/).</t>
  </si>
  <si>
    <t>Takada, Leonel/H-7124-2013; Custodio, Nilton/W-6035-2019; Ortiz, Ana/AAU-9376-2021; AVILA-FUNES, José/T-4210-2019; García, Adolfo/E-7150-2017; de Oliveira, Maira/P-1671-2019; Behrens, Maria Isabel/I-1083-2013; Ibanez, Agustin/H-7976-2015; Cardona, Juan Felipe/O-9436-2015</t>
  </si>
  <si>
    <t>Moguilner, Sebastian/0000-0003-1731-8325; Custodio, Nilton/0000-0002-8025-3272; Behrens, Maria Isabel/0000-0003-0964-426X; Pina Escudero, Stefanie Danielle/0000-0001-7467-8365; Santamaria Garcia, Hernando/0000-0001-9422-3579; Matallana-Eslava, Diana L./0000-0001-6529-7077; Ibanez, Agustin/0000-0001-6758-5101; Cardona, Juan Felipe/0000-0001-6795-7753</t>
  </si>
  <si>
    <t>10.1016/j.lana.2022.100387</t>
  </si>
  <si>
    <t>NOV 2022</t>
  </si>
  <si>
    <t>WOS:000928219800003</t>
  </si>
  <si>
    <t>Sanders, ML; Elting, JWJ; Panerai, RB; Aries, M; Bor-Seng-Shu, E; Caicedo, A; Chacon, M; Gommers, ED; Van Huffel, S; Jara, JL; Kostoglou, K; Mandi, A; Marmarelis, VZ; Mitsis, GD; Müller, M; Nikolic, D; Nogueira, RC; Payne, SJ; Puppo, C; Shin, DC; Simpson, DM; Tarumi, T; Yelicich, B; Zhangs, R; Claassen, JAHR</t>
  </si>
  <si>
    <t>Sanders, Marit L.; Elting, Jan Willem J.; Panerai, Ronney B.; Aries, Marcel; Bor-Seng-Shu, Edson; Caicedo, Alexander; Chacon, Max; Gommers, Erik D.; Van Huffel, Sabine; Jara, Jose L.; Kostoglou, Kyriaki; Mandi, Adam; Marmarelis, Vasilis Z.; Mitsis, Georgios D.; Muller, Martin; Nikolic, Dragana; Nogueira, Ricardo C.; Payne, Stephen J.; Puppo, Corina; Shin, Dae C.; Simpson, David M.; Tarumi, Takashi; Yelicich, Bernardo; Zhangs, Rong; Claassen, Jurgen A. H. R.</t>
  </si>
  <si>
    <t>Dynamic Cerebral Autoregulation Reproducibility Is Affected by Physiological Variability</t>
  </si>
  <si>
    <t>Parameters describing dynamic cerebral autoregulation (DCA) have limited reproducibility. In an international, multi-center study, we evaluated the influence of multiple analytical methods on the reproducibility of DCA. Fourteen participating centers analyzed repeated measurements from 75 healthy subjects, consisting of 5 min of spontaneous fluctuations in blood pressure and cerebral blood flow velocity signals, based on their usual methods of analysis. DCA methods were grouped into three broad categories, depending on output types: (1) transfer function analysis (TFA); (2) autoregulation index (ARI); and (3) correlation coefficient. Only TFA gain in the low frequency (LF) band showed good reproducibility in approximately half of the estimates of gain, defined as an intraclass correlation coefficient (ICC) of &gt;0.6. None of the other DCA metrics had good reproducibility. For TFA-like and ARI-like methods, ICCs were lower than values obtained with surrogate data (p &lt; 0.05). For TFA-like methods, ICCs were lower for the very LF band (gain 0.38 +/- 0.057, phase 0.17 +/- 0.13) than for LF band (gain 0.59 +/- 0.078, phase 0.39 +/- 0.11, p &lt;= 0.001 for both gain and phase). For ARI-like methods, the mean ICC was 0.30 +/- 0.12 and for the correlation methods 0.24 +/- 0.23. Based on comparisons with ICC estimates obtained from surrogate data, we conclude that physiological variability or non-stationarity is likely to be the main reason for the poor reproducibility of DCA parameters.</t>
  </si>
  <si>
    <t>Nogueira, Ricardo/V-3482-2019; BOR-SENG-SHU, EDSON/AAC-9762-2019; Mitsis, Georgios/AGY-4548-2022; Sanders, Marit/A-2827-2016; Dorado, Alexander/ABG-9304-2020; Aries, Marcel/HFF-8727-2022; Kostoglou, Kyriaki/ABF-6574-2021; Claassen, Jurgen/A-9806-2008; Jara, JL/J-7254-2015; Tarumi, Takashi/M-9976-2018</t>
  </si>
  <si>
    <t>Jara, JL/0000-0002-3348-7017; Nogueira, Ricardo/0000-0003-3309-3760; Tarumi, Takashi/0000-0001-7061-8867; Kostoglou, Kyriaki/0000-0002-3513-9286; Payne, Stephen John/0000-0003-1156-2810</t>
  </si>
  <si>
    <t>JUL 9</t>
  </si>
  <si>
    <t>10.3389/fphys.2019.00865</t>
  </si>
  <si>
    <t>WOS:000474802100001</t>
  </si>
  <si>
    <t>Barry, PH; de Moor, JM; Broadley, MW; Seltzer, AM; Bekaert, DV; Patil, K; Bartels, CGE; Young, ED; Longworth, BE; Barosa, B; Bastianoni, A; Bastoni, D; Cascone, M; Turner, SJ; Tyne, RL; Anderson, M; Li, K; Curtice, J; Kumar, N; Jessen, GL; Blamey, JM; Ramírez, CJ; Chiodi, A; Aguilera, F; Layana, S; González, C; Aguilera, M; Alvarez, GM; Marty, B; Lloyd, KG; Giovannelli, D</t>
  </si>
  <si>
    <t>Barry, Ph; de Moor, Jm; Broadley, Mw; Seltzer, Am; Bekaert, Dv; Patil, K.; Bartels, Cge; Young, Ed; Longworth, Be; Barosa, B.; Bastianoni, A.; Bastoni, D.; Cascone, M.; Turner, Sj; Tyne, Rl; Anderson, M.; Li, K.; Curtice, J.; Kumar, N.; Jessen, Gl; Blamey, Jm; Ramirez, Cj; Chiodi, A.; Aguilera, F.; Layana, S.; Gonzalez, C.; Aguilera, M.; Alvarez, G. P. J. Masias; Marty, B.; Lloyd, Kg; Giovannelli, D.</t>
  </si>
  <si>
    <t>Carbon, nitrogen, and noble gas isotopes reveal deep volatile signatures in thermal springs in the Central Volcanic Zone (CVZ) of the Andes</t>
  </si>
  <si>
    <t>EARTH AND PLANETARY SCIENCE LETTERS</t>
  </si>
  <si>
    <t>In subduction zones, thermal springs release deeply-sourced volatiles from Earth's mantle, crust, and/or subducted slab-derived material. The origin and apparent ages of these volatiles are important for understanding the deep volatile cycle, which in turn affects the distribution of microbial life in the subsurface. Here, we report carbon (C-13, C-14), noble gas (He, Ne, Ar, Kr and Xe), and clumped nitrogen isotope data in gas and water samples from thermal springs within the Central Volcanic Zone (CVZ) of the Andean Convergent Margin (ACM). He isotopes show that CVZ gases are predominantly sourced from the crust (similar to 77 %), with smaller mantle contributions (similar to 23 %), consistent with previous studies from the CVZ. Thermal spring samples with non-atmospheric He-Ne characteristics have low C-14 activities, and are deeply derived (i.e., from the mantle and crust) and old (&gt;22,000 years). To gain additional constraints on volatile sources, a gas sample from Pirquitas Argentina was analyzed using a new high-precision technique to reveal significant geogenic anomalies in argon (Ar-40/Ar-36 = 492), fissiogenic xenon (88 % crustal), and helium (84 % crustal) isotopes. Clumped N-2 isotopologue results also indicate that the N-2-rich Pirquitas sample is dominated by crustal and magmatic N-2, which was unambiguously released at high temperatures (indicated by Delta(30) of similar to 0 parts per thousand). When taken together, all carbon, noble gas and clumped N-2 isotope data from CVZ thermal springs point toward a predominantly crustal source of volatile elements, which is consistent with the thick crust beneath the arc. We conclude that thermal springs with noble gas isotopic evidence for minimal air contributions are old, suggesting that any microbial communities entrained in them are also supported by deeply-derived and old organic carbon.</t>
  </si>
  <si>
    <t>Jessen, Gerdhard/AAG-1605-2020; Giovannelli, Donato/A-4812-2011; lloyd, Karen/A-4165-2011; Gonzalez Rodriguez, Cristobal/JBJ-6560-2023</t>
  </si>
  <si>
    <t>Jessen, Gerdhard L./0000-0002-2602-6052; Masias, Pablo/0000-0002-8372-2871; Tyne, Rebecca/0000-0003-1316-3119; Barry, Peter/0000-0002-6960-1555; Broadley, Michael/0000-0002-5031-4687; Longworth, Brett/0000-0001-8318-2054; Seltzer, Alan/0000-0003-2870-1215; Gonzalez Rodriguez, Cristobal/0000-0002-9273-1235</t>
  </si>
  <si>
    <t>0012-821X</t>
  </si>
  <si>
    <t>1385-013X</t>
  </si>
  <si>
    <t>10.1016/j.epsl.2024.119169</t>
  </si>
  <si>
    <t>WOS:001397101300001</t>
  </si>
  <si>
    <t>Sierra, A; Pérez, LM; Agurto-Gangas, C; Miley, J; Zhang, K; Pinilla, P; Pascucci, I; Trapman, L; Kurtovic, N; Vioque, M; Deng, DS; Anania, R; Carpenter, J; Cieza, LA; González-Ruilova, C; Hogerheijde, M; Kuznetsova, A; Rosotti, GP; Ruiz-Rodriguez, DA; Schwarz, K; Tabone, B; Torresvillanueva, EE</t>
  </si>
  <si>
    <t>Sierra, Anibal; Perez, Laura M.; Agurto-Gangas, Carolina; Miley, James; Zhang, Ke; Pinilla, Paola; Pascucci, Ilaria; Trapman, Leon; Kurtovic, Nicolas; Vioque, Miguel; Deng, Dingshan; Anania, Rossella; Carpenter, John; Cieza, Lucas A.; Gonzalez-Ruilova, Camilo; Hogerheijde, Michiel; Kuznetsova, Aleksandra; Rosotti, Giovanni P.; Ruiz-Rodriguez, Dary A.; Schwarz, Kamber; Tabone, Benoit; Torresvillanueva, Estephani E.</t>
  </si>
  <si>
    <t>Hints of Planet Formation Signatures in a Large-cavity Disk Studied in the AGE-PRO ALMA Large Program</t>
  </si>
  <si>
    <t>Detecting planet signatures in protoplanetary disks is fundamental to understanding how and where planets form. In this work, we report dust and gas observational hints of planet formation in the disk around 2MASS J16120668-301027, as part of the Atacama Large Millimeter/submillimeter Array (ALMA) Large Program AGE-PRO: ALMA survey of Gas Evolution in Protoplanetary disks. The disk was imaged with the ALMA at Band 6 (1.3 mm) in dust continuum emission and four molecular lines: 12CO(J = 2-1), 13CO(J = 2-1), C18O(J = 2-1), and H2CO(J = 3(3,0)-2(2,0)). Resolved observations of the dust continuum emission (angular resolution of similar to 150 mas, 20 au) show a ring-like structure with a peak at 0.'' 57 (75 au), a deep gap with a minimum at 0.'' 24 (31 au), an inner disk, a bridge connecting the inner disk and the outer ring, along with a spiral arm structure, and a tentative detection (to 3 sigma) of a compact emission at the center of the disk gap, with an estimated dust mass of similar to 2.7-12.9 Lunar masses. We also detected a kinematic kink (not coincident with any dust substructure) through several 12CO channel maps (angular resolution similar to 200 mas, 30 au), located at a radius of similar to 0.'' 875 (115.6 au). After modeling the 12CO velocity rotation around the protostar, we identified a purple tentative rotating-like structure at the kink location with a geometry similar to that of the disk. We discuss potential explanations for the dust and gas substructures observed in the disk and their potential connection to signatures of planet formation.</t>
  </si>
  <si>
    <t>Perez, Laura/KHC-6172-2024; Kuznetsova, Aleksandra/W-2361-2017; Tabone, Benoît/ABB-4191-2021; Pascucci, Ilaria/D-6159-2016; Rosotti, Giovanni/O-4774-2018; Zhang, Ke/A-3898-2009</t>
  </si>
  <si>
    <t>Rosotti, Giovanni/0000-0003-4853-5736; Perez, Laura M./0000-0002-1199-9564; Kurtovic, Nicolas/0000-0002-2358-4796; Gonzalez Ruilova, Camilo/0000-0003-4907-189X; Pinilla (she/her), Paola/0000-0001-8764-1780; Pascucci, Ilaria/0000-0001-7962-1683; Trapman, Leon/0000-0002-8623-9703; Zhang, Ke/0000-0002-0661-7517; Sierra Morales, Anibal/0000-0002-5991-8073; Vioque, Miguel/0000-0002-4147-3846; Miley, James/0000-0002-1575-680X; Deng, Dingshan/0000-0003-0777-7392</t>
  </si>
  <si>
    <t>10.3847/1538-4357/ad6e73</t>
  </si>
  <si>
    <t>WOS:001328761300001</t>
  </si>
  <si>
    <t>Prado, P; Medel, V; Gonzalez-Gomez, R; Sainz-Ballesteros, A; Vidal, V; Santamaría-García, H; Moguilner, S; Mejia, J; Slachevsky, A; Beherens, MI; Aguillon, D; Lopera, F; Parra, MA; Matallana, D; Maito, MA; Garcia, AM; Custodio, N; Funes, AA; Piña-Escudero, S; Birba, A; Fittipaldi, S; Legaz, A; Ibañez, A</t>
  </si>
  <si>
    <t>Prado, Pavel; Medel, Vicente; Gonzalez-Gomez, Raul; Sainz-Ballesteros, Agustin; Vidal, Victor; Santamaria-Garcia, Hernando; Moguilner, Sebastian; Mejia, Jhony; Slachevsky, Andrea; Beherens, Maria Isabel; Aguillon, David; Lopera, Francisco; Parra, Mario A.; Matallana, Diana; Maito, Marcelo Adrian; Garcia, Adolfo M.; Custodio, Nilton; Funes, Alberto avila; Pina-Escudero, Stefanie; Birba, Agustina; Fittipaldi, Sol; Legaz, Agustina; Ibanez, Agustin</t>
  </si>
  <si>
    <t>The BrainLat project, a multimodal neuroimaging dataset of neurodegeneration from underrepresented backgrounds</t>
  </si>
  <si>
    <t>SCIENTIFIC DATA</t>
  </si>
  <si>
    <t>The Latin American Brain Health Institute (BrainLat) has released a unique multimodal neuroimaging dataset of 780 participants from Latin American. The dataset includes 530 patients with neurodegenerative diseases such as Alzheimer's disease (AD), behavioral variant frontotemporal dementia (bvFTD), multiple sclerosis (MS), Parkinson's disease (PD), and 250 healthy controls (HCs). This dataset (62.7 +/- 9.5 years, age range 21-89 years) was collected through a multicentric effort across five Latin American countries to address the need for affordable, scalable, and available biomarkers in regions with larger inequities. The BrainLat is the first regional collection of clinical and cognitive assessments, anatomical magnetic resonance imaging (MRI), resting-state functional MRI (fMRI), diffusion-weighted MRI (DWI), and high density resting-state electroencephalography (EEG) in dementia patients. In addition, it includes demographic information about harmonized recruitment and assessment protocols. The dataset is publicly available to encourage further research and development of tools and health applications for neurodegeneration based on multimodal neuroimaging, promoting the assessment of regional variability and inclusion of underrepresented participants in research.</t>
  </si>
  <si>
    <t>Medel, Vicente/AAQ-5107-2021; Prado, Pavel/O-2711-2019; Gonzalez-Gomez, Raul/AFF-4412-2022; Birba, Agustina/AFR-3037-2022; Parra, Mario/C-6135-2009; García, Adolfo/E-7150-2017; Custodio, Nilton/W-6035-2019; Ibanez, Agustin/H-7976-2015</t>
  </si>
  <si>
    <t>Gonzalez-Gomez, Raul/0000-0003-2341-011X; Mejia Perez, Jhony Alejandro/0000-0002-0313-6902; Ibanez, Agustin/0000-0001-6758-5101; Parra Rodriguez, Mario Alfredo/0000-0002-2412-648X; Custodio, Nilton/0000-0002-8025-3272; Prado, Pavel/0000-0002-1324-6400; Moguilner, Sebastian/0000-0003-1731-8325; Birba, Agustina/0000-0001-5998-6634</t>
  </si>
  <si>
    <t>2052-4463</t>
  </si>
  <si>
    <t>DEC 9</t>
  </si>
  <si>
    <t>10.1038/s41597-023-02806-8</t>
  </si>
  <si>
    <t>WOS:001118804500002</t>
  </si>
  <si>
    <t>Loesch, DP; Horimoto, ARVR; Sarihan, EI; Inca-Martinez, M; Mason, E; Cornejo-Olivas, M; Torres, L; Mazzetti, P; Cosentino, C; Sarapura-Castro, E; Rivera-Valdivia, A; Medina, AC; Dieguez, E; Raggio, V; Lescano, A; Tumas, V; Borges, V; Ferraz, HB; Rieder, CR; Schumacher-Schuh, A; Santos-Lobato, BL; Velez-Pardo, C; Jimenez-Del-Rio, M; Lopera, F; Moreno, S; Chana-Cuevas, P; Fernandez, W; Arboleda, G; Arboleda, H; Arboleda-Bustos, CE; Yearout, D; Zabetian, CP; Thornton, TA; Mata, IF; O'Connor, TD</t>
  </si>
  <si>
    <t>Loesch, Douglas P.; Horimoto, Andrea R. V. R.; Sarihan, Elif Irem; Inca-Martinez, Miguel; Mason, Emily; Cornejo-Olivas, Mario; Torres, Luis; Mazzetti, Pilar; Cosentino, Carlos; Sarapura-Castro, Elison; Rivera-Valdivia, Andrea; Medina, Angel C.; Dieguez, Elena; Raggio, Victor; Lescano, Andres; Tumas, Vitor; Borges, Vanderci; Ferraz, Henrique B.; Rieder, Carlos R.; Schumacher-Schuh, Artur; Santos-Lobato, Bruno L.; Velez-Pardo, Carlos; Jimenez-Del-Rio, Marlene; Lopera, Francisco; Moreno, Sonia; Chana-Cuevas, Pedro; Fernandez, William; Arboleda, Gonzalo; Arboleda, Humberto; Arboleda-Bustos, Carlos E.; Yearout, Dora; Zabetian, Cyrus P.; Thornton, Timothy A.; Mata, Ignacio F.; O'Connor, Timothy D.</t>
  </si>
  <si>
    <t>Int Parkinson Dis Genomics Consort; Latin Amer Res Consortium Genetics</t>
  </si>
  <si>
    <t>Polygenic risk prediction and SNCA haplotype analysis in a Latino Parkinson's disease cohort</t>
  </si>
  <si>
    <t>Background: Large-scale Parkinson's disease (PD) genome-wide association studies (GWAS) have, until recently, only been conducted on subjects with European -ancestry. Consequently, polygenic risk scores (PRS) constructed using PD GWAS data are likely to be less predictive when applied to non-European cohorts. Methods: Using GWAS data from the largest study to date, we constructed a PD PRS for a Latino PD cohort (1497 subjects from LARGE-PD) and tested it for as-sociation with PD status and age at onset. We validated the PRS performance by testing it in an independent Latino cohort (448 subjects) and by repeating the analysis in LARGE-PD with the addition of 440 external Peruvian controls. We also tested SNCA haplotypes for association with PD risk in LARGE-PD and a European- ancestry PD cohort. Results: The GWAS-significant PD PRS had an area under the receiver-operator curve (AUC) of 0.668 (95% CI: 0.640-0.695) in LARGE-PD. The inclusion of external Peruvian controls mitigated this result, dropping the AUC 0.632 (95% CI: 0.607-0.657). At the SNCA locus, haplotypes differ by ancestry. Ancestry-specific SNCA haplotypes were associated with PD status in both LARGE-PD and the European-ancestry cohort (p-value &lt; 0.05). These haplotypes both include the rs356182 G- allele, but only share 14% of their variants overall. Conclusion: The PD PRS has potential for PD risk prediction in Latinos, but variability caused by admixture patterns and bias in a European-ancestry PD PRS data limits its utility. The inclusion of diverse subjects can help elucidate PD risk loci and improve risk prediction in non-European cohorts.</t>
  </si>
  <si>
    <t>Torres, Luis/K-5903-2019; Chana-Cuevas, Pedro/AAM-8215-2020; Ferraz, Henrique/B-9195-2012; Moreno, Sonia/AAM-9308-2020; Tumas, Vitor/C-9949-2014; Cornejo-Olivas, Mario/F-9744-2017; Rieder, Carlos Roberto de Mello/O-6600-2018; Schuh, Artur Francisco Schumacher/J-2023-2014</t>
  </si>
  <si>
    <t>Cornejo-Olivas, Mario/0000-0001-6313-5680; Horimoto, Andrea/0000-0002-8573-5158; Rieder, Carlos Roberto de Mello/0000-0003-2950-7211; Loesch, Douglas/0000-0001-5716-4557; Tumas, Vitor/0000-0003-2402-2709; Mason, Emily/0000-0003-0214-9557; Schuh, Artur Francisco Schumacher/0000-0002-8722-0908</t>
  </si>
  <si>
    <t>10.1016/j.parkreldis.2022.06.010</t>
  </si>
  <si>
    <t>WOS:000862945100002</t>
  </si>
  <si>
    <t>Loesch, DP; Horimoto, ARVR; Heilbron, K; Sarihan, EI; Inca-Martinez, M; Mason, E; Cornejo-Olivas, M; Torres, L; Mazzetti, P; Cosentino, C; Sarapura-Castro, E; Rivera-Valdivia, A; Medina, AC; Dieguez, E; Raggio, V; Lescano, A; Tumas, V; Borges, V; Ferraz, HB; Rieder, CR; Schumacher-Schuh, A; Santos-Lobato, BL; Velez-Pardo, C; Jimenez-Del-Rio, M; Lopera, F; Moreno, S; Chana-Cuevas, P; Fernandez, W; Arboleda, G; Arboleda, H; Arboleda-Bustos, CE; Yearout, D; Zabetian, CP; Cannon, P; Thornton, TA; O'Connor, TD; Mata, IF</t>
  </si>
  <si>
    <t>Loesch, Douglas P.; Horimoto, Andrea R. V. R.; Heilbron, Karl; Sarihan, Elif I.; Inca-Martinez, Miguel; Mason, Emily; Cornejo-Olivas, Mario; Torres, Luis; Mazzetti, Pilar; Cosentino, Carlos; Sarapura-Castro, Elison; Rivera-Valdivia, Andrea; Medina, Angel C.; Dieguez, Elena; Raggio, Victor; Lescano, Andres; Tumas, Vitor; Borges, Vanderci; Ferraz, Henrique B.; Rieder, Carlos R.; Schumacher-Schuh, Artur; Santos-Lobato, Bruno L.; Velez-Pardo, Carlos; Jimenez-Del-Rio, Marlene; Lopera, Francisco; Moreno, Sonia; Chana-Cuevas, Pedro; Fernandez, William; Arboleda, Gonzalo; Arboleda, Humberto; Arboleda-Bustos, Carlos E.; Yearout, Dora; Zabetian, Cyrus P.; Cannon, Paul; Thornton, Timothy A.; O'Connor, Timothy D.; Mata, Ignacio F.</t>
  </si>
  <si>
    <t>23 Me Res Team; Latin Amer Res Consortium Genetics</t>
  </si>
  <si>
    <t>Characterizing the Genetic Architecture of Parkinson's Disease in Latinos</t>
  </si>
  <si>
    <t>ANNALS OF NEUROLOGY</t>
  </si>
  <si>
    <t>Objective This work was undertaken in order to identify Parkinson's disease (PD) risk variants in a Latino cohort, to describe the overlap in the genetic architecture of PD in Latinos compared to European-ancestry subjects, and to increase the diversity in PD genome-wide association (GWAS) data. Methods We genotyped and imputed 1,497 PD cases and controls recruited from nine clinical sites across South America. We performed a GWAS using logistic mixed models; variants with a p-value &lt;1 x 10(-5) were tested in a replication cohort of 1,234 self-reported Latino PD cases and 439,522 Latino controls from 23andMe, Inc. We also performed an admixture mapping analysis where local ancestry blocks were tested for association with PD status. Results One locus, SNCA, achieved genome-wide significance (p-value &lt;5 x 10(-8)); rs356182 achieved genome-wide significance in both the discovery and the replication cohorts (discovery, G allele: 1.58 OR, 95% CI 1.35-1.86, p-value 2.48 x 10(-8); 23andMe, G allele: 1.26 OR, 95% CI 1.16-1.37, p-value 4.55 x 10(-8)). In our admixture mapping analysis, a locus on chromosome 14, containing the gene STXBP6, achieved significance in a joint test of ancestries and in the Native American single-ancestry test (p-value &lt;5 x 10(-5)). A second locus on chromosome 6, containing the gene RPS6KA2, achieved significance in the African single-ancestry test (p-value &lt;5 x 10(-5)). Interpretation This study demonstrated the importance of the SNCA locus for the etiology of PD in Latinos. By leveraging the demographic history of our cohort via admixture mapping, we identified two potential PD risk loci that merit further study. ANN NEUROL 2021</t>
  </si>
  <si>
    <t>Chana-Cuevas, Pedro/AAM-8215-2020; Moreno, Sonia/AAM-9308-2020; Tumas, Vitor/C-9949-2014; Ferraz, Henrique/B-9195-2012; Torres, Luis/K-5903-2019; Rieder, Carlos Roberto de Mello/O-6600-2018; Cornejo-Olivas, Mario/F-9744-2017; Schuh, Artur Francisco Schumacher/J-2023-2014</t>
  </si>
  <si>
    <t>Rieder, Carlos Roberto de Mello/0000-0003-2950-7211; Cornejo-Olivas, Mario/0000-0001-6313-5680; Tumas, Vitor/0000-0003-2402-2709; Schuh, Artur Francisco Schumacher/0000-0002-8722-0908; Loesch, Douglas/0000-0001-5716-4557; Mason, Emily/0000-0003-0214-9557</t>
  </si>
  <si>
    <t>0364-5134</t>
  </si>
  <si>
    <t>1531-8249</t>
  </si>
  <si>
    <t>10.1002/ana.26153</t>
  </si>
  <si>
    <t>WOS:000675493200001</t>
  </si>
  <si>
    <t>Dressler, D; Altavista, MC; Altenmueller, E; Bhidayasiri, R; Bohlega, S; Chana, P; Chung, TM; Colosimo, C; Fheodoroff, K; Garcia-Ruiz, PJ; Jeon, B; Jin, LJ; Kanovsky, P; Milanov, I; Micheli, F; Orlova, O; Pandey, S; Pirtosek, Z; Relja, M; Rosales, R; Sagástegui-Rodríguez, JA; Shahidi, GA; Timerbaeva, S; Wan, XH; Walter, U; Saberi, FA</t>
  </si>
  <si>
    <t>Dressler, Dirk; Altavista, Maria Concetta; Altenmueller, Eckart; Bhidayasiri, Roongroj; Bohlega, Saeed; Chana, Pedro; Chung, Tae Mo; Colosimo, Carlo; Fheodoroff, Klemens; Garcia-Ruiz, Pedro J.; Jeon, Beomseok; Jin, Lingjing; Kanovsky, Petr; Milanov, Ivan; Micheli, Federico; Orlova, Olga; Pandey, Sanjay; Pirtosek, Zvezdan; Relja, Maja; Rosales, Raymond; Sagastegui-Rodriguez, Jose Alberto; Shahidi, Gholam Ali; Timerbaeva, Sofia; Wan, Xinhua; Walter, Uwe; Saberi, Fereshte Adib</t>
  </si>
  <si>
    <t>Consensus guidelines for botulinum toxin therapy: general algorithms and dosing tables for dystonia and spasticity</t>
  </si>
  <si>
    <t>Botulinum toxin (BT) therapy is a complex and highly individualised therapy defined by treatment algorithms and injection schemes describing its target muscles and their dosing. Various consensus guidelines have tried to standardise and to improve BT therapy. We wanted to update and improve consensus guidelines by: (1) Acknowledging recent advances of treatment algorithms. (2) Basing dosing tables on statistical analyses of real-life treatment data of 1831 BT injections in 36 different target muscles in 420 dystonia patients and 1593 BT injections in 31 different target muscles in 240 spasticity patients. (3) Providing more detailed dosing data including typical doses, dose variabilities, and dosing limits. (4) Including total doses and target muscle selections for typical clinical entities thus adapting dosing to different aetiologies and pathophysiologies. (5) In addition, providing a brief and concise review of the clinical entity treated together with general principles of its BT therapy. For this, we collaborated with IAB-Interdisciplinary Working Group for Movement Disorders which invited an international panel of experts for the support.</t>
  </si>
  <si>
    <t>xu, cj/HJZ-3488-2023; Walter, Uwe/O-4591-2017; Bhidayasiri, Roongroj/IVV-3614-2023; Pirtosek, Zvezdan/AAB-4729-2020; Milanov, Ivan/D-4318-2015</t>
  </si>
  <si>
    <t>Pandey, Sanjay/0000-0003-1771-9137; Dressler, Dirk/0000-0002-3612-3796; Milanov, Ivan/0000-0002-4522-4070; Shahidi, Gholam Ali/0000-0002-3889-4973</t>
  </si>
  <si>
    <t>10.1007/s00702-021-02312-4</t>
  </si>
  <si>
    <t>FEB 2021</t>
  </si>
  <si>
    <t>WOS:000622217400001</t>
  </si>
  <si>
    <t>Kinsey, GS; Riedel-Lyngskaer, NC; Miguel, AA; Boyd, M; Braga, M; Shou, CH; Cordero, RR; Duck, BC; Fell, CJ; Feron, S; Georghiou, GE; Habryl, N; John, JJ; Ketjoy, N; López, G; Louwen, A; Maweza, EL; Minemoto, T; Mittal, A; Molto, C; Neves, G; Garrido, GN; Norton, M; Paudyal, BR; Pereira, EB; Poissant, Y; Pratt, L; Shen, Q; Reindl, T; Rennhofer, M; Rodríguez-Gallegos, CD; Rüther, R; van Sark, W; Sevillano-Bendezu, MA; Seigneur, H; Tejero, JA; Theristis, M; Töfflinger, JA; Ulbrich, C; Vilela, WA; Xia, XG; Yamasoe, MA</t>
  </si>
  <si>
    <t>Kinsey, Geoffrey S.; Riedel-Lyngskaer, Nicholas C.; Miguel, Alonso-Abella; Boyd, Matthew; Braga, Marilia; Shou, Chunhui; Cordero, Raul R.; Duck, Benjamin C.; Fell, Christopher J.; Feron, Sarah; Georghiou, George E.; Habryl, Nicholas; John, Jim J.; Ketjoy, Nipon; Lopez, Gabriel; Louwen, Atse; Maweza, Elijah Loyiso; Minemoto, Takashi; Mittal, Ankit; Molto, Cecile; Neves, Guilherme; Garrido, Gustavo Nofuentes; Norton, Matthew; Paudyal, Basant R.; Pereira, Enio Bueno; Poissant, Yves; Pratt, Lawrence; Shen, Qu; Reindl, Thomas; Rennhofer, Marcus; Rodriguez-Gallegos, Carlos D.; Ruther, Ricardo; van Sark, Wilfried; Sevillano-Bendezu, Miguel A.; Seigneur, Hubert; Tejero, Jorge A.; Theristis, Marios; Tofflinger, Jan A.; Ulbrich, Carolin; Vilela, Waldeir Amaral; Xia, Xiangao; Yamasoe, Marcia A.</t>
  </si>
  <si>
    <t>Impact of measured spectrum variation on solar photovoltaic efficiencies worldwide</t>
  </si>
  <si>
    <t>RENEWABLE ENERGY</t>
  </si>
  <si>
    <t>In photovoltaic power ratings, a single solar spectrum, AM1.5, is the de facto standard for record labo-ratory efficiencies, commercial module specifications, and performance ratios of solar power plants. More detailed energy analysis that accounts for local spectral irradiance, along with temperature and broadband irradiance, reduces forecast errors to expand the grid utility of solar energy. Here, ground -level measurements of spectral irradiance collected worldwide have been pooled to provide a sam-pling of geographic, seasonal, and diurnal variation. Applied to nine solar cell types, the resulting divergence in solar cell efficiencies illustrates that a single spectrum is insufficient for comparisons of cells with different spectral responses. Cells with two or more junctions tend to have efficiencies below that under the standard spectrum. Silicon exhibits the least spectral sensitivity: relative weekly site variation ranges from 1% in Lima, Peru to 14% in Edmonton, Canada.(c) 2022 Elsevier Ltd. All rights reserved.</t>
  </si>
  <si>
    <t>Minemoto, Takashi/F-9342-2011; Sevillano-Bendezú, Miguel Ángel/HJP-5762-2023; Molto, Cecile/IQW-6177-2023; seigneur, hubert/AAG-6133-2019; Xia, Xiangao/N-1475-2019; Pereira, Enio/AAH-3308-2020; Ulbrich, Carolin/B-4460-2013; Duck, Benjamin/O-6322-2017; Boyd, Matthew/ABE-4187-2021; Palomino Töfflinger, Jan Amaru/GON-7916-2022; Neves, Guilherme/G-8957-2011; John, Jim/AAQ-6344-2020; Yamasoe, Marcia/L-3667-2013; Theristis, Marios/GRE-6596-2022; Ruther, Ricardo/AAL-6149-2020; Braga, Marília/AAI-7409-2021; Cordero, Raul/M-7979-2017; van Sark, Wilfried/C-5009-2009; NOFUENTES, GUSTAVO/H-9819-2015; Lopez Rodriguez, Gabriel/N-2505-2014</t>
  </si>
  <si>
    <t>van Sark, Wilfried/0000-0002-4738-1088; Feron, Sarah/0000-0002-0572-5639; Riedel-Lyngskaer, Nicholas/0000-0002-5654-4571; Pratt, Lawrence/0000-0001-6488-1263; Molto, Cecile/0000-0001-7083-165X; Tofflinger, Jan Amaru/0000-0002-2076-4046; Cordero, Raul R./0000-0001-7607-7993; Louwen, Atse/0000-0003-0595-8720; Ketjoy, Nipon/0000-0002-9324-0905; Rennhofer, Marcus/0000-0003-4547-259X; Ulbrich, Carolin/0000-0002-5513-4474; NOFUENTES, GUSTAVO/0000-0002-5305-3830; Lopez Rodriguez, Gabriel/0000-0003-0117-6713; Kinsey, Geoffrey/0000-0001-7285-6439</t>
  </si>
  <si>
    <t>0960-1481</t>
  </si>
  <si>
    <t>1879-0682</t>
  </si>
  <si>
    <t>10.1016/j.renene.2022.07.011</t>
  </si>
  <si>
    <t>WOS:000841758900001</t>
  </si>
  <si>
    <t>Gonzalez-Gomez, R; Legaz, A; Moguilner, S; Cruzat, J; Hernández, H; Baez, S; Cocchi, R; Coronel-Olivero, C; Medel, V; Tagliazuchi, E; Migeot, J; Ochoa-Rosales, C; Maito, MA; Reyes, P; Garcia, HS; Godoy, ME; Javandel, S; Garcia, AM; Matallana, DL; Avila-Funes, JA; Slachevsky, A; Behrens, MI; Custodio, N; Cardona, JF; Brusco, IL; Bruno, MA; Ortiz, ALS; Pina-Escudero, SD; Takada, LT; Resende, EDF; Valcour, V; Possin, KL; de Oliveira, MO; Lopera, F; Lawlor, B; Hu, K; Miller, B; Yokoyama, JS; Campo, CG; Ibañez, A</t>
  </si>
  <si>
    <t>Gonzalez-Gomez, Raul; Legaz, Agustina; Moguilner, Sebastian; Cruzat, Josephine; Hernandez, Hernan; Baez, Sandra; Cocchi, Rafael; Coronel-Olivero, Carlos; Medel, Vicente; Tagliazuchi, Enzo; Migeot, Joaquin; Ochoa-Rosales, Carolina; Maito, Marcelo Adrian; Reyes, Pablo; Santamaria Garcia, Hernando; Godoy, Maria E.; Javandel, Shireen; Garcia, Adolfo M.; Matallana, Diana L.; Avila-Funes, Jose Alberto; Slachevsky, Andrea; Behrens, Maria I.; Custodio, Nilton; Cardona, Juan F.; Brusco, Ignacio L.; Bruno, Martin A.; Sosa Ortiz, Ana L.; Pina-Escudero, Stefanie D.; Takada, Leonel T.; Resende, Elisa de Paula Franca; Valcour, Victor; Possin, Katherine L.; Okada de Oliveira, Maira; Lopera, Francisco; Lawlor, Brian; Hu, Kun; Miller, Bruce; Yokoyama, Jennifer S.; Gonzalez Campo, Cecilia; Ibanez, Agustin</t>
  </si>
  <si>
    <t>Educational disparities in brain health and dementia across Latin America and the United States</t>
  </si>
  <si>
    <t>BACKGROUNDEducation influences brain health and dementia. However, its impact across regions, specifically Latin America (LA) and the United States (US), is unknown.METHODSA total of 1412 participants comprising controls, patients with Alzheimer's disease (AD), and frontotemporal lobar degeneration (FTLD) from LA and the US were included. We studied the association of education with brain volume and functional connectivity while controlling for imaging quality and variability, age, sex, total intracranial volume (TIV), and recording type.RESULTSEducation influenced brain measures, explaining 24%-98% of the geographical differences. The educational disparities between LA and the US were associated with gray matter volume and connectivity variations, especially in LA and AD patients. Education emerged as a critical factor in classifying aging and dementia across regions.DISCUSSIONThe results underscore the impact of education on brain structure and function in LA, highlighting the importance of incorporating educational factors into diagnosing, care, and prevention, and emphasizing the need for global diversity in research.Highlights Lower education was linked to reduced brain volume and connectivity in healthy controls (HCs), Alzheimer's disease (AD), and frontotemporal lobar degeneration (FTLD). Latin American cohorts have lower educational levels compared to the those in the United States. Educational disparities majorly drive brain health differences between regions. Educational differences were significant in both conditions, but more in AD than FTLD. Education stands as a critical factor in classifying aging and dementia across regions.</t>
  </si>
  <si>
    <t>Medel, Vicente/AAQ-5107-2021; García, Adolfo/E-7150-2017; Takada, Leonel/AFW-1009-2022; Ochoa-Rosales, Carolina/ISB-3109-2023; Gonzalez-Gomez, Raul/AFF-4412-2022; de Oliveira, Maira/P-1671-2019; Custodio, Nilton/W-6035-2019; Ortiz, Ana/AAU-9376-2021; Baez, Sandra/ABC-7150-2020; Hernandez, Hernan/JDV-5631-2023; Cruzat, Josephine/AAX-4082-2020; Cardona, Juan/O-9436-2015; AVILA-FUNES, José/T-4210-2019; Behrens, Maria/I-1083-2013; Reyes, Pablo/N-6695-2017; Ibanez, Agustin/H-7976-2015</t>
  </si>
  <si>
    <t>Ochoa-Rosales, Carolina/0000-0001-8048-9165; Moguilner, Sebastian/0000-0003-1731-8325; Gonzalez-Gomez, Raul/0000-0003-2341-011X; Cruzat, Josephine/0000-0002-3252-8657; Ibanez, Agustin/0000-0001-6758-5101; Custodio, Nilton/0000-0002-8025-3272</t>
  </si>
  <si>
    <t>10.1002/alz.14085</t>
  </si>
  <si>
    <t>AUG 2024</t>
  </si>
  <si>
    <t>WOS:001289319900001</t>
  </si>
  <si>
    <t>Reyes-García, V; Fernández-Llamazares, A; Aumeeruddy-Thomas, Y; Benyei, P; Bussmann, RW; Diamond, SK; García-del-Amo, D; Guadilla-Sáez, S; Hanazaki, N; Kosoy, N; Lavides, M; Luz, AC; McElwee, P; Meretsky, VJ; Newberry, T; Molnár, Z; Ruiz-Mallén, I; Salpeteur, M; Wyndham, FS; Zorondo-Rodriguez, F; Brondizio, ES</t>
  </si>
  <si>
    <t>Reyes-Garcia, Victoria; Fernandez-Llamazares, Alvaro; Aumeeruddy-Thomas, Yildiz; Benyei, Petra; Bussmann, Rainer W.; Diamond, Sara K.; Garcia-del-Amo, David; Guadilla-Saez, Sara; Hanazaki, Natalia; Kosoy, Nicolas; Lavides, Margarita; Luz, Ana C.; McElwee, Pamela; Meretsky, Vicky J.; Newberry, Teresa; Molnar, Zsolt; Ruiz-Mallen, Isabel; Salpeteur, Matthieu; Wyndham, Felice S.; Zorondo-Rodriguez, Francisco; Brondizio, Eduardo S.</t>
  </si>
  <si>
    <t>Recognizing Indigenous peoples' and local communities' rights and agency in the post-2020 Biodiversity Agenda</t>
  </si>
  <si>
    <t>AMBIO</t>
  </si>
  <si>
    <t>The Convention on Biological Diversity is defining the goals that will frame future global biodiversity policy in a context of rapid biodiversity decline and under pressure to make transformative change. Drawing on the work of Indigenous and non-Indigenous scholars, we argue that transformative change requires the foregrounding of Indigenous peoples' and local communities' rights and agency in biodiversity policy. We support this argument with four key points. First, Indigenous peoples and local communities hold knowledge essential for setting realistic and effective biodiversity targets that simultaneously improve local livelihoods. Second, Indigenous peoples' conceptualizations of nature sustain and manifest CBD's 2050 vision of Living in harmony with nature. Third, Indigenous peoples' and local communities' participation in biodiversity policy contributes to the recognition of human and Indigenous peoples' rights. And fourth, engagement in biodiversity policy is essential for Indigenous peoples and local communities to be able to exercise their recognized rights to territories and resources.</t>
  </si>
  <si>
    <t>Brondizio, Eduardo/R-7643-2019; Zorondo-Rodríguez, Francisco/GWU-8371-2022; Benyei, Petra/L-8575-2019; Guadilla-Sáez, Sara/AAI-1401-2019; Fernández-Llamazares, Álvaro/ABA-6096-2021; Hanazaki, Natalia/AAT-3830-2021; McElwee, Pamela/AAP-1695-2020; Garcia del Amo, David/GXM-6035-2022; Ruiz-Mallen, Isabel/E-9614-2018; Zorondo-Rodriguez, Francisco/I-8273-2014; Reyes-Garcia, Victoria/C-4552-2008; McElwee, Pamela/A-9442-2009; Bussmann, Rainer W/A-6105-2010</t>
  </si>
  <si>
    <t>Benyei, Petra/0000-0001-7540-5772; Zorondo-Rodriguez, Francisco/0000-0001-6469-9859; Reyes-Garcia, Victoria/0000-0002-2914-8055; Garcia del Amo, David/0000-0002-0598-5465; McElwee, Pamela/0000-0003-3525-9285; Bussmann, Rainer W/0000-0002-3524-5273; Fernandez-Llamazares, Alvaro/0000-0002-7813-0222; Wyndham, Felice/0000-0002-2254-9702</t>
  </si>
  <si>
    <t>0044-7447</t>
  </si>
  <si>
    <t>1654-7209</t>
  </si>
  <si>
    <t>10.1007/s13280-021-01561-7</t>
  </si>
  <si>
    <t>WOS:000651677700001</t>
  </si>
  <si>
    <t>Casassus, S; Christiaens, V; Cárcamo, M; Pérez, S; Weber, P; Ercolano, B; van der Marel, N; Pinte, C; Dong, RB; Baruteau, C; Cieza, L; van Dishoeck, EF; Jordan, A; Price, DJ; Absil, O; Arce-Tord, C; Faramaz, V; Flores, C; Reggiani, M</t>
  </si>
  <si>
    <t>Casassus, Simon; Christiaens, Valentin; Carcamo, Miguel; Perez, Sebastian; Weber, Philipp; Ercolano, Barbara; van der Marel, Nienke; Pinte, Christophe; Dong, Ruobing; Baruteau, Clement; Cieza, Lucas; van Dishoeck, Ewine F.; Jordan, Andres; Price, Daniel J.; Absil, Olivier; Arce-Tord, Carla; Faramaz, Virginie; Flores, Christian; Reggiani, Maddalena</t>
  </si>
  <si>
    <t>A dusty filament and turbulent CO spirals in HD 135344B-SAO 206462</t>
  </si>
  <si>
    <t>Planet-disc interactions build up local pressure maxima that may halt the radial drift of protoplanetary dust, and pile it up in rings and crescents. ALMA observations of the HD 135344B disc revealed two rings in the thermal continuum stemming from similar to mm-sized dust. At higher frequencies the inner ring is brighter relative to the outer ring, which is also shaped as a crescent rather than a full ring. In near-IR scattered light images, the disc is modulated by a two-armed grand-design spiral originating inside the ALMA inner ring. Such structures may be induced by a massive companion evacuating the central cavity, and by a giant planet in the gap separating both rings, that channels the accretion of small dust and gas through its filamentary wakes while stopping the larger dust from crossing the gap. Here we present ALMA observations in the J = (2 - 1) CO isotopologue lines and in the adjacent continuum, with up to 12 km baselines. Angular resolutions of similar to 0 ''.03 reveal the tentative detection of a filament connecting both rings, and which coincides with a local discontinuity in the pitch angle of the IR spiral, proposed previously as the location of the protoplanet driving this spiral. Line diagnostics suggests that turbulence, or superposed velocity components, is particularly strong in the spirals. The (CO)-C-12(2-1) 3D rotation curve points at stellocentric accretion at radii within the inner dust ring, with a radial velocity of up to similar to 5 per cent +/- 0.5 per cent Keplerian, which corresponds to an excessively large accretion rate of similar to 2 x 10(-6) M circle dot yr(-1) if all of the CO layer follows the (CO)-C-12(2-1) kinematics. This suggests that only the surface layers of the disc are undergoing accretion, and that the line broadening is due to superposed laminar flows.</t>
  </si>
  <si>
    <t>Flores, Christian/KYR-7682-2024; Weber, Philipp/HLX-1365-2023; Pérez, Sebastián/AAS-5857-2020; Price, Daniel/A-8142-2016; Carcamo, Miguel/LEM-3690-2024; Casassus, Simon/I-8609-2016; Pinte, Christophe/MVW-1517-2025; Rui, Dong/LDG-0179-2024</t>
  </si>
  <si>
    <t>van der Marel, Nienke/0000-0003-2458-9756; Dong, Ruobing/0000-0001-9290-7846; Perez, Sebastian/0000-0003-2953-755X; Casassus, Simon/0000-0002-0433-9840; Weber, Philipp/0000-0002-3354-6654; Christiaens, Valentin/0000-0002-0101-8814; Arce-Tord, Carla/0000-0002-0176-4331; Reggiani, Maddalena/0000-0003-2911-0898; Faramaz, Virginie/0000-0001-6403-841X; Carcamo, Miguel/0000-0003-0564-8167; Cieza, Lucas/0000-0002-2828-1153</t>
  </si>
  <si>
    <t>10.1093/mnras/stab2359</t>
  </si>
  <si>
    <t>SEP 2021</t>
  </si>
  <si>
    <t>WOS:000708848000046</t>
  </si>
  <si>
    <t>Sarihan, EI; Pérez-Palma, E; Niestroj, LM; Loesch, D; Inca-Martinez, M; Horimoto, ARVR; Cornejo-Olivas, M; Torres, L; Mazzetti, P; Cosentino, C; Sarapura-Castro, E; Rivera-Valdivia, A; Dieguez, E; Raggio, V; Lescano, A; Tumas, V; Borges, V; Ferraz, HB; Rieder, CR; Schumacher-Schuh, AF; Santos-Lobato, BL; Velez-Pardo, C; Jimenez-Del-Rio, M; Lopera, F; Moreno, S; Chana-Cuevas, P; Fernandez, W; Arboleda, G; Arboleda, H; Arboleda-Bustos, CE; Yearout, D; Zabetian, CP; Thornton, TA; O'Connor, TD; Lal, D; Mata, IF</t>
  </si>
  <si>
    <t>Sarihan, Elif Irem; Perez-Palma, Eduardo; Niestroj, Lisa-Marie; Loesch, Douglas; Inca-Martinez, Miguel; Horimoto, Andrea R. V. R.; Cornejo-Olivas, Mario; Torres, Luis; Mazzetti, Pilar; Cosentino, Carlos; Sarapura-Castro, Elison; Rivera-Valdivia, Andrea; Dieguez, Elena; Raggio, Victor; Lescano, Andres; Tumas, Vitor; Borges, Vanderci; Ferraz, Henrique B.; Rieder, Carlos R.; Schumacher-Schuh, Artur F.; Santos-Lobato, Bruno L.; Velez-Pardo, Carlos; Jimenez-Del-Rio, Marlene; Lopera, Francisco; Moreno, Sonia; Chana-Cuevas, Pedro; Fernandez, William; Arboleda, Gonzalo; Arboleda, Humberto; Arboleda-Bustos, Carlos E.; Yearout, Dora; Zabetian, Cyrus P.; Thornton, Timothy A.; O'Connor, Timothy D.; Lal, Dennis; Mata, Ignacio F.</t>
  </si>
  <si>
    <t>Latin Amer Res Consortium Genetics</t>
  </si>
  <si>
    <t>Genome-Wide Analysis of Copy Number Variation in Latin American Parkinson's Disease Patients</t>
  </si>
  <si>
    <t>Background Parkinson's disease is the second most common neurodegenerative disorder and affects people from all ethnic backgrounds, yet little is known about the genetics of Parkinson's disease in non-European populations. In addition, the overall identification of copy number variants at a genome-wide level has been understudied in Parkinson's patients. The objective of this study was to understand the genome-wide burden of copy number variants in Latinos and its association with Parkinson's disease. Methods We used genome-wide genotyping data from 747 Parkinson's disease patients and 632 controls from the Latin American Research Consortium on the Genetics of Parkinson's disease. Results Genome-wide copy number burden analysis showed that patients were significantly enriched for copy number variants overlapping known Parkinson's disease genes compared with controls (odds ratio, 3.97; 95%CI, 1.69-10.5; P = 0.018). PRKN showed the strongest copy number burden, with 20 copy number variant carriers. These patients presented an earlier age of disease onset compared with patients with other copy number variants (median age at onset, 31 vs 57 years, respectively; P = 7.46 x 10(-7)). Conclusions We found that although overall genome-wide copy number variant burden was not significantly different, Parkinson's disease patients were significantly enriched with copy number variants affecting known Parkinson's disease genes. We also identified that of 250 patients with early-onset disease, 5.6% carried a copy number variant on PRKN in our cohort. Our study is the first to analyze genome-wide copy number variant association in Latino Parkinson's disease patients and provides insights about this complex disease in this understudied population. (c) 2020 International Parkinson and Movement Disorder Society</t>
  </si>
  <si>
    <t>LOPERA, FRANCISCO/AAR-5968-2021; Ferraz, Henrique/B-9195-2012; Torres, Luis/K-5903-2019; Tumas, Vitor/C-9949-2014; Moreno, Sonia/AAM-9308-2020; Pérez-Palma, Eduardo/AAF-2354-2019; Chana-Cuevas, Pedro/AAM-8215-2020; Horimoto, Andréa/C-4383-2015; Cornejo-Olivas, Mario/F-9744-2017; Schuh, Artur Francisco Schumacher/J-2023-2014; Rieder, Carlos Roberto de Mello/O-6600-2018</t>
  </si>
  <si>
    <t>raggio, victor/0000-0001-5389-5002; Cornejo-Olivas, Mario/0000-0001-6313-5680; Tumas, Vitor/0000-0003-2402-2709; Perez-Palma, Eduardo/0000-0003-0546-5141; Schuh, Artur Francisco Schumacher/0000-0002-8722-0908; Arboleda Bustos, Carlos Eduardo/0000-0002-1783-3063; Rieder, Carlos Roberto de Mello/0000-0003-2950-7211</t>
  </si>
  <si>
    <t>10.1002/mds.28353</t>
  </si>
  <si>
    <t>NOV 2020</t>
  </si>
  <si>
    <t>WOS:000586303000001</t>
  </si>
  <si>
    <t>Kostoglou, K; Bello-Robles, F; Brassard, P; Chacon, M; Claassen, JAHR; Czosnyka, M; Elting, JW; Hu, K; Labrecque, L; Liu, J; Marmarelis, VZ; Payne, SJ; Shin, DC; Simpson, D; Smirl, J; Panerai, RB; Mitsis, GD</t>
  </si>
  <si>
    <t>Kostoglou, Kyriaki; Bello-Robles, Felipe; Brassard, Patrice; Chacon, Max; Claassen, Jurgen A. H. R.; Czosnyka, Marek; Elting, Jan-Willem; Hu, Kun; Labrecque, Lawrence; Liu, Jia; Marmarelis, Vasilis Z.; Payne, Stephen J.; Shin, Dae Cheol; Simpson, David; Smirl, Jonathan; Panerai, Ronney B.; Mitsis, Georgios D.</t>
  </si>
  <si>
    <t>Time-domain methods for quantifying dynamic cerebral blood flow autoregulation: Review and recommendations. A white paper from the Cerebrovascular Research Network (CARNet)</t>
  </si>
  <si>
    <t>JOURNAL OF CEREBRAL BLOOD FLOW AND METABOLISM</t>
  </si>
  <si>
    <t>Cerebral Autoregulation (CA) is an important physiological mechanism stabilizing cerebral blood flow (CBF) in response to changes in cerebral perfusion pressure (CPP). By maintaining an adequate, relatively constant supply of blood flow, CA plays a critical role in brain function. Quantifying CA under different physiological and pathological states is crucial for understanding its implications. This knowledge may serve as a foundation for informed clinical decision-making, particularly in cases where CA may become impaired. The quantification of CA functionality typically involves constructing models that capture the relationship between CPP (or arterial blood pressure) and experimental measures of CBF. Besides describing normal CA function, these models provide a means to detect possible deviations from the latter. In this context, a recent white paper from the Cerebrovascular Research Network focused on Transfer Function Analysis (TFA), which obtains frequency domain estimates of dynamic CA. In the present paper, we consider the use of time-domain techniques as an alternative approach. Due to their increased flexibility, time-domain methods enable the mitigation of measurement/physiological noise and the incorporation of nonlinearities and time variations in CA dynamics. Here, we provide practical recommendations and guidelines to support researchers and clinicians in effectively utilizing these techniques to study CA.</t>
  </si>
  <si>
    <t>Mitsis, Georgios/AGY-4548-2022; Claassen, Jurgen/A-9806-2008; Labrecque, Lawrence/AAG-7215-2019; Kostoglou, Kyriaki/ABF-6574-2021; Brassard, Patrice/H-6115-2019; Czosnyka, Marek/ABN-0802-2022</t>
  </si>
  <si>
    <t>Kostoglou, Kyriaki/0000-0002-3513-9286; Brassard, Patrice/0000-0002-6254-5044</t>
  </si>
  <si>
    <t>0271-678X</t>
  </si>
  <si>
    <t>1559-7016</t>
  </si>
  <si>
    <t>10.1177/0271678X241249276</t>
  </si>
  <si>
    <t>APR 2024</t>
  </si>
  <si>
    <t>WOS:001214582200001</t>
  </si>
  <si>
    <t>Sanders, ML; Claassen, JAHR; Aries, M; Bor-Seng-Shu, E; Caicedo, A; Chacon, M; Gommer, ED; Van Huffel, S; Jara, JL; Kostoglou, K; Mahdi, A; Marmarelis, VZ; Mitsis, GD; Müller, M; Nikolic, DA; Nogueira, RC; Payne, SJ; Puppo, C; Shin, DC; Simpson, DM; Tarumi, T; Yelicichs, B; Zhang, R; Panerai, RB; Elting, JWJ</t>
  </si>
  <si>
    <t>Sanders, Marit L.; Claassen, Jurgen A. H. R.; Aries, Marcel; Bor-Seng-Shu, Edson; Caicedo, Alexander; Chacon, Max; Gommer, Erik D.; Van Huffel, Sabine; Jara, Jose L.; Kostoglou, Kyriaki; Mahdi, Adam; Marmarelis, Vasilis Z.; Mitsis, Georgios D.; Muller, Martin; Nikolic, Dragan A.; Nogueira, Ricardo C.; Payne, Stephen J.; Puppo, Corina; Shin, Dae C.; Simpson, David M.; Tarumi, Takashi; Yelicichs, Bernardo; Zhang, Rong; Panerai, Ronney B.; Elting, Jan Willem J.</t>
  </si>
  <si>
    <t>Reproducibility of dynamic cerebral autoregulation parameters: a multi-centre, multi-method study</t>
  </si>
  <si>
    <t>PHYSIOLOGICAL MEASUREMENT</t>
  </si>
  <si>
    <t>Objective: Different methods to calculate dynamic cerebral autoregulation (dCA) parameters are available. However, most of these methods demonstrate poor reproducibility that limit their reliability for clinical use. Inter-centre differences in study protocols, modelling approaches and default parameter settings have all led to a lack of standardisation and comparability between studies. We evaluated reproducibility of dCA parameters by assessing systematic errors in surrogate data resulting from different modelling techniques. Approach: Fourteen centres analysed 22 datasets consisting of two repeated physiological blood pressure measurements with surrogate cerebral blood flow velocity signals, generated using Tiecks curves (autoregulation index, ARI 0-9) and added noise. For reproducibility, dCA methods were grouped in three broad categories: 1. Transfer function analysis (TFA)-like output; 2. ARI-like output; 3. Correlation coefficient-like output. For all methods, reproducibility was determined by one-way intraclass correlation coefficient analysis (ICC). Main results: For TFA-like methods the mean (SD; [range]) ICC gain was 0.71 (0.10; [0.49-0.86]) and 0.80 (0.17; [0.36-0.94]) for VLF and LF (p = 0.003) respectively. For phase, ICC values were 0.53 (0.21; [0.09-0.80]) for VLF, and 0.92 (0.13; [0.44-1.00]) for LF (p &lt; 0.001). Finally, ICC for ARI-like methods was equal to 0.84 (0.19; [0.41-0.94]), and for correlation-like methods, ICC was 0.21 (0.21; [0.056-0.35]). Significance: When applied to realistic surrogate data, free from the additional exogenous influences of physiological variability on cerebral blood flow, most methods of dCA modelling showed ICC values considerably higher than what has been reported for physiological data. This finding suggests that the poor reproducibility reported by previous studies may be mainly due to the inherent physiological variability of cerebral blood flow regulatory mechanisms rather than related to (stationary) random noise and the signal analysis methods.</t>
  </si>
  <si>
    <t>Sanders, Marit/A-2827-2016; Kostoglou, Kyriaki/ABF-6574-2021; Claassen, Jurgen/A-9806-2008; BOR-SENG-SHU, EDSON/AAC-9762-2019; Nogueira, Ricardo/V-3482-2019; Dorado, Alexander/ABG-9304-2020; Mitsis, Georgios/AGY-4548-2022; Aries, Marcel/HFF-8727-2022; Gommer, Erik/AAQ-9423-2021; Jara, JL/J-7254-2015; Tarumi, Takashi/M-9976-2018</t>
  </si>
  <si>
    <t>Jara, JL/0000-0002-3348-7017; Payne, Stephen John/0000-0003-1156-2810; Tarumi, Takashi/0000-0001-7061-8867; Kostoglou, Kyriaki/0000-0002-3513-9286; Nogueira, Ricardo/0000-0003-3309-3760</t>
  </si>
  <si>
    <t>0967-3334</t>
  </si>
  <si>
    <t>1361-6579</t>
  </si>
  <si>
    <t>10.1088/1361-6579/aae9fd</t>
  </si>
  <si>
    <t>WOS:000452727100001</t>
  </si>
  <si>
    <t>Yeung, AWK; Choudhary, N; Tewari, D; El-Demerdash, A; Horbanczuk, OK; Das, N; Pirgozliev, V; Lucarini, M; Durazzo, A; Souto, EB; Santini, A; Devkota, HP; Uddin, MS; Echeverría, J; Wang, DD; Gan, RY; Brncic, M; Kalfin, RE; Tzvetkov, NT; Józwik, A; Solka, M; Strzalkowska, N; Horbanczuk, JO; Atanasov, AG</t>
  </si>
  <si>
    <t>Yeung, Andy Wai Kan; Choudhary, Neeraj; Tewari, Devesh; El-Demerdash, Amr; Horbanczuk, Olaf K.; Das, Niranjan; Pirgozliev, Vasil; Lucarini, Massimo; Durazzo, Alessandra; Souto, Eliana B.; Santini, Antonello; Devkota, Hari Prasad; Uddin, Md. Sahab; Echeverria, Javier; Wang, Dongdong; Gan, Ren-You; Brncic, Mladen; Kalfin, Reni E.; Tzvetkov, Nikolay T.; Jozwik, Artur; Solka, Magdalena; Strzalkowska, Nina; Horbanczuk, Jaroslaw Olav; Atanasov, Atanas G.</t>
  </si>
  <si>
    <t>Quercetin: total-scale literature landscape analysis of a valuable nutraceutical with numerous potential applications in the promotion of human and animal health - a review</t>
  </si>
  <si>
    <t>ANIMAL SCIENCE PAPERS AND REPORTS</t>
  </si>
  <si>
    <t>Numerous investigations on quercetin have revealed that it effectively treats and prevents different diseases, acting as an anti-inflammatory, anti-bacterial, anti-proliferative, anti-atherogenic, anti coagulative, antioxidant, antidiabetic agent, etc. This work aimed to analyze the present research literature on quercetin in the context of human and animal health. The Web of Science Core Collection electronic database was searched with (quercetin*) AND (health* OR illness* OR disease* OR medic* OR pharma* OR drug* OR therap*). The resulted 15685 papers were bibliometrically evaluated with the aid of VOSviewer software. Besides the United States, the quercetin papers received global contributions, particularly from Asian countries such as China, India, and South Korea. Examples of frequently mentioned chemicals/chemical classes were flavonoid, kaempferol, rutin, polyphenol, and catechin. Examples of frequently mentioned medical conditions were cancer, Alzheimer's disease, and atherosclerosis. There are numerous reported beneficial effects of quercetin on human and animal health, which warrants further research for corroboration, understanding mechanism of action, and practical application.</t>
  </si>
  <si>
    <t>Horbanczuk, Jaroslaw/ABD-8389-2021; Gan, Renyou/C-9868-2009; Durazzo, Alessandra/AAN-4182-2020; Santini, Antonello/J-4923-2019; Solka, Magdalena/ABI-4789-2022; Yeung, Andy/M-4332-2019; Tewari, Devesh/P-9954-2019; Devkota, Hari/H-9939-2019; Choudhary, Neeraj/KFR-4986-2024; Lucarini, Massimo/AAL-9254-2020; Souto, Eliana B./T-1645-2019; Kalfin, Reni/JTS-8689-2023; Echeverría, Javier/AAK-3323-2020; Brncic, Mladen/AAS-6834-2021; El-Demerdash, Amr/AAL-1613-2020; Atanasov, Atanas/C-5535-2013; Jozwik, Artur/HJY-6775-2023</t>
  </si>
  <si>
    <t>Gan, Ren-You/0000-0002-4162-1511; El-Demerdash, Amr/0000-0001-6459-2955; Echeverria, Javier/0000-0002-1688-968X; Choudhary, Dr. Neeraj/0000-0003-2626-383X; Atanasov, Atanas/0000-0003-2545-0967; Solka, Magdalena/0000-0003-1421-5400; Souto, Eliana B./0000-0002-9737-6017; Jozwik, Artur/0000-0001-5546-9891</t>
  </si>
  <si>
    <t>0860-4037</t>
  </si>
  <si>
    <t>WOS:000708376300002</t>
  </si>
  <si>
    <t>Yeung, AWK; Wang, DD; El-Demerdash, A; Horbanczuk, OK; Das, N; Pirgozliev, V; Lucarini, M; Durazzo, A; Souto, EB; Santini, A; Devkota, HP; Uddin, MS; Echeverría, J; El Bairi, K; Leszczynaki, P; Taniguchi, H; Józwik, A; Strzalkowska, N; Sieron, D; Horbanczuk, JO; Völkl-Kernstock, S; Atanasov, AG</t>
  </si>
  <si>
    <t>Yeung, Andy Wai Kan; Wang, Dongdong; El-Demerdash, Amr; Horbanczuk, Olaf K.; Das, Niranjan; Pirgozliev, Vasil; Lucarini, Massimo; Durazzo, Alessandra; Souto, Eliana B.; Santini, Antonello; Devkota, Hari Prasad; Uddin, Md Sahab; Echeverria, Javier; El Bairi, Khalid; Leszczynaki, Pawel; Taniguchi, Hiroaki; Jozwik, Artur; Strzalkowska, Nina; Sieron, Dominik; Horbanczuk, Jaroslaw Olav; Voelkl-Kernstock, Sabine; Atanasov, Atanas G.</t>
  </si>
  <si>
    <t>Animal versus human research reporting guidelines impacts: literature analysis reveals citation count bias</t>
  </si>
  <si>
    <t>The present study evaluated for the first time citation-impacts of human research reporting guidelines in comparison to their animal version counterparts. Re-examined and extended also were previous findings indicating that a research reporting guideline would be cited more for its versions published in journals with higher Impact Factors, compared to its duplicate versions published in journals with lower Impact Factors. 'the two top-ranked reporting guidelines listed in the Equator Network website (http://www.equator-network.org/) were CONSORT 2010, for parallel-group randomized trials; and STROBE, for observational studies. These two guidelines had animal study versions, REFLECT and STROBE-Vet, respectively. Together with ARRIVE, these five guidelines were subsequently searched in the Web of Science Core Collection online database to record their journal metrics and citation data. Results found that association between citation rates and journal Impact Factors existed for CONSORT guideline set for human studies, but not for STROBE or their counterparts set for animal studies. If Impact Factor was expressed in terms of journal rank percentile, no association was found except for CONSORT. Guidelines for human studies were much more cited than animal research guidelines, with the CONSORT 2010 and STROBE guidelines being cited 27.1 and 241.0 times more frequently than their animal version counterparts, respectively. In conclusion, while the journal Impact Factor is of importance, other important publishing features also strongly affect scientific manuscript visibility, represented by citation rate. More effort should be invested to improve the visibility of animal research guidelines.</t>
  </si>
  <si>
    <t>Taniguchi, Hiroaki/KGL-7645-2024; Echeverría, Javier/AAK-3323-2020; Souto, Eliana B./T-1645-2019; Durazzo, Alessandra/AAN-4182-2020; Leszczyński, Paweł/AAO-6119-2021; Yeung, Andy/M-4332-2019; Sieroń, Dominik/HLX-5321-2023; Wang, Dongdong/P-7257-2016; Lucarini, Massimo/AAL-9254-2020; Santini, Antonello/J-4923-2019; Devkota, Hari/H-9939-2019; Horbanczuk, Jaroslaw/ABD-8389-2021; El Bairi, Khalid/G-4005-2015; Atanasov, Atanas/C-5535-2013; Jozwik, Artur/HJY-6775-2023; El-Demerdash, Amr/AAL-1613-2020</t>
  </si>
  <si>
    <t>El Bairi, Khalid/0000-0002-8414-4145; Echeverria, Javier/0000-0002-1688-968X; Atanasov, Atanas/0000-0003-2545-0967; Jozwik, Artur/0000-0001-5546-9891; Souto, Eliana B./0000-0002-9737-6017; El-Demerdash, Amr/0000-0001-6459-2955; Taniguchi, Hiroaki/0000-0001-7270-390X</t>
  </si>
  <si>
    <t>2300-8342</t>
  </si>
  <si>
    <t>WOS:000631080800001</t>
  </si>
  <si>
    <t>Zemojtel-Piotrowska, M; Piotrowski, JP; Cieciuch, J; Adams, BG; Osin, EN; Ardi, R; Baltatescu, S; Bhomi, AL; Clinton, A; de Clunie, GT; Esteves, C; Gouveia, V; Hosseini, A; Ghaheh, HS; Khachatryan, N; Kamble, SV; Kawula, A; Liik, K; Letovancova, E; Cerrato, SM; Mora, CA; Nartova-Bochaver, S; Nikolic, M; Park, J; Paspalanova, E; Pék, G; Rózycka-Tran, J; Khanh, HTT; Tsubakita, T; Vauclair, CM; Wlodarczyk, A; Maltby, J</t>
  </si>
  <si>
    <t>Zemojtel-Piotrowska, Magdalena; Piotrowski, Jaroslaw P.; Cieciuch, Jan; Adams, Byron G.; Osin, Evgeny N.; Ardi, Rahkman; Baltatescu, Sergiu; Bhomi, Arbinda Lal; Clinton, Amanda; de Clunie, Gisela T.; Esteves, Carla; Gouveia, Valdiney; Hosseini, Ashraf; Ghaheh, Hooria Seyedhosseini; Khachatryan, Narine; Kamble, Shanmukh Vasant; Kawula, Anna; Liik, Kadi; Letovancova, Eva; Malo Cerrato, Sara; Alsinet Mora, Carles; Nartova-Bochaver, Sofya; Nikolic, Marija; Park, Joonha; Paspalanova, Elena; Pek, Gyozo; Rozycka-Tran, Joanna; Ha Truong Thi Khanh; Tsubakita, Takashi; Vauclair, Christin-Melanie; Wlodarczyk, Anna; Maltby, John</t>
  </si>
  <si>
    <t>Measurement Invariance of Personal Well-Being Index (PWI-8) Across 26 Countries</t>
  </si>
  <si>
    <t>JOURNAL OF HAPPINESS STUDIES</t>
  </si>
  <si>
    <t>This report examines the measurement invariance of the Personal Well-being Index with 8 items (PWI-8). University students (N = 5731) from 26 countries completed the measure either through paper and pencil or electronic mode. We examined uni-dimensional structure of PWI and performed a Multi-group CFA to assess the measurement invariance across the 26 countries, using conventional approach and the alignment procedure. The findings provide evidence of configural and partial metric invariance, as well as partial scalar invariance across samples. The findings suggest that PWI-8 can be used to examine correlates of life satisfaction across all included countries, however it is impossible to compare raw scores across countries.</t>
  </si>
  <si>
    <t>Bălțătescu, Sergiu/A-3535-2009; Ardi, Rahkman/AAC-8650-2022; Vauclair, Christin-Melanie/AAB-4190-2019; Różycka-Tran, Joanna/O-1336-2015; Piotrowski, Jarosław/AAB-3590-2021; Alsinet, Carles/N-7761-2019; Wlodarczyk, Anna/HHC-3887-2022; Esteves, C. Sofia/ABA-7975-2021; Żemojtel-Piotrowska, Magdalena/R-9505-2019; Kamble, Shanmukh/ABE-6993-2021; Park, Joonha/AHE-3486-2022; Maltby, John/S-4021-2019; Nartova-Bochaver, Sofya/M-9447-2016; Malo Cerrato, Sara/D-8524-2011; Adams, Byron/H-3098-2018; Maltby, John/A-9338-2012; Osin, Evgeny/G-6558-2012; Wlodarczyk, Anna/K-4968-2014</t>
  </si>
  <si>
    <t>Zemojtel-Piotrowska, Magdalena/0000-0002-8017-8014; Esteves, Carla Sofia/0000-0002-7307-8373; Piotrowski, Jaroslaw/0000-0002-3315-1863; Cieciuch, Jan/0000-0002-2291-8301; Ardi, Rahkman/0000-0002-2261-2417; Alsinet, Carles/0000-0001-9353-3591; Truong Thi Khanh, Ha/0000-0003-3940-8399; Nartova-Bochaver, Sofya/0000-0002-8061-4154; Vauclair, Christin-Melanie/0000-0002-4940-1185; kamble, shanmukh/0000-0002-2185-8052; Park, Joonha/0000-0002-0764-5173; Malo Cerrato, Sara/0000-0003-3561-0610; Nikolic Tosovic, Marija/0000-0003-0231-257X; Adams, Byron/0000-0001-5968-1996; Rozycka-Tran, Joanna/0000-0003-1131-3910; Maltby, John/0000-0002-0621-9359; Osin, Evgeny/0000-0003-3330-5647; Baltatescu, Sergiu/0000-0003-3610-3004; Wlodarczyk, Anna/0000-0003-2106-5324</t>
  </si>
  <si>
    <t>1389-4978</t>
  </si>
  <si>
    <t>1573-7780</t>
  </si>
  <si>
    <t>10.1007/s10902-016-9795-0</t>
  </si>
  <si>
    <t>WOS:000415221000007</t>
  </si>
  <si>
    <t>Beishon, L; Vasilopoulos, T; Salinet, ASM; Levis, B; Barnes, S; Hills, E; Ramesh, P; Gkargkoula, P; Minhas, JS; Castro, P; Brassard, P; Goettel, N; Gommer, ED; Jara, JL; Liu, J; Mueller, M; Nasr, N; Payne, S; Robertson, AD; Simpson, D; Robinson, TG; Panerai, RB; Nogueira, RC</t>
  </si>
  <si>
    <t>Beishon, Lucy; Vasilopoulos, Terrie; Salinet, Angela S. M.; Levis, Brooke; Barnes, Samuel; Hills, Eleanor; Ramesh, Pranav; Gkargkoula, Panagoula; Minhas, Jatinder S.; Castro, Pedro; Brassard, Patrice; Goettel, Nicolai; Gommer, Erik D.; Jara, Jose Luis; Liu, Jia; Mueller, Martin; Nasr, Nathalie; Payne, Stephen; Robertson, Andrew D.; Simpson, David; Robinson, Thompson G.; Panerai, Ronney B.; Nogueira, Ricardo C.</t>
  </si>
  <si>
    <t>Individual Patient Data Meta-Analysis of Dynamic Cerebral Autoregulation and Functional Outcome After Ischemic Stroke</t>
  </si>
  <si>
    <t>STROKE</t>
  </si>
  <si>
    <t>BACKGROUND: The relationship between dynamic cerebral autoregulation (dCA) and functional outcome after acute ischemic stroke (AIS) is unclear. Previous studies are limited by small sample sizes and heterogeneity. METHODS: We performed a 1-stage individual patient data meta-analysis to investigate associations between dCA and functional outcome after AIS. Participating centers were identified through a systematic search of the literature and direct invitation. We included centers with dCA data within 1 year of AIS in adults aged over 18 years, excluding intracerebral or subarachnoid hemorrhage. Data were obtained on phase, gain, coherence, and autoregulation index derived from transfer function analysis at low-frequency and very low-frequency bands. Cerebral blood velocity, arterial pressure, end-tidal carbon dioxide, heart rate, stroke severity and sub-type, and comorbidities were collected where available. Data were grouped into 4 time points after AIS: &lt;24 hours, 24 to 72 hours, 4 to 7 days, and &gt;3 months. The modified Rankin Scale assessed functional outcome at 3 months. Modified Rankin Scale was analyzed as both dichotomized (0 to 2 versus 3 to 6) and ordinal (modified Rankin Scale scores, 0-6) outcomes. Univariable and multivariable analyses were conducted to identify significant relationships between dCA parameters, comorbidities, and outcomes, for each time point using generalized linear (dichotomized outcome), or cumulative link (ordinal outcome) mixed models. The participating center was modeled as a random intercept to generate odds ratios with 95% CIs. RESULTS: The sample included 384 individuals (35% women) from 7 centers, aged 66.3 +/- 13.7 years, with predominantly nonlacunar stroke (n=348, 69%). In the affected hemisphere, higher phase at very low-frequency predicted better outcome (dichotomized modified Rankin Scale) at &lt;24 (crude odds ratios, 2.17 [95% CI, 1.47-3.19]; P&lt;0.001) hours, 24-72 (crude odds ratios, 1.95 [95% CI, 1.21-3.13]; P=0.006) hours, and phase at low-frequency predicted outcome at 3 (crude odds ratios, 3.03 [95% CI, 1.10-8.33]; P=0.032) months. These results remained after covariate adjustment. CONCLUSIONS: Greater transfer function analysis-derived phase was associated with improved functional outcome at 3 months after AIS. dCA parameters in the early phase of AIS may help to predict functional outcome.</t>
  </si>
  <si>
    <t>Gommer, Erik/AAQ-9423-2021; Minhas, Jatinder/J-8333-2019; Robinson, Tila/IXN-4785-2023; Robertson, Andrew/JCP-4314-2023; Vasilopoulos, Terrie/AAF-9157-2019; NASR, NATHALIE/K-3521-2019; Nogueira, Ricardo/V-3482-2019; Goettel, Nicolai/T-6294-2017; Salinet, Angela/M-3625-2015; Castro, Pedro/L-3779-2014; Jara, JL/J-7254-2015</t>
  </si>
  <si>
    <t>Brassard, Patrice/0000-0002-6254-5044; Vasilopoulos, Terrie/0000-0002-8066-2703; Goettel, Nicolai/0000-0003-0191-9775; , pranav/0000-0001-8936-7092; Salinet, Angela/0000-0002-4192-5160; Castro, Pedro/0000-0003-1401-2398; Minhas, Jatinder/0000-0002-0576-9105; Robinson, Thompson/0000-0003-2144-2468; Nasr, Nathalie/0009-0003-8196-5196; Jara, JL/0000-0002-3348-7017; Barnes, Sam/0000-0001-6009-406X; Hills, Eleanor/0009-0002-4180-6767</t>
  </si>
  <si>
    <t>0039-2499</t>
  </si>
  <si>
    <t>1524-4628</t>
  </si>
  <si>
    <t>10.1161/STROKEAHA.123.045700</t>
  </si>
  <si>
    <t>WOS:001237014600037</t>
  </si>
  <si>
    <t>Pfeiffer, M; Padarian, J; Osorio, R; Bustamante, N; Olmedo, GF; Guevara, M; Aburto, F; Albornoz, F; Antilén, M; Araya, E; Arellano, E; Barret, M; Barrera, J; Boeckx, P; Briceño, M; Bunning, S; Cabrol, L; Casanova, M; Cornejo, P; Corradini, F; Curaqueo, G; Doetterl, S; Duran, P; Escudey, M; Espinoza, A; Francke, S; Fuentes, JP; Fuentes, M; Gajardo, G; García, R; Gallaud, A; Galleguillos, M; Gomez, A; Hidalgo, M; Ivelic-Sáez, J; Mashalaba, L; Matus, F; Meza, F; Mora, MD; Mora, J; Muñoz, C; Norambuena, P; Olivera, C; Ovalle, C; Panichini, M; Pauchard, A; Pérez-Quezada, JF; Radic, S; Ramirez, J; Riveras, N; Ruiz, G; Salazar, O; Salgado, I; Seguel, O; Sepúlveda, M; Sierra, C; Tapia, Y; Tapia, F; Toledo, B; Torrico, JM; Valle, S; Vargas, R; Wolff, M; Zagal, E</t>
  </si>
  <si>
    <t>Pfeiffer, Marco; Padarian, Jose; Osorio, Rodrigo; Bustamante, Nelson; Federico Olmedo, Guillermo; Guevara, Mario; Aburto, Felipe; Albornoz, Francisco; Antilen, Monica; Araya, Elias; Arellano, Eduardo; Barret, Maialen; Barrera, Juan; Boeckx, Pascal; Briceno, Margarita; Bunning, Sally; Cabrol, Lea; Casanova, Manuel; Cornejo, Pablo; Corradini, Fabio; Curaqueo, Gustavo; Doetterl, Sebastian; Duran, Paola; Escudey, Mauricio; Espinoza, Angelina; Francke, Samuel; Pablo Fuentes, Juan; Fuentes, Marcel; Gajardo, Gonzalo; Garcia, Rafael; Gallaud, Audrey; Galleguillos, Mauricio; Gomez, Andres; Hidalgo, Marcela; Ivelic-Saez, Jorge; Mashalaba, Lwando; Matus, Francisco; Meza, Francisco; de la Luz Mora, Maria; Mora, Jorge; Munoz, Cristina; Norambuena, Pablo; Olivera, Carolina; Ovalle, Carlos; Panichini, Marcelo; Pauchard, Anibal; Perez-Quezada, Jorge F.; Radic, Sergio; Ramirez, Jose; Riveras, Nicolas; Ruiz, German; Salazar, Osvaldo; Salgado, Ivan; Seguel, Oscar; Sepulveda, Maria; Sierra, Carlos; Tapia, Yasna; Tapia, Francisco; Toledo, Balfredo; Miguel Torrico, Jose; Valle, Susana; Vargas, Ronald; Wolff, Michael; Zagal, Erick</t>
  </si>
  <si>
    <t>CHLSOC: the Chilean Soil Organic Carbon database, a multi-institutional collaborative effort</t>
  </si>
  <si>
    <t>EARTH SYSTEM SCIENCE DATA</t>
  </si>
  <si>
    <t>A critical aspect of predicting soil organic carbon (SOC) concentrations is the lack of available soil information; where information on soil characteristics is available, it is usually focused on regions of high agricultural interest. To date, in Chile, a large proportion of the SOC data have been collected in areas of intensive agricultural or forestry use; however, vast areas beyond these forms of land use have few or no soil data available. Here we present a new SOC database for the country, which is the result of an unprecedented national effort under the framework of the Global Soil Partnership. This partnership has helped build the largest database of SOC to date in Chile, named the Chilean Soil Organic Carbon database (CHLSOC), comprising 13 612 data points compiled from numerous sources, including unpublished and difficult-to-access data. The database will allow users to fill spatial gaps where no SOC estimates were publicly available previously. Presented values of SOC range from 6 x 10(-5) % to 83.3 %, reflecting the variety of ecosystems that exist in Chile. The database has the potential to inform and test current models that predict SOC stocks and dynamics at larger spatial scales, thus enabling benefits from the richness of geochemical, topographic and climatic variability in Chile. The database is freely available to registered users at https://doi.org/10.17605/OSF.IO/NMYS3 (Pfeiffer et al., 2019b) under the Creative Commons Attribution 4.0 International Public License.</t>
  </si>
  <si>
    <t>Cabrol, Lea/L-2438-2016; Tato, Andrés/D-6396-2011; Doetterl, Sebastian/KIA-6575-2024; Fuentes, Juan/AAU-5203-2020; Mashalaba, Lwando/IWM-2717-2023; Aburto, Felipe/AAB-5586-2022; Corradini, Fabio/K-1306-2019; Muñoz, Cristina/AAS-5101-2021; Salazar, Osvaldo/AAV-3263-2020; Radic-Schilling, Sergio/AAS-5241-2021; Tapia, Yasna/K-4650-2017; Matus, Francisco/AAY-9383-2020; Casanova, Manuel/I-3880-2013; Padarian, José/AAZ-4340-2020; Olmedo, Guillermo Federico/GVU-5574-2022; Pauchard, Anibal/B-5034-2008; Arellano, Eduardo/AAE-8297-2020; Zagal, Erick/C-1460-2012; Cornejo, Pablo/B-1039-2015; Mora Gil, Maria Luz/AAT-4081-2021; Ovalle, Carlos/C-7747-2014; Guevara, Mario/AAH-9539-2019; Vargas, Ronald/KZU-8544-2024; Perez-Quezada, Jorge/H-7129-2013; Pfeiffer, Marco/A-4981-2013; Salazar, Osvaldo/H-7075-2013; Curaqueo, Gustavo/J-3358-2013; Valle, Susana/D-5358-2015; Fuentes, Juan-Pablo/C-7819-2014; Seguel, Oscar/D-8831-2015; Arellano, Eduardo/N-6901-2014; Galleguillos, Mauricio/I-1571-2013; Albornoz, Francisco/I-6171-2016</t>
  </si>
  <si>
    <t>Radic-Schilling, Sergio/0000-0003-1812-9235; Zagal, Erick/0000-0003-3900-9769; Antilen-Lizana, Monica/0000-0003-0512-4267; Duran, Paola/0000-0001-8638-6781; Mora, Maria Luz/0000-0002-7474-1595; Corradini, Fabio/0000-0001-9696-7643; Perez-Quezada, Jorge/0000-0002-0449-7654; Garcia, Rafael A./0000-0002-0591-0391; Pfeiffer, Marco/0000-0002-5543-5277; Vargas, Ronald/0000-0002-8175-9267; Salazar, Osvaldo/0000-0002-3284-3817; Cornejo, Pablo/0000-0003-2124-3100; Curaqueo, Gustavo/0000-0001-9946-737X; Doetterl, Sebastian/0000-0002-0986-891X; Valle, Susana/0000-0002-9599-0080; Olmedo, Guillermo Federico/0000-0002-4482-3266; Cabrol, Lea/0000-0003-0417-2021; Fuentes, Juan-Pablo/0000-0002-7679-5482; Seguel, Oscar/0000-0001-7040-3604; Arellano, Eduardo/0000-0002-2000-3386; Padarian, Jose/0000-0003-2250-5299; Guevara, Mario/0000-0002-9788-9947; Aburto, Felipe/0000-0001-9472-930X; Galleguillos, Mauricio/0000-0003-4617-0980; Albornoz, Francisco/0000-0003-4434-7631</t>
  </si>
  <si>
    <t>1866-3508</t>
  </si>
  <si>
    <t>1866-3516</t>
  </si>
  <si>
    <t>10.5194/essd-12-457-2020</t>
  </si>
  <si>
    <t>WOS:000518136900002</t>
  </si>
  <si>
    <t>Giacomozzi, ARE; Vindas, AP; da Silva, AA; Bordini, CA; Buonanotte, CF; Roesler, CADP; Brito, CM; Perez, C; Carvalho, DDS; de Macedo, DDP; Piovesan, EJ; Sarmento, EM; Melhado, EM; Éckeli, FD; Kowacs, F; Sobrino, F; Rabello, GD; Rada, G; de Souza, JA; Casanovas, JR; Durán, JC; Calia, LC; Medina, LR; de Queiroz, LP; Ciciarelli, MC; Valença, MM; Cusicanqui, M; Jimenez, MKV; Goycochea, MT; Peres, MFP; Sandoval, MVF; Vincent, MB; Gomes, M; Diez, M; Aranaga, N; Barrientos, N; Kowacs, PA; Moreira, PF</t>
  </si>
  <si>
    <t>Espinoza Giacomozzi, Alex Rodrigo; Parajeles Vindas, Alexander; da Silva Junior, Ariovaldo Alberto; Bordini, Carlos Alberto; Federico Buonanotte, Carlos; de Paula Roesler, Celia Aparecida; Brito, Claudio Manoel; Perez, Cristina; Carvalho, Deusvenir de Souza; Pereira de Macedo, Djacir Dantas; Piovesan, Elcio Juliato; Sarmento, Elder Machado; Melhado, Eliana Meire; Eckeli, Fabiola Dach; Kowacs, Fernando; Sobrino, Fidel; Rabello, Getulio Dare; Rada, Grisel; de Souza, Jano Alves; Rosa Casanovas, Juana; Carlos Duran, Juan; Calia, Leandro Cotoni; Partida Medina, Luis Roberto; de Queiroz, Luiz Paulo; Ciciarelli, Marcelo Cedrinho; Valenca, Marcelo Moraes; Cusicanqui, Maria; Velez Jimenez, Maria Karina; Tereza Goycochea, Maria; Prieto Peres, Mario Fernando; Fuentealba Sandoval, Mario Victor; Vincent, Maurice Borges; Volcy Gomes, Michel; Diez, Monica; Aranaga, Nayeska; Barrientos, Nelson; Kowacs, Pedro Andre; Moreira Filho, Pedro Ferreira</t>
  </si>
  <si>
    <t>Latin American consensus on guidelines for chronic migraine treatment</t>
  </si>
  <si>
    <t>ARQUIVOS DE NEURO-PSIQUIATRIA</t>
  </si>
  <si>
    <t>Chronic migraine is a condition with significant prevalence all around the world and high socioeconomic impact, and its handling has been challenging neurologists. Developments for understanding its mechanisms and associated conditions, as well as that of new therapies, have been quick and important, a fact which has motivated the Latin American and Brazilian Headache Societies to prepare the present consensus. The treatment of chronic migraine should always be preceded by a careful diagnosis review; the detection of possible worsening factors and associated conditions; the stratification of seriousness/impossibility to treat; and monitoring establishment, with a pain diary. The present consensus deals with pharmacological and nonpharmacological forms of treatment to be used in chronic migraine.</t>
  </si>
  <si>
    <t>Machado Sarmento, Elder/KYQ-1329-2024; Melhado, Eliana/Y-3199-2019; Dach, Fabiola/AAM-3870-2021; Diez-Fairen, Monica/AAC-2467-2020; Vincent, Maurice/B-1415-2009; Kowacs, Pedro/AAL-8473-2021; Valenca, Marcelo/A-4302-2013; Duran, Juan/GRZ-0839-2022; Peres, Mario/U-6148-2019; Kowacs, Fernando/F-8508-2012; Dach, Fabiola/O-3463-2014; Queiroz, Luiz Paulo/H-6177-2013</t>
  </si>
  <si>
    <t>Dach, Fabiola/0000-0003-4249-4179; Kowacs, Fernando/0000-0002-0407-407X; Peres, Mario F P/0000-0002-0068-1905; Valenca, Marcelo/0000-0003-0678-3782; Vincent, Maurice/0000-0001-5855-6069; Queiroz, Luiz Paulo/0000-0001-8976-627X</t>
  </si>
  <si>
    <t>0004-282X</t>
  </si>
  <si>
    <t>1678-4227</t>
  </si>
  <si>
    <t>10.1590/0004-282X20130066</t>
  </si>
  <si>
    <t>WOS:000322356700014</t>
  </si>
  <si>
    <t>Anis, S; Chaparro-Solano, HM; Leal, TP; Sperling, SA; Sonneborn, C; Piccinin, CC; Inca-Martinez, M; Cornejo-Olivas, M; Illanes-Manrique, M; Chana-Cuevas, P; Awad, PS; Hernández-Medrano, AJ; Cervantes-Arriaga, A; Schuh, AFS; Rieder, CRM; Neto, PB; Sena, AAD; Santos-Lobato, BL; Gatto, EM; Alvarado, GJ; Avila, CL; Tumas, V; Foss, MP; Borges, V; Ferraz, HB; Vélez, JLO; Ospina, BM; Moreno, S; Pineda, D; Pinto, JER; Olguín, P; Nuñez, JC; Viñuela, A; Espinal-Martinez, AO; Mori, N; Mejía-Rojas, K; Medina-Colque, A; Rosso, ALZ; Vilaça, C; Ochoa-Valle, E; Cornejo-Herrera, I; Reyes-Perez, P; Lázaro-Figueroa, A; Alves, ALD; Cury, RG; Fernandez, HH; Mata, I; Latin Amer Res consortium Genetics Parkinsons Dis LARGE-PD</t>
  </si>
  <si>
    <t>Anis, Saar; Chaparro-Solano, Henry Mauricio; Leal, Thiago Peixoto; Sperling, Scott A.; Sonneborn, Claire; Piccinin, Camila Callegari; Inca-Martinez, Miguel; Cornejo-Olivas, Mario; Illanes-Manrique, Maryenela; Chana-Cuevas, Pedro; Awad, Paula Safie; Hernandez-Medrano, Ana Jimena; Cervantes-Arriaga, Amin; Schuh, Artur F. S.; Rieder, Carlos R. M.; Braga Neto, Pedro; Sena, Antonio Andrei da Silva; Santos-Lobato, Bruno Lopes; Gatto, Emilia M.; Alvarado, Griselda J.; Avila, Cesar L.; Tumas, Vitor; Foss, Maria Paula; Borges, Vanderci; Ferraz, Henrique Ballalai; Velez, Jorge Luis Orozco; Ospina, Beatriz Munoz; Moreno, Sonia; Pineda, David; Pinto, Julia Esther Rios; Olguin, Patricio; Nunez, Juan Cristobal; Vinuela, Angel; Espinal-Martinez, Alan O.; Mori, Nicanor; Mejia-Rojas, Koni; Medina-Colque, Angel; Rosso, Ana Lucia Zuma; Vilaca, Celmir; Ochoa-Valle, Edward; Cornejo-Herrera, Ivan; Reyes-Perez, Paula; Lazaro-Figueroa, Alejandra; Alves, Anna Leticia de Moraes; Cury, Rubens Gisbert; Fernandez, Hubert H.; Mata, Ignacio; Latin Amer Res consortium Genetics Parkinsons Dis LARGE-PD</t>
  </si>
  <si>
    <t>Differences and contributors to global cognitive performance in the underrepresented Latinx Parkinson's disease population</t>
  </si>
  <si>
    <t>CLINICAL NEUROPSYCHOLOGIST</t>
  </si>
  <si>
    <t>Objective: Despite significant progress in understanding the factors influencing cognitive function in Parkinson's disease (PD), there is a notable gap in data representation for the Latinx population. This study aims to evaluate the contributors to and disparities in cognitive performance among Latinx patients with PD. Methods: A retrospective analysis was conducted based on cross-sectional data encompassing demographic, environmental, motor, and non-motor disease characteristics from the Latin American Research Consortium on the Genetics of PD (LARGE-PD) and the Parkinson's Progression Markers Initiative (PPMI) cohorts. Linear regression multivariable models were applied to identify variables affecting Montreal Cognitive Assessment (MoCA) scores, accounting for age, sex, and years of education. Results: The analysis comprised of 3,054 PD patients (2,041 from LARGE-PD and 1,013 from PPMI) and 1,303 Latinx-controls. Latinx-PD patients (mean age 63.0 +/- 11.8, 56.8% male) exhibited a significantly lower average MoCA score (p &lt; .001) compared to white Non-Hispanic PD patients from PPMI (mean age 67.5 +/- 9.9, 61.7% male). This difference persisted when comparing the Latinx-PD to the Latinx-controls (mean age 58.7 +/- 9.3, 33.2% male; p &lt; .001). Factors significantly associated with better MoCA scores in Latinx-PD included unilateral symptom onset (p = .009), and higher educational attainment (p &lt; .001). Conversely, those associated with worse scores included the use of dopamine agonists (p = .01), previous tobacco use (p = .01), older age (p &lt; .001), and a higher Hoehn and Yahr scale score (p &lt; .001). Conclusions: Latinx-PD patients demonstrated significantly lower cognitive scores compared to their white non-Hispanic PD counterparts and Latinx-controls. These results highlight the importance of interpreting MoCA scores in a nuanced manner within diverse populations.</t>
  </si>
  <si>
    <t>Rios Pinto, Julia/JWP-3425-2024; Olguin, Patricio/H-3270-2014; Alves, Anna/KPA-1465-2024; Mori, Nicanor/HLG-2613-2023; Hernández Medrano, Ana Jimena/KBQ-6277-2024; Tumas, Vitor/C-9949-2014; Neto, Pedro/O-3396-2017; Cornejo-Olivas, Mario/F-9744-2017; Illanes-Manrique, Maryenela/AAI-1975-2019; Schuh, Artur/J-2023-2014; Cury, Rubens/J-7210-2015; Cervantes-Arriaga, Amin/I-9415-2018; Illanes-Manrique, Maryenela/HGD-1366-2022</t>
  </si>
  <si>
    <t>Mori, Nicanor/0000-0002-2270-1663; Illanes-Manrique, Maryenela/0000-0002-3098-0981; Vilaca, Celmir/0000-0002-2631-8303; Sperling, Scott/0000-0001-7454-0534</t>
  </si>
  <si>
    <t>1385-4046</t>
  </si>
  <si>
    <t>1744-4144</t>
  </si>
  <si>
    <t>2025 JAN 6</t>
  </si>
  <si>
    <t>10.1080/13854046.2025.2450020</t>
  </si>
  <si>
    <t>WOS:001399995700001</t>
  </si>
  <si>
    <t>Bromwich, DH; Werner, K; Casati, B; Powers, JG; Gorodetskaya, IV; Massonnet, F; Vitale, V; Heinrich, VJ; Liggett, D; Arndt, S; Barja, B; Bazile, E; Carpentier, S; Carrasco, JF; Choi, T; Choi, Y; Colwell, SR; Cordero, RR; Gervasi, M; Haiden, T; Hirasawa, N; Inoue, J; Jung, T; Kalesse, H; Kim, SJ; Lazzara, MA; Manning, KW; Norris, K; Park, SJ; Reid, P; Rigor, I; Rowe, PM; Schmithüsen, H; Seifert, P; Sun, QZ; Uttal, T; Zannoni, M; Zou, X</t>
  </si>
  <si>
    <t>Bromwich, David H.; Werner, Kirstin; Casati, Barbara; Powers, Jordan G.; Gorodetskaya, Irina, V; Massonnet, Francois; Vitale, Vito; Heinrich, Victoria J.; Liggett, Daniela; Arndt, Stefanie; Barja, Boris; Bazile, Eric; Carpentier, Scott; Carrasco, Jorge F.; Choi, Taejin; Choi, Yonghan; Colwell, Steven R.; Cordero, Raul R.; Gervasi, Massimo; Haiden, Thomas; Hirasawa, Naohiko; Inoue, Jun; Jung, Thomas; Kalesse, Heike; Kim, Seong-Joong; Lazzara, Matthew A.; Manning, Kevin W.; Norris, Kimberley; Park, Sang-Jong; Reid, Phillip; Rigor, Ignatius; Rowe, Penny M.; Schmithusen, Holger; Seifert, Patric; Sun, Qizhen; Uttal, Taneil; Zannoni, Mario; Zou, Xun</t>
  </si>
  <si>
    <t>The Year of Polar Prediction in the Southern Hemisphere (YOPP-SH)</t>
  </si>
  <si>
    <t>The Year of Polar Prediction in the Southern Hemisphere (YOPP-SH) had a special observing period (SOP) that ran from 16 November 2018 to 15 February 2019, a period chosen to span the austral warm season months of greatest operational activity in the Antarctic. Some 2,200 additional radiosondes were launched during the 3-month SOP, roughly doubling the routine program, and the network of drifting buoys in the Southern Ocean was enhanced. An evaluation of global model forecasts during the SOP and using its data has confirmed that extratropical Southern Hemisphere forecast skill lags behind that in the Northern Hemisphere with the contrast being greatest between the southern and northern polar regions. Reflecting the application of the SOP data, early results from observing system experiments show that the additional radiosondes yield the greatest forecast improvement for deep cyclones near the Antarctic coast. The SOP data have been applied to provide insights on an atmospheric river event during the YOPP-SH SOP that presented a challenging forecast and that impacted southern South America and the Antarctic Peninsula. YOPP-SH data have also been applied in determinations that seasonal predictions by coupled atmosphere-ocean-sea ice models struggle to capture the spatial and temporal characteristics of the Antarctic sea ice minimum. Education, outreach, and communication activities have supported the YOPP-SH SOP efforts. Based on the success of this Antarctic summer YOPP-SH SOP, a winter YOPP-SH SOP is being organized to support explorations of Antarctic atmospheric predictability in the austral cold season when the southern sea ice cover is rapidly expanding.</t>
  </si>
  <si>
    <t>Sun, Qizhen/JCE-6070-2023; Park, Sang-Jong/B-7049-2011; Heinrich, Victoria/AAW-6041-2020; Norris, Kimberley/J-7260-2014; Barja, Boris/F-5354-2012; Cordero, Raul/M-7979-2017; Marino, Massimo/H-3616-2013; Jung, Thomas/J-5239-2012; Kalesse-Los, Heike/N-7166-2019; Werner, Kirstin/AAG-7386-2020; vitale, vito/AAW-8441-2021; zou, xun/ITT-0838-2023; Arndt, Stefanie/AAA-6178-2021; Inoue, Jun/ABE-2305-2021; Schmithüsen, Holger/ABD-4267-2021; Bromwich, David/C-9225-2016; Gorodetskaya, Irina/K-1987-2015; zou, xun/I-2438-2015; Seifert, Patric/D-2448-2014; Zannoni, Mario/H-6391-2017; Carrasco, Jorge/K-2949-2014</t>
  </si>
  <si>
    <t>Heinrich, Victoria/0000-0003-3085-3787; Cordero, Raul R./0000-0001-7607-7993; Kalesse-Los, Heike/0000-0001-6699-7040; Jung, Thomas/0000-0002-2651-1293; Gorodetskaya, Irina/0000-0002-2294-7823; zou, xun/0000-0003-1620-3198; Inoue, Jun/0000-0001-7738-6480; Seifert, Patric/0000-0002-5626-3761; Lazzara, Matthew/0000-0002-4343-498X; Zannoni, Mario/0000-0002-4495-571X; Rowe, Penny/0000-0002-7594-0553; Carrasco, Jorge/0000-0003-2154-5483; vitale, vito/0000-0003-0978-8976</t>
  </si>
  <si>
    <t>E1653</t>
  </si>
  <si>
    <t>E1676</t>
  </si>
  <si>
    <t>10.1175/BAMS-D-19-0255.1</t>
  </si>
  <si>
    <t>WOS:000588395600006</t>
  </si>
  <si>
    <t>Legaz, A; Altschuler, F; Gonzalez-Gomez, R; Hernández, H; Baez, S; Migeot, J; Fittipaldi, S; Medel, V; Maito, MA; Godoy, ME; Moguilner, S; Cruzat, J; Coronel-Oliveros, C; Tagliazuchi, E; Garcia, HS; Farina, FR; Reyes, P; Javandel, S; García, AM; Deleglise, A; Matallana, DL; Avila-Funes, JA; Slachevsky, A; Behrens, MI; Custodio, N; Trujillo-Llano, C; Cardona, JF; Barttfeld, P; Brusco, IL; Bruno, MA; Ortiz, ALS; Pina-Escudero, SD; Takada, LT; Resende, EDF; Possin, KL; de Oliveira, MO; Hu, K; Lopera, F; Lawlor, B; Valcour, V; Yokoyama, JS; Miller, B; Ibañez, A</t>
  </si>
  <si>
    <t>Legaz, Agustina; Altschuler, Florencia; Gonzalez-Gomez, Raul; Hernandez, Hernan; Baez, Sandra; Migeot, Joaquin; Fittipaldi, Sol; Medel, Vicente; Maito, Marcelo Adrian; Godoy, Maria E.; Moguilner, Sebastian; Cruzat, Josephine; Coronel-Oliveros, Carlos; Tagliazuchi, Enzo; Garcia, Hernando Santamaria; Farina, Francesca R.; Reyes, Pablo; Javandel, Shireen; Garcia, Adolfo M.; Deleglise, Alvaro; Matallana, Diana L.; Avila-Funes, Jose Alberto; Slachevsky, Andrea; Behrens, Maria I.; Custodio, Nilton; Trujillo-Llano, Catalina; Cardona, Juan F.; Barttfeld, Pablo; Brusco, Ignacio L.; Bruno, Martin A.; Sosa Ortiz, Ana L.; Pina-Escudero, Stefanie D.; Takada, Leonel T.; Franca Resende, Elisa de Paula; Possin, Katherine L.; Okada de Oliveira, Maira; Hu, Kun; Lopera, Francisco; Lawlor, Brian; Valcour, Victor; Yokoyama, Jennifer S.; Miller, Bruce; Ibanez, Agustin</t>
  </si>
  <si>
    <t>Structural inequality linked to brain volume and network dynamics in aging and dementia across the Americas</t>
  </si>
  <si>
    <t>NATURE AGING</t>
  </si>
  <si>
    <t>Structural inequality, the uneven distribution of resources and opportunities, influences health outcomes. However, the biological embedding of structural inequality in aging and dementia, especially among underrepresented populations, is unclear. We examined the association between structural inequality (country-level and state-level Gini indices) and brain volume and connectivity in 2,135 healthy controls, and individuals with Alzheimer's disease and frontotemporal lobe degeneration from Latin America and the United States. Greater structural inequality was linked to reduced brain volume and connectivity, with stronger effects in Latin America, especially in the temporo-cerebellar, fronto-thalamic and hippocampal regions. In the United States, milder effects were observed in the insular-cingular and temporal areas. Results were more pronounced in Alzheimer's disease and were independent of age, sex, education, cognition and other confounding factors. The findings highlight the critical role of structural inequality in aging and dementia, emphasizing the biological embedding of macrosocial factors and the need for targeted interventions in underserved populations.</t>
  </si>
  <si>
    <t>Ortiz, Ana/AAU-9376-2021; Custodio, Nilton/W-6035-2019; Hernandez, Hernan/JDV-5631-2023; Takada, Leonel/AFW-1009-2022; Baez, Sandra/ABC-7150-2020; Behrens, Maria/I-1083-2013; Trujillo-Llano, Catalina/IAQ-4026-2023; Gonzalez-Gomez, Raul/AFF-4412-2022; Cruzat, Josephine/AAX-4082-2020; Cardona, Juan/O-9436-2015; AVILA-FUNES, José/T-4210-2019; Reyes, Pablo/AFI-9110-2022; de Oliveira, Maira/P-1671-2019; García, Adolfo/E-7150-2017; Ibanez, Agustin/H-7976-2015; Medel, Vicente/AAQ-5107-2021</t>
  </si>
  <si>
    <t>Custodio, Nilton/0000-0002-8025-3272; Fittipaldi, Sol/0000-0001-7704-3349; Altschuler, Florencia/0000-0001-6362-963X; Deleglise, Alvaro/0000-0002-4299-1434; Ibanez, Agustin/0000-0001-6758-5101; Barttfeld, Pablo/0000-0001-8530-6938; Medel, Vicente/0000-0003-2443-8683; Gonzalez-Gomez, Raul/0000-0003-2341-011X</t>
  </si>
  <si>
    <t>2662-8465</t>
  </si>
  <si>
    <t>10.1038/s43587-024-00781-2</t>
  </si>
  <si>
    <t>WOS:001405449900001</t>
  </si>
  <si>
    <t>Yeung, AWK; Tzvetkov, NT; El-Demerdash, A; Horbanczuk, OK; Das, N; Pirgozliev, V; Lucarini, M; Durazzo, A; Souto, EB; Santini, A; Devkota, HP; Uddin, MS; Echeverría, J; Wan, DD; Gan, RY; Brncic, M; Kalfin, RE; Tancheva, LP; Tewari, D; Berindan-Neagoe, I; Sampino, S; Strzalkowska, N; Marchewka, J; Józwik, A; Horbanczuk, JO; Atanasov, AG</t>
  </si>
  <si>
    <t>Yeung, Andy Wai Kan; Tzvetkov, Nikolay T.; El-Demerdash, Amr; Horbanczuk, Olaf K.; Das, Niranjan; Pirgozliev, Vasil; Lucarini, Massimo; Durazzo, Alessandra; Souto, Eliana B.; Santini, Antonello; Devkota, Hari Prasad; Uddin, Md Sahab; Echeverria, Javier; Wan, Dongdong; Gan, Ren-You; Brncic, Mladen; Kalfin, Reni E.; Tancheva, Lyubka P.; Tewari, Devesh; Berindan-Neagoe, Ioana; Sampino, Silvestre; Strzalkowska, Nina; Marchewka, Joanna; Jozwik, Artur; Horbanczuk, Jaroslaw Olav; Atanasov, Atanas G.</t>
  </si>
  <si>
    <t>Apple polyphenols in human and animal health</t>
  </si>
  <si>
    <t>Apples contain substantial amounts of polyphenols, and diverse phenolics - mainly flavonoids and phenolic acids, have been identified in their flesh and skins. This work aimed to analyze the overall landscape of the research literature published to date on apple phenolic compounds in the context of human and animal health. The Web of Science Core Collection electronic database was queried with (apple* polyphenol*) AND (health* OR illness* OR disease* OR medic* OR pharma*) to identify relevant papers covering these words and their derivatives in the titles, abstracts, and keywords. The resulted 890 papers were bibliometrically analyzed. The VOSviewer software was utilized to produce term maps that illustrate how the frequent phrases fared in terms of publication and citation data. The apple polyphenol papers received global contributions, particularly from China, Italy, the United States, Spain, and Germany. Examples of frequently mentioned chemicals/chemical classes are quercetin, anthocyanin, catechin, epicatechin, and flavonol, while examples of frequently mentioned medical conditions are cardiovascular disease, atherosclerosis, diabetes, Alzheimer's disease, and obesity. The potential health benefits of apple polyphenols on humans and animals are diverse and warrant further study.</t>
  </si>
  <si>
    <t>Lucarini, Massimo/AAL-9254-2020; Souto, Eliana B./T-1645-2019; Brncic, Mladen/AAS-6834-2021; Kalfin, Reni/JTS-8689-2023; Devkota, Hari/H-9939-2019; Tewari, Devesh/P-9954-2019; Horbanczuk, Jaroslaw/ABD-8389-2021; Echeverría, Javier/AAK-3323-2020; Gan, Renyou/C-9868-2009; Santini, Antonello/J-4923-2019; Berindan-Neagoe, Ioana/AAH-9854-2019; Durazzo, Alessandra/AAN-4182-2020; Sampino, Silvestre/K-5033-2012; Yeung, Andy/M-4332-2019; Atanasov, Atanas/C-5535-2013; El-Demerdash, Amr/AAL-1613-2020; Jozwik, Artur/HJY-6775-2023</t>
  </si>
  <si>
    <t>Gan, Ren-You/0000-0002-4162-1511; Atanasov, Atanas/0000-0003-2545-0967; Souto, Eliana B./0000-0002-9737-6017; El-Demerdash, Amr/0000-0001-6459-2955; Echeverria, Javier/0000-0002-1688-968X; Jozwik, Artur/0000-0001-5546-9891</t>
  </si>
  <si>
    <t>WOS:000662235600001</t>
  </si>
  <si>
    <t>Gorodetskaya, IV; Durán-Alarcón, C; González-Herrero, S; Clem, KR; Zou, X; Rowe, P; Imazio, PR; Campos, D; Santos, CLD; Dutrievoz, N; Wille, JD; Chyhareva, A; Favier, V; Blanchet, J; Pohl, B; Cordero, RR; Park, SJ; Colwell, S; Lazzara, MA; Carrasco, J; Gulisano, AM; Krakovska, S; Ralph, FM; Dethinne, T; Picard, G</t>
  </si>
  <si>
    <t>Gorodetskaya, Irina V.; Duran-Alarcon, Claudio; Gonzalez-Herrero, Sergi; Clem, Kyle R.; Zou, Xun; Rowe, Penny; Imazio, Paola Rodriguez; Campos, Diego; Leroy-Dos Santos, Christophe; Dutrievoz, Niels; Wille, Jonathan D.; Chyhareva, Anastasiia; Favier, Vincent; Blanchet, Juliette; Pohl, Benjamin; Cordero, Raul R.; Park, Sang-Jong; Colwell, Steve; Lazzara, Matthew A.; Carrasco, Jorge; Gulisano, Adriana Maria; Krakovska, Svitlana; Ralph, F. Martin; Dethinne, Thomas; Picard, Ghislain</t>
  </si>
  <si>
    <t>Record-high Antarctic Peninsula temperatures and surface melt in February 2022: a compound event with an intense atmospheric river</t>
  </si>
  <si>
    <t>NPJ CLIMATE AND ATMOSPHERIC SCIENCE</t>
  </si>
  <si>
    <t>The Antarctic Peninsula (AP) experienced a new extreme warm event and record-high surface melt in February 2022, rivaling the recent temperature records from 2015 and 2020, and contributing to the alarming series of extreme warm events over this region showing stronger warming compared to the rest of Antarctica. Here, the drivers and impacts of the event are analyzed in detail using a range of observational and modeling data. The northern/northwestern AP was directly impacted by an intense atmospheric river (AR) attaining category 3 on the AR scale, which brought anomalous heat and rainfall, while the AR-enhanced foehn effect further warmed its northeastern side. The event was triggered by multiple large-scale atmospheric circulation patterns linking the AR formation to tropical convection anomalies and stationary Rossby waves, with an anomalous Amundsen Sea Low and a record-breaking high-pressure system east of the AP. This multivariate and spatial compound event culminated in widespread and intense surface melt across the AP. Circulation analog analysis shows that global warming played a role in the amplification and increased probability of the event. Increasing frequency of such events can undermine the stability of the AP ice shelves, with multiple local to global impacts, including acceleration of the AP ice mass loss and changes in sensitive ecosystems.</t>
  </si>
  <si>
    <t>Cordero, Raul/M-7979-2017; Picard, Ghislain/D-4246-2013; Favier, Vincent/T-1936-2017; Durán-Alarcón, Claudio/AAU-3888-2020; Clem, Kyle/AAG-6626-2021; Wille, Jonathan/KFQ-5871-2024; imazio, paola/GQY-8031-2022; zou, xun/ITT-0838-2023; Leroy-Dos Santos, Christophe/AAM-6087-2021; Krakovska, Svitlana/IUQ-6553-2023; Park, Sang-Jong/B-7049-2011; Gulisano, Adriana/AAD-9554-2021; zou, xun/I-2438-2015; Carrasco, Jorge/K-2949-2014; Gorodetskaya, Irina/K-1987-2015; Gonzalez Herrero, Sergi/Y-7279-2018; Pohl, Benjamin/L-7696-2017</t>
  </si>
  <si>
    <t>zou, xun/0000-0003-1620-3198; Chyhareva, Anastasiia/0000-0003-0195-751X; Gulisano, Adriana Maria/0000-0002-2234-4432; Campos Diaz, Diego A./0000-0001-9351-7014; Rowe, Penny/0000-0002-7594-0553; Carrasco, Jorge/0000-0003-2154-5483; Dutrievoz, Niels/0000-0002-8133-5616; Gorodetskaya, Irina/0000-0002-2294-7823; Duran-Alarcon, Claudio/0000-0001-9559-8161; Clem, Kyle/0000-0002-1419-2758; Gonzalez Herrero, Sergi/0000-0002-2505-2435; Leroy-Dos Santos, Christophe/0000-0002-0051-7507; Favier, Vincent/0000-0001-6024-9498; Pohl, Benjamin/0000-0002-9339-797X</t>
  </si>
  <si>
    <t>2397-3722</t>
  </si>
  <si>
    <t>DEC 4</t>
  </si>
  <si>
    <t>10.1038/s41612-023-00529-6</t>
  </si>
  <si>
    <t>WOS:001112455800001</t>
  </si>
  <si>
    <t>Mukherjee, A; Coomar, P; Sarkar, S; Johannesson, KH; Fryar, AE; Schreiber, ME; Ahmed, KM; Alam, MA; Bhattacharya, P; Bundschuh, J; Burgess, W; Chakraborty, M; Coyte, R; Farooqi, A; Guo, HM; Ijumulana, J; Jeelani, G; Mondal, D; Nordstrom, DK; Podgorski, J; Polya, DA; Scanlon, BR; Shamsudduha, M; Tapia, J; Vengosh, A</t>
  </si>
  <si>
    <t>Mukherjee, Abhijit; Coomar, Poulomee; Sarkar, Soumyajit; Johannesson, Karen H.; Fryar, Alan E.; Schreiber, Madeline E.; Ahmed, Kazi Matin; Alam, Mohammad Ayaz; Bhattacharya, Prosun; Bundschuh, Jochen; Burgess, William; Chakraborty, Madhumita; Coyte, Rachel; Farooqi, Abida; Guo, Huaming; Ijumulana, Julian; Jeelani, Gh; Mondal, Debapriya; Nordstrom, D. Kirk; Podgorski, Joel; Polya, David A.; Scanlon, Bridget R.; Shamsudduha, Mohammad; Tapia, Joseline; Vengosh, Avner</t>
  </si>
  <si>
    <t>Arsenic and other geogenic contaminants in global groundwater</t>
  </si>
  <si>
    <t>NATURE REVIEWS EARTH &amp; ENVIRONMENT</t>
  </si>
  <si>
    <t>Geogenic groundwater contaminants (GGCs) affect drinking-water availability and safety, with up to 60% of groundwater sources in some regions contaminated by more than recommended concentrations. As a result, an estimated 300-500 million people are at risk of severe health impacts and premature mortality. In this Review, we discuss the sources, occurrences and cycling of arsenic, fluoride, selenium and uranium, which are GGCs with widespread distribution and/or high toxicity. The global distribution of GGCs is controlled by basin geology and tectonics, with GGC enrichment in both orogenic systems and cratonic basement rocks. This regional distribution is broadly influenced by climate, geomorphology and hydrogeochemical evolution along groundwater flow paths. GGC distribution is locally heterogeneous and affected by in situ lithology, groundwater flow and water-rock interactions. Local biogeochemical cycling also determines GGC concentrations, as arsenic, selenium and uranium mobilizations are strongly redox-dependent. Increasing groundwater extraction and land-use changes are likely to modify GGC distribution and extent, potentially exacerbating human exposure to GGCs, but the net impact of these activities is unknown. Integration of science, policy, community involvement programmes and technological interventions is needed to manage GGC-enriched groundwater and ensure equitable access to clean water. The use of groundwater with high levels of geogenic contaminants, such as arsenic, has caused severe health impacts and mortality in communities globally. This Review examines the drivers and occurrence of groundwater contamination by naturally occurring arsenic, fluoride, selenium and uranium.</t>
  </si>
  <si>
    <t>Mondal, Debapriya/I-6540-2019; Shamsudduha, Mohammad/AAG-2342-2019; Vengosh, Avner/AAE-7173-2019; Coomar, Poulomee/LKL-8565-2024; Jeelani, Gh/KII-0203-2024; Mukherjee, Abhijit/LUY-0411-2024; Scanlon, Bridget/A-3105-2009; Fryar, Alan/AGD-5185-2022; Schreiber, Madeline/A-5356-2009; Johannesson, K/G-9187-2012; Ijumulana, Julian/AAV-5412-2020; Tapia, Joseline/AAH-4000-2019; Alam, Mohammad Ayaz/B-7511-2009; Sarkar, Soumyajit/AGX-8385-2022</t>
  </si>
  <si>
    <t>Coomar, Poulomee/0009-0002-7885-5271; Tapia, Joseline/0000-0002-1516-2622; Alam, Mohammad Ayaz/0000-0002-3189-8744; Bundschuh, Jochen/0000-0002-4900-5633; Mondal, Debapriya/0000-0002-5144-626X; Sarkar, Soumyajit/0000-0001-8270-2337; Vengosh, Avner/0000-0001-8928-0157; Ahmed, Kazi Matin/0000-0001-5188-4385; Mukherjee, Abhijit/0000-0002-0555-0875</t>
  </si>
  <si>
    <t>2662-138X</t>
  </si>
  <si>
    <t>10.1038/s43017-024-00519-z</t>
  </si>
  <si>
    <t>WOS:001183674700001</t>
  </si>
  <si>
    <t>Lien, S; Koop, BF; Sandve, SR; Miller, JR; Kent, MP; Nome, T; Hvidsten, TR; Leong, JS; Minkley, DR; Zimin, A; Grammes, F; Grove, H; Gjuvsland, A; Walenz, B; Hermansen, RA; von Schalburg, K; Rondeau, EB; Di Genova, A; Samy, JKA; Vik, JO; Vigeland, MD; Caler, L; Grimholt, U; Jentoft, S; Våge, DI; de Jong, P; Moen, T; Baranski, M; Palti, Y; Smith, DR; Yorke, JA; Nederbragt, AJ; Tooming-Klunderud, A; Jakobsen, KS; Jiang, XT; Fan, DD; Liberles, DA; Vidal, R; Iturra, P; Jones, SJM; Jonassen, I; Maass, A; Omholt, SW; Davidson, WS</t>
  </si>
  <si>
    <t>Lien, Sigbjorn; Koop, Ben F.; Sandve, Simen R.; Miller, Jason R.; Kent, Matthew P.; Nome, Torfinn; Hvidsten, Torgeir R.; Leong, Jong S.; Minkley, David R.; Zimin, Aleksey; Grammes, Fabian; Grove, Harald; Gjuvsland, Arne; Walenz, Brian; Hermansen, Russell A.; von Schalburg, Kris; Rondeau, Eric B.; Di Genova, Alex; Samy, Jeevan K. A.; Vik, Jon Olav; Vigeland, Magnus D.; Caler, Lis; Grimholt, Unni; Jentoft, Sissel; Vage, Dag Inge; de Jong, Pieter; Moen, Thomas; Baranski, Matthew; Palti, Yniv; Smith, Douglas R.; Yorke, James A.; Nederbragt, Alexander J.; Tooming-Klunderud, Ave; Jakobsen, Kjetill S.; Jiang, Xuanting; Fan, Dingding; Liberles, David A.; Vidal, Rodrigo; Iturra, Patricia; Jones, Steven J. M.; Jonassen, Inge; Maass, Alejandro; Omholt, Stig W.; Davidson, William S.</t>
  </si>
  <si>
    <t>The Atlantic salmon genome provides insights into rediploidization</t>
  </si>
  <si>
    <t>NATURE</t>
  </si>
  <si>
    <t>The whole-genome duplication 80 million years ago of the common ancestor of salmonids (salmonid-specific fourth vertebrate whole-genome duplication, Ss4R) provides unique opportunities to learn about the evolutionary fate of a duplicated vertebrate genome in 70 extant lineages. Here we present a high-quality genome assembly for Atlantic salmon (Salmo salar), and show that large genomic reorganizations, coinciding with bursts of transposon-mediated repeat expansions, were crucial for the post-Ss4R rediploidization process. Comparisons of duplicate gene expression patterns across a wide range of tissues with orthologous genes from a pre-Ss4R outgroup unexpectedly demonstrate far more instances of neofunctionalization than subfunctionalization. Surprisingly, we find that genes that were retained as duplicates after the teleost-specific whole-genome duplication 320 million years ago were not more likely to be retained after the Ss4R, and that the duplicate retention was not influenced to a great extent by the nature of the predicted protein interactions of the gene products. Finally, we demonstrate that the Atlantic salmon assembly can serve as a reference sequence for the study of other salmonids for a range of purposes.</t>
  </si>
  <si>
    <t>Davidson, Willie/M-1992-2019; Samy, Jeevan/S-1060-2019; Jakobsen, Kjetill Sigurd/HJP-1221-2023; Jonassen, Inge/AAC-7035-2020; Våge, Dag/AAD-5178-2020; Jones, Steven/C-3621-2009; Jiang, Xuanting/JGC-6863-2023; Baranski, Matthew/I-7839-2018; Hvidsten, Torgeir R/A-3409-2009; Maass, Alejandro/D-5848-2012; Nome, Torfinn/E-5475-2015; Vik, Jon Olav/B-9350-2008; Koop, Ben/A-8151-2008</t>
  </si>
  <si>
    <t>Dingding, Fan/0000-0002-8201-3846; Nederbragt, Lex/0000-0001-5539-0999; Baranski, Matthew/0000-0002-9138-071X; Leong, Jong/0000-0001-6521-9239; Jones, Steven/0000-0003-3394-2208; Miller, Jason Rafe/0000-0002-6912-2925; Hvidsten, Torgeir R/0000-0001-6097-2539; Maass, Alejandro/0000-0002-7038-4527; Grammes, Fabian/0000-0002-9551-9280; Di Genova, Alex/0000-0002-3120-9283; Jentoft, Sissel/0000-0001-8707-531X; Gjuvsland, Arne/0000-0002-4391-3411; Nome, Torfinn/0000-0003-1659-132X; Vage, Dag Inge/0000-0003-2568-1554; Vik, Jon Olav/0000-0002-7778-4515; Jonassen, Inge/0000-0003-4110-0748; Koop, Ben/0000-0003-0045-5200; Vigeland, Magnus Dehli/0000-0002-9134-4962; Grimholt, Unni/0000-0002-0202-8061</t>
  </si>
  <si>
    <t>0028-0836</t>
  </si>
  <si>
    <t>1476-4687</t>
  </si>
  <si>
    <t>10.1038/nature17164</t>
  </si>
  <si>
    <t>WOS:000376007200040</t>
  </si>
  <si>
    <t>Yeung, AWK; Choudhary, N; Tewari, D; El-Demerdash, A; Tomczyk, M; Das, N; Pirgozliev, V; Lucarini, M; Durazzo, A; Souto, EB; Santini, A; Devkota, HP; Uddin, MS; Echeverria, J; Wang, DD; Gan, RY; Brncic, M; Kitlfin, RE; De, R; Cenanovic, M; Sai, CS; Kapoor, B; Kirilov, K; Tzvetkov, NT; Belakova, B; Uhrin, P; Józwik, A; Horbanczuk, OK; Strzalkowska, N; Koszarska, M; Charuta, A; Horbanczuk, JO; Atanasov, AG</t>
  </si>
  <si>
    <t>Yeung, Andy Wai Kan; Choudhary, Neeraj; Tewari, Devesh; El-Demerdash, Amr; Tomczyk, Michal; Das, Niranjan; Pirgozliev, Vasil; Lucarini, Massimo; Durazzo, Alessandra; Souto, Eliana B.; Santini, Antonello; Devkota, Hari Prasad; Uddin, Md Sahab; Echeverria, Javier; Wang, Dongdong; Gan, Ren-You; Brncic, Mladen; Kitlfin, Reni E.; De, Ronita; Cenanovic, Merisa; Sai, Chandragiri Siva; Kapoor, Bhupinder; Kirilov, Kiril; Tzvetkov, Nikolay T.; Belakova, Barbora; Uhrin, Pavel; Jozwik, Artur; Horbanczuk, Olaf K.; Strzalkowska, Nina; Koszarska, Magdalena; Charuta, Anna; Horbanczuk, Jaroslaw Olav; Atanasov, Atanas G.</t>
  </si>
  <si>
    <t>Lycopene: total-scale literature landscape analysis of a Valuable nutraceutical with numerous potential applications in the promotion of human and animal health</t>
  </si>
  <si>
    <t>Lycopene intake from tomatoes and other food sources has multiple potential health benefits. This report aimed to evaluate the current research literature on lycopene concerning human and animal health. The electronic Web of Science Core Collection database was searched with (lycopene*)AND (health* OR illness* OR disease* OR medic* OR pharm a* OR drug* OR therap*). The resulted 3972 papers were analyzed with the aid of bibliometric software. Besides the United States, the lycopene papers received global contributions, particularly from China, Italy, India, and Spain. Examples of frequently mentioned chemicals/chemical classes were carotenoid, beta carotene, alpha carotene, beta cryptoxanthin, and alpha tocopherol. Examples of frequently mentioned medical conditions were prostate cancer, cardiovascular disease, and obesity. Published scientific articles reveal the diverse potential of lycopene in prompting human and animal health, and the knowledge on the bioactivities of this photochemical is expected to further grow in the future.</t>
  </si>
  <si>
    <t>Souto, Eliana B./T-1645-2019; Horbanczuk, Jaroslaw/ABD-8389-2021; Tomczyk, Michał/G-2161-2016; Devkota, Hari/H-9939-2019; Tewari, Devesh/P-9954-2019; Brncic, Mladen/AAS-6834-2021; DE, RONITA/HDM-7066-2022; Kirilov, Kiril/LMO-0264-2024; Echeverría, Javier/E-9989-2011; Kapoor, Bhupinder/T-2156-2019; Santini, Antonello/J-4923-2019; Yeung, Andy/M-4332-2019; Durazzo, Alessandra/AAN-4182-2020; Gan, Renyou/C-9868-2009; Lucarini, Massimo/AAL-9254-2020; Chandragiri, Siva Sai/AEZ-3622-2022; Choudhary, Neeraj/KFR-4986-2024; CHARUTA, ANNA/AEK-6569-2022; El-Demerdash, Amr/AAL-1613-2020; Atanasov, Atanas/C-5535-2013; Jozwik, Artur/HJY-6775-2023</t>
  </si>
  <si>
    <t>Kirilov, Kiril/0000-0002-7213-7490; El-Demerdash, Amr/0000-0001-6459-2955; CHARUTA, ANNA/0000-0001-9778-9391; Koszarska, Magdalena/0000-0002-0442-6127; De, Ronita/0000-0002-1469-6139; Atanasov, Atanas/0000-0003-2545-0967; Choudhary, Dr. Neeraj/0000-0003-2626-383X; Tomczyk, Michal/0000-0002-4063-1048; Gan, Ren-You/0000-0002-4162-1511; Souto, Eliana B./0000-0002-9737-6017; Jozwik, Artur/0000-0001-5546-9891; Echeverria, Javier/0000-0002-1688-968X</t>
  </si>
  <si>
    <t>WOS:000815808900001</t>
  </si>
  <si>
    <t>Yeung, AWK; Ksepka, N; Matin, M; Wang, DD; Souto, EB; Stoyanov, J; Echeverría, J; Tewari, D; Horbanczuk, JO; Lucarini, M; Durazzo, A; Marchewka, J; Pirgozliev, V; Gan, RY; Tzvetkov, NT; Wysocki, K; Matin, FB; Litvinova, O; Bishayee, A; Devkota, HP; El-Demerdash, A; Brncic, M; Santini, A; Horbanczuk, OK; Mickael, ME; Lawinski, M; Das, N; Siddiquea, BN; Hrg, D; Atanasov, AG</t>
  </si>
  <si>
    <t>Yeung, Andy Wai Kan; Ksepka, Natalia; Matin, Maima; Wang, Dongdong; Souto, Eliana B.; Stoyanov, Jivko; Echeverria, Javier; Tewari, Devesh; Horbanczuk, Jaroslaw Olav; Lucarini, Massimo; Durazzo, Alessandra; Marchewka, Joanna; Pirgozliev, Vasil; Gan, Ren-You; Tzvetkov, Nikolay T.; Wysocki, Kamil; Matin, Farhan Bin; Litvinova, Olena; Bishayee, Anupam; Devkota, Hari Prasad; El-Demerdash, Amr; Brncic, Mladen; Santini, Antonello; Horbanczuk, Olaf. K.; Mickael, Michel-Edwar; Lawinski, Michal; Das, Niranjan; Siddiquea, Bodrun Naher; Hrg, Dalibor; Atanasov, Atanas G.</t>
  </si>
  <si>
    <t>Dietary factors in nonalcoholic fatty liver disease: impacts on human and animal health - a review</t>
  </si>
  <si>
    <t>Non-alcoholic fatty liver disease (NAFLD) is defined as a clinical syndrome characterized by excessive fat accumulation in liver, predominantly influenced by dietary choices. This study provides an extensive quantitative literature analysis on dietary influences on NAFLD. Bibliometric data were collected through the search string TOPIC = (NAFLD* OR nonalcoholic fatty liver* OR non-alcoholic fatty liver*) AND TOPIC = (diet* OR nutrition* OR food* OR feed*), which yielded 12,445 publications indexed within the Web of Science Core Collection. Utilizing VOSviewer software, term maps were generated to visually illustrate recurring phrases alongside citation data. The literature, which has seen exponential growth since the 2010s, predominantly consists of original articles, with a ratio of 4.7:1 compared to reviews. Notably, the significant contributors to this field were China and the United States. The majority of publications were found journals specialized in Gastroenterology &amp; Hepatology, Nutrition &amp; Dietetics, Biochemistry &amp; Molecular Biology, Endocrinology &amp; Metabolism, and Pharmacology &amp; Pharmacy. Key dietary compounds/compounds classes such as resveratrol, polyphenols, curcumin, berberine, quercetin, flavonoids, omega-3 fatty acids, docosahexaenoic acid (DHA), genistein, and palmitic acid were frequently mentioned and cited. Many of them were demonstrated to have some potential benefits on NAFLD, both in human and animal studies.</t>
  </si>
  <si>
    <t>Santini, Antonello/J-4923-2019; Tewari, Devesh/P-9954-2019; Souto, Eliana B./T-1645-2019; Stoyanov, Jivko/G-2710-2013; Echeverría, Javier/E-9989-2011; Yeung, Andy/M-4332-2019; Gan, Renyou/C-9868-2009; Bishayee, Anupam/G-4290-2012; Ksepka, Natalia/KIG-3413-2024; Lawinski, Michal/KEH-8100-2024; Qiu, Sen/V-5718-2018; Devkota, Hari/H-9939-2019; Lucarini, Massimo/AAL-9254-2020; Durazzo, Alessandra/AAN-4182-2020; Brncic, Mladen/AAS-6834-2021; Atanasov, Atanas/C-5535-2013; Litvinova, Olena/E-4728-2019; El-Demerdash, Amr/AAL-1613-2020</t>
  </si>
  <si>
    <t>/0000-0001-6129-7723; Litvinova, Olena/0000-0003-1578-7398; Hrg, Dalibor/0000-0003-3702-632X; Ksepka, Natalia/0009-0003-2324-7911; El-Demerdash, Amr/0000-0001-6459-2955</t>
  </si>
  <si>
    <t>SEP 1</t>
  </si>
  <si>
    <t>10.2478/aspr-2023-0007</t>
  </si>
  <si>
    <t>WOS:001089611500001</t>
  </si>
  <si>
    <t>Morales, E; Strachan, D; Asher, I; Ellwood, P; Pearce, N; Garcia-Marcos, L; Ait-Khaled, N; Anderson, HR; Asher, MI; Beasley, R; Björksten, B; Brunekreef, B; Crane, J; Ellwood, P; García-Marcos, L; Foliaki, S; Keil, U; Lai, CKW; Mallol, J; Robertson, CF; Mitchell, EA; Montefort, S; Odhiambo, J; Pearce, N; Shah, J; Stewart, AW; Strachan, D; von Mutius, E; Weiland, SK; Weinmayr, G; Williams, H; Wong, G; Asher, MI; Clayton, TO; Ellwood, P; Mitchell, EA; Stewart, AW; Amarales, L; Aguilar, P; Cepeda, AM; Aristizábal, G; Riikjärv, MA; Zsigmond, G; Kartasasmita, CB; Masjedi, MR; Odajima, H; Kudzyte, J; Del-Rio-Navarro, BE; Barragán-Meijueiro, M; García-Almaraz, R; Baeza-Bacab, M; González-Díaz, SN; Linares-Zapien, FJ; Asher, MI; Pattemore, P</t>
  </si>
  <si>
    <t>Morales, Eva; Strachan, David; Asher, Innes; Ellwood, Philippa; Pearce, Neil; Garcia-Marcos, Luis; Ait-Khaled, N.; Anderson, H. R.; Asher, M. I.; Beasley, R.; Bjorksten, B.; Brunekreef, B.; Crane, J.; Ellwood, P.; Garcia-Marcos, L.; Foliaki, S.; Keil, U.; Lai, C. K. W.; Mallol, J.; Robertson, C. F.; Mitchell, E. A.; Montefort, S.; Odhiambo, J.; Pearce, N.; Shah, J.; Stewart, A. W.; Strachan, D.; von Mutius, E.; Weiland, S. K.; Weinmayr, G.; Williams, H.; Wong, G.; Asher, M. I.; Clayton, T. O.; Ellwood, P.; Mitchell, E. A.; Stewart, A. W.; Amarales, L.; Aguilar, P.; Cepeda, A. M.; Aristizabal, G.; Riikjarv, M-A; Zsigmond, G.; Kartasasmita, C. B.; Masjedi, M-R; Odajima, H.; Kudzyte, J.; Del-Rio-Navarro, B. E.; Barragan-Meijueiro, M.; Garcia-Almaraz, R.; Baeza-Bacab, M.; Gonzalez-Diaz, S. N.; Linares-Zapien, F. J.; Asher, M. I.; Pattemore, P.</t>
  </si>
  <si>
    <t>ISAAC Phase III Study Grp</t>
  </si>
  <si>
    <t>Combined impact of healthy lifestyle factors on risk of asthma, rhinoconjunctivitis and eczema in school children: ISAAC phase III</t>
  </si>
  <si>
    <t>THORAX</t>
  </si>
  <si>
    <t>Background Asthma is not the key focus of prevention strategies. A Healthy Lifestyle Index (HLI) was developed to examine the combined effect of modifiable lifestyle factors on asthma, rhinoconjunctivitis and eczema using data from the International Study of Asthma and Allergies in Childhood (ISAAC) phase III. Methods Information on symptoms of asthma, rhinoconjunctivitis, eczema and several lifestyle factors was obtained from children aged 6-7 years through written questionnaires. The HLI combined five lifestyle factors: no parental smoking, child's adherence to Mediterranean diet, child's healthy body mass index, high physical activity and non-sedentary behaviour. The association between the HLI and risk of asthma, rhinoconjunctivitis and eczema was evaluated using multilevel mixed-effects logistic regression models. Findings Data of 70 795 children from 37 centres in 19 countries were analysed. Each additional healthy lifestyle factor was associated with a reduced risk of current wheeze (OR 0.87, 95% CI 0.84 to 0.89), asthma ever (OR 0.89, 95% CI 0.87 to 0.92), current symptoms of rhinoconjunctivitis (OR 0.95, 95% CI 0.92 to 0.97) and current symptoms of eczema (OR 0.92, 95% CI 0.92 to 0.98). Theoretically, if associations were causal, a combination of four or five healthy lifestyle factors would result into a reduction up to 16% of asthma cases (ranging from 2.7% to 26.3 % according to region of the world). Conclusions These findings should be interpreted with caution given the limitations to infer causality from cross-sectional observational data. Efficacy of interventions to improve multiple modifiable lifestyle factors to reduce the burden asthma and allergy in childhood should be assessed.</t>
  </si>
  <si>
    <t>Clayton, Tadd/B-7914-2009; brunekreef, bert/ACN-0336-2022; Aristizabal-H, Gustavo/ABD-8912-2020; Ellwood, Philippa/G-7555-2015; Morales, Eva/HHS-0651-2022; Cecchi, Lorenzo/HPF-1970-2023; Asher, Innes/O-2604-2016; Kavousi, Maryam/F-1174-2018; Wong, Gary/AAY-9207-2020; Garcia-Almaraz, Roberto/G-8506-2018</t>
  </si>
  <si>
    <t>Wong, Gary/0000-0001-5939-812X; Pearce, Neil/0000-0002-9938-7852; Garcia-Almaraz, Roberto/0000-0001-5828-1771; Morales, Eva/0000-0003-3145-7022; Amarales, Lidia/0009-0007-0832-7867</t>
  </si>
  <si>
    <t>0040-6376</t>
  </si>
  <si>
    <t>1468-3296</t>
  </si>
  <si>
    <t>10.1136/thoraxjnl-2018-212668</t>
  </si>
  <si>
    <t>WOS:000471125000004</t>
  </si>
  <si>
    <t>Garufi, A; Ginski, C; van Holstein, RG; Benisty, M; Manara, CF; Pérez, S; Pinilla, P; Ribas, A; Weber, P; Williams, J; Cieza, L; Dominik, C; Facchini, S; Huang, J; Zurlo, A; Bae, J; Hagelberg, J; Henning, T; Hogerheijde, MR; Janson, M; Ménard, F; Messina, S; Meyer, MR; Pinte, C; Quanz, SP; Rigliaco, E; Roccatagliata, V; Schmid, HM; Szulágyi, J; van Boekel, R; Wahhaj, Z; Antichi, J; Baruffolo, A; Moulin, T</t>
  </si>
  <si>
    <t>Garufi, A.; Ginski, C.; van Holstein, R. G.; Benisty, M.; Manara, C. F.; Perez, S.; Pinilla, P.; Ribas, A.; Weber, P.; Williams, J.; Cieza, L.; Dominik, C.; Facchini, S.; Huang, J.; Zurlo, A.; Bae, J.; Hagelberg, J.; Henning, Th.; Hogerheijde, M. R.; Janson, M.; Menard, F.; Messina, S.; Meyer, M. R.; Pinte, C.; Quanz, S. P.; Rigliaco, E.; Roccatagliata, V.; Schmid, H. M.; Szulagyi, J.; van Boekel, R.; Wahhaj, Z.; Antichi, J.; Baruffolo, A.; Moulin, T.</t>
  </si>
  <si>
    <t>The SPHERE view of the Taurus star-forming region</t>
  </si>
  <si>
    <t>The sample of planet-forming disks observed by high-contrast imaging campaigns over the last decade is mature enough to enable the demographical analysis of individual star-forming regions. We present the full census of Taurus sources with VLT/SPHERE polarimetric images available. The whole sample sums up to 43 targets (of which 31 have not been previously published) corresponding to one-fifth of the Class II population in Taurus and about half of such objects that are observable. A large fraction of the sample is apparently made up of isolated faint disks (equally divided between small and large self-shadowed disks). Ambient signal is visible in about one-third of the sample. This probes the interaction with the environment and with companions or the outflow activity of the system. The central portion of the Taurus region almost exclusively hosts faint disks, while the periphery also hosts bright disks interacting with their surroundings. The few bright disks are found around apparently older stars. The overall picture is that the Taurus region is in an early evolutionary stage of planet formation. Yet, some objects are discussed individually, as in an intermediate or exceptional stage of the disk evolution. This census provides a first benchmark for the comparison of the disk populations in different star forming regions.</t>
  </si>
  <si>
    <t>Roccatagliata, Veronica/Q-3421-2016; Zurlo, Alice/Q-5011-2019; Pérez, Sebastián/AAS-5857-2020; Weber, Philipp/HLX-1365-2023; Pinte, Christophe/MVW-1517-2025; Hagelberg, Janis/E-8520-2013</t>
  </si>
  <si>
    <t>Perez, Sebastian/0000-0003-2953-755X; Hagelberg, Janis/0000-0002-1096-1433; Roccatagliata, Veronica/0000-0002-4650-594X; Ribas, Alvaro/0000-0003-3133-3580; Garufi, Antonio/0000-0002-4266-0643; Baruffolo, Andrea/0000-0002-1114-4355; Pinilla (she/her), Paola/0000-0001-8764-1780; Dominik, Carsten/0000-0002-3393-2459; van Holstein, Rob G./0000-0003-1520-8405; Facchini, Stefano/0000-0003-4689-2684; Ginski, Christian/0000-0002-4438-1971; Weber, Philipp/0000-0002-3354-6654</t>
  </si>
  <si>
    <t>MAY 3</t>
  </si>
  <si>
    <t>A53</t>
  </si>
  <si>
    <t>10.1051/0004-6361/202347586</t>
  </si>
  <si>
    <t>WOS:001214811800008</t>
  </si>
  <si>
    <t>Garcia, CA; Savilaakso, S; Verburg, RW; Stoudmann, N; Fernbach, P; Sloman, SA; Peterson, GD; Araújo, MB; Bastin, JF; Blaser, J; Boutinot, L; Crowther, TW; Dessard, H; Dray, A; Francisco, S; Ghazoul, J; Feintrenie, L; Hainzelin, E; Kleinschroth, F; Naimi, B; Novotny, IP; Oszwald, J; Pietsch, SA; Quétier, F; Robinson, BE; Sassen, M; Sist, P; Sunderland, T; Vermeulen, C; Wilmé, L; Wilson, SJ; Zorondo-Rodríguez, F; Waeber, PO</t>
  </si>
  <si>
    <t>Garcia, Claude A.; Savilaakso, Sini; Verburg, Rene W.; Stoudmann, Natasha; Fernbach, Philip; Sloman, Steven A.; Peterson, Garry D.; Araujo, Miguel B.; Bastin, Jean-Francois; Blaser, Juergen; Boutinot, Laurence; Crowther, Thomas W.; Dessard, Helene; Dray, Anne; Francisco, Scott; Ghazoul, Jaboury; Feintrenie, Laurene; Hainzelin, Etienne; Kleinschroth, Fritz; Naimi, Babak; Novotny, Ivan P.; Oszwald, Johan; Pietsch, Stephan A.; Quetier, Fabien; Robinson, Brian E.; Sassen, Marieke; Sist, Plinio; Sunderland, Terry; Vermeulen, Cedric; Wilme, Lucienne; Wilson, Sarah J.; Zorondo-Rodriguez, Francisco; Waeber, Patrick O.</t>
  </si>
  <si>
    <t>Strategy games to improve environmental policymaking</t>
  </si>
  <si>
    <t>NATURE SUSTAINABILITY</t>
  </si>
  <si>
    <t>Scholars develop scenarios to identify the operational margins of system Earth, but focus less on how decisions are made that affect the system one way or another. Strategy games can help increase the representation of human agency in scenario development, allowing for deliberation among diverse worldviews. While the scientific community documents environmental degradation and develops scenarios to identify the operational margins of system Earth, less attention is given to how decisions are made that steer the system in one direction or the other. We propose to use strategy games for this purpose, increasing the representation of human agency in scenario development and creating spaces for deliberation between different worldviews. Played by the right people, strategy games could help break free from established norms and support more transparent democratic dialogues, responding to the human and social limitations of current decision-making. The question is, who gets to play?</t>
  </si>
  <si>
    <t>Zorondo-Rodríguez, Francisco/GWU-8371-2022; Naimi, Babak/D-8804-2016; Stoudmann, Natasha/AAO-1954-2020; Kleinschroth, Fritz/AAM-5636-2020; Robinson, Brian/C-2217-2014; Sassen, Marieke/GPK-5093-2022; Dray, Anne/B-3730-2009; Ghazoul, Jaboury/B-2121-2018; Savilaakso, Sini/JCD-8106-2023; crowther, thomas/B-4807-2012; Wilmé, Lucienne/AAQ-6653-2020; Quétier, Fabien/U-3432-2019; Garcia, Claude/D-2023-2011; Wilme, Lucienne/A-3818-2016; Sunderland, Terence/AAS-5080-2021; Bastos Araujo, Miguel/B-6117-2008; Waeber, Patrick O/A-3649-2016; Peterson, Garry/C-1309-2008; Zorondo-Rodriguez, Francisco/I-8273-2014; Quetier, Fabien/K-6872-2015</t>
  </si>
  <si>
    <t>Wilme, Lucienne/0000-0002-8344-1957; Kleinschroth, Fritz/0000-0002-7614-2123; Sloman, Steven/0000-0001-8223-3788; Sunderland, Terence/0000-0002-1985-9849; Bastos Araujo, Miguel/0000-0002-5107-7265; Ghazoul, Jaboury/0000-0002-8319-1636; Verburg, Rene/0000-0002-1651-8037; Garcia, Claude/0000-0002-7351-0226; Waeber, Patrick O/0000-0002-3229-0124; Peterson, Garry/0000-0003-0173-0112; Zorondo-Rodriguez, Francisco/0000-0001-6469-9859; Quetier, Fabien/0000-0002-3767-0353; Dray, Anne/0000-0002-1459-1556; Stoudmann, Natasha/0000-0003-3954-2272</t>
  </si>
  <si>
    <t>2398-9629</t>
  </si>
  <si>
    <t>10.1038/s41893-022-00881-0</t>
  </si>
  <si>
    <t>WOS:000792590400001</t>
  </si>
  <si>
    <t>Jan, S; Santin, G; Strul, D; Staelens, S; Assié, K; Autret, D; Avner, S; Barbier, R; Bardiès, M; Bloomfield, PM; Brasse, D; Breton, V; Bruyndonckx, P; Buvat, I; Chatziioannou, AF; Choi, Y; Chung, YH; Comtat, C; Donnarieix, D; Ferrer, L; Glick, SJ; Groiselle, CJ; Guez, D; Honore, PF; Kerhoas-Cavata, S; Kirov, AS; Kohli, V; Koole, M; Krieguer, M; van der Laan, DJ; Lamare, F; Largeron, G; Lartizien, C; Lazaro, D; Maas, MC; Maigne, L; Mayet, F; Melot, F; Merheb, C; Pennacchio, E; Perez, J; Pietrzyk, U; Rannou, FR; Rey, M; Schaart, DR; Schmidtlein, CR; Simon, L; Song, TY; Vieira, JM; Visvikis, D; Van de Walle, R; Wieërs, E; Morel, C</t>
  </si>
  <si>
    <t>GATE:: a simulation toolkit for PET and SPECT</t>
  </si>
  <si>
    <t>PHYSICS IN MEDICINE AND BIOLOGY</t>
  </si>
  <si>
    <t>Monte Carlo simulation is an essential tool in emission tomography that can assist in the design of new medical imaging devices, the optimization of acquisition protocols and the development or assessment of image reconstruction algorithms and correction techniques. GATE, the Geant4 Application for Tomographic Emission, encapsulates the Geant4 libraries to achieve a modular, versatile, scripted simulation toolkit adapted to the field of nuclear medicine. In particular, GATE allows the description of time-dependent phenomena such as source or detector movement, and source decay kinetics. This feature makes it possible to simulate time curves under realistic acquisition conditions and to test dynamic reconstruction algorithms. This paper gives a detailed description of the design and development of GATE by the OpenGATE collaboration, whose continuing objective is to improve, document and validate GATE by simulating commercially available imaging systems for PET and SPECT. Large effort is also invested in the ability and the flexibility to model novel detection systems or systems still under design. A public release of GATE licensed under the GNU Lesser General Public License can be downloaded at http:/www-lphe.epfl.ch/GATE/. Two benchmarks developed for PET and SPECT to test the installation of GATE and to serve as a tutorial for the users are presented. Extensive validation of the GATE simulation platform has been started, comparing simulations and measurements on commercially available acquisition systems. References to those results are listed. The future prospects towards the gridification of GATE and its extension to other domains such as dosimetry are also discussed.</t>
  </si>
  <si>
    <t>Lartizien, Carole/H-4447-2014; Schmidtlein, C./IAN-6642-2023; Mayet, Frederic/LXB-1805-2024; Brasse, David/AAU-3671-2020; Ferrer, Ludovic/M-2945-2015; BUVAT, Irene/U-8447-2018; Kirov, Assen/HGA-8103-2022; Maas, Marnix/J-5101-2014; Rannou, Fernando/G-5749-2019; VISVIKIS, Dimitris/H-4277-2014; BARDIES, Manuel/L-3136-2014; Pietrzyk, Uwe/H-5786-2013; MOREL, Christian/C-2184-2018; Maigne, Lydia/H-3137-2018; SIMON, Luc/O-5114-2014; Schaart, Dennis/C-7136-2014; Staelens, Steven/D-8385-2017</t>
  </si>
  <si>
    <t>Lamare, Frederic/0000-0003-1289-7655; Santin, Giovanni/0000-0003-4330-9449; Koole, Michel/0000-0001-5862-640X; Ferrer, Ludovic/0000-0002-5166-1998; BARDIES, Manuel/0000-0002-1766-727X; Buvat, Irene/0000-0002-7053-6471; Rannou, Fernando/0000-0002-3244-1893; Pietrzyk, Uwe/0000-0002-2791-8765; Schmidtlein, Charles/0000-0003-0485-3601; Kirov, Assen/0000-0001-6521-3582; MOREL, Christian/0000-0001-5359-6504; Maigne, Lydia/0000-0002-0414-8462; guez, david/0000-0002-9143-2575; Avner, Stephane/0000-0001-7413-1327; Mayet, Frederic/0000-0001-9995-4792; SIMON, Luc/0000-0002-0148-4217; Schaart, Dennis/0000-0002-3199-5608; Staelens, Steven/0000-0003-3376-0519; Breton, Vincent/0000-0001-8197-7080</t>
  </si>
  <si>
    <t>0031-9155</t>
  </si>
  <si>
    <t>1361-6560</t>
  </si>
  <si>
    <t>OCT 7</t>
  </si>
  <si>
    <t>PII S0031-9155(04)80763-2</t>
  </si>
  <si>
    <t>10.1088/0031-9155/49/19/007</t>
  </si>
  <si>
    <t>WOS:000224663300007</t>
  </si>
  <si>
    <t>Leal, TP; Rao, SC; French-Kwawu, JN; Gouveia, MH; Borda, V; Bandres-Ciga, S; Inca-Martinez, M; Mason, EA; Horimoto, ARVR; Loesch, DP; Sarihan, E; Cornejo-Olivas, MR; Torres, LE; Mazzetti-Soler, PE; Cosentino, C; Sarapura-Castro, EH; Rivera-Valdivia, A; Medina, AC; Dieguez, EM; Raggio, VE; Lescano, A; Tumas, V; Borges, V; Ferraz, HB; Rieder, CR; Schuh, AS; Santos-Lobato, BL; Velez-Pardo, C; Jimenez-Del-Rio, M; Lopera, F; Moreno, S; Chana-Cuevas, P; Fernandez, W; Arboleda, G; Arboleda, H; Bustos, CEA; Yearout, D; Lima-Costa, MF; Tarazona-Santos, E; Zabetian, CP; Thornton, TA; O'Connor, TD; Mata, IF</t>
  </si>
  <si>
    <t>Leal, Thiago P.; Rao, Shilpa C.; French-Kwawu, Jennifer N.; Gouveia, Mateus H.; Borda, Victor; Bandres-Ciga, Sara; Inca-Martinez, Miguel; Mason, Emily A.; Horimoto, Andrea R. V. R.; Loesch, Douglas P.; Sarihan, Elif, I; Cornejo-Olivas, Mario R.; Torres, Luis; Mazzetti-Soler, Pilar E.; Cosentino, Carlos; Sarapura-Castro, Elison H.; Rivera-Valdivia, Andrea; Medina, Angel C.; Dieguez, Elena M.; Raggio, Victor E.; Lescano, Andres; Tumas, Vitor; Borges, Vanderci; Ferraz, Henrique B.; Rieder, Carlos R.; Schuh, Artur Schumacher; Santos-Lobato, Bruno L.; Velez-Pardo, Carlos; Jimenez-Del-Rio, Marlene; Lopera, Francisco; Moreno, Sonia; Chana-Cuevas, Pedro; Fernandez, William; Arboleda, Gonzalo; Arboleda, Humberto; Bustos, Carlos Arboleda E.; Yearout, Dora; Lima-Costa, Maria F.; Tarazona-Santos, Eduardo; Zabetian, Cyrus P.; Thornton, Timothy A.; O'Connor, Timothy D.; Mata, Ignacio F.</t>
  </si>
  <si>
    <t>Int Parkinson Dis Genomics Consor; Latin Amer Res Consortium Genet Pa</t>
  </si>
  <si>
    <t>X-Chromosome Association Study in Latin American Cohorts Identifies New Loci in Parkinson's Disease</t>
  </si>
  <si>
    <t>BackgroundSex differences in Parkinson's disease (PD) risk are well-known. However, the role of sex chromosomes in the development and progression of PD is still unclear. ObjectiveThe objective of this study was to perform the first X-chromosome-wide association study for PD risk in a Latin American cohort. MethodsWe used data from three admixed cohorts: (1) Latin American Research consortium on the Genetics of Parkinson's Disease (n = 1504) as discover cohort, and (2) Latino cohort from International Parkinson Disease Genomics Consortium (n = 155) and (3) Bambui Aging cohort (n = 1442) as replication cohorts. We also developed an X-chromosome framework specifically designed for admixed populations. ResultsWe identified eight linkage disequilibrium regions associated with PD. We replicated one of these regions (top variant rs525496; discovery odds ratio [95% confidence interval]: 0.60 [0.478-0.77], P = 3.13 x 10(-5) replication odds ratio: 0.60 [0.37-0.98], P = 0.04). rs5525496 is associated with multiple expression quantitative trait loci in brain and non-brain tissues, including RAB9B, H2BFM, TSMB15B, and GLRA4, but colocalization analysis suggests that rs5525496 may not mediate risk by expression of these genes. We also replicated a previous X-chromosome-wide association study finding (rs28602900), showing that this variant is associated with PD in non-European populations. ConclusionsOur results reinforce the importance of including X-chromosome and diverse populations in genetic studies. &amp; COPY; 2023 The Authors. Movement Disorders published by Wiley Periodicals LLC on behalf of International Parkinson and Movement Disorder Society.</t>
  </si>
  <si>
    <t>Moreno, Sonia/AAM-9308-2020; Chana-Cuevas, Pedro/AAM-8215-2020; Costa, Maria Fernanda/ABE-3779-2021; Tumas, Vitor/C-9949-2014; Ciga, Sara/AAA-5036-2020; Tarazona-Santos, Eduardo/AAF-1110-2019; Horimoto, Andréa/C-4383-2015; Rieder, Carlos/O-6600-2018; Bustos-Segura, Carlos/AAF-2564-2020; Ferraz, Henrique/B-9195-2012; Schuh, Artur Francisco Schumacher/J-2023-2014; Cornejo-Olivas, Mario/F-9744-2017</t>
  </si>
  <si>
    <t>Tumas, Vitor/0000-0003-2402-2709; Bandres Ciga, Sara/0000-0003-0056-1361; Schuh, Artur Francisco Schumacher/0000-0002-8722-0908; Cornejo-Olivas, Mario/0000-0001-6313-5680</t>
  </si>
  <si>
    <t>10.1002/mds.29508</t>
  </si>
  <si>
    <t>WOS:001031923600001</t>
  </si>
  <si>
    <t>Mesa, D; Marino, S; Bonavita, M; Lazzoni, C; Fontanive, C; Pérez, S; D'Orazi, V; Desidera, S; Gratton, R; Engler, N; Henning, T; Janson, M; Kral, Q; Langlois, M; Messina, S; Milli, J; Pawellek, N; Perrot, C; Rigliaco, E; Rickman, E; Squicciarini, V; Vigan, A; Wahhaj, Z; Zurlo, A; Boccaletti, A; Bonnefoy, M; Chauvin, G; De Caprio, V; Feldt, M; Gluck, L; Hagelberg, J; Keppler, M; Lagrange, AM; Launhardt, R; Maire, AL; Meyer, M; Moeller-Nilsson, O; Pavlov, A; Samland, M; Schmidt, T; Weber, L</t>
  </si>
  <si>
    <t>Mesa, D.; Marino, S.; Bonavita, M.; Lazzoni, C.; Fontanive, C.; Perez, S.; D'Orazi, V; Desidera, S.; Gratton, R.; Engler, N.; Henning, T.; Janson, M.; Kral, Q.; Langlois, M.; Messina, S.; Milli, J.; Pawellek, N.; Perrot, C.; Rigliaco, E.; Rickman, E.; Squicciarini, V; Vigan, A.; Wahhaj, Z.; Zurlo, A.; Boccaletti, A.; Bonnefoy, M.; Chauvin, G.; De Caprio, V; Feldt, M.; Gluck, L.; Hagelberg, J.; Keppler, M.; Lagrange, A-M; Launhardt, R.; Maire, A-L; Meyer, M.; Moeller-Nilsson, O.; Pavlov, A.; Samland, M.; Schmidt, T.; Weber, L.</t>
  </si>
  <si>
    <t>Limits on the presence of planets in systems with debris discs: HD92945 and HD107146</t>
  </si>
  <si>
    <t>Recent observations of resolved cold debris discs at tens of au have revealed that gaps could be a common feature in these Kuiper-belt analogues. Such gaps could be evidence for the presence of planets within the gaps or closer in near the edges of the disc. We present SPHERE observations of HD92945 and HD107146, two systems with detected gaps. We constrained the mass of possible companions responsible for the gap to 1-2 M-Jup for planets located inside the gap and to less than 5 M-Jup for separations down to 20 au from the host star. These limits allow us to exclude some of the possible configurations of the planetary systems proposed to explain the shape of the discs around these two stars. In order to put tighter limits on the mass at very short separations from the star, where direct-imaging data are less effective, we also combined our data with astrometric measurements from Hipparcos and Gaia and radial-velocity measurements. We were able to limit the separation and the mass of the companion potentially responsible for the proper-motion anomaly of HD107146 to values of 2-7 au and 2-5 M-Jup, respectively.</t>
  </si>
  <si>
    <t>Mesa, Dany/AAY-8950-2020; D'Orazi, Valentina/N-5230-2015; Pérez, Sebastián/AAS-5857-2020; Marino, Sebastian/AFP-2400-2022; Klahr, Hubert/AAY-6238-2021; Zurlo, Alice/Q-5011-2019; Bonavita, Mariangela/AFR-1750-2022; Hagelberg, Janis/E-8520-2013; Messina, Sergio/N-6560-2018</t>
  </si>
  <si>
    <t>Marino, Sebastian/0000-0002-5352-2924; Hagelberg, Janis/0000-0002-1096-1433; Messina, Sergio/0000-0002-2851-2468; Fontanive, Clemence/0000-0002-2428-9932; Vigan, Arthur/0000-0002-5902-7828; Mesa, Dino/0000-0001-8467-1933; LAZZONI, CECILIA/0000-0001-7819-9003; Bonavita, Mariangela/0000-0002-7520-8389; Perrot, Clement/0000-0003-3831-0381; Perez, Sebastian/0000-0003-2953-755X; De Caprio, Vincenzo/0000-0002-4587-8963; Squicciarini, Vito/0000-0002-3122-6809</t>
  </si>
  <si>
    <t>10.1093/mnras/stab438</t>
  </si>
  <si>
    <t>MAR 2021</t>
  </si>
  <si>
    <t>WOS:000641987400091</t>
  </si>
  <si>
    <t>Bromwich, DH; Gorodetskaya, I; Carpentier, S; Alexander, S; Bazile, E; Heinrich, VJ; Massonnet, F; Powers, JG; Carrasco, JF; Cayette, A; Choi, T; Chyhareva, A; Colwell, SR; Cordeira, JM; Cordero, RR; Doerenbecher, A; Durán-Alarcón, C; French, WJR; Gonzalez-Herrero, S; Guyot, A; Haiden, T; Hirasawa, N; Imazio, PR; Kawzenuk, B; Krakovska, S; Lazzara, MA; Litell, MF; Manning, KW; Norris, K; Park, SJ; Ralph, FM; Rowe, PM; Sun, QZ; Vitale, V; Wille, JD; Zhang, ZH; Zou, X</t>
  </si>
  <si>
    <t>Bromwich, David H.; Gorodetskaya, Irina, V; Carpentier, Scott; Alexander, Simon; Bazile, Eric; Heinrich, Victoria J.; Massonnet, Francois; Powers, Jordan G.; Carrasco, Jorge F.; Cayette, Arthur; Choi, Taejin; Chyhareva, Anastasiia; Colwell, Steven R.; Cordeira, Jason M.; Cordero, Raul R.; Doerenbecher, Alexis; Duran-Alarcon, Claudio; French, W. John R.; Gonzalez-Herrero, Sergi; Guyot, Adrien; Haiden, Thomas; Hirasawa, Naohiko; Imazio, Paola Rodriguez; Kawzenuk, Brian; Krakovska, Svitlana; Lazzara, Matthew A.; Litell, Mariana Fontolan; Manning, Kevin W.; Norris, Kimberley; Park, Sang-Jong; Ralph, F. Martin; Rowe, Penny M.; Sun, Qizhen; Vitale, Vito; Wille, Jonathan D.; Zhang, Zhenhai; Zou, Xun</t>
  </si>
  <si>
    <t>Winter Targeted Observing Periods during the Year of Polar Prediction in the Southern Hemisphere (YOPP-SH)</t>
  </si>
  <si>
    <t>The Year of Polar Prediction in the Southern Hemisphere (YOPP-SH) held seven targeted observing periods (TOPs) during the 2022 austral winter to enhance atmospheric predictability over the Southern Ocean and Antarctica. The TOPs of 5-10-day duration each featured the release of additional radiosonde balloons, more than doubling the routine sounding program at the 24 participating stations run by 14 nations, together with process-oriented observations at selected sites. These extra sounding data are evaluated for their impact on forecast skill via data denial experiments with the goal of refining the observing system to improve numerical weather prediction for winter conditions. Extensive observations focusing on clouds and precipitation primarily during atmospheric river (AR) events are being applied to refine model microphysical parameterizations for the ubiquitous mixed-phase clouds that frequently impact coastal Antarctica. Process studies are being facilitated by high-time-resolution series of observations and forecast model output via the YOPP Model Intercomparison and Improvement Project (YOPPsiteMIIP). Parallel investigations are broadening the scope and impact of the YOPP-SH winter TOPs. Studies of the Antarctic tourist industry's use of weather services show the scope for much greater awareness of the availability of forecast products and the skill they exhibit. The Sea Ice Prediction Network South (SIPN South) analysis of predictions of the sea ice growth period reveals that the forecast skill is superior to the sea ice retreat phase.</t>
  </si>
  <si>
    <t>Sun, Qizhen/JCE-6070-2023; Wille, Jonathan/KFQ-5871-2024; Krakovska, Svitlana/IUQ-6553-2023; Gorodetskaya, Irina/K-1987-2015; Norris, Kimberley/J-7260-2014; Zhang, Huanhuan/LDG-2528-2024; Bromwich, David/C-9225-2016; Gonzalez-Herrero, Sergi/Y-7279-2018; Cordero, Raul/M-7979-2017; imazio, paola/GQY-8031-2022; Carrasco, Jorge/K-2949-2014</t>
  </si>
  <si>
    <t>Chyhareva, Anastasiia/0000-0003-0195-751X; Carrasco, Jorge/0000-0003-2154-5483; Alexander, Simon/0000-0001-6823-8857; Bromwich, David/0000-0003-4608-8071; Heinrich, Victoria/0000-0003-3085-3787</t>
  </si>
  <si>
    <t>E1662</t>
  </si>
  <si>
    <t>E1684</t>
  </si>
  <si>
    <t>10.1175/BAMS-D-22-0249.1</t>
  </si>
  <si>
    <t>WOS:001318542200001</t>
  </si>
  <si>
    <t>Yeung, AWK; Aggarwal, BB; Barreca, D; Battino, M; Belwal, T; Horbanczuk, OK; Berindan-Neagoe, I; Bishayee, A; Daglia, M; Devkota, HP; Echeverria, J; El-Demerdash, A; Orhan, IE; Godfrey, KM; Gupta, VK; Horbanczuk, JO; Modlinski, JA; Huber, LA; Huminiecki, L; Józwik, A; Marchewka, J; Miller, MJS; Mocan, A; Mozos, I; Nabavi, SF; Nabavi, SM; Pieczynska, MD; Pittalà, V; Rengasamy, KRR; Silva, AS; Sheridan, H; Stankiewicz, AM; Strzalkowska, N; Sureda, A; Tewari, D; Weissig, V; Zengin, G; Atanasov, AG</t>
  </si>
  <si>
    <t>Yeung, Andy Wai Kan; Aggarwal, Bharat Bhushan; Barreca, Davide; Battino, Maurizio; Belwal, Tarun; Horbanczuk, Olaf K.; Berindan-Neagoe, Ioana; Bishayee, Anupam; Daglia, Maria; Devkota, Hari Prasad; Echeverria, Javier; El-Demerdash, Amr; Orhan, Ilkay Erdogan; Godfrey, Keith M.; Gupta, Vijai Kumar; Horbanczuk, Jaroslaw O.; Modlinski, Jacek A.; Huber, Lukas A.; Huminiecki, Lukasz; Jozwik, Artur; Marchewka, Joanna; Miller, Mark J. S.; Mocan, Andrei; Mozos, Ioana; Nabavi, Seyed Fazel; Nabavi, Seyed Mohammad; Pieczynska, Magdalena D.; Pittala, Valeria; Rengasamy, Kannan R. R.; Silva, Ana Sanches; Sheridan, Helen; Stankiewicz, Adrian M.; Strzalkowska, Nina; Sureda, Antoni; Tewari, Devesh; Weissig, Volkmar; Zengin, Gokhan; Atanasov, Atanas G.</t>
  </si>
  <si>
    <t>Dietary natural products and their potential to influence health and disease including animal model studies</t>
  </si>
  <si>
    <t>Although biological and pharmacological effects of dietary natural products have been intensively studied, there has been no bibliometric analysis performed on this research field up to now. The current study has aimed to identify and analyze the manuscripts on dietary natural products and their potential to influence health and disease including studies using animal models. Data, including words from titles and abstracts, publication and citation data, have been extracted from Web of Science database and analyzed by the VOSviewer software. Our search has yielded 1,014 manuscripts. The ratio of original articles to reviews was identified to be 1.5:1. Over half of the manuscripts have been published since 2010. The manuscripts have been contributed by 4,301 authors from 1,445 organizations in 76 countries/territories and published in 499 journals. The results from the current study point out that scientific research focusing on the potential of dietary natural products to affect health and disease status (including animal model studies) is expanding, and suggests an increasing significance of this scientific area. With the progressive development and improvement of animal studies, it should be expected that animal models of different human diseases (especially civilization ones) would be an integral part of the research for the evaluation of pharmaceuticals originated from dietary natural products like plants or plant materials. Moreover, natural products can also be fed to animals to improve the quality of animal products, with numerous resulting functional effects.</t>
  </si>
  <si>
    <t>Belwal, Tarun/H-2530-2018; Barreca, Davide/X-6802-2018; nabavi, seyed fazel/A-2223-2010; Daglia, Maria/AAC-9498-2019; Horbanczuk, Jaroslaw/ABD-8389-2021; Rengasamy, Kannan RR/AAA-9792-2020; Huber, Lukas/AAM-3499-2021; Nabavi, Seyed Mohammad/G-5335-2010; Mozos, Ioana/AAB-4874-2020; Echeverría, Javier/AAK-3323-2020; Stankiewicz, Adrian/AAD-1363-2021; Bishayee, Anupam/G-4290-2012; Sureda, Antoni/N-9588-2019; Battino, Maurizio/E-6103-2012; Sheridan, Helen/O-6391-2016; Berindan-Neagoe, Ioana/AAH-9854-2019; Gupta, Vijai Kumar/O-2445-2014; Tewari, Devesh/P-9954-2019; ORHAN, ILKAY ERDOGAN/H-6092-2011; Mocan, Andrei/AAT-8274-2021; Jozwik, Artur/HJY-6775-2023; Zengin, Gokhan/K-9393-2015; Atanasov, Atanas/C-5535-2013; Sanches Silva, Ana/I-1850-2015; Yeung, Andy Wai Kan/M-4332-2019; Devkota, Hari Prasad/H-9939-2019; El-Demerdash, Amr/AAL-1613-2020</t>
  </si>
  <si>
    <t>Mozos, Ioana/0000-0001-6353-7698; Jozwik, Artur/0000-0001-5546-9891; Zengin, Gokhan/0000-0001-6548-7823; ERDOGAN ORHAN, ILKAY/0000-0002-7379-5436; Atanasov, Atanas/0000-0003-2545-0967; Rengasamy, Kannan RR/0000-0001-7205-7389; Sheridan, Helen/0000-0002-9454-752X; Sanches Silva, Ana/0000-0002-0226-921X; Daglia, Maria/0000-0002-4870-7713; Marchewka, Joanna/0000-0002-9571-8677; Echeverria, Javier/0000-0002-1688-968X; Godfrey, Keith/0000-0002-4643-0618; Yeung, Andy Wai Kan/0000-0003-3672-357X; Tewari, Dr. Devesh/0000-0002-5125-3791; Devkota, Hari Prasad/0000-0002-0509-1621; Horbanczuk, Olaf/0000-0002-1746-9134; Bishayee, Anupam/0000-0001-9159-960X; BARRECA, Davide/0000-0002-1463-4069; , Antoni/0000-0001-8656-6838; El-Demerdash, Amr/0000-0001-6459-2955</t>
  </si>
  <si>
    <t>WOS:000452398300001</t>
  </si>
  <si>
    <t>van Leeuwen, F; Inbar, Y; Petersen, MB; Aaroe, L; Barclay, P; Barlow, FK; de Barra, M; Becker, DV; Borovoi, L; Choi, J; Consedine, NS; Conway, JR; Conway, P; Adoric, VC; Demirci, E; Fernández, AM; Ferreira, DCS; Ishii, K; Jaksic, I; Ji, TT; Jonaityte, I; Lewis, DMG; Li, NP; McIntyre, JC; Mukherjee, S; Park, JH; Pawlowski, B; Pizarro, D; Prokop, P; Prodromitis, G; Rantala, MJ; Reynolds, LM; Sandin, B; Sevi, B; Srinivasan, N; Tewari, S; Yong, JC; Zezelj, I; Tybur, JM</t>
  </si>
  <si>
    <t>van Leeuwen, Florian; Inbar, Yoel; Petersen, Michael Bang; Aaroe, Lene; Barclay, Pat; Barlow, Fiona Kate; de Barra, Micheal; Becker, D. Vaughn; Borovoi, Leah; Choi, Jongan; Consedine, Nathan S.; Conway, Jane Rebecca; Conway, Paul; Adoric, Vera Cubela; Demirci, Ekin; Maria Fernandez, Ana; Seco Ferreira, Diogo Conque; Ishii, Keiko; Jaksic, Ivana; Ji, Tingting; Jonaityte, Inga; Lewis, David M. G.; Li, Norman P.; McIntyre, Jason C.; Mukherjee, Sumitava; Park, Justin H.; Pawlowski, Boguslaw; Pizarro, David; Prokop, Pavol; Prodromitis, Gerasimos; Rantala, Markus J.; Reynolds, Lisa M.; Sandin, Bonifacio; Sevi, Baris; Srinivasan, Narayanan; Tewari, Shruti; Yong, Jose C.; Zezelj, Iris; Tybur, Joshua M.</t>
  </si>
  <si>
    <t>Disgust sensitivity relates to attitudes toward gay men and lesbian women across 31 nations</t>
  </si>
  <si>
    <t>GROUP PROCESSES &amp; INTERGROUP RELATIONS</t>
  </si>
  <si>
    <t>Previous work has reported a relation between pathogen-avoidance motivations and prejudice toward various social groups, including gay men and lesbian women. It is currently unknown whether this association is present across cultures, or specific to North America. Analyses of survey data from adult heterosexuals (N = 11,200) from 31 countries showed a small relation between pathogen disgust sensitivity (an individual-difference measure of pathogen-avoidance motivations) and measures of antigay attitudes. Analyses also showed that pathogen disgust sensitivity relates not only to antipathy toward gay men and lesbians, but also to negativity toward other groups, in particular those associated with violations of traditional sexual norms (e.g., prostitutes). These results suggest that the association between pathogen-avoidance motivations and antigay attitudes is relatively stable across cultures and is a manifestation of a more general relation between pathogen-avoidance motivations and prejudice towards groups associated with sexual norm violations.</t>
  </si>
  <si>
    <t>Consedine, Nathan/A-8876-2012; Sevi, Baris/JRX-6190-2023; Petersen, Michael Bang/JOZ-2626-2023; McIntyre, Jason/U-1594-2019; Prokop, Pavol/ABD-9546-2020; Conway, Paul/AFJ-9671-2022; Ishii, Keiko/H-5607-2019; Jonaityte, Inga/Q-8452-2018; PRODROMITIS, GERASIMOS/AAO-3256-2021; Jakšić, Ivana/AIF-3881-2022; Sandín, Bonifacio/A-5643-2008; Mukherjee, Sumitava/B-6066-2014; Tybur, Joshua/P-5435-2014; Pawlowski, Boguslaw/C-1088-2013; Žeželj, Iris/H-9339-2019; Yong, Jose/KHZ-5375-2024; LI, Norman/F-9075-2010; Srinivasan, Narayanan/E-7882-2010</t>
  </si>
  <si>
    <t>Li, Norman/0000-0002-4059-1613; Sandin, Bonifacio/0000-0001-7206-6410; van Leeuwen, Florian/0000-0002-9694-8300; Prokop, Pavol/0000-0003-2016-7468; Aaroe, Lene/0000-0003-4551-3750; Petersen, Michael Bang/0000-0002-6782-5635; Sevi, Baris/0000-0001-9663-4339; Srinivasan, Narayanan/0000-0001-5342-0381; Lewis, David M. G./0000-0002-8267-5727; Cubela Adoric, Vera/0000-0003-4752-4541; Pawlowski, Boguslaw/0000-0002-7418-475X; TEWARI, SHRUTI/0000-0003-1903-7252; Yong, Jose/0000-0002-6413-2016; Conway, Paul/0000-0003-4649-6008</t>
  </si>
  <si>
    <t>1368-4302</t>
  </si>
  <si>
    <t>1461-7188</t>
  </si>
  <si>
    <t>10.1177/13684302211067151</t>
  </si>
  <si>
    <t>WOS:000775829100001</t>
  </si>
  <si>
    <t>Quesque, F; Coutrot, A; Cox, S; de Souza, LC; Baez, S; Cardona, JF; Mulet-Perreault, H; Flanagan, E; Neely-Prado, A; Clarens, MF; Cassimiro, L; Musa, G; Kemp, J; Botzung, A; Philippi, N; Cosseddu, M; Trujillo-Llano, C; Grisales-Cardenas, JS; Fittipaldi, S; Guimet, NM; Calandri, IL; Crivelli, L; Sedeno, L; Garcia, AM; Moreno, F; Indakoetxea, B; Benussi, A; Moura, MVB; Santamaria-Garcia, H; Matallana, D; Pryanishnikova, G; Morozova, A; Iakovleva, O; Veryugina, N; Levin, O; Zhao, LN; Liang, JH; Duning, T; Lebouvier, T; Pasquier, F; Huepe, D; Barandiaran, M; Johnen, A; Lyashenko, E; Allegri, RF; Borroni, B; Blanc, F; Wang, F; Yassuda, MS; Lillo, P; Teixeira, AL; Caramelli, P; Hudon, C; Slachevsky, A; Ibáñez, A; Hornberger, M; Bertoux, M</t>
  </si>
  <si>
    <t>Quesque, Francois; Coutrot, Antoine; Cox, Sharon; de Souza, Leonardo Cruz; Baez, Sandra; Cardona, Juan Felipe; Mulet-Perreault, Hannah; Flanagan, Emma; Neely-Prado, Alejandra; Florencia Clarens, Maria; Cassimiro, Luciana; Musa, Gada; Kemp, Jennifer; Botzung, Anne; Philippi, Nathalie; Cosseddu, Maura; Trujillo-Llano, Catalina; Sebastian Grisales-Cardenas, Johan; Fittipaldi, Sol; Magrath Guimet, Nahuel; Luis Calandri, Ismael; Crivelli, Lucia; Sedeno, Lucas; Garcia, Adolfo M.; Moreno, Fermin; Indakoetxea, Begona; Benussi, Alberto; Brandao Moura, Millena Vieira; Santamaria-Garcia, Hernando; Matallana, Diana; Pryanishnikova, Galina; Morozova, Anna; Iakovleva, Olga; Veryugina, Nadezda; Levin, Oleg; Zhao, Lina; Liang, Junhua; Duning, Thomas; Lebouvier, Thibaud; Pasquier, Florence; Huepe, David; Barandiaran, Myriam; Johnen, Andreas; Lyashenko, Elena; Allegri, Ricardo F.; Borroni, Barbara; Blanc, Frederic; Wang, Fen; Sanches Yassuda, Monica; Lillo, Patricia; Teixeira, Antonio Lucio; Caramelli, Paulo; Hudon, Carol; Slachevsky, Andrea; Ibanez, Agustin; Hornberger, Michael; Bertoux, Maxime</t>
  </si>
  <si>
    <t>Does Culture Shape Our Understanding of Others' Thoughts and Emotions? An Investigation Across 12 Countries</t>
  </si>
  <si>
    <t>NEUROPSYCHOLOGY</t>
  </si>
  <si>
    <t>Measures of social cognition have now become central in neuropsychology, being essential for early and differential diagnoses, follow-up, and rehabilitation in a wide range of conditions. With the scientific world becoming increasingly interconnected, international neuropsychological and medical collaborations are burgeoning to tackle the global challenges that are mental health conditions. These initiatives commonly merge data across a diversity of populations and countries, while ignoring their specificity. Objective: In this context, we aimed to estimate the influence of participants' nationality on social cognition evaluation. This issue is of particular importance as most cognitive tasks are developed in highly specific contexts, not representative of that encountered by the world's population. Method: Through a large international study across 18 sites, neuropsychologists assessed core aspects of social cognition in 587 participants from 12 countries using traditional and widely used tasks. Results: Age, gender, and education were found to impact measures of mentalizing and emotion recognition. After controlling for these factors, differences between countries accounted for more than 20% of the variance on both measures. Importantly, it was possible to isolate participants' nationality from potential translation issues, which classically constitute a major limitation. Conclusions: Overall, these findings highlight the need for important methodological shifts to better represent social cognition in both fundamental research and clinical practice, especially within emerging international networks and consortia.</t>
  </si>
  <si>
    <t>Lillo, Patricia/B-9730-2013; Crivelli, Lucía/AAS-4922-2021; Trujillo-Llano, Catalina/IAQ-4026-2023; García, Adolfo/E-7150-2017; Blanc, Frederic/AAE-7975-2019; Teixeira, Antonio/N-3315-2014; Bertoux, Maxime/ITU-8399-2023; Morozova, Anna/KIC-2796-2024; Quesque, Francois/AAF-2948-2019; Hornberger, Michael/C-9610-2011; Yassuda, Monica/C-9693-2012; Borroni, Barbara/AAN-4105-2020; linazhao1982@gmail.com, lina/B-8499-2015; Benussi, Alberto/AAS-3262-2020; Pasquier, Florence/F-1527-2017; CARAMELLI, PAULO/H-9735-2012; Baez, Sandra/ABC-7150-2020; ALLEGRI, RICARDO/AAY-4898-2021; Ibanez, Agustin/H-7976-2015; de Souza, Leonardo/C-1833-2016; Cardona, Juan Felipe/O-9436-2015; Benussi, Alberto/K-4682-2018; Lebouvier, Thibaud/G-7053-2018</t>
  </si>
  <si>
    <t>Cox, Sharon/0000-0001-8494-5105; Huepe, David/0000-0001-8351-5314; Clarens, Maria Florencia/0000-0003-4334-4404; Ibanez, Agustin/0000-0001-6758-5101; Santamaria Garcia, Hernando/0000-0001-9422-3579; Trujillo-Llano, Catalina/0009-0006-5638-2062; Hudon, Carol/0000-0002-7554-3187; borroni, barbara/0000-0001-9340-9814; Quesque, Francois/0000-0001-7954-8316; Myriam, Barandiaran Amillano/0000-0002-8209-6530; de Souza, Leonardo/0000-0001-5027-9722; Cardona, Juan Felipe/0000-0001-6795-7753; Benussi, Alberto/0000-0002-8703-6940; Flanagan, Emma/0000-0003-1492-7061; Grisales Cardenas, Johan Sebastian/0000-0002-7460-2923; Lebouvier, Thibaud/0000-0002-4386-6045; Matallana-Eslava, Diana L./0000-0001-6529-7077</t>
  </si>
  <si>
    <t>0894-4105</t>
  </si>
  <si>
    <t>1931-1559</t>
  </si>
  <si>
    <t>10.1037/neu0000817</t>
  </si>
  <si>
    <t>WOS:000823986200001</t>
  </si>
  <si>
    <t>Alves, ACG; Sukow, NM; Cipolla, GA; Mendes, M; Leal, TP; Petzl-Erler, ML; Souza, RLR; de Souza, IR; Sanchez, C; Santolalla, M; Loesch, D; Dean, M; Machado, M; Moon, JY; Kaplan, R; North, KE; Weiss, S; Barreto, ML; Lima-Costa, MF; Guio, H; Cáceres, O; Padilla, C; Tarazona-Santos, E; Mata, IF; Dieguez, E; Raggio, V; Lescano, A; Tumas, V; Borges, V; Ferraz, HB; Rieder, CR; Schumacher-Schuh, A; Santos-Lobato, BL; Chana-Cuevas, P; Fernandez, W; Arboleda, G; Arboleda, H; Arboleda-Bustos, CE; O'Connor, TD; Beltrame, MH; Borda, V</t>
  </si>
  <si>
    <t>Guimaraes Alves, Ana Cecilia; Sukow, Natalie Mary; Cipolla, Gabriel Adelman; Mendes, Marla; Leal, Thiago P.; Petzl-Erler, Maria Luiza; Rodrigues Souza, Ricardo Lehtonen; de Souza, Iliada Rainha; Sanchez, Cesar; Santolalla, Meddly; Loesch, Douglas; Dean, Michael; Machado, Moara; Moon, Jee-Young; Kaplan, Robert; North, Kari E.; Weiss, Scott; Barreto, Mauricio L.; Lima-Costa, M. Fernanda; Guio, Heinner; Caceres, Omar; Padilla, Carlos; Tarazona-Santos, Eduardo; Mata, Ignacio F.; Dieguez, Elena; Raggio, Victor; Lescano, Andres; Tumas, Vitor; Borges, Vanderci; Ferraz, Henrique B.; Rieder, Carlos R.; Schumacher-Schuh, Artur; Santos-Lobato, Bruno L.; Chana-Cuevas, Pedro; Fernandez, William; Arboleda, Gonzalo; Arboleda, Humberto; Arboleda-Bustos, Carlos E.; O'Connor, Timothy D.; Beltrame, Marcia Holsbach; Borda, Victor</t>
  </si>
  <si>
    <t>Tracing the Distribution of European Lactase Persistence Genotypes Along the Americas</t>
  </si>
  <si>
    <t>FRONTIERS IN GENETICS</t>
  </si>
  <si>
    <t>In adulthood, the ability to digest lactose, the main sugar present in milk of mammals, is a phenotype (lactase persistence) observed in historically herder populations, mainly Northern Europeans, Eastern Africans, and Middle Eastern nomads. As the -13910*T allele in the MCM6 gene is the most well-characterized allele responsible for the lactase persistence phenotype, the -13910C &gt; T (rs4988235) polymorphism is commonly evaluated in lactase persistence studies. Lactase non-persistent adults may develop symptoms of lactose intolerance when consuming dairy products. In the Americas, there is no evidence of the consumption of these products until the arrival of Europeans. However, several American countries' dietary guidelines recommend consuming dairy for adequate human nutrition and health promotion. Considering the extensive use of dairy and the complex ancestry of Pan-American admixed populations, we studied the distribution of -13910C &gt; T lactase persistence genotypes and its flanking haplotypes of European origin in 7,428 individuals from several Pan-American admixed populations. We found that the -13910*T allele frequency in Pan-American admixed populations is directly correlated with allele frequency of the European sources. Moreover, we did not observe any overrepresentation of European haplotypes in the -13910C &gt; T flanking region, suggesting no selective pressure after admixture in the Americas. Finally, considering the dominant effect of the -13910*T allele, our results indicate that Pan-American admixed populations are likely to have higher frequency of lactose intolerance, suggesting that general dietary guidelines deserve further evaluation across the continent.</t>
  </si>
  <si>
    <t>Tumas, Vitor/C-9949-2014; Chana-Cuevas, Pedro/AAM-8215-2020; Petzl-Erler, Maria/H-8221-2012; Tarazona-Santos, Eduardo/AAF-1110-2019; Barreto, Mauricio/B-1752-2008; Borda, Victor/AAG-2480-2020; Santolalla, Meddly/JFA-7728-2023; Dean, Michael/G-8172-2012; Adelman Cipolla, Gabriel/A-5131-2015; Ferraz, Henrique/B-9195-2012; Beltrame, Marcia/AAV-7506-2020; Rieder, Carlos Roberto de Mello/O-6600-2018; Lima-Costa, M Fernanda/ABE-3779-2021; Souza, Ricardo/G-9975-2014; Guio, Heinner/G-9874-2017; Mendes de Aquino, Marla/IWD-7417-2023; Schuh, Artur Francisco Schumacher/J-2023-2014</t>
  </si>
  <si>
    <t>Rieder, Carlos Roberto de Mello/0000-0003-2950-7211; Lima-Costa, M Fernanda/0000-0002-3474-2980; Moon, Jee-Young/0000-0001-9218-8335; Santolalla, Meddly Leslye/0000-0003-4808-2896; Tumas, Vitor/0000-0003-2402-2709; Cipolla, Gabriel/0000-0002-2298-8617; Souza, Ricardo/0000-0003-2591-8857; Guio, Heinner/0000-0003-0078-1188; Holsbach Beltrame, Marcia/0000-0003-2102-6667; Mendes de Aquino, Marla/0000-0002-6114-7482; Sukow, Natalie Mary/0000-0003-4270-6696; Borda, Victor/0000-0003-3209-3961; Schuh, Artur Francisco Schumacher/0000-0002-8722-0908</t>
  </si>
  <si>
    <t>1664-8021</t>
  </si>
  <si>
    <t>SEP 22</t>
  </si>
  <si>
    <t>10.3389/fgene.2021.671079</t>
  </si>
  <si>
    <t>WOS:000704127600001</t>
  </si>
  <si>
    <t>Everett, JAC; Colombatto, C; Awad, E; Boggio, P; Bos, B; Brady, WJ; Chawla, M; Chituc, V; Chung, D; Drupp, MA; Goel, S; Grosskopf, B; Hjorth, F; Ji, A; Kealoha, C; Kim, JS; Lin, YF; Ma, YN; Maréchal, MA; Mancinelli, F; Mathys, C; Olsen, AL; Pearce, G; Prosser, AMB; Reggev, N; Sabin, N; Senn, J; Shin, YS; Sinnott-Armstrong, W; Sjåstad, H; Strick, M; Sul, S; Tummers, L; Turner, M; Yu, HB; Zoh, Y; Crockett, MJ</t>
  </si>
  <si>
    <t>Everett, Jim A. C.; Colombatto, Clara; Awad, Edmond; Boggio, Paulo; Bos, Bjoern; Brady, William J.; Chawla, Megha; Chituc, Vladimir; Chung, Dongil; Drupp, Moritz A.; Goel, Srishti; Grosskopf, Brit; Hjorth, Frederik; Ji, Alissa; Kealoha, Caleb; Kim, Judy S.; Lin, Yangfei; Ma, Yina; Marechal, Michel Andre; Mancinelli, Federico; Mathys, Christoph; Olsen, Asmus L.; Pearce, Graeme; Prosser, Annayah M. B.; Reggev, Niv; Sabin, Nicholas; Senn, Julien; Shin, Yeon Soon; Sinnott-Armstrong, Walter; Sjastad, Hallgeir; Strick, Madelijn; Sul, Sunhae; Tummers, Lars; Turner, Monique; Yu, Hongbo; Zoh, Yoonseo; Crockett, Molly J.</t>
  </si>
  <si>
    <t>Moral dilemmas and trust in leaders during a global health crisis</t>
  </si>
  <si>
    <t>NATURE HUMAN BEHAVIOUR</t>
  </si>
  <si>
    <t>Trust in leaders is central to citizen compliance with public policies. One potential determinant of trust is how leaders resolve conflicts between utilitarian and non-utilitarian ethical principles in moral dilemmas. Past research suggests that utilitarian responses to dilemmas can both erode and enhance trust in leaders: sacrificing some people to save many others ('instrumental harm') reduces trust, while maximizing the welfare of everyone equally ('impartial beneficence') may increase trust. In a multi-site experiment spanning 22 countries on six continents, participants (N = 23,929) completed self-report (N = 17,591) and behavioural (N = 12,638) measures of trust in leaders who endorsed utilitarian or non-utilitarian principles in dilemmas concerning the COVID-19 pandemic. Across both the self-report and behavioural measures, endorsement of instrumental harm decreased trust, while endorsement of impartial beneficence increased trust. These results show how support for different ethical principles can impact trust in leaders, and inform effective public communication during times of global crisis.</t>
  </si>
  <si>
    <t>Sul, Sunhae/AAD-4085-2021; Boggio, Paulo/K-6272-2012; Yu, Hongbo/M-8181-2019; Everett, Jim/L-4109-2019; Reggev, Niv/F-5284-2010; Prosser, Annayah/KYQ-2637-2024; Goel, Srishti/LBG-8757-2024; Shin, Yeon Soon/LSJ-0754-2024; Chung, Dongil/B-4284-2018; Crockett, Molly/F-8217-2014; Tummers, Lars/N-8021-2019; Sabin, Nicholas/KCK-3707-2024; Chituc, Vladimir/HPD-6066-2023; Mathys, Christoph/D-5661-2014; Tummers, Lars/B-4253-2014; Brady, William/KCY-3415-2024</t>
  </si>
  <si>
    <t>Mathys, Christoph/0000-0003-4079-5453; Goel, Srishti/0000-0003-4697-8840; Olsen, Asmus/0000-0002-7365-6161; Colombatto, Clara/0000-0003-3293-8741; /0000-0001-7272-7186; Chituc, Vladimir/0000-0002-5316-6245; Marechal, Michel/0000-0002-6627-0252; Prosser, Annayah/0000-0003-2381-9556; Drupp, Moritz/0000-0001-8981-0496; Everett, Jim/0000-0003-2801-5426; Tummers, Lars/0000-0001-9940-9874; Pearce, Graeme/0000-0002-4701-2629; Bos, Bjorn/0000-0003-0242-474X; Brady, William/0000-0001-6075-5446; Sabin, Nicholas/0000-0002-6702-976X; Chung, Dongil/0000-0003-1999-0326</t>
  </si>
  <si>
    <t>2397-3374</t>
  </si>
  <si>
    <t>10.1038/s41562-021-01156-y</t>
  </si>
  <si>
    <t>WOS:000668823900003</t>
  </si>
  <si>
    <t>Copeland, WE; Ivanova, MY; Achenbach, TM; Turner, LV; Tong, GY; Ahmeti-Pronaj, A; Au, A; Bellina, M; Caldas, JC; Chen, YC; Csemy, L; da Rocha, MM; Dobrean, A; Ezpeleta, L; Funabiki, Y; Harder, VS; Lecannelier, F; de la Cabada, ML; Leung, P; Liu, JH; Mahr, S; Malykh, S; Markovic, J; Ndetei, DM; Oh, KJ; Petot, JM; Riad, G; Sakarya, D; Samaniego, VC; Sebre, S; Shahini, M; Silvares, E; Simulioniene, R; Sokoli, E; Talcott, JB; Vazquez, N; Wolanczyk, T; Zasepa, E</t>
  </si>
  <si>
    <t>Copeland, William E.; Ivanova, Masha Y.; Achenbach, Thomas M.; Turner, Lori V.; Tong, Guangyu; Ahmeti-Pronaj, Adelina; Au, Alma; Bellina, Monica; Caldas, J. Carlos; Chen, Yi-Chuen; Csemy, Ladislav; da Rocha, Marina M.; Dobrean, Anca; Ezpeleta, Lourdes; Funabiki, Yasuko; Harder, Valerie S.; Lecannelier, Felipe; de la Cabada, Marie Leiner; Leung, Patrick; Liu, Jianghong; Mahr, Safia; Malykh, Sergey; Markovic, Jasminka; Ndetei, David M.; Oh, Kyung Ja; Petot, Jean-Michel; Riad, Geylan; Sakarya, Direnc; Samaniego, Virginia C.; Sebre, Sandra; Shahini, Mimoza; Silvares, Edwiges; Simulioniene, Roma; Sokoli, Elvisa; Talcott, Joel B.; Vazquez, Natalia; Wolanczyk, Tomasz; Zasepa, Ewa</t>
  </si>
  <si>
    <t>Cultural contributions to adults' self-rated mental health problems and strengths: 7 culture clusters, 28 societies, 16 906 adults</t>
  </si>
  <si>
    <t>PSYCHOLOGICAL MEDICINE</t>
  </si>
  <si>
    <t>BackgroundIt is unknown how much variation in adult mental health problems is associated with differences between societal/cultural groups, over and above differences between individuals. MethodsTo test these relative contributions, a consortium of indigenous researchers collected Adult Self-Report (ASR) ratings from 16 906 18- to 59-year-olds in 28 societies that represented seven culture clusters identified in the Global Leadership and Organizational Behavioral Effectiveness study (e.g. Confucian, Anglo). The ASR is scored on 17 problem scales, plus a personal strengths scale. Hierarchical linear modeling estimated variance accounted for by individual differences (including measurement error), society, and culture cluster. Multi-level analyses of covariance tested age and gender effects. ResultsAcross the 17 problem scales, the variance accounted for by individual differences ranged from 80.3% for DSM-oriented anxiety problems to 95.2% for DSM-oriented avoidant personality (mean = 90.7%); by society: 3.2% for DSM-oriented somatic problems to 8.0% for DSM-oriented anxiety problems (mean = 6.3%); and by culture cluster: 0.0% for DSM-oriented avoidant personality to 11.6% for DSM-oriented anxiety problems (mean = 3.0%). For strengths, individual differences accounted for 80.8% of variance, societal differences 10.5%, and cultural differences 8.7%. Age and gender had very small effects. ConclusionsOverall, adults' self-ratings of mental health problems and strengths were associated much more with individual differences than societal/cultural differences, although this varied across scales. These findings support cross-cultural use of standardized measures to assess mental health problems, but urge caution in assessment of personal strengths.</t>
  </si>
  <si>
    <t>Bellina, Monica/J-3637-2016; Csemy, Ladislav/W-7915-2018; Sakarya, Direnc/AAH-5956-2019; Au, Alma/C-5780-2014; Vázquez, Natalia/KVC-2425-2024; Liu, Jianghong/AAE-8130-2020; Achenbach, Thomas/E-8254-2010; Šimulionienė, Roma/KUD-2836-2024; Shahini, Mimoza/M-6466-2019; Malykh, Sergey/ITT-3000-2023; Samaniego, Corina/HQD-2173-2023; Leiner, Marie/U-3851-2017; Caldas, Carlos/AAI-3445-2020; Dobrean, Anca/AAN-5464-2020; Rocha, Marina/E-4207-2013; Copeland, William E/N-5413-2014; Malykh, Sergey/I-3697-2013; Dobrean, Anca/K-6562-2013</t>
  </si>
  <si>
    <t>Copeland, William E/0000-0002-1348-7781; Malykh, Sergey/0000-0002-3786-7447; Wolanczyk, Tomasz/0000-0002-3223-5467; Dobrean, Anca/0000-0001-6089-1018; da Silva Caldas, Jose Carlos/0000-0001-7846-1884; Tong, Guangyu/0000-0002-7697-5029; Ndetei, David/0000-0001-6891-4990</t>
  </si>
  <si>
    <t>0033-2917</t>
  </si>
  <si>
    <t>1469-8978</t>
  </si>
  <si>
    <t>PII S0033291723001332</t>
  </si>
  <si>
    <t>10.1017/S0033291723001332</t>
  </si>
  <si>
    <t>WOS:001008037300001</t>
  </si>
  <si>
    <t>Mozzachiodi, S; Bai, FY; Baldrian, P; Bell, G; Boundy-Mills, K; Buzzini, P; Cadez, N; Cubillos, FA; Dashko, S; Dimitrov, R; Fisher, KJ; Gibson, B; Gouliamova, D; Greig, D; Heistinger, L; Hittinger, CT; Jecmenica, M; Koufopanou, V; Landry, CR; Masínová, T; Naumova, ES; Opulente, D; Peña, JJ; Petrovic, U; Tsai, IJ; Turchetti, B; Villarreal, P; Yurkov, A; Liti, G; Boynton, P</t>
  </si>
  <si>
    <t>Mozzachiodi, Simone; Bai, Feng-Yan; Baldrian, Petr; Bell, Graham; Boundy-Mills, Kyria; Buzzini, Pietro; Cadez, Neza; Cubillos, Francisco A.; Dashko, Sofia; Dimitrov, Roumen; Fisher, Kaitlin J.; Gibson, Brian; Gouliamova, Dilnora; Greig, Duncan; Heistinger, Lina; Hittinger, Chris Todd; Jecmenica, Marina; Koufopanou, Vassiliki; Landry, Christian R.; Masinova, Tereza; Naumova, Elena S.; Opulente, Dana; Pena, Jacqueline J.; Petrovic, Uros; Tsai, Isheng Jason; Turchetti, Benedetta; Villarreal, Pablo; Yurkov, Andrey; Liti, Gianni; Boynton, Primrose</t>
  </si>
  <si>
    <t>Yeasts from temperate forests</t>
  </si>
  <si>
    <t>YEAST</t>
  </si>
  <si>
    <t>Yeasts are ubiquitous in temperate forests. While this broad habitat is well-defined, the yeasts inhabiting it and their life cycles, niches, and contributions to ecosystem functioning are less understood. Yeasts are present on nearly all sampled substrates in temperate forests worldwide. They associate with soils, macroorganisms, and other habitats and no doubt contribute to broader ecosystem-wide processes. Researchers have gathered information leading to hypotheses about yeasts' niches and their life cycles based on physiological observations in the laboratory as well as genomic analyses, but the challenge remains to test these hypotheses in the forests themselves. Here, we summarize the habitat and global patterns of yeast diversity, give some information on a handful of well-studied temperate forest yeast genera, discuss the various strategies to isolate forest yeasts, and explain temperate forest yeasts' contributions to biotechnology. We close with a summary of the many future directions and outstanding questions facing researchers in temperate forest yeast ecology. Yeasts present an exciting opportunity to better understand the hidden world of microbial ecology in this threatened and global habitat.</t>
  </si>
  <si>
    <t>Opulente, Dana/AGP-4445-2022; Turchetti, Benedetta/AAC-8847-2019; Bai, Feng-Yan/E-7860-2019; Landry, Christian/F-3890-2011; Tsai, Isheng/ABB-8273-2021; Villarreal, Pablo/N-8921-2019; Liti, Gianni/I-9929-2014; Greig, Duncan/AAW-3139-2020; Pietro, Buzzini/F-5739-2014; Baldrian, Petr/A-9170-2009; Cubillos, Francisco/MIT-2389-2025; Cadez, Neza/AFO-6279-2022; Cubillos, Francisco/G-5195-2019; Naumova, Elena S/B-5156-2017; Yurkov, Andrey/E-7854-2011</t>
  </si>
  <si>
    <t>Pena, Jacqueline/0000-0003-3215-2298; Petrovic, Uros/0000-0002-9743-9145; Mozzachiodi, Simone/0000-0002-0950-8674; Gibson, Brian/0000-0002-1270-6532; Cubillos, Francisco/0000-0003-3022-469X; Boynton, Primrose/0000-0003-0720-8966; Greig, Duncan/0000-0002-8907-0253; Naumova, Elena S/0000-0001-5178-1976; Yurkov, Andrey/0000-0002-1072-5166</t>
  </si>
  <si>
    <t>0749-503X</t>
  </si>
  <si>
    <t>1097-0061</t>
  </si>
  <si>
    <t>1-2</t>
  </si>
  <si>
    <t>10.1002/yea.3699</t>
  </si>
  <si>
    <t>WOS:000757166600001</t>
  </si>
  <si>
    <t>Morey, RD; Kaschak, MP; Díez-Alamo, AM; Glenberg, AM; Zwaan, RA; Lakens, D; Ibáñez, A; García, A; Gianelli, C; Jones, JL; Madden, J; Alifano, F; Bergen, B; Bloxsom, NG; Bub, DN; Cai, ZGG; Chartier, CR; Chatterjee, A; Conwell, E; Cook, SW; Davis, JD; Evers, ERK; Girard, S; Harter, D; Hartung, F; Herrera, E; Huettig, F; Humphries, S; Juanchich, M; Kühne, K; Lu, SL; Lynes, T; Masson, MEJ; Ostarek, M; Pessers, S; Reglin, R; Steegen, S; Thiessen, ED; Thomas, LE; Trott, S; Vandekerckhove, J; Vanpaemel, W; Vlachou, M; Williams, K; Ziv-Crispel, N</t>
  </si>
  <si>
    <t>Morey, Richard D.; Kaschak, Michael P.; Diez-Alamo, Antonio M.; Glenberg, Arthur M.; Zwaan, Rolf A.; Lakens, Daniel; Ibanez, Agustin; Garcia, Adolfo; Gianelli, Claudia; Jones, John L.; Madden, Julie; Alifano, Florencia; Bergen, Benjamin; Bloxsom, Nicholas G.; Bub, Daniel N.; Cai, Zhenguang G.; Chartier, Christopher R.; Chatterjee, Anjan; Conwell, Erin; Cook, Susan Wagner; Davis, Joshua D.; Evers, Ellen R. K.; Girard, Sandrine; Harter, Derek; Hartung, Franziska; Herrera, Eduar; Huettig, Falk; Humphries, Stacey; Juanchich, Marie; Kuehne, Katharina; Lu, Shulan; Lynes, Tom; Masson, Michael E. J.; Ostarek, Markus; Pessers, Sebastiaan; Reglin, Rebecca; Steegen, Sara; Thiessen, Erik D.; Thomas, Laura E.; Trott, Sean; Vandekerckhove, Joachim; Vanpaemel, Wolf; Vlachou, Maria; Williams, Kristina; Ziv-Crispel, Noam</t>
  </si>
  <si>
    <t>A pre-registered, multi-lab non-replication of the action-sentence compatibility effect (ACE)</t>
  </si>
  <si>
    <t>PSYCHONOMIC BULLETIN &amp; REVIEW</t>
  </si>
  <si>
    <t>The Action-sentence Compatibility Effect (ACE) is a well-known demonstration of the role of motor activity in the comprehension of language. Participants are asked to make sensibility judgments on sentences by producing movements toward the body or away from the body. The ACE is the finding that movements are faster when the direction of the movement (e.g., toward) matches the direction of the action in the to-be-judged sentence (e.g., Art gave you the pen describes action toward you). We report on a pre-registered, multi-lab replication of one version of the ACE. The results show that none of the 18 labs involved in the study observed a reliable ACE, and that the meta-analytic estimate of the size of the ACE was essentially zero.</t>
  </si>
  <si>
    <t>Lakens, Daniel/K-3831-2015; vanpaemel, wolf/AAC-9834-2022; Cai, Zhenguang/ABB-7200-2020; Huettig, Falk/D-1991-2010; García, Adolfo/E-7150-2017; Morey, Richard/B-1945-2014; Herrera, Eduar/IXD-5515-2023; Gianelli, Claudia/AAC-1518-2019; Cai, Zhenguang/B-3765-2016; Ibanez, Agustin/H-7976-2015; Diez-Alamo, Antonio M./B-1372-2019</t>
  </si>
  <si>
    <t>Herrera, Eduar/0000-0001-9409-245X; Kuehne, Katharina/0000-0002-1334-1563; Cai, Zhenguang/0000-0002-4097-6038; Huettig, Falk/0000-0001-9135-4178; Zwaan, Rolf/0000-0001-9967-7879; vanpaemel, wolf/0000-0002-5855-3885; Ibanez, Agustin/0000-0001-6758-5101; Diez-Alamo, Antonio M./0000-0002-8071-9992; Bergen, Benjamin/0000-0002-9395-9151; Kaschak, Michael/0000-0002-7704-4904</t>
  </si>
  <si>
    <t>1069-9384</t>
  </si>
  <si>
    <t>1531-5320</t>
  </si>
  <si>
    <t>10.3758/s13423-021-01927-8</t>
  </si>
  <si>
    <t>WOS:000716231200001</t>
  </si>
  <si>
    <t>Wallström, SHJ; Danilovich, T; Müller, HSP; Gottlieb, CA; Maes, S; Van de Sande, M; Decin, L; Richards, AMS; Baudry, A; Bolte, J; Ceulemans, T; De Ceuster, F; de Koter, A; El Mellah, I; Esseldeurs, M; Etoka, S; Gobrecht, D; Gottlieb, E; Gray, M; Herpin, F; Jeste, M; Kee, D; Kervella, P; Khouri, T; Lagadec, E; Malfait, J; Marinho, L; McDonald, I; Menten, KM; Millar, TJ; Montargès, M; Nuth, JA; Plane, JMC; Sahai, R; Waters, LBFM; Wong, KT; Yates, J; Zijlstra, A</t>
  </si>
  <si>
    <t>Wallstrom, S. H. J.; Danilovich, T.; Mueller, H. S. P.; Gottlieb, C. A.; Maes, S.; Van de Sande, M.; Decin, L.; Richards, A. M. S.; Baudry, A.; Bolte, J.; Ceulemans, T.; De Ceuster, F.; de Koter, A.; El Mellah, I.; Esseldeurs, M.; Etoka, S.; Gobrecht, D.; Gottlieb, E.; Gray, M.; Herpin, F.; Jeste, M.; Kee, D.; Kervella, P.; Khouri, T.; Lagadec, E.; Malfait, J.; Marinho, L.; McDonald, I.; Menten, K. M.; Millar, T. J.; Montarges, M.; Nuth, J. A.; Plane, J. M. C.; Sahai, R.; Waters, L. B. F. M.; Wong, K. T.; Yates, J.; Zijlstra, A.</t>
  </si>
  <si>
    <t>ATOMIUM: Molecular inventory of 17 oxygen-rich evolved stars observed with ALMA</t>
  </si>
  <si>
    <t>Context. The dusty winds of cool evolved stars are a major contributor of the newly synthesised material enriching the Galaxy and future generations of stars. However, the details of the physics and chemistry behind dust formation and wind launching have yet to be pinpointed. Recent spatially resolved observations show the importance of gaining a more comprehensive view of the circumstellar chemistry, but a comparative study of the intricate interplay between chemistry and physics is still difficult because observational details such as frequencies and angular resolutions are rarely comparable.Aims. Aiming to overcome these deficiencies, ATOMIUM is an ALMA Large Programme to study the physics and chemistry of the circumstellar envelopes of a diverse set of oxygen-rich evolved stars under homogeneous observing conditions at three angular resolutions between similar to 0.02''-1.4''. Here we summarize the molecular inventory of these sources, and the correlations between stellar parameters and molecular content. Methods. Seventeen oxygen-rich or S-type asymptotic giant branch (AGB) and red supergiant (RSG) stars have been observed in several tunings with ALMA Band 6, targeting a range of molecules to probe the circumstellar envelope and especially the chemistry of dust formation close to the star. We systematically assigned the molecular carriers of the spectral lines and measured their spectroscopic parameters and the angular extent of the emission of each line from integrated intensity maps. Results. Across the ATOMIUM sample, we detect 291 transitions of 24 different molecules and their isotopologues. This includes several first detections in oxygen-rich AGB/RSG stars: PO v = 1, SO2 v(1) = 1 and v(2) = 2, and several high energy H2O transitions. We also find several first detections in S-type AGB stars: vibrationally excited HCN v(2) = 2,3 and SiS v = 4,5,6, as well as first detections of the molecules SiC, AlCl, and AlF in W Aql. Overall, we find strong correlations between the following molecular pairs: CS and SiS, CS and AlF, NaCl and KCl, AlO and SO, SO2 and SO, and SO2 and H2O; meaning both molecules tend to have more detected emission lines in the same sources. The measured isotopic ratios of Si and S are found to be consistent with previous measurements, except for an anomalously high Si-29/Si-30 ratio of 4 +/- 1 in the RSG VX Sgr. Conclusions. This paper presents the overall molecular inventory and an initial analysis of the large ATOMIUM dataset, laying the groundwork for future work deriving molecular abundances and abundance profiles using radiative transfer modeling which will provide more rigorous tests for chemical models.</t>
  </si>
  <si>
    <t>Kee, N./JVZ-7158-2024; Khouri, Theo/ABA-7096-2020; Müller, Holger/HKW-6778-2023; Plane, John/C-7444-2015; McDonald, Iain/NBX-2664-2025; Van de Sande, Marie/ABG-2584-2021; Nuth, Joseph/E-7085-2012; Sahai, Raghvendra/G-7264-2018; Maes, Silke/HHN-0870-2022; Gray, Malcolm/LCE-3382-2024</t>
  </si>
  <si>
    <t>Danilovich, Taissa/0000-0002-1283-6038; Wallstrom, Sofia/0000-0001-8345-7097; Maes, Silke/0000-0003-4159-9964; Mueller, Holger/0000-0002-0183-8927; Zijlstra, Albert/0000-0002-3171-5469; Decin, Leen/0000-0002-5342-8612; McDonald, Iain/0000-0003-0356-0655; De Ceuster, Frederik/0000-0001-5887-8498; Gray, Malcolm/0000-0002-2094-846X; Wong, Ka Tat/0000-0002-4579-6546; Kee, Nathaniel Dylan/0000-0001-7322-5401</t>
  </si>
  <si>
    <t>A50</t>
  </si>
  <si>
    <t>10.1051/0004-6361/202347632</t>
  </si>
  <si>
    <t>WOS:001138829400002</t>
  </si>
  <si>
    <t>McClymont, EL; Ho, SL; Ford, HL; Bailey, I; Berke, MA; Bolton, CT; De Schepper, S; Grant, GR; Groeneveld, J; Inglis, GN; Karas, C; Patterson, MO; Swann, GEA; Thirumalai, K; White, SM; Alonso-Garcia, M; Anand, P; Hoogakker, BA; Littler, K; Petrick, BF; Risebrobakken, B; Abell, JT; Crocker, AJ; de Graaf, F; Feakins, SJ; Hargreaves, JC; Jones, CL; Markowska, M; Ratnayake, AS; Stepanek, C; Tangunan, D</t>
  </si>
  <si>
    <t>McClymont, E. L.; Ho, S. L.; Ford, H. L.; Bailey, I.; Berke, M. A.; Bolton, C. T.; De Schepper, S.; Grant, G. R.; Groeneveld, J.; Inglis, G. N.; Karas, C.; Patterson, M. O.; Swann, G. E. A.; Thirumalai, K.; White, S. M.; Alonso-Garcia, M.; Anand, P.; Hoogakker, B. A. A.; Littler, K.; Petrick, B. F.; Risebrobakken, B.; Abell, J. T.; Crocker, A. J.; de Graaf, F.; Feakins, S. J.; Hargreaves, J. C.; Jones, C. L.; Markowska, M.; Ratnayake, A. S.; Stepanek, C.; Tangunan, D.</t>
  </si>
  <si>
    <t>Climate Evolution Through the Onset and Intensification of Northern Hemisphere Glaciation</t>
  </si>
  <si>
    <t>REVIEWS OF GEOPHYSICS</t>
  </si>
  <si>
    <t>The Pliocene Epoch (&amp; SIM;5.3-2.6 million years ago, Ma) was characterized by a warmer than present climate with smaller Northern Hemisphere ice sheets, and offers an example of a climate system in long-term equilibrium with current or predicted near-future atmospheric CO2 concentrations (pCO(2)). A long-term trend of ice-sheet expansion led to more pronounced glacial (cold) stages by the end of the Pliocene (&amp; SIM;2.6 Ma), known as the intensification of Northern Hemisphere Glaciation (iNHG). We assessed the spatial and temporal variability of ocean temperatures and ice-volume indicators through the late Pliocene and early Pleistocene (from 3.3 to 2.4 Ma) to determine the character of this climate transition. We identified asynchronous shifts in long-term means and the pacing and amplitude of shorter-term climate variability, between regions and between climate proxies. Early changes in Antarctic glaciation and Southern Hemisphere ocean properties occurred even during the mid-Piacenzian warm period (&amp; SIM;3.264-3.025 Ma) which has been used as an analog for future warming. Increased climate variability subsequently developed alongside signatures of larger Northern Hemisphere ice sheets (iNHG). Yet, some regions of the ocean felt no impact of iNHG, particularly in lower latitudes. Our analysis has demonstrated the complex, non-uniform and globally asynchronous nature of climate changes associated with the iNHG. Shifting ocean gateways and ocean circulation changes may have pre-conditioned the later evolution of ice sheets with falling atmospheric pCO(2). Further development of high-resolution, multi-proxy reconstructions of climate is required so that the full potential of the rich and detailed geological records can be realized.</t>
  </si>
  <si>
    <t>Markowska, Magdalena/AAM-2576-2021; Bailey, Ian/C-4011-2012; Ford, Heather/CAG-7894-2022; Feakins, Sarah/K-4149-2012; Ratnayake, Amila/ABD-8541-2021; Alonso-Garcia, Montserrat/AAB-5338-2021; Bolton, Clara/A-2423-2012; Abell, Jordan/AAB-5589-2021; Swann, George/B-2794-2011; McClymont, Erin/AAX-3657-2020; Anand, Pallavi/Q-6725-2019; Berke, Melissa/H-3819-2016; Stepanek, Christian/ABA-9210-2021; Karas, Cyrus/V-5775-2017; Petrick, Benjamin/JWP-5723-2024; McClymont, Erin/K-2153-2012; Thirumalai, Kaustubh/N-2511-2014</t>
  </si>
  <si>
    <t>McClymont, Erin/0000-0003-1562-8768; Ho, Sze Ling/0000-0002-4898-9036; Markowska, Monika/0000-0003-1455-1121; Crocker, Anya/0000-0001-9561-5750; Bolton, Clara/0000-0002-3078-1253; Grant, Georgia Rose/0000-0002-2615-9322; de Graaf, Friso/0000-0002-4712-9309; Abell, Jordan/0000-0002-2458-8844; Tangunan, Deborah/0000-0002-1078-5767; Petrick, Benjamin/0000-0002-4211-0625; Thirumalai, Kaustubh/0000-0002-7875-4182; Hoogakker, Babette/0000-0002-8171-9679; Karas, Cyrus/0000-0002-7436-5016; Groeneveld, Jeroen/0000-0002-8382-8019; Inglis, Gordon/0000-0002-0032-4668; Berke, Melissa/0000-0003-4810-3773; Patterson, Molly/0000-0002-5058-9269</t>
  </si>
  <si>
    <t>8755-1209</t>
  </si>
  <si>
    <t>1944-9208</t>
  </si>
  <si>
    <t>e2022RG000793</t>
  </si>
  <si>
    <t>10.1029/2022RG000793</t>
  </si>
  <si>
    <t>WOS:001025964000001</t>
  </si>
  <si>
    <t>Macqueen, DJ; Primmer, CR; Houston, RD; Nowak, BF; Bernatchez, L; Bergseth, S; Davidson, WS; Gallardo-Escárate, C; Goldammer, T; Guiguen, Y; Iturra, P; Kijas, JW; Koop, BF; Lien, S; Maass, A; Martin, SAM; McGinnity, P; Montecino, M; Naish, KA; Nichols, KM; Olafsson, K; Omholt, SW; Palti, Y; Plastow, GS; Rexroad, CE; Rise, ML; Ritchie, RJ; Sandve, SR; Schulte, PM; Tello, A; Vidal, R; Vik, JO; Wargelius, A; Yañez, JM</t>
  </si>
  <si>
    <t>Macqueen, Daniel J.; Primmer, Craig R.; Houston, Ross D.; Nowak, Barbara F.; Bernatchez, Louis; Bergseth, Steinar; Davidson, William S.; Gallardo-Escarate, Cristian; Goldammer, Tom; Guiguen, Yann; Iturra, Patricia; Kijas, James W.; Koop, Ben F.; Lien, Sigbjorn; Maass, Alejandro; Martin, Samuel A. M.; McGinnity, Philip; Montecino, Martin; Naish, Kerry A.; Nichols, Krista M.; Olafsson, Kristinn; Omholt, Stig W.; Palti, Yniv; Plastow, Graham S.; Rexroad, Caird E., III; Rise, Matthew L.; Ritchie, Rachael J.; Sandve, Simen R.; Schulte, Patricia M.; Tello, Alfredo; Vidal, Rodrigo; Vik, Jon Olav; Wargelius, Anna; Yanez, Jose Manuel</t>
  </si>
  <si>
    <t>FAASG Consortium</t>
  </si>
  <si>
    <t>Functional Annotation of All Salmonid Genomes (FAASG): an international initiative supporting future salmonid research, conservation and aquaculture</t>
  </si>
  <si>
    <t>BMC GENOMICS</t>
  </si>
  <si>
    <t>We describe an emerging initiative - the 'Functional Annotation of All Salmonid Genomes' (FAASG), which will leverage the extensive trait diversity that has evolved since a whole genome duplication event in the salmonid ancestor, to develop an integrative understanding of the functional genomic basis of phenotypic variation. The outcomes of FAASG will have diverse applications, ranging from improved understanding of genome evolution, to improving the efficiency and sustainability of aquaculture production, supporting the future of fundamental and applied research in an iconic fish lineage of major societal importance.</t>
  </si>
  <si>
    <t>Vik, Jon/B-9350-2008; Kijas, James/A-4656-2011; Martin, Samuel/K-5396-2012; Yáñez, José/H-5279-2013; Schulte, Patricia/AAB-3934-2019; Gallardo-Escárate, Cristian/AAE-8980-2022; Davidson, Willie/M-1992-2019; Macqueen, Daniel/A-7456-2013; Maass, Alejandro/D-5848-2012; Primmer, Craig/B-8179-2008; Nowak, Barbara/J-7261-2014; Koop, Ben/A-8151-2008; Naish, Kerry-Ann/F-5768-2014</t>
  </si>
  <si>
    <t>Montecino, Martin/0000-0002-6025-0023; Maass, Alejandro/0000-0002-7038-4527; Primmer, Craig/0000-0002-3687-8435; Plastow, Graham/0000-0002-3774-3110; Nowak, Barbara/0000-0002-0347-643X; Houston, Ross/0000-0003-1805-0762; Bernatchez, Louis/0000-0002-8085-9709; Koop, Ben/0000-0003-0045-5200; Harrison, Peter/0000-0002-4007-2899; Naish, Kerry-Ann/0000-0002-3275-8778; Gallardo-Escarate, Cristian/0000-0002-7094-6702; Martin, Samuel/0000-0003-0289-6317</t>
  </si>
  <si>
    <t>1471-2164</t>
  </si>
  <si>
    <t>JUN 27</t>
  </si>
  <si>
    <t>10.1186/s12864-017-3862-8</t>
  </si>
  <si>
    <t>WOS:000405443700001</t>
  </si>
  <si>
    <t>Sosa, AL; Brucki, SMD; Crivelli, L; Lopera, FJ; Acosta, DM; Acosta-Uribe, J; Aguilar, D; Aguilar-Navarro, SG; Allegri, RF; Bertolucci, PHF; Calandri, IL; Carrillo, MC; Mendez, PAC; Cornejo-Olivas, M; Custodio, N; Damian, A; de Souza, LC; Duran-Aniotz, C; García, AM; García-Peña, C; Gonzales, MM; Grinberg, LT; Ibanez, AM; Illanes-Manrique, MZ; Jack, CR Jr; Leon-Salas, JM; Llibre-Guerra, JJ; Luna-Muñoz, J; Matallana, D; Miller, BL; Naci, L; Parra, MA; Pericak-Vance, M; Piña-Escudero, SD; Resende, EDF; Ringman, JM; Sevlever, G; Slachevsky, A; Suemoto, CK; Valcour, V; Villegas-Lanau, A; Yassuda, MS; Mahinrad, S; Sexton, C</t>
  </si>
  <si>
    <t>Sosa, Ana Luisa; Brucki, Sonia M. D.; Crivelli, Lucia; Lopera, Francisco Javier; Acosta, Daisy M.; Acosta-Uribe, Juliana; Aguilar, Diego; Aguilar-Navarro, Sara G.; Allegri, Ricardo F.; Bertolucci, Paulo H. F.; Calandri, Ismael L.; Carrillo, Maria C.; Mendez, Patricio Alexis Chrem; Cornejo-Olivas, Mario; Custodio, Nilton; Damian, Andres; de Souza, Leonardo Cruz; Duran-Aniotz, Claudia; Garcia, Adolfo M.; Garcia-Pena, Carmen; Gonzales, Mitzi M.; Grinberg, Lea T.; Ibanez, Agustin M.; Illanes-Manrique, Maryenela Zaida; Jack Jr, Clifford R.; Leon-Salas, Jorge Mario; Llibre-Guerra, Jorge J.; Luna-Munoz, Jose; Matallana, Diana; Miller, Bruce L.; Naci, Lorina; Parra, Mario A.; Pericak-Vance, Margaret; Pina-Escudero, Stefanie D.; Resende, Elisa de Paula Franca; Ringman, John M.; Sevlever, Gustavo; Slachevsky, Andrea; Suemoto, Claudia Kimie; Valcour, Victor; Villegas-Lanau, Andres; Yassuda, Monica S.; Mahinrad, Simin; Sexton, Claire</t>
  </si>
  <si>
    <t>Advancements in dementia research, diagnostics, and care in Latin America: Highlights from the 2023 Alzheimer's Association International conference satellite symposium in Mexico City</t>
  </si>
  <si>
    <t>INTRODUCTION: While Latin America (LatAm) is facing an increasing burden of dementia due to the rapid aging of the population, it remains underrepresented in dementia research, diagnostics, and care. METHODS: In 2023, the Alzheimer's Association hosted its eighth satellite symposium in Mexico, highlighting emerging dementia research, priorities, and challenges within LatAm. RESULTS: Significant initiatives in the region, including intracountry support, showcased their efforts in fostering national and international collaborations; genetic studies unveiled the unique genetic admixture in LatAm; researchers conducting emerging clinical trials discussed ongoing culturally specific interventions; and the urgent need to harmonize practices and studies, improve diagnosis and care, and use affordable biomarkers in the region was highlighted. DISCUSSION: The myriad of topics discussed at the 2023 AAIC satellite symposium highlighted the growing research efforts in LatAm, providing valuable insights into dementia biology, genetics, epidemiology, treatment, and care.</t>
  </si>
  <si>
    <t>Ortiz, Ana/AAU-9376-2021; Mahinrad, Simin/AAP-2519-2021; Bertolucci, Paulo/F-4281-2012; Yassuda, Monica/C-9693-2012; Jack, Clifford/F-2508-2010; Suemoto, Claudia/C-7218-2012; Ibanez, Agustin/H-7976-2015; Maria Dozzi Brucki, Sonia/HKV-7483-2023; Parra, Mario/C-6135-2009; ALLEGRI, RICARDO/AAY-4898-2021; Grinberg, Lea/F-2834-2014; de Souza, Leonardo/C-1833-2016; Custodio, Nilton/W-6035-2019; Crivelli, Lucía/AAS-4922-2021; Cornejo-Olivas, Mario/F-9744-2017; Illanes-Manrique, Maryenela/HGD-1366-2022</t>
  </si>
  <si>
    <t>Duran-Aniotz, Claudia/0000-0003-2503-8366; Illanes-Manrique, Maryenela/0000-0002-3098-0981; Luna-Munoz, Jose/0000-0002-6927-913X</t>
  </si>
  <si>
    <t>10.1002/alz.13850</t>
  </si>
  <si>
    <t>WOS:001236238500001</t>
  </si>
  <si>
    <t>Mayama, S; Pérez, S; Kusakabe, N; Muto, T; Tsukagoshi, T; Sitko, ML; Takami, M; Hashimoto, J; Dong, RB; Kwon, J; Hayashi, SS; Kudo, T; Kuzuhara, M; Follette, K; Fukagawa, M; Momose, M; Oh, D; de Leon, J; Akiyama, E; Wisniewski, JP; Yang, Y; Abe, L; Brandner, W; Brandt, TD; Bonnefoy, M; Carson, JC; Chilcote, J; Currie, T; Feldt, M; Goto, M; Grady, CA; Groff, T; Guyon, O; Hayano, Y; Hayashi, M; Henning, T; Hodapp, KW; Ishii, M; Iye, M; Janson, M; Jovanovic, N; Kandori, R; Kasdin, J; Knapp, GR; Lozi, J; Martinache, F; Matsuo, T; McElwain, MW; Miyama, S; Morino, JI; Moro-Martin, A; Nakagawa, T; Nishimura, T; Pyo, TS; Rich, EA; Serabyn, E; Suto, H; Suzuki, R; Takato, N; Terada, H; Thalmann, C; Tomono, D; Turner, EL; Watanabe, M; Yamada, T; Takami, H; Usuda, T; Uyama, T; Tamura, M</t>
  </si>
  <si>
    <t>Mayama, Satoshi; Perez, Sebastian; Kusakabe, Nobuhiko; Muto, Takayuki; Tsukagoshi, Takashi; Sitko, Michael L.; Takami, Michihiro; Hashimoto, Jun; Dong, Ruobing; Kwon, Jungmi; Hayashi, Saeko S.; Kudo, Tomoyuki; Kuzuhara, Masayuki; Follette, Katherine; Fukagawa, Misato; Momose, Munetake; Oh, Daehyeon; de Leon, Jerome; Akiyama, Eiji; Wisniewski, John P.; Yang, Yi; Abe, Lyu; Brandner, Wolfgang; Brandt, Timothy D.; Bonnefoy, Michael; Carson, Joseph C.; Chilcote, Jeffrey; Currie, Thayne; Feldt, Markus; Goto, Miwa; Grady, Carol A.; Groff, Tyler; Guyon, Olivier; Hayano, Yutaka; Hayashi, Masahiko; Henning, Thomas; Hodapp, Klaus W.; Ishii, Miki; Iye, Masanori; Janson, Markus; Jovanovic, Nemanja; Kandori, Ryo; Kasdin, Jeremy; Knapp, Gillian R.; Lozi, Julien; Martinache, Frantz; Matsuo, Taro; McElwain, Michael W.; Miyama, Shoken; Morino, Jun-Ichi; Moro-Martin, Amaya; Nakagawa, Takao; Nishimura, Tetsuo; Pyo, Tae-Soo; Rich, Evan A.; Serabyn, Eugene; Suto, Hiroshi; Suzuki, Ryuji; Takato, Naruhisa; Terada, Hiroshi; Thalmann, Christian; Tomono, Daigo; Turner, Edwin L.; Watanabe, Makoto; Yamada, Toru; Takami, Hideki; Usuda, Tomonori; Uyama, Taichi; Tamura, Motohide</t>
  </si>
  <si>
    <t>Subaru Near-infrared Imaging Polarimetry of Misaligned Disks around the SR 24 Hierarchical Triple System</t>
  </si>
  <si>
    <t>The SR 24 multistar system hosts both circumprimary and circumsecondary disks, which are strongly misaligned with each other. The circumsecondary disk is circumbinary in nature. Interestingly, both disks are interacting, and they possibly rotate in opposite directions. To investigate the nature of this unique twin disk system, we present 0.'' 1 resolution near-infrared polarized intensity images of the circumstellar structures around SR 24, obtained with HiCIAO mounted on the Subaru 8.2 m telescope. Both the circumprimary disk and the circumsecondary disk are resolved and have elongated features. While the position angle of the major axis and radius of the near-IR (NIR) polarization disk around SR 24S are 55 degrees and 137 au, respectively, those around SR 24N are 110 degrees and 34 au, respectively. With regard to overall morphology, the circumprimary disk around SR 24S shows strong asymmetry, whereas the circumsecondary disk around SR 24N shows relatively strong symmetry. Our NIR observations confirm the previous claim that the circumprimary and circumsecondary disks are misaligned from each other. Both the circumprimary and circumsecondary disks show similar structures in (CO)-C-12 observations in terms of its size and elongation direction. This consistency is because both NIR and (CO)-C-12 are tracing surface layers of the flared disks. As the radius of the polarization disk around SR 24N is roughly consistent with the size of the outer Roche lobe, it is natural to interpret the polarization disk around SR 24N as a circumbinary disk surrounding the SR 24Nb-Nc system.</t>
  </si>
  <si>
    <t>McElwain, Michael/D-3607-2012; Henning, Thomas/O-4372-2018; Guyon, Olivier/N-4719-2019; Brandner, Wolfgang/AFR-1606-2022; Yang, Yi/JLM-8918-2023; Pérez, Sebastián/AAS-5857-2020; Iye, Masanori/KIL-1254-2024; Tsukagoshi, Takashi/AAU-4375-2020; Matsuoka, Yoshiki/MTB-5673-2025; Hashimoto, Jun/M-5480-2018; Rui, Dong/LDG-0179-2024; Chilcote, Jeffrey/LVR-6358-2024; Takami, Michihiro/ABA-7396-2020; Muto, Takayuki/AAV-5907-2020; Watanabe, Makoto/E-3667-2016</t>
  </si>
  <si>
    <t>Kusakabe, Nobuhiko/0000-0001-9194-1268; Hodapp, Klaus/0000-0003-0786-2140; Janson, Markus/0000-0001-8345-593X; Takami, Michihiro/0000-0001-9248-7546; Sitko, Michael/0000-0003-1799-1755; Yang, Yi/0000-0002-9024-4150; Knapp, Gillian/0000-0002-9259-1164; Momose, Munetake/0000-0002-3001-0897; Hayashi, Masahiko/0000-0002-4790-7940; Dong, Ruobing/0000-0001-9290-7846; Perez, Sebastian/0000-0003-2953-755X; Watanabe, Makoto/0000-0002-3656-4081; Iye, Masanori/0000-0002-5634-7770; Tsukagoshi, Takashi/0000-0002-6034-2892; Carson, Joseph/0009-0001-6608-6682; Moro Martin, Amaya/0000-0001-9504-8426; Follette, Katherine/0000-0002-7821-0695</t>
  </si>
  <si>
    <t>10.3847/1538-3881/ab5850</t>
  </si>
  <si>
    <t>WOS:000555473100012</t>
  </si>
  <si>
    <t>Samore, T; Fessler, DMT; Sparks, AM; Holbrook, C; Aaroe, L; Baeza, CG; Barbato, MT; Barclay, P; Berniunas, R; Contreras-Garduño, J; Costa-Neves, B; Grazioso, MD; Elmas, P; Fedor, P; Fernandez, AM; Fernández-Morales, R; Garcia-Marques, L; Giraldo-Perez, P; Gul, P; Habacht, F; Hasan, Y; Hernandez, EJ; Jarmakowski, T; Kamble, S; Kameda, T; Kim, B; Kupfer, TR; Kurita, M; Li, NP; Lu, JS; Luberti, FR; Maegli, MA; Mejia, M; Morvinski, C; Naito, A; Ng'ang'a, A; de Oliveira, AN; Posner, DN; Prokop, P; Shani, Y; Solorzano, WOP; Stieger, S; Suryani, AO; Tan, LKL; Tybur, JM; Viciana, H; Visine, A; Wang, J; Wang, XT</t>
  </si>
  <si>
    <t>Samore, Theodore; Fessler, Daniel M. T.; Sparks, Adam Maxwell; Holbrook, Colin; Aaroe, Lene; Baeza, Carmen Gloria; Barbato, Maria Teresa; Barclay, Pat; Berniunas, Renatas; Contreras-Garduno, Jorge; Costa-Neves, Bernardo; del Pilar Grazioso, Maria; Elmas, Pinar; Fedor, Peter; Fernandez, Ana Maria; Fernandez-Morales, Regina; Garcia-Marques, Leonel; Giraldo-Perez, Paulina; Gul, Pelin; Habacht, Fanny; Hasan, Youssef; Hernandez, Earl John; Jarmakowski, Tomasz; Kamble, Shanmukh; Kameda, Tatsuya; Kim, Bia; Kupfer, Tom R.; Kurita, Maho; Li, Norman P.; Lu, Junsong; Luberti, Francesca R.; Maegli, Maria Andree; Mejia, Marines; Morvinski, Coby; Naito, Aoi; Ng'ang'a, Alice; de Oliveira, Angelica Nascimento; Posner, Daniel N.; Prokop, Pavol; Shani, Yaniv; Solorzano, Walter Omar Paniagua; Stieger, Stefan; Suryani, Angela Oktavia; Tan, Lynn K. L.; Tybur, Joshua M.; Viciana, Hugo; Visine, Amandine; Wang, Jin; Wang, Xiao-Tian</t>
  </si>
  <si>
    <t>Greater traditionalism predicts COVID-19 precautionary behaviors across 27 societies</t>
  </si>
  <si>
    <t>People vary both in their embrace of their society's traditions, and in their perception of hazards as salient and necessitating a response. Over evolutionary time, traditions have offered avenues for addressing hazards, plausibly resulting in linkages between orientations toward tradition and orientations toward danger. Emerging research documents connections between traditionalism and threat responsivity, including pathogen-avoidance motivations. Additionally, because hazard-mitigating behaviors can conflict with competing priorities, associations between traditionalism and pathogen avoidance may hinge on contextually contingent tradeoffs. The COVID-19 pandemic provides a real-world test of the posited relationship between traditionalism and hazard avoidance. Across 27 societies (N = 7844), we find that, in a majority of countries, individuals' endorsement of tradition positively correlates with their adherence to costly COVID-19-avoidance behaviors; accounting for some of the conflicts that arise between public health precautions and other objectives further strengthens this evidence that traditionalism is associated with greater attention to hazards.</t>
  </si>
  <si>
    <t>Elmas, Pinar/GNP-1920-2022; WANG, XIAOTIAN/G-3748-2016; Viciana, Hugo/AAB-9712-2021; Fessler, Daniel/G-8485-2012; Garcia-Marques, Leonel/AAX-5418-2021; Fernández, Ana/E-6429-2011; LI, Norman/F-9075-2010; Kamble, Shanmukh/ABE-6993-2021; Morvinski, Coby/AAC-1244-2021; Tybur, Joshua/P-5435-2014; Jarmakowski, Tomasz/E-8630-2011; Prokop, Pavol/ABD-9546-2020; Fedor, Peter/ABD-4575-2020; Contreras Garduño, Jorge/AFM-4603-2022; Berniūnas, Renatas/HDM-1748-2022; Fernandez-Morales, Regina/AGO-5985-2022; Stieger, Stefan/G-2572-2012</t>
  </si>
  <si>
    <t>Li, Norman/0000-0002-4059-1613; Viciana Asensio, Hugo/0000-0002-4569-3635; Gul, Pelin/0000-0002-1856-2744; Fernandez-Morales, Regina/0000-0002-6516-7093; Aaroe, Lene/0000-0003-4551-3750; Prokop, Pavol/0000-0003-2016-7468; Morvinski, Coby/0000-0001-8081-7085; Maegli, Maria Andree/0000-0002-1601-8200; Elmas, Pinar/0000-0001-7909-7818; Fedor, Peter/0000-0003-4091-8935; Stieger, Stefan/0000-0002-7784-6624</t>
  </si>
  <si>
    <t>APR 11</t>
  </si>
  <si>
    <t>10.1038/s41598-023-29655-0</t>
  </si>
  <si>
    <t>WOS:000989630700051</t>
  </si>
  <si>
    <t>Fernandez-Fueyo, E; Ruiz-Dueñas, FJ; Ferreira, P; Floudas, D; Hibbett, DS; Canessa, P; Larrondo, LF; James, TY; Seelenfreund, D; Lobos, S; Polanco, R; Tello, M; Honda, Y; Watanabe, T; Watanabe, T; San, RJ; Kubicek, CP; Schmoll, M; Gaskell, J; Hammel, KE; St John, FJ; Vanden Wymelenberg, A; Sabat, G; BonDurant, SS; Syed, K; Yadav, JS; Doddapaneni, H; Subramanian, V; Lavín, JL; Oguiza, JA; Perez, G; Pisabarro, AG; Ramirez, L; Santoyo, F; Master, E; Coutinho, PM; Henrissat, B; Lombard, V; Magnuson, JK; Kües, U; Hori, C; Igarashi, K; Samejima, M; Held, BW; Barry, KW; LaButti, KM; Lapidus, A; Lindquist, EA; Lucas, SM; Riley, R; Salamov, AA; Hoffmeister, D; Schwenk, D; Hadar, Y; Yarden, O; de Vries, RP; Wiebenga, A; Stenlid, J; Eastwood, D; Grigoriev, IV; Berka, RM; Blanchette, RA; Kersten, P; Martinez, AT; Vicuna, R; Cullen, D</t>
  </si>
  <si>
    <t>Fernandez-Fueyo, Elena; Ruiz-Duenas, Francisco J.; Ferreira, Patricia; Floudas, Dimitrios; Hibbett, David S.; Canessa, Paulo; Larrondo, Luis F.; James, Tim Y.; Seelenfreund, Daniela; Lobos, Sergio; Polanco, Ruben; Tello, Mario; Honda, Yoichi; Watanabe, Takahito; Watanabe, Takashi; San, Ryu Jae; Kubicek, Christian P.; Schmoll, Monika; Gaskell, Jill; Hammel, Kenneth E.; St John, Franz J.; Vanden Wymelenberg, Amber; Sabat, Grzegorz; BonDurant, Sandra Splinter; Syed, Khajamohiddin; Yadav, Jagjit S.; Doddapaneni, Harshavardhan; Subramanian, Venkataramanan; Lavin, Jose L.; Oguiza, Jose A.; Perez, Gumer; Pisabarro, Antonio G.; Ramirez, Lucia; Santoyo, Francisco; Master, Emma; Coutinho, Pedro M.; Henrissat, Bernard; Lombard, Vincent; Magnuson, Jon Karl; Kuees, Ursula; Hori, Chiaki; Igarashi, Kiyohiko; Samejima, Masahiro; Held, Benjamin W.; Barry, Kerrie W.; LaButti, Kurt M.; Lapidus, Alla; Lindquist, Erika A.; Lucas, Susan M.; Riley, Robert; Salamov, Asaf A.; Hoffmeister, Dirk; Schwenk, Daniel; Hadar, Yitzhak; Yarden, Oded; de Vries, Ronald P.; Wiebenga, Ad; Stenlid, Jan; Eastwood, Daniel; Grigoriev, Igor V.; Berka, Randy M.; Blanchette, Robert A.; Kersten, Phil; Martinez, Angel T.; Vicuna, Rafael; Cullen, Dan</t>
  </si>
  <si>
    <t>Comparative genomics of Ceriporiopsis subvermispora and Phanerochaete chrysosporium provide insight into selective ligninolysis</t>
  </si>
  <si>
    <t>Efficient lignin depolymerization is unique to the wood decay basidiomycetes, collectively referred to as white rot fungi. Phanerochaete chrysosporium simultaneously degrades lignin and cellulose, whereas the closely related species, Ceriporiopsis subvermispora, also depolymerizes lignin but may do so with relatively little cellulose degradation. To investigate the basis for selective ligninolysis, we conducted comparative genome analysis of C. subvermispora and P. chrysosporium. Genes encoding manganese peroxidase numbered 13 and five in C. subvermispora and P. chrysosporium, respectively. In addition, the C. subvermispora genome contains at least seven genes predicted to encode laccases, whereas the P. chrysosporium genome contains none. We also observed expansion of the number of C. subvermispora desaturase-encoding genes putatively involved in lipid metabolism. Microarray-based transcriptome analysis showed substantial up-regulation of several desaturase and MnP genes in wood-containing medium. MS identified MnP proteins in C. subvermispora culture filtrates, but none in P. chrysosporium cultures. These results support the importance of MnP and a lignin degradation mechanism whereby cleavage of the dominant nonphenolic structures is mediated by lipid peroxidation products. Two C. subvermispora genes were predicted to encode peroxidases structurally similar to P. chrysosporium lignin peroxidase and, following heterologous expression in Escherichia coli, the enzymes were shown to oxidize high redox potential substrates, but not Mn2+. Apart from oxidative lignin degradation, we also examined cellulolytic and hemicellulolytic systems in both fungi. In summary, the C. subvermispora genetic inventory and expression patterns exhibit increased oxidoreductase potential and diminished cellulolytic capability relative to P. chrysosporium.</t>
  </si>
  <si>
    <t>Pérez, Gumer/L-7970-2014; Hibbett, David/ACP-1568-2022; Stenlid, Jan/K-5909-2019; Yarden, Oded/ABR-9071-2022; Master, Emma/O-3554-2014; Lindquist, Erika/AGM-6583-2022; de Vries, Ronald/JQJ-0061-2023; Neila, Patricia/Y-4803-2019; Hori, Chiaki/AAO-9734-2021; Riley, Robert/AAA-4531-2020; Wilson, Richard/AAF-4139-2019; Cullen, Daniel/AAN-5484-2020; Oguiza, Jose/K-5147-2014; Honda, Yoichi/KPB-1497-2024; Tello, Mario/N-4198-2019; Coutinho, Pedro/C-4473-2008; Fernández-Fueyo, Elena/G-8372-2017; Igarashi, Kiyohiko/E-6799-2016; Kües, Ursula/B-8280-2008; Lombard, Vincent/LTF-3779-2024; Pisabarro, Antonio G./K-3622-2014; /I-4348-2013; Martinez, Angel T/G-7284-2017; Hammel, Kenneth/G-1890-2011; Henrissat, Bernard/J-2475-2012; Ruiz-Duenas, Francisco Javier/L-9837-2015; Barry, Kerrie/AAA-5500-2020; YADAV, JAGJIT/AAN-8805-2020; syed, khajamohiddin/L-8774-2013; de Vries, Ronald/F-8125-2011; Larrondo, Luis/J-1086-2016; Ramirez, Lucia/K-3845-2014; Schmoll, Monika/I-6541-2016; Lavin, Jose Luis/J-7892-2013; St John, Franz Josef/J-8970-2016</t>
  </si>
  <si>
    <t>Sabat, Grzegorz/0000-0001-7668-7767; Lombard, Vincent/0000-0002-9684-7067; Perez, Gumer/0000-0003-2153-1962; Ferreira Neila, Patricia/0000-0003-4076-6118; Pisabarro, Antonio G./0000-0001-6987-5794; Stenlid, Jan/0000-0002-5344-2094; Igarashi, Kiyohiko/0000-0001-5152-7177; /0000-0003-0427-8731; , Oded/0000-0002-4722-535X; Martinez, Angel T/0000-0002-1584-2863; doddapaneni, harshavardhan/0000-0002-2433-633X; Hammel, Kenneth/0000-0002-2935-5847; Henrissat, Bernard/0000-0002-3434-8588; Magnuson, Jon/0000-0001-7712-7024; Master, Emma/0000-0002-6837-9817; Kues, Ursula/0000-0001-9180-4079; Blanchette, Robert A./0000-0003-2819-6511; Oguiza, Jose Antonio/0000-0002-3371-9981; Ruiz-Duenas, Francisco Javier/0000-0002-9837-5665; Barry, Kerrie/0000-0002-8999-6785; YADAV, JAGJIT/0000-0001-5036-3609; Canessa, Paulo/0000-0003-3138-8223; Tello, Mario/0000-0003-4573-6460; syed, khajamohiddin/0000-0002-1497-3570; de Vries, Ronald/0000-0002-4363-1123; Hori, Chiaki/0000-0002-5740-153X; Grigoriev, Igor/0000-0002-3136-8903; Riley, Robert/0000-0003-0224-0975; Larrondo, Luis/0000-0002-8832-7109; Ramirez, Lucia/0000-0002-0023-4240; Schmoll, Monika/0000-0003-3918-0574; Lavin, Jose Luis/0000-0003-0914-3211; St John, Franz Josef/0000-0003-3458-5628; Eastwood, Daniel/0000-0002-7015-0739</t>
  </si>
  <si>
    <t>APR 3</t>
  </si>
  <si>
    <t>10.1073/pnas.1119912109</t>
  </si>
  <si>
    <t>WOS:000302294700070</t>
  </si>
  <si>
    <t>Yeung, AWK; Aggarwal, BB; Orhan, IE; Barreca, D; Battino, M; Belwal, T; Bishayee, A; Daglia, M; Devkota, HP; Echeverría, J; El-Demerdashl, A; Balacheva, A; Georgieva, M; Godfrey, K; Gupta, VK; Horbanczuk, JO; Huminiecki, L; Józwik, A; Strzalkowska, N; Mocan, A; Mozos, I; Nabavi, SM; Pajpanova, T; Pittalà, V; Feder-Kubis, J; Sampino, S; Silva, AS; Sheridan, H; Sureda, A; Tewari, D; Wang, DD; Weissig, V; Yang, Y; Zengin, G; Shanker, K; Moosavi, MA; Shah, MA; Kozuharova, E; Al-Rimawi, F; Durazzo, A; Lucarini, M; Souto, EB; Santini, A; Malainer, C; Djilianov, D; Tancheva, LP; Li, HB; Gan, RY; Tzvetkov, NT; Atanasov, AG</t>
  </si>
  <si>
    <t>Yeung, Andy Wai Kan; Aggarwal, Bharat Bhushan; Orhan, Ilkay Erdogan; Barreca, Davide; Battino, Maurizio; Belwal, Tarun; Bishayee, Anupam; Daglia, Maria; Devkota, Hari Prasad; Echeverria, Javier; El-Demerdashl, Amr; Balacheva, Aneliya; Georgieva, Maya; Godfrey, Keith; Gupta, Vijai Kumar; Horbanczuk, Jaroslaw Olav; Huminiecki, Lukasz; Jozwik, Artur; Strzalkowska, Nina; Mocan, Andrei; Mozos, Ioana; Nabavi, Seyed Mohammad; Pajpanova, Tamara; Pittala, Valeria; Feder-Kubis, Joanna; Sampino, Silvestre; Silva, Ana Sanches; Sheridan, Helen; Sureda, Antoni; Tewari, Devesh; Wang, Dongdong; Weissig, Volkmar; Yang, Yang; Zengin, Goekhan; Shanker, Karuna; Moosavi, Mohammad Amin; Shah, Muhammad Ajmal; Kozuharova, Ekaterina; Al-Rimawi, Fuad; Durazzo, Alessandra; Lucarini, Massimo; Souto, Eliana B.; Santini, Antonello; Malainer, Clemens; Djilianov, Dimitar; Tancheva, Lyubka P.; Li, Hua-Bin; Gan, Ren-You; Tzvetkov, Nikolay T.; Atanasov, Atanas G.</t>
  </si>
  <si>
    <t>Resveratrol, a popular dietary supplement for human and animal health: Quantitative research literature analysis - a review</t>
  </si>
  <si>
    <t>Resveratrol is a stilbene-type bioactive molecule with a broad spectrum of reported biological effects. In this sense, the current work provides a comprehensive literature analysis on resveratrol, representing a highly-researched commercially available dietary ingredient. Bibliometric data were identified by means of the search string TOPIC=(resveratrol*) and analyzed with the VOSviewer software, which yielded 17,561 publications extracted from the Web of Science Core Collection electronic database. 'I'he ratio of original articles to reviews was 9.5:1. More than half of the overall manuscripts have been published since 2013. Major contributing countries were USA, China, Italy, South Korea, and Spain. Most of the publications appeared in journals specialized in biochemistry and molecular biology, pharmacology and pharmacy, food science technology, cell biology, or oncology. The phytochemicals or phytochemical classes that were frequently mentioned in the keywords of analyzed publications included, in descending order: resveratrol, trans-resveratrol, polyphenols, flavonoids, quercetin, stilbenes, curcumin, piceatannol, cis-resveratrol, and anthocyanins.</t>
  </si>
  <si>
    <t>Souto, Eliana B./T-1645-2019; Li, Hua-Bin/AEX-9846-2022; ORHAN, ILKAY ERDOGAN/H-6092-2011; Echeverría, Javier/AAK-3323-2020; Al-Rimawi, fuad/AAD-9205-2019; Mocan, Andrei/AAT-8274-2021; Barreca, Davide/X-6802-2018; Belwal, Tarun/H-2530-2018; Tewari, Devesh/P-9954-2019; Gan, Renyou/C-9868-2009; Sureda, Antoni/N-9588-2019; Gupta, Vijai Kumar/O-2445-2014; Moosavi, Mohammad/AAK-3240-2020; Santini, Antonello/J-4923-2019; Battino, Maurizio/E-6103-2012; Djilianov, Dimitar/K-8192-2013; Horbanczuk, Jaroslaw/ABD-8389-2021; Lucarini, Massimo/AAL-9254-2020; Mozos, Ioana/AAB-4874-2020; Durazzo, Alessandra/AAN-4182-2020; Bishayee, Anupam/G-4290-2012; Shanker, Karuna/D-3596-2009; Sheridan, Helen/O-6391-2016; Daglia, Maria/AAC-9498-2019; Sampino, Silvestre/K-5033-2012; Nabavi, Seyed Mohammad/G-5335-2010; Sanches Silva, Ana/I-1850-2015; Atanasov, Atanas/C-5535-2013; Kozuharova, PhD, DSc, Ekaterina/E-5498-2011; Zengin, Gokhan/K-9393-2015; Jozwik, Artur/HJY-6775-2023; Yeung, Andy Wai Kan/M-4332-2019; Devkota, Hari Prasad/H-9939-2019; El-Demerdash, Amr/AAL-1613-2020; Shah, Muhammad Ajmal/M-7872-2015</t>
  </si>
  <si>
    <t>Sanches Silva, Ana/0000-0002-0226-921X; Durazzo, Alessandra/0000-0002-7747-9107; ERDOGAN ORHAN, ILKAY/0000-0002-7379-5436; Sampino, Silvestre/0000-0001-8266-5062; Atanasov, Atanas/0000-0003-2545-0967; Echeverria, Javier/0000-0002-1688-968X; Tewari, Dr. Devesh/0000-0002-5125-3791; Bishayee, Anupam/0000-0001-9159-960X; Kozuharova, PhD, DSc, Ekaterina/0000-0001-6795-9660; Djilianov, Dimitar/0000-0001-6492-8033; Feder-Kubis, Joanna/0000-0002-2883-8556; Sheridan, Helen/0000-0002-9454-752X; Zengin, Gokhan/0000-0001-6548-7823; Jozwik, Artur/0000-0001-5546-9891; Yeung, Andy Wai Kan/0000-0003-3672-357X; Devkota, Hari Prasad/0000-0002-0509-1621; El-Demerdash, Amr/0000-0001-6459-2955; Daglia, Maria/0000-0002-4870-7713; Shah, Muhammad Ajmal/0000-0003-3471-184X; Lucarini, Massimo/0000-0001-6178-9779; Gan, Ren-You/0000-0002-4162-1511; Souto, Eliana B./0000-0002-9737-6017; , Antoni/0000-0001-8656-6838; SANTINI, Antonello/0000-0001-5505-3327</t>
  </si>
  <si>
    <t>WOS:000470876200001</t>
  </si>
  <si>
    <t>Abad, C; Antczak, DF; Carvalho, J; Chamley, LW; Chen, Q; Daher, S; Damiano, AE; Dantzer, V; Díaz, P; Dunk, CE; Daly, E; Escudero, C; Falcón, B; Guillomot, M; Han, YW; Harris, LK; Huidobro-Toro, JP; Illsley, N; Jammes, H; Jansson, T; Johnson, GA; Kfoury, JR; Marín, R; Murthi, P; Novakovic, B; Myatt, L; Petroff, MG; Pereira, FTV; Pfarrer, C; Redman, CWG; Rice, G; Saffery, R; Tolosa, JM; Vaillancourt, C; Wareing, M; Yuen, R; Lash, GE</t>
  </si>
  <si>
    <t>Abad, C.; Antczak, D. F.; Carvalho, J.; Chamley, L. W.; Chen, Q.; Daher, S.; Damiano, A. E.; Dantzer, V.; Diaz, P.; Dunk, C. E.; Daly, E.; Escudero, C.; Falcon, B.; Guillomot, M.; Han, Y. W.; Harris, L. K.; Huidobro-Toro, J. P.; Illsley, N.; Jammes, H.; Jansson, T.; Johnson, G. A.; Kfoury, J. R., Jr.; Marin, R.; Murthi, P.; Novakovic, B.; Myatt, L.; Petroff, M. G.; Pereira, F. T. V.; Pfarrer, C.; Redman, C. W. G.; Rice, G.; Saffery, R.; Tolosa, J. M.; Vaillancourt, C.; Wareing, M.; Yuen, R.; Lash, G. E.</t>
  </si>
  <si>
    <t>IFPA Meeting 2010 Workshop Report I: Immunology; Ion transport; Epigenetics; Vascular reactivity; Epitheliochorial placentation; Proteomics</t>
  </si>
  <si>
    <t>PLACENTA</t>
  </si>
  <si>
    <t>Workshops are an important part of the IFPA annual meeting. At IFPA Meeting 2010 there were twelve themed workshops, six of which are summarized in this report 1. The immunology workshop focused on normal and pathological functions of the maternal immune system in pregnancy. 2. The transport workshop dealt with regulation of ion and water transport across the syncytiotrophoblast of human placenta. 3. The epigenetics workshop covered DNA methylation and its potential role in regulating gene expression in placental development and disease. 4. The vascular reactivity workshop concentrated on methodological approaches used to study placental vascular function. 5. The workshop on epitheliochorial placentation covered current advances from in vivo and in vitro studies of different domestic species. 6. The proteomics workshop focused on a variety of techniques and procedures necessary for proteomic analysis and how they may be implemented for placental research. (C) 2011 Published by IFPA and Elsevier Ltd.</t>
  </si>
  <si>
    <t>Marin, Reinaldo/CAA-1951-2022; Lash, Gendie/AAI-4116-2021; Escudero, Carlos/AAJ-1963-2020; CARVALHO, JESUS/G-8387-2018; Dunk, Caroline/AAF-7423-2021; Johnson, Gregory/F-3793-2012; RICE, GREGORY/JCE-4206-2023; DAHER, SILVIA/D-2180-2012; Saffery, Richard/GLS-1976-2022; Murthi, Padma/AAY-5395-2021; Díaz, Paula/ABG-5263-2021; Chamley, Larry/L-6974-2018; Vaillancourt, Cathy/ADT-7319-2022; Damiano, Alicia/ADT-5485-2022; Kfoury Junior, Jose Roberto/B-9985-2012; Novakovic, Boris/D-8018-2013; Yuen, Ryan/J-4876-2012; Harris, Lynda/I-2628-2019; Macaulay, Erin/G-3577-2013; Wareing, Mark/J-6396-2015; RICE, GREGORY/F-2412-2010</t>
  </si>
  <si>
    <t>Kfoury Junior, Jose Roberto/0000-0002-1284-4038; Novakovic, Boris/0000-0002-5623-9008; Vaillancourt, Cathy/0000-0003-0543-6244; Lash, Gendie/0000-0002-3606-1361; Diaz, Paula/0000-0003-1479-7340; Saffery, Richard/0000-0002-9510-4181; Damiano, Alicia/0000-0001-8360-3875; Dunk, Caroline/0000-0002-4146-099X; Yuen, Ryan/0000-0001-7273-4968; Illsley, Nicholas/0000-0002-4336-2832; Harris, Lynda/0000-0001-7709-5202; Escudero, Carlos/0000-0001-7688-4621; Marin, Reinaldo/0000-0002-6434-1221; Chamley, Lawrence/0000-0002-7501-1340; Macaulay, Erin/0000-0001-5308-1033; Wareing, Mark/0000-0002-1333-0899; Abad, Cilia Lourdes/0000-0001-9951-7242; Antczak, Douglas/0000-0003-3336-5818; RICE, GREGORY/0000-0001-7177-0246</t>
  </si>
  <si>
    <t>0143-4004</t>
  </si>
  <si>
    <t>1532-3102</t>
  </si>
  <si>
    <t>B</t>
  </si>
  <si>
    <t>S81</t>
  </si>
  <si>
    <t>S89</t>
  </si>
  <si>
    <t>10.1016/j.placenta.2010.12.019</t>
  </si>
  <si>
    <t>WOS:000289266100003</t>
  </si>
  <si>
    <t>Samore, T; Fessler, DMT; Sparks, AM; Holbrook, C; Aaroe, L; Baeza, CG; Barbato, MT; Barclay, P; Berniunas, R; Contreras-Garduño, J; Costa-Neves, B; Grazioso, MD; Elmas, P; Fedor, P; Fernandez, AM; Fernández-Morales, R; Garcia-Marques, L; Giraldo-Perez, P; Gul, P; Habacht, F; Hasan, Y; Hernandez, EJ; Jarmakowski, T; Kamble, S; Kameda, T; Kim, B; Kupfer, TR; Kurita, M; Li, NP; Lu, JS; Luberti, FR; Maegli, MA; Mejia, M; Morvinski, C; Naito, A; Nga, A; de Oliveira, AN; Posner, DN; Prokop, P; Shani, Y; Solorzano, WOP; Stieger, S; Suryani, AO; Tan, LKL; Tybur, JM; Viciana, H; Visine, A; Wang, J; Wang, XT</t>
  </si>
  <si>
    <t>Samore, Theodore; Fessler, Daniel M. T.; Sparks, Adam Maxwell; Holbrook, Colin; Aaroe, Lene; Baeza, Carmen Gloria; Barbato, Maria Teresa; Barclay, Pat; Berniunas, Renatas; Contreras-Garduno, Jorge; Costa-Neves, Bernardo; Grazioso, Maria del Pilar; Elmas, Pinar; Fedor, Peter; Fernandez, Ana Maria; Fernandez-Morales, Regina; Garcia-Marques, Leonel; Giraldo-Perez, Paulina; Gul, Pelin; Habacht, Fanny; Hasan, Youssef; Hernandez, Earl John; Jarmakowski, Tomasz; Kamble, Shanmukh; Kameda, Tatsuya; Kim, Bia; Kupfer, Tom R.; Kurita, Maho; Li, Norman P.; Lu, Junsong; Luberti, Francesca R.; Maegli, Maria Andree; Mejia, Marines; Morvinski, Coby; Naito, Aoi; Ng'ang'a, Alice; de Oliveira, Angelica Nascimento; Posner, Daniel N.; Prokop, Pavol; Shani, Yaniv; Solorzano, Walter Omar Paniagua; Stieger, Stefan; Suryani, Angela Oktavia; Tan, Lynn K. L.; Tybur, Joshua M.; Viciana, Hugo; Visine, Amandine; Wang, Jin; Wang, Xiao-Tian</t>
  </si>
  <si>
    <t>Accordance and conflict between religious and scientific precautions against COVID-19 in 27 societies</t>
  </si>
  <si>
    <t>RELIGION BRAIN &amp; BEHAVIOR</t>
  </si>
  <si>
    <t>Meaning-making systems underlie perceptions of the efficacy of threat-mitigating behaviors. Religion and science both offer threat mitigation, yet these meaning-making systems are often considered incompatible. Do such epistemological conflicts swamp the desire to employ diverse precautions against threats? Or do individuals-particularly individuals who are highly reactive to threats-hedge their bets by using multiple threat-mitigating practices despite their potential epistemological incompatibility? Complicating this question, perceptions of conflict between religion and science likely vary across cultures; likewise, pragmatic features of precautions prescribed by some religions make them incompatible with some scientifically-based precautions. The COVID-19 pandemic elicited diverse precautions thus providing an opportunity to investigate these questions. Across 27 societies from five continents (N = 7,844), in the majority of countries, individuals' practice of religious precautions such as prayer correlates positively with their use of scientifically-based precautions. Prior work indicates that greater adherence to tradition likely reflects greater reactivity to threats. Unsurprisingly given associations between many traditions and religion, valuing tradition is predictive of employing religious precautions. However, consonant with its association with threat reactivity, we also find that traditionalism predicts adherence to public health precautions-a pattern that underscores threat-avoidant individuals' apparent tolerance for epistemological conflict in pursuit of safety.</t>
  </si>
  <si>
    <t>Berniūnas, Renatas/HDM-1748-2022; Paniagua, Walter/ADF-4899-2022; Fernández, Ana/E-6429-2011; Viciana, Hugo/AAB-9712-2021; Garcia-Marques, Leonel/AAX-5418-2021; LI, Norman/F-9075-2010; Fernández-Morales, Regina/AGO-5985-2022; Tybur, Joshua/P-5435-2014; Prokop, Pavol/ABD-9546-2020; Fedor, Peter/ABD-4575-2020; Elmas, Pinar/GNP-1920-2022; Morvinski, Coby/AAC-1244-2021; Jarmakowski, Tomasz/E-8630-2011; Kamble, Shanmukh/ABE-6993-2021; Paniagua Solorzano, Walter Omar/B-3346-2017; Stieger, Stefan/G-2572-2012</t>
  </si>
  <si>
    <t>Barbato, Maria Teresa/0000-0002-0905-2021; Paniagua Solorzano, Walter Omar/0000-0002-5091-2900; Gul, Pelin/0000-0002-1856-2744; Stieger, Stefan/0000-0002-7784-6624; Prokop, Pavol/0000-0003-2016-7468; Li, Norman/0000-0002-4059-1613</t>
  </si>
  <si>
    <t>2153-599X</t>
  </si>
  <si>
    <t>2153-5981</t>
  </si>
  <si>
    <t>2024 AUG 20</t>
  </si>
  <si>
    <t>10.1080/2153599X.2024.2363757</t>
  </si>
  <si>
    <t>WOS:001306166600001</t>
  </si>
  <si>
    <t>Tybur, JM; Inbar, Y; Aaroe, L; Barclay, P; Barlow, FK; de Barra, M; Becker, DV; Borovoi, L; Choi, I; Choi, JA; Consedine, NS; Conway, A; Conway, JR; Conway, P; Adoric, VC; Demirci, DE; Fernández, AM; Ferreira, DCS; Ishii, K; Jaksic, I; Ji, TT; van Leeuwen, F; Lewis, DMG; Li, NP; McIntyre, JC; Mukherjee, S; Park, JH; Pawlowski, B; Petersen, MB; Pizarro, D; Prodromitis, G; Prokop, P; Rantala, MJ; Reynolds, LM; Sandin, B; Sevi, B; De Smet, D; Srinivasan, N; Tewari, S; Wilson, C; Yong, JC; Zezelj, I</t>
  </si>
  <si>
    <t>Tybur, Joshua M.; Inbar, Yoel; Aaroe, Lene; Barclay, Pat; Barlow, Fiona Kate; de Barra, Micheal; Becker, D. Vaughn; Borovoi, Leah; Choi, Incheol; Choi, Jong An; Consedine, Nathan S.; Conway, Alan; Conway, Jane Rebecca; Conway, Paul; Adoric, Vera Cubela; Demirci, Dilara Ekin; Maria Fernandez, Ana; Ferreira, Diogo Conque Seco; Ishii, Keiko; Jaksic, Ivana; Ji, Tingting; van Leeuwen, Florian; Lewis, David M. G.; Li, Norman P.; McIntyre, Jason C.; Mukherjee, Sumitava; Park, Justin H.; Pawlowski, Boguslaw; Petersen, Michael Bang; Pizarro, David; Prodromitis, Gerasimos; Prokop, Pavol; Rantala, Markus J.; Reynolds, Lisa M.; Sandin, Bonifacio; Sevi, Baris; De Smet, Delphine; Srinivasan, Narayanan; Tewari, Shruti; Wilson, Cameron; Yong, Jose C.; Zezelj, Iris</t>
  </si>
  <si>
    <t>Parasite stress and pathogen avoidance relate to distinct dimensions of political ideology across 30 nations</t>
  </si>
  <si>
    <t>People who are more avoidant of pathogens are more politically conservative, as are nations with greater parasite stress. In the current research, we test two prominent hypotheses that have been proposed as explanations for these relationships. The first, which is an intragroup account, holds that these relationships between pathogens and politics are based on motivations to adhere to local norms, which are sometimes shaped by cultural evolution to have pathogenneutralizing properties. The second, which is an intergroup account, holds that these same relationships are based on motivations to avoid contact with outgroups, who might pose greater infectious disease threats than ingroup members. Results from a study surveying 11,501 participants across 30 nations are more consistent with the intragroup account than with the intergroup account. National parasite stress relates to traditionalism (an aspect of conservatism especially related to adherence to group norms) but not to social dominance orientation (SDO; an aspect of conservatism especially related to endorsements of intergroup barriers and negativity toward ethnic and racial outgroups). Further, individual differences in pathogen-avoidance motives (i.e., disgust sensitivity) relate more strongly to traditionalism than to SDO within the 30 nations.</t>
  </si>
  <si>
    <t>Petersen, Michael Bang/JOZ-2626-2023; Pawlowski, Boguslaw/C-1088-2013; Conway, Paul/AFJ-9671-2022; Yong, Jose/KHZ-5375-2024; Sandín, Bonifacio/A-5643-2008; Sevi, Baris/JRX-6190-2023; Jakšić, Ivana/AIF-3881-2022; Consedine, Nathan/A-8876-2012; Ishii, Keiko/H-5607-2019; Tybur, Joshua/P-5435-2014; Inbar, Yoel/J-9013-2019; Prokop, Pavol/ABD-9546-2020; PRODROMITIS, GERASIMOS/AAO-3256-2021; Žeželj, Iris/H-9339-2019; McIntyre, Jason/U-1594-2019; LI, Norman/F-9075-2010; Srinivasan, Narayanan/E-7882-2010; Fernandez, Ana Maria/E-6429-2011; Mukherjee, Sumitava/B-6066-2014</t>
  </si>
  <si>
    <t>Aaroe, Lene/0000-0003-4551-3750; PRODROMITIS, GERASIMOS/0000-0001-6945-2628; Sandin, Bonifacio/0000-0001-7206-6410; Srinivasan, Narayanan/0000-0001-5342-0381; Petersen, Michael Bang/0000-0002-6782-5635; Cubela Adoric, Vera/0000-0003-4752-4541; Fernandez, Ana Maria/0000-0003-4132-5891; Sevi, Baris/0000-0001-9663-4339; TEWARI, SHRUTI/0000-0003-1903-7252; Zezelj, Iris/0000-0002-9527-1406; Conway, Jane Rebecca/0000-0003-3883-349X; Conway, Paul/0000-0003-4649-6008; Yong, Jose/0000-0002-6413-2016; Jaksic, Ivana/0000-0002-5516-2790; Prokop, Pavol/0000-0003-2016-7468; Pawlowski, Boguslaw/0000-0002-7418-475X; McIntyre, Jason/0000-0002-5601-524X; Mukherjee, Sumitava/0000-0002-8445-0492; Lewis, David M. G./0000-0002-8267-5727; van Leeuwen, Florian/0000-0002-9694-8300; Barlow, Fiona Kate/0000-0001-9533-1256; Li, Norman/0000-0002-4059-1613</t>
  </si>
  <si>
    <t>10.1073/pnas.1607398113</t>
  </si>
  <si>
    <t>WOS:000386608200041</t>
  </si>
  <si>
    <t>Knox, SH; Bansal, S; McNicol, G; Schafer, K; Sturtevant, C; Ueyama, M; Valach, AC; Baldocchi, D; Delwiche, K; Desai, AR; Euskirchen, E; Liu, JX; Lohila, A; Malhotra, A; Melling, L; Riley, W; Runkle, BRK; Turner, J; Vargas, R; Zhu, Q; Alto, T; Fluet-Chouinard, E; Goeckede, M; Melton, JR; Sonnentag, O; Vesala, T; Ward, E; Zhang, Z; Feron, S; Ouyang, ZT; Alekseychik, P; Aurela, M; Bohrer, G; Campbell, DI; Chen, JQ; Chu, HS; Dalmagro, HJ; Goodrich, JP; Gottschalk, P; Hirano, T; Iwata, H; Jurasinski, G; Kang, M; Koebsch, F; Mammarella, I; Nilsson, MB; Ono, K; Peichl, M; Peltola, O; Ryu, Y; Sachs, T; Sakabe, A; Sparks, JP; Tuittila, ES; Vourlitis, GL; Wong, GX; Windham-Myers, L; Poulter, B; Jackson, RB</t>
  </si>
  <si>
    <t>Knox, Sara H.; Bansal, Sheel; McNicol, Gavin; Schafer, Karina; Sturtevant, Cove; Ueyama, Masahito; Valach, Alex C.; Baldocchi, Dennis; Delwiche, Kyle; Desai, Ankur R.; Euskirchen, Eugenie; Liu, Jinxun; Lohila, Annalea; Malhotra, Avni; Melling, Lulie; Riley, William; Runkle, Benjamin R. K.; Turner, Jessica; Vargas, Rodrigo; Zhu, Qing; Alto, Tuula; Fluet-Chouinard, Etienne; Goeckede, Mathias; Melton, Joe R.; Sonnentag, Oliver; Vesala, Timo; Ward, Eric; Zhang, Zhen; Feron, Sarah; Ouyang, Zutao; Alekseychik, Pavel; Aurela, Mika; Bohrer, Gil; Campbell, David, I; Chen, Jiquan; Chu, Housen; Dalmagro, Higo J.; Goodrich, Jordan P.; Gottschalk, Pia; Hirano, Takashi; Iwata, Hiroki; Jurasinski, Gerald; Kang, Minseok; Koebsch, Franziska; Mammarella, Ivan; Nilsson, Mats B.; Ono, Keisuke; Peichl, Matthias; Peltola, Olli; Ryu, Youngryel; Sachs, Torsten; Sakabe, Ayaka; Sparks, Jed P.; Tuittila, Eeva-Stiina; Vourlitis, George L.; Wong, Guan X.; Windham-Myers, Lisamarie; Poulter, Benjamin; Jackson, Robert B.</t>
  </si>
  <si>
    <t>Identifying dominant environmental predictors of freshwater wetland methane fluxes across diurnal to seasonal time scales</t>
  </si>
  <si>
    <t>While wetlands are the largest natural source of methane (CH4) to the atmosphere, they represent a large source of uncertainty in the global CH4 budget due to the complex biogeochemical controls on CH4 dynamics. Here we present, to our knowledge, the first multi-site synthesis of how predictors of CH4 fluxes (FCH4) in freshwater wetlands vary across wetland types at diel, multiday (synoptic), and seasonal time scales. We used several statistical approaches (correlation analysis, generalized additive modeling, mutual information, and random forests) in a wavelet-based multi-resolution framework to assess the importance of environmental predictors, nonlinearities and lags on FCH4 across 23 eddy covariance sites. Seasonally, soil and air temperature were dominant predictors of FCH4 at sites with smaller seasonal variation in water table depth (WTD). In contrast, WTD was the dominant predictor for wetlands with smaller variations in temperature (e.g., seasonal tropical/subtropical wetlands). Changes in seasonal FCH4 lagged fluctuations in WTD by similar to 17 +/- 11 days, and lagged air and soil temperature by median values of 8 +/- 16 and 5 +/- 15 days, respectively. Temperature and WTD were also dominant predictors at the multiday scale. Atmospheric pressure (PA) was another important multiday scale predictor for peat-dominated sites, with drops in PA coinciding with synchronous releases of CH4. At the diel scale, synchronous relationships with latent heat flux and vapor pressure deficit suggest that physical processes controlling evaporation and boundary layer mixing exert similar controls on CH4 volatilization, and suggest the influence of pressurized ventilation in aerenchymatous vegetation. In addition, 1- to 4-h lagged relationships with ecosystem photosynthesis indicate recent carbon substrates, such as root exudates, may also control FCH4. By addressing issues of scale, asynchrony, and nonlinearity, this work improves understanding of the predictors and timing of wetland FCH4 that can inform future studies and models, and help constrain wetland CH4 emissions.</t>
  </si>
  <si>
    <t>Yang, Zutao/LSL-2505-2024; Jurasinski, Gerald/AAH-6376-2021; Peichl, Matthias/A-2087-2014; Bansal, Sheel/LFV-7491-2024; Hirano, Takashi/A-4557-2012; Wong, Ken/AAP-7784-2020; S, T/AIC-1764-2022; Valach, Alex/AAX-7438-2020; Dalmagro, Higo/P-7945-2017; Runkle, B./AAC-3404-2020; Ueyama, Masahito/O-1294-2018; Chen, Jiquan/D-1955-2009; Campbell, Dave/F-2786-2011; Aurela, Mika/L-4724-2014; Iwata, Hiroki/B-7679-2008; Windham, Lisa/LDF-9363-2024; Riley, William/D-3345-2015; Liu, Jin-Xun/AAH-4958-2019; Peltola, Olli/Z-1194-2019; Fluet-Chouinard, Etienne/KIH-8576-2024; Melton, Joe/H-6803-2019; Malhotra, Avni/R-4970-2019; Vesala, Timo/C-3795-2017; Tuittila, Eeva-Stiina/AAR-1211-2021; Poulter, Ben/ABB-5886-2021; Aalto, Tuula/P-6183-2014; Baldocchi, Dennis/A-1625-2009; Goeckede, Mathias/C-1027-2017; Desai, Ankur/A-5899-2008; Chu, Housen/Q-6517-2016; Bohrer, Gil/A-9731-2008; Vargas, Rodrigo/C-4720-2008; McNicol, Gavin/O-5632-2015; Lohila, Annalea/C-7307-2014; Mammarella, Ivan/E-7782-2016; Zhang, Zhen/P-4169-2016; ZHU, QING/G-2433-2015; Ryu, Youngryel/C-3072-2008</t>
  </si>
  <si>
    <t>Aalto, Tuula/0000-0002-3264-7947; Sachs, Torsten/0000-0002-9959-4771; Malhotra, Avni/0000-0002-7850-6402; Baldocchi, Dennis/0000-0003-3496-4919; Goeckede, Mathias/0000-0003-2833-8401; Runkle, Benjamin Reade Kreps/0000-0002-2583-1199; Desai, Ankur/0000-0002-5226-6041; Hirano, Takashi/0000-0002-0325-3922; Chu, Housen/0000-0002-8131-4938; Bohrer, Gil/0000-0002-9209-9540; Vargas, Rodrigo/0000-0001-6829-5333; Feron, Sarah/0000-0002-0572-5639; Alekseychik, Pavel/0000-0002-4081-3917; Peltola, Olli/0000-0002-1744-6290; McNicol, Gavin/0000-0002-6655-8045; Lohila, Annalea/0000-0003-3541-672X; Melton, Joe/0000-0002-9414-064X; Mammarella, Ivan/0000-0002-8516-3356; Jackson, Robert/0000-0001-8846-7147; Zhang, Zhen/0000-0003-0899-1139; Yang, Zutao/0000-0002-6919-569X; Valach, Alex/0000-0003-4782-5766; ZHU, QING/0000-0003-2441-944X; Ryu, Youngryel/0000-0001-6238-2479</t>
  </si>
  <si>
    <t>10.1111/gcb.15661</t>
  </si>
  <si>
    <t>WOS:000655933400001</t>
  </si>
  <si>
    <t>Moguilner, S; Baez, S; Hernandez, H; Migeot, J; Legaz, A; Gonzalez-Gomez, R; Farina, FR; Prado, P; Cuadros, J; Tagliazucchi, E; Altschuler, F; Maito, MA; Godoy, ME; Cruzat, J; Valdes-Sosa, PA; Lopera, F; Ochoa-Gómez, JF; Hernandez, AG; Bonilla-Santos, J; Gonzalez-Montealegre, RA; Anghinah, R; Manfrinati, LED; Fittipaldi, S; Medel, V; Olivares, D; Yener, GG; Escudero, J; Babiloni, C; Whelan, R; Güntekin, B; Yirikogullari, H; Santamaria-Garcia, H; Lucas, AF; Huepe, D; Di Caterina, G; Soto-Añari, M; Birba, A; Sainz-Ballesteros, A; Coronel-Oliveros, C; Yigezu, A; Herrera, E; Abasolo, D; Kilborn, K; Rubido, N; Clark, RA; Herzog, R; Yerlikaya, D; Hu, K; Parra, MA; Reyes, P; García, AM; Matallana, DL; Avila-Funes, JA; Slachevsky, A; Behrens, MI; Custodio, N; Cardona, JF; Barttfeld, P; Brusco, IL; Bruno, MA; Ortiz, ALS; Pina-Escudero, SD; Takada, LT; Resende, E; Possin, KL; de Oliveira, MO; Lopez-Valdes, A; Lawlor, B; Robertson, IH; Kosik, KS; Duran-Aniotz, C; Valcour, V; Yokoyama, JS; Miller, B; Ibanez, A</t>
  </si>
  <si>
    <t>Moguilner, Sebastian; Baez, Sandra; Hernandez, Hernan; Migeot, Joaquin; Legaz, Agustina; Gonzalez-Gomez, Raul; Farina, Francesca R.; Prado, Pavel; Cuadros, Jhosmary; Tagliazucchi, Enzo; Altschuler, Florencia; Maito, Marcelo Adrian; Godoy, Maria E.; Cruzat, Josephine; Valdes-Sosa, Pedro A.; Lopera, Francisco; Ochoa-Gomez, John Fredy; Hernandez, Alfredis Gonzalez; Bonilla-Santos, Jasmin; Gonzalez-Montealegre, Rodrigo A.; Anghinah, Renato; d'Almeida Manfrinati, Luis E.; Fittipaldi, Sol; Medel, Vicente; Olivares, Daniela; Yener, Goersev G.; Escudero, Javier; Babiloni, Claudio; Whelan, Robert; Guntekin, Bahar; Yirikogullari, Harun; Santamaria-Garcia, Hernando; Lucas, Alberto Fernandez; Huepe, David; Di Caterina, Gaetano; Soto-Anari, Marcio; Birba, Agustina; Sainz-Ballesteros, Agustin; Coronel-Oliveros, Carlos; Yigezu, Amanuel; Herrera, Eduar; Abasolo, Daniel; Kilborn, Kerry; Rubido, Nicolas; Clark, Ruaridh A.; Herzog, Ruben; Yerlikaya, Deniz; Hu, Kun; Parra, Mario A.; Reyes, Pablo; Garcia, Adolfo M.; Matallana, Diana L.; Avila-Funes, Jose Alberto; Slachevsky, Andrea; Behrens, Maria I.; Custodio, Nilton; Cardona, Juan F.; Barttfeld, Pablo; Brusco, Ignacio L.; Bruno, Martin A.; Sosa Ortiz, Ana L.; Pina-Escudero, Stefanie D.; Takada, Leonel T.; Resende, Elisa; Possin, Katherine L.; de Oliveira, Maira Okada; Lopez-Valdes, Alejandro; Lawlor, Brian; Robertson, Ian H.; Kosik, Kenneth S.; Duran-Aniotz, Claudia; Valcour, Victor; Yokoyama, Jennifer S.; Miller, Bruce; Ibanez, Agustin</t>
  </si>
  <si>
    <t>Brain clocks capture diversity and disparities in aging and dementia across geographically diverse populations</t>
  </si>
  <si>
    <t>NATURE MEDICINE</t>
  </si>
  <si>
    <t>Brain clocks, which quantify discrepancies between brain age and chronological age, hold promise for understanding brain health and disease. However, the impact of diversity (including geographical, socioeconomic, sociodemographic, sex and neurodegeneration) on the brain-age gap is unknown. We analyzed datasets from 5,306 participants across 15 countries (7 Latin American and Caribbean countries (LAC) and 8 non-LAC countries). Based on higher-order interactions, we developed a brain-age gap deep learning architecture for functional magnetic resonance imaging (2,953) and electroencephalography (2,353). The datasets comprised healthy controls and individuals with mild cognitive impairment, Alzheimer disease and behavioral variant frontotemporal dementia. LAC models evidenced older brain ages (functional magnetic resonance imaging: mean directional error = 5.60, root mean square error (r.m.s.e.) = 11.91; electroencephalography: mean directional error = 5.34, r.m.s.e. = 9.82) associated with frontoposterior networks compared with non-LAC models. Structural socioeconomic inequality, pollution and health disparities were influential predictors of increased brain-age gaps, especially in LAC (R-2 = 0.37, F-2 = 0.59, r.m.s.e. = 6.9). An ascending brain-age gap from healthy controls to mild cognitive impairment to Alzheimer disease was found. In LAC, we observed larger brain-age gaps in females in control and Alzheimer disease groups compared with the respective males. The results were not explained by variations in signal quality, demographics or acquisition methods. These findings provide a quantitative framework capturing the diversity of accelerated brain aging.</t>
  </si>
  <si>
    <t>Yigezu, Amanuel/ABI-1769-2020; de Oliveira, Maira/P-1671-2019; Prado, Pavel/O-2711-2019; Yerlikaya, Deniz/KII-9979-2024; Abasolo, Daniel/B-7322-2009; Herrera, Eduar/IXD-5515-2023; Baez, Sandra/ABC-7150-2020; Cruzat, Josephine/AAX-4082-2020; Reyes, Pablo/AFI-9110-2022; Birba, Agustina/AFR-3037-2022; Soto, Marcio/HOF-9913-2023; Hernandez, Hernan/JDV-5631-2023; Whelan, Robert/E-5365-2010; Anghinah, Renato/AFA-5198-2022; Güntekin, Bahar/A-4974-2018; Medel, Vicente/AAQ-5107-2021; AVILA-FUNES, José/T-4210-2019; Takada, Leonel/AFW-1009-2022; Ortiz, Ana/AAU-9376-2021; Rubido, Nicolás/R-4251-2019; Gonzalez-Gomez, Raul/AFF-4412-2022; Behrens, Maria/I-1083-2013; Custodio, Nilton/W-6035-2019; Ibanez, Agustin/H-7976-2015; Lopez Valdes, Alejandro/AAW-6341-2020; Cardona, Juan Felipe/O-9436-2015; Tagliazucchi Greiner, Enzo/F-3618-2019</t>
  </si>
  <si>
    <t>Ibanez, Agustin/0000-0001-6758-5101; Whelan, Robert/0000-0002-2790-7281; Lopez Valdes, Alejandro/0000-0002-5568-9808; Gonzalez-Gomez, Raul/0000-0003-2341-011X; Birba, Agustina/0000-0001-5998-6634; Clark, Ruaridh/0000-0003-4601-2085; Cruzat, Josephine/0000-0002-3252-8657; Hernandez Larzabal, Hernan/0000-0002-0597-6059; Herrera, Eduar/0000-0001-9409-245X; Custodio, Nilton/0000-0002-8025-3272; Duran-Aniotz, Claudia/0000-0003-2503-8366; Cardona, Juan Felipe/0000-0001-6795-7753; Altschuler, Florencia/0000-0001-6362-963X; Tagliazucchi Greiner, Enzo/0000-0003-0421-9993; Barttfeld, Pablo/0000-0001-8530-6938; Prado, Pavel/0000-0002-1324-6400; Moguilner, Sebastian/0000-0003-1731-8325</t>
  </si>
  <si>
    <t>1078-8956</t>
  </si>
  <si>
    <t>1546-170X</t>
  </si>
  <si>
    <t>10.1038/s41591-024-03209-x</t>
  </si>
  <si>
    <t>WOS:001298718200001</t>
  </si>
  <si>
    <t>Pick, CM; Ko, A; Wormley, AS; Wiezel, A; Kenrick, DT; Al-Shawaf, L; Barry, O; Bereby-Meyer, Y; Boonyasiriwat, W; Brandstätter, E; Crispim, AC; Cruz, JE; David, D; David, OA; Defelipe, RP; Elmas, P; Espinosa, A; Fernandez, AM; Fetvadjiev, VH; Fetvadjieva, S; Fischer, R; Galdi, S; Galindo-Caballero, OJ; Golovina, GM; Gomez-Jacinto, L; Graf, S; Grossmann, I; Gul, P; Halama, P; Hamamura, T; Hansson, LS; Hitokoto, H; Hrebícková, M; Ilic, D; Johnson, JL; Kara-Yakoubian, M; Karl, JA; Kohút, M; Lasselin, J; Li, NP; Mafra, AL; Malanchuk, O; Moran, S; Murata, A; Ndiaye, SAL; O, JQ; Onyishi, IE; Pasay-an, E; Rizwan, M; Roth, E; Salgado, S; Samoylenko, ES; Savchenko, TN; Sevincer, AT; Skoog, E; Stanciu, A; Suh, EM; Sznycer, D; Talhelm, T; Ugwu, FO; Uskul, AK; Uz, I; Valentova, JV; Varella, MAC; Zambrano, D; Varnum, MEW</t>
  </si>
  <si>
    <t>Pick, Cari M.; Ko, Ahra; Wormley, Alexandra S.; Wiezel, Adi; Kenrick, Douglas T.; Al-Shawaf, Laith; Barry, Oumar; Bereby-Meyer, Yoella; Boonyasiriwat, Watcharaporn; Brandstatter, Eduard; Crispim, Ana Carla; Cruz, Julio Eduardo; David, Daniel; David, Oana A.; Defelipe, Renata Pereira; Elmas, Pinar; Espinosa, Agustin; Fernandez, Ana Maria; Fetvadjiev, Velichko H.; Fetvadjieva, Stefka; Fischer, Ronald; Galdi, Silvia; Galindo-Caballero, Oscar Javier; Golovina, Galina M.; Gomez-Jacinto, Luis; Graf, Sylvie; Grossmann, Igor; Gul, Pelin; Halama, Peter; Hamamura, Takeshi; Hansson, Lina S.; Hitokoto, Hidefumi; Hrebickova, Martina; Ilic, Darinka; Johnson, Jennifer Lee; Kara-Yakoubian, Mane; Karl, Johannes A.; Kohut, Michal; Lasselin, Julie; Li, Norman P.; Mafra, Anthonieta Looman; Malanchuk, Oksana; Moran, Simone; Murata, Asuka; Ndiaye, Serigne Abdou Lahat; O, Jiaqing; Onyishi, Ike E.; Pasay-an, Eddieson; Rizwan, Muhammed; Roth, Eric; Salgado, Sergio; Samoylenko, Elena S.; Savchenko, Tatyana N.; Sevincer, A. Timur; Skoog, Eric; Stanciu, Adrian; Suh, Eunkook M.; Sznycer, Daniel; Talhelm, Thomas; Ugwu, Fabian O.; Uskul, Ayse K.; Uz, Irem; Valentova, Jaroslava Varella; Varella, Marco Antonio Correa; Zambrano, Danilo; Varnum, Michael E. W.</t>
  </si>
  <si>
    <t>Family still matters: Human social motivation across 42 countries during a global pandemic</t>
  </si>
  <si>
    <t>EVOLUTION AND HUMAN BEHAVIOR</t>
  </si>
  <si>
    <t>The COVID-19 pandemic caused drastic social changes for many people, including separation from friends and coworkers, enforced close contact with family, and reductions in mobility. Here we assess the extent to which people's evolutionarily-relevant basic motivations and goals-fundamental social motives such as Affiliation and Kin Care-might have been affected. To address this question, we gathered data on fundamental social motives in 42 countries (N = 15,915) across two waves, including 19 countries (N = 10,907) for which data were gathered both before and during the pandemic (pre-pandemic wave: 32 countries, N = 8998; 3302 male, 5585 female; M-age = 24.43, SD = 7.91; mid-pandemic wave: 29 countries, N = 6917; 2249 male, 4218 female; M-age = 28.59, SD = 11.31). Samples include data collected online (e.g., Prolific, MTurk), at universities, and via community sampling. We found that Disease Avoidance motivation was substantially higher during the pandemic, and that most of the other fundamental social motives showed small, yet significant, differences across waves. Most sensibly, concern with caring for one's children was higher during the pandemic, and concerns with Mate Seeking and Status were lower. Earlier findings showing the prioritization of family motives over mating motives (and even over Disease Avoidance motives) were replicated during the pandemic. Finally, well-being remained positively associated with family-related motives and negatively associated with mating motives during the pandemic, as in the pre-pandemic samples. Our results provide further evidence for the robust primacy of family-related motivations even during this unique disruption of social life.</t>
  </si>
  <si>
    <t>Sevincer, Timur/ABA-6804-2021; Rizwan, Muhammad/AHE-3495-2022; galdi, silvia/ABG-8837-2020; Karl, Johannes/JXY-2721-2024; David, Oana/I-4479-2013; Ko, Ahra/U-9070-2019; Talhelm, Thomas/AFN-1031-2022; LI, Norman/F-9075-2010; Crispim, Ana/H-7135-2013; Golovina, Galina/AAC-8434-2020; Elmas, Pinar/GNP-1920-2022; Graf, Sylvie/D-9732-2014; Onyishi, Ike/AAZ-4887-2020; Varnum, Michael/AAR-7119-2021; Stanciu, Adrian/AAS-2190-2021; Kohút, Michal/GXA-3182-2022; Hamamura, Takeshi/D-2069-2011; SAMOYLENKO, Elena/X-9243-2019; Bereby-Meyer, Yoella/D-9744-2012; Zambrano, Danilo/AAC-9273-2020; Salgado, Sergio/M-7805-2018; Grossmann, Igor/H-4861-2019; Pasay an, Eddieson/AAP-8507-2020; Felipe, Renata/J-3293-2014; Ugwu, Fabian/Y-4354-2019; Mafra, Anthonieta/M-5301-2018; Savchenko, Tatyana/B-6177-2018; Lasselin, Julie/I-4316-2019; Johnson, Jennifer/LCD-6397-2024; Espinosa, Agustín/L-1449-2014; Fernández, Ana/E-6429-2011; Uskul, Ayse/M-8409-2016; Varella, Marco/S-5492-2016; Varella Valentova, Jaroslava/K-8765-2012; Fetvadjiev, Velichko/M-7570-2016; Moran, Simone/F-3272-2012; Galindo Caballero, Oscar Javier/CAG-8063-2022; Halama, Peter/D-7537-2011; Fischer, Ronald/G-6447-2017; David, Oana/C-3454-2011</t>
  </si>
  <si>
    <t>Karl, Johannes Alfons/0000-0001-5166-0728; Skoog, Eric/0000-0002-7566-6283; Rizwan, Muhammad/0000-0001-9983-300X; Pasay-an, Eddieson/0000-0003-1257-3175; Li, Norman/0000-0002-4059-1613; Savcenko, Tat'ana/0000-0002-4301-5590; Elmas, Pinar/0000-0001-7909-7818; Varella, Marco/0000-0002-7274-7360; Kohut, Michal/0000-0002-4544-1331; Crispim, Ana Carla/0000-0003-3434-5667; Varella Valentova, Jaroslava/0000-0002-2113-3385; Lasselin, Julie/0000-0001-8323-0714; Bereby-Meyer, Yoella/0000-0001-6569-0186; Ugwu, Fabian O./0000-0001-9889-7132; Espinosa, Agustin/0000-0002-2275-5792; Fetvadjiev, Velichko/0000-0002-5475-5121; Moran, Simone/0000-0002-2261-050X; Hansson, Lina S./0000-0002-3561-8092; Ko, Ahra/0000-0002-7295-1097; Galindo Caballero, Oscar Javier/0000-0003-4603-6415; Grossmann, Igor/0000-0003-2681-3600; Zambrano Ricaurte, Danilo/0000-0003-1527-6088; Halama, Peter/0000-0002-6938-4845; Fischer, Ronald/0000-0002-3055-3955; David, Oana/0000-0001-8706-1778</t>
  </si>
  <si>
    <t>1090-5138</t>
  </si>
  <si>
    <t>1879-0607</t>
  </si>
  <si>
    <t>10.1016/j.evolhumbehav.2022.09.003</t>
  </si>
  <si>
    <t>WOS:000898669000006</t>
  </si>
  <si>
    <t>Lopes, L; Santos, R; Coelho-e-Silva, M; Draper, C; Mota, J; Jidovtseff, B; Clark, C; Schmidt, M; Morgan, P; Duncan, M; O'Brien, W; Bentsen, P; D'Hondt, E; Houwen, S; Stratton, G; De Martelaer, K; Scheuer, C; Herrmann, C; García-Hermoso, A; Ramírez-Vélez, R; Palmeira, A; Gerlach, E; Rosário, R; Issartel, J; Esteban-Cornejo, I; Ruiz, J; Veldman, S; Zhang, ZG; Colella, D; Póvoas, S; Haibach-Beach, P; Pereira, J; McGrane, B; Saraiva, J; Temple, V; Silva, P; Sigmund, E; Sousa-Sá, E; Adamakis, M; Moreira, C; Utesch, T; True, L; Cheung, P; Carcamo-Oyarzun, J; Charitou, S; Chillón, P; Robazza, C; Silva, A; Silva, D; Lima, R; Mourao-Carvalhal, I; Khodaverdi, Z; Zequinao, M; Pereira, B; Prista, A; Agostinis-Sobrinho, C</t>
  </si>
  <si>
    <t>Lopes, Luis; Santos, Rute; Coelho-e-Silva, Manuel; Draper, Catherine; Mota, Jorge; Jidovtseff, Boris; Clark, Cain; Schmidt, Mirko; Morgan, Philip; Duncan, Michael; O'Brien, Wesley; Bentsen, Peter; D'Hondt, Eva; Houwen, Suzanne; Stratton, Gareth; De Martelaer, Kristine; Scheuer, Claude; Herrmann, Christian; Garcia-Hermoso, Antonio; Ramirez-Velez, Robinson; Palmeira, Antonio; Gerlach, Erin; Rosario, Rafaela; Issartel, Johann; Esteban-Cornejo, Irene; Ruiz, Jonatan; Veldman, Sanne; Zhang, Zhiguang; Colella, Dario; Povoas, Susana; Haibach-Beach, Pamela; Pereira, Joao; McGrane, Bronagh; Saraiva, Joao; Temple, Viviene; Silva, Pedro; Sigmund, Erik; Sousa-Sa, Eduarda; Adamakis, Manolis; Moreira, Carla; Utesch, Till; True, Larissa; Cheung, Peggy; Carcamo-Oyarzun, Jaime; Charitou, Sophia; Chillon, Palma; Robazza, Claudio; Silva, Ana; Silva, Danilo; Lima, Rodrigo; Mourao-Carvalhal, Isabel; Khodaverdi, Zeinab; Zequinao, Marcela; Pereira, Beatriz; Prista, Antonio; Agostinis-Sobrinho, Cesar</t>
  </si>
  <si>
    <t>A Narrative Review of Motor Competence in Children and Adolescents: What We Know and What We Need to Find Out</t>
  </si>
  <si>
    <t>Lack of physical activity is a global public health problem causing not only morbidity and premature mortality, but it is also a major economic burden worldwide. One of the cornerstones of a physically active lifestyle is Motor Competence (MC). MC is a complex biocultural attribute and therefore, its study requires a multi-sectoral, multi-, inter- and transdisciplinary approach. MC is a growing area of research, especially in children and adolescents due to its positive association with a plethora of health and developmental outcomes. Many questions, however, remain to be answered in this field of research, with regard to: (i) Health and Developmental-related Associations of MC; (ii) Assessment of MC; (iii) Prevalence and Trends of MC; (iv) Correlates and Determinants of MC; (v) MC Interventions, and (vi) Translating MC Research into Practice and Policy. This paper presents a narrative review of the literature, summarizing current knowledge, identifying key research gaps and presenting questions for future investigation on MC in children and adolescents. This is a collaborative effort from the International Motor Competence Network (IMCNetwork) a network of academics and researchers aiming to promote international collaborative research and knowledge translation in the expansive field of MC. The knowledge and deliverables generated by addressing and answering the aforementioned research questions on MC presented in this review have the potential to shape the ways in which researchers and practitioners promote MC and physical activity in children and adolescents across the world.</t>
  </si>
  <si>
    <t>Clark, Cain/I-4480-2019; Temple, Viviene/GLN-7225-2022; Sigmundová, Dagmar/G-6413-2016; García-Hermoso, Antonio/ADU-2591-2022; Gerlach, Erin/ADC-9875-2022; D'Hondt, Eva/N-3253-2019; Sousa-Sá, Eduarda/V-8683-2019; Adamakis, Manolis/AAS-5432-2020; Lopes, Luis/AAX-7957-2020; Zhang, Zhiguang/ADQ-8859-2022; Pereira, Beatriz/JJC-1523-2023; Draper, Catherine/GZN-1315-2022; Charitou, Sophia/AAD-7291-2019; Khodaverdi, Zeinab/F-1934-2013; De Martelaer, Kristine/AAD-8275-2019; Robazza, Claudio/AAS-1152-2020; Póvoas, Susana/R-1165-2018; Lima, Rodrigo/MZQ-4643-2025; Utesch, Till/AAS-8187-2020; Pereira, João/AAD-7970-2021; stratton, Gareth/Z-5471-2019; Saraiva Santos, João/HJB-1991-2022; Chillon, Palma/E-5634-2014; True, Larissa/AFO-8131-2022; Moreira, Carla/G-5176-2011; Ramirez-Velez, Robinson/D-5311-2016; Santos, Rute/A-6401-2012; Palmeira, Antonio/H-3137-2019; D'Hondt, Eva/C-7507-2015; Mourao-Carvalhal, Maria/A-4026-2017; mota, jorge/B-2980-2013; Silva, Danilo/E-3747-2018; Schmidt, Mirko/I-4762-2013; Sigmund, Erik/A-1173-2013; Lopes, Luis/M-3767-2013; Silva, Pedro/L-7501-2013; Lima, Rodrigo/J-5787-2018; Stratton, Gareth/Q-2746-2017; Rosario, Rafaela/M-6077-2013; Garcia-Hermoso, Antonio/P-1857-2017; Morgan, Philip/G-7072-2013; Agostinis Sobrinho, Cesar Aparecido/B-4971-2018; Coelho-e-Silva, Manuel/O-2604-2019; Bentsen, Peter/Q-2515-2015; Carcamo-Oyarzun, Jaime/N-2362-2015</t>
  </si>
  <si>
    <t>Chillon, Palma/0000-0003-0862-8989; Draper, Catherine/0000-0002-2885-437X; True, Larissa/0000-0002-8223-5449; Moreira, Carla/0000-0003-1039-6320; Veldman, Sanne/0000-0003-4876-1637; Ramirez-Velez, Robinson/0000-0003-3075-6960; Santos, Rute/0000-0002-7604-5753; Herrmann, Christian/0000-0003-4190-2361; Jidovtseff, Boris/0000-0002-7535-8993; Silva, Ana/0000-0002-7320-0842; Palmeira, Antonio/0000-0001-6508-0599; D'Hondt, Eva/0000-0001-5646-2261; Zhang, Zhiguang/0000-0001-6873-7410; CHEUNG, Pui Yee Peggy/0000-0003-4216-0988; Mourao-Carvalhal, Maria/0000-0002-9205-3294; mota, jorge/0000-0001-7571-9181; Silva, Danilo/0000-0003-3995-4795; Scheuer, Claude/0000-0002-5376-3197; Schmidt, Mirko/0000-0003-4859-6547; Sigmund, Erik/0000-0002-5643-5586; Khodaverdi, Zeinab/0000-0002-6925-5699; Lopes, Luis/0000-0001-6680-0893; Silva, Pedro/0000-0003-3100-4867; Povoas, Susana/0000-0002-6661-3673; Duncan, Michael/0000-0002-2016-6580; Lima, Rodrigo/0000-0002-7778-2616; Stratton, Gareth/0000-0001-5618-0803; Rosario, Rafaela/0000-0001-6986-0007; Garcia-Hermoso, Antonio/0000-0002-1397-7182; Morgan, Philip/0000-0002-5632-8529; De Martelaer, Kristine/0000-0001-8242-2669; Clark, Dr. Cain/0000-0002-6610-4617; Santos, Joao Paulo/0000-0001-7420-8611; Sousa-Sa, Eduarda/0000-0001-8753-6817; Temple, Viviene/0000-0003-2213-1629; Agostinis Sobrinho, Cesar Aparecido/0000-0001-9104-9042; Coelho-e-Silva, Manuel/0000-0003-4512-7331; Robazza, Claudio/0000-0002-3639-1539; Bentsen, Peter/0000-0002-2179-6779; Esteban-Cornejo, Irene/0000-0002-0027-1770; O'Brien, Wesley/0000-0001-6801-7341; Pereira, Joao/0000-0001-5491-4316; Charitou, Sophia/0000-0001-8670-5762; Adamakis, Manolis/0000-0003-3881-6892; Carcamo-Oyarzun, Jaime/0000-0002-7536-8788</t>
  </si>
  <si>
    <t>10.3390/ijerph18010018</t>
  </si>
  <si>
    <t>WOS:000606044700001</t>
  </si>
  <si>
    <t>Borda, V; Loesch, DP; Guo, B; Laboulaye, R; Veliz-Otani, D; French, JN; Leal, TP; Gogarten, SM; Ikpe, S; Gouveia, MH; Mendes, M; Abecasis, GR; Alvim, I; Arboleda-Bustos, CE; Arboleda, G; Arboleda, H; Barreto, ML; Barwick, L; Bezzera, MA; Blangero, J; Borges, V; Caceres, O; Cai, JW; Chana-Cuevas, P; Chen, ZH; Custer, B; Dean, M; Dinardo, C; Domingos, I; Duggirala, R; Dieguez, E; Fernandez, W; Ferraz, HB; Gilliland, F; Guio, H; Horta, B; Curran, JE; Johnsen, JM; Kaplan, RC; Kelly, S; Kenny, EE; Konkle, BA; Kooperberg, C; Lescano, A; Lima-Costa, MF; Loos, RJF; Manichaikul, A; Meyers, DA; Naslavsky, MS; Nickerson, DA; North, KE; Padilla, C; Preuss, M; Raggio, V; Reiner, AP; Rich, SS; Rieder, CR; Rienstra, M; Rotter, JI; Rundek, T; Sacco, RL; Sanchez, C; Sankaran, VG; Santos-Lobato, BL; Schumacher-Schuh, AF; Scliar, MO; Silverman, EK; Sofer, T; Lasky-Su, J; Tumas, V; Weiss, ST; Mata, IF; Hernandez, RD; Tarazona-Santos, E; O'Connor, TD</t>
  </si>
  <si>
    <t>Borda, Victor; Loesch, Douglas P.; Guo, Bing; Laboulaye, Roland; Veliz-Otani, Diego; French, Jennifer N.; Leal, Thiago Peixoto; Gogarten, Stephanie M.; Ikpe, Sunday; Gouveia, Mateus H.; Mendes, Marla; Abecasis, Goncalo R.; Alvim, Isabela; Arboleda-Bustos, Carlos E.; Arboleda, Gonzalo; Arboleda, Humberto; Barreto, Mauricio L.; Barwick, Lucas; Bezzera, Marcos A.; Blangero, John; Borges, Vanderci; Caceres, Omar; Cai, Jianwen; Chana-Cuevas, Pedro; Chen, Zhanghua; Custer, Brian; Dean, Michael; Dinardo, Carla; Domingos, Igor; Duggirala, Ravindranath; Dieguez, Elena; Fernandez, Willian; Ferraz, Henrique B.; Gilliland, Frank; Guio, Heinner; Horta, Bernardo; Curran, Joanne E.; Johnsen, Jill M.; Kaplan, Robert C.; Kelly, Shannon; Kenny, Eimear E.; Konkle, Barbara A.; Kooperberg, Charles; Lescano, Andres; Lima-Costa, M. Fernanda; Loos, Ruth J. F.; Manichaikul, Ani; Meyers, Deborah A.; Naslavsky, Michel S.; Nickerson, Deborah A.; North, Kari E.; Padilla, Carlos; Preuss, Michael; Raggio, Victor; Reiner, Alexander P.; Rich, Stephen S.; Rieder, Carlos R.; Rienstra, Michiel; Rotter, Jerome I.; Rundek, Tatjana; Sacco, Ralph L.; Sanchez, Cesar; Sankaran, Vijay G.; Santos-Lobato, Bruno Lopes; Schumacher-Schuh, Artur Francisco; Scliar, Marilia O.; Silverman, Edwin K.; Sofer, Tamar; Lasky-Su, Jessica; Tumas, Vitor; Weiss, Scott T.; Mata, Ignacio F.; Hernandez, Ryan D.; Tarazona-Santos, Eduardo; O'Connor, Timothy D.</t>
  </si>
  <si>
    <t>Latin Amer Res Consortium Genet Parkinsons Dis LARGE PD; Natl Inst Neurol Disorders and Stroke NINDS Stroke Genetics; Trans-Omics For Precision Med</t>
  </si>
  <si>
    <t>Genetics of Latin American Diversity Project: Insights into population genetics and association studies in admixed groups in the Americas</t>
  </si>
  <si>
    <t>CELL GENOMICS</t>
  </si>
  <si>
    <t>Latin Americans are underrepresented in genetic studies, increasing disparities in personalized genomic medicine. Despite available genetic data from thousands of Latin Americans, accessing and navigating the bureaucratic hurdles for consent or access remains challenging. To address this, we introduce the Genetics of Latin American Diversity (GLAD) Project, compiling genome-wide information from 53,738 Latin Americans across 39 studies representing 46 geographical regions. Through GLAD, we identified heterogeneous ancestry composition and recent gene flow across the Americas. Additionally, we developed GLAD-match, a simulated annealing-based algorithm, to match the genetic background of external samples to our database, sharing summary statistics (i.e., allele and haplotype frequencies) without transferring individual-level genotypes. Finally, we demonstrate the potential of GLAD as a critical resource for evaluating statistical genetic software in the presence of admixture. By providing this resource, we promote genomic research in Latin Americans and contribute to the promises of personalized medicine to more people.</t>
  </si>
  <si>
    <t>Loos, Ruth/AFU-8669-2022; Ferraz, Henrique/B-9195-2012; de Oliveira Scliar, Marilia/W-7338-2018; Horta, Bernardo/A-7604-2008; Abecasis, Goncalo/B-7840-2010; Mendes de Aquino, Marla/IWD-7417-2023; Kaplan, Robert/A-2526-2011; Naslavsky, Michel/L-1772-2015; Rotter, Jerome/AAY-6598-2021; Manichaikul, Ani/B-7726-2009; Schuh, Artur/J-2023-2014; Tumas, Vitor/C-9949-2014; Konkle, Barbara/AAD-7712-2022</t>
  </si>
  <si>
    <t>Tumas, Vitor/0000-0003-2402-2709; Rienstra, Michiel/0000-0002-2581-070X; Gogarten, Stephanie/0000-0002-7231-9745; Sofer, Tamar/0000-0001-8520-8860</t>
  </si>
  <si>
    <t>2666-979X</t>
  </si>
  <si>
    <t>NOV 13</t>
  </si>
  <si>
    <t>10.1016/j.xgen.2024.100692</t>
  </si>
  <si>
    <t>NOV 2024</t>
  </si>
  <si>
    <t>WOS:001381352400001</t>
  </si>
  <si>
    <t>Pick, CM; Ko, A; Kenrick, DT; Wiezel, A; Wormley, AS; Awad, E; Al-Shawaf, L; Barry, O; Bereby-Meyer, Y; Boonyasiriwat, W; Brandstätter, E; Ceylan-Batur, S; Choy, BKC; Crispim, AC; Cruz, JE; David, D; David, OA; Defelipe, RP; Elmas, P; Espinosa, A; Fernandez, AM; Fetvadjiev, VH; Fetvadjieva, S; Fischer, R; Galdi, S; Galindo-Caballero, OJ; Golovina, EV; Golovina, GM; Gomez-Jacinto, L; Graf, S; Grossmann, I; Gul, P; Halama, P; Hamamura, T; Han, SH; Hansson, LS; Hitokoto, H; Hrebícková, M; Ilic, D; Johnson, JL; Kara-Yakoubian, M; Karl, JA; Kim, JP; Kohút, M; Lasselin, J; Lee, H; Li, NP; Mafra, AL; Malanchuk, O; Moran, S; Murata, A; Na, J; Ndiaye, SAL; Jiaqing, O; Onyishi, IE; Pasay-an, E; Rizwan, M; Roth, E; Salgado, S; Samoylenko, ES; Savchenko, TN; Sette, C; Sevincer, AT; Skoog, E; Stanciu, A; Suh, EM; Sznycer, D; Talhelm, T; Ugwu, FO; Uskul, AK; Uz, I; Valentova, JV; Varella, MAC; Wei, LQ; Zambrano, D; Varnum, MEW</t>
  </si>
  <si>
    <t>Pick, Cari M.; Ko, Ahra; Kenrick, Douglas T.; Wiezel, Adi; Wormley, Alexandra S.; Awad, Edmond; Al-Shawaf, Laith; Barry, Oumar; Bereby-Meyer, Yoella; Boonyasiriwat, Watcharaporn; Brandstatter, Eduard; Ceylan-Batur, Suzan; Choy, Bryan K. C.; Crispim, Ana Carla; Cruz, Julio Eduardo; David, Daniel; David, Oana A.; Defelipe, Renata Pereira; Elmas, Pinar; Espinosa, Agustin; Fernandez, Ana Maria; Fetvadjiev, Velichko H.; Fetvadjieva, Stefka; Fischer, Ronald; Galdi, Silvia; Galindo-Caballero, Oscar Javier; Golovina, Elena V.; Golovina, Galina M.; Gomez-Jacinto, Luis; Graf, Sylvie; Grossmann, Igor; Gul, Pelin; Halama, Peter; Hamamura, Takeshi; Han, Shihui; Hansson, Lina S.; Hitokoto, Hidefumi; Hrebickova, Martina; Ilic, Darinka; Johnson, Jennifer Lee; Kara-Yakoubian, Mane; Karl, Johannes A.; Kim, Jinseok P.; Kohut, Michal; Lasselin, Julie; Lee, Hwaryung; Li, Norman P.; Mafra, Anthonieta Looman; Malanchuk, Oksana; Moran, Simone; Murata, Asuka; Na, Jinkyung; Ndiaye, Serigne Abdou Lahat; Jiaqing, O.; Onyishi, Ike E.; Pasay-an, Eddieson; Rizwan, Muhammed; Roth, Eric; Salgado, Sergio; Samoylenko, Elena S.; Savchenko, Tatyana N.; Sette, Catarina; Sevincer, A. Timur; Skoog, Eric; Stanciu, Adrian; Suh, Eunkook M.; Sznycer, Daniel; Talhelm, Thomas; Ugwu, Fabian O.; Uskul, Ayse K.; Uz, Irem; Valentova, Jaroslava Varella; Varella, Marco Antonio Correa; Wei, Liuqing; Zambrano, Danilo; Varnum, Michael E. W.</t>
  </si>
  <si>
    <t>Fundamental social motives measured across forty-two cultures in two waves (vol 9, 499, 2022)</t>
  </si>
  <si>
    <t>Galindo-Caballero, Oscar/CAG-8063-2022; Rizwan, Muhammad/AHE-3495-2022; Ugwu, Fabian/Y-4354-2019; Felipe, Renata/J-3293-2014; Grossmann, Igor/H-4861-2019; Pasay an, Eddieson/AAP-8507-2020; Elmas, Pinar/GNP-1920-2022; Crispim, Ana/H-7135-2013; Karl, Johannes/K-9654-2019; Wei, Liu/JAO-1481-2023; Varnum, Michael/AAR-7119-2021; Hamamura, Takeshi/D-2069-2011; SAMOYLENKO, Elena/X-9243-2019; Ceylan Batur, Suzan/HHS-6367-2022; Graf, Sylvie/D-9732-2014; Savchenko, Tatyana/B-6177-2018; Kohút, Michal/GXA-3182-2022; Lasselin, Julie/I-4316-2019; Ko, Ahra/U-9070-2019; Fetvadjiev, Velichko/M-7570-2016; Uskul, Ayse/M-8409-2016; Stanciu, Adrian/AAS-2190-2021; Salgado, Sergio/M-7805-2018; Moran, Simone/F-3272-2012; Bereby-Meyer, Yoella/D-9744-2012; Talhelm, Thomas/AFN-1031-2022; Johnson, Jennifer/LCD-6397-2024; Varella, Marco/S-5492-2016; galdi, silvia/ABG-8837-2020; Mafra, Anthonieta/M-5301-2018; Zambrano, Danilo/AFS-2992-2022; Espinosa, Agustín/L-1449-2014; Onyishi, Ike/AAZ-4887-2020; Fernández, Ana/E-6429-2011; LI, Norman/F-9075-2010; Sevincer, Timur/ABA-6804-2021; Golovina, Galina/ISA-2798-2023; Fischer, Ronald/G-6447-2017; Varella Valentova, Jaroslava/K-8765-2012; Halama, Peter/D-7537-2011; David, Oana/C-3454-2011</t>
  </si>
  <si>
    <t>Fischer, Ronald/0000-0002-3055-3955; Gul, Pelin/0000-0002-1856-2744; Savcenko, Tat'ana/0000-0002-4301-5590; Varella Valentova, Jaroslava/0000-0002-2113-3385; Ceylan-Batur, Suzan/0000-0003-2073-7598; Espinosa, Agustin/0000-0002-2275-5792; Pasay-an, Eddieson/0000-0003-1257-3175; Kohut, Michal/0000-0002-4544-1331; Bereby-Meyer, Yoella/0000-0001-6569-0186; Karl, Johannes Alfons/0000-0001-5166-0728; Elmas, Pinar/0000-0001-7909-7818; /0000-0001-7272-7186; Grossmann, Igor/0000-0003-2681-3600; Pick, Cari/0000-0002-3703-156X; Lasselin, Julie/0000-0001-8323-0714; Li, Norman/0000-0002-4059-1613; Halama, Peter/0000-0002-6938-4845; David, Oana/0000-0001-8706-1778</t>
  </si>
  <si>
    <t>10.1038/s41597-022-01672-0</t>
  </si>
  <si>
    <t>WOS:000855781100001</t>
  </si>
  <si>
    <t>Pick, CM; Ko, A; Kenrick, DT; Wiezel, A; Wormley, AS; Awad, E; Al-Shawaf, L; Barry, O; Bereby-Meyer, Y; Boonyasiriwat, W; Brandstätter, E; Ceylan-Batur, S; Choy, BKC; Crispim, AC; Cruz, JE; David, D; David, OA; Defelipe, RP; Elmas, P; Espinosa, A; Fernandez, AM; Fetvadjiev, VH; Fetvadjieva, S; Fischer, R; Galdi, S; Galindo-Caballero, OJ; Golovina, EV; Golovina, GM; Gomez-Jacinto, L; Graf, S; Grossmann, I; Gul, P; Halama, P; Hamamura, T; Han, SH; Hansson, LS; Hitokoto, H; Hrebíckova, M; Ilic, D; Johnson, JL; Kara-Yakoubian, M; Karl, JA; Kim, JP; Kohút, M; Lasselin, J; Lee, H; Li, NRP; Mafra, AL; Malanchuk, O; Moran, S; Murata, A; Na, J; Ndiaye, SAL; Jiaqing, O; Onyishi, IE; Pasay-an, E; Rizwan, M; Roth, E; Salgado, S; Samoylenko, ES; Savchenko, TN; Sette, C; Sevincer, AT; Skoog, E; Stanciu, A; Suh, EM; Sznycer, D; Talhelm, T; Ugwu, FO; Uskul, AK; Uz, I; Valentova, JV; Varella, MAC; Wei, LQ; Zambrano, D; Varnum, MEW</t>
  </si>
  <si>
    <t>Fundamental social motives measured across forty-two cultures in two waves</t>
  </si>
  <si>
    <t>How does psychology vary across human societies? The fundamental social motives framework adopts an evolutionary approach to capture the broad range of human social goals within a taxonomy of ancestrally recurring threats and opportunities. These motives-self-protection, disease avoidance, affiliation, status, mate acquisition, mate retention, and kin care-are high in fitness relevance and everyday salience, yet understudied cross-culturally. Here, we gathered data on these motives in 42 countries (N = 15,915) in two cross-sectional waves, including 19 countries (N = 10,907) for which data were gathered in both waves. Wave 1 was collected from mid-2016 through late 2019 (32 countries, N = 8,998; 3,302 male, 5,585 female; M-age = 24.43, SD = 7.91). Wave 2 was collected from April through November 2020, during the COVID-19 pandemic (29 countries, N = 6,917; 2,249 male, 4,218 female; M-age = 28.59, SD = 11.31). These data can be used to assess differences and similarities in people's fundamental social motives both across and within cultures, at different time points, and in relation to other commonly studied cultural indicators and outcomes.</t>
  </si>
  <si>
    <t>Sevincer, Timur/ABA-6804-2021; Salgado, Sergio/M-7805-2018; Felipe, Renata/J-3293-2014; Espinosa, Agustín/L-1449-2014; Savchenko, Tatyana/B-6177-2018; Lasselin, Julie/I-4316-2019; Mafra, Anthonieta/M-5301-2018; Ceylan Batur, Suzan/HHS-6367-2022; Graf, Sylvie/D-9732-2014; David, Oana/I-4479-2013; Zambrano, Danilo/AAC-9273-2020; Talhelm, Thomas/AFN-1031-2022; Crispim, Ana/H-7135-2013; Karl, Johannes/K-9654-2019; LI, Norman/F-9075-2010; Kohút, Michal/GXA-3182-2022; Golovina, Galina/ISA-2798-2023; Rizwan, Muhammad/AHE-3495-2022; Pasay an, Eddieson/AAP-8507-2020; Ugwu, Fabian/Y-4354-2019; Hamamura, Takeshi/D-2069-2011; Uskul, Ayse/M-8409-2016; Johnson, Jennifer/LCD-6397-2024; SAMOYLENKO, Elena/X-9243-2019; Ko, Ahra/U-9070-2019; galdi, silvia/ABG-8837-2020; Grossmann, Igor/H-4861-2019; Varnum, Michael/AAR-7119-2021; Bereby-Meyer, Yoella/D-9744-2012; Elmas, Pinar/GNP-1920-2022; Stanciu, Adrian/AAS-2190-2021; Onyishi, Ike/AAZ-4887-2020; Fernández, Ana/E-6429-2011; Wei, Liu/JAO-1481-2023; Varella Valentova, Jaroslava/K-8765-2012; Galindo Caballero, Oscar Javier/CAG-8063-2022; Fischer, Ronald/G-6447-2017; Moran, Simone/F-3272-2012; David, Oana/C-3454-2011; Halama, Peter/D-7537-2011; Varella, Marco/S-5492-2016; Fetvadjiev, Velichko/M-7570-2016</t>
  </si>
  <si>
    <t>Crispim, Ana Carla/0000-0003-3434-5667; Savcenko, Tat'ana/0000-0002-4301-5590; Lasselin, Julie/0000-0001-8323-0714; Pick, Cari/0000-0002-3703-156X; Varella Valentova, Jaroslava/0000-0002-2113-3385; Galindo Caballero, Oscar Javier/0000-0003-4603-6415; Fischer, Ronald/0000-0002-3055-3955; /0000-0001-7272-7186; Elmas, Pinar/0000-0001-7909-7818; Ugwu, Fabian O./0000-0001-9889-7132; Hansson, Lina S./0000-0002-3561-8092; Rizwan, Muhammad/0000-0001-9983-300X; Moran, Simone/0000-0002-2261-050X; Espinosa, Agustin/0000-0002-2275-5792; Kohut, Michal/0000-0002-4544-1331; Pasay-an, Eddieson/0000-0003-1257-3175; David, Oana/0000-0001-8706-1778; Halama, Peter/0000-0002-6938-4845; Varella, Marco/0000-0002-7274-7360; Skoog, Eric/0000-0002-7566-6283; Fetvadjiev, Velichko/0000-0002-5475-5121; Karl, Johannes Alfons/0000-0001-5166-0728; Ko, Ahra/0000-0002-7295-1097; Gul, Pelin/0000-0002-1856-2744; Ceylan-Batur, Suzan/0000-0003-2073-7598; Wormley, Alexandra/0000-0001-9892-6087; Bereby-Meyer, Yoella/0000-0001-6569-0186; Zambrano Ricaurte, Danilo/0000-0003-1527-6088; Grossmann, Igor/0000-0003-2681-3600</t>
  </si>
  <si>
    <t>10.1038/s41597-022-01579-w</t>
  </si>
  <si>
    <t>WOS:000841250600001</t>
  </si>
  <si>
    <t>Crous, PW; Wingfield, MJ; Lombard, L; Roets, F; Swart, WJ; Alvarado, P; Carnegie, AJ; Moreno, G; Luangsa-ard, J; Thangavel, R; Alexandrova, AV; Baseia, IG; Bellanger, JM; Bessette, AE; Bessette, AR; De la Peña-Lastra, S; García, D; Gené, J; Pham, THG; Heykoop, M; Malysheva, E; Malysheva, V; Martín, MP; Morozova, OV; Noisripoom, W; Overton, BE; Rea, AE; Sewall, BJ; Smith, ME; Smyth, CW; Tasanathai, K; Visagie, CM; Adamcík, S; Alves, A; Andrade, JP; Aninat, MJ; Araújo, RVB; Bordallo, JJ; Boufleur, T; Baroncelli, R; Barreto, RW; Bolin, J; Cabero, J; Cabon, M; Cafà, G; Caffot, MLH; Cai, L; Carlavilla, JR; Chávez, R; de Castro, RRL; Delgat, L; Deschuyteneer, D; Dios, MM; Domínguez, LS; Evans, HC; Eyssartier, G; Ferreira, BW; Figueiredo, CN; Liu, F; Fournier, J; Galli-Terasawa, LV; Gil-Durán, C; Glienke, C; Gonçalves, MFM; Gryta, H; Guarro, J; Himaman, W; Hywel-Jones, N; Iturrieta-González, I; Ivanushkina, NE; Jargeat, P; Khalid, AN; Khan, J; Kiran, M; Kiss, L; Kochkina, GA; Kolarík, M; Kubátová, A; Lodge, DJ; Loizides, M; Luque, D; Manjón, JL; Marbach, PAS; Massola, NS ; Mata, M; Miller, AN; Mongkolsamrit, S; Moreau, PA; Morte, A; Mujic, A; Navarro-Ródenas, A; Németh, MZ; Nóbrega, TF; Nováková, A; Olariaga, I; Ozerskaya, SM; Palma, MA; Petters-Vandresen, DAL; Piontelli, E; Popov, ES; Rodríguez, A; Requejo, O; Rodrigues, ACM; Rong, IH; Roux, J; Seifert, KA; Silva, BDB; Sklenár, F; Smith, JA; Sousa, JO; Souza, HG; De Souza, JT; Svec, K; Tanchaud, P; Tanney, JB; Terasawa, F; Thanakitpipattana, D; Torres-Garcia, D; Vaca, I; Vaghefi, N; van Iperen, AL; Vasilenko, OV; Verbeken, A; Yilmaz, N; Zamora, JC; Zapata, M; Jurjevic, Z; Groenewald, JZ</t>
  </si>
  <si>
    <t>Crous, P. W.; Wingfield, M. J.; Lombard, L.; Roets, F.; Swart, W. J.; Alvarado, P.; Carnegie, A. J.; Moreno, G.; Luangsa-ard, J.; Thangavel, R.; Alexandrova, A. V.; Baseia, I. G.; Bellanger, J. -M.; Bessette, A. E.; Bessette, A. R.; De la Pena-Lastra, S.; Garcia, D.; Gene, J.; Pham, T. H. G.; Heykoop, M.; Malysheva, E.; Malysheva, V.; Martin, M. P.; Morozova, O. V.; Noisripoom, W.; Overton, B. E.; Rea, A. E.; Sewall, B. J.; Smith, M. E.; Smyth, C. W.; Tasanathai, K.; Visagie, C. M.; Adamcik, S.; Alves, A.; Andrade, J. P.; Aninat, M. J.; Araujo, R. V. B.; Bordallo, J. J.; Boufleur, T.; Baroncelli, R.; Barreto, R. W.; Bolin, J.; Cabero, J.; Cabon, M.; Cafa, G.; Caffot, M. L. H.; Cai, L.; Carlavilla, J. R.; Chavez, R.; de Castro, R. R. L.; Delgat, L.; Deschuyteneer, D.; Dios, M. M.; Dominguez, L. S.; Evans, H. C.; Eyssartier, G.; Ferreira, B. W.; Figueiredo, C. N.; Liu, F.; Fournier, J.; Galli-Terasawa, L. V.; Gil-Duran, C.; Glienke, C.; Goncalves, M. F. M.; Gryta, H.; Guarro, J.; Himaman, W.; Hywel-Jones, N.; Iturrieta-Gonzalez, I.; Ivanushkina, N. E.; Jargeat, P.; Khalid, A. N.; Khan, J.; Kiran, M.; Kiss, L.; Kochkina, G. A.; Kolarik, M.; Kubatova, A.; Lodge, D. J.; Loizides, M.; Luque, D.; Manjon, J. L.; Marbach, P. A. S.; Massola, N. S., Jr.; Mata, M.; Miller, A. N.; Mongkolsamrit, S.; Moreau, P. -A.; Morte, A.; Mujic, A.; Navarro-Rodenas, A.; Nemeth, M. Z.; Nobrega, T. F.; Novakova, A.; Olariaga, I.; Ozerskaya, S. M.; Palma, M. A.; Petters-Vandresen, D. A. L.; Piontelli, E.; Popov, E. S.; Rodriguez, A.; Requejo, O.; Rodrigues, A. C. M.; Rong, I. H.; Roux, J.; Seifert, K. A.; Silva, B. D. B.; Sklenar, F.; Smith, J. A.; Sousa, J. O.; Souza, H. G.; De Souza, J. T.; Svec, K.; Tanchaud, P.; Tanney, J. B.; Terasawa, F.; Thanakitpipattana, D.; Torres-Garcia, D.; Vaca, I.; Vaghefi, N.; van Iperen, A. L.; Vasilenko, O. V.; Verbeken, A.; Yilmaz, N.; Zamora, J. C.; Zapata, M.; Jurjevic, Z.; Groenewald, J. Z.</t>
  </si>
  <si>
    <t>Fungal Planet description sheets: 951-1041</t>
  </si>
  <si>
    <t>PERSOONIA</t>
  </si>
  <si>
    <t>Novel species of fungi described in this study include those from various countries as follows: Antarctica,Apenidiella antarctica from permafrost, Cladosporium fildesense from an unidentified marine sponge. Argentina,Geastrum wrightii on humus in mixed forest. Australia, Golovinomyces glandulariae on Glandularia aristigera,Neoanungitea eucalyptorum on leaves of Eucalyptus grandis, Teratosphaeria corymbiicola on leaves of Corymbiaficifolia, Xylaria eucalypti on leaves of Eucalyptus radiata. Brazil, Bovista psammophila on soil, Fusarium awaxy onrotten stalks of Zea mays, Geastrum lanuginosum on leaf litter covered soil, Hermetothecium mikaniae-micranthae(incl. Hermetothecium gen. nov.) on Mikania micrantha, Penicillium reconvexovelosoi in soil, Stagonosporopsis vannacciifrom pod of Glycine max. British Virgin Isles, Lactifluus guanensis on soil. Canada, Sorocybe oblongisporaon resin of Picea rubens. Chile, Colletotrichum roseum on leaves of Lapageria rosea. China, Setophoma cavernafrom carbonatite in Karst cave. Colombia, Lareunionomyces eucalypticola on leaves of Eucalyptus grandis. CostaRica, Psathyrella pivae on wood. Cyprus, Clavulina iris on calcareous substrate. France, Chromosera ambiguaand Clavulina iris var. occidentalis on soil. French West Indies, Helminthosphaeria hispidissima on dead wood.Guatemala, Talaromyces guatemalensis in soil. Malaysia, Neotracylla pini (incl. Tracyllales ord. nov. and Neotracyllagen. nov.) and Vermiculariopsiella pini on needles of Pinus tecunumanii. New Zealand, Neoconiothyriumviticola on stems of Vitis vinifera, Parafenestella pittospori on Pittosporum tenuifolium, Pilidium novae-zelandiaeon Phoenix sp. Pakistan, Russula quercus-floribundae on forest floor. Portugal, Trichoderma aestuarinum fromsaline water. Russia, Pluteus liliputianus on fallen branch of deciduous tree, Pluteus spurius on decaying deciduous wood or soil. South Africa, Alloconiothyrium encephalarti, Phyllosticta encephalarticola and Neothyrostromaencephalarti (incl. Neothyrostroma gen. nov.) on leaves of Encephalartos sp., Chalara eucalypticola on leaf spots ofEucalyptus grandis x urophylla, Clypeosphaeria oleae on leaves of Olea capensis, Cylindrocladiella postalofficiumon leaf litter of Sideroxylon inerme, Cylindromonium eugeniicola (incl. Cylindromonium gen. nov.) on leaf litter ofEugenia capensis, Cyphellophora goniomatis on leaves of Gonioma kamassi, Nothodactylaria nephrolepidis (incl.Nothodactylaria gen. nov. and Nothodactylariaceae fam. nov.) on leaves of Nephrolepis exaltata, Falcocladiumeucalypti and Gyrothrix eucalypti on leaves of Eucalyptus sp., Gyrothrix oleae on leaves of Olea capensis subsp.macrocarpa, Harzia metro-sideri on leaf litter of Metrosideros sp., Hippopotamyces phragmitis (incl. Hippopotamycesgen. nov.) on leaves of Phragmites australis, Lectera philenopterae on Philenoptera violacea, Leptosilliamayteni on leaves of Maytenus heterophylla, Lithohypha aloicola and Neoplatysporoides aloes on leaves of Aloesp., Millesimomyces rhoicissi (incl. Millesimomyces gen. nov.) on leaves of Rhoicissus digitata, Neodevriesiastrelitziicola on leaf litter of Strelitzia nicolai, Neokirramyces syzygii (incl. Neokirramyces gen. nov.) on leaf spots of Syzygium sp., Nothoramichloridium perseae (incl. Nothoramichloridium gen. nov. and Anungitiomycetaceae fam.nov.) on leaves of Persea americana, Paramycosphaerella watsoniae on leaf spots of Watsonia sp., Penicilliumcuddlyae from dog food, Podocarpomyces knysnanus (incl. Podocarpomyces gen. nov.) on leaves of Podocarpusfalcatus, Pseudocercospora heteropyxidicola on leaf spots of Heteropyxis natalensis, Pseudopenidiella podocarpi,Scolecobasidium podocarpi and Ceramothyrium podocarpicola on leaves of Podocarpus latifolius, Scolecobasidiumblechni on leaves of Blechnum capense, Stomiopeltis syzygii on leaves of Syzygium chordatum, Strelitziomycesknysnanus (incl. Strelitziomyces gen. nov.) on leaves of Strelitzia alba, Talaromyces clemensii from rotting wood ingoldmine, Verrucocladosporium visseri on Carpobrotus edulis. Spain, Boletopsis mediterraneensis on soil, Calycinacortegadensisi on a living twig of Castanea sativa, Emmonsiellopsis tuberculata in fluvial sediments, Mollisia cortegadensison dead attached twig of Quercus robur, Psathyrella ovispora on soil, Pseudobeltrania lauri on leaf litterof Laurus azorica, Terfezia dunensis in soil, Tuber lucentum in soil, Venturia submersa on submerged plant debris.Thailand, Cordyceps jakajanicola on cicada nymph, Cordyceps kuiburiensis on spider, Distoseptispora caricis onleaves of Carex sp., Ophiocordyceps khonkaenensis on cicada nymph. USA, Cytosporella juncicola and Davidiellomycesjuncicola on culms of Juncus effusus, Monochaetia massachusettsianum from air sample, Neohelicomycesmelaleucae and Periconia neobrittanica on leaves of Melaleuca styphelioides x lanceolata, Pseudocamarosporiumeucalypti on leaves of Eucalyptus sp., Pseudogymnoascus lindneri from sediment in a mine, Pseudogymnoascusturneri from sediment in a railroad tunnel, Pulchroboletus sclerotiorum on soil, Zygosporium pseudomasonii onleaf of Serenoa repens. Vietnam, Boletus candidissimus and Veloporphyrellus vulpinus on soil. Morphological andculture characteristics are supported by DNA barcodes.</t>
  </si>
  <si>
    <t>Miller, Andrew/AAB-7815-2019; Malysheva, Vera/H-6242-2013; Alvarado, Pablo/K-4736-2014; Hywel-Jones, Nigel/MEO-4809-2025; Nataliya, Ivanushkina/AAR-7639-2020; Khalid, Abdul/AAD-9325-2020; De la Peña-Lastra, Saúl/Y-2686-2019; Roux, Jolanda/AGD-8171-2022; Gené, Josepa/AAG-6855-2019; Caboň, Miroslav/AAG-2511-2019; Wingfield, Michael/A-9473-2008; Olariaga, Ibai/AAB-1577-2019; Marbach, Phellippe/AAL-1590-2021; Baseia, Iuri/F-6534-2014; Yilmaz, Neriman/AAF-6814-2021; KOCHKINA, GALINA/AAR-7765-2020; JARGEAT, Patricia/MEO-4714-2025; Rebellato Linhares de Castro, Renata/ABF-6837-2021; Rodrigues, ALice/AAK-3781-2021; Glienke, C/L-3052-2016; Delgat, Lynn/GXG-0150-2022; Massola, Nelson/G-6412-2013; Ródenas, Alfonso/AAB-1938-2020; Crous, Pedro/H-1489-2012; Moreau, Pierre-Arthur/AAP-8248-2020; De Souza, Jorge/F-1905-2018; Swart, Wijnand/D-1207-2014; Vaghefi, Niloofar/GLS-1601-2022; Silva, Bianca/HTO-4355-2023; Thi Ha Giang, Pham/AAA-9620-2022; Ozerskaya, Svetlana/J-3821-2018; Sklenář, František/AAE-8172-2022; González, Isabel/AAE-9251-2021; Alexandrova, Alina/R-9859-2016; Gonçalves, Micael/AAC-3520-2022; Cai, Lei/W-4996-2017; Vasilenko, Oleg/T-3983-2018; Sousa, Julieth/AAR-1504-2021; Bellanger, Jean-Michel/D-1579-2017; Roets, Francois/HMP-4294-2023; Khan, Junaid/AAW-4147-2020; Kiran, Munazza/B-9618-2019; Liu, Fang/HNJ-4139-2023; Malysheva, Ekaterina/H-5582-2013; Kolařík, Miroslav/A-1680-2008; Manjón, José/K-4632-2014; Visagie, Cobus/JVZ-1459-2024; Groenewald, Johannes Zacharias/F-4667-2011; Morozova, Olga/H-5135-2013; Alves, Artur/C-3645-2008; Carnegie, Angus/H-6153-2015; Lourenco Petters-Vandresen, Desirre Alexia/L-2374-2014; Baroncelli, Riccardo/L-2598-2014; Adamcik, Slavomir/F-7807-2011; Vaghefi, Niloofar/B-2349-2019; Diaz Carlavilla, Juan Ramon/R-5452-2017; Smith, Matthew E./A-8115-2012; Boufleur, Thais Regina/F-1426-2016; Kiss, Levente/Q-3786-2018; Morte, Asuncion/L-4536-2014; Popov, Eugene/J-2481-2012</t>
  </si>
  <si>
    <t>Khalid, Abdul Nasir/0000-0002-5635-8031; Chavez, Renato/0000-0003-1754-3610; Groenewald, Johannes Zacharias/0000-0002-9474-6246; Zamora, Juan Carlos/0000-0002-9243-2999; Guimaraes de Souza, Harisson/0000-0002-5704-5395; Luangsa-ard, Janet Jennifer/0000-0001-6801-2145; Z. Nemeth, Mark/0000-0001-9521-8421; Morozova, Olga/0000-0002-7329-528X; Alves, Artur/0000-0003-0117-2958; Goncalves, Micael/0000-0003-2295-3374; Roets, Francois/0000-0003-3849-9057; Carnegie, Angus/0000-0002-6854-4974; Gil-Duran, Carlos Andres/0000-0001-9638-6902; Thi Ha Giang, Pham/0000-0002-4137-7213; Lourenco Petters-Vandresen, Desirre Alexia/0000-0002-4968-0292; Ferreira da Nobrega, Thaisa/0000-0001-5262-389X; Baroncelli, Riccardo/0000-0002-5878-1159; Cabon, Miroslav/0000-0002-2255-3816; Adamcik, Slavomir/0000-0003-2156-5767; Khan, Junaid/0000-0001-6929-1182; Cafa, Giovanni/0000-0003-0819-2126; Vaghefi, Niloofar/0000-0003-0430-4856; Kiran, Munazza/0000-0002-3671-9039; TERASAWA, LYGIA VITORIA/0000-0001-9785-2012; Alvarado, Pablo/0000-0001-7462-5271; Sousa, Julieth/0000-0002-9874-5419; Diaz Carlavilla, Juan Ramon/0000-0002-1325-9674; Ivanushkina, Nataliya/0000-0001-6720-6626; Iturrieta-Gonzalez, Isabel/0000-0001-8426-9530; Smith, Matthew E./0000-0002-0878-0932; Boufleur, Thais Regina/0000-0002-6357-0823; Kiss, Levente/0000-0002-4785-4308; Morte, Asuncion/0000-0002-6426-0202; Navarro Rodenas, Alfonso/0000-0001-9123-4547; Delgat, Lynn/0000-0003-0192-1859; Bellanger, Jean-Michel/0000-0001-9289-2349; Rodriguez, Antonio/0000-0002-0708-7773; CAI, LEI/0000-0002-8131-7274; Popov, Eugene/0000-0001-8599-3117; Ireland, Abigail/0009-0005-0615-673X; Vasconcelos, Ruane/0000-0002-1379-8555; Moreau, Pierre-Arthur/0000-0003-4783-3643; Rebellato Linhares de Castro, Renata/0000-0001-9488-7164</t>
  </si>
  <si>
    <t>0031-5850</t>
  </si>
  <si>
    <t>10.3767/persoonia.2019.43.06</t>
  </si>
  <si>
    <t>WOS:000519762600007</t>
  </si>
  <si>
    <t>Rutter, CE; Silverwood, RJ; Williams, HC; Ellwood, P; Asher, I; Garcia-Marcos, L; Strachan, DP; Pearce, N; Langan, SM; Aït-Khaled, N; Anderson, HR; Asher, MI; Beasley, R; Björkstén, B; Brunekreef, B; Crane, J; Ellwood, P; Flohr, C; Foliaki, S; Forastiere, F; García-Marcos, L; Keil, U; Lai, CKW; Mallol, J; Mitchell, EA; Montefort, S; Odhiambo, J; Pearce, N; Robertson, CF; Stewart, AW; Strachan, D; von Mutius, E; Weiland, SK; Weinmayr, G; Williams, HC; Wong, G; Clayton, TO; Ellwood, E; Baena-Cagnani, CE; Gómez, M; Howitt, ME; Weyler, J; Pinto-Vargas, R; da Cunha, AJ; Souza, LD; Kuaban, C; Ferguson, A; Rennie, D; Standring, P; Aguilar, P; Amarales, L; Benavides, LA; Contreras, A; Chen, YZ; Kunii, O; Pan, QL; Zhong, NS; Aristizábal, G; Cepeda, AM; Ordoñez, GA; Bustos, C; Riikjärv, MA; Melaku, K; Sa'aga-Banuve, R; Pekkanen, J; Hypolite, IE; Novák, Z; Zsigmond, G; Awasthi, S; Bhave, S; Hanumante, NM; Jain, KC; Joshi, MK; Khatav, VA; Mantri, SN; Pherwani, AV; Rego, S; Sabir, M; Salvi, S; Setty, G; Sharma, SK; Singh, V; Sukumaran, T; Babu, PSS; Kartasasmita, CB; Konthen, P; Suprihati, W; Masjedi, MR; Steriu, A; Koffi, BN; Odajima, H; al-Momen, JA; Imanalieva, C; Kudzyte, J; Quah, BS; Teh, KH; Baeza-Bacab, M; Barragán-Meijueiro, M; Del-Río-Navarro, BE; García-Almaráz, R; González-Díaz, SN; Linares-Zapién, FJ; Merida-Palacio, JV; Ramírez-Chanona, N; Romero-Tapia, S; Romieu, I; Bouayad, Z; MacKay, R; Moyes, C; Pattemore, P; Onadeko, BO; Cukier, G; Chiarella, P; Cua-Lim, F; Brêborowicz, A; Solé, D; Sears, M; Aguirre, V; Barba, S; Shah, J; Baratawidjaja, K; Nishima, S; de Bruyne, J; Tuuau-Potoi, N; Lai, CK; Lee, BW; El Sony, A; Anderson, R</t>
  </si>
  <si>
    <t>Rutter, Charlotte E.; Silverwood, Richard J.; Williams, Hywel C.; Ellwood, Philippa; Asher, Innes; Garcia-Marcos, Luis; Strachan, David P.; Pearce, Neil; Langan, Sinead M.; Ait-Khaled, N.; Anderson, H. R.; Asher, M., I; Beasley, R.; Bjorksten, B.; Brunekreef, B.; Crane, J.; Ellwood, P.; Flohr, C.; Foliaki, S.; Forastiere, F.; Garcia-Marcos, L.; Keil, U.; Lai, C. K. W.; Mallol, J.; Mitchell, E. A.; Montefort, S.; Odhiambo, J.; Pearce, N.; Robertson, C. F.; Stewart, A. W.; Strachan, D.; von Mutius, E.; Weiland, S. K.; Weinmayr, G.; Williams, H. C.; Wong, G.; Clayton, T. O.; Ellwood, E.; Baena-Cagnani, C. E.; Gomez, M.; Howitt, M. E.; Weyler, J.; Pinto-Vargas, R.; da Cunha, A. J.; de Freitas Souza, L.; Kuaban, C.; Ferguson, A.; Rennie, D.; Standring, P.; Aguilar, P.; Amarales, L.; Benavides, L. A.; Contreras, A.; Chen, Y-Z; Kunii, O.; Pan, Q. Li; Zhong, N. S.; Aristizabal, G.; Cepeda, A. M.; Ordonez, G. A.; Bustos, C.; Riikjarv, M-A; Melaku, K.; Sa'aga-Banuve, R.; Pekkanen, J.; Hypolite, I. E.; Novak, Z.; Zsigmond, G.; Awasthi, S.; Bhave, S.; Hanumante, N. M.; Jain, K. C.; Joshi, M. K.; Khatav, V. A.; Mantri, S. N.; Pherwani, A., V; Rego, S.; Sabir, M.; Salvi, S.; Setty, G.; Sharma, S. K.; Singh, V; Sukumaran, T.; Babu, P. S. Suresh; Kartasasmita, C. B.; Konthen, P.; Suprihati, W.; Masjedi, M. R.; Steriu, A.; Koffi, B. N.; Odajima, H.; al-Momen, J. A.; Imanalieva, C.; Kudzyte, J.; Quah, B. S.; Teh, K. H.; Baeza-Bacab, M.; Barragan-Meijueiro, M.; Del-Rio-Navarro, B. E.; Garcia-Almaraz, R.; Gonzalez-Diaz, S. N.; Linares-Zapien, F. J.; Merida-Palacio, J., V; Ramirez-Chanona, N.; Romero-Tapia, S.; Romieu, I; Bouayad, Z.; MacKay, R.; Moyes, C.; Pattemore, P.; Onadeko, B. O.; Cukier, G.; Chiarella, P.; Cua-Lim, F.; Breborowicz, A.; Sole, D.; Sears, M.; Aguirre, V; Barba, S.; Shah, J.; Baratawidjaja, K.; Nishima, S.; de Bruyne, J.; Tuuau-Potoi, N.; Lai, C. K.; Lee, B. W.; El Sony, A.; Anderson, R.</t>
  </si>
  <si>
    <t>ISAAC Phase Three Study Grp</t>
  </si>
  <si>
    <t>Are Environmental Factors for Atopic Eczema in ISAAC Phase Three due to Reverse Causation?</t>
  </si>
  <si>
    <t>JOURNAL OF INVESTIGATIVE DERMATOLOGY</t>
  </si>
  <si>
    <t>Some previously described environmental associations for atopic eczema may be due to reverse causation. We explored the role of reverse causation by comparing individual-and school-level results for multiple atopic eczema risk factors. The International Study of Asthma and Allergies in Childhood (i.e, ISAAC) Phase Three surveyed children in schools (the sampling unit) regarding atopic eczema symptoms and potential risk factors. We assessed the effect of these risk factors on atopic eczema symptoms using mixed-effect logistic regression models, first with individual-level exposure data and second with school-level exposure prevalence. Overall, 546,348 children from 53 countries were included. At ages 6-7 years, the strongest individual-level associations were with current paracetamol use (odds ratio [OR] = 1.45, 95% confidence interval [CI] = 1.37-1.54), which persisted at school-level (OR = 1.55, 95% CI = 1.10-2.21), early-life antibiotics (OR = 1.41, 95% CI = 1.34-1.48), and early-life paracetamol use (OR = 1.28, 95% CI = 1.21-1.36), with the former persisting at the school level, whereas the latter was no longer observed (OR = 1.35, 95% CI = 1.00-1.82 and OR = 0.94, 95% CI = 0.69-1.28, respectively). At ages 13-14 years, the strongest associations at the individual level were with current paracetamol use (OR = 1.57, 95% CI = 1.51-1.63) and open-fire cooking (OR = 1.46, 95% CI = 1.33-1.62); both were stronger at the school level (OR = 2.57, 95% CI = 1.84-3.59 and OR = 2.38, 95% CI = 1.52-3.73, respectively). Association with exposure to heavy traffic (OR = 1.31, 95% CI = 1.27-1.36) also persisted at the school level (OR = 1.40, 95% CI = 1.07-1.82). Most individual-and school-level effects were consistent, tending to exclude reverse causation.</t>
  </si>
  <si>
    <t>Weyler, Joost/O-8594-2016; FRACP, Tissa/I-2086-2019; Kavousi, Maryam/F-1174-2018; brunekreef, bert/ACN-0336-2022; BARBA, SALVATORE/M-4652-2018; Anderson, Hugh/A-7417-2016; Cecchi, Lorenzo/HPF-1970-2023; Flohr, Carsten/LTE-1355-2024; Solé, Dirceu/JAO-0340-2023; Silverwood, Richard/A-1249-2014; Garcia-Almaraz, Roberto/G-8506-2018; Wong, Gary/AAY-9207-2020; Steriu, Andreea/AAQ-5127-2021; Gonzalez-Diaz, Sandra Nora/H-3271-2018; Ellwood, Philippa/G-7555-2015</t>
  </si>
  <si>
    <t>Mallol, Javier/0000-0003-2528-8672; Silverwood, Richard/0000-0002-2744-1194; Ferguson, Alexander C./0000-0002-3143-5619; williams, hywel/0000-0002-5646-3093; Garcia-Marcos, Luis/0000-0002-0925-3851; Garcia-Almaraz, Roberto/0000-0001-5828-1771; Amarales, Lidia/0009-0007-0832-7867; Rutter, Charlotte/0000-0002-9823-7932; Wong, Gary/0000-0001-5939-812X; Steriu, Andreea/0000-0002-2998-8644; Gonzalez-Diaz, Sandra Nora/0000-0002-3612-0042; Pearce, Neil/0000-0002-9938-7852; Ellwood, Philippa/0000-0002-1994-4023; Langan, Sinead/0000-0002-7022-7441; Pekkanen, Juha/0000-0002-1083-8777; Chiarella, Pascual/0000-0001-7644-7237</t>
  </si>
  <si>
    <t>0022-202X</t>
  </si>
  <si>
    <t>1523-1747</t>
  </si>
  <si>
    <t>10.1016/j.jid.2018.08.035</t>
  </si>
  <si>
    <t>WOS:000465209400011</t>
  </si>
  <si>
    <t>Qiu, X; Wu, Y; Sun, Y; Levis, BT; Tian, JZ; Boruff, JT; Cuijpers, P; Ioannidis, JPA; Markham, S; Ziegelstein, RC; Vigod, SN; Benedetti, A; Thombs, BD</t>
  </si>
  <si>
    <t>Qiu, Xia; Wu, Yin; Sun, Ying; Levis, Brooke; Tian, Jizhou; Boruff, Jill T.; Cuijpers, Pim; Ioannidis, John P. A.; Markham, Sarah; Ziegelstein, Roy C.; Vigod, Simone N.; Benedetti, Andrea; Thombs, Brett</t>
  </si>
  <si>
    <t>Depression Screening Data DEPRES</t>
  </si>
  <si>
    <t>Individual participant data meta-analysis to compare EPDS accuracy to detect major depression with and without the self-harm item</t>
  </si>
  <si>
    <t>Item 10 of the Edinburgh Postnatal Depression Scale (EPDS) is intended to assess thoughts of intentional self-harm but may also elicit concerns about accidental self-harm. It does not specifically address suicide ideation but, nonetheless, is sometimes used as an indicator of suicidality. The 9-item version of the EPDS (EPDS-9), which omits item 10, is sometimes used in research due to concern about positive endorsements of item 10 and necessary follow-up. We assessed the equivalence of total score correlations and screening accuracy to detect major depression using the EPDS-9 versus full EPDS among pregnant and postpartum women. We searched Medline, Medline In-Process and Other Non-Indexed Citations, PsycINFO, and Web of Science from database inception to October 3, 2018 for studies that administered the EPDS and conducted diagnostic classification for major depression based on a validated semi-structured or fully structured interview among women aged 18 or older during pregnancy or within 12 months of giving birth. We conducted an individual participant data meta-analysis. We calculated Pearson correlations with 95% prediction interval (PI) between EPDS-9 and full EPDS total scores using a random effects model. Bivariate random-effects models were fitted to assess screening accuracy. Equivalence tests were done by comparing the confidence intervals (CIs) around the pooled sensitivity and specificity differences to the equivalence margin of delta = 0.05. Individual participant data were obtained from 41 eligible studies (10,906 participants, 1407 major depression cases). The correlation between EPDS-9 and full EPDS scores was 0.998 (95% PI 0.991, 0.999). For sensitivity, the EPDS-9 and full EPDS were equivalent for cut-offs 7-12 (difference range - 0.02, 0.01) and the equivalence was indeterminate for cut-offs 13-15 (all differences - 0.04). For specificity, the EPDS-9 and full EPDS were equivalent for all cut-offs (difference range 0.00, 0.01). The EPDS-9 performs similarly to the full EPDS and can be used when there are concerns about the implications of administering EPDS item 10.</t>
  </si>
  <si>
    <t>Patten, Scott/B-4434-2011; Skalkidou, Alkistis/JBR-9089-2023; van Heyningen, Thandi/IVH-2210-2023; Sun, Yang/CAG-8517-2022; Wu, Yin/AFR-0274-2022; Markham, Sarah/I-2809-2019; Rochat, Tamsen/AAU-5756-2021; Nakić Radoš, Sandra/I-7464-2019; Howard, Louise/E-3495-2010; Maes, Michael/B-8546-2011; Nishi, Daisuke/AAH-7211-2019; Vega-Dienstmaier, Johann/Q-6709-2019; Ioannidis, John/G-9836-2011; Favez, Nicolas/ABB-6292-2020; Boruff, Jill/K-4940-2015; Chorwe-Sungani, Genesis/HZL-1390-2023; Chen, Bowen/KFB-3986-2024; Cuijpers, Pim/G-1703-2013; Tendais, Iva/AFV-2288-2022; Honikman, Simone/O-1657-2018; Figueiredo, Barbara/A-2655-2011; Kozinszky, Zoltan/G-9672-2017; Eapen, Valsamma/N-9608-2017</t>
  </si>
  <si>
    <t>Wynter, Karen/0000-0003-4620-7691; Maes, Michael/0000-0002-2012-871X; Field, Sally/0000-0002-7917-2598; Fellmeth, Gracia/0000-0002-0537-2490; Figueiredo, Barbara/0000-0002-8209-7445; vaever, mette skovgaard/0000-0002-9675-3423; Fernandes, Michelle/0000-0002-0051-3389; Kozinszky, Zoltan/0000-0001-7485-9895; Rochat, Tamsen Jean/0000-0002-5223-770X; Smith-Nielsen, Johanne/0000-0003-3571-6335; van Heyningen, Thandi/0000-0002-5812-6170; Eapen, Valsamma/0000-0001-6296-8306; Vega-Dienstmaier, Johann/0000-0002-5686-4014</t>
  </si>
  <si>
    <t>MAR 10</t>
  </si>
  <si>
    <t>10.1038/s41598-023-29114-w</t>
  </si>
  <si>
    <t>WOS:000989359600010</t>
  </si>
  <si>
    <t>Abdulcadir, J; Adler, PW; Alderson, P; Alexander, S; Aurenque, D; Bader, D; Ben-Yami, H; Bewley, S; Boddy, J; van den Brink, M; Bronselaer, G; Burrage, H; Ceelen, W; Chambers, C; Chegwidden, J; Coene, G; Conroy, R; Dabbagh, H; Davis, DS; Dawson, A; Decruyenaere, J; Dekkers, W; DeLaet, D; De Sutter, P; van Dijk, G; Dubuc, E; Dworkin, G; Earp, BD; Fahmy, MAB; Ferreira, N; Florquin, S; Frisch, M; Garland, F; Goldman, R; Gruenbaum, E; Heinrichs, G; Herbenick, D; Higashi, Y; Ho, CWL; Hoebeke, P; Johnson, M; Johnson-Agbakwu, C; Karlsen, S; Kim, D; Kling, S; Komba, E; Kraus, C; Kukla, R; Lempert, A; von Gleichen, TL; MacDonald, N; Merli, C; Mishori, R; Möller, K; Monro, S; Moodley, K; Mortier, E; Munzer, SR; Murphy, TF; Nelson, JL; Ncayiyana, DJ; van Niekerk, AA; O'Neill, S; Onuki, D; Palacios-González, C; Pang, MG; Proudman, CR; Richard, F; Richards, JR; Reis, E; Rotta, AT; Rubens, R; Sarajlic, E; Sardi, L; Schüklenk, U; Shahvisi, A; Shaw, D; Sidler, D; Steinfeld, R; Sterckx, S; Svoboda, JS; Tangwa, GB; Thomson, M; Tigchelaar, J; Van Biesen, W; Vandewoude, K; Van Howe, RS; Vash-Margita, A; Vissandjée, B; Wahlberg, A; Warren, N</t>
  </si>
  <si>
    <t>Abdulcadir, Jasmine; Adler, Peter W.; Alderson, Priscilla; Alexander, Sophie; Aurenque, Diana; Bader, Dina; Ben-Yami, Hanoch; Bewley, Susan; Boddy, Janice; van den Brink, Marjolein; Bronselaer, Guy; Burrage, Hilary; Ceelen, Wim; Chambers, Clare; Chegwidden, James; Coene, Gily; Conroy, Ronan; Dabbagh, Hossein; Davis, Dena S.; Dawson, Angela; Decruyenaere, Johan; Dekkers, Wim; DeLaet, Debra; De Sutter, Petra; van Dijk, Gert; Dubuc, Elise; Dworkin, Gerald; Earp, Brian D.; Fahmy, Mohamed A. Baky; Ferreira, Nuno; Florquin, Stephanie; Frisch, Morten; Garland, Fae; Goldman, Ronald; Gruenbaum, Ellen; Heinrichs, Gretchen; Herbenick, Debby; Higashi, Yuko; Ho, Calvin W. L.; Hoebeke, Piet; Johnson, Matthew; Johnson-Agbakwu, Crista; Karlsen, Saffron; Kim, DaiSik; Kling, Sharon; Komba, Everlyne; Kraus, Cynthia; Kukla, Rebecca; Lempert, Antony; von Gleichen, Tobe Levin; MacDonald, Noni; Merli, Claudia; Mishori, Ranit; Moller, Kai; Monro, Surya; Moodley, Keymanthri; Mortier, Eric; Munzer, Stephen R.; Murphy, Timothy F.; Nelson, Jamie Lindemann; Ncayiyana, Daniel J.; van Niekerk, Anton A.; O'Neill, Sarah; Onuki, Daisuke; Palacios-Gonzalez, Cesar; Pang, Myung-Geol; Proudman, Charlotte R.; Richard, Fabienne; Richards, Janet Radcliffe; Reis, Elizabeth; Rotta, Alexandre T.; Rubens, Robert; Sarajlic, Eldar; Sardi, Lauren; Schuklenk, Udo; Shahvisi, Arianne; Shaw, David; Sidler, Daniel; Steinfeld, Rebecca; Sterckx, Sigrid; Svoboda, J. Steven; Tangwa, Godfrey B.; Thomson, Michael; Tigchelaar, Jet; Van Biesen, Wim; Vandewoude, Koenraad; Van Howe, Robert S.; Vash-Margita, Alla; Vissandjee, Bilkis; Wahlberg, Anna; Warren, Nicole</t>
  </si>
  <si>
    <t>Brussels Collaboration Bodily Int</t>
  </si>
  <si>
    <t>Medically Unnecessary Genital Cutting and the Rights of the Child: Moving Toward Consensus</t>
  </si>
  <si>
    <t>AMERICAN JOURNAL OF BIOETHICS</t>
  </si>
  <si>
    <t>schuklenk, udo/O-1372-2018; Pang, Myung-Geol/AAV-2014-2021; Bader, Dina/AAI-9199-2021; Decruyenaere, Johan/JFS-3308-2023; Mishori, Ranit/X-1922-2019; Burrage, Hilary/AAH-1030-2021; Reis, Elizabeth/A-9535-2010; Johnson, Matthew/H-3658-2017; Vash-Margita, Alla/AAV-6925-2020; Sidler, Daniel/G-2447-2019; MacDonald, Noni/JPL-7600-2023; ceelen, wim/H-9816-2014; Dabbagh, Hossein/JDW-1564-2023; Dawson, Angela/A-6872-2011; Merli, Claudia/C-1571-2019; Fahmy, Mohamed/H-6148-2011; Frisch, Morten/E-9206-2016</t>
  </si>
  <si>
    <t>Burrage, Hilary/0000-0002-6684-2740; thomson, michael/0000-0002-1570-2481; Dawson, Angela/0000-0003-0926-2202; Murphy, Timothy F/0000-0001-8003-550X; Garland, Fae/0000-0002-6725-7682; Decruyenaere, Johan/0000-0002-3655-4318; Aurenque, Diana/0000-0002-0979-2847; Ho, Calvin W. L./0000-0002-8328-1308; Ben-Yami, Hanoch/0000-0002-4903-854X; Bader, Dina/0000-0001-5411-639X; O'Neill, Sarah/0000-0001-8807-0991; Earp, Brian/0000-0001-9691-2888; Herbenick, Debby/0000-0002-0352-2248; Kling, Sharon/0000-0002-4498-1811; Dabbagh, Hooshang/0000-0003-2176-4598; Merli, Claudia/0000-0002-4802-3784; Kraus, Cynthia/0000-0001-9999-2975; Fahmy, Mohamed/0000-0002-3570-1742; Frisch, Morten/0000-0002-3864-8860</t>
  </si>
  <si>
    <t>1526-5161</t>
  </si>
  <si>
    <t>1536-0075</t>
  </si>
  <si>
    <t>OCT 3</t>
  </si>
  <si>
    <t>10.1080/15265161.2019.1643945</t>
  </si>
  <si>
    <t>WOS:000487986000012</t>
  </si>
  <si>
    <t>Neale, PJ; Hylander, S; Banaszak, AT; Häder, DP; Rose, KC; Vione, D; Wängberg, SÅ; Jansen, MAK; Busquets, R; Andersen, MPS; Madronich, S; Hanson, ML; Schikowski, T; Solomon, KR; Sulzberger, B; Wallington, TJ; Heikkilä, AM; Pandey, KK; Andrady, AL; Bruckman, LS; White, CC; Zhu, LP; Bernhard, GH; Bais, A; Aucamp, PJ; Chiodo, G; Cordero, RR; Petropavlovskikh, I; Neale, RE; Olsen, CM; Hales, S; Lal, A; Lingham, G; Rhodes, LE; Young, AR; Robson, TM; Robinson, SA; Barnes, PW; Bornman, JF; Harper, AB; Lee, H; Calderón, RM; Ossola, R; Paul, ND; Revell, LE; Wang, QW; Zepp, RG</t>
  </si>
  <si>
    <t>Neale, Patrick J.; Hylander, Samuel; Banaszak, Anastazia T.; Haeder, Donat-P.; Rose, Kevin C.; Vione, Davide; Wangberg, Sten-ake; Jansen, Marcel A. K.; Busquets, Rosa; Andersen, Mads P. Sulbaek; Madronich, Sasha; Hanson, Mark L.; Schikowski, Tamara; Solomon, Keith R.; Sulzberger, Barbara; Wallington, Timothy J.; Heikkila, Anu M.; Pandey, Krishna K.; Andrady, Anthony L.; Bruckman, Laura S.; White, Christopher C.; Zhu, Liping; Bernhard, Germar H.; Bais, Alkiviadis; Aucamp, Pieter J.; Chiodo, Gabriel; Cordero, Raul R.; Petropavlovskikh, Irina; Neale, Rachel E.; Olsen, Catherine M.; Hales, Simon; Lal, Aparna; Lingham, Gareth; Rhodes, Lesley E.; Young, Antony R.; Robson, T. Matthew; Robinson, Sharon A.; Barnes, Paul W.; Bornman, Janet F.; Harper, Anna B.; Lee, Hanna; Calderon, Roy Mackenzie; Ossola, Rachele; Paul, Nigel D.; Revell, Laura E.; Wang, Qing-Wei; Zepp, Richard G.</t>
  </si>
  <si>
    <t>Environmental consequences of interacting effects of changes in stratospheric ozone, ultraviolet radiation, and climate: UNEP Environmental Effects Assessment Panel, Update 2024</t>
  </si>
  <si>
    <t>PHOTOCHEMICAL &amp; PHOTOBIOLOGICAL SCIENCES</t>
  </si>
  <si>
    <t>This Assessment Update by the Environmental Effects Assessment Panel (EEAP) of the United Nations Environment Programme (UNEP) addresses the interacting effects of changes in stratospheric ozone, solar ultraviolet (UV) radiation, and climate on the environment and human health. These include new modelling studies that confirm the benefits of the Montreal Protocol in protecting the stratospheric ozone layer and its role in maintaining a stable climate, both at low and high latitudes. We also provide an update on projected levels of solar UV-radiation during the twenty-first century. Potential environmental consequences of climate intervention scenarios are also briefly discussed, illustrating the large uncertainties of, for example, Stratospheric Aerosol Injection (SAI). Modelling studies predict that, although SAI would cool the Earth's surface, other climate factors would be affected, including stratospheric ozone depletion and precipitation patterns. The contribution to global warming of replacements for ozone-depleting substances (ODS) are assessed. With respect to the breakdown products of chemicals under the purview of the Montreal Protocol, the risks to ecosystem and human health from the formation of trifluoroacetic acid (TFA) as a degradation product of ODS replacements are currently de minimis. UV-radiation and climate change continue to have complex interactive effects on the environment due largely to human activities. UV-radiation, other weathering factors, and microbial action contribute significantly to the breakdown of plastic waste in the environment, and in affecting transport, fate, and toxicity of the plastics in terrestrial and aquatic ecosystems, and the atmosphere. Sustainability demands continue to drive industry innovations to mitigate environmental consequences of the use and disposal of plastic and plastic-containing materials. Terrestrial ecosystems in alpine and polar environments are increasingly being exposed to enhanced UV-radiation due to earlier seasonal snow and ice melt because of climate warming and extended periods of ozone depletion. Solar radiation, including UV-radiation, also contributes to the decomposition of dead plant material, which affects nutrient cycling, carbon storage, emission of greenhouse gases, and soil fertility. In aquatic ecosystems, loss of ice cover is increasing the area of polar oceans exposed to UV-radiation with possible negative effects on phytoplankton productivity. However, modelling studies of Arctic Ocean circulation suggests that phytoplankton are circulating to progressively deeper ocean layers with less UV irradiation. Human health is also modified by climate change and behaviour patterns, resulting in changes in exposure to UV-radiation with harmful or beneficial effects depending on conditions and skin type. For example, incidence of melanoma has been associated with increased air temperature, which affects time spent outdoors and thus exposure to UV-radiation. Overall, implementation of the Montreal Protocol and its Amendments has mitigated the deleterious effects of high levels of UV-radiation and global warming for both environmental and human health.</t>
  </si>
  <si>
    <t>Vione, Davide/A-4047-2008; Mackenzie Calderon, Roy/AAU-7621-2020; Zhu, Liping/HKO-4916-2023; Heikkilä, Anu/F-1261-2017; Olsen, Catherine/C-8785-2009; Neale, Patrick/A-3683-2012; Neale, Rachel/I-4427-2018; Revell, Laura/ABG-7040-2020; Banaszak, Anastazia/H-6362-2019; Cordero, Raul/M-7979-2017; Bruckman, Laura/X-4067-2019; Rhodes, Lesley/H-5324-2015; Lingham, Gareth/LBI-3829-2024; Wang, Qing-Wei/GRQ-7463-2022; Bernhard, Germar/AAZ-7169-2020; Jansen, Marcel/MGV-1636-2025; /J-3381-2012; Bais, Alkiviadis/D-2230-2009; Sulbaek Andersen, Mads Peter/C-4708-2008</t>
  </si>
  <si>
    <t>/0000-0002-8631-796X; Hylander, Samuel/0000-0002-3740-5998; Busquets, Rosa/0000-0001-9033-4757; Rose, Kevin/0000-0002-1292-9381; Mackenzie-Calderon, Roy/0000-0001-6620-1532; Bais, Alkiviadis/0000-0003-3899-2001; Neale, Patrick/0000-0002-4047-8098; Sulbaek Andersen, Mads Peter/0000-0002-7976-5852</t>
  </si>
  <si>
    <t>1474-905X</t>
  </si>
  <si>
    <t>1474-9092</t>
  </si>
  <si>
    <t>10.1007/s43630-025-00687-x</t>
  </si>
  <si>
    <t>MAR 2025</t>
  </si>
  <si>
    <t>WOS:001446143000001</t>
  </si>
  <si>
    <t>Irvin, J; Zhou, SR; McNicol, G; Lu, F; Liu, V; Fluet-Chouinard, E; Ouyang, ZT; Knox, SH; Lucas-Moffat, A; Trotta, C; Papale, D; Vitale, D; Mammarella, I; Alekseychik, P; Aurela, M; Avati, A; Baldocchi, D; Bansal, S; Bohrer, G; Campbell, D; Chen, JQ; Chu, HS; Dalmagro, HJ; Delwiche, KB; Desai, AR; Euskirchen, E; Feron, S; Goeckede, M; Heimann, M; Helbig, M; Helfter, C; Hemes, KS; Hirano, T; Iwata, H; Jurasinski, G; Kalhori, A; Kondrich, A; Lai, DYF; Lohila, A; Malhotra, A; Merbold, L; Mitra, B; Ng, A; Nilsson, MB; Noormets, A; Peichl, M; Rey-Sanchez, AC; Richardson, AD; Runkle, BRK; Schäfer, KVR; Sonnentag, O; Stuart-Haëntjens, E; Sturtevant, C; Ueyama, M; Valach, AC; Vargas, R; Vourlitis, GL; Ward, EJ; Wong, GX; Zona, D; Alberto, MCR; Billesbach, DP; Celis, G; Dolman, H; Friborg, T; Fuchs, K; Gogo, S; Gondwe, MJ; Goodrich, JP; Gottschalk, P; Hörtnagl, L; Jacotot, A; Koebsch, F; Kasak, K; Maier, R; Morin, TH; Nemitz, E; Oechel, WC; Oikawa, PY; Ono, K; Sachs, T; Sakabe, A; Schuur, EA; Shortt, R; Sullivan, RC; Szutu, DJ; Tuittila, ES; Varlagin, A; Verfaillie, JG; Wille, C; Windham-Myers, L; Poulter, B; Jackson, RB</t>
  </si>
  <si>
    <t>Irvin, Jeremy; Zhou, Sharon; McNicol, Gavin; Lu, Fred; Liu, Vincent; Fluet-Chouinard, Etienne; Ouyang, Zutao; Knox, Sara Helen; Lucas-Moffat, Antje; Trotta, Carlo; Papale, Dario; Vitale, Domenico; Mammarella, Ivan; Alekseychik, Pavel; Aurela, Mika; Avati, Anand; Baldocchi, Dennis; Bansal, Sheel; Bohrer, Gil; Campbell, David, I; Chen, Jiquan; Chu, Housen; Dalmagro, Higo J.; Delwiche, Kyle B.; Desai, Ankur R.; Euskirchen, Eugenie; Feron, Sarah; Goeckede, Mathias; Heimann, Martin; Helbig, Manuel; Helfter, Carole; Hemes, Kyle S.; Hirano, Takashi; Iwata, Hiroki; Jurasinski, Gerald; Kalhori, Aram; Kondrich, Andrew; Lai, Derrick Y. F.; Lohila, Annalea; Malhotra, Avni; Merbold, Lutz; Mitra, Bhaskar; Ng, Andrew; Nilsson, Mats B.; Noormets, Asko; Peichl, Matthias; Rey-Sanchez, A. Camilo; Richardson, Andrew D.; Runkle, Benjamin R. K.; Schafer, Karina V. R.; Sonnentag, Oliver; Stuart-Haentjens, Ellen; Sturtevant, Cove; Ueyama, Masahito; Valach, Alex C.; Vargas, Rodrigo; Vourlitis, George L.; Ward, Eric J.; Wong, Guan Xhuan; Zona, Donatella; Alberto, Ma Carmelita R.; Billesbach, David P.; Celis, Gerardo; Dolman, Han; Friborg, Thomas; Fuchs, Kathrin; Gogo, Sebastien; Gondwe, Mangaliso J.; Goodrich, Jordan P.; Gottschalk, Pia; Hortnagl, Lukas; Jacotot, Adrien; Koebsch, Franziska; Kasak, Kuno; Maier, Regine; Morin, Timothy H.; Nemitz, Eiko; Oechel, Walter C.; Oikawa, Patricia Y.; Ono, Keisuke; Sachs, Torsten; Sakabe, Ayaka; Schuur, Edward A.; Shortt, Robert; Sullivan, Ryan C.; Szutu, Daphne J.; Tuittila, Eeva-Stiina; Varlagin, Andrej; Verfaillie, Joeseph G.; Wille, Christian; Windham-Myers, Lisamarie; Poulter, Benjamin; Jackson, Robert B.</t>
  </si>
  <si>
    <t>Gap-filling eddy covariance methane fluxes: Comparison of machine learning model predictions and uncertainties at FLUXNET-CH4 wetlands</t>
  </si>
  <si>
    <t>AGRICULTURAL AND FOREST METEOROLOGY</t>
  </si>
  <si>
    <t>Time series of wetland methane fluxes measured by eddy covariance require gap-filling to estimate daily, seasonal, and annual emissions. Gap-filling methane fluxes is challenging because of high variability and complex responses to multiple drivers. To date, there is no widely established gap-filling standard for wetland methane fluxes, with regards both to the best model algorithms and predictors. This study synthesizes results of different gap-filling methods systematically applied at 17 wetland sites spanning boreal to tropical regions and including all major wetland classes and two rice paddies. Procedures are proposed for: 1) creating realistic artificial gap scenarios, 2) training and evaluating gap-filling models without overstating performance, and 3) predicting halfhourly methane fluxes and annual emissions with realistic uncertainty estimates. Performance is compared between a conventional method (marginal distribution sampling) and four machine learning algorithms. The conventional method achieved similar median performance as the machine learning models but was worse than the best machine learning models and relatively insensitive to predictor choices. Of the machine learning models, decision tree algorithms performed the best in cross-validation experiments, even with a baseline predictor set, and artificial neural networks showed comparable performance when using all predictors. Soil temperature was frequently the most important predictor whilst water table depth was important at sites with substantial water table fluctuations, highlighting the value of data on wetland soil conditions. Raw gap-filling uncertainties from the machine learning models were underestimated and we propose a method to calibrate uncertainties to observations. The python code for model development, evaluation, and uncertainty estimation is publicly available. This study outlines a modular and robust machine learning workflow and makes recommendations for, and evaluates an improved baseline of, methane gap-filling models that can be implemented in multi-site syntheses or standardized products from regional and global flux networks (e.g., FLUXNET).</t>
  </si>
  <si>
    <t>Bansal, Sheel/LFV-7491-2024; Nemitz, Eiko/I-6121-2012; Schuur, Edward/ACG-9944-2022; Chen, Jiquan/D-1955-2009; Vitale, Domenico/CAA-1914-2022; Papale, Dario/W-7302-2019; Zona, Donatella/S-5546-2019; Dolman, Albertus/B-8552-2012; Poulter, Ben/ABB-5886-2021; Ward, Eric/D-7131-2017; Dalmagro, Higo/P-7945-2017; Helbig, Manuel/H-3690-2019; Tuittila, Eeva-Stiina/AAR-1211-2021; Oechel, Walter/M-1347-2019; Baldocchi, Dennis/A-1625-2009; Chu, Housen/Q-6517-2016; Jurasinski, Gerald/AAH-6376-2021; Ueyama, Masahito/O-1294-2018; Stuart-Haentjens, Ellen/A-1521-2017; Wong, Ken/AAP-7784-2020; Peichl, Matthias/A-2087-2014; Campbell, Dave/F-2786-2011; Gogo, Sébastien/C-7002-2008; Noormets, Asko/A-7257-2009; Hörtnagl, Lukas/P-6800-2017; Aurela, Mika/L-4724-2014; Merbold, Lutz/K-6103-2012; Shortt, Robert/ITV-8344-2023; Yang, Zutao/LSL-2505-2024; liu, V/KIA-9904-2024; S, T/AIC-1764-2022; Desai, Ankur/A-5899-2008; Fluet-Chouinard, Etienne/KIH-8576-2024; Kasak, Kuno/AAH-6189-2020; Iwata, Hiroki/B-7679-2008; Valach, Alex/AAX-7438-2020; Heimann, Martin/H-7807-2016; Runkle, B./AAC-3404-2020; Hirano, Takashi/A-4557-2012; Malhotra, Avni/R-4970-2019; Jacotot, Adrien/AAL-9392-2020; Windham, Lisa/LDF-9363-2024; Sullivan, Ryan/B-4674-2008; Richardson, Andrew/F-5691-2011; Mitra, Bhaskar/AAU-8438-2021; Goeckede, Mathias/C-1027-2017; Varlagin, Andrej/A-6568-2012; Friborg, Thomas/E-5433-2015; McNicol, Gavin/O-5632-2015; Mammarella, Ivan/E-7782-2016; Wille, Christian/J-3657-2013; Kasak, Kuno/F-6063-2017; Zona, Donatella/G-4039-2010; Lai, Derrick Y.F./B-1387-2009; Helfter, Carole/A-1835-2010; Bohrer, Gil/A-9731-2008; Vargas, Rodrigo/C-4720-2008; Lohila, Annalea/C-7307-2014</t>
  </si>
  <si>
    <t>Malhotra, Avni/0000-0002-7850-6402; Gogo, Sebastien/0000-0002-0867-497X; Richardson, Andrew/0000-0002-0148-6714; Mitra, Bhaskar/0000-0002-6617-0884; Jackson, Robert/0000-0001-8846-7147; Goeckede, Mathias/0000-0003-2833-8401; Sachs, Torsten/0000-0002-9959-4771; Jacotot, Adrien/0000-0002-0126-7597; Fluet-Chouinard, Etienne/0000-0003-4380-2153; Stuart-Haentjens, Ellen/0000-0001-9901-7643; Varlagin, Andrej/0000-0002-2549-5236; Dolman, A.J./0000-0003-0099-0457; Billesbach, Dave/0000-0001-8661-9178; Yang, Zutao/0000-0002-6919-569X; Friborg, Thomas/0000-0001-5633-6097; Feron, Sarah/0000-0002-0572-5639; Alekseychik, Pavel/0000-0002-4081-3917; Vitale, Domenico/0000-0003-1672-0072; Lucas-Moffat, Antje/0000-0003-1307-2065; McNicol, Gavin/0000-0002-6655-8045; Liu, Vincent/0000-0002-4234-3058; Mammarella, Ivan/0000-0002-8516-3356; Valach, Alex/0000-0003-4782-5766; Wille, Christian/0000-0003-0930-6527; Kasak, Kuno/0000-0002-0810-2154; Zona, Donatella/0000-0002-0003-4839; Sullivan, Ryan/0000-0002-3500-1842; Hirano, Takashi/0000-0002-0325-3922; Rey-Sanchez, Camilo/0000-0003-4762-9001; Lai, Derrick Y.F./0000-0002-1225-9904; Helfter, Carole/0000-0001-5773-4652; Kalhori, Aram/0000-0002-0652-8987; Bohrer, Gil/0000-0002-9209-9540; Vargas, Rodrigo/0000-0001-6829-5333; Runkle, Benjamin Reade Kreps/0000-0002-2583-1199; Oikawa, Patty/0000-0001-7852-4435; Lohila, Annalea/0000-0003-3541-672X</t>
  </si>
  <si>
    <t>0168-1923</t>
  </si>
  <si>
    <t>1873-2240</t>
  </si>
  <si>
    <t>OCT 15</t>
  </si>
  <si>
    <t>10.1016/j.agrformet.2021.108528</t>
  </si>
  <si>
    <t>WOS:000692679900002</t>
  </si>
  <si>
    <t>Isbell, F; Balvanera, P; Mori, AS; He, JS; Bullock, JM; Regmi, GR; Seabloom, EW; Ferrier, S; Sala, OE; Guerrero-Ramírez, NR; Tavella, J; Larkin, DJ; Schmid, B; Outhwaite, CL; Pramual, P; Borer, ET; Loreau, M; Omotoriogun, TC; Obura, DO; Anderson, M; Portales-Reyes, C; Kirkman, K; Vergara, PM; Clark, AT; Komatsu, KJ; Petchey, OL; Weiskopf, SR; Williams, LJ; Collins, SL; Eisenhauer, N; Trisos, CH; Renard, D; Wright, AJ; Tripathi, P; Cowles, J; Byrnes, JEK; Reich, PB; Purvis, A; Sharip, Z; O'Connor, M; Kazanski, CE; Haddad, NM; Soto, EH; Dee, LE; Díaz, S; Zirbel, CR; Avolio, ML; Wang, SP; Ma, ZY; Liang, JJ; Farah, HC; Johnson, JA; Miller, BW; Hautier, Y; Smith, MD; Knops, JMH; Myers, BJE; Harmácková, Z; Cortés, J; Harfoot, MBJ; Gonzalez, A; Newbold, T; Oehri, J; Mazón, M; Dobbs, C; Palmer, MS</t>
  </si>
  <si>
    <t>Isbell, Forest; Balvanera, Patricia; Mori, Akira S.; He, Jin-Sheng; Bullock, James M.; Regmi, Ganga Ram; Seabloom, Eric W.; Ferrier, Simon; Sala, Osvaldo E.; Guerrero-Ramirez, Nathaly R.; Tavella, Julia; Larkin, Daniel J.; Schmid, Bernhard; Outhwaite, Charlotte L.; Pramual, Pairot; Borer, Elizabeth T.; Loreau, Michel; Omotoriogun, Taiwo Crossby; Obura, David O.; Anderson, Maggie; Portales-Reyes, Cristina; Kirkman, Kevin; Vergara, Pablo M.; Clark, Adam Thomas; Komatsu, Kimberly J.; Petchey, Owen L.; Weiskopf, Sarah R.; Williams, Laura J.; Collins, Scott L.; Eisenhauer, Nico; Trisos, Christopher H.; Renard, Delphine; Wright, Alexandra J.; Tripathi, Poonam; Cowles, Jane; Byrnes, Jarrett E. K.; Reich, Peter B.; Purvis, Andy; Sharip, Zati; O'Connor, Mary, I; Kazanski, Clare E.; Haddad, Nick M.; Soto, Eulogio H.; Dee, Laura E.; Diaz, Sandra; Zirbel, Chad R.; Avolio, Meghan L.; Wang, Shaopeng; Ma, Zhiyuan; Liang, Jingjing; Farah, Hanan C.; Johnson, Justin Andrew; Miller, Brian W.; Hautier, Yann; Smith, Melinda D.; Knops, Johannes M. H.; Myers, Bonnie J. E.; Harmackova, Zuzana, V; Cortes, Jorge; Harfoot, Michael B. J.; Gonzalez, Andrew; Newbold, Tim; Oehri, Jacqueline; Mazon, Marina; Dobbs, Cynnamon; Palmer, Meredith S.</t>
  </si>
  <si>
    <t>Expert perspectives on global biodiversity loss and its drivers and impacts on people</t>
  </si>
  <si>
    <t>FRONTIERS IN ECOLOGY AND THE ENVIRONMENT</t>
  </si>
  <si>
    <t>Despite substantial progress in understanding global biodiversity loss, major taxonomic and geographic knowledge gaps remain. Decision makers often rely on expert judgement to fill knowledge gaps, but are rarely able to engage with sufficiently large and diverse groups of specialists. To improve understanding of the perspectives of thousands of biodiversity experts worldwide, we conducted a survey and asked experts to focus on the taxa and freshwater, terrestrial, or marine ecosystem with which they are most familiar. We found several points of overwhelming consensus (for instance, multiple drivers of biodiversity loss interact synergistically) and important demographic and geographic differences in specialists' perspectives and estimates. Experts from groups that are underrepresented in biodiversity science, including women and those from the Global South, recommended different priorities for conservation solutions, with less emphasis on acquiring new protected areas, and provided higher estimates of biodiversity loss and its impacts. This may in part be because they disproportionately study the most highly threatened taxa and habitats. Front Ecol Environ 2022;</t>
  </si>
  <si>
    <t>Tavella, Julia/IZD-5405-2023; Pramual, Pairot/JBJ-3969-2023; Vergara, Pablo/F-2519-2010; Eisenhauer, Nico/I-5932-2012; Ma, ZhiYuan/GWN-1061-2022; Collins, Scott/P-7742-2014; Byrnes, Jarrett/C-3007-2009; Knops, Johannes/AAA-8546-2020; Schmid, Bernhard/C-8625-2009; He, Jin-Sheng/A-4053-2009; Seabloom, Eric/AFT-3729-2022; Myers, Bonnie/MBG-5282-2025; Petchey, Owen/D-8851-2011; Weiskopf, Sarah/K-1633-2019; Wang, Shaopeng/J-7091-2012; Palmer, Meredith/D-5042-2014; Gonzalez, Andrew/F-2247-2010; Williams, Laura/AAI-9757-2021; Smith, Melinda/J-8987-2014; Ferrier, Simon/C-1490-2009; Díaz, Sandra/Q-9804-2018; Hautier, Yann/I-2526-2019; Liang, Jingjing/AAO-6865-2020; Guerrero, Nathaly/JKS-7859-2023; Mazón, Marina/M-1985-2019; Zirbel, Chad/J-7745-2019; Oehri, Jacqueline/AAV-2366-2020; Larkin, Daniel/IVV-7477-2023; Bullock, James/F-9997-2011; Isbell, Forest/C-6915-2012; Wright, Alexandra/NBY-3979-2025; Sharip, Dr. Zati/F-6300-2012; Lama, Sonam/JXW-7644-2024; Reich, Paul/D-4321-2013; Omotoriogun, Taiwo/MZQ-7872-2025; Cortés, Jorge/AAC-9782-2020; Miller, Brian/D-3005-2016; Clark, Adam/S-7544-2017; Hautier, Yann/D-5426-2015; Purvis, Andy/A-7529-2008; Harmackova, Zuzana/G-1886-2014; Kirkman, Kevin/F-4160-2010; Mori, Akira/A-6570-2013; Newbold, Tim/D-1524-2012</t>
  </si>
  <si>
    <t>Clark, Adam/0000-0002-8843-3278; Balvanera, Patricia/0000-0001-6408-6876; Hautier, Yann/0000-0003-4347-7741; Tavella, Julia/0000-0002-5793-0191; Komatsu, Kimberly/0000-0001-7056-4547; Sala, Osvaldo/0000-0003-0142-9450; Guerrero-Ramirez, Nathaly R./0000-0001-7311-9852; Purvis, Andy/0000-0002-8609-6204; Eisenhauer, Nico/0000-0002-0371-6720; Omotoriogun, Taiwo/0000-0001-5678-2687; Isbell, Forest/0000-0001-9689-769X; Wang, Shaopeng/0000-0002-9430-8879; Zirbel, Chad/0000-0002-9289-1722; Avolio, Meghan/0000-0002-2649-9159; Harmackova, Zuzana/0000-0001-7711-4135; Mazon, Marina/0000-0002-5473-7660; Vergara, Pablo/0000-0002-0024-1678; Dee, Laura/0000-0003-0471-1371; Williams, Laura/0000-0003-3555-4778; Outhwaite, Charlotte/0000-0001-9997-6780; Kirkman, Kevin/0000-0001-9580-5191; Dobbs, Cynnamon/0000-0001-9845-6660; Cortes-Nunez, Jorge/0000-0001-7004-8649; Sharip, Zati/0000-0003-3523-1178; Weiskopf, Sarah/0000-0002-5933-8191; Mori, Akira/0000-0002-8422-1198; Newbold, Tim/0000-0001-7361-0051</t>
  </si>
  <si>
    <t>1540-9295</t>
  </si>
  <si>
    <t>1540-9309</t>
  </si>
  <si>
    <t>10.1002/fee.2536</t>
  </si>
  <si>
    <t>WOS:000826437800001</t>
  </si>
  <si>
    <t>Wilkinson, JL; Boxall, ABA; Kolpin, DW; Leung, KMY; Lai, RWS; Galban-Malagon, C; Adell, AD; Mondon, J; Metian, M; Marchant, RA; Bouzas-Monroy, A; Cuni-Sanchez, A; Coors, A; Carriquiriborde, P; Rojo, M; Gordon, C; Cara, M; Moermond, M; Luarte, T; Petrosyan, V; Perikhanyan, Y; Mahon, CS; McGurk, CJ; Hofmann, T; Kormoker, T; Iniguez, V; Guzman-Otazo, J; Tavares, JL; De Figueiredo, FG; Razzolini, MTP; Dougnon, V; Gbaguidi, G; Traoré, O; Blais, JM; Kimpe, LE; Wong, M; Wong, D; Ntchantcho, R; Pizarro, J; Ying, GG; Chen, CE; Páez, M; Martinez-Lara, J; Otamonga, JP; Pote, J; Ifo, SA; Wilson, P; Udikovic-Kolic, N; Milakovic, M; Fatta-Kassinos, D; Ioannou-Ttofa, L; Vymazal, J; Kassa, BA; Garric, J; Chaumot, A; Gibba, P; Kunchulia, I; Seidensticker, S; Lyberatos, G; Halldorsson, HP; Melling, M; Shashidhar, T; Lamba, M; Nastiti, A; Supriatin, A; Pourang, N; Abedini, A; Abdullah, O; Gharbia, SS; Pilla, F; Chefetz, B; Topaz, T; Yao, KM; Aubakirova, B; Beisenova, R; Olaka, L; Mulu, JK; Chatanga, P; Ntuli, V; Blama, NT; Sherif, S; Aris, AZ; Looi, LJ; Niang, M; Traore, ST; Oldenkamp, R; Ogunbanwo, O; Ashfaq, M; Iqbal, M; Abdeen, Z; O'Dea, A; Morales-Saldaña, JM; de la Cruz, H; Navarrete, I; Carvalho, F; Gogra, AB; Koroma, BM; Cerkvenik-Flajs, V; Gombac, M; Thwala, M; Choi, K; Kang, H; Ladu, JLC; Rico, A; Amerasinghe, P; Sobek, A; Horlitz, G; Zenker, AK; King, AC; Jiang, JJ; Kariuki, R; Tumbo, M; Tezel, U; Onay, TT; Lejju, JB; Vystavna, Y; Vergeles, Y; Heinzen, H; Pérez-Parada, A; Sims, DB; Figy, M; Good, D; Teta, C</t>
  </si>
  <si>
    <t>Wilkinson, John L.; Boxall, Alistair B. A.; Kolpin, Dana W.; Leung, Kenneth M. Y.; Lai, Racliffe W. S.; Galban-Malagon, Cristobal; Adell, Aiko D.; Mondon, Julie; Metian, Marc; Marchant, Robert A.; Bouzas-Monroy, Alejandra; Cuni-Sanchez, Aida; Coors, Anja; Carriquiriborde, Pedro; Rojo, Macarena; Gordon, Chris; Cara, Magdalena; Moermond, Monique; Luarte, Thais; Petrosyan, Vahagn; Perikhanyan, Yekaterina; Mahon, Clare S.; McGurk, Christopher J.; Hofmann, Thilo; Kormoker, Tapos; Iniguez, Volga; Guzman-Otazo, Jessica; Tavares, Jean L.; De Figueiredo, Francisco Gildasio; Razzolini, Maria T. P.; Dougnon, Victorien; Gbaguidi, Gildas; Traore, Oumar; Blais, Jules M.; Kimpe, Linda E.; Wong, Michelle; Wong, Donald; Ntchantcho, Romaric; Pizarro, Jaime; Ying, Guang-Guo; Chen, Chang-Er; Paez, Martha; Martinez-Lara, Jina; Otamonga, Jean-Paul; Pote, John; Ifo, Suspense A.; Wilson, Penelope; Udikovic-Kolic, Nikolina; Milakovic, Milena; Fatta-Kassinos, Despo; Ioannou-Ttofa, Lida; Vymazal, Jan; Kassa, Bayable A.; Garric, Jeanne; Chaumot, Arnaud; Gibba, Peter; Kunchulia, Ilia; Seidensticker, Sven; Lyberatos, Gerasimos; Halldorsson, Halldor P.; Melling, Molly; Shashidhar, Thatikonda; Lamba, Manisha; Nastiti, Anindrya; Supriatin, Adee; Pourang, Nima; Abedini, Ali; Abdullah, Omar; Gharbia, Salem S.; Pilla, Francesco; Chefetz, Benny; Topaz, Tom; Yao, Koffi Marcellin; Aubakirova, Bakhyt; Beisenova, Raikhan; Olaka, Lydia; Mulu, Jemimah K.; Chatanga, Peter; Ntuli, Victor; Blama, Nathaniel T.; Sherif, Sheck; Aris, Ahmad Zaharin; Looi, Ley Juen; Niang, Mahamoudane; Traore, Seydou T.; Oldenkamp, Rik; Ogunbanwo, Olatayo; Ashfaq, Muhammad; Iqbal, Muhammad; Abdeen, Ziad; O'Dea, Aaron; Morales-Saldana, Jorge Manuel; de la Cruz, Heidi; Navarrete, Ian; Carvalho, Fabio; Gogra, Alhaji Brima; Koroma, Bashiru M.; Cerkvenik-Flajs, Vesna; Gombac, Mitja; Thwala, Melusi; Choi, Kyungho; Kang, Habyeong; Ladu, John L. Celestino; Rico, Andreu; Amerasinghe, Priyanie; Sobek, Anna; Horlitz, Gisela; Zenker, Armin K.; King, Alex C.; Jiang, Jheng-Jie; Kariuki, Rebecca; Tumbo, Madaka; Tezel, Ulas; Onay, Turgut T.; Lejju, Julius B.; Vystavna, Yuliya; Vergeles, Yuriy; Heinzen, Horacio; Perez-Parada, Andres; Sims, Douglas B.; Figy, Maritza; Good, David; Teta, Charles</t>
  </si>
  <si>
    <t>Pharmaceutical pollution of the world's rivers</t>
  </si>
  <si>
    <t>Environmental exposure to active pharmaceutical ingredients (APIs) can have negative effects on the health of ecosystems and humans. While numerous studies have monitored APIs in rivers, these employ different analytical methods, measure different APIs, and have ignored many of the countries of the world. This makes it difficult to quantify the scale of the problem from a global perspective. Furthermore, comparison of the existing data, generated for different studies/regions/continents, is challenging due to the vast differences between the analytical methodologies employed. Here, we present a global-scale study of API pollution in 258 of the world's rivers, representing the environmental influence of 471.4 million people across 137 geographic regions. Samples were obtained from 1,052 locations in 104 countries (representing all continents and 36 countries not previously studied for API contamination) and analyzed for 61 APIs. Highest cumulative API concentrations were observed in sub-Saharan Africa, south Asia, and South America. The most contaminated sites were in low- to middle-income countries and were associated with areas with poor wastewater and waste management infrastructure and pharmaceutical manufacturing. The most frequently detected APIs were carbamazepine, metformin, and caffeine (a compound also arising from lifestyle use), which were detected at over half of the sites monitored. Concentrations of at least one API at 25.7% of the sampling sites were greater than concentrations considered safe for aquatic organisms, or which are of concern in terms of selection for antimicrobial resistance. Therefore, pharmaceutical pollution poses a global threat to environmental and human health, as well as to delivery of the United Nations Sustainable Development Goals.</t>
  </si>
  <si>
    <t>Jiang, Jheng-Jie/H-6031-2016; Beisenova, Raikhan/P-7773-2014; onay, turgut/Q-1972-2015; Pote, John/B-9627-2011; O'Dea, Aaron/D-4114-2011; Vystavna, Yuliya/I-9474-2016; Al-Khazrajy, Omar/AAH-3862-2020; Lai, Weng Seng/HMO-8224-2023; Carriquiriborde, Pedro/AAH-7713-2020; Galbán-Malagón, Cristóbal/ABU-7252-2022; Aris, Ahmad Zaharin/O-5116-2015; Looi, Ley Juen/ACW-2652-2022; Fatta-Kassinos, Despo/G-2331-2016; Chen, Chang-Er/B-5904-2012; Chaumot, Arnaud/MBH-4621-2025; Oldenkamp, Rik/GRJ-4419-2022; Yao, Koffi/W-6948-2019; Chefetz, Benny/AAB-8613-2022; Kolpin, Dana/AGW-6018-2022; McGurk, Christopher/KCJ-6221-2024; choi, kyungho/D-5732-2012; Lyberatos, Gerasimos/MGA-2959-2025; Ogunbanwo, Olatayo Michael/IUO-0412-2023; kunchulia, ilia/N-7616-2019; Teta, Charles/I-3920-2019; Boxall, Alistair/AFW-2309-2022; Ntuli, Victor/AAD-7396-2020; King, Alex/HDM-4017-2022; Ying, Guang-Guo/A-2670-2008; Kormoker, Tapos/AAE-8492-2020; thatikonda, shashidhar/AAU-1966-2020; Cara, Magdalena/A-4609-2019; Tezel, Ulas/AAA-6402-2019; Metian, Marc/F-8010-2018; heinzen, horacio/AGD-8386-2022; Chatanga, Peter/AAA-3490-2019; Blais, Jules/AAV-2321-2020; Perez Ortiz, Edwyn/HGD-8377-2022; Mahon, Clare/AAD-6597-2019; Vymazal, Jan/H-7726-2018; Kang, Habyeong/AAA-7001-2020; Carvalho Gomes da Silva, Fabio/AAB-5806-2020; Hofmann, Thilo/A-8927-2008; Razzolini, Maria Tereza Pepe/I-1346-2012; Abedini, Ali/F-9878-2017; Vergeles, Yuriy/G-8118-2015; Leung, Kenneth Mei Yee/C-1055-2009; Nastiti, Anindrya/GVS-6950-2022; Halldorsson, Halldor Palmar/M-2778-2015; Tezel, Ulas/G-5496-2015; Galban Malagon, Cristobal/J-2384-2015; Rico, Andreu/G-1102-2016; Navarrete, Ian/B-4365-2014; Pourang, Nima/H-7944-2017</t>
  </si>
  <si>
    <t>Gharbia, Salem/0000-0003-2130-1841; Zenker, Armin/0000-0003-0297-7280; Aubakirova, Bakhyt/0000-0001-7106-3111; Carriquiriborde, Pedro/0000-0002-3152-9340; Beisenova, Raikhan/0000-0003-0913-9503; Vymazal, Jan/0000-0002-8113-4670; Mondon, Julie/0000-0002-0643-7540; Metian, Marc/0000-0003-1485-5029; Pilla, Francesco/0000-0002-1535-1239; Gordon, Christopher/0000-0003-2734-851X; Cara, Magdalena/0000-0002-1715-8635; Chatanga, Peter/0000-0001-5260-4955; thatikonda, shashidhar/0000-0003-2973-2224; Kang, Habyeong/0000-0001-9978-7525; heinzen, horacio/0000-0001-8985-478X; Carvalho Gomes da Silva, Fabio/0000-0002-6305-5602; Adell, Aiko/0000-0002-9302-7311; Hofmann, Thilo/0000-0001-8929-6933; Razzolini, Maria Tereza Pepe/0000-0003-3308-9550; Abedini, Ali/0000-0001-9597-9044; Vergeles, Yuriy/0000-0002-4915-1489; Mahon, Clare/0000-0002-7358-1497; Blais, Jules/0000-0002-7188-3598; DE LA CRUZ, HEIDI/0000-0003-3754-9139; Kariuki, Rebecca/0000-0001-7888-7594; Wilkinson, John/0000-0002-6993-216X; Teta, Charles/0000-0002-0732-0272; Leung, Kenneth Mei Yee/0000-0002-2164-4281; kunchulia, ilia/0000-0002-2114-7699; Nastiti, Anindrya/0000-0003-4857-5287; Halldorsson, Halldor Palmar/0000-0001-5529-1536; Sims, Douglas/0000-0003-2427-9555; Rojo, Macarena/0000-0001-7021-8943; Tezel, Ulas/0000-0001-8322-1666; Kolpin, Dana/0000-0002-3529-6505; Paez Melo, Martha Isabel/0000-0003-2967-3893; Boxall, Alistair Bruce Alleyne/0000-0003-3823-7516; Galban Malagon, Cristobal/0000-0001-8397-5804; Rico, Andreu/0000-0002-1820-4218; Navarrete, Ian/0000-0001-6701-9951; Racliffe Weng Seng, Lai/0000-0002-9181-3458; O'Dea, Aaron/0000-0001-5495-4764; Oldenkamp, Rik/0000-0002-2245-6987; Pourang, Nima/0000-0002-0836-9887</t>
  </si>
  <si>
    <t>1091-6490</t>
  </si>
  <si>
    <t>e2113947119</t>
  </si>
  <si>
    <t>10.1073/pnas.2113947119</t>
  </si>
  <si>
    <t>WOS:000766924200012</t>
  </si>
  <si>
    <t>Crous, PW; Wingfield, MJ; Chooi, YH; Gilchrist, CLM; Lacey, E; Pitt, JI; Roets, F; Swart, WJ; Cano-Lira, JF; Valenzuela-Lopez, N; Hubka, V; Shivas, RG; Stchigel, AM; Holdom, DG; Jurjevic, Z; Kachalkin, AV; Lebel, T; Lock, C; Martín, MP; Tan, YP; Tomashevskaya, MA; Vitelli, JS; Baseia, IG; Bhatt, VK; Brandrud, TE; De Souza, JT; Dima, B; Lacey, HJ; Lombard, L; Johnston, PR; Morte, A; Papp, V; Rodríguez, A; Rodriguez-Andrade, E; Semwal, KC; Tegart, L; Abad, ZG; Akulov, A; Alvarado, P; Alves, A; Andrade, JP; Arenas, F; Asenjo, C; Ballarà, J; Barrett, MD; Berná, LM; Berraf-Tebbal, A; Bianchinotti, MV; Bransgrove, K; Burgess, TI; Carmo, FS; Chávez, R; Cmoková, A; Dearnaley, JDW; Santiago, ALCMD; Freitas-Neto, JF; Denman, S; Douglas, B; Dovana, F; Eichmeier, A; Esteve-Raventós, F; Farid, A; Fedosova, AG; Ferisin, G; Ferreira, RJ; Ferrer, A; Figueiredo, CN; Figueiredo, YF; Reinoso-Fuentealba, CG; Garrido-Benavent, I; Canete-Gibas, CF; Gil-Durán, C; Glushakova, AM; Gonçalves, MFM; Gonzalez, M; Gorczak, M; Gorton, C; Guard, FE; Guarnizo, AL; Guarro, J; Gutiérrez, M; Hamal, P; Hien, LT; Hocking, AD; Houbraken, J; Hunter, GC; Inacio, CA; Jourdan, M; Kapitonov, VI; Kelly, L; Khanh, TN; Kislo, K; Kiss, L; Kiyashko, A; Kolarík, M; Kruse, J; Kubátová, A; Kucera, V; Kucerová, I; Kusan, I; Lee, HB; Levicán, G; Lewis, A; Liem, NV; Liimatainen, K; Lim, HJ; Lyons, MN; Maciá-Vicente, JG; Magaña-Dueñas, V; Mahiques, R; Malysheva, EF; Marbach, PAS; Marinho, P; Matocec, N; McTaggart, AR; Mesic, A; Morin, L; Munoz-Mohedano, JM; Navarro-Ródenas, A; Nicolli, CP; Oliveira, RL; Otsing, E; Ovrebo, CL; Pankratov, TA; Paños, A; Paz-Conde, A; Perez-Sierra, A; Phosri, C; Pintos, A; Posta, A; Prencipe, S; Rubio, E; Saitta, A; Sales, LS; Sanhueza, L; Shuttleworth, LA; Smith, J; Smith, ME; Spadaro, D; Spetik, M; Sochor, M; Sochorová, Z; Sousa, JO; Suwannasai, N; Tedersoo, L; Thanh, HM; Thao, LD; Tkalcec, Z; Vaghefi, N; Venzhik, AS; Verbeken, A; Vizzini, A; Voyron, S; Wainhouse, M; Whalley, AJS; Wrzosek, M; Zapata, M; Zeil-Rolfe, I; Groenewald, JZ</t>
  </si>
  <si>
    <t>Crous, P. W.; Wingfield, M. J.; Chooi, Y. -H.; Gilchrist, C. L. M.; Lacey, E.; Pitt, J. I.; Roets, F.; Swart, W. J.; Cano-Lira, J. F.; Valenzuela-Lopez, N.; Hubka, V.; Shivas, R. G.; Stchigel, A. M.; Holdom, D. G.; Jurjevic, Z.; Kachalkin, A. V.; Lebel, T.; Lock, C.; Martin, M. P.; Tan, Y. P.; Tomashevskaya, M. A.; Vitelli, J. S.; Baseia, I. G.; Bhatt, V. K.; Brandrud, T. E.; De Souza, J. T.; Dima, B.; Lacey, H. J.; Lombard, L.; Johnston, P. R.; Morte, A.; Papp, V.; Rodriguez, A.; Rodriguez-Andrade, E.; Semwal, K. C.; Tegart, L.; Abad, Z. G.; Akulov, A.; Alvarado, P.; Alves, A.; Andrade, J. P.; Arenas, F.; Asenjo, C.; Ballara, J.; Barrett, M. D.; Berna, L. M.; Berraf-Tebbal, A.; Bianchinotti, M. V.; Bransgrove, K.; Burgess, T. I.; Carmo, F. S.; Chavez, R.; Cmokova, A.; Dearnaley, J. D. W.; Santiago, A. L. C. M. de A.; Freitas-Neto, J. F.; Denman, S.; Douglas, B.; Dovana, F.; Eichmeier, A.; Esteve-Raventos, F.; Farid, A.; Fedosova, A. G.; Ferisin, G.; Ferreira, R. J.; Ferrer, A.; Figueiredo, C. N.; Figueiredo, Y. F.; Reinoso-Fuentealba, C. G.; Garrido-Benavent, I.; Canete-Gibas, C. F.; Gil-Duran, C.; Glushakova, A. M.; Goncalves, M. F. M.; Gonzalez, M.; Gorczak, M.; Gorton, C.; Guard, F. E.; Guarnizo, A. L.; Guarro, J.; Gutierrez, M.; Hamal, P.; Hien, L. T.; Hocking, A. D.; Houbraken, J.; Hunter, G. C.; Inacio, C. A.; Jourdan, M.; Kapitonov, V. I.; Kelly, L.; Khanh, T. N.; Kislo, K.; Kiss, L.; Kiyashko, A.; Kolarik, M.; Kruse, J.; Kubatova, A.; Kucera, V.; Kucerova, I.; Kusan, I.; Lee, H. B.; Levican, G.; Lewis, A.; Liem, N. V.; Liimatainen, K.; Lim, H. J.; Lyons, M. N.; Macia-Vicente, J. G.; Magana-Duenas, V.; Mahiques, R.; Malysheva, E. F.; Marbach, P. A. S.; Marinho, P.; Matocec, N.; McTaggart, A. R.; Mesic, A.; Morin, L.; Munoz-Mohedano, J. M.; Navarro-Rodenas, A.; Nicolli, C. P.; Oliveira, R. L.; Otsing, E.; Ovrebo, C. L.; Pankratov, T. A.; Panos, A.; Paz-Conde, A.; Perez-Sierra, A.; Phosri, C.; Pintos, A.; Posta, A.; Prencipe, S.; Rubio, E.; Saitta, A.; Sales, L. S.; Sanhueza, L.; Shuttleworth, L. A.; Smith, J.; Smith, M. E.; Spadaro, D.; Spetik, M.; Sochor, M.; Sochorova, Z.; Sousa, J. O.; Suwannasai, N.; Tedersoo, L.; Thanh, H. M.; Thao, L. D.; Tkalcec, Z.; Vaghefi, N.; Venzhik, A. S.; Verbeken, A.; Vizzini, A.; Voyron, S.; Wainhouse, M.; Whalley, A. J. S.; Wrzosek, M.; Zapata, M.; Zeil-Rolfe, I.; Groenewald, J. Z.</t>
  </si>
  <si>
    <t>Fungal Planet description sheets: 1042-1111</t>
  </si>
  <si>
    <t>Novel species of fungi described in this study include those from various countries as follows: Antarctica, Cladosporium arenosum from marine sediment sand. Argentina, Kosmimatamyces alatophylus (incl. Kosmimatamyces gen. nov.) from soil. Australia, Aspergillus banksianus, Aspergillus kumbius, Aspergillus luteorubrus, Aspergillus malvicolor and Aspergillus nanangensis from soil, Erysiphe medicaginis from leaves of Medicago polymorpha, Hymenotorrendiella communis on leaf litter of Eucalyptus bicostata, Lactifluus albopicri and Lactifluus austropiperatus on soil, Macalpinomyces collinsiae on Eriachne benthamii, Marasmius vagus on soil, Microdochium dawsoniorum from leaves of Sporobolus natalensis, Neopestalotiopsis nebuloides from leaves of Sporobolus elongatus, Pestalotiopsis etonensis from leaves of Sporobolus jacquemontii, Phytophthora personensis from soil associated with dying Grevillea mccutcheonii. Brazil, Aspergillus oxumiae from soil, Calvatia baixaverdensis on soil, Geastrum calycicoriaceum on leaf litter, Greeneria kielmeyerae on leaf spots of Kielmeyera coriacea. Chile, Phytophthora aysenensis on collar rot and stem of Aristotelia chilensis. Croatia, Mollisia gibbospora on fallen branch of Fagus sylvatica. Czech Republic, Neosetophoma hnaniceana from Buxus sempervirens. Ecuador, Exophiala frigidotolerans from soil. Estonia, Elaphomyces bucholtzii in soil. France, Venturia paralias from leaves of Euphorbia paralias. India, Cortinarius balteatoindicus and Cortinarius ulkhagarhiensis on leaf litter. Indonesia, Hymenotorrendiella indonesiana on Eucalyptus urophylla leaf litter. Italy, Penicillium taurinense from indoor chestnut mill. Malaysia, Hemileucoglossum kelabitense on soil, Satchmopsis pini on dead needles of Pinus tecunumanii. Poland, Lecanicillium praecognitum on insects' frass. Portugal, Neodevriesia aestuarina from saline water. Republic of Korea, Gongronella namwonensis from freshwater. Russia, Candida pellucida from Exomias pellucidus, Heterocephalacria septentrionalis as endophyte from Cladonia rangiferina, Vishniacozyma phoenicis from dates fruit, Volvariella paludosa from swamp. Slovenia, Mallocybe crassivelata on soil. South Africa, Beltraniella podocarpi, Hamatocanthoscypha podocarpi, Coleophoma podocarpi and Nothoseiridium podocarpi (incl. Nothoseiridium gen. nov.) from leaves of Podocarpus latifolius, Gyrothrix encephalarti from leaves of Encephalartos sp., Paraphyton cutaneum from skin of human patient, Phacidiella alsophilae from leaves of Alsophila capensis, and Satchmopsis metrosideri on leaf litter of Metrosideros excelsa. Spain, Cladophialophora cabanerensis from soil, Cortinarius paezii on soil, Cylindrium magnoliae from leaves of Magnolia grandiflora, Trichophoma cylindrospora (incl. Trichophoma gen. nov.) from plant debris, Tuber alcaracense in calcareus soil, Tuber buendiae in calcareus soil. Thailand, Annulohypoxylon spougei on corticated wood, Poaceascoma filiforme from leaves of unknown Poaceae. UK, Dendrostoma luteum on branch lesions of Castanea sativa, Ypsilina buttingtonensis from heartwood of Quercus sp. Ukraine, Myrmecridium phragmiticola from leaves of Phragmites australis. USA, Absidia pararepens from air, Juncomyces californiensis (incl. Juncomyces gen. nov.) from leaves of Juncus effusus, Montagnula cylindrospora from a human skin sample, Muriphila oklahomaensis (incl. Muriphila gen. nov.) on outside wall of alcohol distillery, Neofabraea eucalyptorum from leaves of Eucalyptus macrandra, Diabolocovidia claustri (incl. Diabolocovidia gen. nov. ) from leaves of Serenoa repens, Paecilomyces penicilliformis from air, Pseudopezicula betulae from leaves of leaf spots of Populus tremuloides. Vietnam, Diaporthe durionigena on branches of Durio zibethinus and Roridomyces pseudoirritans on rotten wood. Morphological and culture characteristics are supported by DNA barcodes.</t>
  </si>
  <si>
    <t>Tkalčec, Zdenko/ABF-2269-2020; Tomashevskaya, Maria/AAT-5662-2021; Semwal, Kamal/ABB-4068-2021; Glushakova, AnnaM/ABH-7107-2020; Pankratov, Timofey/ABC-7328-2022; Kolařík, Miroslav/A-1680-2008; Malysheva, Ekaterina/H-5582-2013; Gonçalves, Micael/AAC-3520-2022; Roets, Francois/HMP-4294-2023; Kiyashko, Anna/AAT-9200-2021; Andrade, Ernesto/AAQ-9749-2021; Baseia, Iuri/F-6534-2014; Crous, Pedro/H-1489-2012; Valenzuela-Lopez, Nicomedes/AAA-1586-2019; Cano-Lira, José/ABB-5724-2020; Garrido-Benavent, Isaac/AAA-1982-2020; Fedosova, Anna/Q-8087-2016; INÁCIO, CARLOS ANTONIO/ABF-3200-2021; Tedersoo, Leho/H-3541-2012; Swart, Wijnand/D-1207-2014; Dovana, Francesco/AAR-9737-2021; Houbraken, Jos/AAE-7955-2019; Levican, Gloria/R-5191-2019; Alvarado, Pablo/K-4736-2014; Prencipe, Simona/ABD-9525-2020; Smith, Jason/KFS-8741-2024; Hiền, Lê Thị Thu/JXM-4775-2024; Lacey, Heather/HGD-1305-2022; phosri, Cherdchai/H-2747-2014; /V-4593-2019; Johnston, Peter/GZL-2513-2022; Bhatt, Vidhi/LQL-0830-2024; VOYRON, Samuele/ABG-2929-2020; Kusan, Ivana/ABF-2341-2020; Ródenas, Alfonso/AAB-1938-2020; Morin, Louise/B-4822-2009; Dima, Balint/AAL-8898-2020; De Souza, Jorge/F-1905-2018; Santiago, Andre/IQW-1088-2023; Macia-Vicente, Jose/I-5665-2019; Tegart, Lachlan/GSO-0216-2022; Morte, Asunción/L-4536-2014; Vaghefi, Niloofar/GLS-1601-2022; MARINHO, Paulo/K-3938-2017; Wingfield, Michael/A-9473-2008; Pérez Sierra, Ana/AAE-9414-2021; Posta, Ana/ABC-6172-2020; Le Dinh, Thao/AAQ-3773-2020; luigi, angel/ABG-1087-2020; Marbach, Phellippe/AAL-1590-2021; Burgess, Treena/AAB-9587-2021; Matocec, Neven/ABF-2261-2020; Sochor, Michal/G-7270-2016; Eichmeier, Aleš/F-1209-2016; Sousa, Julieth/AAR-1504-2021; BERRAF-TEBBAL, AKILA/AAJ-3917-2021; Kelly, Luke/A-5236-2014; Hubka, Vit/L-4124-2014; Smith, Matthew E./A-8115-2012; Stchigel, Alberto Miguel/G-1261-2016; Burgess, Treena/G-4770-2011; Vaghefi, Niloofar/B-2349-2019; Kiss, Levente/Q-3786-2018; McTaggart, Alistair/A-8871-2014; Kachalkin, Aleksey/D-6023-2013; Hamal, Petr/A-7067-2008; ARENAS JIMENEZ, FRANCISCO/ABG-1085-2020; Chooi, Yit-Heng/D-4338-2013; Wennrich, Adela/S-2000-2017; Spetik, Milan/AAE-1406-2021; Groenewald, Johannes Zacharias/F-4667-2011; Mesic, Armin/AAJ-1858-2020; Gilchrist, Cameron/C-2833-2018; Spadaro, Davide/F-1994-2011; Alves, Artur/C-3645-2008; Ferreira, Renato Juciano/P-6887-2017</t>
  </si>
  <si>
    <t>Otsing, Eveli/0000-0001-7416-257X; Hubka, Vit/0000-0003-4583-6496; Garrido-Benavent, Isaac/0000-0002-5230-225X; Smith, Matthew E./0000-0002-0878-0932; Lacey, Heather/0000-0001-5332-8470; Stchigel, Alberto Miguel/0000-0003-3987-7996; Roets, Francois/0000-0003-3849-9057; Wrzosek, Marta/0000-0002-5871-5020; MARINHO, Paulo/0000-0001-9232-0607; Navarro Rodenas, Alfonso/0000-0001-9123-4547; Burgess, Treena/0000-0002-7962-219X; Lebel, Teresa/0000-0002-8592-1102; Vaghefi, Niloofar/0000-0003-0430-4856; Goncalves, Micael/0000-0003-2295-3374; Dearnaley, John/0000-0001-9842-727X; BERRAF-TEBBAL, AKILA/0000-0001-8517-8542; Kiss, Levente/0000-0002-4785-4308; Smith, Jason/0000-0001-7950-1964; Alvarado, Pablo/0000-0001-7462-5271; Eichmeier, Ales/0000-0001-7358-3903; Bianchinotti, Maria Virginia/0000-0002-8981-5841; Rodriguez, Antonio/0000-0002-0708-7773; McTaggart, Alistair/0000-0002-0996-1313; Pankratov, Timofey/0000-0002-6636-6449; Semwal, Kamal/0000-0001-7748-8911; Kachalkin, Aleksey/0000-0002-4494-2468; Hamal, Petr/0000-0002-5361-8125; Valenzuela Lopez, Nicomedes/0000-0002-6159-8558; Kislo, Kamil/0000-0002-7569-0072; ARENAS JIMENEZ, FRANCISCO/0000-0001-5850-1105; Gil-Duran, Carlos Andres/0000-0001-9638-6902; Kelly, Lisa/0000-0002-2310-8597; Chooi, Yit-Heng/0000-0001-7719-7524; Tegart, Lachlan/0000-0003-2727-3976; Kapitonov, Vladimir/0000-0002-5074-8522; Perez-Sierra, Ana/0000-0001-5403-1433; Macia-Vicente, Jose G./0000-0002-7174-7270; Luigi, Angel/0000-0002-2486-2348; Bransgrove, Kaylene/0000-0003-0479-8286; Shivas, Roger/0000-0001-7494-8716; Wennrich, Adela/0000-0002-7986-6688; Spetik, Milan/0000-0001-7659-8852; Groenewald, Johannes Zacharias/0000-0002-9474-6246; Matocec, Neven/0000-0002-9235-939X; dovana, francesco/0000-0002-8556-7692; Mesic, Armin/0000-0002-4479-600X; Gilchrist, Cameron/0000-0001-7798-427X; Lewis, Alex/0000-0003-2934-6921; Spadaro, Davide/0000-0001-5207-9345; Alves, Artur/0000-0003-0117-2958; Ferreira, Renato Juciano/0000-0002-9786-2226; Tkalcec, Zdenko/0000-0002-1148-9425; Sousa, Julieth/0000-0002-9874-5419; Gorczak, Michal/0000-0003-4863-737X; Le Dinh, Thao/0000-0001-8170-5501</t>
  </si>
  <si>
    <t>10.3767/persoonia.2020.44.11</t>
  </si>
  <si>
    <t>WOS:000550058100011</t>
  </si>
  <si>
    <t>Petrus, S; Whiteford, N; Patapis, P; Biller, BA; Skemer, A; Hinkley, S; Suárez, G; Palma-Bifani, P; Morley, CV; Tremblin, P; Charnay, B; Vos, JM; Wang, JJ; Stone, JM; Bonnefoy, M; Chauvin, G; Miles, BE; Carter, AL; Lueber, A; Helling, C; Sutlieff, BJ; Janson, M; Gonzales, EC; Hoch, KKW; Absil, O; Balmer, WO; Boccaletti, A; Bonavita, M; Booth, M; Bowler, BP; Briesemeister, ZW; Bryan, ML; Calissendorff, P; Cantalloube, F; Chen, CH; Choquet, E; Christiaens, V; Cugno, G; Currie, T; Danielski, C; De Furio, M; Dupuy, TJ; Factor, SM; Faherty, JK; Fitzgerald, MP; Fortney, JJ; Franson, K; Girard, JH; Grady, CA; Henning, T; Hines, DC; Hood, CE; Howe, AR; Kalas, P; Kammerer, J; Kennedy, GM; Kenworthy, MA; Kervella, P; Kim, M; Kitzmann, D; Kraus, AL; Kuzuhara, M; Lagage, PO; Lagrange, AM; Lawson, K; Lazzoni, C; Leisenring, JM; Lew, BWP; Liu, MC; Liu, PY; Llop-Sayson, J; Lloyd, JP; Macintosh, B; Mâlin, M; Manjavacas, E; Marino, S; Marley, MS; Marois, C; Martinez, RA; Matthews, EC; Matthews, BC; Mawet, D; Mazoyer, J; McElwain, MW; Metchev, S; Meyer, MR; Millar-Blanchaer, MA; Mollière, P; Moran, SE; Mukherjee, S; Pantin, E; Perrin, MD; Pueyo, L; Quanz, SP; Quirrenbach, A; Ray, S; Rebollido, I; Redai, JA; Ren, BB; Rickman, E; Sallum, S; Samland, M; Sargent, B; Schlieder, JE; Stapelfeldt, KR; Tamura, M; Tan, XY; Theissen, CA; Uyama, T; Vasist, M; Vigan, A; Wagner, K; Ward-Duong, K; Wolff, SG; Worthen, K; Wyatt, MC; Ygouf, M; Zurlo, A; Zhang, X; Zhang, KM; Zhang, ZJ; Zhou, YF</t>
  </si>
  <si>
    <t>Petrus, Simon; Whiteford, Niall; Patapis, Polychronis; Biller, Beth A.; Skemer, Andrew; Hinkley, Sasha; Suarez, Genaro; Palma-Bifani, Paulina; Morley, Caroline V.; Tremblin, Pascal; Charnay, Benjamin; Vos, Johanna M.; Wang, Jason J.; Stone, Jordan M.; Bonnefoy, Mickael; Chauvin, Gael; Miles, Brittany E.; Carter, Aarynn L.; Lueber, Anna; Helling, Christiane; Sutlieff, Ben J.; Janson, Markus; Gonzales, Eileen C.; Hoch, Kielan K. W.; Absil, Olivier; Balmer, William O.; Boccaletti, Anthony; Bonavita, Mariangela; Booth, Mark; Bowler, Brendan P.; Briesemeister, Zackery W.; Bryan, Marta L.; Calissendorff, Per; Cantalloube, Faustine; Chen, Christine H.; Choquet, Elodie; Christiaens, Valentin; Cugno, Gabriele; Currie, Thayne; Danielski, Camilla; De Furio, Matthew; Dupuy, Trent J.; Factor, Samuel M.; Faherty, Jacqueline K.; Fitzgerald, Michael P.; Fortney, Jonathan J.; Franson, Kyle; Girard, Julien H.; Grady, Carol A.; Henning, Thomas; Hines, Dean C.; Hood, Callie E.; Howe, Alex R.; Kalas, Paul; Kammerer, Jens; Kennedy, Grant M.; Kenworthy, Matthew A.; Kervella, Pierre; Kim, Minjae; Kitzmann, Daniel; Kraus, Adam L.; Kuzuhara, Masayuki; Lagage, Pierre-Olivier; Lagrange, Anne-Marie; Lawson, Kellen; Lazzoni, Cecilia; Leisenring, Jarron M.; Lew, Ben W. P.; Liu, Michael C.; Liu, Pengyu; Llop-Sayson, Jorge; Lloyd, James P.; Macintosh, Bruce; Malin, Mathilde; Manjavacas, Elena; Marino, Sebastian; Marley, Mark S.; Marois, Christian; Martinez, Raquel A.; Matthews, Elisabeth C.; Matthews, Brenda C.; Mawet, Dimitri; Mazoyer, Johan; McElwain, Michael W.; Metchev, Stanimir; Meyer, Michael R.; Millar-Blanchaer, Maxwell A.; Molliere, Paul; Moran, Sarah E.; Mukherjee, Sagnick; Pantin, Eric; Perrin, Marshall D.; Pueyo, Laurent; Quanz, Sascha P.; Quirrenbach, Andreas; Ray, Shrishmoy; Rebollido, Isabel; Redai, Jea Adams; Ren, Bin B.; Rickman, Emily; Sallum, Steph; Samland, Matthias; Sargent, Benjamin; Schlieder, Joshua E.; Stapelfeldt, Karl R.; Tamura, Motohide; Tan, Xianyu; Theissen, Christopher A.; Uyama, Taichi; Vasist, Malavika; Vigan, Arthur; Wagner, Kevin; Ward-Duong, Kimberly; Wolff, Schuyler G.; Worthen, Kadin; Wyatt, Mark C.; Ygouf, Marie; Zurlo, Alice; Zhang, Xi; Zhang, Keming; Zhang, Zhoujian; Zhou, Yifan</t>
  </si>
  <si>
    <t>The JWST Early Release Science Program for Direct Observations of Exoplanetary Systems. V. Do Self-consistent Atmospheric Models Represent JWST Spectra? A Showcase with VHS 1256-1257 b</t>
  </si>
  <si>
    <t>The unprecedented medium-resolution (R-lambda similar to 1500-3500) near- and mid-infrared (1-18 mu m) spectrum provided by JWST for the young (140 +/- 20 Myr) low-mass (12-20M(Jup)) L-T transition (L7) companion VHS 1256 b gives access to a catalog of molecular absorptions. In this study, we present a comprehensive analysis of this data set utilizing a forward-modeling approach applying our Bayesian framework, ForMoSA. We explore five distinct atmospheric models to assess their performance in estimating key atmospheric parameters: T-eff, log(g), [M/H], C/O, gamma, f(sed), and R. Our findings reveal that each parameter's estimate is significantly influenced by factors such as the wavelength range considered and the model chosen for the fit. This is attributed to systematic errors in the models and their challenges in accurately replicating the complex atmospheric structure of VHS 1256 b, notably the complexity of its clouds and dust distribution. To propagate the impact of these systematic uncertainties on our atmospheric property estimates, we introduce innovative fitting methodologies based on independent fits performed on different spectral windows. We finally derived a T-eff consistent with the spectral type of the target, considering its young age, which is confirmed by our estimate of log(g). Despite the exceptional data quality, attaining robust estimates for chemical abundances [M/H] and C/O, often employed as indicators of formation history, remains challenging. Nevertheless, the pioneering case of JWST's data for VHS 1256 b has paved the way for future acquisitions of substellar spectra that will be systematically analyzed to directly compare the properties of these objects and correct the systematics in the models.</t>
  </si>
  <si>
    <t>Fortney, Jonathan/F-8813-2014; Vos, Johanna/GQA-5667-2022; Girard, Julien/GRJ-2731-2022; Lloyd, James/Q-8445-2016; Marley, Mark/I-4704-2013; Helling, Christiane/KYP-2222-2024; Zurlo, Alice/Q-5011-2019; Marino, Sebastian/AFP-2400-2022; McElwain, Michael/D-3607-2012; Henning, Thomas/O-4372-2018; Ren, Bin/GPK-0728-2022; Mukherjee, Sagnick/R-7067-2019; zhang, keming/MSW-9449-2025; Eiles, Matthew/O-2920-2018; San Diego, University of/M-1048-2019; Stapelfeldt, Karl/D-2721-2012; Wagner, Kevin/AAK-4121-2020; Helling, Christiane/T-9497-2018; Fitzgerald, Michael/C-2642-2009; Choquet, Elodie/AAK-6363-2021</t>
  </si>
  <si>
    <t>Helling, Christiane/0000-0002-8275-1371; Malin, Mathilde/0000-0002-2918-8479; Ren, Bin/0000-0003-1698-9696; Fitzgerald, Michael/0000-0002-0176-8973; Cugno, G./0000-0001-7255-3251; Theissen, Christopher/0000-0002-9807-5435; Christiaens, Valentin/0000-0002-0101-8814; Biller, Beth/0000-0003-4614-7035; Balmer, William/0000-0001-6396-8439; Gonzales, Eileen/0000-0003-4636-6676; Sutlieff, Ben/0000-0002-9962-132X; Choquet, Elodie/0000-0002-9173-0740; Girard, Julien/0000-0001-8627-0404; Vos, Johanna/0000-0003-0489-1528; Palma-Bifani, Paulina/0000-0002-6217-6867; Matthews, Elisabeth/0000-0003-0593-1560; Franson, Kyle/0000-0003-4557-414X; Patapis, Polychronis/0000-0001-8718-3732; Carter, Aarynn/0000-0001-5365-4815; De Furio, Matthew/0000-0003-1863-4960; Kennedy, Grant/0000-0001-6831-7547; Petrus, Simon/0000-0003-0331-3654; Suarez, Genaro/0000-0002-2011-4924; Booth, Mark/0000-0001-8568-6336; Liu, Pengyu/0000-0001-7047-0874; Tremblin, Pascal/0000-0001-6172-3403</t>
  </si>
  <si>
    <t>L11</t>
  </si>
  <si>
    <t>10.3847/2041-8213/ad3e7c</t>
  </si>
  <si>
    <t>WOS:001253446900001</t>
  </si>
  <si>
    <t>Crous, PW; Osieck, ER; Jurjevi, Z; Boers, J; Van Iperen, AL; Starink-Willemse, M; Dima, B; Balashov, S; Bulgakov, TS; Johnston, PR; Morozova, O; Pinruan, U; Sommai, S; Alvarado, P; Decock, CA; Lebel, T; McMullan-Fisher, S; Moreno, G; Shivas, RG; Zhao, L; Abdollahzadeh, J; Abrinbana, M; Ageev, D; Akhmetova, G; Alexandrova, A; Altés, A; Amaral, AGG; Angelini, C; Antonín, ; Arenas, F; Asselman, P; Badali, F; Baghela, A; Bañares, A; Barreto, RW; Baseia, IG; Bellanger, JM; Berraf-Tebbal, A; Biketova, AY; Bukharova, N; Burgess, T; Cabero, J; Câmara, MPS; Cano-Lira, JF; Ceryngier, P; Chávez, R; Cowan, DA; de Lima, AF; Oliveira, RL; Denman, S; Dang, QN; Dovana, F; Duarte, IG; Eichmeier, A; Erhard, A; Esteve-Raventós, F; Fellin, A; Ferisin, G; Ferreira, RJ; Ferrer, A; Finy, P; Gaya, E; Geering, ADW; Gil-Durán, C; Glässnerová, K; Glushakova, AM; Gramaje, D; Guard, FE; Guarnizo, AL; Haelewaters, D; Halling, RE; Hill, R; Hirooka, Y; Hubka, ; Iliushin, VA; Ivanova, DD; Ivanushkina, NE; Jangsantear, P; Justo, A; Kachalkin, A; Kato, S; Khamsuntorn, P; Kirtsideli, IY; Knapp, DG; Kochkina, GA; Koukol, O; Kovács, GM; Kruse, J; Kumar, TKA; Kusan, ; Læssoe, T; Larsson, E; Lebeuf, R; Levicán, G; Loizides, M; Marinho, P; Luangsa-ard, JJ; Lukina, EG; Magaña-Dueñas, ; Maggs-Kölling, G; Malysheva, EF; Malysheva, VF; Martín, B; Martín, MP; Matocec, N; McTaggart, AR; Mehrabi-Koushki, M; Mesic, A; Miller, AN; Mironova, P; Moreau, PA; Morte, A; Müller, K; Nagy, LG; Nanu, S; Navarro-Ródenas, A; Nel, WJ; Nguyen, TH; Nóbrega, TF; Noordeloos, ME; Olariaga, ; Overton, BE; Ozerskaya, SM; Palani, P; Pancorbo, F; Papp, ; Pawlowska, J; Pham, TQ; Phosri, C; Popov, ES; Portugal, A; Posta, A; Reschke, K; Reul, M; Ricci, GM; Rodríguez, A; Romanowski, J; Ruchikachorn, N; Saar, ; Safi, A; Sakolrak, B; Salzmann, F; Sandoval-Denis, M; Sangwichein, E; Sanhueza, L; Sato, T; Sastoque, A; Senn-Irlet, B; Shibata, A; Siepe, K; Somrithipol, S; Spetik, M; Sridhar, P; Stchigel, AM; Stuskova, K; Suwannasai, N; Tan, YP; Thangavel, R; Tiago, ; Tiwari, S; Tkalcec, Z; Tomashevskaya, MA; Tonegawa, C; Tran, HX; Tran, NT; Trovao, J; Trubitsyn, VE; Van Wyk, J; Vieira, WAS; Vila, J; Visagie, CM; Vizzini, A; Volobuev, SV; Vu, DT; Wangsawat, N; Yaguchi, T; Ercole, E; Ferreira, BW; de Souza, AP; Vieira, BS; Groenewald, JZ</t>
  </si>
  <si>
    <t>Crous, P. W.; Osieck, E. R.; Jurjevi, Z.; Boers, J.; Van Iperen, A. L.; Starink-Willemse, M.; Dima, B.; Balashov, S.; Bulgakov, T. S.; Johnston, P. R.; Morozova, O., V; Pinruan, U.; Sommai, S.; Alvarado, P.; Decock, C. A.; Lebel, T.; McMullan-Fisher, S.; Moreno, G.; Shivas, R. G.; Zhao, L.; Abdollahzadeh, J.; Abrinbana, M.; Ageev, D., V; Akhmetova, G.; Alexandrova, A., V; Altes, A.; Amaral, A. G. G.; Angelini, C.; Antonin, V; Arenas, F.; Asselman, P.; Badali, F.; Baghela, A.; Banares, A.; Barreto, R. W.; Baseia, I. G.; Bellanger, J-M; Berraf-Tebbal, A.; Biketova, A. Yu; Bukharova, N., V; Burgess, T., I; Cabero, J.; Camara, M. P. S.; Cano-Lira, J. F.; Ceryngier, P.; Chavez, R.; Cowan, D. A.; de Lima, A. F.; Oliveira, R. L.; Denman, S.; Dang, Q. N.; Dovana, F.; Duarte, I. G.; Eichmeier, A.; Erhard, A.; Esteve-Raventos, F.; Fellin, A.; Ferisin, G.; Ferreira, R. J.; Ferrer, A.; Finy, P.; Gaya, E.; Geering, A. D. W.; Gil-Duran, C.; Glaessnerova, K.; Glushakova, A. M.; Gramaje, D.; Guard, F. E.; Guarnizo, A. L.; Haelewaters, D.; Halling, R. E.; Hill, R.; Hirooka, Y.; Hubka, V; Iliushin, V. A.; Ivanova, D. D.; Ivanushkina, N. E.; Jangsantear, P.; Justo, A.; Kachalkin, A., V; Kato, S.; Khamsuntorn, P.; Kirtsideli, I. Y.; Knapp, D. G.; Kochkina, G. A.; Koukol, O.; Kovacs, G. M.; Kruse, J.; Kumar, T. K. A.; Kusan, I; Laessoe, T.; Larsson, E.; Lebeuf, R.; Levican, G.; Loizides, M.; Marinho, P.; Luangsa-ard, J. J.; Lukina, E. G.; Magana-Duenas, V; Maggs-Koelling, G.; Malysheva, E. F.; Malysheva, V. F.; Martin, B.; Martin, M. P.; Matocec, N.; McTaggart, A. R.; Mehrabi-Koushki, M.; Mesic, A.; Miller, A. N.; Mironova, P.; Moreau, P-A; Morte, A.; Mueller, K.; Nagy, L. G.; Nanu, S.; Navarro-Rodenas, A.; Nel, W. J.; Nguyen, T. H.; Nobrega, T. F.; Noordeloos, M. E.; Olariaga, I; Overton, B. E.; Ozerskaya, S. M.; Palani, P.; Pancorbo, F.; Papp, V; Pawlowska, J.; Pham, T. Q.; Phosri, C.; Popov, E. S.; Portugal, A.; Posta, A.; Reschke, K.; Reul, M.; Ricci, G. M.; Rodriguez, A.; Romanowski, J.; Ruchikachorn, N.; Saar, I; Safi, A.; Sakolrak, B.; Salzmann, F.; Sandoval-Denis, M.; Sangwichein, E.; Sanhueza, L.; Sato, T.; Sastoque, A.; Senn-Irlet, B.; Shibata, A.; Siepe, K.; Somrithipol, S.; Spetik, M.; Sridhar, P.; Stchigel, A. M.; Stuskova, K.; Suwannasai, N.; Tan, Y. P.; Thangavel, R.; Tiago, I; Tiwari, S.; Tkalcec, Z.; Tomashevskaya, M. A.; Tonegawa, C.; Tran, H. X.; Tran, N. T.; Trovao, J.; Trubitsyn, V. E.; Van Wyk, J.; Vieira, W. A. S.; Vila, J.; Visagie, C. M.; Vizzini, A.; Volobuev, S. V.; Vu, D. T.; Wangsawat, N.; Yaguchi, T.; Ercole, E.; Ferreira, B. W.; de Souza, A. P.; Vieira, B. S.; Groenewald, J. Z.</t>
  </si>
  <si>
    <t>Fungal Planet description sheets: 1284-1382</t>
  </si>
  <si>
    <t>Novel species of fungi described in this study include those from various countries as follows: Antartica , Cladosporium austrolitorale from coastal sea sand. Australia , Austroboletus yourkae on soil, Crepidotus innuopur- pureus on dead wood, Curvularia stenotaphri from roots and leaves of Stenotaphrum secundatum and Thecaphora stajsicii from capsules of Oxalis radicosa. Belgium , Paraxerochrysium coryli (incl. Paraxerochrysium gen. nov.) from Corylus avellana. Brazil , Calvatia nordestina on soil, Didymella tabebuiicola from leaf spots on Tabebuia aurea, Fusarium subflagellisporum from hypertrophied floral and vegetative branches of Mangifera indica and Microdochium maculosum from living leaves of Digitaria insularis. Canada , Cuphophyllus bondii from a grassland. Croatia , Mollisia inferiseptata from a rotten Laurus nobilis trunk. Cyprus , Amanita exilis on calcareous soil. Czech Republic , Cytospora hippophaicola from wood of symptomatic Vaccinium corymbosum. Denmark , Lasiosphaeria deviata on pieces of wood and herbaceous debris. Dominican Republic , Calocybella goethei among grass on a lawn. France (Corsica) , Inocybe corsica on wet ground. France (French Guiana) , Trechispora patawaensis on decayed branch of unknown angiosperm tree and Trechispora subregularis on decayed log of unknown angiosperm tree. Germany , Paramicrothecium sambuci (incl. Paramicrothecium gen. nov.) on dead stems of Sambucus nigra. India , Aureobasidium microtermitis from the gut of a Microtermes sp. termite, Laccaria diospyricola on soil and Phylloporia tamilnadensis on branches of Catunaregam spinosa. Iran , Pythium serotinoosporum from soil under Prunus dulcis. Italy , Pluteus brunneovenosus on twigs of broadleaved trees on the ground. Japan , Heterophoma rehmanniae on leaves of Rehmannia glutinosa f. hueichingensis. Kazakhstan , Murispora kazachstanica from healthy roots of Triticum aestivum. Namibia , Caespitomonium euphorbiae (incl. Caespitomonium gen. nov.) from stems of an Euphorbia sp. Netherlands, Alfaria junci, Myrmecridium junci, Myrmecridium juncicola, Myrmecridium juncigenum, Ophioceras junci, Paradinemasporium junci (incl. Paradinemasporium gen. nov.), Phialoseptomonium junci, Sporidesmiella juncicola, Xenopyricularia junci and Zaanenomyces quadripartis (incl. Zaanenomyces gen. nov.), from dead culms of Juncus effusus, Cylindromonium everniae and Rhodoveronaea everniae from Evernia prunastri, Cyphellophora sambuci and Myrmecridium sambuci from Sambucus nigra, Kiflimonium junci, Saro- cladium junci, Zaanenomyces moderatricis-academiae and Zaanenomyces versatilis from dead culms of Juncus inflexus, Microcera physciae from Physcia tenella, Myrmecridium dactylidis from dead culms of Dactylis glomerata, Neochalara spiraeae and Sporidesmium spiraeae from leaves of Spiraea japonica, Neofabraea salicina from Salix sp., Paradissoconium narthecii (incl. Paradissoconium gen. nov.) from dead leaves of Narthecium ossifragum, Polyscytalum vaccinii from Vaccinium myrtillus, Pseudosoloacrosporiella cryptomeriae (incl. Pseudosoloacro- sporiella gen. nov.) from leaves of Cryptomeria japonica, Ramularia pararhabdospora from Plantago lanceolata, Sporidesmiella pini from needles of Pinus sylvestris and Xenoacrodontium juglandis (incl. Xenoacrodontium gen. nov. and Xenoacrodontiaceae fam. nov.) from Juglans regia. New Zealand, Cryptometrion metrosideri from twigs of Metrosideros sp. , Coccomyces pycnophyllocladi from dead leaves of Phyllocladus alpinus, Hypoderma aliforme from fallen leaves Fuscopora solandri and Hypoderma subiculatum from dead leaves Phormium tenax. Norway, Neodevriesia kalakoutskiifrom permafrost and Variabilispora viridis from driftwood of Picea abies. Portugal, Ento- mortierella hereditatis from a biofilm covering a deteriorated limestone wall. Russia, Colpoma junipericola from needles of Juniperus sabina, Entoloma cinnamomeum on soil in grasslands, Entoloma verae on soil in grasslands, Hyphodermella pallidostraminea on a dry dead branch of Actinidia sp., Lepiota sayanensis on litter in a mixed forest, Papiliotrema horticola from Malus communis, Paramacroventuria ribis (incl. Paramacroventuria gen. nov.) from leaves of Ribes aureum and Paramyrothecium lathyri from leaves of Lathyrus tuberosus. South Africa, Harzia combreti from leaf litter of Combretum collinum ssp. sulvense, Penicillium xyleborini from Xyleborinus saxesenii, Phaeoisaria dalbergiae from bark of Dalbergia armata, Protocreopsis euphorbiae from leaf litter of Euphorbia ingens and Roi- giella syzygii from twigs of Syzygium chordatum. Spain, Genea zamorana on sandy soil, Gymnopus nigrescens on Scleropodium touretii, Hesperomyces parexochomi on Parexochomus quadriplagiatus, Paraphoma variabilis from dung, Phaeococcomyces kinklidomatophilus from a blackened metal railing of an industrial warehouse and Tuber suaveolens in soil under Quercus faginea. Svalbard and Jan Mayen, Inocybe nivea associated with Salix polaris. Thailand, Biscogniauxia whalleyi on corticated wood. UK, Parasitella quercicola from Quercus robur. USA, Aspergillus arizonicus from indoor air in a hospital, Caeliomyces tampanus (incl. Caeliomyces gen. nov.) from office dust, Cippumomyces mortalis (incl. Cippumomyces gen. nov.) from a tombstone, Cylindrium desperesense from air in a store, Tetracoccosporium pseudoaerium from air sample in house, Toxicocladosporium glendoranum from air in a brick room, Toxicocladosporium losalamitosense from air in a classroom, Valsonectria portsmouthensis from air in men's locker room and Varicosporellopsis americana from sludge in a water reservoir. Vietnam, Entoloma kovalenkoi on rotten wood, Fusarium chuoi inside seed of Musa itinerans, Micropsalliota albofelina on soil in tropical evergreen mixed forests and Phytophthora docyniae from soil and roots of Docynia indica. Morphological and culture characteristics are supported by DNA barcodes.</t>
  </si>
  <si>
    <t>Groenewald, Johannes/F-4667-2011; Knapp, Dániel/C-9481-2013; W, Niwana/IQU-1797-2023; Glushakova, AnnaM/ABH-7107-2020; Romanowski, Jerzy/AAE-8095-2021; MARINHO, Paulo/K-3938-2017; Bulgakov, Timur/AAC-3761-2020; Malysheva, Ekaterina/H-5582-2013; Tkalčec, Zdenko/ABF-2269-2020; Mehrabi-Koushki, Mehdi/AAG-2178-2021; Miller, Andrew/AAB-7815-2019; Ivanova, Daria/AHB-9185-2022; McTaggart, Alistair/A-8871-2014; Vu, Dang Toan/AFY-6646-2022; Stchigel, Alberto/G-1261-2016; Iliushin, Vadim/AAD-4099-2022; Senn-Irlet, Beatrice/AFQ-5299-2022; Olariaga, Ibai/AAB-1577-2019; Dima, Balint/AAL-8898-2020; Eichmeier, Aleš/F-1209-2016; Bukharova, Nadezhda/L-4342-2016; Levican, Gloria/R-5191-2019; Hill, Rowena/AFS-1178-2022; Geering, Andrew/A-7912-2011; Volobuev, Sergey/I-4046-2013; Posta, Ana/ABC-6172-2020; Luangsa-ard, Janet/F-2350-2011; Gramaje, David/M-7006-2017; Visagie, Cobus/JVZ-1459-2024; Gaya, Ester/B-2305-2014; Dovana, Francesco/JNT-6240-2023; Noordeloos, machiel/JWA-9206-2024; Burgess, Treena/AAB-9587-2021; Câmara, Marcos/V-8760-2019; Ozerskaya, Svetlana/J-3821-2018; Malysheva, Vera/H-6242-2013; Trovao, Joao/AAU-7499-2021; Ferreira, Renato/P-6887-2017; Nataliya, Ivanushkina/AAR-7639-2020; KOCHKINA, GALINA/AAR-7765-2020; Štůsková, Kateřina/AAT-5044-2021; Bellanger, Jean-Michel/D-1579-2017; Tiago, Igor/ABE-5411-2020; Baseia, Iuri/F-6534-2014; Kachalkin, Aleksey/D-6023-2013; Alvarado, Pablo/K-4736-2014; Cowan, Donald/E-3991-2012; BERRAF-TEBBAL, AKILA/AAJ-3917-2021; phosri, Cherdchai/H-2747-2014; Abrinbana, Masoud/L-4156-2019; decock, cony/JPK-3297-2023; Haelewaters, Danny/AAL-4179-2021; Morozova, Olga/H-5135-2013; Pawłowska, Julia/F-7881-2015; Saar, Irja/HJO-9073-2023; Crous, Pedro/H-1489-2012; Kirtsideli, Irina/K-2072-2018; Kusan, Ivana/ABF-2341-2020; Koukol, Ondřej/I-5970-2016; Moreau, Pierre-Arthur/AAP-8248-2020; Johnston, Peter/GZL-2513-2022; Ródenas, Alfonso/AAB-1938-2020; Mironova, Polina/AAE-6522-2022; Aleksandrova, Alvina/HJY-6136-2023; Abdollahzadeh, Jafar/U-9891-2019; Matocec, Neven/ABF-2261-2020; Nel, Wilma/AAG-6062-2020; Antonín, Vladimír/AAL-2375-2021; VIEIRA, WILLIE ANDERSON/AEN-7028-2022; luigi, angel/ABG-1087-2020; Ceryngier, Piotr/ADS-1878-2022; Hubka, Vit/L-4124-2014; Pichai, Sridhar/KII-2165-2024; Trubitsyn, Vladimir/AFN-8867-2022; Burgess, Treena/G-4770-2011; Baghela, Abhishek/Q-5730-2018; Popov, Eugene/J-2481-2012; Sandoval-Denis, Marcelo/H-1112-2019; Biketova, Alona Yu./O-9961-2017; Morte, Asuncion/L-4536-2014; Portugal, Antonio/ABE-7727-2020; ARENAS JIMENEZ, FRANCISCO/ABG-1085-2020; Spetik, Milan/AAE-1406-2021; Altes, Alberto/E-6793-2012; Mesic, Armin/AAJ-1858-2020; Vu Dang, Toan/AGR-3361-2022</t>
  </si>
  <si>
    <t>Hubka, Vit/0000-0003-4583-6496; Il'usin, Vadim/0000-0003-1031-7661; Luangsa-ard, Janet Jennifer/0000-0001-6801-2145; Ferreira da Nobrega, Thaisa/0000-0001-5262-389X; MARINHO, Paulo/0000-0001-9232-0607; Pichai, Sridhar/0009-0001-3143-718X; Vu, Duong/0000-0001-7960-2765; Tran, Nga/0000-0002-8362-4016; Abrinbana, Masoud/0000-0003-4373-105X; Hill, Rowena/0000-0002-1046-5528; Alvarado, Pablo/0000-0001-7462-5271; Trubitsyn, Vladimir/0000-0002-4604-9518; Burgess, Treena/0000-0002-7962-219X; Stuskova, Katerina/0000-0002-5778-8439; Baghela, Abhishek/0000-0002-9440-0093; Romanowski, Jerzy/0000-0003-1050-6403; Popov, Eugene/0000-0001-8599-3117; Bellanger, Jean-Michel/0000-0001-9289-2349; Ivanova, Daria/0000-0002-8302-8337; Gil-Duran, Carlos Andres/0000-0001-9638-6902; Sandoval-Denis, Marcelo/0000-0001-6832-0252; Van Wyk, Judson/0000-0003-2137-2092; Biketova, Alona Yu./0000-0003-0801-0660; Navarro Rodenas, Alfonso/0000-0001-9123-4547; Tkalcec, Zdenko/0000-0002-1148-9425; Morte, Asuncion/0000-0002-6426-0202; Saar, Irja/0000-0001-8453-9721; Rodriguez, Antonio/0000-0002-0708-7773; Portugal, Antonio/0000-0003-1748-6345; Mehrabi-Koushki, Mehdi/0000-0002-1893-1458; ARENAS JIMENEZ, FRANCISCO/0000-0001-5850-1105; Matocec, Neven/0000-0002-9235-939X; Spetik, Milan/0000-0001-7659-8852; Tiwari, Snigdha/0000-0002-7391-3850; Altes, Alberto/0000-0002-3579-9081; Visagie, Cobus M/0000-0003-2367-5353; Mesic, Armin/0000-0002-4479-600X; Vu Dang, Toan/0000-0003-3589-6428; Trovao, Joao/0000-0002-7845-6046; Bulgakov, Timur/0000-0002-4874-6851</t>
  </si>
  <si>
    <t>10.3767/persoonia.2021.47.06</t>
  </si>
  <si>
    <t>WOS:000747494100001</t>
  </si>
  <si>
    <t>Delwiche, KB; Knox, SH; Malhotra, A; Fluet-Chouinard, E; McNicol, G; Feron, S; Ouyang, ZT; Papale, D; Trotta, C; Canfora, E; Cheah, YW; Christianson, D; Alberto, MCR; Alekseychik, P; Aurela, M; Baldocchi, D; Bansal, S; Billesbach, DP; Bohrer, G; Bracho, R; Buchmann, N; Campbell, DI; Celis, G; Chen, JQ; Chen, WN; Chu, H; Dalmagro, HJ; Dengel, S; Desai, AR; Detto, M; Dolman, H; Eichelmann, E; Euskirchen, E; Famulari, D; Fuchs, K; Goeckede, M; Gogo, S; Gondwe, MJ; Goodrich, JP; Gottschalk, P; Graham, SL; Heimann, M; Helbig, M; Helfter, C; Hemes, KS; Hirano, T; Hollinger, D; Hörtnagl, L; Iwata, H; Jacotot, A; Jurasinski, G; Kang, M; Kasak, K; King, J; Klatt, J; Koebsch, F; Krauss, KW; Lai, DYF; Lohila, A; Mammarella, I; Marchesini, LB; Manca, G; Matthes, JH; Maximov, T; Merbold, L; Mitra, B; Morin, TH; Nemitz, E; Nilsson, MB; Niu, SL; Oechel, WC; Oikawa, PY; Ono, K; Peichl, M; Peltola, O; Reba, ML; Richardson, AD; Riley, W; Runkle, BRK; Ryu, Y; Sachs, T; Sakabe, A; Sanchez, CR; Schuur, EA; Schäfer, KVR; Sonnentag, O; Sparks, JP; Stuart-Haéentjens, E; Sturtevant, C; Sullivan, RC; Szutu, DJ; Thom, JE; Torn, MS; Tuittila, ES; Turner, J; Ueyama, M; Valach, AC; Vargas, R; Varlagin, A; Vazquez-Lule, A; Verfaillie, JG; Vesala, T; Vourlitis, GL; Ward, EJ; Wille, C; Wohlfahrt, G; Wong, GX; Zhang, Z; Zona, D; Windham-Myers, L; Poulter, B; Jackson, RB</t>
  </si>
  <si>
    <t>Delwiche, Kyle B.; Knox, Sara Helen; Malhotra, Avni; Fluet-Chouinard, Etienne; McNicol, Gavin; Feron, Sarah; Ouyang, Zutao; Papale, Dario; Trotta, Carlo; Canfora, Eleonora; Cheah, You-Wei; Christianson, Danielle; Alberto, Ma Carmelita R.; Alekseychik, Pavel; Aurela, Mika; Baldocchi, Dennis; Bansal, Sheel; Billesbach, David P.; Bohrer, Gil; Bracho, Rosvel; Buchmann, Nina; Campbell, David I.; Celis, Gerardo; Chen, Jiquan; Chen, Weinan; Chu, Housen; Dalmagro, Higo J.; Dengel, Sigrid; Desai, Ankur R.; Detto, Matteo; Dolman, Han; Eichelmann, Elke; Euskirchen, Eugenie; Famulari, Daniela; Fuchs, Kathrin; Goeckede, Mathias; Gogo, Sebastien; Gondwe, Mangaliso J.; Goodrich, Jordan P.; Gottschalk, Pia; Graham, Scott L.; Heimann, Martin; Helbig, Manuel; Helfter, Carole; Hemes, Kyle S.; Hirano, Takashi; Hollinger, David; Hortnagl, Lukas; Iwata, Hiroki; Jacotot, Adrien; Jurasinski, Gerald; Kang, Minseok; Kasak, Kuno; King, John; Klatt, Janina; Koebsch, Franziska; Krauss, Ken W.; Lai, Derrick Y. F.; Lohila, Annalea; Mammarella, Ivan; Marchesini, Luca Belelli; Manca, Giovanni; Matthes, Jaclyn Hatala; Maximov, Trofim; Merbold, Lutz; Mitra, Bhaskar; Morin, Timothy H.; Nemitz, Eiko; Nilsson, Mats B.; Niu, Shuli; Oechel, Walter C.; Oikawa, Patricia Y.; Ono, Keisuke; Peichl, Matthias; Peltola, Olli; Reba, Michele L.; Richardson, Andrew D.; Riley, William; Runkle, Benjamin R. K.; Ryu, Youngryel; Sachs, Torsten; Sakabe, Ayaka; Sanchez, Camilo Rey; Schuur, Edward A.; Schafer, Karina V. R.; Sonnentag, Oliver; Sparks, Jed P.; Stuart-Haentjens, Ellen; Sturtevant, Cove; Sullivan, Ryan C.; Szutu, Daphne J.; Thom, Jonathan E.; Torn, Margaret S.; Tuittila, Eeva-Stiina; Turner, Jessica; Ueyama, Masahito; Valach, Alex C.; Vargas, Rodrigo; Varlagin, Andrej; Vazquez-Lule, Alma; Verfaillie, Joseph G.; Vesala, Timo; Vourlitis, George L.; Ward, Eric J.; Wille, Christian; Wohlfahrt, Georg; Wong, Guan Xhuan; Zhang, Zhen; Zona, Donatella; Windham-Myers, Lisamarie; Poulter, Benjamin; Jackson, Robert B.</t>
  </si>
  <si>
    <t>FLUXNET-CH4: a global, multi-ecosystem dataset and analysis of methane seasonality from freshwater wetlands</t>
  </si>
  <si>
    <t>Methane (CH4) emissions from natural landscapes constitute roughly half of global CH4 contributions to the atmosphere, yet large uncertainties remain in the absolute magnitude and the seasonality of emission quantities and drivers. Eddy covariance (EC) measurements of CH4 flux are ideal for constraining ecosystem-scale CH4 emissions due to quasi-continuous and high-temporal-resolution CH4 flux measurements, coincident carbon dioxide, water, and energy flux measurements, lack of ecosystem disturbance, and increased availability of datasets over the last decade. Here, we (1) describe the newly published dataset, FLUXNET-CH4 Version 1.0, the first open-source global dataset of CH4 EC measurements (available at https://fluxnet.org/data/fluxnet-ch4-community-product/, last access: 7 April 2021). FLUXNET-CH4 includes half-hourly and daily gap-filled and non-gap-filled aggregated CH4 fluxes and meteorological data from 79 sites globally: 42 freshwater wetlands, 6 brackish and saline wetlands, 7 formerly drained ecosystems, 7 rice paddy sites, 2 lakes, and 15 uplands. Then, we (2) evaluate FLUXNET-CH4 representativeness for freshwater wetland coverage globally because the majority of sites in FLUXNET-CH4 Version 1.0 are freshwater wetlands which are a substantial source of total atmospheric CH4 emissions; and (3) we provide the first global estimates of the seasonal variability and seasonality predictors of freshwater wetland CH4 fluxes. Our representativeness analysis suggests that the freshwater wetland sites in the dataset cover global wetland bioclimatic attributes (encompassing energy, moisture, and vegetation-related parameters) in arctic, boreal, and temperate regions but only sparsely cover humid tropical regions. Seasonality metrics of wetland CH4 emissions vary considerably across latitudinal bands. In freshwater wetlands (except those between 20 degrees S to 20 degrees N) the spring onset of elevated CH4 emissions starts 3 d earlier, and the CH4 emission season lasts 4 d longer, for each degree Celsius increase in mean annual air temperature. On average, the spring onset of increasing CH4 emissions lags behind soil warming by 1 month, with very few sites experiencing increased CH4 emissions prior to the onset of soil warming. In contrast, roughly half of these sites experience the spring onset of rising CH4 emissions prior to the spring increase in gross primary productivity (GPP). The timing of peak summer CH4 emissions does not correlate with the timing for either peak summer temperature or peak GPP. Our results provide seasonality parameters for CH4 modeling and highlight seasonality metrics that cannot be predicted by temperature or GPP (i.e., seasonality of CH4 peak). FLUXNET-CH4 is a powerful new resource for diagnosing and understanding the role of terrestrial ecosystems and climate drivers in the global CH4 cycle, and future additions of sites in tropical ecosystems and site years of data collection will provide added value to this database. All seasonality parameters are available at https://doi.org/10.5281/zenodo.4672601 (Delwiche et al., 2021). Additionally, raw FLUXNET-CH4 data used to extract seasonality parameters can be downloaded from https://fluxnet. org/data/fluxnet-ch4-community-product/ (last access: 7 April 2021), and a complete list of the 79 individual site data DOIs is provided in Table 2 of this paper.</t>
  </si>
  <si>
    <t>Maximov, Trofim/J-8964-2016; Chen, Jiquan/D-1955-2009; Valach, Alex/AAX-7438-2020; Helbig, Manuel/H-3690-2019; Jurasinski, Gerald/AAH-6376-2021; Eichelmann, Elke/AAK-5469-2021; Niu, Shuli/E-7550-2011; Malhotra, Avni/R-4970-2019; Nemitz, Eiko/I-6121-2012; Hörtnagl, Lukas/P-6800-2017; Zona, Donatella/S-5546-2019; Peltola, Olli/Z-1194-2019; Ueyama, Masahito/O-1294-2018; Iwata, Hiroki/B-7679-2008; Torn, Margaret/CAF-8960-2022; Schuur, Edward/ACG-9944-2022; Desai, Ankur/A-5899-2008; Runkle, B./AAC-3404-2020; Riley, William/D-3345-2015; Dolman, Albertus/B-8552-2012; Baldocchi, Dennis/A-1625-2009; Hirano, Takashi/A-4557-2012; Gogo, Sébastien/C-7002-2008; Bansal, Sheel/LFV-7491-2024; Vázquez-Lule, Alma/HTT-3874-2023; Jacotot, Adrien/AAL-9392-2020; Wohlfahrt, Georg/D-2409-2009; Dalmagro, Higo/P-7945-2017; S, T/AIC-1764-2022; Stuart-Haentjens, Ellen/A-1521-2017; Famulari, Daniela/AAC-8778-2019; Fluet-Chouinard, Etienne/KIH-8576-2024; Heimann, Martin/H-7807-2016; Windham, Lisa/LDF-9363-2024; Papale, Dario/W-7302-2019; Aurela, Mika/L-4724-2014; Ward, Eric/D-7131-2017; Tuittila, Eeva-Stiina/AAR-1211-2021; Merbold, Lutz/K-6103-2012; Poulter, Ben/ABB-5886-2021; Kasak, Kuno/AAH-6189-2020; Vesala, Timo/C-3795-2017; Oechel, Walter/M-1347-2019; Sullivan, Ryan/B-4674-2008; Peichl, Matthias/A-2087-2014; Wong, Ken/AAP-7784-2020; Yang, Zutao/LSL-2505-2024; Vargas, Rodrigo/C-4720-2008; Chu, Housen/Q-6517-2016; Buchmann, Nina/E-6095-2011; Helfter, Carole/A-1835-2010; McNicol, Gavin/O-5632-2015; Kasak, Kuno/F-6063-2017; Varlagin, Andrej/A-6568-2012; Torn, Margaret/D-2305-2015; Mammarella, Ivan/E-7782-2016; Lohila, Annalea/C-7307-2014; Goeckede, Mathias/C-1027-2017; Zhang, Zhen/P-4169-2016; Richardson, Andrew/F-5691-2011; Lai, Derrick Y.F./B-1387-2009; Zona, Donatella/G-4039-2010; Mitra, Bhaskar/AAU-8438-2021; Bohrer, Gil/A-9731-2008; Belelli Marchesini, Luca/M-3554-2014; Ryu, Youngryel/C-3072-2008; Wille, Christian/J-3657-2013</t>
  </si>
  <si>
    <t>Peltola, Olli/0000-0002-1744-6290; Eichelmann, Elke/0000-0001-9516-7951; Jackson, Robert/0000-0001-8846-7147; Vargas, Rodrigo/0000-0001-6829-5333; Chu, Housen/0000-0002-8131-4938; Hirano, Takashi/0000-0002-0325-3922; Rey-Sanchez, Camilo/0000-0003-4762-9001; Stuart-Haentjens, Ellen/0000-0001-9901-7643; Buchmann, Nina/0000-0003-0826-2980; Helfter, Carole/0000-0001-5773-4652; Fluet-Chouinard, Etienne/0000-0003-4380-2153; Gogo, Sebastien/0000-0002-0867-497X; McNicol, Gavin/0000-0002-6655-8045; CANFORA, Eleonora/0000-0002-6613-8702; Dolman, A.J./0000-0003-0099-0457; Runkle, Benjamin Reade Kreps/0000-0002-2583-1199; Graham, Scott/0000-0002-4751-9868; Feron, Sarah/0000-0002-0572-5639; Kasak, Kuno/0000-0002-0810-2154; Varlagin, Andrej/0000-0002-2549-5236; Sullivan, Ryan/0000-0002-3500-1842; Torn, Margaret/0000-0002-8174-0099; FAMULARI, DANIELA/0000-0002-2388-9282; /0000-0002-5981-2500; Yang, Zutao/0000-0002-6919-569X; Mammarella, Ivan/0000-0002-8516-3356; Trotta, Carlo/0000-0001-6377-0262; Lohila, Annalea/0000-0003-3541-672X; Goeckede, Mathias/0000-0003-2833-8401; Zhang, Zhen/0000-0003-0899-1139; Richardson, Andrew/0000-0002-0148-6714; Lai, Derrick Y.F./0000-0002-1225-9904; Alekseychik, Pavel/0000-0002-4081-3917; Zona, Donatella/0000-0002-0003-4839; Sachs, Torsten/0000-0002-9959-4771; Mitra, Bhaskar/0000-0002-6617-0884; Bohrer, Gil/0000-0002-9209-9540; Belelli Marchesini, Luca/0000-0001-8408-4675; Valach, Alex/0000-0003-4782-5766; Matthes, Jaclyn/0000-0001-8999-8062; Ryu, Youngryel/0000-0001-6238-2479; Jacotot, Adrien/0000-0002-0126-7597; Papale, Dario/0000-0001-5170-8648; Wille, Christian/0000-0003-0930-6527; Malhotra, Avni/0000-0002-7850-6402</t>
  </si>
  <si>
    <t>JUL 29</t>
  </si>
  <si>
    <t>10.5194/essd-13-3607-2021</t>
  </si>
  <si>
    <t>WOS:000679888800004</t>
  </si>
  <si>
    <t>Washif, JA; Sandbakk, O; Seiler, S; Haugen, T; Farooq, A; Quarrie, K; van Rensburg, DCJ; Krug, I; Verhagen, E; Wong, D; Mujika, I; Cortis, C; Haddad, M; Ahmadian, O; Al Jufaili, M; Al-Horani, RA; Al-Mohannadi, AS; Aloui, A; Ammar, A; Arifi, F; Aziz, AR; Batuev, M; Beaven, CM; Beneke, R; Bici, A; Bishnoi, P; Bogwasi, L; Bok, D; Boukhris, O; Boullosa, D; Bragazzi, N; Brito, J; Cartagena, RPP; Chaouachi, A; Cheung, SS; Chtourou, H; Cosma, G; Debevec, T; DeLang, MD; Dellal, A; Dönmez, G; Driss, T; Duque, JDP; Eirale, C; Elloumi, M; Foster, C; Franchini, E; Fusco, A; Galy, O; Gastin, PB; Gill, N; Girard, O; Gregov, C; Halson, S; Hammouda, O; Hanzlíková, I; Hassanmirzaei, B; Hébert-Losier, K; Helú, HM; Herrera-Valenzuela, T; Hettinga, FJ; Holtzhausen, L; Hue, O; Dello Iacono, A; Ihalainen, JK; James, C; Joseph, S; Kamoun, K; Khaled, M; Khalladi, K; Kim, KJ; Kok, LY; MacMillan, L; Mataruna-Dos-Santos, LJ; Matsunaga, R; Memishi, S; Millet, GP; Moussa-Chamari, I; Musa, DI; Nguyen, HMT; Nikolaidis, PT; Owen, A; Padulo, J; Pagaduan, JC; Perera, NP; Pérez-Gómez, J; Pillay, L; Popa, A; Pudasaini, A; Rabbani, A; Rahayu, T; Romdhani, M; Salamh, P; Sarkar, AS; Schillinger, A; Setyawati, H; Shrestha, N; Suraya, F; Tabben, M; Trabelsi, K; Urhausen, A; Valtonen, M; Weber, J; Whiteley, R; Zrane, A; Zerguini, Y; Zmijewski, P; Ben Saad, H; Pyne, DB; Taylor, L; Chamari, K</t>
  </si>
  <si>
    <t>Washif, Jad Adrian; Sandbakk, Oyvind; Seiler, Stephen; Haugen, Thomas; Farooq, Abdulaziz; Quarrie, Ken; van Rensburg, Dina C. Janse; Krug, Isabel; Verhagen, Evert; Wong, Del P.; Mujika, Inigo; Cortis, Cristina; Haddad, Monoem; Ahmadian, Omid; Al Jufaili, Mahmood; Al-Horani, Ramzi A.; Al-Mohannadi, Abdulla Saeed; Aloui, Asma; Ammar, Achraf; Arifi, Fitim; Aziz, Abdul Rashid; Batuev, Mikhail; Beaven, Christopher Martyn; Beneke, Ralph; Bici, Arben; Bishnoi, Pallawi; Bogwasi, Lone; Bok, Daniel; Boukhris, Omar; Boullosa, Daniel; Bragazzi, Nicola; Brito, Joao; Cartagena, Roxana Paola Palacios; Chaouachi, Anis; Cheung, Stephen S.; Chtourou, Hamdi; Cosma, Germina; Debevec, Tadej; DeLang, Matthew D.; Dellal, Alexandre; Donmez, Gurhan; Driss, Tarak; Duque, Juan David Pena; Eirale, Cristiano; Elloumi, Mohamed; Foster, Carl; Franchini, Emerson; Fusco, Andrea; Galy, Olivier; Gastin, Paul B.; Gill, Nicholas; Girard, Olivier; Gregov, Cvita; Halson, Shona; Hammouda, Omar; Hanzlikova, Ivana; Hassanmirzaei, Bahar; Hebert-Losier, Kim; Helu, Hussein Munoz; Herrera-Valenzuela, Tomas; Hettinga, Florentina J.; Holtzhausen, Louis; Hue, Olivier; Dello Iacono, Antonio; Ihalainen, Johanna K.; James, Carl; Joseph, Saju; Kamoun, Karim; Khaled, Mehdi; Khalladi, Karim; Kim, Kwang Joon; Kok, Lian-Yee; MacMillan, Lewis; Mataruna-Dos-Santos, Leonardo Jose; Matsunaga, Ryo; Memishi, Shpresa; Millet, Gregoire P.; Moussa-Chamari, Imen; Musa, Danladi Ibrahim; Hoang Minh Thuan Nguyen; Nikolaidis, Pantelis T.; Owen, Adam; Padulo, Johnny; Pagaduan, Jeffrey Cabayan; Perera, Nirmala Panagodage; Perez-Gomez, Jorge; Pillay, Lervasen; Popa, Arporn; Pudasaini, Avishkar; Rabbani, Alizera; Rahayu, Tandiyo; Romdhani, Mohamed; Salamh, Paul; Sarkar, Abu-Sufian; Schillinger, Andy; Setyawati, Heny; Shrestha, Navina; Suraya, Fatona; Tabben, Montassar; Trabelsi, Khaled; Urhausen, Axel; Valtonen, Maarit; Weber, Johanna; Whiteley, Rodney; Zrane, Adel; Zerguini, Yacine; Zmijewski, Piotr; Ben Saad, Helmi; Pyne, David B.; Taylor, Lee; Chamari, Karim</t>
  </si>
  <si>
    <t>COVID-19 Lockdown: A Global Study Investigating the Effect of Athletes' Sport Classification and Sex on Training Practices</t>
  </si>
  <si>
    <t>INTERNATIONAL JOURNAL OF SPORTS PHYSIOLOGY AND PERFORMANCE</t>
  </si>
  <si>
    <t>Purpose: To investigate differences in athletes' knowledge, beliefs, and training practices during COVID-19 lockdownswith reference to sport classification and sex. This work extends an initial descriptive evaluation focusing on athlete classification. Methods: Athletes (12,526; 66% male; 142 countries) completed an online survey (May-July 2020) assessing knowledge, beliefs, and practices toward training. Sports were classified as team sports (45%), endurance (20%), power/technical (10%), combat (9%), aquatic (6%), recreational (4%), racquet (3%), precision (2%), parasports (1%), and others (1%). Further analysis by sexwas performed. Results: During lockdown, athletes practiced body-weight-based exercises routinely (67% females and 64% males), ranging from 50% (precision) to 78% (parasports). More sport-specific technical skills were performed in combat, parasports, and precision (similar to 50%) than other sports (similar to 35%). Most athletes (range: 50% [parasports] to 75% [endurance]) performed cardiorespiratory training (trivial sex differences). Compared to prelockdown, perceived training intensity was reduced by 29% to 41%, depending on sport (largest decline: similar to 38% in team sports, unaffected by sex). Some athletes (range: 7%-49%) maintained their training intensity for strength, endurance, speed, plyometric, change-of-direction, and technical training. Athletes who previously trained &gt;= 5 sessions per week reduced their volume (range: 18%-28%) during lockdown. The proportion of athletes (81%) training &gt;= 60 min/session reduced by 31% to 43% during lockdown. Males and females had comparable moderate levels of training knowledge (56% vs 58%) and beliefs/attitudes (54% vs 56%). Conclusions: Changes in athletes' training practices were sport-specific, with few or no sex differences. Team-based sports were generally more susceptible to changes than individual sports. Policy makers should provide athletes with specific training arrangements and educational resources to facilitate remote and/or home-based training during lockdown-type events.</t>
  </si>
  <si>
    <t>Bok, Daniel/AAZ-8091-2020; /KFS-3552-2024; Zmijewski, Piotr/AAR-4689-2020; DRISS, Tarak/AGC-4395-2022; Boukhris, Omar/HTS-4735-2023; Gregov, Cvita/HPI-0890-2023; Romdhani, Mohamed/ABH-7773-2020; Dello Iacono, Antonio/AAW-7382-2020; Millet, Guillaume/AAO-6520-2020; Hebert-Losier, Kim/AGW-4761-2022; Farooq, Abdulaziz/D-8061-2015; Padulo, Johnny/AAK-2207-2020; Krug, isabel/E-5339-2011; kamoun, karim/HNP-6476-2023; brito, joao/IQU-5611-2023; Hanzlikova, Ivana/JAN-7017-2023; Batuev, Mikhail/AAJ-5137-2020; Haugen, Thomas/AAQ-5280-2021; Verhagen, Evert/A-1502-2013; Whiteley, Rod/AAU-7348-2020; Kim, Dae/AAJ-7518-2021; Tabben, Montassar/B-1886-2018; WASHIF, Jad/AAH-4912-2021; Gastin, Paul/D-4220-2011; Arifi, Fitim/L-4559-2018; Pérez-Gómez, Jorge/AAS-9254-2020; GALY, Olivier/D-5345-2015; Kok, Lian/ABA-3276-2020; Mataruna-Dos-Santos, Leonardo/N-4919-2018; Chtourou, Hamdi/AEZ-6215-2022; Herrera-Valenzuela, Tomas/L-1819-2019; Rahayu, Tandiyo/AAA-2107-2020; Pillay, Lervasen/GPT-2751-2022; MoussaChamari, Imen/KFQ-5069-2024; HAMMOUDA, Omar/ADW-4182-2022; CHAMARI, Karim/AAJ-7938-2021; Boullosa, Daniel/U-3886-2019; Aziz, Abdul Rashid/H-7773-2019; Musa, Haruna/AHE-5348-2022; Ben Saad, Helmi/C-8263-2018; Cheung, Stephen/HGU-6191-2022; CORTIS, Cristina/AAB-9960-2020; DELLAL, Alexandre/AAY-9631-2020; Monoem, Haddad/D-4999-2014; Hettinga, Florentina/HOF-9566-2023; Aloui, Asma/J-1300-2019; Nikolaidis, Pantelis/K-8664-2017; Hassanmirzaei, Bahar/U-5064-2019; Franchini, Emerson/B-9119-2012; Achraf, Ammar/B-8455-2018; Khaled, Trabelsi/ABG-2717-2020; Debevec, Tadej/D-7917-2013; James, Carl/AAU-4540-2020; Brito, Joao/D-2104-2014</t>
  </si>
  <si>
    <t>Arifi, Fitim/0000-0002-9710-314X; Hettinga, Florentina/0000-0002-7027-8126; Cosma, Germina/0000-0002-4636-8041; Boullosa, Daniel/0000-0002-8477-127X; Ihalainen, Johanna Kaarina/0000-0001-9428-4689; Nikolaidis, Pantelis/0000-0001-8030-7122; girard, olivier/0000-0002-4797-182X; Pyne, David/0000-0003-1555-5079; Zmijewski, Piotr/0000-0002-5570-9573; Hassanmirzaei, Bahar/0000-0003-2961-7955; Musa, Danladi/0000-0001-6310-1149; Franchini, Emerson/0000-0002-0769-8398; Batuev, Mikhail/0000-0001-9618-1907; Nguyen, Thuan/0000-0002-3152-9148; Achraf, Ammar/0000-0003-0347-8053; Matsunaga, Ryo/0000-0003-2815-889X; Pillay, Lervasen/0000-0002-8353-3376; Seiler, Stephen/0000-0001-8024-5232; DELLAL, Alexandre/0000-0002-1831-7626; Khaled, Trabelsi/0000-0003-2623-9557; Dello Iacono, Antonio/0000-0003-0204-0957; DRISS, Tarak/0000-0001-6109-7393; Debevec, Tadej/0000-0001-7053-3978; James, Carl/0000-0003-2099-5343; Haugen, Thomas/0000-0001-5929-0389; Brito, Joao/0000-0003-1301-1078; ben saad, helmi/0000-0002-7477-2965; AL-MOHANNADI, ABDULLA SAEED/0000-0002-8342-8576</t>
  </si>
  <si>
    <t>1555-0265</t>
  </si>
  <si>
    <t>1555-0273</t>
  </si>
  <si>
    <t>10.1123/ijspp.2021-0543</t>
  </si>
  <si>
    <t>WOS:000855026400011</t>
  </si>
  <si>
    <t>Washif, JA; Farooq, A; Krug, I; Pyne, DB; Verhagen, E; Taylor, L; Wong, D; Mujika, I; Cortis, C; Haddad, M; Ahmadian, O; Al Jufaili, M; Al-Horani, RA; Al-Mohannadi, AS; Aloui, A; Ammar, A; Arifi, F; Aziz, AR; Batuev, M; Beaven, CM; Beneke, R; Bici, A; Bishnoi, P; Bogwasi, L; Bok, D; Boukhris, O; Boullosa, D; Bragazzi, N; Brito, J; Cartagena, RPP; Chaouachi, A; Cheung, SS; Chtourou, H; Cosma, G; Debevec, T; DeLang, MD; Dellal, A; Dönmez, G; Driss, T; Duque, JDP; Eirale, C; Elloumi, M; Foster, C; Franchini, E; Fusco, A; Galy, O; Gastin, PB; Gill, N; Girard, O; Gregov, C; Halson, S; Hammouda, O; Hanzlíková, I; Hassanmirzaei, B; Haugen, T; Hébert-Losier, K; Helú, HM; Herrera-Valenzuela, T; Hettinga, FJ; Holtzhausen, L; Hue, O; Dello Iacono, A; Ihalainen, JK; James, C; van Rensburg, DCJ; Joseph, S; Kamoun, K; Khaled, M; Khalladi, K; Kim, KJ; Kok, LY; MacMillan, L; Mataruna-Dos-Santos, LJ; Matsunaga, R; Memishi, S; Millet, GP; Moussa-Chamari, I; Musa, DI; Nguyen, HMT; Nikolaidis, PT; Owen, A; Padulo, J; Pagaduan, JC; Perera, NP; Pérez-Gómez, J; Pillay, L; Popa, A; Pudasaini, A; Rabbani, A; Rahayu, T; Romdhani, M; Salamh, P; Sarkar, AS; Schillinger, A; Seiler, S; Setyawati, H; Shrestha, N; Suraya, F; Tabben, M; Trabelsi, K; Urhausen, A; Valtonen, M; Weber, J; Whiteley, R; Zrane, A; Zerguini, Y; Zmijewski, P; Sandbakk, O; Ben Saad, H; Chamari, K</t>
  </si>
  <si>
    <t>Washif, Jad Adrian; Farooq, Abdulaziz; Krug, Isabel; Pyne, David B.; Verhagen, Evert; Taylor, Lee; Wong, Del P.; Mujika, Inigo; Cortis, Cristina; Haddad, Monoem; Ahmadian, Omid; Al Jufaili, Mahmood; Al-Horani, Ramzi A.; Al-Mohannadi, Abdulla Saeed; Aloui, Asma; Ammar, Achraf; Arifi, Fitim; Aziz, Abdul Rashid; Batuev, Mikhail; Beaven, Christopher Martyn; Beneke, Ralph; Bici, Arben; Bishnoi, Pallawi; Bogwasi, Lone; Bok, Daniel; Boukhris, Omar; Boullosa, Daniel; Bragazzi, Nicola; Brito, Joao; Palacios Cartagena, Roxana Paola; Chaouachi, Anis; Cheung, Stephen S.; Chtourou, Hamdi; Cosma, Germina; Debevec, Tadej; DeLang, Matthew D.; Dellal, Alexandre; Donmez, Gurhan; Driss, Tarak; Duque, Juan David Pena; Eirale, Cristiano; Elloumi, Mohamed; Foster, Carl; Franchini, Emerson; Fusco, Andrea; Galy, Olivier; Gastin, Paul B.; Gill, Nicholas; Girard, Olivier; Gregov, Cvita; Halson, Shona; Hammouda, Omar; Hanzlikova, Ivana; Hassanmirzaei, Bahar; Haugen, Thomas; Hebert-Losier, Kim; Munoz Helu, Hussein; Herrera-Valenzuela, Tomas; Hettinga, Florentina J.; Holtzhausen, Louis; Hue, Olivier; Dello Iacono, Antonio; Ihalainen, Johanna K.; James, Carl; van Rensburg, Dina C. Janse; Joseph, Saju; Kamoun, Karim; Khaled, Mehdi; Khalladi, Karim; Kim, Kwang Joon; Kok, Lian-Yee; MacMillan, Lewis; Mataruna-Dos-Santos, Leonardo Jose; Matsunaga, Ryo; Memishi, Shpresa; Millet, Gregoire P.; Moussa-Chamari, Imen; Musa, Danladi Ibrahim; Hoang Minh Thuan Nguyen; Nikolaidis, Pantelis T.; Owen, Adam; Padulo, Johnny; Pagaduan, Jeffrey Cayaban; Perera, Nirmala Panagodage; Perez-Gomez, Jorge; Pillay, Lervasen; Popa, Arporn; Pudasaini, Avishkar; Rabbani, Alireza; Rahayu, Tandiyo; Romdhani, Mohamed; Salamh, Paul; Sarkar, Abu-Sufian; Schillinger, Andy; Seiler, Stephen; Setyawati, Heny; Shrestha, Navina; Suraya, Fatona; Tabben, Montassar; Trabelsi, Khaled; Urhausen, Axel; Valtonen, Maarit; Weber, Johanna; Whiteley, Rodney; Zrane, Adel; Zerguini, Yacine; Zmijewski, Piotr; Sandbakk, Oyvind; Ben Saad, Helmi; Chamari, Karim</t>
  </si>
  <si>
    <t>Training During the COVID-19 Lockdown: Knowledge, Beliefs, and Practices of 12,526 Athletes from 142 Countries and Six Continents</t>
  </si>
  <si>
    <t>Objective Our objective was to explore the training-related knowledge, beliefs, and practices of athletes and the influence of lockdowns in response to the coronavirus disease 2019 (COVID-19) pandemic caused by severe acute respiratory syndrome coronavirus 2 (SARS-CoV-2). Methods Athletes (n = 12,526, comprising 13% world class, 21% international, 36% national, 24% state, and 6% recreational) completed an online survey that was available from 17 May to 5 July 2020 and explored their training behaviors (training knowledge, beliefs/attitudes, and practices), including specific questions on their training intensity, frequency, and session duration before and during lockdown (March-June 2020). Results Overall, 85% of athletes wanted to maintain training, and 79% disagreed with the statement that it is okay to not train during lockdown, with a greater prevalence for both in higher-level athletes. In total, 60% of athletes considered coaching by correspondence (remote coaching) to be sufficient (highest amongst world-class athletes). During lockdown, &lt; 40% were able to maintain sport-specific training (e.g., long endurance [39%], interval training [35%], weightlifting [33%], plyometric exercise [30%]) at pre-lockdown levels (higher among world-class, international, and national athletes), with most (83%) training for general fitness and health maintenance during lockdown. Athletes trained alone (80%) and focused on bodyweight (65%) and cardiovascular (59%) exercise/training during lockdown. Compared with before lockdown, most athletes reported reduced training frequency (from between five and seven sessions per week to four or fewer), shorter training sessions (from &gt;= 60 to &lt; 60 min), and lower sport-specific intensity (similar to 38% reduction), irrespective of athlete classification. Conclusions COVID-19-related lockdowns saw marked reductions in athletic training specificity, intensity, frequency, and duration, with notable within-sample differences (by athlete classification). Higher classification athletes had the strongest desire to maintain training and the greatest opposition to not training during lockdowns. These higher classification athletes retained training specificity to a greater degree than others, probably because of preferential access to limited training resources. More higher classification athletes considered coaching by correspondence as sufficient than did lower classification athletes. These lockdown-mediated changes in training were not conducive to maintenance or progression of athletes' physical capacities and were also likely detrimental to athletes' mental health. These data can be used by policy makers, athletes, and their multidisciplinary teams to modulate their practice, with a degree of individualization, in the current and continued pandemic-related scenario. Furthermore, the data may drive training-related educational resources for athletes and their multidisciplinary teams. Such upskilling would provide athletes with evidence to inform their training modifications in response to germane situations (e.g., COVID related, injury, and illness).</t>
  </si>
  <si>
    <t>Cheung, Stephen/HGU-6191-2022; Gregov, Cvita/HPI-0890-2023; Gastin, Paul/D-4220-2011; MoussaChamari, Imen/KFQ-5069-2024; Tabben, Montassar/B-1886-2018; CHAMARI, Karim/AAJ-7938-2021; Kim, Dae/AAJ-7518-2021; Rahayu, Tandiyo/AAA-2107-2020; GALY, Olivier/D-5345-2015; DELLAL, Alexandre/AAY-9631-2020; Herrera-Valenzuela, Tomas/L-1819-2019; Zmijewski, Piotr/AAR-4689-2020; CORTIS, Cristina/AAB-9960-2020; Kok, Lian/ABA-3276-2020; Batuev, Mikhail/AAJ-5137-2020; brito, joao/IQU-5611-2023; DRISS, Tarak/AGC-4395-2022; Pillay, Lervasen/GPT-2751-2022; Pérez-Gómez, Jorge/AAS-9254-2020; Boukhris, Omar/HTS-4735-2023; Whiteley, Rod/AAU-7348-2020; Hebert-Losier, Kim/AGW-4761-2022; Bok, Daniel/AAZ-8091-2020; Ben Saad, Helmi/C-8263-2018; Aloui, Asma/J-1300-2019; Millet, Guillaume/AAO-6520-2020; Salamh, Paul/I-8995-2019; Arifi, Fitim/L-4559-2018; Krug, isabel/E-5339-2011; Dello Iacono, Antonio/AAW-7382-2020; Romdhani, Mohamed/ABH-7773-2020; Haugen, Thomas/AAQ-5280-2021; Musa, Haruna/AHE-5348-2022; Hanzlikova, Ivana/JAN-7017-2023; Boullosa, Daniel/U-3886-2019; Aziz, Abdul Rashid/H-7773-2019; , Del P. Wong/B-2955-2008; kamoun, karim/HNP-6476-2023; /KFS-3552-2024; Padulo, Johnny/AAK-2207-2020; Hettinga, Florentina/HOF-9566-2023; Chtourou, Hamdi/AEZ-6215-2022; Khaled, Trabelsi/ABG-2717-2020; Haddad, Monoem/D-4999-2014; Hassanmirzaei, Bahar/U-5064-2019; Verhagen, Evert/A-1502-2013; Nikolaidis, Pantelis/K-8664-2017; Debevec, Tadej/D-7917-2013; Achraf, Ammar/B-8455-2018; Farooq, Abdulaziz/D-8061-2015; Washif, Jad Adrian/AAH-4912-2021; James, Carl/AAU-4540-2020; Mataruna-Dos-Santos, Leonardo Jose/N-4919-2018; Franchini, Emerson/B-9119-2012; HAMMOUDA, Omar/ADW-4182-2022</t>
  </si>
  <si>
    <t>Khaled, Trabelsi/0000-0003-2623-9557; Romdhani, Mohamed/0000-0002-1715-1863; Al-horani, Ramzi/0000-0002-6915-816X; Dello Iacono, Antonio/0000-0003-0204-0957; Boullosa, Daniel/0000-0002-8477-127X; Rahayu, Tandiyo/0000-0002-8690-6377; Cosma, Germina/0000-0002-4636-8041; Matsunaga, Ryo/0000-0003-2815-889X; Haddad, Monoem/0000-0001-5989-1627; Hassanmirzaei, Bahar/0000-0003-2961-7955; DRISS, Tarak/0000-0001-6109-7393; DELLAL, Alexandre/0000-0002-1831-7626; Wong, Del P./0000-0002-8481-3417; Batuev, Mikhail/0000-0001-9618-1907; Moussa-Chamari, Imen/0000-0002-7849-9687; Arifi, Fitim/0000-0002-9710-314X; Verhagen, Evert/0000-0001-9227-8234; Nikolaidis, Pantelis/0000-0001-8030-7122; Salamh, Paul/0000-0001-8824-6918; girard, olivier/0000-0002-4797-182X; Millet, Gregoire/0000-0001-8081-4423; Nguyen, Thuan/0000-0002-3152-9148; Debevec, Tadej/0000-0001-7053-3978; Zmijewski, Piotr/0000-0002-5570-9573; Pyne, David/0000-0003-1555-5079; Achraf, Ammar/0000-0003-0347-8053; ben saad, helmi/0000-0002-7477-2965; Gregov, Cvita/0000-0001-8795-8737; Taylor, Lee/0000-0002-8483-7187; Farooq, Abdulaziz/0000-0002-9162-4948; AL-MOHANNADI, ABDULLA SAEED/0000-0002-8342-8576; Haugen, Thomas/0000-0001-5929-0389; Pillay, Lervasen/0000-0002-8353-3376; Washif, Jad Adrian/0000-0001-8543-4489; James, Carl/0000-0003-2099-5343; Mataruna-Dos-Santos, Leonardo Jose/0000-0001-9456-5974; Franchini, Emerson/0000-0002-0769-8398; HAMMOUDA, Omar/0000-0002-5002-687X; CORTIS, Cristina/0000-0001-9643-5532; Hettinga, Florentina/0000-0002-7027-8126; Setyawati, Heny/0000-0001-9824-8626; Musa, Danladi/0000-0001-6310-1149</t>
  </si>
  <si>
    <t>10.1007/s40279-021-01573-z</t>
  </si>
  <si>
    <t>OCT 2021</t>
  </si>
  <si>
    <t>WOS:000710596100002</t>
  </si>
  <si>
    <t>Silverwood, RJ; Rutter, CE; Mitchell, EA; Asher, MI; Garcia-Marcos, L; Strachan, DP; Pearce, N; Aït-Khaled, N; Anderson, HR; Asher, MI; Beasley, R; Björksten, B; Brunekreef, B; Crane, J; Ellwood, P; Flohr, C; Foliaki, S; Forastiere, F; García-Marcos, L; Keil, U; Lai, CKW; Mallol, J; Montefort, S; Odhiambo, J; Pearce, N; Robertson, CF; Strachan, D; von Mutius, E; Weiland, SK; Weinmayr, G; Williams, HC; Wong, G; Clayton, TO; Mitchell, EA; Stewart, AW; Baena-Cagnani, CE; Gómez, M; Howitt, ME; Weyler, J; Pinto-Vargas, R; da Cunha, AJ; Souza, LD; Kuaban, C; Ferguson, A; Rennie, D; Standring, P; Aguilar, P; Amarales, L; Benavides, LA; Contreras, A; Chen, YZ; Kunii, O; Pan, L; Zhong, NS; Aristizábal, G; Cepeda, AM; Ordoñez, GA; Bustos, C; Riikjärv, MA; Melaku, K; Sa'aga-Banuve, R; Pekkanen, J; Hypolite, IE; Novák, Z; Zsigmond, G; Awasthi, S; Bhave, S; Hanumante, NM; Jain, KC; Joshi, MK; Khatav, VA; Mantri, SN; Pherwani, AV; Rego, S; Sabir, M; Salvi, S; Setty, G; Sharma, SK; Singh, V; Sukumaran, T; Babu, PSS; Kartasasmita, CB; Konthen, P; Suprihati, W; Masjedi, MR; Steriu, A; Koffi, BN; Odajima, H; Al-Momen, JA; Imanalieva, C; Kudzyte, J; Quah, BS; Teh, KH; Montefort, S; Baeza-Bacab, M; Barragán-Meijueiro, M; Del-Río-Navarro, BE; García-Almaráz, R; González-Díaz, SN; Linares-Zapién, FJ; Merida-Palacio, JV; Ramírez-Chanona, N; Romero-Tapia, S; Romieu, I; Bouayad, Z; Asher, MI; MacKay, R; Moyes, C; Pattemore, P; Pearce, N; Onadeko, BO; Cukier, G; Chiarella, P; Cua-Lim, F; Brêborowicz, A; Lis, G; Câmara, R; Chiera, ML; dos Santos, JML; Nunes, C; Pinto, JR; Vlaski, E; Fuimaono, P; Pisi, V; Goh, DY; Zar, HJ; Lee, HB; Blanco-Quirós, A; Busquets, RM; Carvajal-Urueña, I; García-Hernández, G; García-Marcos, L; Díaz, CG; López-Silvarrey, A; Morales-Suárez-Varela, M; Pérez-Yarza, EG; Musa, OA; Al-Rawas, O; Mohammad, S; Mohammad, Y; Tabbah, K; Huang, JL; Kao, CC; Trakultivakorn, M; Vichyanond, P; Iosefa, T; Burr, M; Strachan, D; Holgado, D; Lapides, MC; Windom, HH; Aldrey, O; Solé, D; Sears, M; Aguirre, V; Barba, S; Shah, J; Baratawidjaja, K; Nishima, S; de Bruyne, J; Tuuau-Potoi, N; Lai, CK; Lee, BW; El Sony, A; Anderson, R</t>
  </si>
  <si>
    <t>Silverwood, Richard J.; Rutter, Charlotte E.; Mitchell, Edwin A.; Asher, M. Innes; Garcia-Marcos, Luis; Strachan, David P.; Pearce, Neil; Ait-Khaled, N.; Anderson, H. R.; Asher, M. I.; Beasley, R.; Bjorksten, B.; Brunekreef, B.; Crane, J.; Ellwood, P.; Flohr, C.; Foliaki, S.; Forastiere, F.; Garcia-Marcos, L.; Keil, U.; Lai, C. K. W.; Mallol, J.; Montefort, S.; Odhiambo, J.; Pearce, N.; Robertson, C. F.; Strachan, D.; von Mutius, E.; Weiland, S. K.; Weinmayr, G.; Williams, H. C.; Wong, G.; Clayton, T. O.; Mitchell, E. A.; Stewart, A. W.; Baena-Cagnani, C. E.; Gomez, M.; Howitt, M. E.; Weyler, J.; Pinto-Vargas, R.; da Cunha, A. J.; de Freitas Souza, L.; Kuaban, C.; Ferguson, A.; Rennie, D.; Standring, P.; Aguilar, P.; Amarales, L.; Benavides, L. A.; Contreras, A.; Chen, Y-Z; Kunii, O.; Pan, Li; Zhong, N. S.; Aristizabal, G.; Cepeda, A. M.; Ordonez, G. A.; Bustos, C.; Riikjarv, M-A; Melaku, K.; Sa'aga-Banuve, R.; Pekkanen, J.; Hypolite, I. E.; Novak, Z.; Zsigmond, G.; Awasthi, S.; Bhave, S.; Hanumante, N. M.; Jain, K. C.; Joshi, M. K.; Khatav, V. A.; Mantri, S. N.; Pherwani, A. V.; Rego, S.; Sabir, M.; Salvi, S.; Setty, G.; Sharma, S. K.; Singh, V.; Sukumaran, T.; Babu, P. S. Suresh; Kartasasmita, C. B.; Konthen, P.; Suprihati, W.; Masjedi, M. R.; Steriu, A.; Koffi, B. N.; Odajima, H.; al-Momen, J. A.; Imanalieva, C.; Kudzyte, J.; Quah, B. S.; Teh, K. H.; Montefort, S.; Baeza-Bacab, M.; Barragan-Meijueiro, M.; Del-Rio-Navarro, B. E.; Garcia-Almaraz, R.; Gonzalez-Diaz, S. N.; Linares-Zapien, F. J.; Merida-Palacio, J. V.; Ramirez-Chanona, N.; Romero-Tapia, S.; Romieu, I.; Bouayad, Z.; Asher, M. I.; MacKay, R.; Moyes, C.; Pattemore, P.; Pearce, N.; Onadeko, B. O.; Cukier, G.; Chiarella, P.; Cua-Lim, F.; Breborowicz, A.; Lis, G.; Camara, R.; Chiera, M. L.; Lopes dos Santos, J. M.; Nunes, C.; Pinto, J. Rosado; Vlaski, E.; Fuimaono, P.; Pisi, V.; Goh, D. Y.; Zar, H. J.; Lee, H. B.; Blanco-Quiros, A.; Busquets, R. M.; Carvajal-Uruena, I.; Garcia-Hernandez, G.; Garcia-Marcos, L.; Gonzalez Diaz, C.; Lopez-Silvarrey, A.; Morales-Suarez-Varela, M.; Perez-Yarza, E. G.; Musa, O. A.; Al-Rawas, O.; Mohammad, S.; Mohammad, Y.; Tabbah, K.; Huang, J. L.; Kao, C. C.; Trakultivakorn, M.; Vichyanond, P.; Iosefa, T.; Burr, M.; Strachan, D.; Holgado, D.; Lapides, M. C.; Windom, H. H.; Aldrey, O.; Sole, D.; Sears, M.; Aguirre, V.; Barba, S.; Shah, J.; Baratawidjaja, K.; Nishima, S.; de Bruyne, J.; Tuuau-Potoi, N.; Lai, C. K.; Lee, B. W.; El Sony, A.; Anderson, R.</t>
  </si>
  <si>
    <t>ISAAC Phase Three Study Grp; ISAAC Int Data Ctr; ISAAC Principal Investigators; ISAAC Natl Coordinators Not</t>
  </si>
  <si>
    <t>Are environmental risk factors for current wheeze in the International Study of Asthma and Allergies in Childhood (ISAAC) phase three due to reverse causation?</t>
  </si>
  <si>
    <t>CLINICAL AND EXPERIMENTAL ALLERGY</t>
  </si>
  <si>
    <t>Background: Phase Three of the International Study of Asthma and Allergies in Childhood (ISAAC) measured the global prevalence of symptoms of asthma in children. We undertook comprehensive analyses addressing risk factors for asthma symptoms in combination, at both the individual and the school level, to explore the potential role of reverse causation due to selective avoidance or confounding by indication. Objective: To explore the role of reverse causation in risk factors of asthma symptoms. Methods: We compared two sets of multilevel logistic regression analyses, using (a) individual level exposure data and (b) school level average exposure (ie prevalence), in two different age groups. In individual level analyses, reverse causation is a possible concern if individual level exposure statuses were changed as a result of asthma symptoms or diagnosis. School level analyses may suffer from ecologic confounding, but reverse causation is less of a concern because individual changes in exposure status as a result of asthma symptoms would only have a small effect on overall school exposure levels. Results: There were 131 924 children aged 6-7 years (2428 schools, 25 countries) with complete exposure, outcome and confounder data. The strongest associations in individual level analyses (fully adjusted) were for current paracetamol use (odds ratio = 2.06; 95% confidence interval 1.97-2.16), early life antibiotic use (1.65; 1.58-1.73) and open fire cooking (1.44; 1.26-1.65). In school level analyses, these risk factors again showed increased risks. There were 238 586 adolescents aged 13-14 years (2072 schools, 42 countries) with complete exposure, outcome and confounder data. The strongest associations in individual level analyses (fully adjusted) were for current paracetamol use (1.80; 1.75-1.86), cooking on an open fire (1.32; 1.22-1.43) and maternal tobacco use (1.23; 1.18-1.27). In school level analyses, these risk factors again showed increased risks. Conclusions &amp; clinical relevance: These analyses strengthen the potentially causal interpretation of previously reported individual level findings, by providing evidence against reverse causation.</t>
  </si>
  <si>
    <t>Suarez-Varela, Maria/O-5341-2018; BARBA, SALVATORE/M-4652-2018; brunekreef, bert/ACN-0336-2022; Asher, Innes/O-2604-2016; Mohammad, Yousser/LTD-1984-2024; Zar, Heather/GZL-5350-2022; Câmara, Rita/AGG-9692-2022; Cecchi, Lorenzo/HPF-1970-2023; Flohr, Carsten/LTE-1355-2024; Aristizabal-H, Gustavo/ABD-8912-2020; Solé, Dirceu/JAO-0340-2023; Kavousi, Maryam/F-1174-2018; Puttamaligaiah, Subhas Babu/GQB-2427-2022; Huang, Jerry/HKV-5476-2023; Benavides, Marlene/C-4814-2019; Weyler, Joost/O-8594-2016; Beasley, Richard/AAH-3908-2019; Nunes, Carlos/KAL-5119-2024; Goh, Daniel/D-8573-2015; Sharma, Sanjeev/AAA-2398-2021; Joshi, Manoj/GVU-3561-2022; Clayton, Tadd/B-7914-2009; Silverwood, Richard/A-1249-2014; Garcia-Almaraz, Roberto/G-8506-2018; Gonzalez-Diaz, Sandra Nora/H-3271-2018; Steriu, Andreea/AAQ-5127-2021; Wong, Gary/AAY-9207-2020</t>
  </si>
  <si>
    <t>Huang, Jing-Long/0000-0002-3530-7753; Ferguson, Alexander C./0000-0002-3143-5619; Silverwood, Richard/0000-0002-2744-1194; Amarales, Lidia/0009-0007-0832-7867; Garcia-Marcos, Luis/0000-0002-0925-3851; Mallol, Javier/0000-0003-2528-8672; mohammad, yousser/0009-0003-0403-2747; Rutter, Charlotte/0000-0002-9823-7932; Huang, Jing-Long/0000-0001-9280-920X; Garcia-Almaraz, Roberto/0000-0001-5828-1771; Gonzalez-Diaz, Sandra Nora/0000-0002-3612-0042; Steriu, Andreea/0000-0002-2998-8644; Pearce, Neil/0000-0002-9938-7852; Wong, Gary/0000-0001-5939-812X; Pekkanen, Juha/0000-0002-1083-8777; Mitchell, Edwin/0000-0001-6187-7648</t>
  </si>
  <si>
    <t>0954-7894</t>
  </si>
  <si>
    <t>1365-2222</t>
  </si>
  <si>
    <t>10.1111/cea.13325</t>
  </si>
  <si>
    <t>WOS:000463761700006</t>
  </si>
  <si>
    <t>Washif, JA; Farooq, A; Krug, I; Pyne, DB; Verhagen, E; Taylor, L; Wong, DP; Mujika, I; Cortis, C; Haddad, M; Ahmadian, O; Al Jufaili, M; Al-Horani, RA; Al-Mohannadi, AS; Aloui, A; Ammar, A; Arifi, F; Aziz, AR; Batuev, M; Beaven, CM; Beneke, R; Bici, A; Bishnoi, P; Bogwasi, L; Bok, D; Boukhris, O; Boullosa, D; Bragazzi, N; Brito, J; Cartagena, RPP; Chaouachi, A; Cheung, SS; Chtourou, H; Cosma, G; Debevec, T; DeLang, MD; Dellal, A; Dönmez, G; Driss, T; Duque, JDP; Eirale, C; Elloumi, M; Foster, C; Franchini, E; Fusco, A; Galy, O; Gastin, PB; Gill, N; Girard, O; Gregov, C; Halson, S; Hammouda, O; Hanzlíkova, I; Hassanmirzaei, B; Haugen, T; Hébert-Losier, K; Helú, HM; Herrera-Valenzuela, T; Hettinga, FJ; Holtzhausen, L; Hue, O; Dello Iacono, A; Ihalainen, JK; James, C; van Rensburg, DJC; Joseph, S; Kamoun, K; Khaled, M; Khalladi, K; Kim, KJ; Kok, LY; MacMillan, L; Mataruna-Dos-Santos, LJ; Matsunaga, R; Memishi, S; Millet, GP; Moussa-Chamari, I; Musa, DI; Nguyen, HMT; Nikolaidis, PT; Owen, A; Padulo, J; Pagaduan, JC; Perera, NP; Pérez-Gómez, J; Pillay, L; Popa, A; Pudasaini, A; Rabbani, A; Rahayu, T; Romdhani, M; Salamh, P; Sarkar, AS; Schillinger, A; Seiler, S; Setyawati, H; Shrestha, N; Suraya, F; Tabben, M; Trabelsi, K; Urhausen, A; Valtonen, M; Weber, J; Whiteley, R; Zrane, A; Zerguini, Y; Zmijewski, P; Sandbakk, O; Ben Saad, H; Chamari, K</t>
  </si>
  <si>
    <t>Washif, Jad Adrian; Farooq, Abdulaziz; Krug, Isabel; Pyne, David B.; Verhagen, Evert; Taylor, Lee; Wong, Del P.; Mujika, Inigo; Cortis, Cristina; Haddad, Monoem; Ahmadian, Omid; Al Jufaili, Mahmood; Al-Horani, Ramzi A.; Al-Mohannadi, Abdulla Saeed; Aloui, Asma; Ammar, Achraf; Arifi, Fitim; Aziz, Abdul Rashid; Batuev, Mikhail; Beaven, Christopher Martyn; Beneke, Ralph; Bici, Arben; Bishnoi, Pallawi; Bogwasi, Lone; Bok, Daniel; Boukhris, Omar; Boullosa, Daniel; Bragazzi, Nicola; Brito, Joao; Cartagena, Roxana Paola Palacios; Chaouachi, Anis; Cheung, Stephen S.; Chtourou, Hamdi; Cosma, Germina; Debevec, Tadej; DeLang, Matthew D.; Dellal, Alexandre; Donmez, Gurhan; Driss, Tarak; Pena Duque, Juan David; Eirale, Cristiano; Elloumi, Mohamed; Foster, Carl; Franchini, Emerson; Fusco, Andrea; Galy, Olivier; Gastin, Paul B.; Gill, Nicholas; Girard, Olivier; Gregov, Cvita; Halson, Shona; Hammouda, Omar; Hanzlikova, Ivana; Hassanmirzaei, Bahar; Haugen, Thomas; Hebert-Losier, Kim; Munoz Helu, Hussein; Herrera-Valenzuela, Tomas; Hettinga, Florentina J.; Holtzhausen, Louis; Hue, Olivier; Dello Iacono, Antonio; Ihalainen, Johanna K.; James, Carl; Janse van Rensburg, Dina C.; Joseph, Saju; Kamoun, Karim; Khaled, Mehdi; Khalladi, Karim; Kim, Kwang Joon; Kok, Lian-Yee; MacMillan, Lewis; Mataruna-Dos-Santos, Leonardo Jose; Matsunaga, Ryo; Memishi, Shpresa; Millet, Gregoire P.; Moussa-Chamari, Imen; Musa, Danladi Ibrahim; Nguyen, Hoang Minh Thuan; Nikolaidis, Pantelis T.; Owen, Adam; Padulo, Johnny; Pagaduan, Jeffrey Cayaban; Perera, Nirmala Panagodage; Perez-Gomez, Jorge; Pillay, Lervasen; Popa, Arporn; Pudasaini, Avishkar; Rabbani, Alireza; Rahayu, Tandiyo; Romdhani, Mohamed; Salamh, Paul; Sarkar, Abu-Sufian; Schillinger, Andy; Seiler, Stephen; Setyawati, Heny; Shrestha, Navina; Suraya, Fatona; Tabben, Montassar; Trabelsi, Khaled; Urhausen, Axel; Valtonen, Maarit; Weber, Johanna; Whiteley, Rodney; Zrane, Adel; Zerguini, Yacine; Zmijewski, Piotr; Sandbakk, Oyvind; Ben Saad, Helmi; Chamari, Karim</t>
  </si>
  <si>
    <t>Training During the COVID-19 Lockdown: Knowledge, Beliefs, and Practices of 12,526 Athletes from 142 Countries and Six Continents (vol 52, pg 933, 2021)</t>
  </si>
  <si>
    <t>Dello Iacono, Antonio/AAW-7382-2020; Padulo, Johnny/AAK-2207-2020; CHAMARI, Karim/AAJ-7938-2021; Millet, Guillaume/AAO-6520-2020; DRISS, Tarak/AGC-4395-2022; Gastin, Paul/D-4220-2011; Hanzlikova, Ivana/JAN-7017-2023; CORTIS, Cristina/AAB-9960-2020; GALY, Olivier/D-5345-2015; Musa, Haruna/AHE-5348-2022; Gregov, Cvita/HPI-0890-2023; Bok, Daniel/AAZ-8091-2020; Haugen, Thomas/AAQ-5280-2021; Brito, Joao/D-2104-2014; Ben Saad, Helmi/C-8263-2018; Tabben, Montassar/B-1886-2018; Krug, isabel/E-5339-2011; Batuev, Mikhail/AAJ-5137-2020; Romdhani, Mohamed/ABH-7773-2020; Hebert-Losier, Kim/AGW-4761-2022; Zmijewski, Piotr/AAR-4689-2020; Kok, Lian/ABA-3276-2020; Cheung, Stephen/HGU-6191-2022; Pillay, Lervasen/GPT-2751-2022; HAMMOUDA, Omar/ADW-4182-2022; Aloui, Asma/J-1300-2019; Chtourou, Hamdi/AEZ-6215-2022; WASHIF, Jad/AAH-4912-2021; Aziz, Abdul Rashid/H-7773-2019; Arifi, Fitim/L-4559-2018; Mataruna-Dos-Santos, Leonardo/N-4919-2018; MoussaChamari, Imen/KFQ-5069-2024; DELLAL, Alexandre/AAY-9631-2020; Pérez-Gómez, Jorge/AAS-9254-2020; Kim, Dae/AAJ-7518-2021; Herrera-Valenzuela, Tomas/L-1819-2019; kamoun, karim/HNP-6476-2023; Whiteley, Rod/AAU-7348-2020; Boukhris, Omar/HTS-4735-2023; , Del P. Wong/B-2955-2008; Rahayu, Tandiyo/AAA-2107-2020; /KFS-3552-2024; Boullosa, Daniel/U-3886-2019; Hettinga, Florentina/HOF-9566-2023; Haddad, Monoem/D-4999-2014; Achraf, Ammar/B-8455-2018; Debevec, Tadej/D-7917-2013; James, Carl/AAU-4540-2020; Verhagen, Evert/A-1502-2013; Farooq, Abdulaziz/D-8061-2015; Khaled, Trabelsi/ABG-2717-2020; Hassanmirzaei, Bahar/U-5064-2019; Nikolaidis, Pantelis/K-8664-2017</t>
  </si>
  <si>
    <t>DELLAL, Alexandre/0000-0002-1831-7626; Haddad, Monoem/0000-0001-5989-1627; Hettinga, Florentina/0000-0002-7027-8126; Taylor, Lee/0000-0002-8483-7187; Boullosa, Daniel/0000-0002-8477-127X; Achraf, Ammar/0000-0003-0347-8053; Pillay, Lervasen/0000-0002-8353-3376; Debevec, Tadej/0000-0001-7053-3978; Haugen, Thomas/0000-0001-5929-0389; Ihalainen, Johanna Kaarina/0000-0001-9428-4689; James, Carl/0000-0003-2099-5343; Verhagen, Evert/0000-0001-9227-8234; Pyne, David/0000-0003-1555-5079; CORTIS, Cristina/0000-0001-9643-5532; Farooq, Abdulaziz/0000-0002-9162-4948; Khaled, Trabelsi/0000-0003-2623-9557; Wong, Del P./0000-0002-8481-3417; Hassanmirzaei, Bahar/0000-0003-2961-7955; Batuev, Mikhail/0000-0001-9618-1907; Hanzlikova, Ivana/0000-0002-2259-9312; Nikolaidis, Pantelis/0000-0001-8030-7122</t>
  </si>
  <si>
    <t>2022 OCT 22</t>
  </si>
  <si>
    <t>10.1007/s40279-022-01776-y</t>
  </si>
  <si>
    <t>WOS:000871162500001</t>
  </si>
  <si>
    <t>Moshontz, H; Campbell, L; Ebersole, CR; IJzerman, H; Urry, HL; Forscher, PS; Grahe, JE; McCarthy, RJ; Musser, ED; Antfolk, J; Castille, CM; Evans, TR; Fiedler, S; Flake, JK; Forero, DA; Janssen, SMJ; Keene, JR; Protzko, J; Aczel, B; Solas, SA; Ansari, D; Awlia, D; Baskin, E; Batres, C; Borras-Guevara, ML; Brick, C; Chandel, P; Chatard, A; Chopik, WJ; Clarance, D; Coles, NA; Corker, KS; Dixson, BJW; Dranseika, V; Dunham, Y; Fox, NW; Gardiner, G; Garrison, SM; Gill, T; Hahn, AC; Jaeger, B; Kacmár, P; Kaminski, G; Kanske, P; Kekecs, Z; Kline, M; Koehn, MA; Kujur, P; Levitan, CA; Miller, JK; Okan, C; Olsen, J; Oviedo-Trespalacios, O; Özdogru, AA; Pande, B; Parganiha, A; Parveen, N; Pfuhl, G; Pradhan, S; Ropovik, I; Rule, NO; Saunders, B; Schei, V; Schmidt, K; Singh, MM; Sirota, M; Steltenpohl, CN; Stieger, S; Storage, D; Sullivan, GB; Szabelska, A; Tamnes, CK; Vadillo, MA; Valentova, JV; Vanpaemel, W; Varella, MAC; Vergauwe, E; Verschoor, M; Vianello, M; Voracek, M; Williams, GP; Wilson, JP; Zickfeld, JH; Arnal, JD; Aydin, B; Chen, SC; DeBruine, LM; Fernandez, AM; Horstmann, KT; Isager, PM; Jones, B; Kapucu, A; Lin, H; Mensink, MC; Navarrete, G; Silan, MA; Chartier, CR</t>
  </si>
  <si>
    <t>Moshontz, Hannah; Campbell, Lorne; Ebersole, Charles R.; IJzerman, Hans; Urry, Heather L.; Forscher, Patrick S.; Grahe, Jon E.; McCarthy, Randy J.; Musser, Erica D.; Antfolk, Jan; Castille, Christopher M.; Evans, Thomas Rhys; Fiedler, Susann; Flake, Jessica Kay; Forero, Diego A.; Janssen, Steve M. J.; Keene, Justin Robert; Protzko, John; Aczel, Balazs; Solas, Sara Alvarez; Ansari, Daniel; Awlia, Dana; Baskin, Ernest; Batres, Carlota; Borras-Guevara, Martha Lucia; Brick, Cameron; Chandel, Priyanka; Chatard, Armand; Chopik, William J.; Clarance, David; Coles, Nicholas A.; Corker, Katherine S.; Dixson, Barnaby James Wyld; Dranseika, Vilius; Dunham, Yarrow; Fox, Nicholas W.; Gardiner, Gwendolyn; Garrison, S. Mason; Gill, Tripat; Hahn, Amanda C.; Jaeger, Bastian; Kacmar, Pavol; Kaminski, Gwenael; Kanske, Philipp; Kekecs, Zoltan; Kline, Melissa; Koehn, Monica A.; Kujur, Pratibha; Levitan, Carmel A.; Miller, Jeremy K.; Okan, Ceylan; Olsen, Jerome; Oviedo-Trespalacios, Oscar; Ozdogru, Asil Ali; Pande, Babita; Parganiha, Arti; Parveen, Noorshama; Pfuhl, Gerit; Pradhan, Sraddha; Ropovik, Ivan; Rule, Nicholas O.; Saunders, Blair; Schei, Vidar; Schmidt, Kathleen; Singh, Margaret Messiah; Sirota, Miroslav; Steltenpohl, Crystal N.; Stieger, Stefan; Storage, Daniel; Sullivan, Gavin Brent; Szabelska, Anna; Tamnes, Christian K.; Vadillo, Miguel A.; Valentova, Jaroslava V.; Vanpaemel, Wolf; Varella, Marco A. C.; Vergauwe, Evie; Verschoor, Mark; Vianello, Michelangelo; Voracek, Martin; Williams, Glenn P.; Wilson, John Paul; Zickfeld, Janis H.; Arnal, Jack D.; Aydin, Burak; Chen, Sau-Chin; DeBruine, Lisa M.; Fernandez, Ana Maria; Horstmann, Kai T.; Isager, Peder M.; Jones, Benedict; Kapucu, Aycan; Lin, Hause; Mensink, Michael C.; Navarrete, Gorka; Silan, Miguel A.; Chartier, Christopher R.</t>
  </si>
  <si>
    <t>The Psychological Science Accelerator: Advancing Psychology Through a Distributed Collaborative Network</t>
  </si>
  <si>
    <t>ADVANCES IN METHODS AND PRACTICES IN PSYCHOLOGICAL SCIENCE</t>
  </si>
  <si>
    <t>Concerns about the veracity of psychological research have been growing. Many findings in psychological science are based on studies with insufficient statistical power and nonrepresentative samples, or may otherwise be limited to specific, ungeneralizable settings or populations. Crowd-sourced research, a type of large-scale collaboration in which one or more research projects are conducted across multiple lab sites, offers a pragmatic solution to these and other current methodological challenges. The Psychological Science Accelerator (PSA) is a distributed network of laboratories designed to enable and support crowd-sourced research projects. These projects can focus on novel research questions or replicate prior research in large, diverse samples. The PSA's mission is to accelerate the accumulation of reliable and generalizable evidence in psychological science. Here, we describe the background, structure, principles, procedures, benefits, and challenges of the PSA. In contrast to other crowdsourced research networks, the PSA is ongoing (as opposed to time limited), efficient (in that structures and principles are reused for different projects), decentralized, diverse (in both subjects and researchers), and inclusive (of proposals, contributions, and other relevant input from anyone inside or outside the network). The PSA and other approaches to crowdsourced psychological science will advance understanding of mental processes and behaviors by enabling rigorous research and systematic examination of its generalizability.</t>
  </si>
  <si>
    <t>AYDIN, Burak/GRJ-9231-2022; Moshontz, Hannah/ABG-5886-2020; Horstmann, Kai/AAS-6364-2020; Flake, Jessica/IZE-2663-2023; Forscher, Patrick/I-7730-2019; KAPUCU, AYCAN/IYT-2921-2023; Baskin, Ernest/HGB-2757-2022; Isager, Peder/AAE-5076-2021; Kačmár, Pavol/AAT-2990-2020; Gill, Tripat/AAJ-4735-2020; Musser, Erica/JTS-7801-2023; Chen, Sau-Chin/AAB-4117-2019; Aczel, Balazs/AFZ-2572-2022; Varella, Marco/S-5492-2016; Parganiha, Arti/AAR-7055-2021; Hahn, Amanda/AAH-1106-2021; Sirota, Miroslav/A-2419-2017; DeBruine, Lisa/A-6990-2008; Williams, Glenn/AGJ-3298-2022; Dranseika, Vilius/JSL-1789-2023; Evans, Thomas/H-5874-2019; vanpaemel, wolf/AAC-9834-2022; Kline, Melissa/H-7519-2019; Koehn, Monica/AAF-4010-2020; Mensink, Michael/AAF-5625-2020; Kanske, Philipp/A-9623-2012; Oviedo-Trespalacios, Oscar/IUQ-1875-2023; Ansari, Daniel/B-2832-2009; Protzko, John/AAL-4594-2020; Sullivan, Gavin/P-7885-2019; Brick, Cameron/K-7342-2019; Chatard, Armand/N-9213-2017; Forero, Diego/A-9305-2008; Pfuhl, Gerit/ITV-5679-2023; Voracek, Martin/S-5865-2016; Özdoğru, Asil/AAX-4229-2021; Kekecs, Zoltan/Q-4417-2018; Álvarez-Solas, Sara/AFR-6293-2022; Vianello, Michelangelo/G-8919-2013; Chen, Sau-Chin/M-5100-2014; Vadillo, Miguel/A-8702-2011; Janssen, Steve/M-9894-2015; Jones, Benedict/A-7850-2008; Corker, Katherine S./H-2756-2018; Castille, Christopher/G-5352-2016; Navarrete, Gorka/H-5995-2011; Varella Valentova, Jaroslava/K-8765-2012; Steltenpohl, Crystal/N-7054-2018; Kaminski, Gwenael/G-6394-2010; Campbell, Lorne/L-9666-2014; Fernandez, Ana Maria/E-6429-2011; Garrison, S. Mason/IUN-4605-2023; Oviedo-Trespalacios, Oscar/K-2462-2012; Stieger, Stefan/G-2572-2012; Antfolk, Jan/D-2926-2018; Tamnes, Christian Krog/P-8829-2018; Ropovik, Ivan/J-7404-2015</t>
  </si>
  <si>
    <t>Storage, Daniel/0000-0001-7147-2206; Schmidt, Kathleen/0000-0002-9946-5953; Gill, Tripat/0000-0001-9839-4113; Dixson, Barnaby/0000-0003-0911-1244; Alvarez Solas, Sara/0000-0002-8267-9816; vanpaemel, wolf/0000-0002-5855-3885; Pfuhl, Gerit/0000-0002-3271-6447; Vianello, Michelangelo/0000-0002-1530-1469; Chen, Sau-Chin/0000-0001-6092-6049; Grahe, Jon/0000-0001-6970-0863; Vadillo, Miguel/0000-0001-8421-816X; Awlia, Dana/0009-0008-5342-5826; Janssen, Steve/0000-0002-3100-128X; Jones, Benedict/0000-0001-7777-0220; Dranseika, Vilius/0000-0002-1144-1624; Sullivan, Gavin Brent/0000-0003-0146-5953; Levitan, Carmel/0000-0001-5403-444X; Corker, Katherine S./0000-0002-7971-1678; Castille, Christopher/0000-0002-2198-6417; Jaeger, Bastian/0000-0002-4398-9731; Ozdogru, Asil/0000-0002-4273-9394; Brick, Cameron/0000-0002-7174-8193; Navarrete, Gorka/0000-0001-7678-8656; Varella Valentova, Jaroslava/0000-0002-2113-3385; Steltenpohl, Crystal/0000-0001-5049-9354; Fiedler, Susann/0000-0001-9337-2142; Kaminski, Gwenael/0000-0001-5300-5655; Campbell, Lorne/0000-0002-9071-4845; Saunders, Blair/0000-0001-7102-2678; Fernandez, Ana Maria/0000-0003-4132-5891; Garrison, S. Mason/0000-0002-4804-6003; Vergauwe, Evie/0000-0002-7339-2370; Koehn, Monica/0000-0002-4413-7709; Evans, Thomas/0000-0002-6670-0718; Oviedo-Trespalacios, Oscar/0000-0001-5916-3996; Forscher, Patrick/0000-0002-7763-3565; Williams, Glenn/0000-0003-1965-7881; Coles, Nicholas/0000-0001-8583-5610; Pradhan, Sraddha/0000-0001-9803-3940; Stieger, Stefan/0000-0002-7784-6624; Antfolk, Jan/0000-0003-0334-4987; Moshontz, Hannah/0000-0003-4345-3715; AYDIN, Burak/0000-0003-4462-1784; Tamnes, Christian Krog/0000-0002-9191-6764; KAPUCU, AYCAN/0000-0001-7340-9876; Kacmar, Pavol/0000-0003-0076-1945; Ropovik, Ivan/0000-0001-5222-1233; Urry, Heather/0000-0003-4915-1785</t>
  </si>
  <si>
    <t>2515-2459</t>
  </si>
  <si>
    <t>2515-2467</t>
  </si>
  <si>
    <t>10.1177/2515245918797607</t>
  </si>
  <si>
    <t>WOS:000746381600006</t>
  </si>
  <si>
    <t>Bissell, K; Ellwood, P; Ellwood, E; Chiang, CY; Marks, GB; El Sony, A; Asher, I; Billo, N; Perrin, C; Asher, I; Billo, NE; Bissell, K; Chiang, CY; El Sony, A; Ellwood, P; García-Marcos, L; Mallol, J; Marks, GB; Pearce, N; Strachan, D; Priftanji, A; Boukari, R; Taright, S; Gómez, M; Baghdasaryan, A; Burgess, S; Marks, GB; Mattes, J; Tai, A; Riedler, J; Shpakou, A; Weyler, J; Lawin, H; de Abruzzese, JA; Domuz, S; Brandao, HV; Camargos, PAM; Fischer, GB; Menezes, AM; Neto, ACP; Rosário, N; Solé, D; Mustakov, TB; Birba, E; Ngahane, BHM; Tse, SM; Standring, P; Aguirre, V; Gil, MAC; Chen, YZ; Kan, X; Garcia, E; Niederbacher, J; Obel, BK; Soto-Quirós, ME; Banac, S; Yiallouros, P; Lochte, L; Barba, S; Bustos, C; El Falaki, M; Colorado, MF; Weihe, P; Lal, VA; Mäkelä, M; Annesi-Maesano, I; Raherison, C; Annesi-Maesano, I; Gotua, M; von Mutius, E; Addo-Yobo, EO; Akpinar-Elci, M; Lai, CKW; Novák, Z; Kabra, SK; Ilangho, RP; Pherwani, AV; Sharma, SK; Sukumaran, TU; Dalimunthe, W; Karimi, M; Masjedi, MR; Manning, P; Shohat, T; Forastiere, F; La Grutta, S; Petronio, MG; Piffer, S; Kahwa, E; Odajima, H; Abu-Ekteish, F; Amukoye, EI; Esamai, FO; Hong, SJ; Neziri-Ahmetaj, L; Momen, JA; Akkhavong, K; Svabe, V; Vlaski, E; Mortimer, K; Daud, M; Montefort, S; Navarro, BED; Gonzalez, CAJ; Merida-Palacio, JV; Paramo-Arroyo, RF; Munkhbayarlakh, S; Brunekreef, B; Annesi-Maesano, I; Asher, I; Currie, S; Douwes, J; Graham, D; Hancox, R; Moyes, C; Pattemore, P; Vis, K; Cordero, RMZ; Ayuk, A; Falade, AG; Garba, IB; Hammangabdo, A; Onyia, N; Pulu, M; Nystad, W; Al-Rawas, O; Yusuf, MO; Watson, BM; El Sharif, N; Cukier, G; Chiarella, P; Pagcatipunan, R; Brêborowicz, A; Lis, G; Morais-Almeida, M; Annesi-Maesano, I; Deleanu, D; Kamaltynova, E; Kondiurina, EG; Esera-Tulifau, L; Al-Ghamdi; Memish, ZA; Nahhas, MA; Yousef, A; Toure, NO; Visnjevac, D; Zivkovic, Z; Deen, GF; Goh, DYT; Masekala, R; Zar, HJ; Carvajal-Uruena, I; Garcia-Marcos, L; Diaz, CG; Murua, JK; Luna-Paredes, C; Morales-Suarez-Varela, M; Praena-Crespo, M; Kudagammana, ST; El Sony, A; Mohammad, Y; Guo, YL; Huang, JL; Lao-Araya, M; Teeratakulpisarn, J; Vichyanond, P; Anderson, S; Tidjani, O; Iosefa, T; Aho, G; Dookeeram, D; Hamzaoui, A; Yorgancioglu, A; Ituaso-Conway, N; Worodria, W; Fedortsiv, O; Mahboub, B; Mansur, AH; Kumar, H; Valentin-Rostan, M; Harrison, G; Fiocchi, A; Le, LTT; Wa Somwe, S; Manangazira, P</t>
  </si>
  <si>
    <t>Bissell, Karen; Ellwood, Philippa; Ellwood, Eamon; Chiang, Chen-Yuan; Marks, Guy B.; El Sony, Asma; Asher, Innes; Billo, Nils; Perrin, Christophe; Asher, I; Billo, N. E.; Bissell, K.; Chiang, C-Y; El Sony, A.; Ellwood, P.; Garcia-Marcos, L.; Mallol, J.; Marks, G. B.; Pearce, N.; Strachan, D.; Priftanji, A.; Boukari, R.; Taright, S.; Gomez, M.; Baghdasaryan, A.; Burgess, S.; Marks, G. B.; Mattes, J.; Tai, A.; Riedler, J.; Shpakou, A.; Weyler, J.; Lawin, H.; de Abruzzese, Aguirre J.; Domuz, S.; Brandao, H., V; Camargos, P. A. M.; Fischer, G. B.; Menezes, A. M.; Porto Neto, A. C.; Rosario, N.; Sole, D.; Mustakov, T. B.; Birba, E.; Ngahane, Mbatchou B. H.; Tse, S. M.; Standring, P.; Aguirre, V; Calvo Gil, M. A.; Chen, Y-Z; Kan, X.; Garcia, E.; Niederbacher, J.; Obel, Kabengele B.; Soto-Quiros, M. E.; Banac, S.; Yiallouros, P.; Lochte, L.; Barba, S.; Bustos, C.; El Falaki, M.; Figueroa Colorado, M.; Weihe, P.; Lal, V. A.; Makela, M.; Annesi-Maesano, I; Raherison, C.; Annesi-Maesano, I; Gotua, M.; von Mutius, E.; Addo-Yobo, E. O.; Akpinar-Elci, M.; Lai, C. K. W.; Novak, Z.; Kabra, S. K.; Ilangho, R. P.; Pherwani, A., V; Sharma, S. K.; Sukumaran, T. U.; Dalimunthe, W.; Karimi, M.; Masjedi, M-R; Manning, P.; Shohat, T.; Forastiere, F.; La Grutta, S.; Petronio, M. G.; Piffer, S.; Kahwa, E.; Odajima, H.; Abu-Ekteish, F.; Amukoye, E. I.; Esamai, F. O.; Hong, S-J; Neziri-Ahmetaj, L.; Momen, J. A.; Akkhavong, K.; Svabe, V; Vlaski, E.; Mortimer, K.; Daud, M.; Montefort, S.; Del Rio Navarro, B. E.; Jimenez Gonzalez, C. A.; Merida-Palacio, J., V; Paramo-Arroyo, R. F.; Munkhbayarlakh, S.; Brunekreef, B.; Annesi-Maesano, I; Asher, I; Currie, S.; Douwes, J.; Graham, D.; Hancox, R.; Moyes, C.; Pattemore, P.; Vis, K.; Cordero, Rizo M. Z.; Ayuk, A.; Falade, A. G.; Garba, Ilah B.; Hammangabdo, A.; Onyia, N.; Pulu, M.; Nystad, W.; Al-Rawas, O.; Yusuf, M. O.; Watson, B. M.; El Sharif, N.; Cukier, G.; Chiarella, P.; Pagcatipunan, R.; Breborowicz, A.; Lis, G.; Morais-Almeida, M.; Annesi-Maesano, I; Deleanu, D.; Kamaltynova, E.; Kondiurina, E. G.; Esera-Tulifau, L.; Al-Ghamdi; Memish, Z. A.; Nahhas, M. A.; Yousef, A.; Toure, N. O.; Visnjevac, D.; Zivkovic, Z.; Deen, G. F.; Goh, D. Y. T.; Masekala, R.; Zar, H. J.; Carvajal-Uruena, I; Garcia-Marcos, L.; Gonzalez Diaz, C.; Korta Murua, J.; Luna-Paredes, C.; Morales-Suarez-Varela, M.; Praena-Crespo, M.; Kudagammana, S. T.; El Sony, A.; Mohammad, Y.; Guo, Y. L.; Huang, J-L; Lao-Araya, M.; Teeratakulpisarn, J.; Vichyanond, P.; Anderson, S.; Tidjani, O.; Iosefa, T.; Aho, G.; Dookeeram, D.; Hamzaoui, A.; Yorgancioglu, A.; Ituaso-Conway, N.; Worodria, W.; Fedortsiv, O.; Mahboub, B.; Mansur, A. H.; Kumar, H.; Valentin-Rostan, M.; Harrison, G.; Fiocchi, A.; Le, L. T. T.; Wa Somwe, S.; Manangazira, P.</t>
  </si>
  <si>
    <t>Global Asthma Network Study Grp</t>
  </si>
  <si>
    <t>Essential Medicines at the National Level: The Global Asthma Network's Essential Asthma Medicines Survey 2014</t>
  </si>
  <si>
    <t>Patients with asthma need uninterrupted supplies of affordable, quality-assured essential medicines. However, access in many low- and middle-income countries (LMICs) is limited. The World Health Organization (WHO) Non-Communicable Disease (NCD) Global Action Plan 2013-2020 sets an 80% target for essential NCD medicines' availability. Poor access is partly due to medicines not being included on the national Essential Medicines Lists (EML) and/or National Reimbursement Lists (NRL) which guide the provision of free/subsidised medicines. We aimed to determine how many countries have essential asthma medicines on their EML and NRL, which essential asthma medicines, and whether surveys might monitor progress. A cross-sectional survey in 2013-2015 of Global Asthma Network principal investigators generated 111/120 (93%) responses41 high-income countries and territories (HICs); 70 LMICs. Patients in HICs with NRL are best served (91% HICs included ICS (inhaled corticosteroids) and salbutamol). Patients in the 24 (34%) LMICs with no NRL and the 14 (30%) LMICs with an NRL, however no ICS are likely to have very poor access to affordable, quality-assured ICS. Many LMICs do not have essential asthma medicines on their EML or NRL. Technical guidance and advocacy for policy change is required. Improving access to these medicines will improve the health system's capacity to address NCDs.</t>
  </si>
  <si>
    <t>Weyler, Joost/O-8594-2016; AlGhamdi, Badr/AAM-4037-2020; Mohammad, Yousser/LTD-1984-2024; Huang, Jinling/ABI-6699-2020; Dookeeram, Darren/GSI-4066-2022; AYUK, ADAEZE/AAB-7094-2019; ZAID, MOHD/LDG-0268-2024; Kamaltynova, Elena/S-6291-2016; Yiallouros, Panayiotis/AAF-6026-2019; Menezes, Ana/G-7266-2012; Szpakow, Andriej/L-4298-2016; Zivkovic, Zorica/E-2663-2018; Lao-Araya, Mongkol/ACL-2754-2022; Hong, Soo-Jong/AAR-1788-2020; Rosario Filho, Nelson/HSE-9522-2023; riedler, josef/AAQ-4666-2020; brunekreef, bert/ACN-0336-2022; Yorgancioglu, Arzu/AAC-7548-2020; Yusuf, Osman/AAI-1142-2020; EL Sharif, Nuha/AAB-1863-2019; Manangazira, Portia/GOP-0954-2022; Nadif, Rachel/R-2876-2016; Bissell, Karen/ABB-2734-2020; Ilangho, RP/MVX-5492-2025; liu, yan/HGV-1365-2022; Solé, Dirceu/JAO-0340-2023; Zar, Heather/GZL-5350-2022; Gotua, Maia/ABA-1648-2021; Memish, Ziad/AEJ-9424-2022; Annesi-Maesano, Isabella/D-9173-2016; Raherison, Chantal/T-3556-2019; Le, Linh-Thy/HSH-7996-2023; BARBA, SALVATORE/M-4652-2018; Goh, Daniel/D-8573-2015; Yousef, Abdullah/GQP-5664-2022; La Grutta, Stefania/N-3615-2014; Suarez-Varela, Maria/O-5341-2018; Praena-Crespo, Manuel/P-6221-2019; Yousef, Abdullah/P-5870-2014; Vieira Brandao, Heli/C-5980-2013; Marks, Guy/F-5058-2013; Praena-Crespo, Manuel/E-7172-2010; Ellwood, Eamon/C-3300-2009; AYUK, ADAEZE/E-3904-2017; Ellwood, Philippa/G-7555-2015</t>
  </si>
  <si>
    <t>Yousef, Abdullah/0000-0003-3957-9964; Dookeeram, Darren/0000-0002-3860-3611; Makela, Mika/0000-0002-2933-3111; Vieira Brandao, Heli/0000-0002-0485-3161; Marks, Guy/0000-0002-8976-8053; mohammad, yousser/0009-0003-0403-2747; Praena-Crespo, Manuel/0000-0002-1928-9663; Zar, Heather/0000-0002-9046-759X; Billo, Nils Eric/0000-0002-5735-5107; Gotua, Maia/0000-0003-2497-4128; Ellwood, Eamon/0000-0003-2626-6619; AYUK, ADAEZE/0000-0003-3325-3488; Ellwood, Philippa/0000-0002-1994-4023; La Grutta, Stefania/0000-0001-8026-0715</t>
  </si>
  <si>
    <t>FEB 2</t>
  </si>
  <si>
    <t>10.3390/ijerph16040605</t>
  </si>
  <si>
    <t>WOS:000460804900084</t>
  </si>
  <si>
    <t>Addazi, A; Alvarez-Muniz, J; Batista, RA; Amelino-Camelia, G; Antonelli, ; Arzano, M; Asorey, M; Atteia, JL; Bahamonde, S; Bajardi, F; Ballesteros, A; Baret, B; Barreiros, DM; Basilakos, S; Benisty, D; Birnholtz, O; Blanco-Pillado, JJ; Blas, D; Bolmont, J; Boncioli, D; Bosso, P; Calcagni, G; Capozziello, S; Carmona, JM; Cerci, S; Chernyakova, M; Clesse, S; Coelho, JAB; Colak, SM; Cortes, JL; Das, S; D'Esposito, ; Demirci, M; Di Luca, MG; di Matteo, A; Dimitrijevic, D; Djordjevic, G; Prester, DD; Eichhorn, A; Ellis, J; Escamilla-Rivera, C; Fabiano, G; Franchino-Viñas, SA; Frassino, AM; Frattulillo, D; Funk, S; Fuster, A; Gamboa, J; Gent, A; Gergely, LA; Giammarchi, M; Giesel, K; Glicenstein, JF; Gracia-Bondía, J; Gracia-Ruiz, R; Gubitosi, G; Guendelman, E; Gutierrez-Sagredo, ; Haegel, L; Heefer, S; Held, A; Herranz, FJ; Hinderer, T; Illana, JI; Ioannisian, A; Jetzer, P; Joaquim, FR; Kampert, KH; Uysal, AK; Katori, T; Kazarian, N; Kerszberg, D; Kowalski-Glikman, J; Kuroyanagi, S; Lämmerzahl, C; Said, JL; Liberati, S; Lim, E; Lobo, IP; López-Moya, M; Luciano, GG; Manganaro, M; Marcianò, A; Martín-Moruno, P; Martinez, M; Martinez, M; Martínez-Huerta, H; Martínez-Miravé, P; Masip, M; Mattingly, D; Mavromatos, N; Mazumdar, A; Méndez, F; Mercati, F; Micanovic, S; Mielczarek, J; Miller, AL; Milosevic, M; Minic, D; Miramonti, L; Mitsou, VA; Moniz, P; Mukherjee, S; Nardini, G; Navas, S; Niechciol, M; Nielsen, AB; Obers, NA; Oikonomou, F; Oriti, D; Paganini, CF; Palomares-Ruiz, S; Pasechnik, R; Pasic, ; de los Heros, CP; Pfeifer, C; Pieroni, M; Piran, T; Platania, A; Rastgoo, S; Relancio, JJ; Reyes, MA; Ricciardone, A; Risse, M; Frias, MDR; Rosati, G; Rubiera-Garcia, D; Sahlmann, H; Sakellariadou, M; Salamida, F; Saridakis, EN; Satunin, P; Schiffer, M; Schüssler, F; Sigl, G; Sitarek, J; Peracaula, JS; Sopuerta, CF; Sotiriou, TP; Spurio, M; Staicova, D; Stergioulas, N; Stoica, S; Striskovic, J; Stuttard, T; Cerci, DS; Tavakoli, Y; Ternes, CA; Terzic, T; Thiemann, T; Tinyakov, P; Torri, MDC; Tórtola, M; Trimarelli, C; Trzesniewski, T; Tureanu, A; Urban, FR; Vagenas, EC; Vernieri, D; Vitagliano, V; Wallet, JC; Zornoza, JD</t>
  </si>
  <si>
    <t>Addazi, A.; Alvarez-Muniz, J.; Alves Batista, R.; Amelino-Camelia, G.; Antonelli, V; Arzano, M.; Asorey, M.; Atteia, J-L; Bahamonde, S.; Bajardi, F.; Ballesteros, A.; Baret, B.; Barreiros, D. M.; Basilakos, S.; Benisty, D.; Birnholtz, O.; Blanco-Pillado, J. J.; Blas, D.; Bolmont, J.; Boncioli, D.; Bosso, P.; Calcagni, G.; Capozziello, S.; Carmona, J. M.; Cerci, S.; Chernyakova, M.; Clesse, S.; Coelho, J. A. B.; Colak, S. M.; Cortes, J. L.; Das, S.; D'Esposito, V; Demirci, M.; Di Luca, M. G.; di Matteo, A.; Dimitrijevic, D.; Djordjevic, G.; Prester, D. Dominis; Eichhorn, A.; Ellis, J.; Escamilla-Rivera, C.; Fabiano, G.; Franchino-Vinas, S. A.; Frassino, A. M.; Frattulillo, D.; Funk, S.; Fuster, A.; Gamboa, J.; Gent, A.; Gergely, L. A.; Giammarchi, M.; Giesel, K.; Glicenstein, J-F; Gracia-Bondia, J.; Gracia-Ruiz, R.; Gubitosi, G.; Guendelman, E., I; Gutierrez-Sagredo, I; Haegel, L.; Heefer, S.; Held, A.; Herranz, F. J.; Hinderer, T.; Illana, J. I.; Ioannisian, A.; Jetzer, P.; Joaquim, F. R.; Kampert, K-H; Uysal, A. Karasu; Katori, T.; Kazarian, N.; Kerszberg, D.; Kowalski-Glikman, J.; Kuroyanagi, S.; Lammerzahl, C.; Said, J. Levi; Liberati, S.; Lim, E.; Lobo, I. P.; Lopez-Moya, M.; Luciano, G. G.; Manganaro, M.; Marciano, A.; Martin-Moruno, P.; Martinez, Manel; Martinez, Mario; Martinez-Huerta, H.; Martinez-Mirave, P.; Masip, M.; Mattingly, D.; Mavromatos, N.; Mazumdar, A.; Mendez, F.; Mercati, F.; Micanovic, S.; Mielczarek, J.; Miller, A. L.; Milosevic, M.; Minic, D.; Miramonti, L.; Mitsou, V. A.; Moniz, P.; Mukherjee, S.; Nardini, G.; Navas, S.; Niechciol, M.; Nielsen, A. B.; Obers, N. A.; Oikonomou, F.; Oriti, D.; Paganini, C. F.; Palomares-Ruiz, S.; Pasechnik, R.; Pasic, V; de los Heros, C. Perez; Pfeifer, C.; Pieroni, M.; Piran, T.; Platania, A.; Rastgoo, S.; Relancio, J. J.; Reyes, M. A.; Ricciardone, A.; Risse, M.; Rodriguez Frias, M. D.; Rosati, G.; Rubiera-Garcia, D.; Sahlmann, H.; Sakellariadou, M.; Salamida, F.; Saridakis, E. N.; Satunin, P.; Schiffer, M.; Schussler, F.; Sigl, G.; Sitarek, J.; Sola Peracaula, J.; Sopuerta, C. F.; Sotiriou, T. P.; Spurio, M.; Staicova, D.; Stergioulas, N.; Stoica, S.; Striskovic, J.; Stuttard, T.; Cerci, D. Sunar; Tavakoli, Y.; Ternes, C. A.; Terzic, T.; Thiemann, T.; Tinyakov, P.; Torri, M. D. C.; Tortola, M.; Trimarelli, C.; Trzesniewski, T.; Tureanu, A.; Urban, F. R.; Vagenas, E. C.; Vernieri, D.; Vitagliano, V.; Wallet, J-C; Zornoza, J. D.</t>
  </si>
  <si>
    <t>Quantum gravity phenomenology at the dawn of the multi-messenger era-A review</t>
  </si>
  <si>
    <t>PROGRESS IN PARTICLE AND NUCLEAR PHYSICS</t>
  </si>
  <si>
    <t>The exploration of the universe has recently entered a new era thanks to the multi-messenger paradigm, characterized by a continuous increase in the quantity and quality of experimental data that is obtained by the detection of the various cosmic messengers (photons, neutrinos, cosmic rays and gravitational waves) from numerous origins. They give us information about their sources in the universe and the properties of the intergalactic medium. Moreover, multi-messenger astronomy opens up the possibility to search for phenomenological signatures of quantum gravity. On the one hand, the most energetic events allow us to test our physical theories at energy regimes which are not directly accessible in accelerators; on the other hand, tiny effects in the propagation of very high energy particles could be amplified by cosmological distances. After decades of merely theoretical investigations, the possibility of obtaining phenomenological indications of Planck-scale effects is a revolutionary step in the quest for a quantum theory of gravity, but it requires cooperation between different communities of physicists (both theoretical and experimental). This review, prepared within the COST Action CA18108 Quantum gravity phenomenology in the multi-messenger approach, is aimed at promoting this cooperation by giving a state-of-the art account of the interdisciplinary expertise that is needed in the effective search of quantum gravity footprints in the production, propagation and detection of cosmic messengers. (C) 2022 The Authors. Published by Elsevier B.V.</t>
  </si>
  <si>
    <t>Coelho, Joao/D-3546-2013; Capozziello, Salvatore/AAA-6859-2019; Salamida, Francesco/GOE-5140-2022; Pasechnik, Roman/AAM-3282-2020; Vernieri, Daniele/AAH-6487-2019; stoica, sabin/J-3898-2014; Mukherjee, Suvodip/AAX-8173-2020; de León Acuña, Cederik/E-5407-2018; Cherniakova, Marharyta/KBQ-1033-2024; Gergely, László/JCO-2832-2023; Torri, Marco/AAZ-1767-2020; Miramonti, Lino/AAF-7880-2019; Bosso, Pasquale/S-5410-2019; Fabiano, Giuseppe/HNJ-0209-2023; Luciano, Gaetano/H-5197-2018; Terzić, Tomislav/O-4835-2018; de Dios Zornoza, Juan/L-1604-2014; Mazumdar, Anwesh/B-1588-2012; Giesel, Kristina/C-8699-2013; Guler, Yalcin/AAG-7833-2019; Strišković, Jelena/P-9798-2019; giebels, berrie/L-6197-2015; Spurio, Maurizio/AAM-2262-2020; Vitagliano, Vincenzo/K-8657-2015; Kerszberg, Daniel/AAB-3175-2019; Martinez, Mario/I-3549-2015; Stergioulas, Nikolaos/AAF-1202-2020; Sunar Cerci, Deniz/AHE-1706-2022; Tortola, Mariam/K-2430-2014; Staicova, Denitsa/IAN-2854-2023; Manganaro, Marina/B-7657-2011; Martinez, Pablo/R-9374-2017; boncioli, denise/F-9521-2018; Alvarez-Muniz, Jaime/H-1857-2015; Tinyakov, Peter/U-2052-2019; Joaquim, Filipe/H-2089-2013; Kowalski-Glikman, Jerzy/AAN-5791-2020; Benisty, David/AAU-2770-2020; Frassino, Antonia M./AAZ-6877-2021; Moniz, Paulo/M-9845-2013; Mercati, Flavio/AAC-1812-2022; Vagenas, Elias/ABG-9042-2020; Martínez-Huerta, Humberto/ABG-6684-2020; Katori, Teppei/S-8685-2019; Relancio, José/AAA-9982-2021; Bahamonde, Sebastian/ABC-2833-2021; Fuster-Sabater, Amparo/AAH-2699-2021; Marciano, Antonino/IQT-5140-2023; Urban, Federico/AGA-9008-2022; Mavromatos, Nikolaos/MXK-3222-2025; Lobo, Iarley/AAD-6684-2019; Franchino-Viñas, Sebastian/AAU-8787-2020; Mitsou, Vasiliki/D-1967-2009; Levi Said, Jackson/AAE-4038-2019; Illana, Jose/E-2537-2016; Calcagni, Gianluca/B-5938-2013; Gubitosi, Giulia/J-3142-2012; Escamilla-Rivera, Celia/L-6196-2019; Ioannisian, Ara/AAF-7353-2021; Liberati, Stefano/AAY-3319-2020; Sotiriou, Thomas/ABE-4017-2021; Thiemann, Thomas/D-9946-2013; Basilakos, Spyridon/ITT-8405-2023; Dimitrijevic'Pejcic, Dragana/MGA-8443-2025; Paganini, Claudio/AAM-1929-2020; Oriti, Daniele/N-1289-2019; Blas, Diego/AAL-8192-2021; Asorey, Manuel/AAO-6922-2020; Dominis Prester, Dijana/O-5014-2018; Obers, Niels/JFB-1715-2023; Minic, Dimitri/KIH-7499-2024; Colak, Sidika Merve/AAC-3292-2020; Funk, Sebastian/A-2743-2011; Rosati, Giacomo/JAZ-0617-2023; Reyes Hung, Maykoll/HGT-7097-2022; Miller, Andrew/HGU-6434-2022; Kar, Somnath/P-5417-2017; Nardini, Germano/GVT-2718-2022; Ballesteros, Angel/K-5866-2014; Platania, Alessia Benedetta/V-3190-2018; Sola Peracaula, Joan/AAC-3339-2019; Pfeifer, Christian/B-1478-2017; Palomares-Ruiz, Sergio/K-8048-2014; Saridakis, Emmanuel/AAC-7172-2020; Striskovic, Jelena/H-4756-2018; Alves Batista, Rafael/K-6642-2012; Rodriguez Frias, Maria/A-7608-2015; Milosevic, Milan/C-2869-2017; Pasic, Vedad/C-5733-2016; Funk, Stefan/B-7629-2015; Rubiera-Garcia, Diego/F-5797-2014; Carmona Martinez, Jose Manuel/H-3732-2015; Navas, Sergio/N-4649-2014; Kuroyanagi, Sachiko/B-3843-2017; Oriti, Daniele/H-5750-2012; Gergely, Laszlo Arpad/X-7693-2018; Schussler, Fabian/G-5313-2013; Rastgoo, Saeed/I-3492-2016; cortes, jose/C-3257-2012; Demirci, Mehmet/A-7063-2012; Lopez Moya, Marcos/L-2304-2014; Gutierrez-Sagredo, Ivan/M-5191-2017; Herranz, Francisco J./F-2453-2010; F. Sopuerta, Carlos/L-3835-2014; Staicova, Denitsa/D-9865-2011; Tavakoli, Yaser/N-7559-2013</t>
  </si>
  <si>
    <t>Blanco-Pillado, Jose J./0000-0003-2260-9047; Frassino, Antonia M./0000-0001-9937-486X; Ballesteros, Angel/0000-0003-4085-3094; Relancio, Jose Javier/0000-0003-1130-3982; Levi Said, Jackson/0000-0002-7835-4365; Mazumdar, Anupam/0000-0002-0967-8964; Barreiros, Debora/0000-0001-7771-2987; Bosso, Pasquale/0000-0003-1048-0805; FRATTULILLO, DOMENICO/0000-0003-3851-1562; Platania, Alessia Benedetta/0000-0001-7789-344X; Ricciardone, Angelo/0000-0002-5688-455X; Giesel, Kristina/0000-0002-0617-906X; Basilakos, Spyros/0000-0001-5066-0259; Sola Peracaula, Joan/0000-0002-5295-8275; Pfeifer, Christian/0000-0002-1712-6860; Schiffer, Marc/0000-0002-0778-4800; Palomares-Ruiz, Sergio/0000-0001-9049-2288; Trzesniewski, Tomasz/0000-0001-9382-900X; Asorey Carballeira, Manuel/0000-0003-3669-6241; Liberati, Stefano/0000-0002-7632-7443; Saridakis, Emmanuel/0000-0003-1500-0874; Reyes Hung, Maykoll A./0000-0003-1357-4815; Fabiano, Giuseppe/0000-0003-0673-8519; Kerszberg, Daniel/0000-0002-5289-1509; Katori, Teppei/0000-0002-9429-9482; Bolmont, Julien/0000-0003-4739-8389; Blas, Diego/0000-0003-2646-0112; Eichhorn, Astrid/0000-0003-4458-1495; Capozziello, Salvatore/0000-0003-4886-2024; Striskovic, Jelena/0000-0003-2902-5044; Alves Batista, Rafael/0000-0003-2656-064X; Pasechnik, Roman/0000-0003-4231-0149; Franchino-Vinas, Sebastian Alberto/0000-0002-8408-8366; Rodriguez Frias, Maria/0000-0002-2550-4462; Sotiriou, Thomas/0000-0002-9089-4866; Milosevic, Milan/0000-0001-6088-247X; Stergioulas, Nikolaos/0000-0002-5490-5302; Pieroni, Mauro/0000-0003-0665-266X; Pasic, Vedad/0000-0003-2115-0422; COLAK, SIDIKA MERVE/0000-0001-7793-3106; Nardini, Germano/0000-0002-3523-0477; Funk, Stefan/0000-0002-2012-0080; Rubiera-Garcia, Diego/0000-0003-3984-9864; Carmona Martinez, Jose Manuel/0000-0003-2264-2306; Fuster, Andrea/0000-0001-6095-6838; Navas, Sergio/0000-0003-1688-5758; Kuroyanagi, Sachiko/0000-0001-6538-1447; Mattingly, David/0000-0002-6911-3383; Wallet, Jean-Christophe/0000-0001-6947-9396; Benisty, David/0000-0002-9578-3081; Oriti, Daniele/0000-0002-2004-7063; Mavromatos, Nikolaos/0000-0001-7683-8625; D'Esposito, Vittorio/0000-0003-2312-0796; Sakellariadou, Mairi/0000-0002-2715-1517; Coelho, Joao/0000-0001-5615-3899; Salamida, Francesco/0000-0002-9306-8447; Gergely, Laszlo Arpad/0000-0003-3146-6201; Mukherjee, Suvodip/0000-0002-3373-5236; Schussler, Fabian/0000-0003-1500-6571; Rastgoo, Saeed/0000-0001-8993-9601; cortes, jose/0000-0002-8282-3435; Demirci, Mehmet/0000-0003-2504-6251; Paganini, Claudio/0000-0002-6723-4392; Bahamonde, Sebastian/0000-0001-6235-120X; Lopez Moya, Marcos/0000-0002-8791-7908; Gutierrez-Sagredo, Ivan/0000-0002-8607-6609; Rosati, Giacomo/0000-0001-9549-6392; Herranz, Francisco J./0000-0002-5323-616X; Heefer, Sjors/0000-0002-2057-6301; Mitsou, Vasiliki A./0000-0002-1533-8886; F. Sopuerta, Carlos/0000-0002-1779-4447; Tureanu, Anca/0000-0003-4078-8595; Staicova, Denitsa/0000-0001-6139-3125; Tavakoli, Yaser/0000-0003-0099-5100; Miller, Andrew L./0000-0002-4890-7627</t>
  </si>
  <si>
    <t>0146-6410</t>
  </si>
  <si>
    <t>1873-2224</t>
  </si>
  <si>
    <t>10.1016/j.ppnp.2022.103948</t>
  </si>
  <si>
    <t>WOS:000830343400001</t>
  </si>
  <si>
    <t>Burton, AC; Beirne, C; Gayno, KM; Sun, C; Granados, A; Allen, ML; Alston, JM; Alvarenga, GC; Calderón, FSA; Amir, Z; Anhalt-Depies, C; Appel, C; Arroyo-Arce, S; Balme, G; Bar-Massada, A; Barcelos, D; Barr, E; Barthelmess, EL; Baruzzi, C; Basak, SM; Beenaerts, N; Belmaker, J; Belova, O; Bezarevic, B; Bird, T; Bogan, DA; Bogdanovic, N; Boyce, A; Boyce, M; Brandt, L; Brodie, JF; Brooke, J; Bubnicki, JW; Cagnacci, F; Carr, BS; Carvalho, J; Casaer, J; Cerne, R; Chen, R; Chow, E; Churski, M; Cincotta, C; Cirovic, D; Coates, TD; Compton, J; Coon, C; Cove, MV; Crupi, AP; Dal Farra, S; Darracq, AK; Davis, M; Dawe, K; De Waele, V; Descalzo, E; Diserens, TA; Drimaj, J; Dul'a, M; Ellis-Felege, S; Ellison, C; Ertürk, A; Fantle-Lepczyk, J; Favreau, J; Fennell, M; Ferreras, P; Ferretti, F; Fiderer, C; Finnegan, L; Fisher, JT; Fisher-Reid, MC; Flaherty, EA; Flezar, U; Flousek, J; Foca, JM; Ford, A; Franzetti, B; Frey, S; Fritts, S; Frybová, S; Furnas, B; Gerber, B; Geyle, HM; Giménez, DG; Giordano, AJ; Gomercic, T; Gompper, ME; Gräbin, DM; Gray, M; Green, A; Hagen, R; Hagen, R; Hammerich, S; Hanekom, C; Hansen, C; Hasstedt, S; Hebblewhite, M; Heurich, M; Hofmeester, TR; Hubbard, T; Jachowski, D; Jansen, PA; Jaspers, KJ; Jensen, A; Jordan, M; Kaizer, MC; Kelly, MJ; Kohl, MT; Kramer-Schadt, S; Krofel, M; Krug, A; Kuhn, KM; Kuijper, DPJ; Kuprewicz, EK; Kusak, J; Kutal, M; Lafferty, DJR; LaRose, S; Lashley, M; Lathrop, R; Lee, TE ; Lepczyk, C; Lesmeister, DB; Licoppe, A; Linnell, M; Loch, J; Long, R; Lonsinger, RC; Louvrier, J; Luskin, MS; MacKay, P; Maher, S; Manet, B; Mann, GKH; Marshall, AJ; Mason, D; McDonald, Z; McKay, T; McShea, WJ; Mechler, M; Miaud, C; Millspaugh, JJ; Monteza-Moreno, CM; Moreira-Arce, D; Mullen, K; Nagy, C; Naidoo, R; Namir, I; Nelson, C; O'Neill, B; O'Mara, MT; Oberosler, V; Osorio, C; Ossi, F; Palencia, P; Pearson, K; Pedrotti, L; Pekins, CE; Pendergast, M; Pinho, FF; Plhal, R; Pocasangre-Orellana, X; Price, M; Procko, M; Proctor, MD; Ramalho, EE; Ranc, N; Reljic, S; Remine, K; Rentz, M; Revord, R; Reyna-Hurtado, R; Risch, D; Ritchie, EG; Romero, A; Rota, C; Rovero, F; Rowe, H; Rutz, C; Salvatori, M; Sandow, D; Schalk, CM; Scherger, J; Schipper, J; Scognamillo, DG; Sekercioglu, ÇH; Semenzato, P; Sevin, J; Shamon, H; Shier, C; Silva-Rodríguez, EA; Sindicic, M; Smyth, LK; Soyumert, A; Sprague, T; St Clair, CC; Stenglein, J; Stephens, PA; Stepniak, KM; Stevens, M; Stevenson, C; Ternyik, B; Thomson, I; Torres, RT; Tremblay, J; Urrutia, T; Vacher, JP; Visscher, D; Webb, SL; Weber, J; Weiss, KCB; Whipple, LS; Whittier, CA; Whittington, J; Wierzbowska, I; Wikelski, M; Williamson, J; Wilmers, CC; Windle, T; Wittmer, HU; Zharikov, Y; Zorn, A; Kays, R</t>
  </si>
  <si>
    <t>Burton, A. Cole; Beirne, Christopher; Gayno, Kaitlyn M.; Sun, Catherine; Granados, Alys; Allen, Maximilian L.; Alston, Jesse M.; Alvarenga, Guilherme C.; Calderon, Francisco Samuel Alvarez; Amir, Zachary; Anhalt-Depies, Christine; Appel, Cara; Arroyo-Arce, Stephanny; Balme, Guy; Bar-Massada, Avi; Barcelos, Daniele; Barr, Evan; Barthelmess, Erika L.; Baruzzi, Carolina; Basak, Sayantani M.; Beenaerts, Natalie; Belmaker, Jonathan; Belova, Olgirda; Bezarevic, Branko; Bird, Tori; Bogan, Daniel A.; Bogdanovic, Neda; Boyce, Andy; Boyce, Mark; Brandt, LaRoy; Brodie, Jedediah F.; Brooke, Jarred; Bubnicki, Jakub W.; Cagnacci, Francesca; Carr, Benjamin Scott; Carvalho, Joao; Casaer, Jim; Cerne, Rok; Chen, Ron; Chow, Emily; Churski, Marcin; Cincotta, Connor; Cirovic, Dusko; Coates, T. D.; Compton, Justin; Coon, Courtney; Cove, Michael V.; Crupi, Anthony P.; Dal Farra, Simone; Darracq, Andrea K.; Davis, Miranda; Dawe, Kimberly; De Waele, Valerie; Descalzo, Esther; Diserens, Tom A.; Drimaj, Jakub; Dul'a, Martin; Ellis-Felege, Susan; Ellison, Caroline; Erturk, Alper; Fantle-Lepczyk, Jean; Favreau, Jorie; Fennell, Mitch; Ferreras, Pablo; Ferretti, Francesco; Fiderer, Christian; Finnegan, Laura; Fisher, Jason T.; Fisher-Reid, M. Caitlin; Flaherty, Elizabeth A.; Flezar, Ursa; Flousek, Jiri; Foca, Jennifer M.; Ford, Adam; Franzetti, Barbara; Frey, Sandra; Fritts, Sarah; Frybova, Sarka; Furnas, Brett; Gerber, Brian; Geyle, Hayley M.; Gimenez, Diego G.; Giordano, Anthony J.; Gomercic, Tomislav; Gompper, Matthew E.; Grabin, Diogo Maia; Gray, Morgan; Green, Austin; Hagen, Robert; Hagen, Robert (Bob); Hammerich, Steven; Hanekom, Catharine; Hansen, Christopher; Hasstedt, Steven; Hebblewhite, Mark; Heurich, Marco; Hofmeester, Tim R.; Hubbard, Tru; Jachowski, David; Jansen, Patrick A.; Jaspers, Kodi Jo; Jensen, Alex; Jordan, Mark; Kaizer, Mariane C.; Kelly, Marcella J.; Kohl, Michel T.; Kramer-Schadt, Stephanie; Krofel, Miha; Krug, Andrea; Kuhn, Kellie M.; Kuijper, Dries P. J.; Kuprewicz, Erin K.; Kusak, Josip; Kutal, Miroslav; Lafferty, Diana J. R.; LaRose, Summer; Lashley, Marcus; Lathrop, Richard; Lee, Thomas E., Jr.; Lepczyk, Christopher; Lesmeister, Damon B.; Licoppe, Alain; Linnell, Marco; Loch, Jan; Long, Robert; Lonsinger, Robert C.; Louvrier, Julie; Luskin, Matthew Scott; MacKay, Paula; Maher, Sean; Manet, Benoit; Mann, Gareth K. H.; Marshall, Andrew J.; Mason, David; McDonald, Zara; McKay, Tracy; McShea, William J.; Mechler, Matt; Miaud, Claude; Millspaugh, Joshua J.; Monteza-Moreno, Claudio M.; Moreira-Arce, Dario; Mullen, Kayleigh; Nagy, Christopher; Naidoo, Robin; Namir, Itai; Nelson, Carrie; O'Neill, Brian; O'Mara, M. Teague; Oberosler, Valentina; Osorio, Christian; Ossi, Federico; Palencia, Pablo; Pearson, Kimberly; Pedrotti, Luca; Pekins, Charles E.; Pendergast, Mary; Pinho, Fernando F.; Plhal, Radim; Pocasangre-Orellana, Xochilt; Price, Melissa; Procko, Michael; Proctor, Mike D.; Ramalho, Emiliano Esterci; Ranc, Nathan; Reljic, Slaven; Remine, Katie; Rentz, Michael; Revord, Ronald; Reyna-Hurtado, Rafael; Risch, Derek; Ritchie, Euan G.; Romero, Andrea; Rota, Christopher; Rovero, Francesco; Rowe, Helen; Rutz, Christian; Salvatori, Marco; Sandow, Derek; Schalk, Christopher M.; Scherger, Jenna; Schipper, Jan; Scognamillo, Daniel G.; Sekercioglu, Cagan H.; Semenzato, Paola; Sevin, Jennifer; Shamon, Hila; Shier, Catherine; Silva-Rodriguez, Eduardo A.; Sindicic, Magda; Smyth, Lucy K.; Soyumert, Anil; Sprague, Tiffany; St Clair, Colleen Cassady; Stenglein, Jennifer; Stephens, Philip A.; Stepniak, Kinga Magdalena; Stevens, Michael; Stevenson, Cassondra; Ternyik, Balint; Thomson, Ian; Torres, Rita T.; Tremblay, Joan; Urrutia, Tomas; Vacher, Jean-Pierre; Visscher, Darcy; Webb, Stephen L.; Weber, Julian; Weiss, Katherine C. B.; Whipple, Laura S.; Whittier, Christopher A.; Whittington, Jesse; Wierzbowska, Izabela; Wikelski, Martin; Williamson, Jacque; Wilmers, Christopher C.; Windle, Todd; Wittmer, Heiko U.; Zharikov, Yuri; Zorn, Adam; Kays, Roland</t>
  </si>
  <si>
    <t>Mammal responses to global changes in human activity vary by trophic group and landscape</t>
  </si>
  <si>
    <t>NATURE ECOLOGY &amp; EVOLUTION</t>
  </si>
  <si>
    <t>Wildlife must adapt to human presence to survive in the Anthropocene, so it is critical to understand species responses to humans in different contexts. We used camera trapping as a lens to view mammal responses to changes in human activity during the COVID-19 pandemic. Across 163 species sampled in 102 projects around the world, changes in the amount and timing of animal activity varied widely. Under higher human activity, mammals were less active in undeveloped areas but unexpectedly more active in developed areas while exhibiting greater nocturnality. Carnivores were most sensitive, showing the strongest decreases in activity and greatest increases in nocturnality. Wildlife managers must consider how habituation and uneven sensitivity across species may cause fundamental differences in human-wildlife interactions along gradients of human influence. Analysing camera-trap data of 163 mammal species before and after the onset of COVID-19 lockdowns, the authors show that responses to human activity are dependent on the degree to which the landscape is modified by humans, with carnivores being especially sensitive.</t>
  </si>
  <si>
    <t>Wikelski, Martin/LZF-2734-2025; O'Neill, Brian/B-8702-2015; O'Mara, M./J-6090-2012; Salvatori, Marco/HHR-9759-2022; Cagnacci, Francesca/L-7377-2013; da Silva Pinho, Fernando/D-9906-2017; Kusak, Josip/AFU-1680-2022; Hofmeester, Tim/J-1331-2019; Plhal, Radim/B-9650-2014; Kramer-Schadt, Stephanie/A-8778-2013; Webb, Stephen/B-6473-2009; BASAK, SAYANTANI/ABD-9311-2021; Osorio, Christian/AAT-2277-2021; Oberosler, Valentina/AAN-3732-2020; Carvalho, João/V-4043-2018; Drimaj, Jakub/O-7333-2014; Burton, Cole/AAF-9234-2019; Sindicic, Magda/JHT-5496-2023; hebblewhite, mark/G-6164-2013; Ertürk, Alper/ABG-4441-2020; Beenaerts, Natalie/AAC-5579-2021; Appel, Cara/KCX-9270-2024; Beirne, Christopher/KIK-9648-2024; Franzetti, Barbara/HSF-0025-2023; Giordano, Anthony/D-2641-2012; St. Clair, Colleen/A-2953-2016; Bogan, Daniel/JBS-5066-2023; Rovero, Francesco/AAI-3157-2020; Reyna-Hurtado, Rafael/M-7204-2019; Rota, Christopher/H-5189-2019; Ferreras, Pablo/A-6017-2009; Alston, Jesse/AAU-8218-2020; Jansen, Patrick/G-2545-2015; Belmaker, Jonathan/I-1004-2019; Heurich, Marco/O-4653-2014; Churski, Marcin/Y-5361-2019; Fisher-Reid, M/B-6220-2013; Reljic, Slaven/P-2424-2018; Fennell, Mitchell/HMD-4881-2023; Duľa, Martin/H-6904-2018; Alvarenga, Guilherme/ITT-8814-2023; Fisher, Jason/AFK-7984-2022; Schipper, Jan/N-5266-2015; Moreira-Arce, Dario/ABG-2898-2021; Price, Melissa/AAM-7749-2020; Barthelmess, Erika/A-3692-2014; Procko, Michael/IAM-0842-2023; Ranc, Nathan/HRC-1855-2023; Palencia, Pablo/AET-7066-2022; Luskin, Matthew/GSE-0196-2022; Allen, Maximilian/ABG-9307-2020; Weiss, Katherine/M-2614-2019; Ferretti, Francesco/AIF-0593-2022; Ritchie, Euan/N-1088-2014; Geyle, Hayley/W-8517-2019; Wierzbowska, Izabela/AAE-6203-2020; casaer, jim/GSJ-6177-2022; Krofel, Miha/I-4495-2019; Diserens, Tom/AAB-1867-2020; Cirovic, Dusko/AAM-6303-2020; Flaherty, Elizabeth/F-1825-2017; Silva-Rodriguez, Eduardo A./B-1854-2010; Sekercioglu, Cagan H./A-1273-2007; Kutal, Miroslav/B-9612-2014; Wittmer, Heiko/D-4172-2015; Kaizer, Mariane/P-2116-2017; Tinoco Torres, Rita/G-1638-2011; Burton, Cole/J-3184-2012; Belova, Olgirda/AAY-4208-2021</t>
  </si>
  <si>
    <t>Silva-Rodriguez, Eduardo A./0000-0001-9416-8653; Fisher-Reid, M. Caitlin/0000-0003-1587-7086; Alvarez, Fransisco S./0000-0002-4018-775X; Sekercioglu, Cagan H./0000-0003-3193-0377; Crupi, Anthony/0000-0003-2788-6238; Stevens, Michael L./0000-0002-7728-0085; Ellison, Caroline/0000-0002-4384-0283; Dula, Martin/0000-0003-2675-4575; Lonsinger, Robert/0000-0002-1040-7299; Chen, Ron/0000-0001-6952-269X; Drimaj, Jakub/0000-0001-6363-9555; Plhal, Radim/0000-0002-3964-6496; Beirne, Christopher/0000-0003-3988-2031; Davis, Miranda/0009-0007-6338-3239; Beenaerts, Natalie/0000-0001-5655-5943; Alvarenga, Guilherme/0000-0002-3318-9327; Mukherjee Basak, Sayantani/0000-0002-4780-8854; Kutal, Miroslav/0000-0003-3857-5419; Hebblewhite, Mark/0000-0001-5382-1361; Ossi, Federico/0000-0001-9004-9649; Kays, Roland/0000-0002-2947-6665; Erturk, Alper/0000-0001-5498-3856; Ternyik, Balint/0000-0003-2243-9156; Boyce, Andy/0000-0003-3508-6599; Alston, Jesse/0000-0001-5309-7625; Wittmer, Heiko/0000-0002-8861-188X; Kaizer, Mariane/0000-0001-9105-9478; Cove, Michael/0000-0001-5691-0634; Rutz, Christian/0000-0001-5187-7417; Tinoco Torres, Rita/0000-0003-4570-459X; Amir, Zachary/0000-0002-8398-2059; Allen, Maximilian/0000-0001-8976-889X; McShea, William/0000-0002-8102-0200; soyumert, anil/0000-0003-0196-9617; Shamon, Hila/0000-0001-5252-7013; Hofmeester, Tim/0000-0003-2101-5482; Smyth, Lucy/0000-0002-6177-3133; Burton, Cole/0000-0002-8799-3847; Salvatori, Marco/0000-0001-5491-4797; Fennell, Mitchell/0000-0001-6168-1725; Procko, Michael/0000-0002-0302-9058; Baruzzi, Carolina/0000-0003-1796-9355; Belova, Olgirda/0000-0001-6881-7605; Cagnacci, Francesca/0000-0002-4954-9980; Mason, David/0000-0001-8456-5700</t>
  </si>
  <si>
    <t>2397-334X</t>
  </si>
  <si>
    <t>10.1038/s41559-024-02363-2</t>
  </si>
  <si>
    <t>WOS:001190893000002</t>
  </si>
  <si>
    <t>Singla, RK; De, R; Efferth, T; Mezzetti, B; Uddin, MS; Sanusi; Ntie-Kang, F; Wang, DD; Schultz, F; Kharat, KR; Devkota, HP; Battino, M; Sur, D; Lordan, R; Patnaik, SS; Tsagkaris, C; Sai, CS; Tripathi, SK; Gaman, MA; Ahmed, MEO; González-Burgos, E; Babiaka, SB; Paswan, SK; Odimegwu, JI; Akram, F; Simal-Gandara, J; Urquiza, MS; Tikhonov, A; Mondal, H; Singla, S; Di Lonardo, S; Mulholland, EJ; Cenanovic, M; Maigoro, AY; Giampieri, F; Lee, S; Tzvetkov, NT; Louka, AM; Verma, P; Chopra, H; Olea, SP; Khan, J; Suarez, JMA; Zheng, XN; Tomczyk, M; Sabnani, MK; Medina, CDV; Khalid, GM; Boyina, HK; Georgiev, M; Supuran, CT; Sobarzo-Sánchez, E; Fan, TP; Pittala, V; Sureda, A; Braidy, N; Russo, GL; Vacca, RA; Banach, M; Lizard, G; Zarrouk, A; Hammami, S; Orhan, IE; Aggarwal, BB; Perry, G; Miller, MJS; Heinrich, M; Bishayee, A; Kijjoa, A; Arkells, N; Bredt, D; Wink, M; Fiebich, BL; Kiran, G; Yeung, AWK; Gupta, GK; Santini, A; Lucarini, M; Durazzo, A; El-Demerdash, A; Dinkova-Kostova, AT; Cifuentes, A; Souto, EB; Zubair, MAM; Badhe, P; Echeverría, J; Horbanczuk, JO; Horbanczuk, OK; Sheridan, H; Sheshe, SM; Witkowska, AM; Abu-Reidah, IM; Riaz, M; Ullah, H; Oladipupo, AR; Lopez, V; Sethiya, NK; Shrestha, BG; Ravanan, P; Gupta, SC; Alzahrani, QE; Sreedhar, PD; Xiao, JB; Moosavi, MA; Subramani, PA; Singh, AK; Chettupalli, AK; Patra, JK; Singh, G; Karpinski, TM; Al-Rimawi, F; Abiri, R; Ahmed, AF; Barreca, D; Vats, S; Amrani, S; Fimognari, C; Mocan, A; Hritcu, L; Semwal, P; Rahaman, MS; Emerald, M; Akinrinde, AS; Singh, A; Joshi, A; Joshi, T; Khan, SY; Balla, GOA; Lu, AP; Pai, SR; Ghzaiel, I; Acar, N; Es-Safi, NE; Zengin, G; Kureshi, AA; Sharma, AK; Baral, B; Rani, N; Jeandet, P; Gulati, M; Kapoor, B; Mohanta, YK; Emam-Djomeh, Z; Onuku, R; Depew, JR; Atrooz, OM; Goh, BH; Andrade, JC; Konwar, B; Shine, VJ; Ferreira, JMLD; Ahmad, J; Chaturvedi, VK; Skalicka-Wozniak, K; Sharma, R; Gautam, RK; Granica, S; Parisi, S; Kumar, R; Atanasov, AG; Shen, BR</t>
  </si>
  <si>
    <t>Singla, Rajeev K.; De, Ronita; Efferth, Thomas; Mezzetti, Bruno; Uddin, Md Sahab; Sanusi; Ntie-Kang, Fidele; Wang, Dongdong; Schultz, Fabien; Kharat, Kiran R.; Devkota, Hari Prasad; Battino, Maurizio; Sur, Daniel; Lordan, Ronan; Patnaik, Sourav S.; Tsagkaris, Christos; Sai, Chandragiri Siva; Tripathi, Surya Kant; Gaman, Mihnea-Alexandru; Ahmed, Mosa E. O.; Gonzalez-Burgos, Elena; Babiaka, Smith B.; Paswan, Shravan Kumar; Odimegwu, Joy Ifunanya; Akram, Faizan; Simal-Gandara, Jesus; Urquiza, Magali S.; Tikhonov, Aleksei; Mondal, Himel; Singla, Shailja; Di Lonardo, Sara; Mulholland, Eoghan J.; Cenanovic, Merisa; Maigoro, Abdulkadir Yusif; Giampieri, Francesca; Lee, Soojin; Tzvetkov, Nikolay T.; Louka, Anna Maria; Verma, Pritt; Chopra, Hitesh; Olea, Scarlett Perez; Khan, Johra; Suarez, Jose M. Alvarez; Zheng, Xiaonan; Tomczyk, Michal; Sabnani, Manoj Kumar; Medina, Christhian Delfino Villanueva; Khalid, Garba M.; Boyina, Hemanth Kumar; Georgiev, Milen, I; Supuran, Claudiu T.; Sobarzo-Sanchez, Eduardo; Fan, Tai-Ping; Pittala, Valeria; Sureda, Antoni; Braidy, Nady; Russo, Gian Luigi; Vacca, Rosa Anna; Banach, Maciej; Lizard, Gerard; Zarrouk, Amira; Hammami, Sonia; Orhan, Ilkay Erdogan; Aggarwal, Bharat B.; Perry, George; Miller, Mark J. S.; Heinrich, Michael; Bishayee, Anupam; Kijjoa, Anake; Arkells, Nicolas; Bredt, David; Wink, Michael; Fiebich, Bernd L.; Kiran, Gangarapu; Yeung, Andy Wai Kan; Gupta, Girish Kumar; Santini, Antonello; Lucarini, Massimo; Durazzo, Alessandra; El-Demerdash, Amr; Dinkova-Kostova, Albena T.; Cifuentes, Alejandro; Souto, Eliana B.; Zubair, Muhammad Asim Masoom; Badhe, Pravin; Echeverria, Javier; Horbanczuk, Jaroslaw Olav; Horbanczuk, Olaf K.; Sheridan, Helen; Sheshe, Sadeeq Muhammad; Witkowska, Anna Maria; Abu-Reidah, Ibrahim M.; Riaz, Muhammad; Ullah, Hammad; Oladipupo, Akolade R.; Lopez, Victor; Sethiya, Neeraj Kumar; Shrestha, Bhupal Govinda; Ravanan, Palaniyandi; Gupta, Subash Chandra; Alzahrani, Qushmua E.; Sreedhar, Preethidan Dama; Xiao, Jianbo; Moosavi, Mohammad Amin; Subramani, Parasuraman Aiya; Singh, Amit Kumar; Chettupalli, Ananda Kumar; Patra, Jayanta Kumar; Singh, Gopal; Karpinski, Tomasz M.; Al-Rimawi, Fuad; Abiri, Rambod; Ahmed, Atallah F.; Barreca, Davide; Vats, Sharad; Amrani, Said; Fimognari, Carmela; Mocan, Andrei; Hritcu, Lucian; Semwal, Prabhakar; Rahaman, Md Shiblur; Emerald, Mila; Akinrinde, Akinleye Stephen; Singh, Abhilasha; Joshi, Ashima; Joshi, Tanuj; Khan, Shafaat Yar; Balla, Gareeballah Osman Adam; Lu, Aiping; Pai, Sandeep Ramchandra; Ghzaiel, Imen; Acar, Niyazi; Es-Safi, Nour Eddine; Zengin, Gokhan; Kureshi, Azazahemad A.; Sharma, Arvind Kumar; Baral, Bikash; Rani, Neeraj; Jeandet, Philippe; Gulati, Monica; Kapoor, Bhupinder; Mohanta, Yugal Kishore; Emam-Djomeh, Zahra; Onuku, Raphael; Depew, Jennifer R.; Atrooz, Omar M.; Goh, Bey Hing; Andrade, Jose Carlos; Konwar, Bikramjit; Shine, V. J.; Ferreira, Joao Miguel Lousa Dias; Ahmad, Jamil; Chaturvedi, Vivek K.; Skalicka-Wozniak, Krystyna; Sharma, Rohit; Gautam, Rupesh K.; Granica, Sebastian; Parisi, Salvatore; Kumar, Rishabh; Atanasov, Atanas G.; Shen, Bairong</t>
  </si>
  <si>
    <t>The International Natural Product Sciences Taskforce (INPST) and the power of Twitter networking exemplified through #INPST hashtag analysis</t>
  </si>
  <si>
    <t>PHYTOMEDICINE</t>
  </si>
  <si>
    <t>Background: The development of digital technologies and the evolution of open innovation approaches have enabled the creation of diverse virtual organizations and enterprises coordinating their activities primarily online. The open innovation platform titled International Natural Product Sciences Taskforce (INPST) was established in 2018, to bring together in collaborative environment individuals and organizations interested in natural product scientific research, and to empower their interactions by using digital communication tools. Methods: In this work, we present a general overview of INPST activities and showcase the specific use of Twitter as a powerful networking tool that was used to host a one-week 2021 INPST Twitter Networking Event (spanning from 31st May 2021 to 6th June 2021) based on the application of the Twitter hashtag #INPST. Results and Conclusion: The use of this hashtag during the networking event period was analyzed with Symplur Signals (https://www.symplur.com/), revealing a total of 6,036 tweets, shared by 686 users, which generated a total of 65,004,773 impressions (views of the respective tweets). This networking event's achieved high visibility and participation rate showcases a convincing example of how this social media platform can be used as a highly effective tool to host virtual Twitter-based international biomedical research events.</t>
  </si>
  <si>
    <t>Cifuentes, Alejandro/B-4715-2011; Ahmad, Jamil/AAO-3979-2021; Khan, Dr Johra/AAW-3957-2020; Gautam, Rupesh/AAV-5009-2020; Sur, Daniel/X-5257-2018; Mocan, Andrei/AAT-8274-2021; Sobarzo-Sánchez, Eduardo/B-1507-2012; Chaturvedi, Vivek/P-9066-2018; Giampieri, Francesca/I-1911-2015; Di Lonardo, Sara/A-6306-2013; Sureda, Antoni/N-9588-2019; Al-Rimawi, fuad/AAD-9205-2019; Sethiya, Neeraj/N-4300-2017; Semwal, Prabhakar/GNM-6472-2022; Joshi, Tanuj/AAV-2610-2020; Khan, Shafaat Yar/GRO-3887-2022; Atanasov, Atanas/C-5535-2013; Supuran, Claudiu/A-5151-2008; Echeverría, Javier/E-9989-2011; DE, RONITA/HDM-7066-2022; Lizard, Gerard/B-2439-2012; Tripathi, Surya/V-8688-2019; Sheshe, Sadeeq/KPY-2629-2024; ORHAN, ILKAY ERDOGAN/H-6092-2011; Shen, Bairong/W-1254-2019; Singla, Rajeev K./E-7271-2010; Santini, Antonello/J-4923-2019; Dinkova-Kostova, Albena/AEB-8168-2022; Vacca, Rosa/AAX-1388-2020; Singh, Gopal/AAG-8571-2020; Onuku, Raphael/AAY-7694-2021; Abiri, Rambod/AAG-9566-2019; El-Demerdash, Amr/GNM-9250-2022; Horbanczuk, Jaroslaw/ABD-8389-2021; Skalicka-Woźniak, Krystyna/AAJ-5579-2020; AKINRINDE, Akinleye/AEY-5669-2022; Badhe, Pravin/ABY-5633-2022; Chandragiri, Siva Sai/AEZ-3622-2022; Kharat, Kiran/H-7371-2013; Hritcu, Lucian/G-5378-2010; Kureshi, Azazahemad/T-8356-2018; Tsagkaris, Christos/Y-5951-2019; Abu-Reidah, Ibrahim/C-7957-2013; AMRANI, Said/Y-9919-2019; CHETTUPALLI, ANANDA KUMAR/ABC-6828-2020; Banach, Maciej/A-1271-2009; Yeung, Andy/M-4332-2019; PATRA, JAYANTA KUMAR/AEM-6689-2022; Fan, Tai-Ping/AAB-2773-2019; Fimognari, Carmela/J-7678-2019; Ahmed, Atallah/D-2381-2013; Ntie-Kang, Fidele/B-5877-2013; Chopra, Hitesh/AAA-6925-2021; Vats, Sharad/L-4058-2019; Goh, Bey Hing/I-4880-2015; López, Víctor/D-3830-2013; Ullah, Hammad/AAF-1802-2019; Braidy, Nady/G-4928-2012; Louka, Anna/AAT-8522-2021; Bishayee, Anupam/G-4290-2012; Devkota, Hari/H-9939-2019; Singh, Amit/V-8348-2019; Gupta, Girish/A-4523-2016; ES-SAFI, Nour-Eddine/A-3541-2008; Mezzetti, Bruno/AAB-8500-2019; Babiaka, Smith/H-3145-2019; Sabnani, Manoj Kumar/AAA-2634-2021; Xiao, Jianbo/C-7323-2012; Schultz, Fabien/N-4739-2017; Kapoor, Bhupinder/T-2156-2019; Georgiev, Milen/P-6948-2015; Durazzo, Alessandra/AAN-4182-2020; Baral, Bikash/HSG-0115-2023; González-Burgos, Elena/H-3471-2017; Battino, Maurizio/E-6103-2012; Souto, Eliana B./T-1645-2019; Akram, Faizan/KRQ-2703-2024; LU, Aiping/JDX-0577-2023; Palaniyandi, Ravanan/IYS-2167-2023; Lucarini, Massimo/AAL-9254-2020; Amira, Zarrouk/AFN-1200-2022; Heinrich, Michael/HSC-5705-2023; Emerald, Mila/ABC-9143-2020; Mohanta, Yugal Kishore/W-5896-2019; Emam-Djomeh, Zahra/D-2277-2016; Sheridan, Helen/O-6391-2016; Barreca, Davide/X-6802-2018; Tomczyk, Michał/G-2161-2016; Lee, Soo/ABA-5444-2020; Patnaik, Sourav/J-5445-2019; Riaz, Muhammad/A-3458-2014; Wink, Michael/E-3803-2012; aiya subramani, parasuraman/AAW-5248-2020; Gangarapu, Kiran/E-6047-2016; Karpinski, Tomasz/G-5645-2011; El-Demerdash, Amr/AAL-1613-2020; Alvarez-Suarez, Jose M./M-7160-2014; KUMAR, BOYINA HEMANTH/P-3770-2018; Singh, Dr Abhilasha/L-3857-2018; Simal-Gandara, Jesus/A-9533-2009; Paswan, Dr. Shravan Kumar/I-8235-2016; Mondal, Himel/G-5111-2017; Lordan, Ronan/F-7836-2019; Zengin, Gokhan/K-9393-2015; Sharma, Rohit/AAW-8347-2020; Gaman, Mihnea-Alexandru/O-4258-2016; Rahaman, Md. Shiblur/G-2244-2019; Atrooz, Omar/F-9110-2014; RUSSO, GIAN LUIGI/D-6333-2012; Wang, Dongdong/P-7257-2016; Dias-Ferreira, Joao/W-1957-2018; Perry, George/A-8611-2009; Garba Mohammed, Khalid/U-3137-2017; Witkowska, Anna/R-6026-2018; Parisi, Salvatore/B-6818-2013; Andrade, Jose/A-2456-2013</t>
  </si>
  <si>
    <t>Akram, Faizan/0000-0001-8454-255X; Patnaik, Sourav/0000-0001-7457-8604; Riaz, Muhammad/0000-0001-9327-1368; Dinkova-Kostova, Albena/0000-0003-0316-9859; Singh, Gopal/0000-0002-2113-4230; Vacca, Rosa Anna/0000-0003-2438-6449; Ahmad, Jamil/0000-0001-6935-215X; Georgiev, Milen I./0000-0001-5248-6135; Ntie-Kang, Fidele/0000-0003-0795-394X; AHMED, MOSA/0000-0002-7113-6111; Wink, Michael/0000-0002-7875-4510; aiya subramani, parasuraman/0000-0002-7394-5174; Sheshe, Sadeeq/0000-0001-9308-0609; KIJJOA, ANAKE/0000-0002-3321-1061; Gangarapu, Kiran/0000-0002-1187-135X; PATRA, JAYANTA KUMAR/0000-0003-4118-4355; Echeverria, Javier/0000-0002-1688-968X; Karpinski, Tomasz/0000-0001-6599-9204; El-Demerdash, Amr/0000-0001-6459-2955; Sanusi, Sanusi/0000-0002-8433-6462; Alvarez-Suarez, Jose M./0000-0001-8509-1498; Granica, Sebastian/0000-0002-1876-1321; KUMAR, BOYINA HEMANTH/0000-0003-0803-4400; Zarrouk, Amira/0000-0002-9190-5328; Singh, Dr Abhilasha/0000-0003-2274-0862; Simal-Gandara, Jesus/0000-0001-9215-9737; Singh, Dr. Amit Kumar/0000-0002-4438-4427; Paswan, Dr. Shravan Kumar/0000-0002-2729-6257; CHOPRA, HITESH/0000-0001-8867-7603; Mondal, Himel/0000-0001-6950-5857; Lordan, Ronan/0000-0001-9668-3368; kharat, kiran/0000-0002-6924-7453; Villanueva Medina, Christhian Delfino/0000-0003-4030-8280; Zengin, Gokhan/0000-0001-6548-7823; Sharma, Rohit/0000-0002-3682-3573; Kureshi, Azazahemad/0000-0003-4800-7634; Gaman, Mihnea-Alexandru/0000-0001-7133-8875; De, Ronita/0000-0002-1469-6139; Ullah, Hammad/0000-0001-9437-676X; Rahaman, Md. Shiblur/0000-0002-9920-4809; Baral, Bikash/0000-0003-2085-9528; Atrooz, Omar/0000-0003-0610-5201; RUSSO, GIAN LUIGI/0000-0001-9321-1613; Wang, Dongdong/0000-0002-6195-4428; Dias-Ferreira, Joao/0000-0002-8502-8701; Chaturvedi, Vivek K/0000-0002-0052-0933; Efferth, Thomas/0000-0002-2637-1681; GONZALEZ BURGOS, ELENA MARIA/0000-0003-2119-8768; Tomczyk, Michal/0000-0002-4063-1048; Perry, George/0000-0002-6547-0172; Lopez, Victor/0000-0001-6969-1055; Garba Mohammed, Khalid/0000-0003-4045-7702; Witkowska, Anna/0000-0002-0092-3409; Schultz, Fabien/0000-0003-1904-2430; Alzahrani, Qushmua/0000-0001-5305-799X; Sabnani, Manoj Kumar/0000-0002-3723-0315; Parisi, Salvatore/0000-0002-7354-4573; Supuran, Claudiu/0000-0003-4262-0323; , Antoni/0000-0001-8656-6838; Lee, Soojin/0000-0002-0383-5025; Andrade, Jose/0000-0002-2403-6062</t>
  </si>
  <si>
    <t>0944-7113</t>
  </si>
  <si>
    <t>1618-095X</t>
  </si>
  <si>
    <t>10.1016/j.phymed.2022.154520</t>
  </si>
  <si>
    <t>WOS:000898614600004</t>
  </si>
  <si>
    <t>Jones, BC; DeBruine, LM; Flake, JK; Liuzza, MT; Antfolk, J; Arinze, NC; Ndukaihe, ILG; Bloxsom, NG; Lewis, SC; Foroni, F; Willis, ML; Cubillas, CP; Vadillo, MA; Turiegano, E; Gilead, M; Simchon, A; Saribay, SA; Owsley, NC; Jang, CN; Mburu, G; Calvillo, DP; Wlodarczyk, A; Qi, Y; Ariyabuddhiphongs, K; Jarukasemthawee, S; Manley, H; Suavansri, P; Taephant, N; Stolier, RM; Evans, TR; Bonick, J; Lindemans, JW; Ashworth, LF; Hahn, AC; Chevallier, C; Kapucu, A; Karaaslan, A; Leongómez, JD; Sánchez, OR; Valderrama, E; Vásquez-Amézquita, M; Hajdu, N; Aczel, B; Szecsi, P; Andreychik, M; Musser, ED; Batres, C; Hu, CP; Liu, QL; Legate, N; Vaughn, LA; Barzykowski, K; Golik, K; Schmid, I; Stieger, S; Artner, R; Mues, C; Vanpaemel, W; Jiang, ZQ; Wu, Q; Marcu, GM; Stephen, ID; Lu, JG; Philipp, MC; Arnal, JD; Hehman, E; Xie, SY; Chopik, WJ; Seehuus, M; Azouaghe, S; Belhaj, A; Elouafa, J; Wilson, JP; Kruse, E; Papadatou-Pastou, M; De la Rosa-Gomez, A; Barba-Sánchez, AE; González-Santoyo, I; Hsu, TY; Kung, CC; Wang, HH; Freeman, JB; Oh, DW; Schei, V; Sverdrup, TE; Levitan, CA; Cook, CL; Chandel, P; Kujur, P; Parganiha, A; Parveen, N; Pati, AK; Pradhan, S; Singh, MM; Pande, B; Bavolar, J; Kacmár, P; Zakharov, I; Alvarez-Solas, S; Baskin, E; Thirkettle, M; Schmidt, K; Christopherson, CD; Leonis, T; Suchow, JW; Olofsson, JK; Jernsäther, T; Lee, AS; Beaudry, JL; Gogan, TD; Oldmeadow, JA; Balas, B; Stevens, LM; Colloff, MF; Flowe, HD; Gülgöz, S; Brandt, MJ; Hoyer, K; Jaeger, B; Ren, DN; Sleegers, WWA; Wissink, J; Kaminski, G; Floerke, VA; Urry, HL; Chen, SC; Pfuhl, G; Vally, Z; Basnight-Brown, DM; Jzerman, H; Sarda, E; Neyroud, L; Badidi, T; Van der Linden, N; Tan, CBY; Kovic, V; Sampaio, W; Ferreira, P; Santos, D; Burin, D; Gardiner, G; Protzko, J; Schild, C; Scigala, KA; Zettler, I; Kunz, EMO; Storage, D; Wagemans, FMA; Saunders, B; Sirota, M; Sloane, G; Lima, TJS; Uittenhove, K; Vergauwe, E; Jaworska, K; Stern, J; Ask, K; van Zyl, CJJ; Körner, A; Weissgerber, SC; Boudesseul, J; Ruiz-Dodobara, F; Ritchie, KL; Michalak, NM; Blake, KR; White, D; Gordon-Finlayson, AR; Anne, M; Janssen, SMJ; Lee, KM; Nielsen, TK; Tamnes, CK; Zickfeld, JH; Dalla Rosa, A; Vianello, M; Kocsor, F; Kozma, L; Putz, A; Tressoldi, P; Irrazabal, N; Chatard, A; Lins, S; Pinto, IR; Lutz, J; Adamkovic, M; Babincak, P; Baník, G; Ropovik, I; Coetzee, V; Dixson, BJW; Ribeiro, G; Peters, K; Steffens, NK; Tan, KW; Thorstenson, CA; Fernandez, AM; Hsu, RMCS; Valentova, JV; Varella, MAC; Corral-Frías, NS; Frías-Armenta, M; Hatami, J; Monajem, A; Sharifian, M; Frohlich, B; Lin, HS; Inzlicht, M; Alaei, R; Rule, NO; Lamm, C; Pronizius, E; Voracek, M; Olsen, J; Mac Giolla, E; Akgoz, A; Özdokru, AA; Crawford, MT; Bennett-Day, B; Koehn, MA; Okan, C; Gill, T; Miller, JK; Dunham, Y; Yang, X; Alper, S; Borras-Guevara, ML; Cai, SJ; Dong, TT; Danvers, AF; Feinberg, DR; Armstrong, MM; Gilboa-Schechtman, E; McCarthy, RJ; Muñoz-Reyes, JA; Polo, P; Shiramazu, VKM; Yan, WJ; Carvalho, L; Forscher, PS; Chartier, CR; Coles, NA</t>
  </si>
  <si>
    <t>Jones, Benedict C.; DeBruine, Lisa M.; Flake, Jessica K.; Liuzza, Marco Tullio; Antfolk, Jan; Arinze, Nwadiogo C.; Ndukaihe, Izuchukwu L. G.; Bloxsom, Nicholas G.; Lewis, Savannah C.; Foroni, Francesco; Willis, Megan L.; Cubillas, Carmelo P.; Vadillo, Miguel A.; Turiegano, Enrique; Gilead, Michael; Simchon, Almog; Saribay, S. Adil; Owsley, Nicholas C.; Jang, Chaning; Mburu, Georgina; Calvillo, Dustin P.; Wlodarczyk, Anna; Qi, Yue; Ariyabuddhiphongs, Kris; Jarukasemthawee, Somboon; Manley, Harry; Suavansri, Panita; Taephant, Nattasuda; Stolier, Ryan M.; Evans, Thomas R.; Bonick, Judson; Lindemans, Jan W.; Ashworth, Logan F.; Hahn, Amanda C.; Chevallier, Coralie; Kapucu, Aycan; Karaaslan, Aslan; Leongomez, Juan David; Sanchez, Oscar R.; Valderrama, Eugenio; Vasquez-Amezquita, Milena; Hajdu, Nandor; Aczel, Balazs; Szecsi, Peter; Andreychik, Michael; Musser, Erica D.; Batres, Carlota; Hu, Chuan-Peng; Liu, Qing-Lan; Legate, Nicole; Vaughn Leigh Ann; Barzykowski, Krystian; Golik, Karolina; Schmid, Irina; Stieger, Stefan; Artner, Richard; Mues, Chiel; Vanpaemel, Wolf; Jiang, Zhongqing; Wu, Qi; Marcu, Gabriela M.; Stephen, Ian D.; Lu, Jackson G.; Philipp, Michael C.; Arnal, Jack D.; Hehman, Eric; Xie, Sally Y.; Chopik, William J.; Seehuus, Martin; Azouaghe, Soufian; Belhaj, Abdelkarim; Elouafa, Jamal; Wilson, John P.; Kruse, Elliott; Papadatou-Pastou, Marietta; De la Rosa-Gomez, Anabel; Barba-Sanchez, Alan E.; Gonzalez-Santoyo, Isaac; Hsu, Tsuyueh; Kung, Chun-Chia; Wang, Hsiao-Hsin; Freeman, Jonathan B.; Oh, Dong Won; Schei, Vidar; Sverdrup, Therese E.; Levitan, Carmel A.; Cook, Corey L.; Chandel, Priyanka; Kujur, Pratibha; Parganiha, Arti; Parveen, Noorshama; Pati, Atanu Kumar; Pradhan, Sraddha; Singh, Margaret M.; Pande, Babita; Bavolar, Jozef; Kacmar, Pavol; Zakharov, Ilya; Alvarez-Solas, Sara; Baskin, Ernest; Thirkettle, Martin; Schmidt, Kathleen; Christopherson, Cody D.; Leonis, Trinity; Suchow, Jordan W.; Olofsson, Jonas K.; Jernsather, Teodor; Lee, Ai-Suan; Beaudry, Jennifer L.; Gogan, Taylor D.; Oldmeadow, Julian A.; Balas, Benjamin; Stevens, Laura M.; Colloff, Melissa F.; Flowe, Heather D.; Gulgoz, Sami; Brandt, Mark J.; Hoyer, Karlijn; Jaeger, Bastian; Ren, Dongning; Sleegers, Willem W. A.; Wissink, Joeri; Kaminski, Gwenael; Floerke, Victoria A.; Urry, Heather L.; Chen, Sau-Chin; Pfuhl, Gerit; Vally, Zahir; Basnight-Brown, Dana M.; Jzerman, Hans, I; Sarda, Elisa; Neyroud, Lison; Badidi, Touhami; Van der Linden, Nicolas; Tan, Chrystalle B. Y.; Kovic, Vanja; Sampaio, Waldir; Ferreira, Paulo; Santos, Diana; Burin, Debora, I; Gardiner, Gwendolyn; Protzko, John; Schild, Christoph; Scigala, Karolina A.; Zettler, Ingo; Kunz, Erin M. O'Mara; Storage, Daniel; Wagemans, Fieke M. A.; Saunders, Blair; Sirota, Miroslav; Sloane, Guyan, V; Lima, Tiago J. S.; Uittenhove, Kim; Vergauwe, Evie; Jaworska, Katarzyna; Stern, Julia; Ask, Karl; van Zyl, Casper J. J.; Korner, Anita; Weissgerber, Sophia C.; Boudesseul, Jordane; Ruiz-Dodobara, Fernando; Ritchie, Kay L.; Michalak, Nicholas M.; Blake, Khandis R.; White, David; Gordon-Finlayson, Alasdair R.; Anne, Michele; Janssen, Steve M. J.; Lee, Kean Mun; Nielsen, Tonje K.; Tamnes, Christian K.; Zickfeld, Janis H.; Dalla Rosa, Anna; Vianello, Michelangelo; Kocsor, Ferenc; Kozma, Luca; Putz, Adam; Tressoldi, Patrizio; Irrazabal, Natalia; Chatard, Armand; Lins, Samuel; Pinto, Isabel R.; Lutz, Johannes; Adamkovic, Matus; Babincak, Peter; Banik, Gabriel; Ropovik, Ivan; Coetzee, Vinet; Dixson, Barnaby J. W.; Ribeiro, Gianni; Peters, Kim; Steffens, Niklas K.; Tan, Kok Wei; Thorstenson, Christopher A.; Fernandez, Ana Maria; Hsu, Rafael M. C. S.; Valentova, Jaroslava V.; Varella, Marco A. C.; Corral-Frias, Nadia S.; Frias-Armenta, Martha; Hatami, Javad; Monajem, Arash; Sharifian, MohammadHasan; Frohlich, Brooke; Lin, Hause; Inzlicht, Michael; Alaei, Ravin; Rule, Nicholas O.; Lamm, Claus; Pronizius, Ekaterina; Voracek, Martin; Olsen, Jerome; Mac Giolla, Erik; Akgoz, Aysegul; Ozdokru, Asil A.; Crawford, Matthew T.; Bennett-Day, Brooke; Koehn, Monica A.; Okan, Ceylan; Gill, Tripat; Miller, Jeremy K.; Dunham, Yarrow; Yang, Xin; Alper, Sinan; Borras-Guevara, Martha Lucia; Cai, Sun Jun; Tiantian Dong; Danvers, Alexander F.; Feinberg, David R.; Armstrong, Marie M.; Gilboa-Schechtman, Eva; McCarthy, Randy J.; Munoz-Reyes, Jose Antonio; Polo, Pablo; Shiramazu, Victor K. M.; Yan, Wen-Jing; Carvalho, Lilian; Forscher, Patrick S.; Chartier, Christopher R.; Coles, Nicholas A.</t>
  </si>
  <si>
    <t>To which world regions does the valence-dominance model of social perception apply?</t>
  </si>
  <si>
    <t>Over the past 10 years, Oosterhof and Todorov's valence-dominance model has emerged as the most prominent account of how people evaluate faces on social dimensions. In this model, two dimensions (valence and dominance) underpin social judgements of faces. Because this model has primarily been developed and tested in Western regions, it is unclear whether these findings apply to other regions. We addressed this question by replicating Oosterhof and Todorov's methodology across 11 world regions, 41 countries and 11,570 participants. When we used Oosterhof and Todorov's original analysis strategy, the valence-dominance model generalized across regions. When we used an alternative methodology to allow for correlated dimensions, we observed much less generalization. Collectively, these results suggest that, while the valence-dominance model generalizes very well across regions when dimensions are forced to be orthogonal, regional differences are revealed when we use different extraction methods and correlate and rotate the dimension reduction solution.</t>
  </si>
  <si>
    <t>Andreychik, Michael/AAM-5637-2021; Arinze, Nwadiogo/AET-0515-2022; Musser, Erica/JTS-7801-2023; Stevens, Laura/JEO-8602-2023; Álvarez-Solas, Sara/AFR-6293-2022; Vadillo, Miguel/A-8702-2011; White, David/AAS-9824-2021; Balas, Ben/R-4003-2019; Flake, Jessica/IZE-2663-2023; Vásquez-Amézquita, Milena/AAK-9660-2021; Baník, Gabriel/AAW-5054-2021; Colloff, Melissa/ABB-2905-2020; Lindemans, Jan/IAM-0651-2023; Pinto, Isabel/F-2185-2013; Xie, Sally/ADB-7862-2022; Kocsor, Ferenc/P-7155-2019; Kovic, Vanja/K-4937-2019; OH, DONGWON/KCY-8214-2024; Baskin, Ernest/HGB-2757-2022; Wlodarczyk, Anna/HHC-3887-2022; Leongómez, Juan David/D-2885-2011; vanpaemel, wolf/AAC-9834-2022; Stephen, Ian/JVZ-6343-2024; Hatami, Javad/L-4750-2019; Koehn, Monica/AAF-4010-2020; Philipp, Michael/I-7003-2012; qi, yue/KLE-0386-2024; Frías Armenta, Martha/IXW-7281-2023; Calvillo, Dustin/H-9204-2019; Kačmár, Pavol/AAT-2990-2020; Lins, Samuel/B-9030-2015; Barzykowski, Krystian/AAJ-5797-2021; Evans, Thomas/H-5874-2019; Ritchie, Kay/A-3116-2013; Chuan-Peng, Hu/AAC-3050-2019; Basnight-Brown, Dana/ABC-1137-2021; Fernández, Ana/E-6429-2011; Lamm, Claus/B-3357-2014; Zakharov, Ilya/R-6389-2016; Schild, Christoph/J-4109-2019; Anne, Michele/V-1101-2019; Thorstenson, Christopher/AAM-3645-2020; Pati, Atanu/AAQ-5611-2020; Alper, Sinan/ABG-6854-2020; Aczel, Balazs/AFZ-2572-2022; Chevallier, Coralie/L-3120-2017; Zettler, Ingo/O-1233-2014; Hahn, Amanda/AAH-1106-2021; Forscher, Patrick/I-7730-2019; Ribeiro, Gianni/IUO-1942-2023; Babinčák, Peter/AAU-3753-2020; wu, qirui/GLU-4942-2022; Sharifian, MohammadHasan/IWU-5978-2023; Parganiha, Arti/AAR-7055-2021; KAPUCU, AYCAN/IYT-2921-2023; Yan, Wen-Jing/HJP-2682-2023; Seehuus, Martin/ABG-2394-2020; Karaaslan, Aslan/AAP-6069-2021; Gill, Tripat/AAJ-4735-2020; Christopherson, Cody/W-4107-2019; Voracek, Martin/S-5865-2016; Özdoğru, Asil/AAX-4229-2021; Pfuhl, Gerit/ITV-5679-2023; Hoyer, Karlijn/GLU-6488-2022; Protzko, John/AAL-4594-2020; Chen, Sau-Chin/AAB-4117-2019; Inzlicht, Michael/F-8292-2014; Cook, Corey/J-7685-2019; Papadatou-Pastou, Marietta/O-3216-2019; Turiegano, Enrique/M-8679-2013; Ndukaihe, Izuchukwu/AAI-3716-2020; Willis, Megan/IWM-5596-2023; gilead, michael/GMW-9288-2022; Peters, Kim/K-6138-2013; Chatard, Armand/N-9213-2017; Pronizius, Ekaterina/HOC-7460-2023; Kovic, Vanja/O-9504-2016; Munoz Reyes, Jose Antonio/D-2822-2012; Antfolk, Jan/D-2926-2018; Burin, D. I./AEJ-5975-2022; Feinberg, David/C-1249-2009; Marcu, Gabriela Mariana/C-4168-2011; Polo Rodrigo, Pablo/E-6878-2016; Sirota, Miroslav/A-2419-2017; Liuzza, Marco Tullio/A-9967-2012; Stern, Julia/AAQ-2810-2020; Foroni, Francesco/G-5469-2012; Kaminski, Gwenael/G-6394-2010; DE LA ROSA GOMEZ, ANABEL/M-8633-2017; Janssen, Steve/M-9894-2015; Stieger, Stefan/G-2572-2012; Varella Valentova, Jaroslava/K-8765-2012; Varella, Marco/S-5492-2016; Tressoldi, Patrizio/A-5566-2009; Tamnes, Christian Krog/P-8829-2018; Jones, Benedict/A-7850-2008; Adamkovic, Matus/AAE-3189-2020; Ropovik, Ivan/J-7404-2015; Wlodarczyk, Anna/K-4968-2014; Coetzee, Vinet/F-2155-2011; DeBruine, Lisa/A-6990-2008; Schild, Christoph/HGB-1183-2022; Vianello, Michelangelo/G-8919-2013; Sampaio, Waldir M./V-4353-2017; Bavolar, Jozef/Y-2285-2019; Dalla Rosa, Anna/AAI-7503-2020; Steffens, Niklas/D-3609-2016; Cubillas, Carmelo P./D-7790-2019</t>
  </si>
  <si>
    <t>Beaudry, Jennifer/0000-0003-1596-6708; Tan, Chrystalle B. Y./0000-0001-8557-2814; Banik, Gabriel/0000-0002-6601-3619; Jarukasemthawee, Somboon/0000-0002-4845-4656; Gilead, Michael/0000-0002-7009-5223; Alvarez Solas, Sara/0000-0002-8267-9816; Anne, Michele/0000-0003-2272-7350; Pronizius, Ekaterina/0000-0003-1446-196X; Putz, Adam/0000-0002-9367-0729; Ribeiro, Gianni/0000-0002-2594-8311; Gulgoz, Sami/0000-0002-1262-2347; Kovic, Vanja/0000-0002-3954-1125; Munoz Reyes, Jose Antonio/0000-0001-6275-8456; Stephen, Ian/0000-0001-9714-8295; Kozma, Luca/0000-0002-3297-629X; Antfolk, Jan/0000-0003-0334-4987; Pfuhl, Gerit/0000-0002-3271-6447; Seehuus, Martin/0000-0002-0068-1489; Burin, D. I./0000-0002-2515-719X; Feinberg, David/0000-0003-4179-1446; Marcu, Gabriela Mariana/0000-0003-2508-3749; Polo Rodrigo, Pablo/0000-0002-6366-933X; Gordon-Finlayson, Alasdair/0000-0002-8464-0552; Sirota, Miroslav/0000-0003-2117-9532; Dixson, Barnaby/0000-0003-0911-1244; Barzykowski, Krystian/0000-0003-4016-3966; vanpaemel, wolf/0000-0002-5855-3885; Lewis, Savannah/0000-0002-9948-1195; Calvillo, Dustin/0000-0002-6747-9605; Liuzza, Marco Tullio/0000-0001-6708-1253; Boudesseul, Jordane/0000-0001-7920-4812; Philipp, Michael/0000-0001-8203-8018; Qi, Yue/0000-0002-7546-0613; Karaaslan, Aslan/0000-0003-3325-4122; Jaworska, Katarzyna/0000-0001-6482-1498; Stern, Julia/0000-0001-8749-6392; Foroni, Francesco/0000-0002-4702-3678; Kaminski, Gwenael/0000-0001-5300-5655; DE LA ROSA GOMEZ, ANABEL/0000-0002-3527-1500; Schmidt, Kathleen/0000-0002-9946-5953; Colloff, Melissa/0000-0001-6401-4872; Janssen, Steve/0000-0002-3100-128X; Stieger, Stefan/0000-0002-7784-6624; KAPUCU, AYCAN/0000-0001-7340-9876; Varella Valentova, Jaroslava/0000-0002-2113-3385; Gogan, Taylor/0000-0002-4212-5122; Brandt, Mark/0000-0002-7185-7031; Oh, DongWon/0000-0002-2105-3756; Varella, Marco/0000-0002-7274-7360; Tressoldi, Patrizio/0000-0002-6404-0058; Tamnes, Christian Krog/0000-0002-9191-6764; Pradhan, Sraddha/0000-0001-9803-3940; Korner, Anita/0000-0003-3761-2118; Coles, Nicholas/0000-0001-8583-5610; Jernsather, Teodor/0000-0002-7030-3299; Koehn, Monica/0000-0002-4413-7709; Jones, Benedict/0000-0001-7777-0220; Adamkovic, Matus/0000-0002-9648-9108; Turiegano, Enrique/0000-0003-4620-7894; Ropovik, Ivan/0000-0001-5222-1233; Wlodarczyk, Anna/0000-0003-2106-5324; Babincak, Peter/0000-0002-3407-6631; Jaeger, Bastian/0000-0002-4398-9731; Vasquez Amezquita, Milena/0000-0001-7317-8430; Evans, Thomas/0000-0002-6670-0718; Ozdogru, Asil/0000-0002-4273-9394; Leongomez, Juan David/0000-0002-0092-6298; Coetzee, Vinet/0000-0003-1716-0804; DeBruine, Lisa/0000-0002-7523-5539; Ruiz-Dodobara, Fernando/0000-0003-1587-5996; Ndukaihe, Izuchukwu/0000-0003-3714-6946; Schild, Christoph/0000-0002-6668-5773; Vianello, Michelangelo/0000-0002-1530-1469; Arinze, Nwadiogo Chisom/0000-0002-2531-6250; Cook, Corey/0000-0001-5493-9273; Flowe, Heather/0000-0001-5343-5313; Saunders, Blair/0000-0001-7102-2678; Ariyabuddhiphongs, Kris/0000-0002-4235-6852; Sampaio, Waldir M./0000-0002-6066-4314; Bavolar, Jozef/0000-0003-0179-7261; Dalla Rosa, Anna/0000-0003-4862-4077; Vergauwe, Evie/0000-0002-7339-2370; G-Santoyo, Isaac/0000-0002-1484-9836; Steffens, Niklas/0000-0002-3990-2592; Kacmar, Pavol/0000-0003-0076-1945; Lee, Ai-Suan/0000-0001-7977-177X; Thirkettle, Martin/0000-0002-6200-3130; Forscher, Patrick/0000-0002-7763-3565; Cubillas, Carmelo P./0000-0002-2012-7071</t>
  </si>
  <si>
    <t>10.1038/s41562-020-01007-2</t>
  </si>
  <si>
    <t>WOS:000604837700009</t>
  </si>
  <si>
    <t>Abe, S; Abhir, J; Abhishek, A; Acero, F; Acharyya, A; Adam, R; Aguasca-Cabot, A; Agudo, I; Aguirre-Santaella, A; Alfaro, J; Alfaro, R; Alvarez-Crespo, N; Batista, RA; Amans, JP; Amato, E; Ambrosi, G; Angel, L; Aramo, C; Arcaro, C; Arnesen, TTH; Arrabito, L; Asano, K; Ascasibar, Y; Aschersleben, J; Ashkar, H; Backes, M; Baktash, A; Balazs, C; Balbo, M; Larriva, AB; Martins, VB; de Almeida, UB; Barrio, JA; Batkovic, I; Batzofin, R; Baxter, J; González, JB; Beck, G; Benbow, W; Berge, D; Bernardini, E; Bernete, J; Bernlöhr, K; Berti, A; Bertucci, B; Bhattacharjee, P; Bhattacharyya, S; Bigongiari, C; Biland, A; Bissaldi, E; Biteau, J; Blanch, O; Blazek, J; Bocchino, F; Boisson, C; Bolmont, J; Bonnoli, G; Bonollo, A; Bordas, P; Bosnjak, Z; Bottacini, E; Böttcher, M; Bringmann, T; Bronzini, E; Brose, R; Brown, AM; Brunelli, G; Bulgarelli, A; Bulik, T; Burelli, I; Burmistrov, L; Burton, M; Buscemi, M; Bylund, T; Cailleux, J; Campoy-Ordaz, A; Cantlay, BK; Capasso, G; Caproni, A; Capuzzo-Dolcetta, R; Caraveo, P; Caroff, S; Carosi, A; Carosi, R; Carquin, E; Carrasco, MS; Cassol, F; Castaldini, L; Castrejon, N; Castro-Tirado, AJ; Cerasole, D; Cerruti, M; Chadwick, PM; Chaty, S; Chen, AW; Chernyakova, M; Chiavassa, A; Chudoba, J; Chytka, L; Cicciari, GM; Cifuentes, A; Araujo, CHC; Colapietro, M; Conforti, V; Conte, F; Contreras, JL; Costa, A; Costantini, H; Cotter, G; Cristofari, P; Cuevas, O; Curtis-Ginsberg, Z; D'Amico, G; D'Ammando, F; Dai, S; Dalchenko, M; Dazzi, F; De Angelis, A; de Lavergne, MD; De Caprio, V; Dal Pino, EMD; De Lotto, B; De Lucia, M; de Menezes, R; de Naurois, M; de Souza, V; del Peral, L; del Valle, MV; Giler, AGD; Mengual, JD; Delgado, C; Dell'aiera, M; della Volpe, D; Depaoli, D; Di Girolamo, T; Di Piano, A; Di Pierro, F; Di Tria, R; Di Venere, L; Díaz, C; Diebold, S; Dinesh, A; Djuvsland, J; Dominik, RM; Prester, DD; Donini, A; Dorner, D; Dörner, J; Doro, M; Dournaux, JL; Duangchan, C; Dubos, C; Ducci, L; Dwarkadas, VV; Ebr, J; Eckner, C; Egberts, K; Einecke, S; Elsässer, D; Emery, G; Errando, M; Escanuela, C; Escarate, P; Godoy, ME; Escudero, J; Esposito, P; Ettori, S; Falceta-Goncalves, D; Fedorova, E; Fegan, S; Feng, Q; Ferrand, G; Ferrarotto, F; Fiandrini, E; Fiasson, A; Filipovic, M; Fioretti, V; Fiori, M; Foffano, L; Guiteras, LF; Fontaine, G; Fröse, S; Fukazawa, Y; Fukui, Y; Furniss, A; Galanti, G; Galaz, G; Galelli, C; Gallozzi, S; Gammaldi, V; Garczarczyk, M; Gasbarra, C; Gasparrini, D; Ghalumyan, A; Gianotti, F; Giarrusso, M; Paiva, JGGF; Giglietto, N; Giordano, F; Giuffrida, R; Glicenstein, JF; Glombitza, J; Goldoni, P; González, JM; González, MM; Coelho, JG; Gradetzke, T; Granot, J; Grasso, D; Grau, R; Gréaux, L; Green, D; Green, JG; Grolleron, G; Guedes, LMV; Gueta, O; Hackfeld, J; Hadasch, D; Hamal, P; Hanlon, W; Hara, S; Harvey, VM; Hassan, T; Hayashi, K; Hess, B; Heckmann, L; Heller, M; Cadena, SH; Hervet, O; Hinton, J; Hiroshima, N; Hnatyk, B; Hnatyk, R; Hofmann, W; Holder, J; Horan, D; Horvath, P; Hovatta, T; Hrabovsky, M; Hrupec, D; Iarlori, M; Inada, T; Incardona, F; Inoue, S; Inoue, Y; Iocco, F; Iori, M; Ishio, K; Jamrozy, M; Janecek, P; Jankowsky, F; Jean, P; Quiles, JJ; Jin, W; Juramy-Gilles, C; Jurysek, J; Kagaya, M; Kalekin, O; Karas, V; Katagiri, H; Kataoka, J; Kaufmann, S; Kazanas, D; Kerszberg, D; Kieda, DB; Kleiner, T; Kluge, G; Kobayashi, Y; Kohri, K; Komin, N; Kornecki, P; Kosack, K; Kowal, G; Kubo, H; Kushida, J; La Barbera, A; La Palombara, N; Láinez, M; Lamastra, A; Lapington, J; Laporte, P; Lazarevic, S; Lazendic-Galloway, J; Lemoine-Goumard, M; Lenain, JP; Leone, F; Leonora, E; Leto, G; Lindfors, E; Linhoff, M; Liodakis, I; Lipniacka, A; Lombardi, S; Longo, F; López-Coto, R; López-Moya, M; López-Oramas, A; Loporchio, S; Bahilo, JL; Luque-Escamilla, PL; Macias, O; Majumdar, P; Mallamaci, M; Malyshev, D; Mandat, D; Manicò, G; Mariotti, M; Márquez, I; Marquez, P; Marsella, G; Martí, J; Martínez, GA; Martínez, M; Martinez, O; Marty, C; Mas-Aguilar, A; Mastropietro, M; Mazin, D; Menchiari, S; Mestre, E; Meunier, JL; Meyer, DMA; Meyer, M; Miceli, D; Miceli, M; Michailidis, M; Michalowski, J; Miener, T; Miranda, JM; Mitchell, A; Mizote, M; Mizuno, T; Moderski, R; Molero, M; Molfese, C; Molina, E; Montaruli, T; Moralejo, A; Morcuende, D; Morselli, A; Moulin, E; Zamanillo, VM; Munari, K; Murach, T; Muraczewski, A; Muraishi, H; Nakamori, T; Nayak, A; Nemmen, R; Neto, JP; Nickel, L; Niemiec, J; Nieto, D; Rosillo, MN; Nikolajuk, M; Nikolic, L; Nishijima, K; Noda, K; Nosek, D; Novotny, V; Nozaki, S; Ohishi, M; Ohtani, Y; Okumura, A; Olive, JF; Ong, RA; Orienti, M; Orito, R; Orlandini, M; Orlando, E; Orlando, S; Ostrowski, M; Otero-Santos, J; Oya, I; Pagano, I; Pagliaro, A; Palatiello, M; Panebianco, G; Paneque, D; Pantaleo, FR; Paredes, JM; Parmiggiani, N; Patricelli, B; Pe'er, A; Pech, M; Pecimotika, M; Pensec, U; Peresano, M; Pérez-Romero, J; Persic, M; Peters, KP; Petruk, O; Piano, G; Pierre, E; Pietropaolo, E; Pihet, M; Pinchbeck, L; Pirola, G; Pittori, C; Plard, C; Podobnik, F; Pohl, M; Pollet, V; Ponti, G; Prandini, E; Principe, G; Priyadarshi, C; Produit, N; Prouza, M; Pueschel, E; Pühlhofer, G; Pumo, ML; Queiroz, F; Quirrenbach, A; Rainò, S; Rando, R; Razzaque, S; Regeard, M; Reimer, A; Reimer, O; Reisenegger, A; Rhode, W; Ribeiro, D; Ribó, M; Ricci, C; Richtler, T; Rico, J; Rieger, F; Riitano, L; Rizi, V; Roache, E; Fernandez, GR; Frías, MDR; Rodríguez-Vázquez, JJ; Romano, P; Romeo, G; Rosado, J; de Leon, AR; Rowell, G; Rudak, B; Ruiter, AJ; Rulten, CB; Sadeh, I; Saha, L; Saito, T; Salzmann, H; Sánchez-Conde, M; Sandaker, H; Sangiorgi, P; Sano, H; Santander, M; Santos-Lima, R; Sapienza, V; Saric, T; Sarkar, A; Sarkar, S; Saturni, FG; Savarese, S; Scherer, A; Schiavone, F; Schipani, P; Schleicher, B; Schovanek, P; Schubert, JL; Schwanke, U; Arroyo, MS; Seitenzahl, IR; Sergijenko, O; Servillat, M; Siegert, T; Siejkowski, H; Siqueira, C; Sliusar, V; Slowikowska, A; Sol, H; Spencer, ST; Spiga, D; Stamerra, A; Stanic, S; Starecki, T; Starling, R; Stawarz, L; Steppa, C; Hatlen, ES; Stolarczyk, T; Striskovic, J; Suda, Y; Swierk, P; Tajima, H; Tak, D; Takahashi, M; Takeishi, R; Tavernier, T; Tejedor, LA; Terauchi, K; Teshima, M; Testa, V; Tian, WW; Tibaldo, L; Tibolla, O; Peixoto, CJT; Torradeflot, F; Torres, DF; Tosti, G; Tothill, N; Toussenel, F; Tramacere, A; Travnicek, P; Tripodo, G; Trois, A; Truzzi, S; Tutone, A; Vaclavek, L; Vacula, M; Vallania, P; Vallés, R; van Eldik, C; van Scherpenberg, J; Vandenbroucke, J; Vassiliev, V; Acosta, MV; Vecchi, M; Ventura, S; Vercellone, S; Verna, G; Viana, A; Viaux, N; Vigliano, A; Vignatti, J; Vigorito, CF; Villanueva, J; Visentin, E; Vitale, V; Vodeb, V; Voisin, V; Voitsekhovskyi, V; Vorobiov, S; Voutsinas, G; Vovk, I; Vuillaume, T; Wagner, SJ; Walter, R; White, M; White, R; Wierzcholska, A; Will, M; Williams, DA; Wohlleben, F; Wolter, A; Yamamoto, T; Yang, L; Yoshida, T; Yoshikoshi, T; Zaharijas, G; Zampieri, L; Sanchez, RZ; Zavrtanik, D; Zavrtanik, M; Zdziarski, AA; Zech, A; Zhang, W; Zhdanov, VI; Zietara, K; Zivec, M; Zuriaga-Puig, J</t>
  </si>
  <si>
    <t>Abe, S.; Abhir, J.; Abhishek, A.; Acero, F.; Acharyya, A.; Adam, R.; Aguasca-Cabot, A.; Agudo, I.; Aguirre-Santaella, A.; Alfaro, J.; Alfaro, R.; Alvarez-Crespo, N.; Alves Batista, R.; Amans, J. -P.; Amato, E.; Ambrosi, G.; Angel, L.; Aramo, C.; Arcaro, C.; Arnesen, T. T. H.; Arrabito, L.; Asano, K.; Ascasibar, Y.; Aschersleben, J.; Ashkar, H.; Backes, M.; Baktash, A.; Balazs, C.; Balbo, M.; Baquero Larriva, A.; Martins, V. Barbosa; Barres de Almeida, U.; Barrio, J. A.; Batkovic, I.; Batzofin, R.; Baxter, J.; Becerra Gonzalez, J.; Beck, G.; Benbow, W.; Berge, D.; Bernardini, E.; Bernete, J.; Bernloehr, K.; Berti, A.; Bertucci, B.; Bhattacharjee, P.; Bhattacharyya, S.; Bigongiari, C.; Biland, A.; Bissaldi, E.; Biteau, J.; Blanch, O.; Blazek, J.; Bocchino, F.; Boisson, C.; Bolmont, J.; Bonnoli, G.; Bonollo, A.; Bordas, P.; Bosnjak, Z.; Bottacini, E.; Bottcher, M.; Bringmann, T.; Bronzini, E.; Brose, R.; Brown, A. M.; Brunelli, G.; Bulgarelli, A.; Bulik, T.; Burelli, I.; Burmistrov, L.; Burton, M.; Buscemi, M.; Bylund, T.; Cailleux, J.; Campoy-Ordaz, A.; Cantlay, B. K.; Capasso, G.; Caproni, A.; Capuzzo-Dolcetta, R.; Caraveo, P.; Caroff, S.; Carosi, A.; Carosi, R.; Carquin, E.; Carrasco, M. -S.; Cassol, F.; Castaldini, L.; Castrejon, N.; Castro-Tirado, A. J.; Cerasole, D.; Cerruti, M.; Chadwick, P. M.; Chaty, S.; Chen, A. W.; Chernyakova, M.; Chiavassa, A.; Chudoba, J.; Chytka, L.; Cicciari, G. M.; Cifuentes, A.; Coimbra Araujo, C. H.; Colapietro, M.; Conforti, V.; Conte, F.; Contreras, J. L.; Costa, A.; Costantini, H.; Cotter, G.; Cristofari, P.; Cuevas, O.; Curtis-Ginsberg, Z.; D'Amico, G.; D'Ammando, F.; Dai, S.; Dalchenko, M.; Dazzi, F.; De Angelis, A.; de Lavergne, M. de Bony; De Caprio, V.; de Gouveia Dal Pino, E. M.; De Lotto, B.; De Lucia, M.; de Menezes, R.; de Naurois, M.; de Souza, V.; del Peral, L.; del Valle, M. V.; Delgado Giler, A. G.; Delgado Mengual, J.; Delgado, C.; Dell'aiera, M.; della Volpe, D.; Depaoli, D.; Di Girolamo, T.; Di Piano, A.; Di Pierro, F.; Di Tria, R.; Di Venere, L.; Diaz, C.; Diebold, S.; Dinesh, A.; Djuvsland, J.; Dominik, R. M.; Prester, D. Dominis; Donini, A.; Dorner, D.; Doerner, J.; Doro, M.; Dournaux, J. -L.; Duangchan, C.; Dubos, C.; Ducci, L.; Dwarkadas, V. V.; Ebr, J.; Eckner, C.; Egberts, K.; Einecke, S.; Elsaesser, D.; Emery, G.; Errando, M.; Escanuela, C.; Escarate, P.; Godoy, M. Escobar; Escudero, J.; Esposito, P.; Ettori, S.; Falceta-Goncalves, D.; Fedorova, E.; Fegan, S.; Feng, Q.; Ferrand, G.; Ferrarotto, F.; Fiandrini, E.; Fiasson, A.; Filipovic, M.; Fioretti, V.; Fiori, M.; Foffano, L.; Font Guiteras, L.; Fontaine, G.; Froese, S.; Fukazawa, Y.; Fukui, Y.; Furniss, A.; Galanti, G.; Galaz, G.; Galelli, C.; Gallozzi, S.; Gammaldi, V.; Garczarczyk, M.; Gasbarra, C.; Gasparrini, D.; Ghalumyan, A.; Gianotti, F.; Giarrusso, M.; Giesbrecht Formiga Paiva, J. G.; Giglietto, N.; Giordano, F.; Giuffrida, R.; Glicenstein, J. -F.; Glombitza, J.; Goldoni, P.; Gonzalez, J. M.; Gonzalez, M. M.; Goulart Coelho, J.; Gradetzke, T.; Granot, J.; Grasso, D.; Grau, R.; Greaux, L.; Green, D.; Green, J. G.; Grolleron, G.; Guedes, L. M. V.; Gueta, O.; Hackfeld, J.; Hadasch, D.; Hamal, P.; Hanlon, W.; Hara, S.; Harvey, V. M.; Hassan, T.; Hayashi, K.; Hess, B.; Heckmann, L.; Heller, M.; Hernandez Cadena, S.; Hervet, O.; Hinton, J.; Hiroshima, N.; Hnatyk, B.; Hnatyk, R.; Hofmann, W.; Holder, J.; Horan, D.; Horvath, P.; Hovatta, T.; Hrabovsky, M.; Hrupec, D.; Iarlori, M.; Inada, T.; Incardona, F.; Inoue, S.; Inoue, Y.; Iocco, F.; Iori, M.; Ishio, K.; Jamrozy, M.; Janecek, P.; Jankowsky, F.; Jean, P.; Jimenez Quiles, J.; Jin, W.; Juramy-Gilles, C.; Jurysek, J.; Kagaya, M.; Kalekin, O.; Karas, V.; Katagiri, H.; Kataoka, J.; Kaufmann, S.; Kazanas, D.; Kerszberg, D.; Kieda, D. B.; Kleiner, T.; Kluge, G.; Kobayashi, Y.; Kohri, K.; Komin, N.; Kornecki, P.; Kosack, K.; Kowal, G.; Kubo, H.; Kushida, J.; La Barbera, A.; La Palombara, N.; Lainez, M.; Lamastra, A.; Lapington, J.; Laporte, P.; Lazarevic, S.; Lazendic-Galloway, J.; Lemoine-Goumard, M.; Lenain, J. -P.; Leone, F.; Leonora, E.; Leto, G.; Lindfors, E.; Linhoff, M.; Liodakis, I.; Lipniacka, A.; Lombardi, S.; Longo, F.; Lopez-Coto, R.; Lopez-Moya, M.; Lopez-Oramas, A.; Loporchio, S.; Lozano Bahilo, J.; Luque-Escamilla, P. L.; Macias, O.; Majumdar, P.; Mallamaci, M.; Malyshev, D.; Mandat, D.; Manico, G.; Mariotti, M.; Marquez, I.; Marquez, P.; Marsella, G.; Marti, J.; Martinez, G. A.; Martinez, M.; Martinez, O.; Marty, C.; Mas-Aguilar, A.; Mastropietro, M.; Mazin, D.; Menchiari, S.; Mestre, E.; Meunier, J. -L.; Meyer, D. M. -A.; Meyer, M.; Miceli, D.; Miceli, M.; Michailidis, M.; Michalowski, J.; Miener, T.; Miranda, J. M.; Mitchell, A.; Mizote, M.; Mizuno, T.; Moderski, R.; Molero, M.; Molfese, C.; Molina, E.; Montaruli, T.; Moralejo, A.; Morcuende, D.; Morselli, A.; Moulin, E.; Moya Zamanillo, V.; Munari, K.; Murach, T.; Muraczewski, A.; Muraishi, H.; Nakamori, T.; Nayak, A.; Nemmen, R.; Neto, J. P.; Nickel, L.; Niemiec, J.; Nieto, D.; Nievas Rosillo, M.; Nikolajuk, M.; Nikolic, L.; Nishijima, K.; Noda, K.; Nosek, D.; Novotny, V.; Nozaki, S.; Ohishi, M.; Ohtani, Y.; Okumura, A.; Olive, J. -F.; Ong, R. A.; Orienti, M.; Orito, R.; Orlandini, M.; Orlando, E.; Orlando, S.; Ostrowski, M.; Otero-Santos, J.; Oya, I.; Pagano, I.; Pagliaro, A.; Palatiello, M.; Panebianco, G.; Paneque, D.; Pantaleo, F. R.; Paredes, J. M.; Parmiggiani, N.; Patricelli, B.; Pe'er, A.; Pech, M.; Pecimotika, M.; Pensec, U.; Peresano, M.; Perez-Romero, J.; Persic, M.; Peters, K. P.; Petruk, O.; Piano, G.; Pierre, E.; Pietropaolo, E.; Pihet, M.; Pinchbeck, L.; Pirola, G.; Pittori, C.; Plard, C.; Podobnik, F.; Pohl, M.; Pollet, V.; Ponti, G.; Prandini, E.; Principe, G.; Priyadarshi, C.; Produit, N.; Prouza, M.; Pueschel, E.; Puehlhofer, G.; Pumo, M. L.; Queiroz, F.; Quirrenbach, A.; Raino, S.; Rando, R.; Razzaque, S.; Regeard, M.; Reimer, A.; Reimer, O.; Reisenegger, A.; Rhode, W.; Ribeiro, D.; Ribo, M.; Ricci, C.; Richtler, T.; Rico, J.; Rieger, F.; Riitano, L.; Rizi, V.; Roache, E.; Fernandez, G. Rodriguez; Rodriguez Frias, M. D.; Rodriguez-Vazquez, J. J.; Romano, P.; Romeo, G.; Rosado, J.; de Leon, A. Rosales; Rowell, G.; Rudak, B.; Ruiter, A. J.; Rulten, C. B.; Sadeh, I.; Saha, L.; Saito, T.; Salzmann, H.; Sanchez-Conde, M.; Sandaker, H.; Sangiorgi, P.; Sano, H.; Santander, M.; Santos-Lima, R.; Sapienza, V.; Saric, T.; Sarkar, A.; Sarkar, S.; Saturni, F. G.; Savarese, S.; Scherer, A.; Schiavone, F.; Schipani, P.; Schleicher, B.; Schovanek, P.; Schubert, J. L.; Schwanke, U.; Seglar Arroyo, M.; Seitenzahl, I. R.; Sergijenko, O.; Servillat, M.; Siegert, T.; Siejkowski, H.; Siqueira, C.; Sliusar, V.; Slowikowska, A.; Sol, H.; Spencer, S. T.; Spiga, D.; Stamerra, A.; Stanic, S.; Starecki, T.; Starling, R.; Stawarz, L.; Steppa, C.; Hatlen, E. Saether; Stolarczyk, T.; Striskovic, J.; Suda, Y.; Swierk, P.; Tajima, H.; Tak, D.; Takahashi, M.; Takeishi, R.; Tavernier, T.; Tejedor, L. A.; Terauchi, K.; Teshima, M.; Testa, V.; Tian, W. W.; Tibaldo, L.; Tibolla, O.; Todero Peixoto, C. J.; Torradeflot, F.; Torres, D. F.; Tosti, G.; Tothill, N.; Toussenel, F.; Tramacere, A.; Travnicek, P.; Tripodo, G.; Trois, A.; Truzzi, S.; Tutone, A.; Vaclavek, L.; Vacula, M.; Vallania, P.; Valles, R.; van Eldik, C.; van Scherpenberg, J.; Vandenbroucke, J.; Vassiliev, V.; Vazquez Acosta, M.; Vecchi, M.; Ventura, S.; Vercellone, S.; Verna, G.; Viana, A.; Viaux, N.; Vigliano, A.; Vignatti, J.; Vigorito, C. F.; Villanueva, J.; Visentin, E.; Vitale, V.; Vodeb, V.; Voisin, V.; Voitsekhovskyi, V.; Vorobiov, S.; Voutsinas, G.; Vovk, I.; Vuillaume, T.; Wagner, S. J.; Walter, R.; White, M.; White, R.; Wierzcholska, A.; Will, M.; Williams, D. A.; Wohlleben, F.; Wolter, A.; Yamamoto, T.; Yang, L.; Yoshida, T.; Yoshikoshi, T.; Zaharijas, G.; Zampieri, L.; Sanchez, R. Zanmar; Zavrtanik, D.; Zavrtanik, M.; Zdziarski, A. A.; Zech, A.; Zhang, W.; Zhdanov, V. I.; Zietara, K.; Zivec, M.; Zuriaga-Puig, J.</t>
  </si>
  <si>
    <t>CTAO Consortium</t>
  </si>
  <si>
    <t>Dark matter line searches with the Cherenkov Telescope Array</t>
  </si>
  <si>
    <t>JOURNAL OF COSMOLOGY AND ASTROPARTICLE PHYSICS</t>
  </si>
  <si>
    <t>Monochromatic gamma-ray signals constitute a potential smoking gun signature for annihilating or decaying dark matter particles that could relatively easily be distinguished from astrophysical or instrumental backgrounds. We provide an updated assessment of the sensitivity of the Cherenkov Telescope Array (CTA) to such signals, based on observations of the Galactic centre region as well as of selected dwarf spheroidal galaxies. We find that current limits and detection prospects for dark matter masses above 300 GeV will be significantly improved, by up to an order of magnitude in the multi-TeV range. This demonstrates that CTA will set a new standard for gamma-ray astronomy also in this respect, as the world's largest and most sensitive high-energy gamma-ray observatory, in particular due to its exquisite energy resolution at TeV energies and the adopted observational strategy focussing on regions with large dark matter densities. Throughout our analysis, we use up-to-date instrument response functions, and we thoroughly model the effect of instrumental systematic uncertainties in our statistical treatment. We further present results for other potential signatures with sharp spectral features, e.g. box-shaped spectra, that would likewise very clearly point to a particle dark matter origin.</t>
  </si>
  <si>
    <t>Álvarez Crespo, Nuria/ABH-5375-2020; Fioretti, Valentina/GRS-4604-2022; Zavrtanik, Danilo/A-1895-2019; Farrell, Matthew/KIE-2978-2024; Lemoine-Goumard, Marianne/N-5568-2015; Dominis Prester, Dijana/O-5014-2018; López-Moya, Marcos/L-2304-2014; Christov, Asen/S-4508-2018; Pohl, Martin/P-4920-2017; Fernandez, Gonzalo/C-1432-2014; Gonzalez, María/I-2004-2015; Dal Pino, Elisabete/H-9560-2013; Blazek, Jiri/Q-5234-2017; Wierzcholska, Alicja/AAV-2997-2021; Feng, Qi/KVZ-4054-2024; Heckmann, Lea/JDD-1794-2023; Luque-Escamilla, Pedro/Y-6279-2019; Hernandez, Sergio/MIK-4004-2025; Boettcher, Michael/P-6128-2018; Casanova, Sabrina/AAG-5332-2021; Incardona, Federico/MIK-6041-2025; Molero, Marta/KEH-9623-2024; López-Oramas, Alicia/HLP-6989-2023; della Volpe, Domenico/B-4482-2012; Produit, Nicolas/A-4121-2012; Novotny, Vilem/E-9764-2018; Principe, Giacomo/AHD-0733-2022; Chudoba, Jiri/G-7737-2014; Travnicek, Pavel/G-8608-2014; Carquin, Edson/GLU-9641-2022; Mariotti, M./I-7301-2016; Santos, Jaires/Q-6771-2019; Kerszberg, Daniel/AAB-3175-2019; Zuriaga-Puig, Jaume/JRW-1268-2023; Jean, Pierre-Olivier/L-8876-2016; Siqueira, Clarissa/AAR-7216-2020; Vazquez Acosta, Monica/AAB-2841-2019; Barbosa Martins, Victor/C-3696-2016; Vaclavek, Lukas/JGE-3436-2023; Paneque, David/ADZ-6559-2022; Kohri, Kazunori/KLE-1606-2024; Verna, Gaia/HSF-1216-2023; Rando, Riccardo/JDC-9920-2023; Hnatyk, Bohdan/AAC-2419-2020; Batista, Rafael/GVT-1920-2022; Vercellone, Stefano/JDD-8183-2023; Bernete, Juan/MFJ-0184-2025; Valerius, Kathrin/P-4253-2018; Wagner, Sophia/HII-6467-2022; Gonzalez, Josefa/AAH-6071-2019; Reimer, Anita/K-5822-2015; Nikolic, Lidija/KEH-1848-2024; Loporchio, Serena/ABI-7619-2020; Mazin, Daniel/N-8038-2016; Miceli, Davide/MGV-6718-2025; Fiori, Michele/KWT-4605-2024; Tavernier, Thomas/MTE-3078-2025; Resconi, Elisa/I-3874-2016; Di Venere, Leonardo/C-7619-2017; Ascasibar, Yago/F-3527-2017; tak, donggeun/JSK-3554-2023; Jurysek, Jakub/C-6400-2017; Fukazawa, Yasushi/G-2081-2017; González, Jose/K-7255-2014; Acharyya, Atreya/LDF-8486-2024; Schiavone, Francesco/Y-1114-2019; Grasso, Dario/AAF-8321-2019; de Menezes, Raniere/AAT-9325-2021; Schipani, Pietro/A-6345-2018; Torres, Diego/ABD-7940-2020; Dwarkadas, Vikram/AAV-8210-2021; Bigongiari, Ciro/HNC-4299-2023; Nieto, Daniel/J-7250-2015; Nosek, Dalibor/F-1129-2017; Niemiec, Jacek/R-5432-2017; Conforti, Vito/N-5681-2015; Miranda, Jose Miguel/JAC-5537-2023; Bernardini, Elisa/AAA-4810-2020; Bulik, Tomasz/AAJ-6742-2020; Diebold, Sebastian/AAI-8512-2021; Peixoto, Carlos/G-3873-2012; Tjus, Julia/G-8145-2012; Ohishi, Masatoshi/HSF-9685-2023; Pumo, Maria Letizia/IAN-0050-2023; Capasso, Giulio/AIA-1270-2022; Pantaleo, Francesca/AAV-4919-2020; Mestre, Enrique/AAX-2351-2021; Rosillo, Mireia/Q-1808-2019; Walter, Robert/AAD-7642-2020; Caproni, Anderson/G-9938-2013; Pech, Miroslav/G-5760-2014; Strišković, Jelena/P-9798-2019; Paiva, José/K-7215-2013; Romano, Paul/M-7640-2019; Moderski, Rafal/ABG-8777-2020; Escarate, Pedro/AAH-1677-2019; Siejkowski, Hubert/O-9582-2017; tramacere, andrea/B-9424-2012; Lapington, Jon/A-7669-2012; Ebr, Jan/H-8319-2012; de Souza, Vitor/IZE-4321-2023; Ducci, Lorenzo/AAO-6012-2021; Torradeflot, Francesc/AAB-2503-2019; SEGLAR-ARROYO, MONICA/AAB-4366-2021; Iocco, Fabio/MTC-5608-2025; Moulin, Emmanuel/B-5959-2017; Karas, Vladimir/N-5554-2019; Jin, Weidong/ABU-9003-2022; Esposito, Paolo/ABE-6389-2020; Lainez, Maria/ABD-2890-2022; Barrio, Juan/L-3227-2014; Cherniakova, Marharyta/KBQ-1033-2024; Del Peral, Luis/AAC-1377-2020; Rosado, Jaime/K-9109-2014; Hamal, Petr/G-5540-2014; Queiroz, Farinaldo/H-1886-2012; del Valle, Maria/AAF-3628-2020; Seitenzahl, Ivo/B-7725-2019; Reisenegger, Andreas/ABF-8997-2020; Prandini, Elisa/AHI-7817-2022; Voitsekhovskyi, Vadym/ABF-1124-2020; giebels, berrie/L-6197-2015; Baquero Larriva, Andres/IAN-0566-2023; White, Ryan/E-2979-2015; Dazzi, Francesco/KBB-2591-2024; Orlando, Stefano/JCK-2741-2023; Olaizola, Abelardo/AAU-2276-2021; tian, weiwei/GSN-8325-2022; Kornecki, Paula/LTE-4207-2024; Ventura, Susana/HHN-5760-2022; CASSOL, Franca/AAO-8149-2021; Filipovic, Miroslav/AAN-9577-2020; Jamrozy, Marek/AAH-2495-2020; Raino, Silvia/HTN-2441-2023; Gonzalez Suarez, Jose/ABA-5162-2020; Cerruti, Matteo/AAA-6400-2020; Nemmen, Rodrigo/O-6841-2014; Sergijenko, Olga/A-2513-2014; Saha, Lab/O-8686-2017; Sarkar, Subir/G-5978-2011; Molina, Edgar/B-8037-2019; Foffano, Luca/HJG-6942-2022; Hassan, Tarek/T-9225-2019; Escarate, Pedro/H-8499-2014; giglietto, nicola/I-8951-2012; Alves Batista, Rafael/K-6642-2012; Zhdanov, Valery/F-4509-2017; Vecchi, Manuela/J-9180-2014; Ettori, Stefano/N-5004-2015; Pittori, Carlotta/C-7710-2016; Vignatti, Jonatan/ADI-4988-2022; Backes, Michael/N-5126-2016; Falceta-Goncalves, Diego/I-4576-2012; Goulart Coelho, Jaziel/D-8679-2013; Berge, David/P-2179-2017; Rodriguez Frias, Maria/A-7608-2015; Parmiggiani, Nicolo/IZQ-0340-2023; Pagano, Isabella/I-6934-2015; Pecimotika, Mario/AAO-5974-2021; Spencer, Samuel Timothy/JAC-6182-2023; Priyadarshi, Chaitanya/KIK-2006-2024; Amato, Elena/P-2938-2015; Lozano Bahilo, Julio/F-4881-2016; Martinez Vilchez, Oibar/HSF-3948-2023; Nievas Rosillo, Mireia/K-9738-2014; Novotny, Vladimir/C-6495-2017; Fedorova, Elena/F-4925-2017; Meyer, Manuel/E-2697-2016; Tosti, Gino/E-9976-2013; Agudo, Ivan/G-1701-2015; Morcuende, Daniel/B-7240-2018; Orlandini, Mauro/H-3114-2014; Doro, Michele/F-9458-2012; Hnatyk, Bohdan/HPF-2842-2023; Blanch Bigas, Oscar/N-7147-2016; Tejedor Alvarez, Luis Angel/N-5494-2014</t>
  </si>
  <si>
    <t>Bronzini, Ettore/0000-0001-8378-4303; Rulten, Cameron/0000-0001-7483-4348; Capasso, Giulio/0000-0002-4472-4858; GIARRUSSO, Marina/0000-0002-4453-1597; Vercellone, Stefano/0000-0003-1163-1396; Baquero Larriva, Andres/0000-0002-1757-5826; Kleiner, Tobias/0000-0002-4260-9186; Barbosa Martins, Victor/0000-0002-5085-8828; Terauchi, Kenta/0009-0002-3519-2535; Orlando, Salvatore/0000-0003-2836-540X; Sergijenko, Olga/0000-0002-9212-7118; Prandini, Elisa/0000-0003-4502-9053; Saha, Lab/0000-0002-3171-5039; Chudoba, Jiri/0000-0002-6425-2579; Sarkar, Subir/0000-0002-3542-858X; Batkovic, Ivana/0000-0002-1209-2542; Hayashi, Kohei/0000-0002-8758-8139; Molina, Edgar/0000-0003-1204-5516; Barrio, Juan/0000-0002-0965-0259; Iarlori, Marco/0009-0003-5838-975X; Panebianco, Gabriele/0000-0002-3410-8613; Foffano, Luca/0000-0002-0709-9707; Correa Angel, Silvia Lucia/0000-0003-3684-6553; Vazquez Acosta, Monica/0000-0002-2409-9792; Hassan, Tarek/0000-0002-4758-9196; Granot, Jonathan/0000-0001-8530-8941; Escarate, Pedro/0000-0002-6751-3842; D'Amico, Giacomo/0000-0001-6472-8381; Tutone, Antonio/0000-0002-2840-0001; CASSOL, Franca/0000-0002-0372-1992; Lipniacka, Anna/0000-0002-8759-8564; LA BARBERA, ANTONINO/0000-0002-5880-8913; Rizi, Vincenzo/0000-0002-5277-6527; Zdziarski, Andrzej/0000-0002-0333-2452; Ong, Rene/0000-0002-4837-5253; giglietto, nicola/0000-0002-9021-2888; Alves Batista, Rafael/0000-0003-2656-064X; Delgado Giler, Andres G./0000-0003-2190-9857; Di Tria, Riccardo/0009-0007-1088-5307; Zhdanov, Valery/0000-0003-3690-483X; Vecchi, Manuela/0000-0002-5338-6029; Del Peral, Luis/0000-0003-2580-5668; Adam, Remi/0009-0000-5380-1109; GROLLERON, Guillaume/0009-0003-0209-0441; Pantaleo, Francesca Romana/0000-0002-0144-5373; Ettori, Stefano/0000-0003-4117-8617; Verna, Gaia/0000-0001-5916-9028; FIORI, Michele/0000-0002-7352-6818; Pittori, Carlotta/0000-0001-6661-9779; Hackfeld, Jonas/0000-0002-1003-6408; Molero Gonzalez, Miguel/0000-0003-0967-715X; Vignatti, Jonatan/0000-0002-1494-9562; Abhir, Jayant/0000-0001-8215-4377; Tibaldo, Luigi/0000-0001-7523-570X; Backes, Michael/0000-0002-9326-6400; Marsella, Giovanni/0000-0002-3152-8874; Voitsekhovskyi, Vadym/0000-0002-3906-4840; Falceta-Goncalves, Diego/0000-0002-1914-6654; Wohlleben, Frederik/0000-0002-6451-4188; Kornecki, Paula/0000-0002-2706-7438; Goulart Coelho, Jaziel/0000-0001-9386-1042; Nikolajuk, Marek/0000-0003-4075-6745; Aguasca-Cabot, Arnau/0000-0001-8816-4920; Glombitza, Jonas/0000-0001-9683-4568; Gammaldi, Viviana/0000-0003-1826-6117; Zivec, Miha/0009-0003-8528-1453; Schipani, Pietro/0000-0003-0197-589X; Berge, David/0000-0002-2918-1824; Feng, Qi/0000-0001-6674-4238; Rodriguez Frias, Maria/0000-0002-2550-4462; Burelli, Irene/0000-0002-8383-2202; Otero Santos, Jorge/0000-0002-4241-5875; Escanuela Nieves, Clara/0000-0002-7297-8126; Aschersleben, Jann/0000-0002-6097-7898; Parmiggiani, Nicolo/0000-0002-4535-5329; Di Piano, Ambra/0000-0002-9894-7491; Lazendic-Galloway, Jasmina/0000-0003-0166-1647; Pagano, Isabella/0000-0001-9573-4928; Pecimotika, Mario/0000-0002-4699-1845; White, Martin/0000-0001-5474-4580; Santander, Juan Marcos/0000-0001-7297-8217; Peresano, Michele/0000-0002-7537-7334; Inada, Tomohiro/0000-0002-6923-9314; Bhattacharjee, Dr. Pooja/0000-0002-0258-3831; Spencer, Samuel Timothy/0000-0001-5516-1205; Acharyya, Atreya/0000-0002-2028-9230; Green, Jarred Gershon/0000-0002-1130-6692; Ducci, Lorenzo/0000-0002-9989-538X; Romano, Patrizia/0000-0003-0258-7469; Priyadarshi, Chaitanya/0000-0002-9160-9617; Amato, Elena/0000-0002-9881-8112; Gonzalez, Maria Magdalena/0000-0002-5209-5641; Marquez Perez, Isabel/0000-0003-2629-1945; Jin, Weidong/0000-0002-1089-1754; Brown, Anthony/0000-0003-0259-3148; Sami, Caroff/0000-0002-1103-130X; Dalchenko, Mykhailo/0000-0002-0137-136X; Hinton, James/0000-0002-1031-7760; Lozano Bahilo, Julio/0000-0003-0613-140X; Tak, Donggeun/0000-0002-9852-2469; Molfese, Cesare/0000-0002-2756-9075; Sadeh, Iftach/0000-0003-1387-8915; Costa, Alessandro/0000-0003-0344-8911; Martinez Vilchez, Oibar/0000-0002-3353-7707; Cerasole, Davide/0000-0003-2033-756X; Nievas Rosillo, Mireia/0000-0002-8321-9168; trois, alessio/0000-0002-3180-6002; Gueta, Orel/0000-0002-9440-2398; Lamastra, Alessandra/0000-0003-2403-913X; Miceli, Davide/0000-0002-2686-0098; Grau Haro, Roger/0000-0002-1891-6290; Paulo da Silva Neto, Jacinto/0000-0002-8257-7369; Novotny, Vladimir/0000-0002-4319-4541; Lenain, Jean-Philippe/0000-0001-7284-9220; Dominik, Rune Michael/0000-0003-4168-7200; Fedorova, Elena/0000-0002-8882-7496; Vigliano, Alessandro Armando/0009-0001-3508-4019; Kohri, Kazunori/0000-0003-3764-8612; La Palombara, Nicola/0000-0001-7015-6359; Michailidis, Miltiadis/0009-0008-3653-1109; Meyer, Manuel/0000-0002-0738-7581; Podobnik, Franjo/0000-0001-6125-9487; Schiavone, Francesco/0009-0003-5919-3329; Tosti, Gino/0000-0002-0839-4126; Gonzalez Suarez, Jose Mauricio/0000-0002-2413-0681; Agudo, Ivan/0000-0002-3777-6182; Depaoli, Davide/0000-0002-2672-4141; Arcaro, Cornelia Hanna Esther/0000-0002-1998-9707; WALTER, Roland/0000-0003-2362-4433; Acero, Fabio/0000-0002-6606-2816; Fegan, Stephen/0000-0002-9978-2510; Marquez, Patricia/0000-0002-9591-7967; Chiavassa, Andrea/0000-0001-6183-2589; Plard, Cyann/0000-0002-4061-3800; Dorner, Julien/0000-0001-6692-6293; Bonnoli, Giacomo/0000-0003-2464-9077; Morcuende, Daniel/0000-0001-9400-0922; De Caprio, Vincenzo/0000-0002-4587-8963; Barres de Almeida, Ulisses/0000-0001-7909-588X; Mas Aguilar, Alvaro/0000-0002-8893-9009; Rhode, Wolfgang/0000-0003-2636-5000; Orlandini, Mauro/0000-0003-0946-3151; Doro, Michele/0000-0001-9104-3214; Hernandez Cadena, Sergio/0000-0002-2565-8365; Moderski, Rafal/0000-0002-8663-3882; Hnatyk, Bohdan/0000-0001-7113-4709; Rudak, Bronislaw/0000-0003-0452-3805; Lopez Oramas, Alicia/0000-0003-4603-1884; Tramacere, Andrea/0000-0002-8186-3793; Abe, Shotaro/0000-0001-7250-3596; Kerszberg, Daniel/0000-0002-5289-1509; Blanch Bigas, Oscar/0000-0002-8380-1633; Tejedor Alvarez, Luis Angel/0000-0003-1525-9085; Sano, Hidetoshi/0000-0003-2062-5692; Eckner, Christopher/0000-0002-5135-2909</t>
  </si>
  <si>
    <t>1475-7516</t>
  </si>
  <si>
    <t>10.1088/1475-7516/2024/07/047</t>
  </si>
  <si>
    <t>WOS:001287348500001</t>
  </si>
  <si>
    <t>Hudson, LN; Newbold, T; Contu, S; Hill, SLL; Lysenko, I; De Palma, A; Phillips, HRP; Senior, RA; Bennett, DJ; Booth, H; Choimes, A; Correia, DLP; Day, J; Echeverría-Londoño, S; Garon, M; Harrison, MLK; Ingram, DJ; Jung, M; Kemp, V; Kirkpatrick, L; Martin, CD; Pan, Y; White, HJ; Aben, J; Abrahamczyk, S; Adum, GB; Aguilar-Barquero, V; Aizen, MA; Ancrenaz, M; Arbeláez-Cortés, E; Armbrecht, I; Azhar, B; Azpiroz, AB; Baeten, L; Báldi, A; Banks, JE; Barlow, J; Batáry, P; Bates, AJ; Bayne, EM; Beja, P; Berg, Å; Berry, NJ; Bicknell, JE; Bihn, JH; Böhning-Gaese, K; Boekhout, T; Boutin, C; Bouyer, J; Brearley, FQ; Brito, I; Brunet, J; Buczkowski, G; Buscardo, E; Cabra-García, J; Calviño-Cancela, M; Cameron, SA; Cancello, EM; Carrijo, TF; Carvalho, AL; Castro, H; Castro-Luna, AA; Cerda, R; Cerezo, A; Chauvat, M; Clarke, FM; Cleary, DFR; Connop, SP; D'Aniello, B; da Silva, PG; Darvill, B; Dauber, J; Dejean, A; Diekötter, T; Dominguez-Haydar, Y; Dormann, CF; Dumont, B; Dures, SG; Dynesius, M; Edenius, L; Elek, Z; Entling, MH; Farwig, N; Fayle, TM; Felicioli, A; Felton, AM; Ficetola, GF; Filgueiras, BKC; Fonte, SJ; Fraser, LH; Fukuda, D; Furlani, D; Ganzhorn, JU; Garden, JG; Gheler-Costa, C; Giordani, P; Giordano, S; Gottschalk, MS; Goulson, D; Gove, AD; Grogan, J; Hanley, ME; Hanson, T; Hashim, NR; Hawes, JE; Hébert, C; Helden, AJ; Henden, JA; Hernández, L; Herzog, F; Higuera-Diaz, D; Hilje, B; Horgan, FG; Horváth, R; Hylander, K; Isaacs-Cubides, P; Ishitani, M; Jacobs, CT; Jaramillo, VJ; Jauker, B; Jonsell, M; Jung, TS; Kapoor, V; Kati, V; Katovai, E; Kessler, M; Knop, E; Kolb, A; Korösi, A; Lachat, T; Lantschner, V; Le Féon, V; LeBuhn, G; Légaré, JP; Letcher, SG; Littlewood, NA; López-Quintero, CA; Louhaichi, M; Lövei, GL; Lucas-Borja, ME; Luja, VH; Maeto, K; Magura, T; Mallari, NA; Marin-Spiotta, E; Marshall, EJP; Martínez, E; Mayfield, MM; Mikusinski, G; Milder, JC; Miller, JR; Morales, CL; Muchane, MN; Muchane, M; Naidoo, R; Nakamura, A; Naoe, S; Nates-Parra, G; Navarrete Gutierrez, DA; Neuschulz, EL; Noreika, N; Norfolk, O; Noriega, JA; Nöske, NM; O'Dea, N; Oduro, W; Ofori-Boateng, C; Oke, CO; Osgathorpe, LM; Paritsis, J; Parra-H, A; Pelegrin, N; Peres, CA; Persson, AS; Petanidou, T; Phalan, B; Philips, TK; Poveda, K; Power, EF; Presley, SJ; Proença, V; Quaranta, M; Quintero, C; Redpath-Downing, NA; Reid, JL; Reis, YT; Ribeiro, DB; Richardson, BA; Richardson, MJ; Robles, CA; Römbke, J; Romero-Duque, LP; Rosselli, L; Rossiter, SJ; Roulston, TH; Rousseau, L; Sadler, JP; Sáfián, S; Saldaña-Vázquez, RA; Samnegård, U; Schüepp, C; Schweiger, O; Sedlock, JL; Shahabuddin, G; Sheil, D; Silva, FAB; Slade, EM; Smith-Pardo, AH; Sodhi, NS; Somarriba, EJ; Sosa, RA; Stout, JC; Struebig, MJ; Sung, YH; Threlfall, CG; Tonietto, R; Tóthmérész, B; Tscharntke, T; Turner, EC; Tylianakis, JM; Vanbergen, AJ; Vassilev, K; Verboven, HAF; Vergara, CH; Vergara, PM; Verhulst, J; Walker, TR; Wang, Y; Watling, JI; Wells, K; Williams, CD; Willig, MR; Woinarski, JCZ; Wolf, JHD; Woodcock, BA; Yu, DW; Zaitsev, AS; Collen, B; Ewers, RM; Mace, GM; Purves, DW; Scharlemann, JPW; Purvis, A</t>
  </si>
  <si>
    <t>Hudson, Lawrence N.; Newbold, Tim; Contu, Sara; Hill, Samantha L. L.; Lysenko, Igor; De Palma, Adriana; Phillips, Helen R. P.; Senior, Rebecca A.; Bennett, Dominic J.; Booth, Hollie; Choimes, Argyrios; Correia, David L. P.; Day, Julie; Echeverria-Londono, Susy; Garon, Morgan; Harrison, Michelle L. K.; Ingram, Daniel J.; Jung, Martin; Kemp, Victoria; Kirkpatrick, Lucinda; Martin, Callum D.; Pan, Yuan; White, Hannah J.; Aben, Job; Abrahamczyk, Stefan; Adum, Gilbert B.; Aguilar-Barquero, Virginia; Aizen, Marcelo A.; Ancrenaz, Marc; Arbelaez-Cortes, Enrique; Armbrecht, Inge; Azhar, Badrul; Azpiroz, Adrian B.; Baeten, Lander; Baldi, Andras; Banks, John E.; Barlow, Jos; Batary, Peter; Bates, Adam J.; Bayne, Erin M.; Beja, Pedro; Berg, Ake; Berry, Nicholas J.; Bicknell, Jake E.; Bihn, Jochen H.; Boehning-Gaese, Katrin; Boekhout, Teun; Boutin, Celine; Bouyer, Jeremy; Brearley, Francis Q.; Brito, Isabel; Brunet, Joerg; Buczkowski, Grzegorz; Buscardo, Erika; Cabra-Garcia, Jimmy; Calvino-Cancela, Maria; Cameron, Sydney A.; Cancello, Eliana M.; Carrijo, Tiago F.; Carvalho, Anelena L.; Castro, Helena; Castro-Luna, Alejandro A.; Cerda, Rolando; Cerezo, Alexis; Chauvat, Matthieu; Clarke, Frank M.; Cleary, Daniel F. R.; Connop, Stuart P.; D'Aniello, Biagio; da Silva, Pedro Giovani; Darvill, Ben; Dauber, Jens; Dejean, Alain; Diekoetter, Tim; Dominguez-Haydar, Yamileth; Dormann, Carsten F.; Dumont, Bertrand; Dures, Simon G.; Dynesius, Mats; Edenius, Lars; Elek, Zoltan; Entling, Martin H.; Farwig, Nina; Fayle, Tom M.; Felicioli, Antonio; Felton, Annika M.; Ficetola, Gentile F.; Filgueiras, Bruno K. C.; Fonte, Steven J.; Fraser, Lauchlan H.; Fukuda, Daisuke; Furlani, Dario; Ganzhorn, Joerg U.; Garden, Jenni G.; Gheler-Costa, Carla; Giordani, Paolo; Giordano, Simonetta; Gottschalk, Marco S.; Goulson, Dave; Gove, Aaron D.; Grogan, James; Hanley, Mick E.; Hanson, Thor; Hashim, Nor R.; Hawes, Joseph E.; Hebert, Christian; Helden, Alvin J.; Henden, John-Andre; Hernandez, Lionel; Herzog, Felix; Higuera-Diaz, Diego; Hilje, Branko; Horgan, Finbarr G.; Horvath, Roland; Hylander, Kristoffer; Isaacs-Cubides, Paola; Ishitani, Masahiro; Jacobs, Carmen T.; Jaramillo, Victor J.; Jauker, Birgit; Jonsell, Mats; Jung, Thomas S.; Kapoor, Vena; Kati, Vassiliki; Katovai, Eric; Kessler, Michael; Knop, Eva; Kolb, Annette; Koroesi, Adam; Lachat, Thibault; Lantschner, Victoria; Le Feon, Violette; LeBuhn, Gretchen; Legare, Jean-Philippe; Letcher, Susan G.; Littlewood, Nick A.; Lopez-Quintero, Carlos A.; Louhaichi, Mounir; Loevei, Gabor L.; Lucas-Borja, Manuel Esteban; Luja, Victor H.; Maeto, Kaoru; Magura, Tibor; Mallari, Neil Aldrin; Marin-Spiotta, Erika; Marshall, E. J. P.; Martinez, Eliana; Mayfield, Margaret M.; Mikusinski, Grzegorz; Milder, Jeffrey C.; Miller, James R.; Morales, Carolina L.; Muchane, Mary N.; Muchane, Muchai; Naidoo, Robin; Nakamura, Akihiro; Naoe, Shoji; Nates-Parra, Guiomar; Navarrete Gutierrez, Dario A.; Neuschulz, Eike L.; Noreika, Norbertas; Norfolk, Olivia; Noriega, Jorge Ari; Noeske, Nicole M.; O'Dea, Niall; Oduro, William; Ofori-Boateng, Caleb; Oke, Chris O.; Osgathorpe, Lynne M.; Paritsis, Juan; Parra-H, Alejandro; Pelegrin, Nicolas; Peres, Carlos A.; Persson, Anna S.; Petanidou, Theodora; Phalan, Ben; Philips, T. Keith; Poveda, Katja; Power, Eileen F.; Presley, Steven J.; Proenca, Vania; Quaranta, Marino; Quintero, Carolina; Redpath-Downing, Nicola A.; Reid, J. Leighton; Reis, Yana T.; Ribeiro, Danilo B.; Richardson, Barbara A.; Richardson, Michael J.; Robles, Carolina A.; Roembke, Joerg; Romero-Duque, Luz Piedad; Rosselli, Loreta; Rossiter, Stephen J.; Roulston, T'ai H.; Rousseau, Laurent; Sadler, Jonathan P.; Safian, Szabolcs; Saldana-Vazquez, Romeo A.; Samnegard, Ulrika; Schueepp, Christof; Schweiger, Oliver; Sedlock, Jodi L.; Shahabuddin, Ghazala; Sheil, Douglas; Silva, Fernando A. B.; Slade, Eleanor M.; Smith-Pardo, Allan H.; Sodhi, Navjot S.; Somarriba, Eduardo J.; Sosa, Ramon A.; Stout, Jane C.; Struebig, Matthew J.; Sung, Yik-Hei; Threlfall, Caragh G.; Tonietto, Rebecca; Tothmeresz, Bela; Tscharntke, Teja; Turner, Edgar C.; Tylianakis, Jason M.; Vanbergen, Adam J.; Vassilev, Kiril; Verboven, Hans A. F.; Vergara, Carlos H.; Vergara, Pablo M.; Verhulst, Jort; Walker, Tony R.; Wang, Yanping; Watling, James I.; Wells, Konstans; Williams, Christopher D.; Willig, Michael R.; Woinarski, John C. Z.; Wolf, Jan H. D.; Woodcock, Ben A.; Yu, Douglas W.; Zaitsev, Andrey S.; Collen, Ben; Ewers, Rob M.; Mace, Georgina M.; Purves, Drew W.; Scharlemann, Joern P. W.; Purvis, Andy</t>
  </si>
  <si>
    <t>The PREDICTS database: a global database of how local terrestrial biodiversity responds to human impacts</t>
  </si>
  <si>
    <t>ECOLOGY AND EVOLUTION</t>
  </si>
  <si>
    <t>Biodiversity continues to decline in the face of increasing anthropogenic pressures such as habitat destruction, exploitation, pollution and introduction of alien species. Existing global databases of species' threat status or population time series are dominated by charismatic species. The collation of datasets with broad taxonomic and biogeographic extents, and that support computation of a range of biodiversity indicators, is necessary to enable better understanding of historical declines and to project - and avert - future declines. We describe and assess a new database of more than 1.6 million samples from 78 countries representing over 28,000 species, collated from existing spatial comparisons of local-scale biodiversity exposed to different intensities and types of anthropogenic pressures, from terrestrial sites around the world. The database contains measurements taken in 208 (of 814) ecoregions, 13 (of 14) biomes, 25 (of 35) biodiversity hotspots and 16 (of 17) megadiverse countries. The database contains more than 1% of the total number of all species described, and more than 1% of the described species within many taxonomic groups - including flowering plants, gymnosperms, birds, mammals, reptiles, amphibians, beetles, lepidopterans and hymenopterans. The dataset, which is still being added to, is therefore already considerably larger and more representative than those used by previous quantitative models of biodiversity trends and responses. The database is being assembled as part of the PREDICTS project (Projecting Responses of Ecological Diversity In Changing Terrestrial Systems - ). We make site-level summary data available alongside this article. The full database will be publicly available in 2015.</t>
  </si>
  <si>
    <t>Hébert, Christian/M-1922-2015; Romero-Duque, Luz/V-2971-2019; Woinarski, John/N-2262-2013; Herzog, Felix/B-1911-2009; Banks, John/AAN-2300-2020; Sheil, Douglas/N-3291-2019; Beja, Pedro/A-7851-2008; Yu, Douglas/D-2536-2009; White, Hannah/AAJ-8117-2021; Silva, Fernando/G-8697-2013; Tóthmérész, Béla/A-5114-2009; Cleary, Daniel/HLH-8491-2023; Petanidou, Theodora/AAU-3212-2020; Noriega, Jorge/H-3662-2019; Sung, Yik/L-7648-2019; Magura, Tibor/I-4383-2019; Gottschalk, Marco/M-7350-2013; Persson, Anna/AGD-7447-2022; Noreika, Norbertas/AAI-9173-2020; Paritsis, Juan/KFB-3274-2024; Roulston, Tai/AAI-4974-2020; Giordano, Simonetta/H-7683-2013; Farwig, Nina/JMQ-1406-2023; Brunet, Jörg/B-3583-2012; Cancello, Eliana/AAS-5600-2020; Ribeiro, Danilo/E-3104-2012; Neuschulz, Eike Lena/HLW-5355-2023; Felicioli, Antonio/AAT-2167-2021; Wolf, Jan/JHT-5405-2023; Pelegrin, Nicolás/B-8900-2011; Bayne, Erin/IUP-1777-2023; D'Aniello, Biagio/N-5287-2019; Nates, Guiomar/AAV-7451-2021; Dumont, Bertrand/IUQ-1527-2023; /V-6180-2019; Diekötter, Tim/L-2463-2016; Dormann, Carsten/AFN-0998-2022; Tylianakis, Jason/B-6634-2011; Lachat, Thibault/B-7291-2018; VERGARA, CARLOS/K-6646-2012; Presley, Steven/AAE-9189-2020; Rossiter, Stephen/E-2111-2011; Kati, Vassiliki/AAB-9418-2020; Kőrösi, Ádám/G-9480-2011; Naoe, Shoji/I-5758-2019; Zaitsev, Andrey/J-6874-2018; Baeten, Lander/G-1490-2010; Entling, Martin/C-6953-2008; De Palma, Adriana/H-9591-2019; Abrahamczyk, Stefan/D-7316-2011; Castro-Luna, Alejandro/AAH-4670-2020; Calvino-Cancela, Maria/A-8460-2014; Filgueiras, Bruno/C-3299-2017; Maeto, Kaoru/AAB-7318-2019; Castro, Helena/AAO-6270-2021; Elek, Zoltan/A-5899-2011; Vergara, Pablo/F-2519-2010; Boekhout, Teun/JEJ-4938-2023; Cleary, Michelle/E-9742-2013; Tscharntke, Teja/N-5123-2014; Smith-Pardo, Allan/ACW-8297-2022; Stout, Jane/AAS-8867-2020; Saldaña-Vázquez, Romeo/AAD-2784-2019; Robles, Carolina/IXX-0886-2023; Berg, Åke/AAH-9904-2020; Dejean, Anne/L-5145-2018; Newbold, Tim/R-8958-2019; ISAACS, PAOLA/ABG-1700-2021; Sedlock, Jodi/HMD-4025-2023; Phalan, Ben/A-5783-2009; Bates, Adam/G-1795-2011; Reid, John/ISB-8983-2023; Muchai, Muchane/B-4076-2008; Norfolk, Olivia/AAL-8310-2020; Walker BSc, MPhil, PhD, Tony/ABA-4581-2020; Richardson, Michael/KOC-1588-2024; Barlow, Jos/HGE-9486-2022; Buscardo, Erika/ABA-4992-2021; Jung, Thomas S./A-8525-2015; Jung, Martin/C-3996-2014; Carrijo, Tiago/B-5976-2013; Jauker, Birgit/G-9740-2014; Mace, Georgina/I-3072-2016; Kessler, Michael/A-3605-2009; Cleary, Daniel/D-2582-2012; Baldi, Andras/A-7501-2008; Day, Julie/M-4643-2013; Newbold, Tim/D-1524-2012; Hudson, Lawrence/H-2918-2013; Bouyer, Jeremy/AAK-7370-2020; Cabra-Garcia, Jimmy/AAI-9256-2020; Chauvat, Matthieu/J-6113-2019; Batary, Peter/A-2349-2008; Schweiger, Oliver/B-4909-2008; Peres, Carlos/B-1276-2013; Slade, Eleanor/O-3874-2014; Lovei, Gabor/B-7763-2008; Woodcock, Benjamin/F-9199-2010; Ganzhorn, Joerg/AAO-6955-2020; Fayle, Tom/A-2721-2009; Bihn, Jochen/I-3491-2012; Scharlemann, Jorn/A-4737-2008; Bohning-Gaese, Katrin/W-2601-2019; Wells, Konstans/A-7232-2010; Gheler-Costa, Carla/G-3800-2012; Goulson, Dave/A-2462-2010; da Silva, Pedro Giovani/F-7605-2014; Ficetola, Gentile Francesco/A-2813-2008; Sheil, Douglas/A-3867-2015; Proenca, Vania/H-9372-2013; Giordani, Paolo/C-7369-2009; Lucas Borja, Manuel Esteban/J-5363-2016; Petanidou, Theodora/C-9399-2011; Collen, Ben/F-2543-2016; Knop, Eva/D-2298-2018; Dynesius, Mats/A-6219-2009; Threlfall, Caragh/Y-2292-2018; Mayfield, Margaret/B-7386-2012; Nakamura, Akihiro/O-8384-2018; Purvis, Andy/A-7529-2008; Parra-H, Alejandro/D-1167-2010; Cancello, Eliana/K-3423-2012; Senior, Rebecca/AFO-0188-2022; Vanbergen, Adam/I-6863-2012</t>
  </si>
  <si>
    <t>Jung, Thomas S./0000-0003-2681-6852; Bayne, Erin/0000-0002-0679-4521; Choimes, Argyrios/0000-0002-9849-1500; Jung, Martin/0000-0002-7569-1390; Barlow, Jos/0000-0003-4992-2594; Connop, Stuart/0000-0003-3050-7649; Carrijo, Tiago/0000-0001-6308-7252; Brito, Isabel/0000-0003-2143-8792; Fonte, Steven/0000-0002-3727-2304; Lachat, Thibault/0000-0003-3952-7443; Rossiter, Stephen/0000-0002-3881-4515; Jauker, Birgit/0000-0001-5027-9351; Berg, Ake/0000-0002-0173-7464; struebig, matthew/0000-0003-2058-8502; Kati, Vassiliki/0000-0003-3357-4556; Castro, Helena/0000-0003-1818-1535; Norfolk, Olivia/0000-0002-2909-304X; Quaranta, Marino/0000-0003-0082-4555; Mace, Georgina/0000-0001-8965-5211; Naoe, Shoji/0000-0002-0605-4187; Kessler, Michael/0000-0003-4612-9937; Cleary, Daniel/0000-0002-6143-3390; Pelegrin, Nicolas/0000-0003-0546-3955; Entling, Martin H./0000-0002-3947-6407; Tscharntke, Teja/0000-0002-4482-3178; Romero-Duque, Luz Piedad/0000-0001-8476-4662; Magura, Tibor/0000-0002-9130-6122; D'ANIELLO, BIAGIO/0000-0002-1176-946X; Baldi, Andras/0000-0001-6063-3721; Day, Julie/0000-0003-1035-2117; Dumont, Bertrand/0000-0001-8376-4417; Newbold, Tim/0000-0001-7361-0051; Giordano, Simonetta/0000-0002-0705-8550; Lantschner, Maria Victoria/0000-0002-2012-1366; Hudson, Lawrence/0000-0003-4072-7469; Mikusinski, Grzegorz/0000-0003-1400-913X; Bouyer, Jeremy/0000-0002-1913-416X; Cabra-Garcia, Jimmy/0000-0001-9263-4390; Chauvat, Matthieu/0000-0002-4831-5904; Batary, Peter/0000-0002-1017-6996; Schweiger, Oliver/0000-0001-8779-2335; Peres, Carlos/0000-0002-1588-8765; Slade, Eleanor/0000-0002-6108-1196; Lovei, Gabor/0000-0002-6467-9812; /0000-0001-5843-220X; Pan, Yuan/0000-0003-2729-6377; Woodcock, Benjamin/0000-0003-0300-9951; Ganzhorn, Joerg/0000-0003-1395-9758; Baeten, Lander/0000-0003-4262-9221; Fayle, Tom/0000-0002-1667-1189; Tothmeresz, Bela/0000-0002-4766-7668; Noriega, Jorge Ari/0000-0003-1760-7020; Bihn, Jochen/0000-0002-6717-6786; Noreika, Norbertas/0000-0002-3853-7677; Tonietto, Rebecca/0009-0004-9667-5850; Sung, Yik Hei/0000-0003-0026-8624; Scharlemann, Jorn/0000-0002-2834-6367; NAVARRETE GUTIERREZ, DARIO ALEJANDRO/0000-0002-4210-1817; Bohning-Gaese, Katrin/0000-0003-0477-5586; Letcher, Susan/0000-0002-9475-7674; Kolb, Annette/0000-0002-8275-1814; Aguilar, Virginia/0000-0002-0055-4674; Persson, Anna/0000-0002-2711-0344; Presley, Steven James/0000-0002-5987-0735; Rombke, Jorg/0000-0003-1341-634X; De Palma, Adriana/0000-0002-5345-4917; Wells, Konstans/0000-0003-0377-2463; Gheler-Costa, Carla/0000-0001-7305-8308; Goulson, Dave/0000-0003-4421-2876; Phillips, Helen/0000-0002-7435-5934; Silva, Fernando/0000-0002-3894-4846; Dominguez-Haydar, Yamileth/0000-0002-0774-8391; Hilje, Branko/0000-0001-5701-5455; da Silva, Pedro Giovani/0000-0002-0702-9186; Bicknell, Jake/0000-0001-6831-627X; Littlewood, Nick/0000-0003-4461-8833; Paritsis, Juan/0000-0003-1626-8442; Muchai, Muchane/0000-0002-2387-4486; Baldi, Vania/0000-0002-7663-3328; Ficetola, Gentile Francesco/0000-0003-3414-5155; Quintero, Carolina/0000-0003-1269-4030; Aizen, Marcelo/0000-0001-9079-9749; Sheil, Douglas/0000-0002-1166-6591; Walker, Tony/0000-0001-9008-0697; Proenca, Vania/0000-0001-8245-357X; Power, Eileen/0000-0002-5941-4676; Giordani, Paolo/0000-0003-0087-7315; Lucas Borja, Manuel Esteban/0000-0001-6270-8408; Vergara, Pablo/0000-0002-0024-1678; Richardson, Michael/0000-0003-1232-4793; Bates, Adam/0000-0001-7854-5260; Petanidou, Theodora/0000-0003-1883-0945; lebuhn, gretchen/0000-0001-5030-3366; ISAACS CUBIDES, PAOLA/0000-0003-4671-0297; Noske, Nicole M./0009-0007-0678-0430; Collen, Ben/0000-0003-2564-4243; Henden, John-Andre/0000-0002-8825-1167; Arbelaez Cortes, Enrique/0000-0002-4350-1564; Knop, Eva/0000-0001-9402-2216; Dynesius, Mats/0000-0003-0628-4203; Hernandez, Lionel/0000-0002-7279-1003; Booth, Hollie/0000-0003-4339-820X; Diekotter, Tim/0000-0003-4838-793X; Herzog, Felix/0000-0001-9472-4891; Threlfall, Caragh/0000-0002-4197-8588; Mayfield, Margaret/0000-0002-5101-6542; Calvino-Cancela, Maria/0000-0002-7833-4671; Marin-Spiotta, Erika/0000-0001-7343-9354; White, Hannah/0000-0002-6793-8613; Willig, Michael/0000-0001-6884-9957; Castro-Luna, Alejandro Antonio/0000-0002-4418-5882; Nakamura, Akihiro/0000-0001-7349-5102; Purvis, Andy/0000-0002-8609-6204; Beja, Pedro/0000-0001-8164-0760; Parra-H, Alejandro/0000-0001-8868-8847; Stout, Jane/0000-0002-2027-0863; Hawes, Joseph/0000-0003-0053-2018; Luja, Victor H./0000-0001-7480-7278; Smith-Pardo, Allan/0000-0003-1905-6226; Aben, Job/0000-0002-9906-7410; Cancello, Eliana/0000-0003-3125-6335; Senior, Rebecca/0000-0002-8208-736X; Saldana-Vazquez, Romeo A./0000-0002-6442-772X; Dormann, Carsten F./0000-0002-9835-1794; Dejean, Alain/0000-0002-3561-2248; U.D.C.A, Universidad de Ciencias Aplicadas y Ambientales/0000-0002-2291-5354; Horgan, Finbarr/0000-0003-3796-667X; Vanbergen, Adam/0000-0001-8320-5535; Buscardo, Erika/0000-0003-4029-8465</t>
  </si>
  <si>
    <t>2045-7758</t>
  </si>
  <si>
    <t>10.1002/ece3.1303</t>
  </si>
  <si>
    <t>WOS:000346736200013</t>
  </si>
  <si>
    <t>Abbott, R; Abbott, TD; Abraham, S; Acernese, F; Ackley, K; Adams, A; Adams, C; Adhikari, RX; Adya, VB; Affeldt, C; Agarwal, D; Agathos, M; Agatsuma, K; Aggarwal, N; Aguiar, OD; Aiello, L; Ain, A; Ajith, P; Akutsu, T; Aleman, KM; Allen, G; Allocca, A; Altin, PA; Amato, A; Anand, S; Ananyeva, A; Anderson, SB; Anderson, WG; Ando, M; Angelova, SV; Ansoldi, S; Antelis, JM; Antier, S; Appert, S; Arai, K; Arai, K; Arai, Y; Araki, S; Araya, A; Araya, MC; Areeda, JS; Arène, M; Aritomi, N; Arnaud, N; Aronson, SM; Arun, KG; Asada, H; Asali, Y; Ashton, G; Aso, Y; Aston, SM; Astone, P; Aubin, F; Aufmuth, P; AultONeal, K; Austin, C; Babak, S; Badaracco, F; Bader, MKM; Bae, S; Bae, Y; Baer, AM; Bagnasco, S; Bai, Y; Baiotti, L; Baird, J; Bajpai, R; Ball, M; Ballardin, G; Ballmer, SW; Bals, M; Balsamo, A; Baltus, G; Banagiri, S; Bankar, D; Bankar, RS; Barayoga, JC; Barbieri, C; Barish, BC; Barker, D; Barneo, P; Barnum, S; Barone, F; Barr, B; Barsotti, L; Barsuglia, M; Barta, D; Bartlett, J; Barton, MA; Bartos, I; Bassiri, R; Basti, A; Bawaj, M; Bayley, JC; Baylor, AC; Bazzan, M; Bécsy, B; Bedakihale, VM; Bejger, M; Belahcene, I; Benedetto, V; Beniwal, D; Benjamin, MG; Bennett, TF; Bentley, JD; BenYaala, M; Bergamin, F; Berger, BK; Bernuzzi, S; Bersanetti, D; Bertolini, A; Betzwieser, J; Bhandare, R; Bhandari, AV; Bhattacharjee, D; Bhaumik, S; Bidler, J; Bilenko, IA; Billingsley, G; Birney, R; Birnholtz, O; Biscans, S; Bischi, M; Biscoveanu, S; Bisht, A; Biswas, B; Bitossi, M; Bizouard, MA; Blackburn, JK; Blackman, J; Blair, CD; Blair, DG; Blair, RM; Bobba, F; Bode, N; Boer, M; Bogaert, G; Boldrini, M; Bondu, F; Bonilla, E; Bonnand, R; Booker, P; Boom, BA; Bork, R; Boschi, V; Bose, N; Bose, S; Bossilkov, V; Boudart, V; Bouffanais, Y; Bozzi, A; Bradaschia, C; Brady, PR; Bramley, A; Branch, A; Branchesi, M; Breschi, M; Briant, T; Briggs, JH; Brillet, A; Brinkmann, M; Brockill, P; Brooks, AF; Brooks, J; Brown, DD; Brunett, S; Bruno, G; Bruntz, R; Bryant, J; Buikema, A; Bulik, T; Bulten, HJ; Buonanno, A; Buscicchio, R; Buskulic, D; Cadonati, L; Caesar, M; Cagnoli, G; Cahillane, C; Cain, HW; Bustillo, JC; Callaghan, JD; Callister, TA; Calloni, E; Camp, JB; Canepa, M; Cannavacciuolo, M; Cannon, KC; Cao, H; Cao, J; Cao, Z; Capocasa, E; Capote, E; Carapella, G; Carbognani, F; Carlin, JB; Carney, MF; Carpinelli, M; Carullo, G; Carver, TL; Diaz, JC; Casentini, C; Castaldi, G; Caudill, S; Cavaglià, M; Cavalier, F; Cavalieri, R; Cella, G; Cerdá-Durán, P; Cesarini, E; Chaibi, W; Chakravarti, K; Champion, B; Chan, CH; Chan, C; Chan, CL; Chan, M; Chandra, K; Chanial, P; Chao, S; Charlton, P; Chase, EA; Chassande-Mottin, E; Chatterjee, D; Chaturvedi, M; Chatziioannou, K; Chen, A; Chen, C; Chen, HY; Chen, J; Chen, K; Chen, X; Chen, YB; Chen, YR; Chen, Z; Cheng, H; Cheong, CK; Cheung, HY; Chia, HY; Chiadini, F; Chiang, CY; Chierici, R; Chincarini, A; Chiofalo, ML; Chiummo, A; Cho, G; Cho, HS; Choate, S; Choudhary, RK; Choudhary, S; Christensen, N; Chu, H; Chu, Q; Chu, YK; Chua, S; Chung, KW; Ciani, G; Ciecielag, P; Cifaldi, M; Ciobanu, AA; Ciolfi, R; Cipriano, F; Cirone, A; Clara, F; Clark, EN; Clark, JA; Clarke, L; Clearwater, P; Clesse, S; Cleva, F; Coccia, E; Cohadon, PF; Cohen, DE; Cohen, L; Colleoni, M; Collette, CG; Colpi, M; Compton, CM; Constancio, M; Conti, L; Cooper, SJ; Corban, P; Corbitt, TR; Cordero-Carrion, I; Corezzi, S; Corley, KR; Cornish, N; Corre, D; Corsi, A; Cortese, S; Costa, CA; Cotesta, R; Coughlin, MW; Coughlin, SB; Coulon, JP; Countryman, ST; Cousins, B; Couvares, P; Covas, PB; Coward, DM; Cowart, MJ; Coyne, DC; Coyne, R; Creighton, JDE; Creighton, TD; Criswell, AW; Croquette, M; Crowder, SG; Cudell, JR; Cullen, TJ; Cumming, A; Cummings, R; Cuoco, E; Dal Canton, T; Dálya, G; Dana, A; DaneshgaranBajastani, LM; Danilishin, SL; Danzmann, K; Darsow-Fromm, C; Dasgupta, A; Datrier, LEH; Dattilo, V; Dave, I; Davier, M; Davies, GS; Davis, D; Daw, EJ; Dean, R; Deenadayalan, M; Degallaix, J; De Laurentis, M; Deléglise, S; Del Favero, V; De Lillo, F; De Lillo, N; Del Pozzo, W; DeMarchi, LM; De Matteis, F; Demos, N; Dent, T; Depasse, A; De Pietri, R; De Rosa, R; De Rossi, C; DeSalvo, R; De Simone, R; Dhurandhar, S; Díaz, MC; Diaz-Ortiz, M; Didio, NA; Dietrich, T; Di Fiore, L; Di Fronzo, C; Di Giorgio, C; Di Giovanni, F; Di Girolamo, T; Di Lieto, A; Ding, B; Di Pace, S; Di Palma, I; Di Renzo, F; Divakarla, AK; Dmitriev, A; Doctor, Z; Donovan, F; Dooley, KL; Doravari, S; Dorrington, I; Drago, M; Driggers, JC; Drori, Y; Du, Z; Ducoin, JG; Dupej, P; Durante, O; Duverne, PA; Dwyer, SE; Easter, PJ; Ebersold, M; Eddolls, G; Edelman, B; Edo, TB; Edy, O; Effler, A; Eguchi, S; Eichholz, J; Eikenberry, SS; Eisenmann, M; Eisenstein, RA; Ejlli, A; Enomoto, Y; Errico, L; Essick, RC; Estellés, H; Estevez, D; Etienne, Z; Etzel, T; Evans, M; Evans, TM; Ewing, BE; Fafone, V; Fair, H; Fairhurst, S; Fan, X; Farah, AM; Farinon, S; Farr, B; Farr, WM; Farrow, NW; Fauchon-Jones, EJ; Favata, M; Fays, M; Fazio, M; Feicht, J; Fejer, MM; Feng, F; Fenyvesi, E; Ferguson, DL; Fernandez-Galiana, A; Ferrante, I; Ferreira, TA; Fidecaro, F; Figura, P; Fiori, I; Fishbach, M; Fisher, RP; Fishner, JM; Fittipaldi, R; Fiumara, V; Flaminio, R; Floden, E; Flynn, E; Fong, H; Font, JA; Fornal, B; Forsyth, PWF; Franke, A; Frasca, S; Frasconi, F; Frederick, C; Frei, Z; Freise, A; Frey, R; Fritschel, P; Frolov, VV; Fronzé, GG; Fujii, Y; Fujikawa, Y; Fukunaga, M; Fukushima, M; Fulda, P; Fyffe, M; Gabbard, HA; Gadre, BU; Gaebel, SM; Gair, JR; Gais, J; Galaudage, S; Gamba, R; Ganapathy, D; Ganguly, A; Gao, D; Gaonkar, SG; Garaventa, B; García-Núñez, C; García-Quirós, C; Garufi, F; Gateley, B; Gaudio, S; Gayathri, V; Ge, G; Gemme, G; Gennai, A; George, J; Gergely, L; Gewecke, P; Ghonge, S; Ghosh, A; Ghosh, A; Ghosh, S; Ghosh, S; Ghosh, S; Giacomazzo, B; Giacoppo, L; Giaime, JA; Giardina, KD; Gibson, DR; Gier, C; Giesler, M; Giri, P; Gissi, F; Glanzer, J; Gleckl, AE; Godwin, P; Goetz, E; Goetz, R; Gohlke, N; Goncharov, B; González, G; Gopakumar, A; Gosselin, M; Gouaty, R; Grace, B; Grado, A; Granata, M; Granata, V; Grant, A; Gras, S; Grassia, P; Gray, C; Gray, R; Greco, G; Green, AC; Green, R; Gretarsson, AM; Gretarsson, EM; Griffith, D; Griffiths, W; Griggs, HL; Grignani, G; Grimaldi, A; Grimes, E; Grimm, SJ; Grote, H; Grunewald, S; Gruning, P; Guerrero, JG; Guidi, GM; Guimaraes, AR; Guixé, G; Gulati, HK; Guo, HK; Guo, Y; Gupta, A; Gupta, A; Gupta, P; Gustafson, EK; Gustafson, R; Guzman, F; Ha, S; Haegel, L; Hagiwara, A; Haino, S; Halim, O; Hall, ED; Hamilton, EZ; Hammond, G; Han, WB; Haney, M; Hanks, J; Hanna, C; Hannam, MD; Hannuksela, OA; Hansen, H; Hansen, TJ; Hanson, J; Harder, T; Hardwick, T; Haris, K; Harms, J; Harry, GM; Harry, IW; Hartwig, D; Hasegawa, K; Haskell, B; Hasskew, RK; Haster, CJ; Hattori, K; Haughian, K; Hayakawa, H; Hayama, K; Hayes, FJ; Healy, J; Heidmann, A; Heintze, MC; Heinze, J; Heinzel, J; Heitmann, H; Hellman, F; Hello, P; Helmling-Cornell, AF; Hemming, G; Hendry, M; Heng, IS; Hennes, E; Hennig, J; Hennig, MH; Vivanco, FH; Heurs, M; Hild, S; Hill, P; Himemoto, Y; Hines, AS; Hiranuma, Y; Hirata, N; Hirose, E; Ho, WCG; Hochheim, S; Hofman, D; Hohmann, JN; Holgado, AM; Holland, NA; Hollows, IJ; Holmes, ZJ; Holt, K; Holz, DE; Hong, Z; Hopkins, P; Hough, J; Howell, EJ; Hoy, CG; Hoyland, D; Hreibi, A; Hsieh, B; Hsu, Y; Huang, GZ; Huang, HY; Huang, P; Huang, YC; Huang, YJ; Huang, YW; Hübner, MT; Huddart, AD; Huerta, EA; Hughey, B; Hui, DCY; Hui, V; Husa, S; Huttner, SH; Huxford, R; Huynh-Dinh, T; Ide, S; Idzkowski, B; Iess, A; Ikenoue, B; Imam, S; Inayoshi, K; Inchauspe, H; Ingram, C; Inoue, Y; Intini, G; Ioka, K; Isi, M; Isleif, K; Ito, K; Itoh, Y; Iyer, BR; Izumi, K; JaberianHamedan, V; Jacqmin, T; Jadhav, SJ; Jadhav, SP; James, AL; Jan, AZ; Jani, K; Janssens, K; Janthalur, NN; Jaranowski, P; Jariwala, D; Jaume, R; Jenkins, AC; Jeon, C; Jeunon, M; Jia, W; Jiang, J; Jin, HB; Johns, GR; Jones, AW; Jones, DI; Jones, JD; Jones, P; Jones, R; Jonker, RJG; Ju, L; Jung, K; Jung, P; Junker, J; Kaihotsu, K; Kajita, T; Kakizaki, M; Kalaghatgi, CV; Kalogera, V; Kamai, B; Kamiizumi, M; Kanda, N; Kandhasamy, S; Kang, G; Kanner, JB; Kao, Y; Kapadia, SJ; Kapasi, DP; Karathanasis, C; Karki, S; Kashyap, R; Kasprzack, M; Kastaun, W; Katsanevas, S; Katsavounidis, E; Katzman, W; Kaur, T; Kawabe, K; Kawaguchi, K; Kawai, N; Kawasaki, T; Kéfélian, F; Keitel, D; Key, JS; Khadka, S; Khalili, FY; Khan, I; Khan, S; Khazanov, EA; Khetan, N; Khursheed, M; Kijbunchoo, N; Kim, C; Kim, JC; Kim, J; Kim, K; Kim, WS; Kim, YM; Kimball, C; Kimura, N; King, PJ; Kinley-Hanlon, M; Kirchhoff, R; Kissel, JS; Kita, N; Kitazawa, H; Kleybolte, L; Klimenko, S; Knee, AM; Knowles, TD; Knyazev, E; Koch, P; Koekoek, G; Kojima, Y; Kokeyama, K; Koley, S; Kolitsidou, P; Kolstein, M; Komori, K; Kondrashov, V; Kong, AKH; Kontos, A; Koper, N; Korobko, M; Kotake, K; Kovalam, M; Kozak, DB; Kozakai, C; Kozu, R; Kringel, V; Krishnendu, NV; Królak, A; Kuehn, G; Kuei, F; Kumar, A; Kumar, P; Kumar, R; Kumar, R; Kume, J; Kuns, K; Kuo, C; Kuo, HS; Kuromiya, Y; Kuroyanagi, S; Kusayanagi, K; Kwak, K; Kwang, S; Laghi, D; Lalande, E; Lam, TL; Lamberts, A; Landry, M; Lane, BB; Lang, RN; Lange, J; Lantz, B; La Rosa, I; Lartaux-Vollard, A; Lasky, PD; Laxen, M; Lazzarini, A; Lazzaro, C; Leaci, P; Leavey, S; Lecoeuche, YK; Lee, HK; Lee, HM; Lee, HW; Lee, J; Lee, K; Lee, R; Lehmann, J; Lemaître, A; Leon, E; Leonardi, M; Leroy, N; Letendre, N; Levin, Y; Leviton, JN; Li, AKY; Li, B; Li, J; Li, KL; Li, TGF; Li, X; Lin, CY; Lin, FK; Lin, FL; Lin, HL; Lin, LCC; Linde, F; Linker, SD; Linley, JN; Littenberg, TB; Liu, GC; Liu, J; Liu, K; Liu, X; Llorens-Monteagudo, M; Lo, RKL; Lockwood, A; Lollie, ML; London, LT; Longo, A; Lopez, D; Lorenzini, M; Loriette, V; Lormand, M; Losurdo, G; Lough, JD; Lousto, CO; Lovelace, G; Lück, H; Lumaca, D; Lundgren, AP; Luo, LW; Macas, R; MacInnis, M; Macleod, DM; MacMillan, IAO; Macquet, A; Hernandez, IM; Magaña-Sandoval, F; Magazzù, C; Magee, RM; Maggiore, R; Majorana, E; Maksimovic, I; Maliakal, S; Malik, A; Man, N; Mandic, V; Mangano, V; Mango, JL; Mansell, GL; Manske, M; Mantovani, M; Mapelli, M; Marchesoni, F; Marchio, M; Marion, F; Mark, Z; Márka, S; Márka, Z; Markakis, C; Markosyan, AS; Markowitz, A; Maros, E; Marquina, A; Marsat, S; Martelli, F; Martin, IW; Martin, RM; Martinez, M; Martinez, V; Martinovic, K; Martynov, DV; Marx, EJ; Masalehdan, H; Mason, K; Massera, E; Masserot, A; Massinger, TJ; Masso-Reid, M; Mastrogiovanni, S; Matas, A; Mateu-Lucena, M; Matichard, F; Matiushechkina, M; Mavalvala, N; McCann, JJ; McCarthy, R; McClelland, DE; McClincy, P; McCormick, S; McCuller, L; McGhee, GI; McGuire, SC; McIsaac, C; McIver, J; McManus, DJ; McRae, T; McWilliams, ST; Meacher, D; Mehmet, M; Mehta, AK; Melatos, A; Melchor, DA; Mendell, G; Menendez-Vazquez, A; Menoni, CS; Mercer, RA; Mereni, L; Merfeld, K; Merilh, EL; Merritt, JD; Merzougui, M; Meshkov, S; Messenger, C; Messick, C; Meyers, PM; Meylahn, F; Mhaske, A; Miani, A; Miao, H; Michaloliakos, I; Michel, C; Michimura, Y; Middleton, H; Milano, L; Miller, AL; Millhouse, M; Mills, JC; Milotti, E; Milovich-Goff, MC; Minazzoli, O; Minenkov, Y; Mio, N; Mir, LM; Mishkin, A; Mishra, C; Mishra, T; Mistry, T; Mitra, S; Mitrofanov, VP; Mitselmakher, G; Mittleman, R; Miyakawa, O; Miyamoto, A; Miyazaki, Y; Miyo, K; Miyoki, S; Mo, G; Mogushi, K; Mohapatra, SRP; Mohite, SR; Molina, I; Molina-Ruiz, M; Mondin, M; Montani, M; Moore, CJ; Moraru, D; Morawski, F; More, A; Moreno, C; Moreno, G; Mori, Y; Morisaki, S; Moriwaki, Y; Mours, B; Mow-Lowry, CM; Mozzon, S; Muciaccia, F; Mukherjee, A; Mukherjee, D; Mukherjee, S; Mukherjee, S; Mukund, N; Mullavey, A; Munch, J; Muñiz, EA; Murray, PG; Musenich, R; Nadji, SL; Nagano, K; Nagano, S; Nagar, A; Nakamura, K; Nakano, H; Nakano, M; Nakashima, R; Nakayama, Y; Nardecchia, I; Narikawa, T; Naticchioni, L; Nayak, B; Nayak, RK; Negishi, R; Neil, BF; Neilson, J; Nelemans, G; Nelson, TJN; Nery, M; Neunzert, A; Ng, KY; Ng, SWS; Nguyen, C; Nguyen, P; Nguyen, T; Quynh, LN; Ni, WT; Nichols, SA; Nishizawa, A; Nissanke, S; Nocera, F; Noh, M; Norman, M; North, C; Nozaki, S; Nuttall, LK; Oberling, J; Obuchi, Y; Ogaki, W; Oganesyan, G; Oh, JJ; Oh, K; Oh, SH; Ohashi, M; Ohishi, N; Ohkawa, M; Ohme, F; Ohta, H; Okada, MA; Okutani, Y; Okutomi, K; Olivetto, C; Oohara, K; Ooi, C; Oram, R; Ormiston, RG; Ormsby, ND; Ortega, LF; Oshino, S; Ossokine, S; Osthelder, C; Otabe, S; Ottaway, DJ; Overmier, H; Pace, AE; Pagano, G; Page, MA; Pagliaroli, G; Pai, A; Pai, SA; Palamos, JR; Palashov, O; Palomba, C; Pan, K; Panda, PK; Pang, H; Pang, PTH; Pankow, C; Pannarale, F; Pant, BC; Paoletti, F; Paoli, A; Paolone, A; Parisi, A; Park, J; Parker, W; Pascucci, D; Pasqualetti, A; Passaquieti, R; Passuello, D; Patel, M; Patricelli, B; Payne, E; Pechsiri, TC; Pedraza, M; Pegoraro, M; Pele, A; Arellano, FEP; Penn, S; Perego, A; Pereira, A; Pereira, T; Perez, CJ; Périgois, C; Perreca, A; Perriès, S; Petermann, J; Petterson, D; Pfeiffer, HP; Pham, KA; Phukon, KS; Piccinni, OJ; Pichot, M; Piendibene, M; Piergiovanni, F; Pierini, L; Pierro, V; Pillant, G; Pilo, F; Pinard, L; Pinto, IM; Piotrzkowski, BJ; Piotrzkowski, K; Pirello, M; Pitkin, M; Placidi, E; Plastino, W; Pluchar, C; Poggiani, R; Polini, E; Pong, DYT; Ponrathnam, S; Popolizio, P; Porter, EK; Powell, J; Pracchia, M; Pradier, T; Prajapati, AK; Prasai, K; Prasanna, R; Pratten, G; Prestegard, T; Principe, M; Prodi, GA; Prokhorov, L; Prosposito, P; Prudenzi, L; Puecher, A; Punturo, M; Puosi, F; Puppo, P; Pürrer, M; Qi, H; Quetschke, V; Quinonez, PJ; Quitzow-James, R; Raab, FJ; Raaijmakers, G; Radkins, H; Radulesco, N; Raffai, P; Rail, SX; Raja, S; Rajan, C; Ramirez, KE; Ramirez, TD; Ramos-Buades, A; Rana, J; Rapagnani, P; Rapol, UD; Ratto, B; Raymond, V; Raza, N; Razzano, M; Read, J; Rees, LA; Regimbau, T; Rei, L; Reid, S; Reitze, DH; Relton, P; Rettegno, P; Ricci, F; Richardson, CJ; Richardson, JW; Richardson, L; Ricker, PM; Riemenschneider, G; Riles, K; Rizzo, M; Robertson, NA; Robie, R; Robinet, F; Rocchi, A; Rocha, JA; Rodriguez, S; Rodriguez-Soto, RD; Rolland, L; Rollins, JG; Roma, VJ; Romanelli, M; Romano, R; Romel, CL; Romero, A; Romero-Shaw, IM; Romie, JH; Rose, CA; Rosofsky, SG; Ross, MP; Rowan, S; Rowlinson, SJ; Roy, S; Roy, S; Rozza, D; Ruggi, P; Ryan, K; Sachdev, S; Sadecki, T; Sadiq, J; Sago, N; Saito, S; Saito, Y; Sakai, K; Sakai, Y; Sakellariadou, M; Sakuno, Y; Salafia, OS; Salconi, L; Saleem, M; Salemi, F; Samajdar, A; Sanchez, EJ; Sanchez, JH; Sanchez, LE; Sanchis-Gual, N; Sanders, JR; Sanuy, A; Saravanan, TR; Sarin, N; Sassolas, B; Satari, H; Sato, S; Sato, T; Sauter, O; Savage, RL; Savant, V; Sawada, T; Sawant, D; Sawant, HL; Sayah, S; Schaetzl, D; Scheel, M; Scheuer, J; Schindler-Tyka, A; Schmidt, P; Schnabel, R; Schneewind, M; Schofield, RMS; Schönbeck, A; Schulte, BW; Schutz, BF; Schwartz, E; Scott, J; Scott, SM; Seglar-Arroyo, M; Seidel, E; Sekiguchi, T; Sekiguchi, Y; Sellers, D; Sengupta, AS; Sennett, N; Sentenac, D; Seo, EG; Sequino, V; Setyawati, Y; Shaffer, T; Shahriar, MS; Shams, B; Shao, L; Sharifi, S; Sharma, A; Sharma, P; Shawhan, P; Shcheblanov, NS; Shen, H; Shibagaki, S; Shikauchi, M; Shimizu, R; Shimoda, T; Shimode, K; Shink, R; Shinkai, H; Shishido, T; Shoda, A; Shoemaker, DH; Shoemaker, DM; Shukla, K; ShyamSundar, S; Sieniawska, M; Sigg, D; Singer, LP; Singh, D; Singh, N; Singha, A; Sintes, AM; Sipala, V; Skliris, V; Slagmolen, BJJ; Slaven-Blair, TJ; Smetana, J; Smith, JR; Smith, RJE; Somala, SN; Somiya, K; Son, EJ; Soni, K; Soni, S; Sorazu, B; Sordini, V; Sorrentino, F; Sorrentino, N; Sotani, H; Soulard, R; Souradeep, T; Sowell, E; Spagnuolo, V; Spencer, AP; Spera, M; Srivastava, AK; Srivastava, V; Staats, K; Stachie, C; Steer, DA; Steinlechner, J; Steinlechner, S; Stops, DJ; Stover, M; Strain, KA; Strang, LC; Stratta, G; Strunk, A; Sturani, R; Stuver, AL; Südbeck, J; Sudhagar, S; Sudhir, V; Sugimoto, R; Suh, HG; Summerscales, TZ; Sun, H; Sun, L; Sunil, S; Sur, A; Suresh, J; Sutton, PJ; Suzuki, T; Suzuki, T; Swinkels, BL; Szewczyk, P; Tacca, M; Tagoshi, H; Tait, SC; Takahashi, H; Takahashi, R; Takamori, A; Takano, S; Takeda, H; Takeda, M; Talbot, C; Tanaka, H; Tanaka, K; Tanaka, K; Tanaka, T; Tanaka, T; Tanasijczuk, AJ; Tanioka, S; Tanner, DB; Tao, D; Tapia, A; San Martin, ENT; San Martin, ENT; Tasson, JD; Telada, S; Tenorio, R; Terkowski, L; Test, M; Thirugnanasambandam, MP; Thomas, M; Thomas, P; Thompson, JE; Thondapu, SR; Thorne, KA; Thrane, E; Tiwari, S; Tiwari, S; Tiwari, V; Toland, K; Tolley, AE; Tomaru, T; Tomigami, Y; Tomura, T; Tonelli, M; Torres-Forné, A; Torrie, CI; Melo, ITE; Töyrä, D; Trapananti, A; Travasso, F; Traylor, G; Tringali, MC; Tripathee, A; Troiano, L; Trovato, A; Trozzo, L; Trudeau, RJ; Tsai, DS; Tsai, D; Tsang, KW; Tsang, T; Tsao, JS; Tse, M; Tso, R; Tsubono, K; Tsuchida, S; Tsukada, L; Tsuna, D; Tsutsui, T; Tsuzuki, T; Turconi, M; Tuyenbayev, D; Ubhi, AS; Uchikata, N; Uchiyama, T; Udall, RP; Ueda, A; Uehara, T; Ueno, K; Ueshima, G; Ugolini, D; Unnikrishnan, CS; Uraguchi, F; Urban, AL; Ushiba, T; Usman, SA; Utina, AC; Vahlbruch, H; Vajente, G; Vajpeyi, A; Valdes, G; Valentini, M; Valsan, V; van Bakel, N; van Beuzekom, M; van den Brand, JFJ; Van den Broeck, C; Vander-Hyde, DC; van der Schaaf, L; van Heijningen, JV; van Putten, MHPM; Vardaro, M; Vargas, AF; Varma, V; Vasúth, M; Vecchio, A; Vedovato, G; Veitch, J; Veitch, PJ; Venkateswara, K; Venneberg, J; Venugopalan, G; Verkindt, D; Verma, Y; Veske, D; Vetrano, F; Viceré, A; Viets, AD; Villa-Ortega, V; Vinet, JY; Vitale, S; Vo, T; Vocca, H; von Reis, ERG; Vorvick, C; Vyatchanin, SP; Wade, LE; Wade, M; Wagner, KJ; Walet, RC; Walker, M; Wallace, GS; Wallace, L; Walsh, S; Wang, J; Wang, JZ; Wang, WH; Ward, RL; Warner, J; Was, M; Washimi, T; Washington, NY; Watchi, J; Weaver, B; Wei, L; Weinert, M; Weinstein, AJ; Weiss, R; Weller, CM; Wellmann, F; Wen, L; Wessels, P; Westhouse, JW; Wette, K; Whelan, JT; White, DD; Whiting, BF; Whittle, C; Wilken, D; Williams, D; Williams, MJ; Williamson, AR; Willis, JL; Willke, B; Wilson, DJ; Winkler, W; Wipf, CC; Wlodarczyk, T; Woan, G; Woehler, J; Wofford, JK; Wong, ICF; Wrangel, J; Wu, C; Wu, DS; Wu, H; Wu, S; Wysocki, DM; Xiao, L; Xu, WR; Yamada, T; Yamamoto, H; Yamamoto, K; Yamamoto, K; Yamamoto, T; Yamashita, K; Yamazaki, R; Yang, FW; Yang, L; Yang, Y; Yang, Y; Yang, Z; Yap, MJ; Yeeles, DW; Yelikar, AB; Ying, M; Yokogawa, K; Yokoyama, J; Yokozawa, T; Yoon, A; Yoshioka, T; Yu, H; Yu, HC; Yuzurihara, H; Zanolin, M; Zeidler, S; Zelenova, T; Zendri, JP; Zevin, M; Zhan, M; Zhang, H; Zhang, J; Zhang, L; Zhang, R; Zhang, T; Zhao, C; Zhao, G; Zhao, Y; Zhao, YH; Zhou, Z; Zhu, XJ; Zhu, ZH; Zucker, ME; Zweizig, J; Antonopoulou, D; Arzoumanian, Z; Enoto, T; Espinoza, CM; Guillot, S</t>
  </si>
  <si>
    <t>Abbott, R.; Abbott, T. D.; Abraham, S.; Acernese, F.; Ackley, K.; Adams, A.; Adams, C.; Adhikari, R. X.; Adya, V. B.; Affeldt, C.; Agarwal, D.; Agathos, M.; Agatsuma, K.; Aggarwal, N.; Aguiar, O. D.; Aiello, L.; Ain, A.; Ajith, P.; Akutsu, T.; Aleman, K. M.; Allen, G.; Allocca, A.; Altin, P. A.; Amato, A.; Anand, S.; Ananyeva, A.; Anderson, S. B.; Anderson, W. G.; Ando, M.; Angelova, S., V; Ansoldi, S.; Antelis, J. M.; Antier, S.; Appert, S.; Arai, Koya; Arai, Koji; Arai, Y.; Araki, S.; Araya, A.; Araya, M. C.; Areeda, J. S.; Arene, M.; Aritomi, N.; Arnaud, N.; Aronson, S. M.; Arun, K. G.; Asada, H.; Asali, Y.; Ashton, G.; Aso, Y.; Aston, S. M.; Astone, P.; Aubin, F.; Aufmuth, P.; AultONeal, K.; Austin, C.; Babak, S.; Badaracco, F.; Bader, M. K. M.; Bae, S.; Bae, Y.; Baer, A. M.; Bagnasco, S.; Bai, Y.; Baiotti, L.; Baird, J.; Bajpai, R.; Ball, M.; Ballardin, G.; Ballmer, S. W.; Bals, M.; Balsamo, A.; Baltus, G.; Banagiri, S.; Bankar, D.; Bankar, R. S.; Barayoga, J. C.; Barbieri, C.; Barish, B. C.; Barker, D.; Barneo, P.; Barnum, S.; Barone, F.; Barr, B.; Barsotti, L.; Barsuglia, M.; Barta, D.; Bartlett, J.; Barton, M. A.; Bartos, I; Bassiri, R.; Basti, A.; Bawaj, M.; Bayley, J. C.; Baylor, A. C.; Bazzan, M.; Becsy, B.; Bedakihale, V. M.; Bejger, M.; Belahcene, I; Benedetto, V; Beniwal, D.; Benjamin, M. G.; Bennett, T. F.; Bentley, J. D.; BenYaala, M.; Bergamin, F.; Berger, B. K.; Bernuzzi, S.; Bersanetti, D.; Bertolini, A.; Betzwieser, J.; Bhandare, R.; Bhandari, A., V; Bhattacharjee, D.; Bhaumik, S.; Bidler, J.; Bilenko, I. A.; Billingsley, G.; Birney, R.; Birnholtz, O.; Biscans, S.; Bischi, M.; Biscoveanu, S.; Bisht, A.; Biswas, B.; Bitossi, M.; Bizouard, M-A; Blackburn, J. K.; Blackman, J.; Blair, C. D.; Blair, D. G.; Blair, R. M.; Bobba, F.; Bode, N.; Boer, M.; Bogaert, G.; Boldrini, M.; Bondu, F.; Bonilla, E.; Bonnand, R.; Booker, P.; Boom, B. A.; Bork, R.; Boschi, V; Bose, N.; Bose, S.; Bossilkov, V; Boudart, V; Bouffanais, Y.; Bozzi, A.; Bradaschia, C.; Brady, P. R.; Bramley, A.; Branch, A.; Branchesi, M.; Breschi, M.; Briant, T.; Briggs, J. H.; Brillet, A.; Brinkmann, M.; Brockill, P.; Brooks, A. F.; Brooks, J.; Brown, D. D.; Brunett, S.; Bruno, G.; Bruntz, R.; Bryant, J.; Buikema, A.; Bulik, T.; Bulten, H. J.; Buonanno, A.; Buscicchio, R.; Buskulic, D.; Cadonati, L.; Caesar, M.; Cagnoli, G.; Cahillane, C.; Cain, H. W., III; Bustillo, J. Calderon; Callaghan, J. D.; Callister, T. A.; Calloni, E.; Camp, J. B.; Canepa, M.; Cannavacciuolo, M.; Cannon, K. C.; Cao, H.; Cao, J.; Cao, Z.; Capocasa, E.; Capote, E.; Carapella, G.; Carbognani, F.; Carlin, J. B.; Carney, M. F.; Carpinelli, M.; Carullo, G.; Carver, T. L.; Diaz, J. Casanueva; Casentini, C.; Castaldi, G.; Caudill, S.; Cavaglia, M.; Cavalier, F.; Cavalieri, R.; Cella, G.; Cerda-Duran, P.; Cesarini, E.; Chaibi, W.; Chakravarti, K.; Champion, B.; Chan, C-H; Chan, C.; Chan, C. L.; Chan, M.; Chandra, K.; Chanial, P.; Chao, S.; Charlton, P.; Chase, E. A.; Chassande-Mottin, E.; Chatterjee, D.; Chaturvedi, M.; Chatziioannou, K.; Chen, A.; Chen, C.; Chen, H. Y.; Chen, J.; Chen, K.; Chen, X.; Chen, Y-B; Chen, Y-R; Chen, Z.; Cheng, H.; Cheong, C. K.; Cheung, H. Y.; Chia, H. Y.; Chiadini, F.; Chiang, C-Y; Chierici, R.; Chincarini, A.; Chiofalo, M. L.; Chiummo, A.; Cho, G.; Cho, H. S.; Choate, S.; Choudhary, R. K.; Choudhary, S.; Christensen, N.; Chu, H.; Chu, Q.; Chu, Y-K; Chua, S.; Chung, K. W.; Ciani, G.; Ciecielag, P.; Cifaldi, M.; Ciobanu, A. A.; Ciolfi, R.; Cipriano, F.; Cirone, A.; Clara, F.; Clark, E. N.; Clark, J. A.; Clarke, L.; Clearwater, P.; Clesse, S.; Cleva, F.; Coccia, E.; Cohadon, P-F; Cohen, D. E.; Cohen, L.; Colleoni, M.; Collette, C. G.; Colpi, M.; Compton, C. M.; Constancio, M., Jr.; Conti, L.; Cooper, S. J.; Corban, P.; Corbitt, T. R.; Cordero-Carrion, I; Corezzi, S.; Corley, K. R.; Cornish, N.; Corre, D.; Corsi, A.; Cortese, S.; Costa, C. A.; Cotesta, R.; Coughlin, M. W.; Coughlin, S. B.; Coulon, J-P; Countryman, S. T.; Cousins, B.; Couvares, P.; Covas, P. B.; Coward, D. M.; Cowart, M. J.; Coyne, D. C.; Coyne, R.; Creighton, J. D. E.; Creighton, T. D.; Criswell, A. W.; Croquette, M.; Crowder, S. G.; Cudell, J. R.; Cullen, T. J.; Cumming, A.; Cummings, R.; Cuoco, E.; Dal Canton, T.; Dalya, G.; Dana, A.; DaneshgaranBajastani, L. M.; Danilishin, S. L.; Danzmann, K.; Darsow-Fromm, C.; Dasgupta, A.; Datrier, L. E. H.; Dattilo, V; Dave, I; Davier, M.; Davies, G. S.; Davis, D.; Daw, E. J.; Dean, R.; Deenadayalan, M.; Degallaix, J.; De Laurentis, M.; Deleglise, S.; Del Favero, V; De Lillo, F.; De Lillo, N.; Del Pozzo, W.; DeMarchi, L. M.; De Matteis, F.; Demos, N.; Dent, T.; Depasse, A.; De Pietri, R.; De Rosa, R.; De Rossi, C.; DeSalvo, R.; De Simone, R.; Dhurandhar, S.; Diaz, M. C.; Diaz-Ortiz, M., Jr.; Didio, N. A.; Dietrich, T.; Di Fiore, L.; Di Fronzo, C.; Di Giorgio, C.; Di Giovanni, F.; Di Girolamo, T.; Di Lieto, A.; Ding, B.; Di Pace, S.; Di Palma, I; Di Renzo, F.; Divakarla, A. K.; Dmitriev, A.; Doctor, Z.; Donovan, F.; Dooley, K. L.; Doravari, S.; Dorrington, I; Drago, M.; Driggers, J. C.; Drori, Y.; Du, Z.; Ducoin, J-G; Dupej, P.; Durante, O.; Duverne, P-A; Dwyer, S. E.; Easter, P. J.; Ebersold, M.; Eddolls, G.; Edelman, B.; Edo, T. B.; Edy, O.; Effler, A.; Eguchi, S.; Eichholz, J.; Eikenberry, S. S.; Eisenmann, M.; Eisenstein, R. A.; Ejlli, A.; Enomoto, Y.; Errico, L.; Essick, R. C.; Estelles, H.; Estevez, D.; Etienne, Z.; Etzel, T.; Evans, M.; Evans, T. M.; Ewing, B. E.; Fafone, V; Fair, H.; Fairhurst, S.; Fan, X.; Farah, A. M.; Farinon, S.; Farr, B.; Farr, W. M.; Farrow, N. W.; Fauchon-Jones, E. J.; Favata, M.; Fays, M.; Fazio, M.; Feicht, J.; Fejer, M. M.; Feng, F.; Fenyvesi, E.; Ferguson, D. L.; Fernandez-Galiana, A.; Ferrante, I; Ferreira, T. A.; Fidecaro, F.; Figura, P.; Fiori, I; Fishbach, M.; Fisher, R. P.; Fishner, J. M.; Fittipaldi, R.; Fiumara, V; Flaminio, R.; Floden, E.; Flynn, E.; Fong, H.; Font, J. A.; Fornal, B.; Forsyth, P. W. F.; Franke, A.; Frasca, S.; Frasconi, F.; Frederick, C.; Frei, Z.; Freise, A.; Frey, R.; Fritschel, P.; Frolov, V. V.; Fronze, G. G.; Fujii, Y.; Fujikawa, Y.; Fukunaga, M.; Fukushima, M.; Fulda, P.; Fyffe, M.; Gabbard, H. A.; Gadre, B. U.; Gaebel, S. M.; Gair, J. R.; Gais, J.; Galaudage, S.; Gamba, R.; Ganapathy, D.; Ganguly, A.; Gao, D.; Gaonkar, S. G.; Garaventa, B.; Garcia-Nunez, C.; Garcia-Quiros, C.; Garufi, F.; Gateley, B.; Gaudio, S.; Gayathri, V; Ge, G.; Gemme, G.; Gennai, A.; George, J.; Gergely, L.; Gewecke, P.; Ghonge, S.; Ghosh, Abhirup; Ghosh, Archisman; Ghosh, Shaon; Ghosh, Shrobana; Ghosh, Sourath; Giacomazzo, B.; Giacoppo, L.; Giaime, J. A.; Giardina, K. D.; Gibson, D. R.; Gier, C.; Giesler, M.; Giri, P.; Gissi, F.; Glanzer, J.; Gleckl, A. E.; Godwin, P.; Goetz, E.; Goetz, R.; Gohlke, N.; Goncharov, B.; Gonzalez, G.; Gopakumar, A.; Gosselin, M.; Gouaty, R.; Grace, B.; Grado, A.; Granata, M.; Granata, V; Grant, A.; Gras, S.; Grassia, P.; Gray, C.; Gray, R.; Greco, G.; Green, A. C.; Green, R.; Gretarsson, A. M.; Gretarsson, E. M.; Griffith, D.; Griffiths, W.; Griggs, H. L.; Grignani, G.; Grimaldi, A.; Grimes, E.; Grimm, S. J.; Grote, H.; Grunewald, S.; Gruning, P.; Guerrero, J. G.; Guidi, G. M.; Guimaraes, A. R.; Guixe, G.; Gulati, H. K.; Guo, H-K; Guo, Y.; Gupta, Anchal; Gupta, Anuradha; Gupta, P.; Gustafson, E. K.; Gustafson, R.; Guzman, F.; Ha, S.; Haegel, L.; Hagiwara, A.; Haino, S.; Halim, O.; Hall, E. D.; Hamilton, E. Z.; Hammond, G.; Han, W-B; Haney, M.; Hanks, J.; Hanna, C.; Hannam, M. D.; Hannuksela, O. A.; Hansen, H.; Hansen, T. J.; Hanson, J.; Harder, T.; Hardwick, T.; Haris, K.; Harms, J.; Harry, G. M.; Harry, I. W.; Hartwig, D.; Hasegawa, K.; Haskell, B.; Hasskew, R. K.; Haster, C-J; Hattori, K.; Haughian, K.; Hayakawa, H.; Hayama, K.; Hayes, F. J.; Healy, J.; Heidmann, A.; Heintze, M. C.; Heinze, J.; Heinzel, J.; Heitmann, H.; Hellman, F.; Hello, P.; Helmling-Cornell, A. F.; Hemming, G.; Hendry, M.; Heng, I. S.; Hennes, E.; Hennig, J.; Hennig, M. H.; Vivanco, F. Hernandez; Heurs, M.; Hild, S.; Hill, P.; Himemoto, Y.; Hines, A. S.; Hiranuma, Y.; Hirata, N.; Hirose, E.; Ho, W. C. G.; Hochheim, S.; Hofman, D.; Hohmann, J. N.; Holgado, A. M.; Holland, N. A.; Hollows, I. J.; Holmes, Z. J.; Holt, K.; Holz, D. E.; Hong, Z.; Hopkins, P.; Hough, J.; Howell, E. J.; Hoy, C. G.; Hoyland, D.; Hreibi, A.; Hsieh, B.; Hsu, Y.; Huang, G-Z; Huang, H-Y; Huang, P.; Huang, Y-C; Huang, Y-J; Huang, Y-W; Hubner, M. T.; Huddart, A. D.; Huerta, E. A.; Hughey, B.; Hui, D. C. Y.; Hui, V; Husa, S.; Huttner, S. H.; Huxford, R.; Huynh-Dinh, T.; Ide, S.; Idzkowski, B.; Iess, A.; Ikenoue, B.; Imam, S.; Inayoshi, K.; Inchauspe, H.; Ingram, C.; Inoue, Y.; Intini, G.; Ioka, K.; Isi, M.; Isleif, K.; Ito, K.; Itoh, Y.; Iyer, B. R.; Izumi, K.; JaberianHamedan, V; Jacqmin, T.; Jadhav, S. J.; Jadhav, S. P.; James, A. L.; Jan, A. Z.; Jani, K.; Janssens, K.; Janthalur, N. N.; Jaranowski, P.; Jariwala, D.; Jaume, R.; Jenkins, A. C.; Jeon, C.; Jeunon, M.; Jia, W.; Jiang, J.; Jin, H-B; Johns, G. R.; Jones, A. W.; Jones, D., I; Jones, J. D.; Jones, P.; Jones, R.; Jonker, R. J. G.; Ju, L.; Jung, K.; Jung, P.; Junker, J.; Kaihotsu, K.; Kajita, T.; Kakizaki, M.; Kalaghatgi, C., V; Kalogera, V; Kamai, B.; Kamiizumi, M.; Kanda, N.; Kandhasamy, S.; Kang, G.; Kanner, J. B.; Kao, Y.; Kapadia, S. J.; Kapasi, D. P.; Karathanasis, C.; Karki, S.; Kashyap, R.; Kasprzack, M.; Kastaun, W.; Katsanevas, S.; Katsavounidis, E.; Katzman, W.; Kaur, T.; Kawabe, K.; Kawaguchi, K.; Kawai, N.; Kawasaki, T.; Kefelian, F.; Keitel, D.; Key, J. S.; Khadka, S.; Khalili, F. Y.; Khan, I; Khan, S.; Khazanov, E. A.; Khetan, N.; Khursheed, M.; Kijbunchoo, N.; Kim, C.; Kim, J. C.; Kim, J.; Kim, K.; Kim, W. S.; Kim, Y-M; Kimball, C.; Kimura, N.; King, P. J.; Kinley-Hanlon, M.; Kirchhoff, R.; Kissel, J. S.; Kita, N.; Kitazawa, H.; Kleybolte, L.; Klimenko, S.; Knee, A. M.; Knowles, T. D.; Knyazev, E.; Koch, P.; Koekoek, G.; Kojima, Y.; Kokeyama, K.; Koley, S.; Kolitsidou, P.; Kolstein, M.; Komori, K.; Kondrashov, V; Kong, A. K. H.; Kontos, A.; Koper, N.; Korobko, M.; Kotake, K.; Kovalam, M.; Kozak, D. B.; Kozakai, C.; Kozu, R.; Kringel, V; Krishnendu, N., V; Krolak, A.; Kuehn, G.; Kuei, F.; Kumar, A.; Kumar, P.; Kumar, Rahul; Kumar, Rakesh; Kume, J.; Kuns, K.; Kuo, C.; Kuo, H-S; Kuromiya, Y.; Kuroyanagi, S.; Kusayanagi, K.; Kwak, K.; Kwang, S.; Laghi, D.; Lalande, E.; Lam, T. L.; Lamberts, A.; Landry, M.; Lane, B. B.; Lang, R. N.; Lange, J.; Lantz, B.; La Rosa, I; Lartaux-Vollard, A.; Lasky, P. D.; Laxen, M.; Lazzarini, A.; Lazzaro, C.; Leaci, P.; Leavey, S.; Lecoeuche, Y. K.; Lee, H. K.; Lee, H. M.; Lee, H. W.; Lee, J.; Lee, K.; Lee, R.; Lehmann, J.; Lemaitre, A.; Leon, E.; Leonardi, M.; Leroy, N.; Letendre, N.; Levin, Y.; Leviton, J. N.; Li, A. K. Y.; Li, B.; Li, J.; Li, K. L.; Li, T. G. F.; Li, X.; Lin, C-Y; Lin, F-K; Lin, F-L; Lin, H. L.; Lin, L. C-C; Linde, F.; Linker, S. D.; Linley, J. N.; Littenberg, T. B.; Liu, G. C.; Liu, J.; Liu, K.; Liu, X.; Llorens-Monteagudo, M.; Lo, R. K. L.; Lockwood, A.; Lollie, M. L.; London, L. T.; Longo, A.; Lopez, D.; Lorenzini, M.; Loriette, V; Lormand, M.; Losurdo, G.; Lough, J. D.; Lousto, C. O.; Lovelace, G.; Luck, H.; Lumaca, D.; Lundgren, A. P.; Luo, L-W; Macas, R.; MacInnis, M.; Macleod, D. M.; MacMillan, I. A. O.; Macquet, A.; Hernandez, I. Magana; Magana-Sandoval, F.; Magazzu, C.; Magee, R. M.; Maggiore, R.; Majorana, E.; Maksimovic, I; Maliakal, S.; Malik, A.; Man, N.; Mandic, V; Mangano, V; Mango, J. L.; Mansell, G. L.; Manske, M.; Mantovani, M.; Mapelli, M.; Marchesoni, F.; Marchio, M.; Marion, F.; Mark, Z.; Marka, S.; Marka, Z.; Markakis, C.; Markosyan, A. S.; Markowitz, A.; Maros, E.; Marquina, A.; Marsat, S.; Martelli, F.; Martin, I. W.; Martin, R. M.; Martinez, M.; Martinez, V; Martinovic, K.; Martynov, D., V; Marx, E. J.; Masalehdan, H.; Mason, K.; Massera, E.; Masserot, A.; Massinger, T. J.; Masso-Reid, M.; Mastrogiovanni, S.; Matas, A.; Mateu-Lucena, M.; Matichard, F.; Matiushechkina, M.; Mavalvala, N.; McCann, J. J.; McCarthy, R.; McClelland, D. E.; McClincy, P.; McCormick, S.; McCuller, L.; McGhee, G., I; McGuire, S. C.; McIsaac, C.; McIver, J.; McManus, D. J.; McRae, T.; McWilliams, S. T.; Meacher, D.; Mehmet, M.; Mehta, A. K.; Melatos, A.; Melchor, D. A.; Mendell, G.; Menendez-Vazquez, A.; Menoni, C. S.; Mercer, R. A.; Mereni, L.; Merfeld, K.; Merilh, E. L.; Merritt, J. D.; Merzougui, M.; Meshkov, S.; Messenger, C.; Messick, C.; Meyers, P. M.; Meylahn, F.; Mhaske, A.; Miani, A.; Miao, H.; Michaloliakos, I; Michel, C.; Michimura, Y.; Middleton, H.; Milano, L.; Miller, A. L.; Millhouse, M.; Mills, J. C.; Milotti, E.; Milovich-Goff, M. C.; Minazzoli, O.; Minenkov, Y.; Mio, N.; Mir, Ll M.; Mishkin, A.; Mishra, C.; Mishra, T.; Mistry, T.; Mitra, S.; Mitrofanov, V. P.; Mitselmakher, G.; Mittleman, R.; Miyakawa, O.; Miyamoto, A.; Miyazaki, Y.; Miyo, K.; Miyoki, S.; Mo, Geoffrey; Mogushi, K.; Mohapatra, S. R. P.; Mohite, S. R.; Molina, I; Molina-Ruiz, M.; Mondin, M.; Montani, M.; Moore, C. J.; Moraru, D.; Morawski, F.; More, A.; Moreno, C.; Moreno, G.; Mori, Y.; Morisaki, S.; Moriwaki, Y.; Mours, B.; Mow-Lowry, C. M.; Mozzon, S.; Muciaccia, F.; Mukherjee, Arunava; Mukherjee, D.; Mukherjee, Soma; Mukherjee, Subroto; Mukund, N.; Mullavey, A.; Munch, J.; Muniz, E. A.; Murray, P. G.; Musenich, R.; Nadji, S. L.; Nagano, K.; Nagano, S.; Nagar, A.; Nakamura, K.; Nakano, H.; Nakano, M.; Nakashima, R.; Nakayama, Y.; Nardecchia, I; Narikawa, T.; Naticchioni, L.; Nayak, B.; Nayak, R. K.; Negishi, R.; Neil, B. F.; Neilson, J.; Nelemans, G.; Nelson, T. J. N.; Nery, M.; Neunzert, A.; Ng, K. Y.; Ng, S. W. S.; Nguyen, C.; Nguyen, P.; Nguyen, T.; Quynh, L. Nguyen; Ni, W-T; Nichols, S. A.; Nishizawa, A.; Nissanke, S.; Nocera, F.; Noh, M.; Norman, M.; North, C.; Nozaki, S.; Nuttall, L. K.; Oberling, J.; Obuchi, Y.; Ogaki, W.; Oganesyan, G.; Oh, J. J.; Oh, K.; Oh, S. H.; Ohashi, M.; Ohishi, N.; Ohkawa, M.; Ohme, F.; Ohta, H.; Okada, M. A.; Okutani, Y.; Okutomi, K.; Olivetto, C.; Oohara, K.; Ooi, C.; Oram, R.; Ormiston, R. G.; Ormsby, N. D.; Ortega, L. F.; Oshino, S.; Ossokine, S.; Osthelder, C.; Otabe, S.; Ottaway, D. J.; Overmier, H.; Pace, A. E.; Pagano, G.; Page, M. A.; Pagliaroli, G.; Pai, A.; Pai, S. A.; Palamos, J. R.; Palashov, O.; Palomba, C.; Pan, K.; Panda, P. K.; Pang, H.; Pang, P. T. H.; Pankow, C.; Pannarale, F.; Pant, B. C.; Paoletti, F.; Paoli, A.; Paolone, A.; Parisi, A.; Park, J.; Parker, W.; Pascucci, D.; Pasqualetti, A.; Passaquieti, R.; Passuello, D.; Patel, M.; Patricelli, B.; Payne, E.; Pechsiri, T. C.; Pedraza, M.; Pegoraro, M.; Pele, A.; Arellano, F. E. Pena; Penn, S.; Perego, A.; Pereira, A.; Pereira, T.; Perez, C. J.; Perigois, C.; Perreca, A.; Perries, S.; Petermann, J.; Petterson, D.; Pfeiffer, H. P.; Pham, K. A.; Phukon, K. S.; Piccinni, O. J.; Pichot, M.; Piendibene, M.; Piergiovanni, F.; Pierini, L.; Pierro, V; Pillant, G.; Pilo, F.; Pinard, L.; Pinto, I. M.; Piotrzkowski, B. J.; Piotrzkowski, K.; Pirello, M.; Pitkin, M.; Placidi, E.; Plastino, W.; Pluchar, C.; Poggiani, R.; Polini, E.; Pong, D. Y. T.; Ponrathnam, S.; Popolizio, P.; Porter, E. K.; Powell, J.; Pracchia, M.; Pradier, T.; Prajapati, A. K.; Prasai, K.; Prasanna, R.; Pratten, G.; Prestegard, T.; Principe, M.; Prodi, G. A.; Prokhorov, L.; Prosposito, P.; Prudenzi, L.; Puecher, A.; Punturo, M.; Puosi, F.; Puppo, P.; Purrer, M.; Qi, H.; Quetschke, V; Quinonez, P. J.; Quitzow-James, R.; Raab, F. J.; Raaijmakers, G.; Radkins, H.; Radulesco, N.; Raffai, P.; Rail, S. X.; Raja, S.; Rajan, C.; Ramirez, K. E.; Ramirez, T. D.; Ramos-Buades, A.; Rana, J.; Rapagnani, P.; Rapol, U. D.; Ratto, B.; Raymond, V; Raza, N.; Razzano, M.; Read, J.; Rees, L. A.; Regimbau, T.; Rei, L.; Reid, S.; Reitze, D. H.; Relton, P.; Rettegno, P.; Ricci, F.; Richardson, C. J.; Richardson, J. W.; Richardson, L.; Ricker, P. M.; Riemenschneider, G.; Riles, K.; Rizzo, M.; Robertson, N. A.; Robie, R.; Robinet, F.; Rocchi, A.; Rocha, J. A.; Rodriguez, S.; Rodriguez-Soto, R. D.; Rolland, L.; Rollins, J. G.; Roma, V. J.; Romanelli, M.; Romano, R.; Romel, C. L.; Romero, A.; Romero-Shaw, I. M.; Romie, J. H.; Rose, C. A.; Rosofsky, S. G.; Ross, M. P.; Rowan, S.; Rowlinson, S. J.; Roy, Santosh; Roy, Soumen; Rozza, D.; Ruggi, P.; Ryan, K.; Sachdev, S.; Sadecki, T.; Sadiq, J.; Sago, N.; Saito, S.; Saito, Y.; Sakai, K.; Sakai, Y.; Sakellariadou, M.; Sakuno, Y.; Salafia, O. S.; Salconi, L.; Saleem, M.; Salemi, F.; Samajdar, A.; Sanchez, E. J.; Sanchez, J. H.; Sanchez, L. E.; Sanchis-Gual, N.; Sanders, J. R.; Sanuy, A.; Saravanan, T. R.; Sarin, N.; Sassolas, B.; Satari, H.; Sato, S.; Sato, T.; Sauter, O.; Savage, R. L.; Savant, V; Sawada, T.; Sawant, D.; Sawant, H. L.; Sayah, S.; Schaetzl, D.; Scheel, M.; Scheuer, J.; Schindler-Tyka, A.; Schmidt, P.; Schnabel, R.; Schneewind, M.; Schofield, R. M. S.; Schonbeck, A.; Schulte, B. W.; Schutz, B. F.; Schwartz, E.; Scott, J.; Scott, S. M.; Seglar-Arroyo, M.; Seidel, E.; Sekiguchi, T.; Sekiguchi, Y.; Sellers, D.; Sengupta, A. S.; Sennett, N.; Sentenac, D.; Seo, E. G.; Sequino, V; Setyawati, Y.; Shaffer, T.; Shahriar, M. S.; Shams, B.; Shao, L.; Sharifi, S.; Sharma, A.; Sharma, P.; Shawhan, P.; Shcheblanov, N. S.; Shen, H.; Shibagaki, S.; Shikauchi, M.; Shimizu, R.; Shimoda, T.; Shimode, K.; Shink, R.; Shinkai, H.; Shishido, T.; Shoda, A.; Shoemaker, D. H.; Shoemaker, D. M.; Shukla, K.; ShyamSundar, S.; Sieniawska, M.; Sigg, D.; Singer, L. P.; Singh, D.; Singh, N.; Singha, A.; Sintes, A. M.; Sipala, V; Skliris, V; Slagmolen, B. J. J.; Slaven-Blair, T. J.; Smetana, J.; Smith, J. R.; Smith, R. J. E.; Somala, S. N.; Somiya, K.; Son, E. J.; Soni, K.; Soni, S.; Sorazu, B.; Sordini, V; Sorrentino, F.; Sorrentino, N.; Sotani, H.; Soulard, R.; Souradeep, T.; Sowell, E.; Spagnuolo, V; Spencer, A. P.; Spera, M.; Srivastava, A. K.; Srivastava, V; Staats, K.; Stachie, C.; Steer, D. A.; Steinlechner, J.; Steinlechner, S.; Stops, D. J.; Stover, M.; Strain, K. A.; Strang, L. C.; Stratta, G.; Strunk, A.; Sturani, R.; Stuver, A. L.; Sudbeck, J.; Sudhagar, S.; Sudhir, V; Sugimoto, R.; Suh, H. G.; Summerscales, T. Z.; Sun, H.; Sun, L.; Sunil, S.; Sur, A.; Suresh, J.; Sutton, P. J.; Suzuki, Takamasa; Suzuki, Toshikazu; Swinkels, B. L.; Szewczyk, P.; Tacca, M.; Tagoshi, H.; Tait, S. C.; Takahashi, H.; Takahashi, R.; Takamori, A.; Takano, S.; Takeda, H.; Takeda, M.; Talbot, C.; Tanaka, H.; Tanaka, Kazuyuki; Tanaka, Kenta; Tanaka, Taiki; Tanaka, Takahiro; Tanasijczuk, A. J.; Tanioka, S.; Tanner, D. B.; Tao, D.; Tapia, A.; San Martin, E. N. Tapia; San Martin, E. N. Tapia; Tasson, J. D.; Telada, S.; Tenorio, R.; Terkowski, L.; Test, M.; Thirugnanasambandam, M. P.; Thomas, M.; Thomas, P.; Thompson, J. E.; Thondapu, S. R.; Thorne, K. A.; Thrane, E.; Tiwari, Shubhanshu; Tiwari, Srishti; Tiwari, V; Toland, K.; Tolley, A. E.; Tomaru, T.; Tomigami, Y.; Tomura, T.; Tonelli, M.; Torres-Forne, A.; Torrie, C., I; Melo, I. Tosta E.; Toyra, D.; Trapananti, A.; Travasso, F.; Traylor, G.; Tringali, M. C.; Tripathee, A.; Troiano, L.; Trovato, A.; Trozzo, L.; Trudeau, R. J.; Tsai, D. S.; Tsai, D.; Tsang, K. W.; Tsang, T.; Tsao, J-S; Tse, M.; Tso, R.; Tsubono, K.; Tsuchida, S.; Tsukada, L.; Tsuna, D.; Tsutsui, T.; Tsuzuki, T.; Turconi, M.; Tuyenbayev, D.; Ubhi, A. S.; Uchikata, N.; Uchiyama, T.; Udall, R. P.; Ueda, A.; Uehara, T.; Ueno, K.; Ueshima, G.; Ugolini, D.; Unnikrishnan, C. S.; Uraguchi, F.; Urban, A. L.; Ushiba, T.; Usman, S. A.; Utina, A. C.; Vahlbruch, H.; Vajente, G.; Vajpeyi, A.; Valdes, G.; Valentini, M.; Valsan, V.; van Bakel, N.; van Beuzekom, M.; van den Brand, J. F. J.; Van den Broeck, C.; Vander-Hyde, D. C.; van der Schaaf, L.; van Heijningen, J., V; van Putten, M. H. P. M.; Vardaro, M.; Vargas, A. F.; Varma, V.; Vasuth, M.; Vecchio, A.; Vedovato, G.; Veitch, J.; Veitch, P. J.; Venkateswara, K.; Venneberg, J.; Venugopalan, G.; Verkindt, D.; Verma, Y.; Veske, D.; Vetrano, F.; Vicere, A.; Viets, A. D.; Villa-Ortega, V.; Vinet, J-Y; Vitale, S.; Vo, T.; Vocca, H.; von Reis, E. R. G.; Vorvick, C.; Vyatchanin, S. P.; Wade, L. E.; Wade, M.; Wagner, K. J.; Walet, R. C.; Walker, M.; Wallace, G. S.; Wallace, L.; Walsh, S.; Wang, J.; Wang, J. Z.; Wang, W. H.; Ward, R. L.; Warner, J.; Was, M.; Washimi, T.; Washington, N. Y.; Watchi, J.; Weaver, B.; Wei, L.; Weinert, M.; Weinstein, A. J.; Weiss, R.; Weller, C. M.; Wellmann, F.; Wen, L.; Wessels, P.; Westhouse, J. W.; Wette, K.; Whelan, J. T.; White, D. D.; Whiting, B. F.; Whittle, C.; Wilken, D.; Williams, D.; Williams, M. J.; Williamson, A. R.; Willis, J. L.; Willke, B.; Wilson, D. J.; Winkler, W.; Wipf, C. C.; Wlodarczyk, T.; Woan, G.; Woehler, J.; Wofford, J. K.; Wong, I. C. F.; Wrangel, J.; Wu, C.; Wu, D. S.; Wu, H.; Wu, S.; Wysocki, D. M.; Xiao, L.; Xu, W-R; Yamada, T.; Yamamoto, H.; Yamamoto, Kazuhiro; Yamamoto, Kohei; Yamamoto, T.; Yamashita, K.; Yamazaki, R.; Yang, F. W.; Yang, L.; Yang, Yang; Yang, Yi; Yang, Z.; Yap, M. J.; Yeeles, D. W.; Yelikar, A. B.; Ying, M.; Yokogawa, K.; Yokoyama, J.; Yokozawa, T.; Yoon, A.; Yoshioka, T.; Yu, Hang; Yu, Haocun; Yuzurihara, H.; Zanolin, M.; Zeidler, S.; Zelenova, T.; Zendri, J-P; Zevin, M.; Zhan, M.; Zhang, H.; Zhang, J.; Zhang, L.; Zhang, R.; Zhang, T.; Zhao, C.; Zhao, G.; Zhao, Yue; Zhao, Yuhang; Zhou, Z.; Zhu, X. J.; Zhu, Z-H; Zucker, M. E.; Zweizig, J.; Antonopoulou, D.; Arzoumanian, Z.; Enoto, T.; Espinoza, C. M.; Guillot, S.</t>
  </si>
  <si>
    <t>LIGO Sci Collaboration; Virgo Collaboration; KAGRA Collaboration</t>
  </si>
  <si>
    <t>Diving below the Spin-down Limit: Constraints on Gravitational Waves from the Energetic Young Pulsar PSR J0537-6910</t>
  </si>
  <si>
    <t>We present a search for quasi-monochromatic gravitational-wave signals from the young, energetic X-ray pulsar PSR J0537-6910 using data from the second and third observing runs of LIGO and Virgo. The search is enabled by a contemporaneous timing ephemeris obtained using Neutron star Interior Composition Explorer (NICER) data. The NICER ephemeris has also been extended through 2020 October and includes three new glitches. PSR J0537-6910 has the largest spin-down luminosity of any pulsar and exhibits fRequent and strong glitches. Analyses of its long-term and interglitch braking indices provide intriguing evidence that its spin-down energy budget may include gravitational-wave emission from a time-varying mass quadrupole moment. Its 62 Hz rotation frequency also puts its possible gravitational-wave emission in the most sensitive band of the LIGO/Virgo detectors. Motivated by these considerations, we search for gravitational-wave emission at both once and twice the rotation frequency from PSR J0537-6910. We find no signal, however, and report upper limits. Assuming a rigidly rotating triaxial star, our constraints reach below the gravitational-wave spin-down limit for this star for the first time by more than a factor of 2 and limit gravitational waves from the l = m = 2 mode to account for less than 14% of the spin-down energy budget. The fiducial equatorial ellipticity is constrained to less than about 3 x10(-5), which is the third best constraint for any young pulsar.</t>
  </si>
  <si>
    <t>Grimaldi, Andrea/KGM-2637-2024; Villa-Ortega, Verónica/ABG-4912-2021; Tsuzuki, Toshihiro/Q-5761-2019; Clark, James/JPK-8317-2023; Brooks, Allen/P-3560-2016; De Matteis, Fabio/ABG-1923-2020; Fittipaldi, Rosalba/G-7752-2012; Mateu-Lucena, Maite/AAE-1655-2021; Jinhang, Zou/JCO-6023-2023; Toland, Karl/KPA-3552-2024; Giacomazzo, Bruno/I-8088-2012; Adya, Vaishali/V-9014-2019; qin, shuanglin/O-9202-2018; Sanchis-Gual, Nicolas/AAX-1563-2021; Holz, Daniel/HGD-5989-2022; Canepa, Maurizio/E-3658-2012; Miller, Andrew/HGU-6434-2022; Wang, Weiyang/GZM-6620-2022; Chen, Jung-Chien/W-1862-2019; Chiummo, Antonino/AAZ-5233-2021; Oh, Sang-Hwan/KIL-5347-2024; Khazanov, Efim/B-6643-2014; Mir, Lluïsa-Maria/G-7212-2015; Sorrentino, Fiodor/X-8942-2019; Husa, Sascha/S-1787-2017; Singh, Divya/IUM-7944-2023; Ashton, Gregory/AFH-8657-2022; gil guerrero, javier/ABF-6056-2021; M, Saleem/B-9137-2013; Aiello, Lorenzo/GYV-4616-2022; Nakano, Hiroyuki/ABD-4784-2021; Menoni, Carmen/A-3775-2008; Frey, Raymond/E-2830-2016; Yang, Chi/JRY-4671-2023; Hamilton, Eleanor/MCY-7005-2025; Mukund, Nikhil/AAT-2916-2020; Yang, YiChen/KEI-0140-2024; Kumar, Rahul/JZE-0734-2024; Brown, Duncan/U-2343-2019; zhou, zhou/HCH-1084-2022; Farr, Ben/ABH-6964-2020; Aguiar, Odylio/N-2738-2014; Huerta, Eliu/J-5426-2014; Inayoshi, Kohei/AAW-2098-2020; Lueck, Harald/F-7100-2011; wang, xu/IAN-4886-2023; Ju, Li/C-2623-2013; Martin, Iain/V-1198-2018; Gonzalez, Gabriela/AFK-8583-2022; Marchesoni, Fabio/A-1920-2008; Sturani, Riccardo/B-3899-2014; Sintes, Alicia/AAF-4791-2019; Szczepanczyk, Marek/GVR-7951-2022; Aso, Yoichi/R-9361-2019; Inchauspé, Henri/LXA-7094-2024; Tsang, Terrence/LDG-8014-2024; Ohira, Yutaka/AAO-3546-2020; Quirós, Cecilio/R-3567-2019; Gammaitoni, Luca/B-5375-2009; Oshino, Satoru/HPG-1141-2023; Goetz, Evan/HHS-2153-2022; Williams, Michael/AAX-2117-2021; Chiofalo, Marilu/IUQ-1421-2023; Schutz, Bernard/B-1504-2010; Miao, Han/JHT-4396-2023; Srivastava, Anmesh Kumar/AAG-4161-2020; Macleod, Duncan/JCP-4720-2023; ANDO, MASAKI/G-4989-2014; Poggiani, Rosa/P-8801-2018; Williamson, Anne/M-3282-2015; 陈, 祖成/ABG-2281-2020; Fenyvesi, Edit/B-9076-2018; DI PALMA, IRENE/R-1916-2018; Fejer, Martin/AAH-3883-2020; Sanuy, Andreu/N-7477-2018; Phukon, khun Sang/AAY-4869-2021; Isi, Maximiliano/LTD-3973-2024; Poole, Michael/K-6707-2013; carapella, giovanni/A-4416-2008; Greco, Giuseppe/F-6889-2016; Zhu, Xingjiang/E-1501-2016; Sun, Ling/AAC-6908-2022; Grado, Aniello/AAA-1535-2019; Allocca, Annalisa/ABC-7105-2022; Trozzo, Lucia/AFP-2366-2022; Smith, Joshua/HGV-2348-2022; Ejlli, Aldo/GLR-6626-2022; Vocca, Helios/J-9579-2016; YANG, YIFAN/HPF-1451-2023; Constancio, Marcio/M-7955-2017; Cella, Giancarlo/A-9946-2012; Marka, Szabolcs/ABE-7493-2021; Knyazev, Eugene/HSH-6039-2023; Zhang, Teng/Y-3281-2018; Ng, Yeung/E-9877-2010; Ciolfi, Riccardo/HMD-3019-2023; Chen, Chun-Hao/L-9537-2019; Baiotti, Luca/N-1791-2019; Buscicchio, Riccardo/AFT-1650-2022; Leonardi, Matteo/AAT-5237-2020; Bagnasco, Stefano/J-4324-2012; chen, yue/JXW-9556-2024; Amengual, Rafel/AAE-1693-2021; Placidi, Ernesto/AAA-6291-2020; Ushiba, Takafumi/JVO-0091-2024; Rapagnani, Piero/T-2050-2019; Shimoda, Tomofumi/AAQ-6497-2020; Li, Xuan/K-6034-2017; Cavaglià, Marco/AAW-6540-2021; Arai, Koji/I-7506-2017; Bawaj, Mateusz/AAC-2018-2021; Adams, Greg/HLQ-2582-2023; Cerretani, Giovanni/Z-1755-2019; Lin, Fan-Li/GLR-9406-2022; London, Lionel/AAY-6855-2020; Wette, Karl/H-9897-2019; Oganesyan, Gor/AAX-8143-2020; Farr, Will/KCY-9315-2024; Yu, Hang/ACX-1207-2022; Krolak, Andrzej/V-3384-2017; Granata, Veronica/AIB-9682-2022; Antelis, Javier/W-3381-2019; Wysocki, Daniel/ABA-7659-2020; Iess, Alberto/GWD-0844-2022; Miani, Andrea/MCY-5033-2025; Nishizawa, Atsushi/A-4376-2011; Chen, Yanbei/A-2604-2013; Helmling-Cornell, Adrian/AAG-8500-2020; Cerda-Duran, Pablo/D-7857-2015; Dupletsa, Ulyana/KHW-9504-2024; Iyer, Bala/E-2894-2012; Kasprzack, Marie/JGM-1831-2023; Barta, Dániel/AAK-5867-2021; Mapelli, Michela/ABA-4708-2020; Acernese, Fausto/E-4989-2010; Nardecchia, Ilaria/LPP-8431-2024; Estevez, Dimitri/AAR-7321-2021; Samajdar, Anuradha/AAA-3165-2022; Dmitriev, Artemiy/AAE-8933-2021; Ganguly, Apratim/IQV-9557-2023; Prasai, Kiran/W-1170-2018; Chua, Sheon/MBV-7162-2025; Willke, Benno/U-8992-2017; Buades, Antoni/R-4149-2019; Pascucci, Daniela/AGR-5711-2022; Barneo, Pablo/MSX-5174-2025; guo, hengkai/AAB-8745-2022; Bazzan, Marco/AAC-7894-2019; yu, hui/KDO-3946-2024; Slagmolen, Bram/AAY-1638-2020; chen, jia/JLM-4733-2023; Christensen, Nelson/AAH-9184-2019; Patricelli, Barbara/ITV-6524-2023; Weinstein, Amanda/D-1445-2019; Ricci, Fulvio/JZD-2100-2024; Boldrini, Mattia/KFQ-0977-2024; Bejger, Magdalena/W-7298-2018; Costa, César/V-9846-2019; Khan, Sebastian/AAV-6506-2020; Lemaître, Anaël/F-1972-2010; Errico, Luciano/MIO-0834-2025; Gemme, Gianluca/C-7233-2008; Schnabel, Roman/V-7759-2019; TRAPANANTI, Angela/A-3621-2008; Sudhir, Vivishek/E-5943-2011; Vicere', Andrea/J-1742-2012; Addesso, Paolo/F-4928-2012; Favata, Marc/AAA-6755-2022; Monzani, Simone/D-6328-2017; Spencer, Austin/AAE-9657-2020; Michimura, Yuta/O-4524-2014; Maksimovic, Ivan/KSM-1013-2024; Pannarale, Francesco/HTP-7790-2023; Pagliaroli, Giulia/AAA-7637-2020; Zhang, Yuchen/GYI-8858-2022; Lovelace, Geoffrey/LUY-6382-2024; Chincarini, Andrea/J-9998-2018; Khalili, Farit/D-8113-2012; Covas Vidal, Pep/JZD-5658-2024; Frei, Zsolt/O-9538-2019; DeArcia, Roberto/MIP-7168-2025; García Núñez, Carlos/I-8453-2015; Davier, Michel/HTM-1466-2023; Zangrando, Lisa/AGG-8712-2022; Cabourn-Davies, Gareth/AAA-9744-2020; Vardaro, Marco/AAE-9292-2022; Farinon, Stefania/AAG-9056-2019; Wang, James/JAD-0675-2023; Pratten, Geraint/AAX-3476-2020; Spera, Mario/AAF-3870-2019; Lee, Dean/KFS-1456-2024; Howell, Eric/H-5072-2014; Pang, Peter Tsun Ho/JCD-5182-2023; Kakizaki, Mitsuru/AAB-3015-2020; Estrella, Héctor/R-3484-2019; Morawski, Filip/AHB-7548-2022; Sassolas, Benoit/HZL-0679-2023; Rapagnani, Piero/J-4783-2012; Masalehdan, Hossein/I-2407-2012; Bertolini, Alessandro/ABG-4851-2021; Kowalska-Leszczyńska, Izabela/IQT-3280-2023; Shao, Lijing/GRO-6046-2022; Pinto, Innocenzo/L-3520-2016; Travasso, Flavio/J-9595-2016; Lorenzini, Matteo/AAC-6035-2021; Enoto, Teruaki/GQH-0674-2022; PRADIER, Thierry/P-6052-2017; Zhang, Xuchao/P-9009-2015; Fazio, Mariana/HKO-3030-2023; Mishra, Tanmaya/ABH-3647-2020; Pierini, Lorenzo/ABB-2115-2021; Kashyap, Rahul/AEM-3686-2022; Piotrzkowski, Krzysztof/IST-1292-2023; Dálya, Gergely/GLU-6345-2022; Torres-Forné, Alejandro/AEC-6922-2022; Carannante, Giuseppe/HKM-6639-2023; Vivekananthaswamy, gayathri/GLQ-5448-2022; zhan, Mingsheng/CAF-1115-2022; xu, haodong/IAM-9132-2023; Rozza, Davide/AAD-3169-2020; Somala, Surendra Nadh/Y-8896-2019; l, j/HNC-5728-2023; Cohen, Lior/GWZ-4291-2022; Tenorio, Rodrigo/AAE-5308-2021; Van Den Broeck, Chris/R-7871-2018; Bartos, Ivo/L-7159-2013; Blair, Ryan/ABH-4559-2020; Ottaway, David/J-5908-2015; Drago, Marco/E-7134-2013; Ain, Anirban/HJA-2249-2022; PRAJAPATI, ANUJ/ABG-4254-2020; Husa, Sascha/AAB-6992-2019; Valdes, Guillermo/AAC-5915-2019; Keitel, David/AAA-1579-2019; Bogaert, Gilles/GZA-8066-2022; Chen, Andrew/AAC-3979-2020; Williams, David/A-1180-2007; Nguyen, Quynh Lan/AAT-8754-2021; Gergely, László/JCO-2832-2023; Shahriar, Selim/B-7270-2009; Sun, He-Jun/AAG-9589-2021; Sorrentino, Fiodor/M-6662-2016; Torrie, Calum/HSF-6951-2023; O'Shaughnessy, Richard/AAA-3625-2021; Veske, Doğa/JZS-8735-2024; Kumar, Dr. Manoj/JTU-8722-2023; Nayak, Bidyut/ABE-3379-2021; Cirone, Alessio/IXN-4251-2023; Punturo, Michele/I-3995-2012; Pedraza Morales, Maria Isabel/ABC-7289-2021; Korobko, Mikhail/ABD-8704-2020; SEGLAR-ARROYO, MONICA/AAB-4366-2021; Vocca, Helios/F-1444-2010; Blair, Carl/AGP-2697-2022; Pilo, Federico/AAB-8998-2021; Ciani, Giacomo/G-1036-2011; De Simone, Roberta/AAD-7322-2022; Grace, Benjamin/LRU-1735-2024; Barr, Bryan/G-3348-2019; Shoemaker, David/JKI-5322-2023; Carullo, Gregorio/GVT-2377-2022; McManus, David/AAE-3962-2019; Somiya, Kentaro/ABE-2215-2020; Bondu, Francois/A-2071-2012; Rocchi, Alessio/O-9499-2015; dattilo, vincenzino/N-9732-2015; Macas, Ronaldas/N-7283-2018; Danilishin, Stefan/K-7262-2012; Agatsuma, Kazuhiro/LOR-7307-2024; Haskell, Brynmor/AAX-1002-2021; Polini, Eleonora/JFT-0612-2023; D'Urso, Domenico/I-5325-2012; Lasky, Paul/A-2660-2009; Middleton, Hannah/HLW-6398-2023; Salafia, Om Sharan/F-2108-2018; Khazanov, Efim/GQA-7518-2022; Kéfélian, Fabien/AAN-6987-2020; Ott, Christian/G-2651-2011; Díaz Vélez, Juan Carlos/AAD-5211-2022; K, Haris/LCD-9637-2024; Zhao, Chunnong/AAE-7836-2021; Takeda, Hiroki/GYI-8690-2022; Bersanetti, Diego/N-4382-2018; Steinlechner, Jessica/AAJ-9932-2021; Hammond, Giles/B-7861-2009; Chen, Yu-Hung/GLU-7365-2022; Paolone, Annalisa/P-1630-2019; Li, Jinjing/HMP-6683-2023; Molina-Ruiz, Manel/O-1545-2015; Pannarale, Francesco/J-8852-2019; del Pulgar Mancebo, Carlos/ABA-6137-2020; Bécsy, Bence/GQR-0924-2022; Bilenko, Igor/JVZ-0655-2024; Muciaccia, Federico/HJP-8974-2023; Palashov, Oleg/G-3917-2017; DI GIORGIO, CINZIA/AAC-2549-2021; Fidecaro, Francesco/H-9581-2017; Qi, Hong/AAC-5169-2019; Setyawati, Yoshinta/GLT-1191-2022; Vahlbruch, Henning/HSD-4655-2023; Bulik, Tomasz/AAJ-6742-2020; Babak, Stanislav/H-9689-2017; Kim, Jin-Soo/AAF-3359-2019; kumar, rahul/GZG-2171-2022; Boschi, Valerio/AAP-2034-2020; Garufi, Fabio/JAO-0368-2023; de Varona, Omar/AAA-6282-2020; Pierro, Vincenzo/AHD-9078-2022; Puppo, Paola/J-4250-2012; Vyatchanin, Sergey/J-2238-2012; Colleoni, Marta/JTV-4188-2023; Kita, Naoki/LRU-7966-2024; Gibson, David/HTQ-3690-2023; Yu, Haocun/ABA-5429-2020; Hellman, Frances/D-3605-2019; Zevin, Michael/ABG-1443-2020; Prokhorov, Leonid/I-2953-2012; Tacca, Matteo/J-1599-2015; Kuroyanagi, Sachiko/B-3843-2017; tiwari, shubhanshu/R-8546-2016; Prodi, Giovanni Andrea/B-4398-2010; VARDARO, MARCO/C-1745-2017; Font Roda, Jose Antonio/K-5198-2014; Rettegno, Piero/KBR-2491-2024; Garufi, Fabio/K-3263-2015; Ferrante, Isidoro/F-1017-2012; Shinkai, Hisa-aki/S-6590-2016; Piccinni, Ornella Juliana/M-6238-2018; Losurdo, Giovanni/K-1241-2014; Hild, Stefan/A-3864-2010; Mow-Lowry, Conor/F-8843-2015; Nakamura, Kouji/H-6364-2013; MARTINEZ, MARIO/I-3549-2015; Raab, Frederick/E-2222-2011; Birney, Imogen/S-7320-2019; Lee, Ray-Kuang/C-1039-2009; Stuver, Amber/L-9985-2018; SHCHEBLANOV, Nikita/D-3713-2011; Espinoza, Cristobal/U-4428-2017; Isleif, Katharina-Sophie/M-7891-2018; Dent, Thomas/AAB-3674-2019; Harms, Jan/J-4359-2012; McClelland, David/E-6765-2010; Sigg, Daniel/I-4308-2015; Barone, Fabrizio/HMD-7711-2023; Fornal, Bartosz/M-8633-2016; De Pietri, Roberto/E-5336-2012; Salemi, Francesco/F-6988-2014; Gergely, Laszlo Arpad/X-7693-2018; Bassiri, Riccardo/JPK-2189-2023; Garcia Nunez, Carlos/K-8614-2018; Leonardi, Matteo/G-9694-2015; Chiadini, Francesco/E-1812-2015; Naticchioni, Luca/AAB-7775-2019; Pitkin, Matthew/I-3802-2013; Mapelli, Michela/B-1157-2013; van Heijningen, Joris/AET-6976-2022; Slagmolen, Bram J. J./L-2876-2015; Nelemans, Gijs/D-3177-2012; McRae, Terry/J-5986-2015; Mangano, Valentina/AAC-9281-2020; Dmitriev, Artemiy/J-2847-2012; Williams, Daniel/ABA-6070-2022; Placidi, Ernesto/D-8476-2016; Plastino, Wolfango/AAS-7305-2021; Ferreira, Tabata Aira/GQA-5414-2022; Costa, Cesar/G-7588-2012; Mastrogiovanni, Simone/AAG-9846-2021; Cuoco, Elena/I-8789-2012; Conti, Livia/F-8565-2013; Marquina, Antonio/F-8755-2012; DI PACE, SIBILLA/Y-9521-2019; Jariwala, Deep/E-9913-2013; Lazzaro, Claudia/L-2986-2016; Reitze, David/IXD-3777-2023</t>
  </si>
  <si>
    <t>Tenorio, Rodrigo/0000-0002-3582-2587; Mehta, Ajit Kumar/0000-0002-7351-6724; Mondin, Marina/0000-0003-3105-3802; Cirone, Alessio/0000-0003-4299-8609; Williams, Michael/0000-0003-2198-2974; Tacca, Matteo/0000-0003-1353-0441; Kuroyanagi, Sachiko/0000-0001-6538-1447; tiwari, shubhanshu/0000-0003-1611-6625; Kumar, Prayush/0000-0001-5523-4603; STEER, Daniele/0000-0002-8781-1273; Daw, Edward/0000-0002-3780-5430; Anderson, Warren/0000-0003-0482-5942; Ramirez Guevara, Karla Elizabeth/0000-0003-2194-7669; Kefelian, Fabien/0000-0001-9870-6850; Jenkins, Alexander/0000-0003-1785-5841; Arun, K G/0000-0002-6960-8538; Prodi, Giovanni Andrea/0000-0001-5256-915X; D'Angelo, Beatrice/0000-0001-9143-8427; Antonopoulou, Danai/0000-0003-0746-5364; Kapadia, Shasvath/0000-0001-5318-1253; VARDARO, MARCO/0000-0001-8604-3797; ZHAN, Mingsheng/0000-0001-7240-1952; Font Roda, Jose Antonio/0000-0001-6650-2634; Hamilton, Eleanor/0000-0003-0098-9114; RAZZANO, MASSIMILIANO/0000-0003-4825-1629; Depasse, Antoine V./0000-0003-1014-8394; Sk, Javed Rana/0000-0001-5605-1809; Park, June Gyu/0000-0002-7510-0079; Rettegno, Piero/0000-0001-8088-3517; Lee, Kyung-Ha/0000-0003-0470-3718; Quetschke, Volker/0000-0002-8012-4868; Ciecielag, Pawel/0000-0002-5871-4730; Parisi, Alessandro/0000-0003-0251-8914; Garufi, Fabio/0000-0003-1391-6168; Ho, Wynn/0000-0002-6089-6836; Ferrante, Isidoro/0000-0002-0083-7228; Gayathri, V/0000-0002-7167-9888; Phukon, Khun Sang/0000-0003-1561-0760; Sorrentino, Nunziato/0000-0002-1855-5966; Shinkai, Hisa-aki/0000-0003-1082-2844; Puppo, Paola/0000-0003-4677-5015; Karki, Sudarshan/0000-0001-9982-3661; Piccinni, Ornella Juliana/0000-0001-5478-3950; Errico, Luciano/0000-0003-2112-0653; Hall, Evan/0000-0001-9018-666X; Flynn, Eric/0000-0002-6641-3620; Losurdo, Giovanni/0000-0003-0452-746X; Fafone, Viviana/0000-0003-1314-1622; Lumaca, Diana/0000-0002-3628-1591; Rozza, Davide/0000-0002-7378-6353; Maggiore, Riccardo/0000-0001-5140-779X; Colleoni, Marta/0000-0002-7214-9088; De Matteis, Fabio/0000-0001-7860-9754; Kashyap, Rahul/0000-0002-5700-282X; Miller, Andrew L./0000-0002-4890-7627; Jaranowski, Piotr/0000-0001-8085-3414; Ghosh, Archisman/0000-0003-0423-3533; Evans, Matthew/0000-0001-8459-4499; Hild, Stefan/0000-0001-9221-6009; Zeidler, Simon/0000-0001-7949-1292; Willis, Joshua/0000-0002-9929-0225; Ejlli, Aldo/0000-0002-4149-4532; Mow-Lowry, Conor/0000-0002-0351-4555; schwartz, eyal/0000-0001-8922-7794; Figura, Przemyslaw/0000-0002-8925-0393; Nakamura, Kouji/0000-0001-6148-4289; Kakizaki, Mitsuru/0000-0003-1430-3339; MARTINEZ, MARIO/0000-0002-3135-945X; Haskell, Brynmor/0000-0002-8255-3519; Chen, Andrew/0000-0001-6425-5692; Cholayil, Muhammed Saleem/0000-0002-3836-7751; Raab, Frederick/0009-0005-5872-9819; Patricelli, Barbara/0000-0001-6709-0969; CARAPELLA, Giovanni/0000-0002-0095-1434; Pinto, Innocenzo M./0000-0002-2679-4457; Bulik, Tomasz/0000-0003-2045-4803; Kandhasamy, Shivaraj/0000-0002-4825-6764; Pilo, Federico/0000-0003-4967-7090; Tringali, Maria Concetta/0000-0001-5087-189X; Zhao, Yuhang/0000-0003-2542-4734; Diaz-Ortiz Jr., Mauricio/0000-0003-4833-4432; Birney, Imogen/0000-0002-4766-0757; Lee, Ray-Kuang/0000-0002-7171-7274; Sieniawska, Magdalena/0000-0001-5895-5537; Seglar-Arroyo, Monica/0000-0001-8654-409X; Allocca, Annalisa/0000-0002-5288-1351; Shoemaker, David/0000-0002-4147-2560; Krolak, Andrzej/0000-0003-4514-7690; Polini, Eleonora/0000-0003-4059-0765; Inchauspe, Henri/0000-0002-4664-6451; Tsuzuki, Toshihiro/0000-0002-8342-8314; Frei, Zsolt/0000-0002-0181-8491; Oh, Sang Hoon/0000-0003-1184-7453; Buscicchio, Riccardo/0000-0002-7387-6754; Stuver, Amber/0000-0003-0324-5735; Nishizawa, Atsushi/0000-0003-3562-0990; Kapasi, Disha Pankaj/0000-0001-8189-4920; Satari, Hamid/0000-0002-9903-2779; Hannuksela, Otto Akseli/0000-0002-3887-7137; Pan, Kuo-Chuan/0000-0002-1473-9880; SHCHEBLANOV, Nikita/0000-0001-8696-2435; Piergiovanni, Francesco/0000-0001-8063-828X; Antelis, Javier M./0000-0003-3377-0813; Thrane, Eric/0000-0002-4418-3895; Raymond, Vivien/0000-0003-0066-0095; Baird, Jonathon/0000-0002-4341-2860; Goodwin-Jones, Aaron/0000-0002-0395-0680; Espinoza, Cristobal/0000-0003-2481-2348; Knyazev, Eugene/0000-0002-9621-5967; Isleif, Katharina-Sophie/0000-0001-7032-9440; Koekoek, Gideon/0000-0002-7750-1925; Huang, Yao-Chin/0000-0001-8786-7026; Asali, Yasmeen/0000-0002-8320-2198; KHAN, IMRAN/0000-0001-9678-4775; Guixe, Gerard/0000-0002-8780-9827; Dent, Thomas/0000-0003-1354-7809; Harms, Jan/0000-0002-7332-9806; Itoh, Yousuke/0000-0003-2694-8935; Torres Forne, Alejandro/0000-0001-8709-5118; Leaci, Paola/0000-0002-3997-5046; McClelland, David/0000-0001-6210-5842; Vyatchanin, Sergey P./0000-0002-6823-911X; Ben Yaala, Marwa/0000-0002-6754-0875; Gaudio, Sergio/0000-0002-9645-5979; Idzkowski, Bartosz/0000-0001-5869-2714; Wette, Karl/0000-0002-4394-7179; Grado, Aniello/0000-0002-0501-8256; Sigg, Daniel/0000-0003-4606-6526; Bazzan, Marco/0000-0002-1451-1368; Tosta e Melo, Iara/0000-0001-5833-4052; Key, Joey Shapiro/0000-0003-0123-7600; Barone, Fabrizio/0000-0002-8069-8490; Fornal, Bartosz/0000-0003-3271-2080; Toland, Karl/0000-0001-9537-9698; Powell, Jade/0000-0002-1357-4164; De Pietri, Roberto/0000-0003-1556-8304; Kotake, Kei/0000-0003-2456-6183; Salemi, Francesco/0000-0002-9511-3846; Smetana, Jiri/0000-0002-7277-6671; Carullo, Gregorio/0000-0001-9090-1862; Giri, Priyanka/0000-0002-4628-2432; Laxen, Michael/0000-0001-7515-9639; Gibson, Desmond/0000-0003-2851-0072; Gergely, Laszlo Arpad/0000-0003-3146-6201; Bassiri, Riccardo/0000-0001-8171-6833; Riles, Keith/0000-0002-6418-5812; Garcia Nunez, Carlos/0000-0001-5518-6189; Goetz, Evan/0000-0003-2666-721X; Leonardi, Matteo/0000-0002-7641-0060; JUNG, Pil-Jong/0000-0003-2974-4604; O'Reilly, Brian/0000-0002-3874-8335; S, Sudhagar/0000-0001-8578-4665; Chiadini, Francesco/0000-0002-9339-8622; Badaracco, Francesca/0000-0001-8553-7904; Sharif, Sarah Safura/0000-0002-4667-6650; Naticchioni, Luca/0000-0003-2918-0730; Huerta, Eliu/0000-0002-9682-3604; M K, Haris/0000-0001-5597-8098; Edelman, Bruce/0000-0001-7648-1689; Pitkin, Matthew/0000-0003-4548-526X; Franke, Alexander/0000-0002-4843-1112; De Rosa, Rosario/0000-0002-4004-947X; Oganesyan, Gor/0000-0001-9765-1552; Mapelli, Michela/0000-0001-8799-2548; Favata, Marc/0000-0001-8270-9512; Eddolls, Graeme/0000-0002-5895-4523; Valerie, Martinez/0000-0001-5852-2301; Lartaux, Angelique/0000-0003-1714-365X; Marka, Szabolcs/0000-0002-3957-1324; McGhee, Graeme/0000-0001-5038-2658; Casentini, Claudio/0000-0001-8100-0579; Di Renzo, Francesco/0000-0002-5447-3810; Nguyen, Quynh Lan/0000-0002-1828-3702; Kawasaki, Takuya/0000-0001-5839-1700; Nakano, Hiroyuki/0000-0001-7665-0796; PERRIES, Stephane/0000-0003-2213-3579; Charlton, Philip/0000-0002-4263-2706; Thirugnanasambandam, Manasadevi Priyamvadha/0000-0003-3639-0365; Liu, Jian/0000-0001-6726-3268; O'Shaughnessy, Richard/0000-0001-5832-8517; Lamberts, Astrid/0000-0001-8740-0127; Kong, Albert/0000-0002-5105-344X; van Heijningen, Joris/0000-0002-8391-7513; Maksimovic, Ivan/0009-0003-9902-778X; Barneo Gonzalez, Pablo Jose/0000-0002-8883-7280; Aiello, Lorenzo/0000-0003-2771-8816; Slagmolen, Bram J. J./0000-0002-2471-3828; BRANCHESI, Marica/0000-0003-1643-0526; Strang, Lucy/0000-0001-7834-9235; Nelemans, Gijs/0000-0002-0752-2974; Pierro, Vincenzo/0000-0002-6020-5521; McRae, Terry/0000-0002-6540-6824; Jeunon Barros Ferreira, Mariana/0000-0002-8173-0931; Helmling-Cornell, Adrian/0000-0002-7709-8638; Lee, Joongoo/0000-0003-2510-4132; Grimaldi, Andrea/0000-0002-6956-4301; Mangano, Valentina/0000-0001-7902-8505; Callister, Thomas/0000-0001-9892-177X; Markakis, Charalampos/0000-0002-5524-0410; Hollows, Ian/0000-0002-3404-6459; Garcia Quiros, Cecilio/0000-0002-8059-2477; Iess, Alberto/0000-0001-9658-6752; Utina, Andrei/0000-0003-2975-9208; Dmitriev, Artemiy/0000-0002-0314-956X; Han, Wen-Biao/0000-0002-2039-0726; Williams, Daniel/0000-0003-3772-198X; de rossi, camilla/0000-0002-5825-472X; Sanchis-Gual, Nicolas/0000-0001-5375-7494; Guidi, Gianluca/0000-0002-3061-9870; Drago, Marco/0000-0002-3738-2431; Brady, Patrick/0000-0002-4611-9387; Covas, Pep/0000-0002-1845-9309; Placidi, Ernesto/0000-0002-3820-8451; Enomoto, Yutaro/0000-0001-6426-7079; Takeda, Hiroki/0000-0001-9937-2557; CANNAVACCIUOLO, Marco/0000-0002-4802-1797; Adya, Vaishali/0000-0003-4955-6280; Kinley-Hanlon, Maya/0000-0002-7367-8002; Creighton, Jolien/0000-0003-3600-2406; Cavaglia, Marco/0000-0002-3835-6729; Sun, Ling/0000-0001-7959-892X; Plastino, Wolfango/0000-0002-5737-6346; Piotrzkowski, Krzysztof/0000-0002-6226-957X; Boschi, Valerio/0000-0001-8665-2293; Casanueva Diaz, Julia/0000-0002-2948-5238; Pang, Peter Tsun Ho/0000-0001-7041-3239; Ackley, Kendall/0000-0002-8648-0767; Paoletti, Federico/0000-0001-8898-1963; Ferreira, Tabata Aira/0000-0002-1166-2005; Nissanke, Samaya/0000-0001-6573-7773; Sordini, Viola/0000-0003-0885-824X; Poggiani, Rosa/0000-0002-9968-2464; D'Onofrio, Luca/0000-0001-9546-5959; Holz, Daniel/0000-0002-0175-5064; Hanna, Chad/0000-0002-0965-7493; Goncharov, Boris/0000-0003-3189-5807; Bitossi, Massimiliano/0000-0002-9862-4668; Himemoto, Yoshiaki/0000-0002-6856-3809; Costa, Cesar/0000-0003-4853-758X; Chatterjee, Deep/0000-0003-0038-5468; Bajpai, Rishabh/0000-0003-0495-5720; yang, yang/0000-0001-9426-4733; Mastrogiovanni, Simone/0000-0003-1606-4183; Spencer, Andrew/0000-0003-4418-3366; Boldrini, Mattia/0000-0001-9861-821X; Kolitsidou, Panagiota/0000-0002-6719-8686; pagliaroli, giulia/0000-0002-6751-9996; Cifaldi, Maria/0009-0007-1566-7093; Bawaj, Mateusz/0000-0003-3611-3042; Cuoco, Elena/0000-0002-6528-3449; Conti, Livia/0000-0003-2731-2656; Marquina, Antonio/0000-0001-8767-4208; Sintes, Alicia M/0000-0001-9050-7515; Gupta, Anchal/0000-0002-1762-9644; DI PACE, SIBILLA/0000-0001-6759-5676; Gennai, Alberto/0000-0003-0149-2089; Scott, Susan M./0000-0002-9875-7700; Jariwala, Deep/0000-0002-3570-8768; Shoemaker, Deirdre/0000-0002-9899-6357; Lazzaro, Claudia/0000-0001-5993-3372; Zweizig, John/0000-0002-1521-3397; Gray, Rachel/0000-0002-5556-9873; greco, giuseppe/0000-0002-2353-6604; Glanzer, Jane/0009-0000-0808-0795; Forsyth, Perry/0000-0003-4558-7266; Reitze, David/0000-0002-5756-1111; Muciaccia, Federico/0000-0003-0850-2649; Aso, Yoichi/0000-0002-1902-6695; De Simone, Roberta/0000-0002-9963-792X; Farr, Ben/0000-0002-2916-9200; Khazanov, Efim/0000-0001-5641-8025; Pena Arellano, Fabian Erasmo/0000-0002-8516-5159; Bejger, Michal/0000-0002-4991-8213; Ain, Anirban/0000-0003-4534-4619; Kovalam, Manoj/0000-0001-8143-9696; Singh, Neha/0000-0002-1135-3456; Cieslar, Marek/0000-0001-8912-5587; Junker, Jonas/0000-0002-3051-4374; Musenich, Riccardo/0000-0002-2168-5462</t>
  </si>
  <si>
    <t>L27</t>
  </si>
  <si>
    <t>10.3847/2041-8213/abffcd</t>
  </si>
  <si>
    <t>WOS:000656683600001</t>
  </si>
  <si>
    <t>Abbott, R; Abbott, TD; Abraham, S; Acernese, F; Ackley, K; Adams, A; Adams, C; Adhikari, RX; Adya, VB; Affeldt, C; Agarwal, D; Agathos, M; Agatsuma, K; Aggarwal, N; Aguiar, OD; Aiello, L; Ain, A; Ajith, P; Akutsu, T; Aleman, KM; Allen, G; Allocca, A; Altin, PA; Amato, A; Anand, S; Ananyeva, A; Anderson, SB; Anderson, WG; Ando, M; Angelova, SV; Ansoldi, S; Antelis, JM; Antier, S; Appert, S; Arai, K; Arai, K; Arai, Y; Araki, S; Araya, A; Araya, MC; Areeda, JS; Arène, M; Aritomi, N; Arnaud, N; Aronson, SM; Arun, KG; Asada, H; Asali, Y; Ashton, G; Aso, Y; Aston, SM; Astone, P; Aubin, F; Aufmuth, P; AultONeal, K; Austin, C; Babak, S; Badaracco, F; Bader, MKM; Bae, S; Bae, Y; Baer, AM; Bagnasco, S; Bai, Y; Baiotti, L; Baird, J; Bajpai, R; Ball, M; Ballardin, G; Ballmer, SW; Bals, M; Balsamo, A; Baltus, G; Banagiri, S; Bankar, D; Bankar, RS; Barayoga, JC; Barbieri, C; Barish, BC; Barker, D; Barneo, P; Barnum, S; Barone, F; Barr, B; Barsotti, L; Barsuglia, M; Barta, D; Bartlett, J; Barton, MA; Bartos, I; Bassiri, R; Basti, A; Bawaj, M; Bayley, JC; Baylor, AC; Bazzan, M; Bécsy, B; Bedakihale, VM; Bejger, M; Belahcene, I; Benedetto, V; Beniwal, D; Benjamin, MG; Bennett, TF; Bentley, JD; BenYaala, M; Bergamin, F; Berger, BK; Bernuzzi, S; Bersanetti, D; Bertolini, A; Betzwieser, J; Bhandare, R; Bhandari, AV; Bhattacharjee, D; Bhaumik, S; Bidler, J; Bilenko, IA; Billingsley, G; Birney, R; Birnholtz, O; Biscans, S; Bischi, M; Biscoveanu, S; Bisht, A; Biswas, B; Bitossi, M; Bizouard, MA; Blackburn, JK; Blackman, J; Blair, CD; Blair, DG; Blair, RM; Bobba, F; Bode, N; Boer, M; Bogaert, G; Boldrini, M; Bondu, F; Bonilla, E; Bonnand, R; Booker, P; Boom, BA; Bork, R; Boschi, V; Bose, N; Bose, S; Bossilkov, V; Boudart, V; Bouffanais, Y; Bozzi, A; Bradaschia, C; Brady, PR; Bramley, A; Branch, A; Branchesi, M; Brau, JE; Breschi, M; Briant, T; Briggs, JH; Brillet, A; Brinkmann, M; Brockill, P; Brooks, AF; Brooks, J; Brown, DD; Brunett, S; Bruno, G; Bruntz, R; Bryant, J; Buikema, A; Bulik, T; Bulten, HJ; Buonanno, A; Buscicchio, R; Buskulic, D; Byer, RL; Cadonati, L; Caesar, M; Cagnoli, G; Cahillane, C; Cain, HW III; Bustillo, JC; Callaghan, JD; Callister, TA; Calloni, E; Camp, JB; Canepa, M; Cannavacciuolo, M; Cannon, KC; Cao, H; Cao, J; Cao, Z; Capocasa, E; Capote, E; Carapella, G; Carbognani, F; Carlin, JB; Carney, MF; Carpinelli, M; Carullo, G; Carver, TL; Diaz, JC; Casentini, C; Castaldi, G; Caudill, S; Cavaglia, M; Cavalier, F; Cavalieri, R; Cella, G; Cerdá-Durán, P; Cesarini, E; Chaibi, W; Chakravarti, K; Champion, B; Chan, CH; Chan, C; Chan, CL; Chan, M; Chandra, K; Chanial, P; Chao, S; Charlton, P; Chase, EA; Chassande-Mottin, E; Chatterjee, D; Chaturvedi, M; Chen, A; Chen, C; Chen, HY; Chen, J; Chen, K; Chen, X; Chen, YB; Chen, YR; Chen, Z; Cheng, H; Cheong, CK; Cheung, HY; Chia, HY; Chiadini, F; Chiang, CY; Chierici, R; Chincarini, A; Chiofalo, ML; Chiummo, A; Cho, G; Cho, HS; Choate, S; Choudhary, RK; Choudhary, S; Christensen, N; Chu, H; Chu, Q; Chu, YK; Chua, S; Chung, KW; Ciani, G; Ciecielag, P; Cieslar, M; Cifaldi, M; Ciobanu, AA; Ciolfi, R; Cipriano, F; Cirone, A; Clara, F; Clark, EN; Clark, JA; Clarke, L; Clearwater, P; Clesse, S; Cleva, F; Coccia, E; Cohadon, PF; Cohen, DE; Cohen, L; Colleoni, M; Collette, CG; Colpi, M; Compton, CM; Constancio, M ; Conti, L; Cooper, SJ; Corban, P; Corbitt, TR; Cordero-Carrión, I; Corezzi, S; Corley, KR; Cornish, N; Corre, D; Corsi, A; Cortese, S; Costa, CA; Cotesta, R; Coughlin, MW; Coughlin, SB; Coulon, JP; Countryman, ST; Cousins, B; Couvares, P; Covas, PB; Coward, DM; Cowart, MJ; Coyne, DC; Coyne, R; Creighton, JDE; Creighton, TD; Criswell, AW; Croquette, M; Crowder, SG; Cudell, JR; Cullen, TJ; Cumming, A; Cummings, R; Cuoco, E; Curylo, M; Dal Canton, T; Dálya, G; Dana, A; DaneshgaranBajastani, M; D'Angelo, B; Danilishin, SL; D'Antonio, S; Danzmann, K; Darsow-Fromm, C; Dasgupta, A; Datrier, LEH; Dattilo, V; Dave, I; Davier, M; Davies, GS; Davis, D; Daw, EJ; Dean, R; DeBra, D; Deenadayalan, M; Degallaix, J; De Laurentis, M; Deléglise, S; Del Favero, V; De Lillo, F; De Lillo, N; Del Pozzo, W; DeMarchi, LM; De Matteis, F; D'Emilio, V; Demos, N; Dent, T; Depasse, A; De Pietri, R; De Rosa, R; De Rossi, C; DeSalvo, R; De Simone, R; Dhurandhar, S; Díaz, MC; Diaz-Ortiz, M ; Didio, NA; Dietrich, T; Di Fiore, L; Di Fronzo, C; Di Giorgio, C; Di Giovanni, F; Di Girolamo, T; Di Lieto, A; Ding, B; Di Pace, S; Di Palma, I; Di Renzo, F; Divakarla, AK; Dmitriev, A; Doctor, Z; D'Onofrio, L; Donovan, F; Dooley, KL; Doravari, S; Dorosh, O; Dorrington, I; Drago, M; Driggers, JC; Drori, Y; Du, Z; Ducoin, JG; Dupej, P; Durante, O; D'Urso, D; Duverne, PA; Dwyer, SE; Easter, PJ; Ebersold, M; Eddolls, G; Edelman, B; Edo, TB; Edy, O; Effler, A; Eguchi, S; Eichholz, J; Eikenberry, S; Eisenmann, M; Eisenstein, RA; Ejlli, A; Enomoto, Y; Errico, L; Essick, RC; Estellés, H; Estevez, D; Etienne, Z; Etzel, T; Evans, M; Evans, TM; Ewing, BE; Fafone, V; Fair, H; Fairhurst, S; Fan, X; Farah, AM; Farinon, S; Farr, B; Farr, WM; Farrow, NW; Fauchon-Jones, EJ; Favata, M; Fays, M; Fazio, M; Feicht, J; Fejer, MM; Feng, F; Fenyvesi, E; Ferguson, DL; Fernandez-Galiana, A; Ferrante, I; Ferreira, TA; Fidecaro, F; Figura, P; Fiori, I; Fishbach, M; Fisher, RP; Fishner, JM; Fittipaldi, R; Fiumara, V; Flaminio, R; Floden, E; Flynn, E; Fong, H; Font, JA; Fornal, B; Forsyth, PWF; Franke, A; Frasca, S; Frasconi, F; Frederick, C; Frei, Z; Freise, A; Frey, R; Fritschel, P; Frolov, VV; Fronze, GG; Fujii, Y; Fujikawa, Y; Fukunaga, M; Fukushima, M; Fulda, P; Fyffe, M; Gabbard, HA; Gadre, BU; Gaebel, SM; Gair, JR; Gais, J; Galaudage, S; Gamba, R; Ganapathy, D; Ganguly, A; Gao, D; Gaonkar, SG; Garaventa, B; García-Núñez, C; García-Quirós, C; Garufi, F; Gateley, B; Gaudio, S; Gayathri, V; Ge, G; Gemme, G; Gennai, A; George, J; Gergely, L; Gewecke, P; Ghonge, S; Ghosh, A; Ghosh, A; Ghosh, S; Ghosh, S; Ghosh, S; Giacomazzo, B; Giacoppo, L; Giaime, JA; Giardina, KD; Gibson, DR; Gier, C; Giesler, M; Giri, P; Gissi, F; Glanzer, J; Gleckl, AE; Godwin, P; Goetz, E; Goetz, R; Gohlke, N; Goncharov, B; González, G; Gopakumar, A; Gosselin, M; Gouaty, R; Grace, B; Grado, A; Granata, M; Granata, V; Grant, A; Gras, S; Grassia, P; Gray, C; Gray, R; Greco, G; Green, AC; Green, R; Gretarsson, AM; Gretarsson, EM; Griffith, D; Griffiths, W; Griggs, HL; Grignani, G; Grimaldi, A; Grimes, E; Grimm, SJ; Grote, H; Grunewald, S; Gruning, P; Guerrero, JG; Guidi, GM; Guimaraes, AR; Guixé, G; Gulati, HK; Guo, HK; Guo, Y; Gupta, A; Gupta, A; Gupta, P; Gustafson, EK; Gustafson, R; Guzman, F; Ha, S; Haegel, L; Hagiwara, A; Haino, S; Halim, O; Hall, ED; Hamilton, EZ; Hammond, G; Han, WB; Haney, M; Hanks, J; Hanna, C; Hannam, MD; Hannuksela, OA; Hansen, H; Hansen, TJ; Hanson, J; Harder, T; Hardwick, T; Haris, K; Harms, J; Harry, GM; Harry, IW; Hartwig, D; Hasegawa, K; Haskell, B; Hasskew, RK; Haster, CJ; Hattori, K; Haughian, K; Hayakawa, H; Hayama, K; Hayes, FJ; Healy, J; Heidmann, A; Heintze, MC; Heinze, J; Heinzel, J; Heitmann, H; Hellman, F; Hello, P; Helmling-Cornell, AF; Hemming, G; Hendry, M; Heng, IS; Hennes, E; Hennig, J; Hennig, MH; Vivanco, FH; Heurs, M; Hild, S; Hill, P; Himemoto, Y; Hines, AS; Hiranuma, Y; Hirata, N; Hirose, E; Ho, WCG; Hochheim, S; Hofman, D; Hohmann, JN; Holgado, AM; Holland, NA; Hollows, IJ; Holmes, ZJ; Holt, K; Holz, DE; Hong, Z; Hopkins, P; Hough, J; Howell, EJ; Hoy, CG; Hoyland, D; Hreibi, A; Hsieh, BH; Hsu, Y; Huang, GZ; Huang, HY; Huang, P; Huang, YC; Huang, YJ; Huang, YW; Hübner, MT; Huddart, AD; Huerta, EA; Hughey, B; Hui, DCY; Hui, V; Husa, S; Huttner, SH; Huxford, R; Huynh-Dinh, T; Ide, S; Idzkowski, B; Iess, A; Ikenoue, B; Imam, S; Inayoshi, K; Inchauspe, H; Ingram, C; Inoue, Y; Intini, G; Ioka, K; Isi, M; Isleif, K; Ito, K; Itoh, Y; Iyer, BR; Izumi, K; JaberianHamedan, V; Jacqmin, T; Jadhav, SJ; Jadhav, SP; James, AL; Jan, AZ; Jani, K; Janssens, K; Janthalur, NN; Jaranowski, P; Jariwala, D; Jaume, R; Jenkins, AC; Jeon, C; Jeunon, M; Jia, W; Jiang, J; Jin, HB; Johns, GR; Jones, AW; Jones, DI; Jones, JD; Jones, P; Jones, R; Jonker, RJG; Ju, L; Jung, K; Jung, P; Junker, J; Kaihotsu, K; Kajita, T; Kakizaki, M; Kalaghatgi, CV; Kalogera, V; Kamai, B; Kamiizumi, M; Kanda, N; Kandhasamy, S; Kang, G; Kanner, JB; Kao, Y; Kapadia, SJ; Kapasi, DP; Karathanasis, C; Karki, S; Kashyap, R; Kasprzack, M; Kastaun, W; Katsanevas, S; Katsavounidis, E; Katzman, W; Kaur, T; Kawabe, K; Kawaguchi, K; Kawai, N; Kawasaki, T; Kéfélian, F; Keitel, D; Key, JS; Khadka, S; Khalili, FY; Khan, I; Khan, S; Khazanov, EA; Khetan, N; Khursheed, M; Kijbunchoo, N; Kim, C; Kim, JC; Kim, J; Kim, K; Kim, WS; Kim, YM; Kimball, C; Kimura, N; King, PJ; Kinley-Hanlon, M; Kirchhoff, R; Kissel, JS; Kita, N; Kitazawa, H; Kleybolte, L; Klimenko, S; Knee, AM; Knowles, TD; Knyazev, E; Koch, P; Koekoek, G; Kojima, Y; Kokeyama, K; Koley, S; Kolitsidou, P; Kolstein, M; Komori, K; Kondrashov, V; Kong, AKH; Kontos, A; Koper, N; Korobko, M; Kotake, K; Kovalam, M; Kozak, DB; Kozakai, C; Kozu, R; Kringel, V; Krishnendu, NV; Królak, A; Kuehn, G; Kuei, F; Kumar, A; Kumar, P; Kumar, R; Kumar, R; Kume, J; Kuns, K; Kuo, C; Kuo, HS; Kuromiya, Y; Kuroyanagi, S; Kusayanagi, K; Kwak, K; Kwang, S; Laghi, D; Lalande, E; Lam, TL; Lamberts, A; Landry, M; Lane, BB; Lang, RN; Lange, J; Lantz, B; La Rosa, I; Lartaux-Vollard, A; Lasky, PD; Laxen, M; Lazzarini, A; Lazzaro, C; Leaci, P; Leavey, S; Lecoeuche, YK; Lee, HK; Lee, HM; Lee, HW; Lee, J; Lee, K; Lee, R; Lehmann, J; Lemaître, A; Leon, E; Leonardi, M; Leroy, N; Letendre, N; Levin, Y; Leviton, JN; Li, AKY; Li, B; Li, J; Li, KL; Li, TGF; Li, X; Lin, CY; Lin, FK; Lin, FL; Lin, HL; Lin, LCC; Linde, F; Linker, SD; Linley, JN; Littenberg, TB; Liu, GC; Liu, J; Liu, K; Liu, X; Llorens-Monteagudo, M; Lo, RKL; Lockwood, A; Lollie, ML; London, LT; Longo, A; Lopez, D; Lorenzini, M; Loriette, V; Lormand, M; Losurdo, G; Lough, JD; Lousto, CO; Lovelace, G; Lück, H; Lumaca, D; Lundgren, AP; Luo, LW; Macas, R; MacInnis, M; Macleod, DM; MacMillan, IAO; Macquet, A; Hernandez, IM; Magaña-Sandoval, F; Magazzù, C; Magee, RM; Maggiore, R; Majorana, E; Maksimovic, I; Maliakal, S; Malik, A; Man, N; Mandic, V; Mangano, V; Mango, JL; Mansell, GL; Manske, M; Mantovani, M; Mapelli, M; Marchesoni, F; Marchio, M; Marion, F; Mark, Z; Márka, S; Márka, Z; Markakis, C; Markosyan, AS; Markowitz, A; Maros, E; Marquina, A; Marsat, S; Martelli, F; Martin, IW; Martin, RM; Martinez, M; Martinez, V; Martinovic, K; Martynov, DV; Marx, EJ; Masalehdan, H; Mason, K; Massera, E; Masserot, A; Massinger, TJ; Masso-Reid, M; Mastrogiovanni, S; Matas, A; Mateu-Lucena, M; Matichard, F; Matiushechkina, M; Mavalvala, N; McCann, JJ; McCarthy, R; McClelland, DE; McClincy, P; McCormick, S; McCuller, L; McGhee, GI; McGuire, SC; McIsaac, C; McIver, J; McManus, DJ; Mcrae, T; McWilliams, ST; Meacher, D; Mehmet, M; Mehta, AK; Melatos, A; Melchor, DA; Mendell, G; Menendez-Vazquez, A; Menoni, CS; Mercer, RA; Mereni, L; Merfeld, K; Merilh, EL; Merritt, JD; Merzougui, M; Meshkov, S; Messenger, C; Messick, C; Meyers, PM; Meylahn, F; Mhaske, A; Miani, A; Miao, H; Michaloliakos, I; Michel, C; Michimura, Y; Middleton, H; Milano, L; Miller, AL; Millhouse, M; Mills, JC; Milotti, E; Milovich-Goff, MC; Minazzoli, O; Minenkov, Y; Mio, N; Mir, LM; Mishkin, A; Mishra, C; Mishra, T; Mistry, T; Mitra, S; Mitrofanov, VP; Mitselmakher, G; Mittleman, R; Miyakawa, O; Miyamoto, A; Miyazaki, Y; Miyo, K; Miyoki, S; Mo, G; Mogushi, K; Mohapatra, SRP; Mohite, SR; Molina, I; Molina-Ruiz, M; Mondin, M; Montani, M; Moore, CJ; Moraru, D; Morawski, F; More, A; Moreno, C; Moreno, G; Mori, Y; Morisaki, S; Moriwaki, Y; Mours, B; Mow-Lowry, CM; Mozzon, S; Muciaccia, F; Mukherjee, A; Mukherjee, D; Mukherjee, S; Mukherjee, S; Mukund, N; Mullavey, A; Munch, J; Muñiz, EA; Murray, PG; Musenich, R; Nadji, SL; Nagano, K; Nagano, S; Nagar, A; Nakamura, K; Nakano, H; Nakano, M; Nakashima, R; Nakayama, Y; Nardecchia, I; Narikawa, T; Naticchioni, L; Nayak, B; Nayak, RK; Negishi, R; Neil, BF; Neilson, J; Nelemans, G; Nelson, TJN; Nery, M; Neunzert, A; Ng, KY; Ng, SWS; Nguyen, C; Nguyen, P; Nguyen, T; Quynh, LN; Ni, WT; Nichols, SA; Nishizawa, A; Nissanke, S; Nocera, F; Noh, M; Norman, M; North, C; Nozaki, S; Nuttall, LK; Oberling, J; O'Brien, BD; Obuchi, Y; O'Dell, J; Ogaki, W; Oganesyan, G; Oh, JJ; Oh, K; Oh, SH; Ohashi, M; Ohishi, N; Ohkawa, M; Ohme, F; Ohta, H; Okada, MA; Okutani, Y; Okutomi, K; Olivetto, C; Oohara, K; Ooi, C; Oram, R; O'Reilly, B; Ormiston, RG; Ormsby, ND; Ortega, LF; O'Shaughnessy, R; O'Shea, E; Oshino, S; Ossokine, S; Osthelder, C; Otabe, S; Ottaway, DJ; Overmier, H; Pace, AE; Pagano, G; Page, MA; Pagliaroli, G; Pai, A; Pai, SA; Palamos, JR; Palashov, O; Palomba, C; Pan, K; Panda, PK; Pang, H; Pang, PTH; Pankow, C; Pannarale, F; Pant, BC; Paoletti, F; Paoli, A; Paolone, A; Parisi, A; Park, J; Parker, W; Pascucci, D; Pasqualetti, A; Passaquieti, R; Passuello, D; Patel, M; Patricelli, B; Payne, E; Pechsiri, TC; Pedraza, M; Pegoraro, M; Pele, A; Arellano, FEP; Penn, S; Perego, A; Pereira, A; Pereira, T; Perez, CJ; Périgois, C; Perreca, A; Perriès, S; Petermann, J; Petterson, D; Pfeiffer, HP; Pham, KA; Phukon, KS; Piccinni, OJ; Pichot, M; Piendibene, M; Piergiovanni, F; Pierini, L; Pierro, V; Pillant, G; Pilo, F; Pinard, L; Pinto, IM; Piotrzkowski, BJ; Piotrzkowski, K; Pirello, M; Pitkin, M; Placidi, E; Plastino, W; Pluchar, C; Poggiani, R; Polini, E; Pong, DYT; Ponrathnam, S; Popolizio, P; Porter, EK; Powell, J; Pracchia, M; Pradier, T; Prajapati, AK; Prasai, K; Prasanna, R; Pratten, G; Prestegard, T; Principe, M; Prodi, GA; Prokhorov, L; Prosposito, P; Prudenzi, L; Puecher, A; Punturo, M; Puosi, F; Puppo, P; Pürrer, M; Qi, H; Quetschke, V; Quinonez, J; Quitzow-James, R; Raab, FJ; Raaijmakers, G; Radkins, H; Radulesco, N; Raffai, P; Rail, SX; Raja, S; Rajan, C; Ramirez, KE; Ramirez, TD; Ramos-Buades, A; Rana, J; Rapagnani, P; Rapol, UD; Ratto, B; Raymond, V; Raza, N; Razzano, M; Read, J; Rees, LA; Regimbau, T; Rei, L; Reid, S; Reitze, DH; Relton, P; Rettegno, P; Ricci, F; Richardson, CJ; Richardson, JW; Richardson, L; Ricker, PM; Riemenschneider, G; Riles, K; Rizzo, M; Robertson, NA; Robie, R; Robinet, F; Rocchi, A; Rocha, JA; Rodriguez, S; Rodriguez-Soto, RD; Rolland, L; Rollins, JG; Roma, VJ; Romanelli, M; Romano, R; Romel, CL; Romero, A; Romero-Shaw, IM; Romie, JH; Rose, CA; Rosinska, D; Rosofsky, SG; Ross, MP; Rowan, S; Rowlinson, SJ; Roy, S; Roy, S; Rozza, D; Ruggi, P; Ryan, K; Sachdev, S; Sadecki, T; Sadiq, J; Sago, N; Saito, S; Saito, Y; Sakai, K; Sakai, Y; Sakellariadou, M; Sakuno, Y; Salafia, OS; Salconi, L; Saleem, M; Salemi, F; Samajdar, A; Sanchez, EJ; Sanchez, JH; Sanchez, LE; Sanchis-Gual, N; Sanders, JR; Sanuy, A; Saravanan, TR; Sarin, N; Sassolas, B; Satari, H; Sato, S; Sato, T; Sauter, O; Savage, RL; Savant, V; Sawada, T; Sawant, D; Sawant, HL; Sayah, S; Schaetzl, D; Scheel, M; Scheuer, J; Schindler-Tyka, A; Schmidt, P; Schnabel, R; Schneewind, M; Schofield, RMS; Schönbeck, A; Schulte, BW; Schutz, BF; Schwartz, E; Scott, J; Scott, SM; Seglar-Arroyo, M; Seidel, E; Sekiguchi, T; Sekiguchi, Y; Sellers, D; Sergeev, A; Sengupta, AS; Sennett, N; Sentenac, D; Seo, EG; Sequino, V; Setyawati, Y; Shaffer, T; Shahriar, MS; Shams, B; Shao, L; Sharifi, S; Sharma, A; Sharma, P; Shawhan, P; Shcheblanov, NS; Shen, H; Shibagaki, S; Shikauchi, M; Shimizu, R; Shimoda, T; Shimode, K; Shink, R; Shinkai, H; Shishido, T; Shoda, A; Shoemaker, DH; Shoemaker, DM; Shukla, K; ShyamSundar, S; Sieniawska, M; Sigg, D; Singer, LP; Singh, D; Singh, N; Singha, A; Sintes, AM; Sipala, V; Skliris, V; Slagmolen, BJJ; Slaven-Blair, TJ; Smetana, J; Smith, JR; Smith, RJE; Somala, SN; Somiya, K; Son, EJ; Soni, K; Soni, S; Sorazu, B; Sordini, V; Sorrentino, F; Sorrentino, N; Sotani, H; Soulard, R; Souradeep, T; Sowell, E; Spagnuolo, V; Spencer, AP; Spera, M; Srivastava, AK; Srivastava, V; Staats, K; Stachie, C; Steer, DA; Steinlechner, J; Steinlechner, S; Stops, DJ; Stover, M; Strain, KA; Strang, LC; Stratta, G; Strunk, A; Sturani, R; Stuver, AL; Südbeck, J; Sudhagar, S; Sudhir, V; Sugimoto, R; Suh, HG; Summerscales, TZ; Sun, H; Sun, L; Sunil, S; Sur, A; Suresh, J; Sutton, PJ; Suzuki, T; Suzuki, T; Swinkels, BL; Szczepanczyk, MJ; Szewczyk, P; Tacca, M; Tagoshi, H; Tait, SC; Takahashi, H; Takahashi, R; Takamori, A; Takano, S; Takeda, H; Takeda, M; Talbot, C; Tanaka, H; Tanaka, K; Tanaka, K; Tanaka, T; Tanaka, T; Tanasijczuk, AJ; Tanioka, S; Tanner, DB; Tao, D; Tapia, A; San Martin, ENT; San Martin, ENT; Tasson, JD; Telada, S; Tenorio, R; Terkowski, L; Test, M; Thirugnanasambandam, MP; Thomas, M; Thomas, P; Thompson, JE; Thondapu, SR; Thorne, KA; Thrane, E; Tiwari, S; Tiwari, S; Tiwari, V; Toland, K; Tolley, AE; Tomaru, T; Tomigami, Y; Tomura, T; Tonelli, M; Torres-Forné, A; Torrie, CI; Melo, ITE; Töyrä, D; Trapananti, A; Travasso, F; Traylor, G; Tringali, MC; Tripathee, A; Troiano, L; Trovato, A; Trozzo, L; Trudeau, RJ; Tsai, DS; Tsai, D; Tsang, KW; Tsang, T; Tsao, JS; Tse, M; Tso, R; Tsubono, K; Tsuchida, S; Tsukada, L; Tsuna, D; Tsutsui, T; Tsuzuki, T; Turconi, M; Tuyenbayev, D; Ubhi, AS; Uchikata, N; Uchiyama, T; Udall, RP; Ueda, A; Uehara, T; Ueno, K; Ueshima, G; Ugolini, D; Unnikrishnan, CS; Uraguchi, F; Urban, AL; Ushiba, T; Usman, SA; Utina, AC; Vahlbruch, H; Vajente, G; Vajpeyi, A; Valdes, G; Valentini, M; Valsan, V; van Bakel, N; van Beuzekom, M; van den Brand, JFJ; Van den Broeck, C; Vander-Hyde, DC; van der Schaaf, L; van Heijningen, JV; van Putten, MHPM; Vardaro, M; Vargas, AF; Varma, V; Vasuth, M; Vecchio, A; Vedovato, G; Veitch, J; Veitch, PJ; Venkateswara, K; Venneberg, J; Venugopalan, G; Verkindt, D; Verma, Y; Veske, D; Vetrano, F; Viceré, A; Viets, AD; Villa-Ortega, V; Vinet, JY; Vitale, S; Vo, T; Vocca, H; von Reis, ERG; von Wrangel, J; Vorvick, C; Vyatchanin, SP; Wade, LE; Wade, M; Wagner, KJ; Walet, RC; Walker, M; Wallace, GS; Wallace, L; Walsh, S; Wang, J; Wang, JZ; Wang, WH; Ward, RL; Warner, J; Was, M; Washimi, T; Washington, NY; Watchi, J; Weaver, B; Wei, L; Weinert, M; Weinstein, AJ; Weiss, R; Weller, CM; Wellmann, F; Wen, L; Wessels, P; Westhouse, JW; Wette, K; Whelan, JT; White, DD; Whiting, BF; Whittle, C; Wilken, D; Williams, D; Williams, MJ; Williamson, AR; Willis, JL; Willke, B; Wilson, DJ; Winkler, W; Wipf, CC; Wlodarczyk, T; Woan, G; Woehler, J; Wofford, JK; Wong, ICF; Wu, C; Wu, DS; Wu, H; Wu, S; Wysocki, DM; Xiao, L; Xu, WR; Yamada, T; Yamamoto, H; Yamamoto, K; Yamamoto, K; Yamamoto, T; Yamashita, K; Yamazaki, R; Yang, FW; Yang, L; Yang, Y; Yang, Y; Yang, Z; Yap, MJ; Yeeles, DW; Yelikar, AB; Ying, M; Yokogawa, K; Yokoyama, J; Yokozawa, T; Yoon, A; Yoshioka, T; Yu, H; Yu, HC; Yuzurihara, H; Zadrozny, A; Zanolin, M; Zeidler, S; Zelenova, T; Zendri, JP; Zevin, M; Zhan, M; Zhang, H; Zhang, J; Zhang, L; Zhang, R; Zhang, T; Zhao, C; Zhao, G; Zhao, Y; Zhao, YH; Zhou, Z; Zhu, XJ; Zhu, ZH; Zicoschi, A; Zucker, ME; Zweizig, J; Antonopoulou, D; Arzoumanian, Z; Enoto, T; Espinoza, CM; Guillot, S</t>
  </si>
  <si>
    <t>Abbott, R.; Abbott, T. D.; Abraham, S.; Acernese, F.; Ackley, K.; Adams, A.; Adams, C.; Adhikari, R. X.; Adya, V. B.; Affeldt, C.; Agarwal, D.; Agathos, M.; Agatsuma, K.; Aggarwal, N.; Aguiar, O. D.; Aiello, L.; Ain, A.; Ajith, P.; Akutsu, T.; Aleman, K. M.; Allen, G.; Allocca, A.; Altin, P. A.; Amato, A.; Anand, S.; Ananyeva, A.; Anderson, S. B.; Anderson, W. G.; Ando, M.; Angelova, S. V.; Ansoldi, S.; Antelis, J. M.; Antier, S.; Appert, S.; Arai, Koya; Arai, Koji; Arai, Y.; Araki, S.; Araya, A.; Araya, M. C.; Areeda, J. S.; Arene, M.; Aritomi, N.; Arnaud, N.; Aronson, S. M.; Arun, K. G.; Asada, H.; Asali, Y.; Ashton, G.; Aso, Y.; Aston, S. M.; Astone, P.; Aubin, F.; Aufmuth, P.; AultONeal, K.; Austin, C.; Babak, S.; Badaracco, F.; Bader, M. K. M.; Bae, S.; Bae, Y.; Baer, A. M.; Bagnasco, S.; Bai, Y.; Baiotti, L.; Baird, J.; Bajpai, R.; Ball, M.; Ballardin, G.; Ballmer, S. W.; Bals, M.; Balsamo, A.; Baltus, G.; Banagiri, S.; Bankar, D.; Bankar, R. S.; Barayoga, J. C.; Barbieri, C.; Barish, B. C.; Barker, D.; Barneo, P.; Barnum, S.; Barone, F.; Barr, B.; Barsotti, L.; Barsuglia, M.; Barta, D.; Bartlett, J.; Barton, M. A.; Bartos, I.; Bassiri, R.; Basti, A.; Bawaj, M.; Bayley, J. C.; Baylor, A. C.; Bazzan, M.; Becsy, B.; Bedakihale, V. M.; Bejger, M.; Belahcene, I.; Benedetto, V.; Beniwal, D.; Benjamin, M. G.; Bennett, T. F.; Bentley, J. D.; BenYaala, M.; Bergamin, F.; Berger, B. K.; Bernuzzi, S.; Bersanetti, D.; Bertolini, A.; Betzwieser, J.; Bhandare, R.; Bhandari, A. V.; Bhattacharjee, D.; Bhaumik, S.; Bidler, J.; Bilenko, I. A.; Billingsley, G.; Birney, R.; Birnholtz, O.; Biscans, S.; Bischi, M.; Biscoveanu, S.; Bisht, A.; Biswas, B.; Bitossi, M.; Bizouard, M. -A.; Blackburn, J. K.; Blackman, J.; Blair, C. D.; Blair, D. G.; Blair, R. M.; Bobba, F.; Bode, N.; Boer, M.; Bogaert, G.; Boldrini, M.; Bondu, F.; Bonilla, E.; Bonnand, R.; Booker, P.; Boom, B. A.; Bork, R.; Boschi, V.; Bose, N.; Bose, S.; Bossilkov, V.; Boudart, V.; Bouffanais, Y.; Bozzi, A.; Bradaschia, C.; Brady, P. R.; Bramley, A.; Branch, A.; Branchesi, M.; Brau, J. E.; Breschi, M.; Briant, T.; Briggs, J. H.; Brillet, A.; Brinkmann, M.; Brockill, P.; Brooks, A. F.; Brooks, J.; Brown, D. D.; Brunett, S.; Bruno, G.; Bruntz, R.; Bryant, J.; Buikema, A.; Bulik, T.; Bulten, H. J.; Buonanno, A.; Buscicchio, R.; Buskulic, D.; Byer, R. L.; Cadonati, L.; Caesar, M.; Cagnoli, G.; Cahillane, C.; Cain, H. W.; Bustillo, J. Calderon; Callaghan, J. D.; Callister, T. A.; Calloni, E.; Camp, J. B.; Canepa, M.; Cannavacciuolo, M.; Cannon, K. C.; Cao, H.; Cao, J.; Cao, Z.; Capocasa, E.; Capote, E.; Carapella, G.; Carbognani, F.; Carlin, J. B.; Carney, M. F.; Carpinelli, M.; Carullo, G.; Carver, T. L.; Diaz, J. Casanueva; Casentini, C.; Castaldi, G.; Caudill, S.; Cavaglia, M.; Cavalier, F.; Cavalieri, R.; Cella, G.; Cerda-Duran, P.; Cesarini, E.; Chaibi, W.; Chakravarti, K.; Champion, B.; Chan, C. -H.; Chan, C.; Chan, C. L.; Chan, M.; Chandra, K.; Chanial, P.; Chao, S.; Charlton, P.; Chase, E. A.; Chassande-Mottin, E.; Chatterjee, D.; Chaturvedi, M.; Chen, A.; Chen, C.; Chen, H. Y.; Chen, J.; Chen, K.; Chen, X.; Chen, Y. -B.; Chen, Y. -R.; Chen, Z.; Cheng, H.; Cheong, C. K.; Cheung, H. Y.; Chia, H. Y.; Chiadini, F.; Chiang, C-Y.; Chierici, R.; Chincarini, A.; Chiofalo, M. L.; Chiummo, A.; Cho, G.; Cho, H. S.; Choate, S.; Choudhary, R. K.; Choudhary, S.; Christensen, N.; Chu, H.; Chu, Q.; Chu, Y-K.; Chua, S.; Chung, K. W.; Ciani, G.; Ciecielag, P.; Cieslar, M.; Cifaldi, M.; Ciobanu, A. A.; Ciolfi, R.; Cipriano, F.; Cirone, A.; Clara, F.; Clark, E. N.; Clark, J. A.; Clarke, L.; Clearwater, P.; Clesse, S.; Cleva, F.; Coccia, E.; Cohadon, P. -F.; Cohen, D. E.; Cohen, L.; Colleoni, M.; Collette, C. G.; Colpi, M.; Compton, C. M.; Constancio, M., Jr.; Conti, L.; Cooper, S. J.; Corban, P.; Corbitt, T. R.; Cordero-Carrion, I.; Corezzi, S.; Corley, K. R.; Cornish, N.; Corre, D.; Corsi, A.; Cortese, S.; Costa, C. A.; Cotesta, R.; Coughlin, M. W.; Coughlin, S. B.; Coulon, J. -P.; Countryman, S. T.; Cousins, B.; Couvares, P.; Covas, P. B.; Coward, D. M.; Cowart, M. J.; Coyne, D. C.; Coyne, R.; Creighton, J. D. E.; Creighton, T. D.; Criswell, A. W.; Croquette, M.; Crowder, S. G.; Cudell, J. R.; Cullen, T. J.; Cumming, A.; Cummings, R.; Cuoco, E.; Curylo, M.; Dal Canton, T.; Dalya, G.; Dana, A.; DaneshgaranBajastani, M.; D'Angelo, B.; Danilishin, S. L.; D'Antonio, S.; Danzmann, K.; Darsow-Fromm, C.; Dasgupta, A.; Datrier, L. E. H.; Dattilo, V.; Dave, I.; Davier, M.; Davies, G. S.; Davis, D.; Daw, E. J.; Dean, R.; DeBra, D.; Deenadayalan, M.; Degallaix, J.; De Laurentis, M.; Deleglise, S.; Del Favero, V.; De Lillo, F.; De Lillo, N.; Del Pozzo, W.; DeMarchi, L. M.; De Matteis, F.; D'Emilio, V.; Demos, N.; Dent, T.; Depasse, A.; De Pietri, R.; De Rosa, R.; De Rossi, C.; DeSalvo, R.; De Simone, R.; Dhurandhar, S.; Diaz, M. C.; Diaz-Ortiz, M., Jr.; Didio, N. A.; Dietrich, T.; Di Fiore, L.; Di Fronzo, C.; Di Giorgio, C.; Di Giovanni, F.; Di Girolamo, T.; Di Lieto, A.; Ding, B.; Di Pace, S.; Di Palma, I.; Di Renzo, F.; Divakarla, A. K.; Dmitriev, A.; Doctor, Z.; D'Onofrio, L.; Donovan, F.; Dooley, K. L.; Doravari, S.; Dorosh, O.; Dorrington, I.; Drago, M.; Driggers, J. C.; Drori, Y.; Du, Z.; Ducoin, J. -G.; Dupej, P.; Durante, O.; D'Urso, D.; Duverne, P. -A.; Dwyer, S. E.; Easter, P. J.; Ebersold, M.; Eddolls, G.; Edelman, B.; Edo, T. B.; Edy, O.; Effler, A.; Eguchi, S.; Eichholz, J.; Eikenberry, S.; Eisenmann, M.; Eisenstein, R. A.; Ejlli, A.; Enomoto, Y.; Errico, L.; Essick, R. C.; Estelles, H.; Estevez, D.; Etienne, Z.; Etzel, T.; Evans, M.; Evans, T. M.; Ewing, B. E.; Fafone, V.; Fair, H.; Fairhurst, S.; Fan, X.; Farah, A. M.; Farinon, S.; Farr, B.; Farr, W. M.; Farrow, N. W.; Fauchon-Jones, E. J.; Favata, M.; Fays, M.; Fazio, M.; Feicht, J.; Fejer, M. M.; Feng, F.; Fenyvesi, E.; Ferguson, D. L.; Fernandez-Galiana, A.; Ferrante, I.; Ferreira, T. A.; Fidecaro, F.; Figura, P.; Fiori, I.; Fishbach, M.; Fisher, R. P.; Fishner, J. M.; Fittipaldi, R.; Fiumara, V.; Flaminio, R.; Floden, E.; Flynn, E.; Fong, H.; Font, J. A.; Fornal, B.; Forsyth, P. W. F.; Franke, A.; Frasca, S.; Frasconi, F.; Frederick, C.; Frei, Z.; Freise, A.; Frey, R.; Fritschel, P.; Frolov, V. V.; Fronze, G. G.; Fujii, Y.; Fujikawa, Y.; Fukunaga, M.; Fukushima, M.; Fulda, P.; Fyffe, M.; Gabbard, H. A.; Gadre, B. U.; Gaebel, S. M.; Gair, J. R.; Gais, J.; Galaudage, S.; Gamba, R.; Ganapathy, D.; Ganguly, A.; Gao, D.; Gaonkar, S. G.; Garaventa, B.; Garcia-Nunez, C.; Garcia-Quiros, C.; Garufi, F.; Gateley, B.; Gaudio, S.; Gayathri, V.; Ge, G.; Gemme, G.; Gennai, A.; George, J.; Gergely, L.; Gewecke, P.; Ghonge, S.; Ghosh, Abhirup; Ghosh, Archisman; Ghosh, Shaon; Ghosh, Shrobana; Ghosh, Sourath; Giacomazzo, B.; Giacoppo, L.; Giaime, J. A.; Giardina, K. D.; Gibson, D. R.; Gier, C.; Giesler, M.; Giri, P.; Gissi, F.; Glanzer, J.; Gleckl, A. E.; Godwin, P.; Goetz, E.; Goetz, R.; Gohlke, N.; Goncharov, B.; Gonzalez, G.; Gopakumar, A.; Gosselin, M.; Gouaty, R.; Grace, B.; Grado, A.; Granata, M.; Granata, V.; Grant, A.; Gras, S.; Grassia, P.; Gray, C.; Gray, R.; Greco, G.; Green, A. C.; Green, R.; Gretarsson, A. M.; Gretarsson, E. M.; Griffith, D.; Griffiths, W.; Griggs, H. L.; Grignani, G.; Grimaldi, A.; Grimes, E.; Grimm, S. J.; Grote, H.; Grunewald, S.; Gruning, P.; Guerrero, J. G.; Guidi, G. M.; Guimaraes, A. R.; Guixe, G.; Gulati, H. K.; Guo, H. -K.; Guo, Y.; Gupta, Anchal; Gupta, Anuradha; Gupta, P.; Gustafson, E. K.; Gustafson, R.; Guzman, F.; Ha, S.; Haegel, L.; Hagiwara, A.; Haino, S.; Halim, O.; Hall, E. D.; Hamilton, E. Z.; Hammond, G.; Han, W. -B.; Haney, M.; Hanks, J.; Hanna, C.; Hannam, M. D.; Hannuksela, O. A.; Hansen, H.; Hansen, T. J.; Hanson, J.; Harder, T.; Hardwick, T.; Haris, K.; Harms, J.; Harry, G. M.; Harry, I. W.; Hartwig, D.; Hasegawa, K.; Haskell, B.; Hasskew, R. K.; Haster, C. -J.; Hattori, K.; Haughian, K.; Hayakawa, H.; Hayama, K.; Hayes, F. J.; Healy, J.; Heidmann, A.; Heintze, M. C.; Heinze, J.; Heinzel, J.; Heitmann, H.; Hellman, F.; Hello, P.; Helmling-Cornell, A. F.; Hemming, G.; Hendry, M.; Heng, I. S.; Hennes, E.; Hennig, J.; Hennig, M. H.; Vivanco, F. Hernandez; Heurs, M.; Hild, S.; Hill, P.; Himemoto, Y.; Hines, A. S.; Hiranuma, Y.; Hirata, N.; Hirose, E.; Ho, W. C. G.; Hochheim, S.; Hofman, D.; Hohmann, J. N.; Holgado, A. M.; Holland, N. A.; Hollows, I. J.; Holmes, Z. J.; Holt, K.; Holz, D. E.; Hong, Z.; Hopkins, P.; Hough, J.; Howell, E. J.; Hoy, C. G.; Hoyland, D.; Hreibi, A.; Hsieh, B-H.; Hsu, Y.; Huang, G-Z.; Huang, H-Y.; Huang, P.; Huang, Y-C.; Huang, Y. -J.; Huang, Y. -W.; Hubner, M. T.; Huddart, A. D.; Huerta, E. A.; Hughey, B.; Hui, D. C. Y.; Hui, V.; Husa, S.; Huttner, S. H.; Huxford, R.; Huynh-Dinh, T.; Ide, S.; Idzkowski, B.; Iess, A.; Ikenoue, B.; Imam, S.; Inayoshi, K.; Inchauspe, H.; Ingram, C.; Inoue, Y.; Intini, G.; Ioka, K.; Isi, M.; Isleif, K.; Ito, K.; Itoh, Y.; Iyer, B. R.; Izumi, K.; JaberianHamedan, V.; Jacqmin, T.; Jadhav, S. J.; Jadhav, S. P.; James, A. L.; Jan, A. Z.; Jani, K.; Janssens, K.; Janthalur, N. N.; Jaranowski, P.; Jariwala, D.; Jaume, R.; Jenkins, A. C.; Jeon, C.; Jeunon, M.; Jia, W.; Jiang, J.; Jin, H. -B.; Johns, G. R.; Jones, A. W.; Jones, D. I.; Jones, J. D.; Jones, P.; Jones, R.; Jonker, R. J. G.; Ju, L.; Jung, K.; Jung, P.; Junker, J.; Kaihotsu, K.; Kajita, T.; Kakizaki, M.; Kalaghatgi, C. V.; Kalogera, V.; Kamai, B.; Kamiizumi, M.; Kanda, N.; Kandhasamy, S.; Kang, G.; Kanner, J. B.; Kao, Y.; Kapadia, S. J.; Kapasi, D. P.; Karathanasis, C.; Karki, S.; Kashyap, R.; Kasprzack, M.; Kastaun, W.; Katsanevas, S.; Katsavounidis, E.; Katzman, W.; Kaur, T.; Kawabe, K.; Kawaguchi, K.; Kawai, N.; Kawasaki, T.; Kefelian, F.; Keitel, D.; Key, J. S.; Khadka, S.; Khalili, F. Y.; Khan, I.; Khan, S.; Khazanov, E. A.; Khetan, N.; Khursheed, M.; Kijbunchoo, N.; Kim, C.; Kim, J. C.; Kim, J.; Kim, K.; Kim, W. S.; Kim, Y. -M.; Kimball, C.; Kimura, N.; King, P. J.; Kinley-Hanlon, M.; Kirchhoff, R.; Kissel, J. S.; Kita, N.; Kitazawa, H.; Kleybolte, L.; Klimenko, S.; Knee, A. M.; Knowles, T. D.; Knyazev, E.; Koch, P.; Koekoek, G.; Kojima, Y.; Kokeyama, K.; Koley, S.; Kolitsidou, P.; Kolstein, M.; Komori, K.; Kondrashov, V.; Kong, A. K. H.; Kontos, A.; Koper, N.; Korobko, M.; Kotake, K.; Kovalam, M.; Kozak, D. B.; Kozakai, C.; Kozu, R.; Kringel, V.; Krishnendu, N. V.; Krolak, A.; Kuehn, G.; Kuei, F.; Kumar, A.; Kumar, P.; Kumar, Rahul; Kumar, Rakesh; Kume, J.; Kuns, K.; Kuo, C.; Kuo, H-S.; Kuromiya, Y.; Kuroyanagi, S.; Kusayanagi, K.; Kwak, K.; Kwang, S.; Laghi, D.; Lalande, E.; Lam, T. L.; Lamberts, A.; Landry, M.; Lane, B. B.; Lang, R. N.; Lange, J.; Lantz, B.; La Rosa, I.; Lartaux-Vollard, A.; Lasky, P. D.; Laxen, M.; Lazzarini, A.; Lazzaro, C.; Leaci, P.; Leavey, S.; Lecoeuche, Y. K.; Lee, H. K.; Lee, H. M.; Lee, H. W.; Lee, J.; Lee, K.; Lee, R.; Lehmann, J.; Lemaitre, A.; Leon, E.; Leonardi, M.; Leroy, N.; Letendre, N.; Levin, Y.; Leviton, J. N.; Li, A. K. Y.; Li, B.; Li, J.; Li, K. L.; Li, T. G. F.; Li, X.; Lin, C. -Y.; Lin, F. -K.; Lin, F. -L.; Lin, H. L.; Lin, L. C. -C.; Linde, F.; Linker, S. D.; Linley, J. N.; Littenberg, T. B.; Liu, G. C.; Liu, J.; Liu, K.; Liu, X.; Llorens-Monteagudo, M.; Lo, R. K. L.; Lockwood, A.; Lollie, M. L.; London, L. T.; Longo, A.; Lopez, D.; Lorenzini, M.; Loriette, V.; Lormand, M.; Losurdo, G.; Lough, J. D.; Lousto, C. O.; Lovelace, G.; Luck, H.; Lumaca, D.; Lundgren, A. P.; Luo, L. -W.; Macas, R.; MacInnis, M.; Macleod, D. M.; MacMillan, I. A. O.; Macquet, A.; Hernandez, I. Magana; Magana-Sandoval, F.; Magazzu, C.; Magee, R. M.; Maggiore, R.; Majorana, E.; Maksimovic, I.; Maliakal, S.; Malik, A.; Man, N.; Mandic, V.; Mangano, V.; Mango, J. L.; Mansell, G. L.; Manske, M.; Mantovani, M.; Mapelli, M.; Marchesoni, F.; Marchio, M.; Marion, F.; Mark, Z.; Marka, S.; Marka, Z.; Markakis, C.; Markosyan, A. S.; Markowitz, A.; Maros, E.; Marquina, A.; Marsat, S.; Martelli, F.; Martin, I. W.; Martin, R. M.; Martinez, M.; Martinez, V.; Martinovic, K.; Martynov, D. V.; Marx, E. J.; Masalehdan, H.; Mason, K.; Massera, E.; Masserot, A.; Massinger, T. J.; Masso-Reid, M.; Mastrogiovanni, S.; Matas, A.; Mateu-Lucena, M.; Matichard, F.; Matiushechkina, M.; Mavalvala, N.; McCann, J. J.; McCarthy, R.; McClelland, D. E.; McClincy, P.; McCormick, S.; McCuller, L.; McGhee, G. I.; McGuire, S. C.; McIsaac, C.; McIver, J.; McManus, D. J.; Mcrae, T.; McWilliams, S. T.; Meacher, D.; Mehmet, M.; Mehta, A. K.; Melatos, A.; Melchor, D. A.; Mendell, G.; Menendez-Vazquez, A.; Menoni, C. S.; Mercer, R. A.; Mereni, L.; Merfeld, K.; Merilh, E. L.; Merritt, J. D.; Merzougui, M.; Meshkov, S.; Messenger, C.; Messick, C.; Meyers, P. M.; Meylahn, F.; Mhaske, A.; Miani, A.; Miao, H.; Michaloliakos, I.; Michel, C.; Michimura, Y.; Middleton, H.; Milano, L.; Miller, A. L.; Millhouse, M.; Mills, J. C.; Milotti, E.; Milovich-Goff, M. C.; Minazzoli, O.; Minenkov, Y.; Mio, N.; Mir, Ll. M.; Mishkin, A.; Mishra, C.; Mishra, T.; Mistry, T.; Mitra, S.; Mitrofanov, V. P.; Mitselmakher, G.; Mittleman, R.; Miyakawa, O.; Miyamoto, A.; Miyazaki, Y.; Miyo, K.; Miyoki, S.; Mo, Geoffrey; Mogushi, K.; Mohapatra, S. R. P.; Mohite, S. R.; Molina, I.; Molina-Ruiz, M.; Mondin, M.; Montani, M.; Moore, C. J.; Moraru, D.; Morawski, F.; More, A.; Moreno, C.; Moreno, G.; Mori, Y.; Morisaki, S.; Moriwaki, Y.; Mours, B.; Mow-Lowry, C. M.; Mozzon, S.; Muciaccia, F.; Mukherjee, Arunava; Mukherjee, D.; Mukherjee, Soma; Mukherjee, Subroto; Mukund, N.; Mullavey, A.; Munch, J.; Muniz, E. A.; Murray, P. G.; Musenich, R.; Nadji, S. L.; Nagano, K.; Nagano, S.; Nagar, A.; Nakamura, K.; Nakano, H.; Nakano, M.; Nakashima, R.; Nakayama, Y.; Nardecchia, I.; Narikawa, T.; Naticchioni, L.; Nayak, B.; Nayak, R. K.; Negishi, R.; Neil, B. F.; Neilson, J.; Nelemans, G.; Nelson, T. J. N.; Nery, M.; Neunzert, A.; Ng, K. Y.; Ng, S. W. S.; Nguyen, C.; Nguyen, P.; Nguyen, T.; Quynh, L. Nguyen; Ni, W. -T.; Nichols, S. A.; Nishizawa, A.; Nissanke, S.; Nocera, F.; Noh, M.; Norman, M.; North, C.; Nozaki, S.; Nuttall, L. K.; Oberling, J.; O'Brien, B. D.; Obuchi, Y.; O'Dell, J.; Ogaki, W.; Oganesyan, G.; Oh, J. J.; Oh, K.; Oh, S. H.; Ohashi, M.; Ohishi, N.; Ohkawa, M.; Ohme, F.; Ohta, H.; Okada, M. A.; Okutani, Y.; Okutomi, K.; Olivetto, C.; Oohara, K.; Ooi, C.; Oram, R.; O'Reilly, B.; Ormiston, R. G.; Ormsby, N. D.; Ortega, L. F.; O'Shaughnessy, R.; O'Shea, E.; Oshino, S.; Ossokine, S.; Osthelder, C.; Otabe, S.; Ottaway, D. J.; Overmier, H.; Pace, A. E.; Pagano, G.; Page, M. A.; Pagliaroli, G.; Pai, A.; Pai, S. A.; Palamos, J. R.; Palashov, O.; Palomba, C.; Pan, K.; Panda, P. K.; Pang, H.; Pang, P. T. H.; Pankow, C.; Pannarale, F.; Pant, B. C.; Paoletti, F.; Paoli, A.; Paolone, A.; Parisi, A.; Park, J.; Parker, W.; Pascucci, D.; Pasqualetti, A.; Passaquieti, R.; Passuello, D.; Patel, M.; Patricelli, B.; Payne, E.; Pechsiri, T. C.; Pedraza, M.; Pegoraro, M.; Pele, A.; Arellano, F. E. Pena; Penn, S.; Perego, A.; Pereira, A.; Pereira, T.; Perez, C. J.; Perigois, C.; Perreca, A.; Perries, S.; Petermann, J.; Petterson, D.; Pfeiffer, H. P.; Pham, K. A.; Phukon, K. S.; Piccinni, O. J.; Pichot, M.; Piendibene, M.; Piergiovanni, F.; Pierini, L.; Pierro, V.; Pillant, G.; Pilo, F.; Pinard, L.; Pinto, I. M.; Piotrzkowski, B. J.; Piotrzkowski, K.; Pirello, M.; Pitkin, M.; Placidi, E.; Plastino, W.; Pluchar, C.; Poggiani, R.; Polini, E.; Pong, D. Y. T.; Ponrathnam, S.; Popolizio, P.; Porter, E. K.; Powell, J.; Pracchia, M.; Pradier, T.; Prajapati, A. K.; Prasai, K.; Prasanna, R.; Pratten, G.; Prestegard, T.; Principe, M.; Prodi, G. A.; Prokhorov, L.; Prosposito, P.; Prudenzi, L.; Puecher, A.; Punturo, M.; Puosi, F.; Puppo, P.; Purrer, M.; Qi, H.; Quetschke, V.; Quinonez, J.; Quitzow-James, R.; Raab, F. J.; Raaijmakers, G.; Radkins, H.; Radulesco, N.; Raffai, P.; Rail, S. X.; Raja, S.; Rajan, C.; Ramirez, K. E.; Ramirez, T. D.; Ramos-Buades, A.; Rana, J.; Rapagnani, P.; Rapol, U. D.; Ratto, B.; Raymond, V.; Raza, N.; Razzano, M.; Read, J.; Rees, L. A.; Regimbau, T.; Rei, L.; Reid, S.; Reitze, D. H.; Relton, P.; Rettegno, P.; Ricci, F.; Richardson, C. J.; Richardson, J. W.; Richardson, L.; Ricker, P. M.; Riemenschneider, G.; Riles, K.; Rizzo, M.; Robertson, N. A.; Robie, R.; Robinet, F.; Rocchi, A.; Rocha, J. A.; Rodriguez, S.; Rodriguez-Soto, R. D.; Rolland, L.; Rollins, J. G.; Roma, V. J.; Romanelli, M.; Romano, R.; Romel, C. L.; Romero, A.; Romero-Shaw, I. M.; Romie, J. H.; Rose, C. A.; Rosinska, D.; Rosofsky, S. G.; Ross, M. P.; Rowan, S.; Rowlinson, S. J.; Roy, Santosh; Roy, Soumen; Rozza, D.; Ruggi, P.; Ryan, K.; Sachdev, S.; Sadecki, T.; Sadiq, J.; Sago, N.; Saito, S.; Saito, Y.; Sakai, K.; Sakai, Y.; Sakellariadou, M.; Sakuno, Y.; Salafia, O. S.; Salconi, L.; Saleem, M.; Salemi, F.; Samajdar, A.; Sanchez, E. J.; Sanchez, J. H.; Sanchez, L. E.; Sanchis-Gual, N.; Sanders, J. R.; Sanuy, A.; Saravanan, T. R.; Sarin, N.; Sassolas, B.; Satari, H.; Sato, S.; Sato, T.; Sauter, O.; Savage, R. L.; Savant, V.; Sawada, T.; Sawant, D.; Sawant, H. L.; Sayah, S.; Schaetzl, D.; Scheel, M.; Scheuer, J.; Schindler-Tyka, A.; Schmidt, P.; Schnabel, R.; Schneewind, M.; Schofield, R. M. S.; Schonbeck, A.; Schulte, B. W.; Schutz, B. F.; Schwartz, E.; Scott, J.; Scott, S. M.; Seglar-Arroyo, M.; Seidel, E.; Sekiguchi, T.; Sekiguchi, Y.; Sellers, D.; Sergeev, A.; Sengupta, A. S.; Sennett, N.; Sentenac, D.; Seo, E. G.; Sequino, V.; Setyawati, Y.; Shaffer, T.; Shahriar, M. S.; Shams, B.; Shao, L.; Sharifi, S.; Sharma, A.; Sharma, P.; Shawhan, P.; Shcheblanov, N. S.; Shen, H.; Shibagaki, S.; Shikauchi, M.; Shimizu, R.; Shimoda, T.; Shimode, K.; Shink, R.; Shinkai, H.; Shishido, T.; Shoda, A.; Shoemaker, D. H.; Shoemaker, D. M.; Shukla, K.; ShyamSundar, S.; Sieniawska, M.; Sigg, D.; Singer, L. P.; Singh, D.; Singh, N.; Singha, A.; Sintes, A. M.; Sipala, V.; Skliris, V.; Slagmolen, B. J. J.; Slaven-Blair, T. J.; Smetana, J.; Smith, J. R.; Smith, R. J. E.; Somala, S. N.; Somiya, K.; Son, E. J.; Soni, K.; Soni, S.; Sorazu, B.; Sordini, V.; Sorrentino, F.; Sorrentino, N.; Sotani, H.; Soulard, R.; Souradeep, T.; Sowell, E.; Spagnuolo, V.; Spencer, A. P.; Spera, M.; Srivastava, A. K.; Srivastava, V.; Staats, K.; Stachie, C.; Steer, D. A.; Steinlechner, J.; Steinlechner, S.; Stops, D. J.; Stover, M.; Strain, K. A.; Strang, L. C.; Stratta, G.; Strunk, A.; Sturani, R.; Stuver, A. L.; Sudbeck, J.; Sudhagar, S.; Sudhir, V.; Sugimoto, R.; Suh, H. G.; Summerscales, T. Z.; Sun, H.; Sun, L.; Sunil, S.; Sur, A.; Suresh, J.; Sutton, P. J.; Suzuki, Takamasa; Suzuki, Toshikazu; Swinkels, B. L.; Szczepanczyk, M. J.; Szewczyk, P.; Tacca, M.; Tagoshi, H.; Tait, S. C.; Takahashi, H.; Takahashi, R.; Takamori, A.; Takano, S.; Takeda, H.; Takeda, M.; Talbot, C.; Tanaka, H.; Tanaka, Kazuyuki; Tanaka, Kenta; Tanaka, Taiki; Tanaka, Takahiro; Tanasijczuk, A. J.; Tanioka, S.; Tanner, D. B.; Tao, D.; Tapia, A.; San Martin, E. N. Tapia; San Martin, E. N. Tapia; Tasson, J. D.; Telada, S.; Tenorio, R.; Terkowski, L.; Test, M.; Thirugnanasambandam, M. P.; Thomas, M.; Thomas, P.; Thompson, J. E.; Thondapu, S. R.; Thorne, K. A.; Thrane, E.; Tiwari, Shubhanshu; Tiwari, Srishti; Tiwari, V.; Toland, K.; Tolley, A. E.; Tomaru, T.; Tomigami, Y.; Tomura, T.; Tonelli, M.; Torres-Forne, A.; Torrie, C. I.; Tosta e Melo, I.; Toyra, D.; Trapananti, A.; Travasso, F.; Traylor, G.; Tringali, M. C.; Tripathee, A.; Troiano, L.; Trovato, A.; Trozzo, L.; Trudeau, R. J.; Tsai, D. S.; Tsai, D.; Tsang, K. W.; Tsang, T.; Tsao, J-S.; Tse, M.; Tso, R.; Tsubono, K.; Tsuchida, S.; Tsukada, L.; Tsuna, D.; Tsutsui, T.; Tsuzuki, T.; Turconi, M.; Tuyenbayev, D.; Ubhi, A. S.; Uchikata, N.; Uchiyama, T.; Udall, R. P.; Ueda, A.; Uehara, T.; Ueno, K.; Ueshima, G.; Ugolini, D.; Unnikrishnan, C. S.; Uraguchi, F.; Urban, A. L.; Ushiba, T.; Usman, S. A.; Utina, A. C.; Vahlbruch, H.; Vajente, G.; Vajpeyi, A.; Valdes, G.; Valentini, M.; Valsan, V.; van Bakel, N.; van Beuzekom, M.; van den Brand, J. F. J.; Van den Broeck, C.; Vander-Hyde, D. C.; van der Schaaf, L.; van Heijningen, J. V.; van Putten, M. H. P. M.; Vardaro, M.; Vargas, A. F.; Varma, V.; Vasuth, M.; Vecchio, A.; Vedovato, G.; Veitch, J.; Veitch, P. J.; Venkateswara, K.; Venneberg, J.; Venugopalan, G.; Verkindt, D.; Verma, Y.; Veske, D.; Vetrano, F.; Vicere, A.; Viets, A. D.; Villa-Ortega, V.; Vinet, J. -Y.; Vitale, S.; Vo, T.; Vocca, H.; von Reis, E. R. G.; von Wrangel, J.; Vorvick, C.; Vyatchanin, S. P.; Wade, L. E.; Wade, M.; Wagner, K. J.; Walet, R. C.; Walker, M.; Wallace, G. S.; Wallace, L.; Walsh, S.; Wang, J.; Wang, J. Z.; Wang, W. H.; Ward, R. L.; Warner, J.; Was, M.; Washimi, T.; Washington, N. Y.; Watchi, J.; Weaver, B.; Wei, L.; Weinert, M.; Weinstein, A. J.; Weiss, R.; Weller, C. M.; Wellmann, F.; Wen, L.; Wessels, P.; Westhouse, J. W.; Wette, K.; Whelan, J. T.; White, D. D.; Whiting, B. F.; Whittle, C.; Wilken, D.; Williams, D.; Williams, M. J.; Williamson, A. R.; Willis, J. L.; Willke, B.; Wilson, D. J.; Winkler, W.; Wipf, C. C.; Wlodarczyk, T.; Woan, G.; Woehler, J.; Wofford, J. K.; Wong, I. C. F.; Wu, C.; Wu, D. S.; Wu, H.; Wu, S.; Wysocki, D. M.; Xiao, L.; Xu, W-R.; Yamada, T.; Yamamoto, H.; Yamamoto, Kazuhiro; Yamamoto, Kohei; Yamamoto, T.; Yamashita, K.; Yamazaki, R.; Yang, F. W.; Yang, L.; Yang; Yang, Yi; Yang, Z.; Yap, M. J.; Yeeles, D. W.; Yelikar, A. B.; Ying, M.; Yokogawa, K.; Yokoyama, J.; Yokozawa, T.; Yoon, A.; Yoshioka, T.; Yu, Hang; Yu, Haocun; Yuzurihara, H.; Zadrozny, A.; Zanolin, M.; Zeidler, S.; Zelenova, T.; Zendri, J. -P.; Zevin, M.; Zhan, M.; Zhang, H.; Zhang, J.; Zhang, L.; Zhang, R.; Zhang, T.; Zhao, C.; Zhao, G.; Zhao, Yue; Zhao, Yuhang; Zhou, Z.; Zhu, X. J.; Zhu, Z. -H.; Zicoschi, A.; Zucker, M. E.; Zweizig, J.; Antonopoulou, D.; Arzoumanian, Z.; Enoto, T.; Espinoza, C. M.; Guillot, S.</t>
  </si>
  <si>
    <t>Constraints from LIGO O3 Data on Gravitational-wave Emission Due to R-modes in the Glitching Pulsar PSR J0537-6910</t>
  </si>
  <si>
    <t>We present a search for continuous gravitational-wave emission due to r-modes in the pulsar PSR J0537-6910 using data from the LIGO-Virgo Collaboration observing run O3. PSR J0537-6910 is a young energetic X-ray pulsar and is the most frequent glitcher known. The inter-glitch braking index of the pulsar suggests that gravitational-wave emission due to r-mode oscillations may play an important role in the spin evolution of this pulsar. Theoretical models confirm this possibility and predict emission at a level that can be probed by ground-based detectors. In order to explore this scenario, we search for r-mode emission in the epochs between glitches by using a contemporaneous timing ephemeris obtained from NICER data. We do not detect any signals in the theoretically expected band of 86-97 Hz, and report upper limits on the amplitude of the gravitational waves. Our results improve on previous amplitude upper limits from r-modes in J0537-6910 by a factor of up to 3 and place stringent constraints on theoretical models for r-mode-driven spin-down in PSR J0537-6910, especially for higher frequencies at which our results reach below the spin-down limit defined by energy conservation.</t>
  </si>
  <si>
    <t>Sassolas, Benoit/HZL-0679-2023; Muciaccia, Federico/HJP-8974-2023; Kashyap, Rahul/AEM-3686-2022; Strigin, Sergey/I-8337-2012; Cesarini, Elisabetta/C-4507-2017; Greco, Giuseppe/F-6889-2016; Vyatchanin, Sergey/J-2238-2012; Clark, James/JPK-8317-2023; Martin, Iain/V-1198-2018; Li, Xuan/K-6034-2017; PRAJAPATI, ANUJ/ABG-4254-2020; Somiya, Kentaro/ABE-2215-2020; Noh, Myung-giun/ABF-9259-2021; Bulik, Tomasz/AAJ-6742-2020; SEGLAR-ARROYO, MONICA/AAB-4366-2021; Blair, Ryan/ABH-4559-2020; Iyer, Bala/E-2894-2012; Farinon, Stefania/AAG-9056-2019; Wang, James/JAD-0675-2023; Pascucci, Daniela/AGR-5711-2022; London, Lionel/AAY-6855-2020; Wette, Karl/H-9897-2019; Barta, Dániel/AAK-5867-2021; kumar, rahul/GZG-2171-2022; Díaz Vélez, Juan Carlos/AAD-5211-2022; Maksimovic, Ivan/KSM-1013-2024; Krolak, Andrzej/V-3384-2017; Fenyvesi, Edit/B-9076-2018; Pannarale, Francesco/HTP-7790-2023; Masalehdan, Hossein/I-2407-2012; Wysocki, Daniel/ABA-7659-2020; Kasprzack, Marie/JGM-1831-2023; Khazanov, Efim/GQA-7518-2022; guo, yuanyuan/KTI-6014-2024; Buades, Antoni/R-4149-2019; Takeda, Hiroki/GYI-8690-2022; Bertolini, Alessandro/ABG-4851-2021; Guo, Huaike/AAY-7856-2020; Shoemaker, David/JKI-5322-2023; Ricci, Fulvio/JZD-2100-2024; Ciani, Giacomo/G-1036-2011; Frey, Raymond/E-2830-2016; YANG, YIFAN/HPF-1451-2023; Salafia, Om Sharan/F-2108-2018; Paolone, Annalisa/P-1630-2019; Arai, Koji/I-7506-2017; Chen, Andrew/AAC-3979-2020; Weinstein, Amanda/D-1445-2019; Hammond, Giles/B-7861-2009; Chua, Sheon/MBV-7162-2025; Villa-Ortega, Verónica/ABG-4912-2021; Tsuzuki, Toshihiro/Q-5761-2019; Gemme, Gianluca/C-7233-2008; chen, jia/JLM-4733-2023; Shahriar, Selim/B-7270-2009; Garufi, Fabio/JAO-0368-2023; Cella, Giancarlo/A-9946-2012; Yu, Haocun/ABA-5429-2020; O'Shaughnessy, Richard/AAA-3625-2021; K, Haris/LCD-9637-2024; Korobko, Mikhail/ABD-8704-2020; Srivastava, Anmesh Kumar/AAG-4161-2020; Prokhorov, Leonid/I-2953-2012; Oh, Sang-Hwan/KIL-5347-2024; Poggiani, Rosa/P-8801-2018; l, j/HNC-5728-2023; Boldrini, Mattia/KFQ-0977-2024; Dálya, Gergely/GLU-6345-2022; Vecchio, Alberto/F-8310-2015; Fazio, Mariana/HKO-3030-2023; Cieslar, Miroslav/P-5981-2016; Inchauspé, Henri/LXA-7094-2024; Bilenko, Igor/JVZ-0655-2024; Danilishin, Stefan/K-7262-2012; ANDO, MASAKI/G-4989-2014; Macleod, Duncan/JCP-4720-2023; Bejger, Magdalena/W-7298-2018; Sanuy, Andreu/N-7477-2018; Monzani, Simone/D-6328-2017; Nishizawa, Atsushi/A-4376-2011; Veske, Doğa/JZS-8735-2024; Husa, Sascha/AAB-6992-2019; Isi, Maximiliano/LTD-3973-2024; Buscicchio, Riccardo/AFT-1650-2022; Acernese, Fausto/E-4989-2010; Estevez, Dimitri/AAR-7321-2021; Wang, Weiyang/GZM-6620-2022; Huang, Chien-Lung/O-2028-2013; Hamilton, Eleanor/MCY-7005-2025; Grace, Benjamin/LRU-1735-2024; Rocchi, Alessio/O-9499-2015; Morawski, Filip/AHB-7548-2022; Kumar, Rahul/JZE-0734-2024; Willke, Benno/U-8992-2017; Vocca, Helios/F-1444-2010; Inayoshi, Kohei/AAW-2098-2020; Spera, Mario/AAF-3870-2019; Lorenzini, Matteo/AAC-6035-2021; D'Urso, Domenico/I-5325-2012; zhou, zhou/HPE-9525-2023; Spencer, Austin/AAE-9657-2020; Granata, Veronica/AIB-9682-2022; Farr, Ben/ABH-6964-2020; ZHANG, JIANWEN/JMQ-9363-2023; Piotrzkowski, Krzysztof/IST-1292-2023; Slagmolen, Bram/AAY-1638-2020; Cerda-Duran, Pablo/D-7857-2015; Mir, Lluïsa-Maria/G-7212-2015; Bazzan, Marco/AAC-7894-2019; Brau, James/ACH-1573-2022; Menoni, Carmen/A-3775-2008; Zhao, Yue/HHM-3198-2022; zhou, zhou/HCH-1084-2022; Nayak, Bidyut/ABE-3379-2021; Sturani, Riccardo/B-3899-2014; Canepa, Maurizio/E-3658-2012; Pinto, Innocenzo/L-3520-2016; Gammaitoni, Luca/B-5375-2009; Oshino, Satoru/HPG-1141-2023; Covas Vidal, Pep/JZD-5658-2024; Sintes, Alicia/AAF-4791-2019; Antelis, Javier/W-3381-2019; Vocca, Helios/J-9579-2016; Aiello, Lorenzo/GYV-4616-2022; Carullo, Gregorio/GVT-2377-2022; Chen, Chao-Hsien/AAE-8065-2022; Cirone, Alessio/IXN-4251-2023; Ejlli, Aldo/GLR-6626-2022; Patricelli, Barbara/ITV-6524-2023; Husa, Sascha/S-1787-2017; Pierini, Lorenzo/ABB-2115-2021; Helmling-Cornell, Adrian/AAG-8500-2020; qin, shuanglin/O-9202-2018; Nguyen, Quynh Lan/AAT-8754-2021; Jinhang, Zou/JCO-6023-2023; Mitrofanov, Valery/D-8501-2012; Placidi, Ernesto/AAA-6291-2020; De Laurentis, Martina/L-3022-2016; Miao, Han/JHT-4396-2023; Cohen, Lior/GWZ-4291-2022; Szczepanczyk, Marek/GVR-7951-2022; Kakizaki, Mitsuru/AAB-3015-2020; Rapagnani, Piero/T-2050-2019; Miani, Andrea/MCY-5033-2025; Chang, Ching-Chun/JAN-6210-2023; Middleton, Hannah/HLW-6398-2023; Bogaert, Gilles/GZA-8066-2022; Pagliaroli, Giulia/AAA-7637-2020; Zangrando, Lisa/AGG-8712-2022; Kéfélian, Fabien/AAN-6987-2020; Smith, Joshua/HGV-2348-2022; Fittipaldi, Rosalba/G-7752-2012; Ng, Yeung/E-9877-2010; Vahlbruch, Henning/HSD-4655-2023; Agatsuma, Kazuhiro/LOR-7307-2024; Rozza, Davide/AAD-3169-2020; del Pulgar Mancebo, Carlos/ABA-6137-2020; Tenorio, Rodrigo/AAE-5308-2021; de Varona, Omar/AAA-6282-2020; Favata, Marc/AAA-6755-2022; Somala, Surendra Nadh/Y-8896-2019; Chincarini, Andrea/J-9998-2018; Haskell, Brynmor/AAX-1002-2021; Khalili, Farit/D-8113-2012; Pang, Peter Tsun Ho/JCD-5182-2023; Cavaglià, Matteo/HTM-1162-2023; Sanchis-Gual, Nicolas/HKW-6083-2023; Mateu-Lucena, Maite/AAE-1655-2021; Fidecaro, Francesco/H-9581-2017; Yang, Le/AAX-1849-2021; Pilo, Federico/AAB-8998-2021; Sorrentino, Fiodor/M-6662-2016; Samajdar, Anuradha/AAA-3165-2022; 陈, 祖成/ABG-2281-2020; Aggarwal, Nancy/M-7203-2015; Ott, Christian/G-2651-2011; Rapagnani, Piero/J-4783-2012; Sun, He-Jun/AAG-9589-2021; Ciolfi, Riccardo/HMD-3019-2023; Pierro, Vincenzo/AHD-9078-2022; Shao, Lijing/GRO-6046-2022; Chen, Hong-Yuan/E-4476-2019; Williams, Daniel/ABA-6070-2022; Gonzalez, Gabriela/AFK-8583-2022; Dupletsa, Ulyana/KHW-9504-2024; Carannante, Giuseppe/HKM-6639-2023; Shimoda, Tomofumi/AAQ-6497-2020; Vivekananthaswamy, gayathri/GLQ-5448-2022; Singh, Divya/IUM-7944-2023; Koch, Patrick/AAV-3373-2021; Ashton, Gregory/AFH-8657-2022; Enoto, Teruaki/GQH-0674-2022; Christensen, Nelson/AAH-9184-2019; García Núñez, Carlos/I-8453-2015; Kumar, Dr. Manoj/JTU-8722-2023; Barneo, Pablo/MSX-5174-2025; Gibson, David/HTQ-3690-2023; Tsang, Terrence/LDG-8014-2024; Chen, Yu-Hung/GLU-7365-2022; Adams, Greg/HLQ-2582-2023; Prasai, Kiran/W-1170-2018; Miller, Andrew/HGU-6434-2022; Williamson, Anne/M-3282-2015; Marchesoni, Fabio/A-1920-2008; Adya, Vaishali/V-9014-2019; Li, Yan/JUU-5189-2023; Oganesyan, Gor/AAX-8143-2020; Van Den Broeck, Chris/R-7871-2018; Trozzo, Lucia/AFP-2366-2022; Mapelli, Michela/ABA-4708-2020; Chiofalo, Marilu/IUQ-1421-2023; Phukon, khun Sang/AAY-4869-2021; De Simone, Roberta/AAD-7322-2022; DI GIORGIO, CINZIA/AAC-2549-2021; Michimura, Yuta/O-4524-2014; Ushiba, Takafumi/JVO-0091-2024; Gergely, László/JCO-2832-2023; Vicere', Andrea/J-1742-2012; Torrie, Calum/HSF-6951-2023; Davier, Michel/HTM-1466-2023; Lasky, Paul/A-2660-2009; yu, hui/KDO-3946-2024; Nardecchia, Ilaria/LPP-8431-2024; Torres-Forné, Alejandro/AEC-6922-2022; Bondu, Francois/A-2071-2012; Poole, Michael/K-6707-2013; Setyawati, Yoshinta/GLT-1191-2022; Ju, Li/C-2623-2013; Mishra, Tanmaya/ABH-3647-2020; Sorrentino, Fiodor/X-8942-2019; Pannarale, Francesco/J-8852-2019; Errico, Luciano/MIO-0834-2025; Chen, Han-Shen/E-5881-2018; Cabourn-Davies, Gareth/AAA-9744-2020; M, Saleem/B-9137-2013; Vardaro, Marco/AAE-9292-2022; Puppo, Paola/J-4250-2012; Williams, Michael/AAX-2117-2021; Boschi, Valerio/AAP-2034-2020; Leonardi, Matteo/AAT-5237-2020; Chen, Yanbei/A-2604-2013; Quirós, Cecilio/R-3567-2019; Ganguly, Apratim/IQV-9557-2023; Palashov, Oleg/G-3917-2017; Knyazev, Eugene/HSH-6039-2023; Zhang, Teng/Y-3281-2018; Bécsy, Bence/GQR-0924-2022; Schnabel, Roman/V-7759-2019; Kim, Jin-Soo/AAF-3359-2019; Toland, Karl/KPA-3552-2024; Khazanov, Efim/B-6643-2014; Farr, Will/KCY-9315-2024; Pedraza Morales, Maria Isabel/ABC-7289-2021; Dorosh, Orest/AAC-2604-2019; Allocca, Annalisa/ABC-7105-2022; zhan, Mingsheng/CAF-1115-2022; Huerta, Eliu/J-5426-2014; Grado, Aniello/AAA-1535-2019; DI PALMA, IRENE/R-1916-2018; Giacomazzo, Bruno/I-8088-2012; Brooks, Allen/P-3560-2016; Fejer, Martin/AAH-3883-2020; Goetz, Evan/HHS-2153-2022; Frei, Zsolt/O-9538-2019; Bawaj, Mateusz/AAC-2018-2021; Hellman, Frances/D-3605-2019; De Matteis, Fabio/ABG-1923-2020; Sun, Ling/AAC-6908-2022; Holz, Daniel/HGD-5989-2022; dattilo, vincenzino/N-9732-2015; gil guerrero, javier/ABF-6056-2021; TRAPANANTI, Angela/A-3621-2008; Iess, Alberto/GWD-0844-2022; Chiummo, Antonino/AAZ-5233-2021; Pratten, Geraint/AAX-3476-2020; Lueck, Harald/F-7100-2011; Drago, Marco/E-7134-2013; carapella, giovanni/A-4416-2008; Branchesi, Marica/P-2296-2015; Ain, Anirban/HJA-2249-2022; Dmitriev, Artemiy/AAE-8933-2021; Polini, Eleonora/JFT-0612-2023; McManus, David/AAE-3962-2019; Qi, Hong/AAC-5169-2019; Bagnasco, Stefano/J-4324-2012; Li, Jinjing/HMP-6683-2023; Grimaldi, Andrea/KGM-2637-2024; Marka, Szabolcs/ABE-7493-2021; Molina-Ruiz, Manel/O-1545-2015; PRADIER, Thierry/P-6052-2017; Zevin, Michael/ABG-1443-2020; Blair, Carl/AGP-2697-2022; Khan, Sebastian/AAV-6506-2020; Constancio, Marcio/M-7955-2017; Yu, Hang/ACX-1207-2022; Williams, David/A-1180-2007; Yang, Yi-Fang/HSH-0926-2023; Mukund, Nikhil/AAT-2916-2020; Kita, Naoki/LRU-7966-2024; wen, liang/JNR-7720-2023; Lovelace, Geoffrey/LUY-6382-2024; Kowalska-Leszczyńska, Izabela/IQT-3280-2023; Tripathee, Aashish/JZT-5694-2024; Colleoni, Marta/JTV-4188-2023; D'Onofrio, Loretta/AAC-5131-2022; Lin, Fan-Li/GLR-9406-2022; Nakano, Hiroyuki/ABD-4784-2021; Amengual, Rafel/AAE-1693-2021; Ohira, Yutaka/AAO-3546-2020; wang, xu/IAN-4886-2023; Estrella, Héctor/R-3484-2019; Aso, Yoichi/R-9361-2019; Ottaway, David/J-5908-2015; Addesso, Paolo/F-4928-2012; Brown, Duncan/U-2343-2019; Lee, Dean/KFS-1456-2024; Yang, Chi/JRY-4671-2023; Sudhir, Vivishek/E-5943-2011; Schutz, Bernard/B-1504-2010; Barr, Bryan/G-3348-2019; Chen, Chun-Hao/L-9537-2019; Travasso, Flavio/J-9595-2016; Costa, Cesar/G-7588-2012; Keitel, David/AAA-1579-2019; Mapelli, Michela/B-1157-2013; Leonardi, Matteo/G-9694-2015; Dmitriev, Artemiy/J-2847-2012; Barone, Fabrizio/HMD-7711-2023; Espinoza, Cristobal/U-4428-2017; Howell, Eric/H-5072-2014; Ferrante, Isidoro/F-1017-2012; Raab, Frederick/E-2222-2011; VARDARO, MARCO/C-1745-2017; Bartos, Imre/A-2592-2017; Placidi, Ernesto/D-8476-2016; Shinkai, Hisa-aki/S-6590-2016; De Pietri, Roberto/E-5336-2012; Mastrogiovanni, Simone/AAG-9846-2021; Nelemans, Gijs/D-3177-2012; Hild, Stefan/A-3864-2010; Bersanetti, Diego/N-4382-2018; Pitkin, Matthew/I-3802-2013; McRae, Terry/J-5986-2015; Ferreira, Tabata Aira/GQA-5414-2022; Lazzaro, Claudia/L-2986-2016; Zhao, Chunnong/C-2403-2013; van Heijningen, Joris/AET-6976-2022; tiwari, shubhanshu/R-8546-2016; Birney, Imogen/S-7320-2019; Salemi, Francesco/F-6988-2014; Naticchioni, Luca/AAB-7775-2019; DI PACE, SIBILLA/Y-9521-2019; Sigg, Daniel/I-4308-2015; Piccinni, Ornella Juliana/M-6238-2018; Reitze, David/IXD-3777-2023; Marquina, Antonio/F-8755-2012; SHCHEBLANOV, Nikita/D-3713-2011; Rettegno, Piero/KBR-2491-2024; McClelland, David/E-6765-2010; Nakamura, Kouji/H-6364-2013; Kuroyanagi, Sachiko/B-3843-2017; Plastino, Wolfango/AAS-7305-2021; Cuoco, Elena/I-8789-2012; Tacca, Matteo/J-1599-2015; Isleif, Katharina-Sophie/M-7891-2018; Paolone, Annalisa/B-7701-2015; Lee, Ray-Kuang/C-1039-2009; Fornal, Bartosz/M-8633-2016; Losurdo, Giovanni/K-1241-2014; Mow-Lowry, Conor/F-8843-2015; Garcia Nunez, Carlos/K-8614-2018; Harms, Jan/J-4359-2012; Slagmolen, Bram J. J./L-2876-2015; Macas, Ronaldas/N-7283-2018; Stuver, Amber/L-9985-2018; Chiadini, Francesco/E-1812-2015; Mangano, Valentina/AAC-9281-2020; MARTINEZ, MARIO/I-3549-2015; Garufi, Fabio/K-3263-2015; Font Roda, Jose Antonio/K-5198-2014; Bassiri, Riccardo/JPK-2189-2023; Prodi, Giovanni Andrea/B-4398-2010; Dent, Thomas/AAB-3674-2019; Gergely, Laszlo Arpad/X-7693-2018</t>
  </si>
  <si>
    <t>Costa, Cesar/0000-0003-4853-758X; Colleoni, Marta/0000-0002-7214-9088; Ben Yaala, Marwa/0000-0002-6754-0875; Pilo, Federico/0000-0003-4967-7090; O'Reilly, Brian/0000-0002-3874-8335; Ciecielag, Pawel/0000-0002-5871-4730; Edelman, Bruce/0000-0001-7648-1689; Keitel, David/0000-0002-2824-626X; Mapelli, Michela/0000-0001-8799-2548; Leonardi, Matteo/0000-0002-7641-0060; Jaranowski, Piotr/0000-0001-8085-3414; Arun, K G/0000-0002-6960-8538; S, Sudhagar/0000-0001-8578-4665; Giri, Priyanka/0000-0002-4628-2432; Errico, Luciano/0000-0003-2112-0653; Piotrzkowski, Krzysztof/0000-0002-6226-957X; , Tejinder Kaur/0000-0002-3245-5240; Spencer, Andrew/0000-0003-4418-3366; Polini, Eleonora/0000-0003-4059-0765; Dmitriev, Artemiy/0000-0002-0314-956X; Barone, Fabrizio/0000-0002-8069-8490; Ejlli, Aldo/0000-0002-4149-4532; Bazzan, Marco/0000-0002-1451-1368; Inchauspe, Henri/0000-0002-4664-6451; Thrane, Eric/0000-0002-4418-3895; Tringali, Maria Concetta/0000-0001-5087-189X; Piergiovanni, Francesco/0000-0001-8063-828X; Espinoza, Cristobal/0000-0003-2481-2348; Cifaldi, Maria/0009-0007-1566-7093; Paoletti, Federico/0000-0001-8898-1963; Di Renzo, Francesco/0000-0002-5447-3810; Leaci, Paola/0000-0002-3997-5046; Howell, Eric/0000-0001-7891-2817; Ferrante, Isidoro/0000-0002-0083-7228; Zhao, Yuhang/0000-0003-2542-4734; Coward, David/0000-0002-7795-9354; Quetschke, Volker/0000-0002-8012-4868; Blair, Carl/0000-0003-4566-6888; Brady, Patrick/0000-0002-4611-9387; Raab, Frederick/0009-0005-5872-9819; Kapasi, Disha Pankaj/0000-0001-8189-4920; Ackley, Kendall/0000-0002-8648-0767; Hanna, Chad/0000-0002-0965-7493; Drago, Marco/0000-0002-3738-2431; Franke, Alexander/0000-0002-4843-1112; Tsuzuki, Toshihiro/0000-0002-8342-8314; VARDARO, MARCO/0000-0001-8604-3797; Bartos, Imre/0000-0001-5607-3637; Helmling-Cornell, Adrian/0000-0002-7709-8638; Placidi, Ernesto/0000-0002-3820-8451; Daw, Edward/0000-0002-3780-5430; Ramirez Guevara, Karla Elizabeth/0000-0003-2194-7669; CARAPELLA, Giovanni/0000-0002-0095-1434; Phukon, Khun Sang/0000-0003-1561-0760; Huang, Yao-Chin/0000-0001-8786-7026; Shinkai, Hisa-aki/0000-0003-1082-2844; Sintes, Alicia M/0000-0001-9050-7515; De Pietri, Roberto/0000-0003-1556-8304; Sordini, Viola/0000-0003-0885-824X; Seglar-Arroyo, Monica/0000-0001-8654-409X; Barneo Gonzalez, Pablo Jose/0000-0002-8883-7280; Casanueva Diaz, Julia/0000-0002-2948-5238; Glanzer, Jane/0009-0000-0808-0795; Nuttall, Laura Kate/0000-0001-7472-0201; Thirugnanasambandam, Manasadevi Priyamvadha/0000-0003-3639-0365; Sorrentino, Nunziato/0000-0002-1855-5966; Hollows, Ian/0000-0002-3404-6459; Park, June Gyu/0000-0002-7510-0079; Antelis, Javier M./0000-0003-3377-0813; Richardson, Colter/0000-0003-1866-7965; Gray, Rachel/0000-0002-5556-9873; Mastrogiovanni, Simone/0000-0003-1606-4183; Boschi, Valerio/0000-0001-8665-2293; Morisaki, Soichiro/0000-0002-8445-6747; Chen, Andrew/0000-0001-6425-5692; Nishizawa, Atsushi/0000-0003-3562-0990; Nguyen, Quynh Lan/0000-0002-1828-3702; Toland, Karl/0000-0001-9537-9698; Nelemans, Gijs/0000-0002-0752-2974; Haskell, Brynmor/0000-0002-8255-3519; Cabourn Davies, Gareth/0000-0002-4289-3439; Pierro, Vincenzo/0000-0002-6020-5521; Knyazev, Eugene/0000-0002-9621-5967; CANNAVACCIUOLO, Marco/0000-0002-4802-1797; Hild, Stefan/0000-0001-9221-6009; Bersanetti, Diego/0000-0002-7377-415X; Kashyap, Rahul/0000-0002-5700-282X; Pitkin, Matthew/0000-0003-4548-526X; Khazanov, Efim/0000-0001-5641-8025; Key, Joey Shapiro/0000-0003-0123-7600; Tenorio, Rodrigo/0000-0002-3582-2587; Singh, Neha/0000-0002-1135-3456; McRae, Terry/0000-0002-6540-6824; Bitossi, Massimiliano/0000-0002-9862-4668; Wette, Karl/0000-0002-4394-7179; D'Angelo, Beatrice/0000-0001-9143-8427; Cholayil, Muhammed Saleem/0000-0002-3836-7751; Hamilton, Eleanor/0000-0003-0098-9114; Adya, Vaishali/0000-0003-4955-6280; Antonopoulou, Danai/0000-0003-0746-5364; Gayathri, V/0000-0002-7167-9888; Goncharov, Boris/0000-0003-3189-5807; Oh, John J./0000-0001-5417-862X; M K, Haris/0000-0001-5597-8098; Ferreira, Tabata Aira/0000-0002-1166-2005; BRANCHESI, Marica/0000-0003-1643-0526; Anderson, Warren/0000-0003-0482-5942; Badaracco, Francesca/0000-0001-8553-7904; Hill, Paul/0000-0003-4826-3531; Lartaux, Angelique/0000-0003-1714-365X; Lazzaro, Claudia/0000-0001-5993-3372; Muciaccia, Federico/0000-0003-0850-2649; Cirone, Alessio/0000-0003-4299-8609; Han, Wen-Biao/0000-0002-2039-0726; Cavaglia, Marco/0000-0002-3835-6729; Casentini, Claudio/0000-0001-8100-0579; Fafone, Viviana/0000-0003-1314-1622; Markakis, Charalampos/0000-0002-5524-0410; Middleton, Hannah/0000-0001-5532-3622; Zhao, Chunnong/0000-0001-5825-2401; Riles, Keith/0000-0002-6418-5812; Buscicchio, Riccardo/0000-0002-7387-6754; van Heijningen, Joris/0000-0002-8391-7513; Hannuksela, Otto Akseli/0000-0002-3887-7137; Poggiani, Rosa/0000-0002-9968-2464; Huerta, Eliu/0000-0002-9682-3604; tiwari, shubhanshu/0000-0003-1611-6625; Marka, Szabolcs/0000-0002-3957-1324; Gupta, Anchal/0000-0002-1762-9644; RAZZANO, MASSIMILIANO/0000-0003-4825-1629; Birney, Imogen/0000-0002-4766-0757; Gibson, Desmond/0000-0003-2851-0072; Salemi, Francesco/0000-0002-9511-3846; Naticchioni, Luca/0000-0003-2918-0730; Liu, Jian/0000-0001-6726-3268; DI PACE, SIBILLA/0000-0001-6759-5676; Sigg, Daniel/0000-0003-4606-6526; Puppo, Paola/0000-0003-4677-5015; Satari, Hamid/0000-0002-9903-2779; Piccinni, Ornella Juliana/0000-0001-5478-3950; Reitze, David/0000-0002-5756-1111; Shoemaker, David/0000-0002-4147-2560; Marquina, Antonio/0000-0001-8767-4208; Willis, Joshua/0000-0002-9929-0225; Aso, Yoichi/0000-0002-1902-6695; Raymond, Vivien/0000-0003-0066-0095; Vyatchanin, Sergey P./0000-0002-6823-911X; Krolak, Andrzej/0000-0003-4514-7690; Covas, Pep/0000-0002-1845-9309; Carullo, Gregorio/0000-0001-9090-1862; Edy, Oliver/0000-0001-9617-8724; Oganesyan, Gor/0000-0001-9765-1552; Chatterjee, Deep/0000-0003-0038-5468; pagliaroli, giulia/0000-0002-6751-9996; Jenkins, Alexander/0000-0003-1785-5841; Bajpai, Rishabh/0000-0003-0495-5720; yang, yang/0000-0001-9426-4733; SHCHEBLANOV, Nikita/0000-0001-8696-2435; Sieniawska, Magdalena/0000-0001-5895-5537; Agarwal, Deepali/0000-0002-8735-5554; Harry, Ian/0000-0002-5304-9372; Rettegno, Piero/0000-0001-8088-3517; Garcia Quiros, Cecilio/0000-0002-8059-2477; Junker, Jonas/0000-0002-3051-4374; Torres Forne, Alejandro/0000-0001-8709-5118; McClelland, David/0000-0001-6210-5842; Kapadia, Shasvath/0000-0001-5318-1253; Sharif, Sarah Safura/0000-0002-4667-6650; Guixe, Gerard/0000-0002-8780-9827; Nakamura, Kouji/0000-0001-6148-4289; Koekoek, Gideon/0000-0002-7750-1925; Roy, Soumen/0000-0003-2147-5411; Guidi, Gianluca/0000-0002-3061-9870; Oh, Sang Hoon/0000-0003-1184-7453; Allocca, Annalisa/0000-0002-5288-1351; Lee, Kyung-Ha/0000-0003-0470-3718; Sanchis-Gual, Nicolas/0000-0001-5375-7494; Grimaldi, Andrea/0000-0002-6956-4301; Flynn, Eric/0000-0002-6641-3620; Wen, Linqing/0000-0001-7987-295X; Shoemaker, Deirdre/0000-0002-9899-6357; Charlton, Philip/0000-0002-4263-2706; Kuroyanagi, Sachiko/0000-0001-6538-1447; Forsyth, Perry/0000-0003-4558-7266; Plastino, Wolfango/0000-0002-5737-6346; Blair, David/0000-0002-1501-2405; Hall, Evan/0000-0001-9018-666X; Cuoco, Elena/0000-0002-6528-3449; Rozza, Davide/0000-0002-7378-6353; Karki, Sudarshan/0000-0001-9982-3661; Mozzon, Simone/0000-0002-8855-2509; Kolitsidou, Panagiota/0000-0002-6719-8686; Tosta e Melo, Iara/0000-0001-5833-4052; Tacca, Matteo/0000-0003-1353-0441; Isleif, Katharina-Sophie/0000-0001-7032-9440; Eddolls, Graeme/0000-0002-5895-4523; Pena Arellano, Fabian Erasmo/0000-0002-8516-5159; Favata, Marc/0000-0001-8270-9512; Kovalam, Manoj/0000-0001-8143-9696; O'Shaughnessy, Richard/0000-0001-5832-8517; Kumar, Prayush/0000-0001-5523-4603; Grado, Aniello/0000-0002-0501-8256; Powell, Jade/0000-0002-1357-4164; De Rosa, Rosario/0000-0002-4004-947X; Paolone, Annalisa/0000-0002-4839-7815; Bejger, Michal/0000-0002-4991-8213; PERRIES, Stephane/0000-0003-2213-3579; Maksimovic, Ivan/0009-0003-9902-778X; Creighton, Jolien/0000-0003-3600-2406; Laxen, Michael/0000-0001-7515-9639; Lee, Ray-Kuang/0000-0002-7171-7274; Martynov, Denis/0000-0003-0679-1344; Ghosh, Archisman/0000-0003-0423-3533; Fornal, Bartosz/0000-0003-3271-2080; Chu, Yu-Kuang (Cory)/0000-0002-8661-4120; Sun, Ling/0000-0001-7959-892X; Williamson, Andrew/0000-0002-7627-8688; Kakizaki, Mitsuru/0000-0003-1430-3339; Losurdo, Giovanni/0000-0003-0452-746X; Callister, Thomas/0000-0001-9892-177X; Mow-Lowry, Conor/0000-0002-0351-4555; D'Onofrio, Luca/0000-0001-9546-5959; Aiello, Lorenzo/0000-0003-2771-8816; Bawaj, Mateusz/0000-0003-3611-3042; Kandhasamy, Shivaraj/0000-0002-4825-6764; Garcia Nunez, Carlos/0000-0001-5518-6189; Jones, David/0000-0002-0117-7567; Ain, Anirban/0000-0003-4534-4619; Harms, Jan/0000-0002-7332-9806; Holz, Daniel/0000-0002-0175-5064; Strang, Lucy/0000-0001-7834-9235; Slagmolen, Bram J. J./0000-0002-2471-3828; Macas, Ronaldas/0000-0002-6096-8297; ZHAN, Mingsheng/0000-0001-7240-1952; Asali, Yasmeen/0000-0002-8320-2198; Mitselmakher, Guenakh/0000-0001-5745-3658; Scott, Susan M./0000-0002-9875-7700; Pinto, Innocenzo M./0000-0002-2679-4457; Mondin, Marina/0000-0003-3105-3802; Himemoto, Yoshiaki/0000-0002-6856-3809; Stuver, Amber/0000-0003-0324-5735; Nakano, Hiroyuki/0000-0001-7665-0796; Bulik, Tomasz/0000-0003-2045-4803; Nissanke, Samaya/0000-0001-6573-7773; Miller, Andrew L./0000-0002-4890-7627; Valerie, Martinez/0000-0001-5852-2301; Jeunon Barros Ferreira, Mariana/0000-0002-8173-0931; Chiadini, Francesco/0000-0002-9339-8622; Mangano, Valentina/0000-0001-7902-8505; Pang, Peter Tsun Ho/0000-0001-7041-3239; greco, giuseppe/0000-0002-2353-6604; Kawasaki, Takuya/0000-0001-5839-1700; MARTINEZ, MARIO/0000-0002-3135-945X; Figura, Przemyslaw/0000-0002-8925-0393; Chen, Zu-Cheng/0000-0001-7016-9934; Garufi, Fabio/0000-0003-1391-6168; Boldrini, Mattia/0000-0001-9861-821X; Depasse, Antoine V./0000-0003-1014-8394; Pan, Kuo-Chuan/0000-0002-1473-9880; Itoh, Yousuke/0000-0003-2694-8935; Farr, Ben/0000-0002-2916-9200; Frei, Zsolt/0000-0002-0181-8491; Kefelian, Fabien/0000-0001-9870-6850; Takeda, Hiroki/0000-0001-9937-2557; Font Roda, Jose Antonio/0000-0001-6650-2634; Parisi, Alessandro/0000-0003-0251-8914; Sakellariadou, Mairi/0000-0002-2715-1517; Williams, Michael/0000-0003-2198-2974; Bassiri, Riccardo/0000-0001-8171-6833; Kong, Albert/0000-0002-5105-344X; Cieslar, Marek/0000-0001-8912-5587; de rossi, camilla/0000-0002-5825-472X; Lundgren, Andrew/0000-0002-0363-4469; Maggiore, Riccardo/0000-0001-5140-779X; Smetana, Jiri/0000-0002-7277-6671; Patricelli, Barbara/0000-0001-6709-0969; Soni, Kanchan/0000-0001-8051-7883; McGhee, Graeme/0000-0001-5038-2658; Prodi, Giovanni Andrea/0000-0001-5256-915X; Utina, Andrei/0000-0003-2975-9208; Zweizig, John/0000-0002-1521-3397; Goodwin-Jones, Aaron/0000-0002-0395-0680; Sk, Javed Rana/0000-0001-5605-1809; Mehta, Ajit Kumar/0000-0002-7351-6724; Baird, Jonathon/0000-0002-4341-2860; Zeidler, Simon/0000-0001-7949-1292; Setyawati, Yoshinta Eka/0000-0003-3718-4491; Dent, Thomas/0000-0003-1354-7809; STEER, Daniele/0000-0002-8781-1273; Ho, Wynn/0000-0002-6089-6836; Kinley-Hanlon, Maya/0000-0002-7367-8002; schwartz, eyal/0000-0001-8922-7794; Gergely, Laszlo Arpad/0000-0003-3146-6201; Shao, Lijing/0000-0002-1334-8853; Suresh, Jishnu/0000-0003-2389-6666; Iess, Alberto/0000-0001-9658-6752; Idzkowski, Bartosz/0000-0001-5869-2714</t>
  </si>
  <si>
    <t>10.3847/1538-4357/ac0d52</t>
  </si>
  <si>
    <t>WOS:000722733200001</t>
  </si>
  <si>
    <t>Ledesma, JR; Ma, JN; Vongpradith, A; Maddison, ER; Novotney, A; Biehl, MH; LeGrand, KE; Ross, JM; Jahagirdar, D; Bryazka, D; Feldman, R; Abolhassani, H; Abosetugn, AE; Abu-Gharbieh, E; Adebayo, OM; Adnani, QES; Afzal, S; Ahinkorah, BO; Ahmad, SA; Ahmadi, S; Rashid, TA; Salih, YA; Aklilu, A; Akunna, CJ; Al Hamad, H; Alahdab, F; Alemayehu, Y; Alene, KA; Ali, BA; Ali, L; Alipour, V; Alizade, H; Al-Raddadi, RM; Alvis-Guzman, N; Amini, S; Amit, AML; Anderson, JA; Androudi, S; Antonio, CAT; Antony, CM; Anwer, R; Arabloo, J; Arja, A; Asemahagn, MA; Atre, SR; Azhar, GS; Darshan, BB; Babar, ZUD; Baig, AA; Banach, M; Barqawi, HJ; Barra, F; Barrow, A; Basu, S; Belgaumi, UI; Bhagavathula, AS; Bhardwaj, N; Bhardwaj, P; Bhattacharjee, N; Bhattacharyya, K; Bijani, A; Bikbov, B; Boloor, A; Briko, NI; Buonsenso, D; Nagaraja, SB; Butt, ZA; Carter, A; Carvalho, F; Charan, J; Chatterjee, S; Chattu, SK; Chattu, VK; Christopher, DJ; Chu, DT; Claassens, MM; Dadras, O; Dagnew, AB; Dai, XC; Dandona, L; Dandona, R; Daneshpajouhnejad, P; Darwesh, AM; Dhamnetiya, D; Dianatinasab, M; Diaz, D; Doan, LP; Eftekharzadeh, S; Elhadi, M; Emami, A; Enany, S; Faraon, EJA; Farzadfar, F; Fernandes, E; Desideri, LF; Filip, I; Fischer, F; Foroutan, M; Frank, TD; Garcia-Basteiro, AL; Garcia-Calavaro, C; Garg, T; Geberemariyam, BS; Ghadiri, K; Ghashghaee, A; Golechha, M; Goodridge, A; Gupta, B; Gupta, S; Gupta, VB; Gupta, VK; Haider, MR; Hamidi, S; Hanif, A; Haque, S; Harapan, H; Hargono, A; Hasaballah, A; Hashi, A; Hassan, S; Hassankhani, H; Hayat, K; Hezam, K; Holla, R; Hosseinzadeh, M; Hostiuc, M; Househ, M; Hussain, R; Ibitoye, SE; Ilic, IM; Ilic, MD; Irvani, SSN; Ismail, NE; Itumalla, R; Jaafari, J; Jacobsen, KH; Jain, V; Javanmardi, F; Jayapal, SK; Jayaram, S; Jha, RP; Jonas, JB; Joseph, N; Joukar, F; Kabir, Z; Kamath, A; Kanchan, T; Kandel, H; Katoto, PD; Kayode, GA; Kendrick, PJ; Kerbo, AA; Khajuria, H; Khalilov, R; Khatab, K; Khoja, AT; Khubchandani, J; Kim, MS; Kim, YJ; Kisa, A; Kisa, S; Kosen, S; Koul, PA; Laxminarayana, SLK; Koyanagi, A; Krishan, K; Bicer, BK; Kumar, A; Kumar, GA; Kumar, N; Kumar, N; Kwarteng, A; Lak, HM; Lal, DK; Landires, I; Lasrado, S; Lee, SWH; Lee, WC; Lin, C; Liu, XF; Lopukhov, PD; Lozano, R; Machado, DB; Kunjathur, SM; Madi, D; Mahajan, PB; Majeed, A; Malik, AA; Martins-Melo, FR; Mehta, S; Memish, ZA; Mendoza, W; Menezes, RG; Merie, HE; Mersha, AG; Mesregah, MK; Mestrovic, T; Mheidly, NM; Misra, S; Mithra, P; Moghadaszadeh, M; Mohammadi, M; Mohammadian-Hafshejani, A; Mohammed, S; Molokhia, M; Moni, MA; Al Montasir, A; Moore, CE; Nagarajan, AJ; Nair, S; Nair, S; Naqvi, AA; Swamy, SN; Nayak, BP; Nazari, J; Kandel, SN; Nguyen, TH; Nixon, MR; Nnaji, CA; Ntsekhe, M; Nuñez-Samudio, V; Oancea, B; Odukoya, OO; Olagunju, AT; Oren, E; Mahesh, PA; Parthasarathi, R; Kan, FP; Pattanshetty, SM; Paudel, R; Paul, P; Pawar, S; Pepito, VCF; Yigit, ; Perico, N; Pirestani, M; Polibin, R; Postma, MJ; Pourshams, A; Prashant, A; Pribadi, DRA; Radfar, A; Rafiei, A; Rahim, F; Rahimi-Movaghar, V; Rahman, M; Rahman, M; Rahmani, AM; Ranasinghe, P; Rao, CR; Rawaf, DL; Rawaf, S; Reitsma, MB; Remuzzi, G; Renzaho, AMN; Reta, MA; Rezaei, N; Rezahosseini, O; Rezai, MS; Rezapour, A; Roshandel, G; Roshchin, DO; Sabour, S; Saif-Ur-Rahman, KM; Salam, N; Kafil, HS; Samaei, M; Samy, AM; Saroshe, S; Sartorius, B; Sathian, B; Sawyer, SM; Senthilkumaran, S; Seylani, A; Shafaat, O; Shaikh, MA; Sharafi, K; Shetty, RS; Shigematsu, M; Shin, JI; Silva, JP; Singh, JK; Sinha, S; Skryabin, VY; Skryabina, AA; Spurlock, EE; Sreeramareddy, CT; Steiropoulos, P; Sufiyan, MB; Tabuchi, T; Tadesse, EG; Tamir, Z; Tarkang, EE; Tekalegn, Y; Tesfay, FH; Tessema, B; Thapar, R; Tleyjeh, II; Tobe-Gai, R; Tran, BX; Tsegaye, B; Tsegaye, GW; Ullah, A; Umeokonkwo, CD; Tahbaz, SV; Vo, B; Vu, GT; Waheed, Y; Walters, MK; Whisnant, JL; Woldekidan, MA; Wubishet, BL; Jabbari, SHY; Yazie, TSY; Yeshaw, Y; Yi, SY; Yonemoto, N; Yu, CH; Yunusa, I; Zastrozhin, MS; Zastrozhina, A; Zhang, ZJ; Zumla, A; Mokdad, AH; Salomon, JA; Reiner, RC ; Lim, SS; Naghavi, M; Vos, T; Hay, S; Murray, CJL; Kyu, HH</t>
  </si>
  <si>
    <t>Ledesma, Jorge R.; Ma, Jianing; Vongpradith, Avina; Maddison, Emilie R.; Novotney, Amanda; Biehl, Molly H.; LeGrand, Kate E.; Ross, Jennifer M.; Jahagirdar, Deepa; Bryazka, Dana; Feldman, Rachel; Abolhassani, Hassan; Abosetugn, Akine Eshete; Abu-Gharbieh, Eman; Adebayo, Oladimeji M.; Adnani, Qorinah Estiningtyas Sakilah; Afzal, Saira; Ahinkorah, Bright Opoku; Ahmad, Sajjad Ahmad; Ahmadi, Sepideh; Rashid, Tarik Ahmed; Salih, Yusra Ahmed; Aklilu, Addis; Akunna, Chisom Joyqueenet; Al Hamad, Hanadi; Alahdab, Fares; Alemayehu, Yosef; Alene, Kefyalew Addis; Ali, Beriwan Abdulqadir; Ali, Liaqat; Alipour, Vahid; Alizade, Hesam; Al-Raddadi, Rajaa M.; Alvis-Guzman, Nelson; Amini, Saeed; Amit, Arianna Maever L.; Anderson, Jason A.; Androudi, Sofia; Antonio, Carl Abelardo T.; Antony, Catherine M.; Anwer, Razique; Arabloo, Jalal; Arja, Asrat; Asemahagn, Mulusew A.; Atre, Sachin R.; Azhar, Gulrez Shah; Darshan, B. B.; Babar, Zaheer-Ud-Din; Baig, Atif Amin; Banach, Maciej; Barqawi, Hiba Jawdat; Barra, Fabio; Barrow, Amadou; Basu, Sanjay; Belgaumi, Uzma Iqbal; Bhagavathula, Akshaya Srikanth; Bhardwaj, Nikha; Bhardwaj, Pankaj; Bhattacharjee, Natalia, V; Bhattacharyya, Krittika; Bijani, Ali; Bikbov, Boris; Boloor, Archith; Briko, Nikolay Ivanovich; Buonsenso, Danilo; Nagaraja, Sharath Burugina; Butt, Zahid A.; Carter, Austin; Carvalho, Felix; Charan, Jaykaran; Chatterjee, Souranshu; Chattu, Soosanna Kumary; Chattu, Vijay Kumar; Christopher, Devasahayam J.; Chu, Dinh-Toi; Claassens, Mareli M.; Dadras, Omid; Dagnew, Amare Belachew; Dai, Xiaochen; Dandona, Lalit; Dandona, Rakhi; Daneshpajouhnejad, Parnaz; Darwesh, Aso Mohammad; Dhamnetiya, Deepak; Dianatinasab, Mostafa; Diaz, Daniel; Linh Phuong Doan; Eftekharzadeh, Sahar; Elhadi, Muhammed; Emami, Amir; Enany, Shymaa; Faraon, Emerito Jose A.; Farzadfar, Farshad; Fernandes, Eduarda; Desideri, Lorenzo Ferro; Filip, Irina; Fischer, Florian; Foroutan, Masoud; Frank, Tahvi D.; Garcia-Basteiro, Alberto L.; Garcia-Calavaro, Christian; Garg, Tushar; Geberemariyam, Biniyam Sahiledengle; Ghadiri, Keyghobad; Ghashghaee, Ahmad; Golechha, Mahaveer; Goodridge, Amador; Gupta, Bhawna; Gupta, Sapna; Gupta, Veer Bala; Gupta, Vivek Kumar; Haider, Mohammad Rifat; Hamidi, Samer; Hanif, Asif; Haque, Shafiul; Harapan, Harapan; Hargono, Arief; Hasaballah, Ahmed, I; Hashi, Abdiwahab; Hassan, Shoaib; Hassankhani, Hadi; Hayat, Khezar; Hezam, Kamal; Holla, Ramesh; Hosseinzadeh, Mehdi; Hostiuc, Mihaela; Househ, Mowafa; Hussain, Rabia; Ibitoye, Segun Emmanuel; Ilic, Irena M.; Ilic, Milena D.; Irvani, Seyed Sina Naghibi; Ismail, Nahlah Elkudssiah; Itumalla, Ramaiah; Jaafari, Jalil; Jacobsen, Kathryn H.; Jain, Vardhmaan; Javanmardi, Fatemeh; Jayapal, Sathish Kumar; Jayaram, Shubha; Jha, Ravi Prakash; Jonas, Jost B.; Joseph, Nitin; Joukar, Farahnaz; Kabir, Zubair; Kamath, Ashwin; Kanchan, Tanuj; Kandel, Himal; Katoto, Patrick Dmc; Kayode, Gbenga A.; Kendrick, Parkes J.; Kerbo, Amene Abebe; Khajuria, Himanshu; Khalilov, Rovshan; Khatab, Khaled; Khoja, Abdullah T.; Khubchandani, Jagdish; Kim, Min Seo; Kim, Yun Jin; Kisa, Adnan; Kisa, Sezer; Kosen, Soewarta; Koul, Parvaiz A.; Laxminarayana, Sindhura Lakshmi Koulmane; Koyanagi, Ai; Krishan, Kewal; Bicer, Burcu Kucuk; Kumar, Avinash; Kumar, G. Anil; Kumar, Narinder; Kumar, Nithin; Kwarteng, Alexander; Lak, Hassan Mehmood; Lal, Dharmesh Kumar; Landires, Ivan; Lasrado, Savita; Lee, Shaun Wen Huey; Lee, Wei-Chen; Lin, Christine; Liu, Xuefeng; Lopukhov, Platon D.; Lozano, Rafael; Machado, Daiane Borges; Kunjathur, Shilpashree Madhava; Madi, Deepak; Mahajan, Preetam Bhalchandra; Majeed, Azeem; Malik, Ahmad Azam; Martins-Melo, Francisco Rogerlandio; Mehta, Saurabh; Memish, Ziad A.; Mendoza, Walter; Menezes, Ritesh G.; Merie, Hayimro Edemealem; Mersha, Amanual Getnet; Mesregah, Mohamed Kamal; Mestrovic, Tomislav; Mheidly, Nour Mheidly; Misra, Sanjeev; Mithra, Prasanna; Moghadaszadeh, Masoud; Mohammadi, Mokhtar; Mohammadian-Hafshejani, Abdollah; Mohammed, Shafiu; Molokhia, Mariam; Moni, Mohammad Ali; Al Montasir, Ahmed; Moore, Catrin E.; Nagarajan, Ahamarshan Jayaraman; Nair, Sanjeev; Nair, Suma; Naqvi, Atta Abbas; Swamy, Sreenivas Narasimha; Nayak, Biswa Prakash; Nazari, Javad; Kandel, Sandhya Neupane; Nguyen, Trang Huyen; Nixon, Molly R.; Nnaji, Chukwudi A.; Ntsekhe, Mpiko; Nunez-Samudio, Virginia; Oancea, Bogdan; Odukoya, Oluwakemi Ololade; Olagunju, Andrew T.; Oren, Eyal; Mahesh, P. A.; Parthasarathi, Ramakrishnan; Kan, Fatemeh Pashazadeh; Pattanshetty, Sanjay M.; Paudel, Rajan; Paul, Pintu; Pawar, Shrikant; Pepito, Veincent Christian Filipino; Yigit, V; Perico, Norberto; Pirestani, Majid; Polibin, Roman, V; Postma, Maarten J.; Pourshams, Akram; Prashant, Akila; Pribadi, Dimas Ria Angga; Radfar, Amir; Rafiei, Alireza; Rahim, Fakher; Rahimi-Movaghar, Vafa; Rahman, Mahfuzar; Rahman, Mosiur; Rahmani, Amir Masoud; Ranasinghe, Priyanga; Rao, Chythra R.; Rawaf, David Laith; Rawaf, Salman; Reitsma, Marissa B.; Remuzzi, Giuseppe; Renzaho, Andre M. N.; Reta, Melese Abate; Rezaei, Nima; Rezahosseini, Omid; Rezai, Mohammad Sadegh; Rezapour, Aziz; Roshandel, Gholamreza; Roshchin, Denis O.; Sabour, Siamak; Saif-Ur-Rahman, K. M.; Salam, Nasir; Kafil, Hossein Samadi; Samaei, Mehrnoosh; Samy, Abdallah M.; Saroshe, Satish; Sartorius, Benn; Sathian, Brijesh; Sawyer, Susan M.; Senthilkumaran, Subramanian; Seylani, Allen; Shafaat, Omid; Shaikh, Masood Ali; Sharafi, Kiomars; Shetty, Ranjitha S.; Shigematsu, Mika; Shin, Jae Il; Silva, Joao Pedro; Singh, Jitendra Kumar; Sinha, Smriti; Skryabin, Valentin Yurievich; Skryabina, Anna Aleksandrovna; Spurlock, Emma Elizabeth; Sreeramareddy, Chandrashekhar T.; Steiropoulos, Paschalis; Sufiyan, Mu'awiyyah Babale; Tabuchi, Takahiro; Tadesse, Eyayou Girma; Tamir, Zemenu; Tarkang, Elvis Enowbeyang; Tekalegn, Yohannes; Tesfay, Fisaha Haile; Tessema, Belay; Thapar, Rekha; Tleyjeh, Imad I.; Tobe-Gai, Ruoyan; Bach Xuan Tran; Tsegaye, Berhan; Tsegaye, Gebiyaw Wudie; Ullah, Anayat; Umeokonkwo, Chukwuma David; Tahbaz, Sahel Valadan; Bay Vo; Giang Thu Vu; Waheed, Yasir; Walters, Magdalene K.; Whisnant, Joanna L.; Woldekidan, Mesfin Agachew; Wubishet, Befikadu Legesse; Jabbari, Seyed Hossein Yahyazadeh; Yazie, Taklo Simeneh Yazie; Yeshaw, Yigizie; Yi, Siyan; Yonemoto, Naohiro; Yu, Chuanhua; Yunusa, Ismaeel; Zastrozhin, Mikhail Sergeevich; Zastrozhina, Anasthasia; Zhang, Zhi-Jiang; Zumla, Alimuddin; Mokdad, Ali H.; Salomon, Joshua A.; Reiner, Robert C., Jr.; Lim, Stephen S.; Naghavi, Mohsen; Vos, Theo; Hay, Simon, I; Murray, Christopher J. L.; Kyu, Hmwe Hmwe</t>
  </si>
  <si>
    <t>GBD 2019 Tb Collaborators</t>
  </si>
  <si>
    <t>Global, regional, and national sex differences in the global burden of tuberculosis by HIV status, 1990-2019: results from the Global Burden of Disease Study 2019</t>
  </si>
  <si>
    <t>LANCET INFECTIOUS DISEASES</t>
  </si>
  <si>
    <t>Background Tuberculosis is a major contributor to the global burden of disease, causing more than a million deaths annually. Given an emphasis on equity in access to diagnosis and treatment of tuberculosis in global health targets, evaluations of differences in tuberculosis burden by sex are crucial. We aimed to assess the levels and trends of the global burden of tuberculosis, with an emphasis on investigating differences in sex by HIV status for 204 countries and territories from 1990 to 2019. Methods We used a Bayesian hierarchical Cause of Death Ensemble model (CODEm) platform to analyse 21 505 site-years of vital registration data, 705 site-years of verbal autopsy data, 825 site-years of sample-based vital registration data, and 680 site-years of mortality surveillance data to estimate mortality due to tuberculosis among HIV-negative individuals. We used a population attributable fraction approach to estimate mortality related to HIV and tuberculosis coinfection. A compartmental meta-regression tool (DisMod-MR 2.1) was then used to synthesise all available data sources, including prevalence surveys, annual case notifications, population-based tuberculin surveys, and tuberculosis cause-specific mortality, to produce estimates of incidence, prevalence, and mortality that were internally consistent. We further estimated the fraction of tuberculosis mortality that is attributable to independent effects of risk factors, including smoking, alcohol use, and diabetes, for HIV-negative individuals. For individuals with HIV and tuberculosis coinfection, we assessed mortality attributable to HIV risk factors including unsafe sex, intimate partner violence (only estimated among females), and injection drug use. We present 95% uncertainty intervals for all estimates. Findings Globally, in 2019, among HIV-negative individuals, there were 1.18 million (95% uncertainty interval 1.08-1.29) deaths due to tuberculosis and 8.50 million (7.45-9.73) incident cases of tuberculosis. Among HIV-positive individuals, there were 217 000 (153 000-279 000) deaths due to tuberculosis and 1.15 million (1.01-1.32) incident cases in 2019. More deaths and incident cases occurred in males than in females among HIV-negative individuals globally in 2019, with 342 000 (234 000-425 000) more deaths and 1.01 million (0.82-1.23) more incident cases in males than in females. Among HIV-positive individuals, 6250 (1820-11 400) more deaths and 81 100 (63 300-100 000) more incident cases occurred among females than among males in 2019. Age-standardised mortality rates among HIV-negative males were more than two times greater in 105 countries and age-standardised incidence rates were more than 1.5 times greater in 74 countries than among HIV-negative females in 2019. The fraction of global tuberculosis deaths among HIV-negative individuals attributable to alcohol use, smoking, and diabetes was 4.27 (3.69-5.02), 6.17 (5.48-7.02), and 1.17 (1.07-1.28) times higher, respectively, among males than among females in 2019. Among individuals with HIV and tuberculosis coinfection, the fraction of mortality attributable to injection drug use was 2.23 (2.03-2.44) times greater among males than females, whereas the fraction due to unsafe sex was 1.06 (1.05-1.08) times greater among females than males. Interpretation As countries refine national tuberculosis programmes and strategies to end the tuberculosis epidemic, the excess burden experienced by males is important. Interventions are needed to actively communicate, especially to men, the importance of early diagnosis and treatment. These interventions should occur in parallel with efforts to minimise excess HIV burden among women in the highest HIV burden countries that are contributing to excess HIV and tuberculosis coinfection burden for females. Placing a focus on tuberculosis burden among HIV-negative males and HIV and tuberculosis coinfection among females might help to diminish the overall burden of tuberculosis. This strategy will be crucial in reaching both equity and burden targets outlined by global health milestones. Copyright (C) 2021 The Author(s). Published by Elsevier Ltd.</t>
  </si>
  <si>
    <t>Landires, Iván/IAM-2321-2023; Chu, Dinh-Toi/I-7414-2019; Yazie, Taklo Simeneh/AAI-4660-2020; Skryabina, Anna/ABH-7827-2020; Singh, Jitendra/HPF-5961-2023; Remuzzi, Giuseppe/V-9766-2017; Itumalla, Ramaiah/AAR-8610-2021; Alvis Guzman, Nelson/D-4913-2013; Khalilov, Rovshan/D-5445-2019; Abebe, Mesfin/GPF-5732-2022; Tovani-Palone, Marcos Roberto/J-6491-2014; Lee, Shaun/E-9934-2014; Hosseinzadeh, Mehdi/GWV-3822-2022; Swamy, Narasimha/AAF-6687-2019; Rawaf, David/JXL-7101-2024; LAK, HASSAN/ABI-5772-2020; Joukar, Farahnaz/P-9423-2016; Mahesh, P/R-1184-2019; Polibin, Roman/CAI-7567-2022; Buonsenso, Danilo/I-8910-2018; rezapour, aziz/M-2817-2018; Thrift, Amanda/I-6251-2012; Miao Jonasson, Junmei/MIN-9869-2025; Edemealem, Hayimro/ABC-9823-2021; Kim, Yun Jin/AAE-8281-2019; Gupta, Vivek/IUN-2175-2023; Oancea, Bogdan/C-4147-2011; Prasanna Mithra, MBBS/J-9621-2018; Nazari, Javad/Y-3864-2019; Ilic, Milena/W-1498-2019; Kisa, Sezer/GPC-8087-2022; TEKALEGN, YOHANNES/AAG-9451-2020; Laxminarayana, Sindhura/O-7454-2017; Murray, Christopher/JZD-3782-2024; Mendes, J/AAU-6390-2021; Nair, Suma/J-8104-2016; Eshete, Akine/AAR-3074-2020; Bhattacharyya, Krittika/AAA-8258-2021; Ilic, Irena/T-8121-2019; Mirzaei, Maryam/ABC-7674-2020; Sufiyan, Muawiyyah Babale/GWN-2609-2022; Khubchandani, Jagdish/D-1831-2014; Renzaho, Andre/AAH-7679-2021; Butt, Zahid/W-4292-2017; Jha, Ravi/ABC-6588-2020; Vos, Theo/HLH-2955-2023; Hussain, Rabia/AAE-7742-2020; Tesfay, Fisaha/J-5522-2015; Steiropoulos, Paschalis/AAH-6905-2021; Dai, Xiaochen/ABG-4201-2020; Bulamu, Norma/GRJ-4125-2022; Vo, Bay/ABO-9972-2022; Moni, Mohammad/ABG-3606-2020; Roshandel, Gholamreza/AAJ-9562-2021; Tabuchi, Takahiro/KFQ-0737-2024; GUPTA, SAPNA/ABG-1042-2021; Garcia, Christian/KLY-8785-2024; Androudi, Sofia/AAB-7618-2021; Mehta, Saurabh/L-8490-2017; Irvani, Seyed/O-2413-2018; ahmadi, sepideh/AAN-7491-2020; Ahinkorah, Bright/JCN-8250-2023; Mokdad, Ali/AAD-1232-2022; Arabloo, Jalal/K-1829-2019; boloor, archith/AAY-1719-2021; KANCHAN, TANUJ/L-8547-2015; Holla, Ramesh/P-2785-2015; Hezam, Kamal/Y-6402-2019; ISMAIL, Prof. Dr. Nahlah Elkudssiah/GLU-1003-2022; Ghadiri, Keyghobad/N-9733-2017; Bhardwaj, Pankaj/AAH-9451-2019; Zumla, Alimuddin/ABA-8208-2020; Kumar, Awanish/B-2646-2018; Reitsma, Marissa/AAE-7719-2020; Liu, xuefeng/IUP-1483-2023; Nnaji, Chukwudi/C-4019-2018; Jonas, Jost/AEP-3841-2022; Martins-Melo, Francisco/IUM-9000-2023; Antony, Catherine/JKH-7149-2023; Barqawi, Hiba/HGB-8061-2022; Tsegaye, Gebiyaw/IZP-8040-2023; Belgaumi, Uzma/I-3783-2017; ntsekhe, mpiko/AAI-8001-2021; Alipour, Vahid/K-5099-2019; Odukoya, kemi/G-9875-2015; Yeshaw, Yigizie/L-6336-2019; Househ, Mowafa/GPX-8430-2022; Kisa, Adnan/Q-2081-2019; Rahman, Md. Mizanur/ISB-7883-2023; f, m/AAM-2063-2021; Hargono, Arief/ABI-6272-2020; Perico, Norberto/ABH-3222-2020; Harapan, Harapan/I-8741-2016; Hashi, Abdiwahab/AAM-5480-2021; Yu, chuanhua/I-6711-2016; Kim, Min Seo/JXN-2115-2024; Kwarteng, Alexander/AAL-6334-2021; Hamadeh, Randah/AAE-9720-2020; Sharafi, Kiomars/CAH-6352-2022; Rafiei, Alireza/A-2314-2009; Garg, Tushar/AAW-5552-2021; Samaei, Mehrnoosh/LKM-4500-2024; Zhang, Zhi-Jiang/AAQ-3466-2020; Garcia-Basteiro, Alberto/AEO-1385-2022; Amit, Arianna Maever/E-4482-2017; Silva, João/E-8444-2012; Rahman, Mosiur/KHT-3847-2024; Christopher, DJ/R-1479-2019; Al-Raddadi, Rajaa/F-8337-2010; jaafari, jalil/U-3253-2018; Zastrozhin, Michael/O-8920-2017; Naqvi, Atta/G-1556-2019; Radfar, Amir/I-8057-2019; Kabir, Zubair/KQX-5433-2024; Atif, Baig/AAY-3361-2021; Jayapal, Sathish/ABI-6003-2020; Antonio, Carl/AAP-4280-2020; Jayaram, Shubha/HMD-1207-2023; Ranasinghe, Priyanga/C-9772-2011; Aklilu, Addis/AGX-6405-2022; Wolde, Asrat/ABE-8950-2022; Lee, Yeong/H-2777-2019; Momtazmanesh, Sara/AAE-1022-2020; Sisay, Eskinder/AAB-8251-2022; Guimaraes, Andre/D-8122-2011; Abu-Gharbieh, Eman/F-3635-2010; Nagaraja, Sharath/ABD-7238-2021; Elhadi, Muhammed/AAU-5641-2020; Eftekharzadeh, Sahar/ABH-8206-2020; Rezahosseini, Omid/AAD-3232-2019; Rahman, Mohammad Hifz Ur/GVU-3673-2022; Elsayed, Omar/O-7012-2018; NGUYEN, THI HUYEN TRANG/IWM-4126-2023; Ibitoye, Segun/AAV-4960-2020; keykhaei, mohammad/AAM-4467-2021; Ghashghaee, Ahmad/HZJ-9700-2023; Gupta, bhawna/AAD-3108-2019; Asemahagn, Mulusew/J-9889-2019; Amini, Saeed/K-8194-2018; Naohiro, Yonemoto/Y-3761-2019; Khoja, Abdullah/AAD-8780-2020; Menezes, Ritesh/A-7480-2015; Adebayo, Oladimeji/Y-5260-2019; Rokni, Mohammad/AAU-5693-2021; hafsheja, abdollah/AAF-6931-2019; Moghadaszadeh, Masoud/L-8876-2017; Dimbuene, Zacharie/H-3029-2019; Hayat, Khezar/Y-2918-2019; Tes, Bel/L-3858-2019; Atre, Sachin/KYQ-8593-2024; Samadi Kafil, Hossein/AAX-2888-2021; Kamath, Ashwin/T-1880-2019; Sahiledengle, Biniyam/AAG-9457-2020; Memish, Ziad/AEJ-9424-2022; Rahmani, Amir Masoud/K-2702-2013; Samy, Abdallah/B-4375-2010; Mheidly, Nour/AAS-1101-2021; Barrow, Amadou/AAQ-1531-2021; Desideri, Lorenzo/AAM-5368-2020; Ali, Liaqat/AGW-4429-2022; Alizade, Hesam/D-7121-2016; Valadan Tahbaz, Sahel/ABB-9520-2020; Gupta, Vivek Kumar/AAB-8940-2022; Pirestani, Majid/C-5414-2017; Rezaei, Negar/AAS-8147-2020; Hussain, Salman/AAN-9202-2021; Sepanlou, Sadaf/H-9343-2016; Kumar, Narender/JWP-7679-2024; KUMAR, ANIL/ACD-8340-2022; Rahimi-Movaghar, Vafa/L-6339-2019; Dianati, Mostafa/T-6904-2017; Salomon, Joshua/D-3898-2009; Rahim, Fakher/AAC-3905-2019; Haider, Mohammad Rifat/N-9987-2016; Bhagavathula, Akshaya/G-6649-2015; Enany, Shymaa/F-2053-2010; Dadras, Omid/X-2514-2019; Umeokonkwo, Chukwuma/U-7112-2019; Samy, Abdallah/I-1415-2014; Lozano, Rafael/T-5352-2018; Rezahosseini, Omid/A-2676-2011; Paul, Pintu/AAR-6371-2021; Claassens, Mareli Misha/Y-3544-2019; Eftekhari, Aziz/O-5120-2017; Chattu, Vijay Kumar/C-2778-2014; Olagunju, Andrew/B-4746-2017; Pepito, Veincent Christian/AAZ-7140-2020; Krishan, Kewal/I-3285-2014; Bijani, Ali/B-1718-2017; Fischer, Florian/F-9003-2016; Emami, Amir/H-1024-2016; Salam, Nasir/C-8049-2015; , Ahmad Azam Malik/E-9521-2015; Adnani, Qorinah Estiningtyas Sakilah/AFT-1920-2022; Rahman, Muhammad Aziz/B-3380-2009; Moore, Catrin/K-1980-2017; Hay, Simon/F-8967-2015; Saif-Ur-Rahman, KM/S-8863-2019; Samadi Kafil, Hossein/B-5855-2012; Lopukhov, Platon/S-8582-2017; Bikbov, Boris/I-4594-2013; Kucuk Bicer, Burcu/G-4922-2017; Koul, Parvaiz/B-1666-2017; Alene, Kefyalew Addis/V-8240-2018; Mesregah, Mohamed/Y-5819-2019; Hasaballah, Ahmed I./G-6829-2019; Mohammed, Shafiu/P-2016-2014; Jacobsen, Kathryn H./B-5857-2008; Barrow, Amadou/GQQ-4358-2022; Haque, Shafiul/AAN-2946-2020; Yunusa, Ismaeel/X-2390-2019; Goodridge, Amador/F-9026-2011; Banach, Maciej/A-1271-2009; Parthasarathi, Ramakrishnan/C-2093-2008; Kandel, Himal/Q-1031-2018; Hanif, Asif/AAL-2249-2020; YIGIT, Vahit/ABB-8610-2021; Nayak, Biswa Prakash/S-7636-2017; Rao, Dr. Chythra R/D-5449-2016; Rashid, Tarik A/HLX-0184-2023; Abolhassani, Hassan/B-3465-2014; Diaz, Daniel/P-1916-2018; Montasir, Ahmed/G-4680-2012; Sreeramareddy, Chandrashekhar/C-5433-2014; Carvalho, Felix/D-4914-2013; Fernandes, Eduarda/D-4943-2013; Alahdab, Fares/N-6680-2013; Zumla, Professor Sir Alimuddin/HJH-4993-2023; Sathian, Brijesh/G-7576-2014; Anwer, Razique/AAN-7825-2020; Briko, Nikolay/U-4804-2017; , Pawar/AAE-4462-2021; Wubishet, Befikadu/AAI-6038-2020; Prashant, Akila/AAI-4468-2020; Skryabin, Valentin/B-6244-2019; Khajuria, Himanshu/I-7952-2018; DHAMNETIYA, DR DEEPAK/AAI-9848-2021; SHIN, JAE IL/J-6922-2017; Majeed, Azeem/KHC-7311-2024; Waheed, Yasir/F-6390-2015</t>
  </si>
  <si>
    <t>Zastrozhin, Michael/0000-0002-3964-9726; Garcia-Basteiro, Alberto L./0000-0002-2038-5505; Kumar, G Anil/0000-0002-7986-0905; Woldekidan, Mesfin Agachew/0000-0002-9222-2430; Daneshpajouhnejad, Parnaz/0000-0002-8845-5813; Burugina Nagaraja, Sharath/0000-0002-6599-5753; Salomon, Joshua/0000-0003-3929-5515; Vu, Giang Thu/0000-0002-3470-4458; Rahim, Fakher/0000-0002-2857-4562; Ismail, Nahlah Elkudssiah/0000-0002-4274-8581; Oancea, Bogdan/0000-0001-6987-5137; Mahesh, Padukudru Anand/0000-0003-1632-5945; Simeneh, taklo/0000-0003-1218-5826; Haider, Mohammad Rifat/0000-0002-0690-8242; Shafaat, Omid/0000-0001-8793-7901; Amit, Arianna Maever/0000-0003-4571-400X; Senthilkumaran, Subramanian/0000-0001-5262-8367; Gebrehiwot, Yosef Alemayehu/0000-0002-7233-3029; Bhagavathula, Akshaya/0000-0002-0581-7808; LeGrand, Kate/0000-0003-2690-3198; Enany, Shymaa/0000-0002-7827-6504; Dadras, Omid/0000-0001-9385-2170; Ilic, Irena/0000-0001-5347-3264; Umeokonkwo, Chukwuma/0000-0002-0050-2874; Samy, Abdallah/0000-0003-3978-1134; Lozano, Rafael/0000-0002-7356-8823; Rezahosseini, Omid/0000-0003-2198-1904; Paul, Pintu/0000-0002-6727-6082; Claassens, Mareli Misha/0000-0002-5927-284X; Eftekhari, Aziz/0000-0003-0274-4479; Merie, Hayimro Edemealem/0000-0003-0301-6895; Chattu, Vijay Kumar/0000-0001-9840-8335; Yeshaw, Yigizie/0000-0003-4587-7925; Olagunju, Andrew/0000-0003-1736-9886; Tabuchi, Takahiro/0000-0002-1050-3125; Pepito, Veincent Christian/0000-0001-5391-3784; Krishan, Kewal/0000-0001-5321-0958; Tran, Bach/0000-0002-2191-3947; Khalilov, Rovshan/0000-0002-8684-1390; B Machado, Daiane/0000-0003-2959-4650; Khatab, Professor.Dr. Khaled/0000-0002-8755-3964; Bijani, Ali/0000-0003-2233-8726; Fischer, Florian/0000-0002-4388-1245; Paudel, Rajan/0000-0002-9894-5656; Hussain, Rabia/0000-0001-8183-0855; Golechha, Mahaveer/0000-0002-6253-8274; Emami, Amir/0000-0002-4510-1820; Tarkang, Elvis/0000-0001-6556-565X; Singh, Dr. Jitendra Kumar/0000-0002-1387-4642; Gupta, Vivek/0000-0002-0202-7843; Salam, Nasir/0000-0001-9133-1304; Lee, Wei Chen/0000-0003-4333-5444; , Ahmad Azam Malik/0000-0001-5051-0058; arabloo, Jalal/0000-0003-1223-4528; Tsegaye, Gebiyaw Wudie/0000-0002-8522-6193; Adnani, Qorinah Estiningtyas Sakilah/0000-0002-4625-4861; Postma, Maarten/0000-0002-6306-3653; Rahman, Muhammad Aziz/0000-0003-1665-7966; Farzadfar, Farshad/0000-0001-8288-4046; Moore, Catrin/0000-0002-8639-9846; Hay, Simon/0000-0002-0611-7272; Saif-Ur-Rahman, KM/0000-0001-8702-7094; Gupta, Bhawna/0000-0003-1467-0139; Valadan Tahbaz, Sahel/0000-0001-8038-6350; Tleyjeh, Imad/0000-0002-5551-0353; Landires, Ivan/0000-0001-6323-1170; Samadi Kafil, Hossein/0000-0001-6026-8795; Lopukhov, Platon/0000-0002-0872-2214; Ferro Desideri, Lorenzo/0000-0003-0715-6369; Bikbov, Boris/0000-0002-1925-7506; Itumalla, Dr. Ramaiah/0000-0002-6090-9641; Mohammadian-Hafshejani, Abdollah/0000-0002-2961-2719; Kucuk Bicer, Burcu/0000-0002-5615-264X; Afzal, Dr.Saira/0000-0002-4882-2404; Koul, Parvaiz/0000-0002-1700-9285; Alene, Kefyalew Addis/0000-0002-1904-4682; Mesregah, Mohamed/0000-0002-8047-9159; GUPTA, SAPNA/0000-0002-3267-4531; Hasaballah, Ahmed I./0000-0003-1596-1958; Kosen, Soewarta/0000-0002-2517-8118; Mohammed, Shafiu/0000-0001-5715-966X; Ilic, Milena/0000-0003-3229-4990; Jacobsen, Kathryn H./0000-0002-4198-6246; Elhadi, Muhammed/0000-0001-6406-4212; Barrow, Amadou/0000-0002-6006-9355; Garcia, Christian/0000-0001-9010-2614; Haque, Shafiul/0000-0002-2989-121X; Moni, Mohammad Ali/0000-0003-0756-1006; Silva, Joao Pedro/0000-0002-5656-0897; Kabir, Zubair/0000-0003-1529-004X; Yunusa, Ismaeel/0000-0002-9107-8561; JHA, RAVI PRAKASH/0000-0001-5230-1436; , Dharmesh/0009-0000-5068-4955; Goodridge, Amador/0000-0003-3910-0482; KATOTO, Patrick de Marie/0000-0002-0553-201X; Banach, Maciej/0000-0001-6690-6874; Parthasarathi, Ramakrishnan/0000-0001-5417-5867; Barqawi, Hiba/0000-0002-8754-9172; Sartorius, Benn/0000-0001-6761-2325; Kandel, Himal/0000-0002-6745-6411; Hanif, Asif/0000-0002-2670-6402; Ntsekhe, Mpiko/0000-0002-0851-7675; Arja, Ahmed/0009-0007-4001-7041; Jayapal, Sathish kumar/0000-0002-9294-6287; Kamath, Ashwin/0000-0002-9609-0199; Garg, Tushar/0000-0002-5964-6354; YIGIT, Vahit/0000-0002-9805-8504; Khubchandani, Jagdish/0000-0002-9058-4278; Ross, Jennifer/0000-0001-5677-939X; Nayak, Biswa Prakash/0000-0002-5680-269X; Nnaji, Chukwudi/0000-0002-4132-1922; Rao, Dr. Chythra R/0000-0002-4016-2683; Rashid, Tarik A/0000-0002-8661-258X; Abolhassani, Hassan/0000-0002-4838-0407; Diaz, Daniel/0000-0003-2302-1982; Ibitoye, Segun Emmanuel/0000-0002-5074-816X; Montasir, Ahmed/0000-0001-5222-7088; Alvis-Guzman, Nelson/0000-0001-9458-864X; Sreeramareddy, Chandrashekhar/0000-0002-5693-7631; Carvalho, Felix/0000-0003-3858-3494; Mehta, Saurabh/0000-0003-3788-0665; Fernandes, Eduarda/0000-0001-6424-0976; Alahdab, Fares/0000-0001-5481-696X; Yi, Siyan/0000-0002-3045-5386; Hezam, Kamal/0000-0001-8551-8383; Zumla, Professor Sir Alimuddin/0000-0002-5111-5735; Arja Wolde, Asrat/0000-0002-5396-9937; Atre, Sachin/0000-0003-2148-465X; Tessema, Belay/0000-0003-1475-7357; Sathian, Brijesh/0000-0003-0851-4762; Anwer, Razique/0000-0002-9223-1951; Briko, Nikolay/0000-0002-6446-2744; , Pawar/0000-0002-6157-2462; Wubishet, Befikadu/0000-0001-9896-8893; Koulmane Laxminarayana, Sindhura Lakshmi/0000-0002-8925-0000; Prashant, Akila/0000-0003-0383-2366; Asemahagn, Mulusew Andualem/0000-0002-0345-9437; Eftekharzadeh, Sahar/0000-0002-9230-7696; Efa, Yohannes Tekalegn/0000-0001-6628-8180; Skryabin, Valentin/0000-0002-4942-8556; Khajuria, Himanshu/0000-0002-2438-0007; Dandona, Rakhi/0000-0003-0926-788X; DHAMNETIYA, DR DEEPAK/0000-0002-5634-3315; SHIN, JAE IL/0000-0003-2326-1820; Majeed, Azeem/0000-0002-2357-9858; Waheed, Yasir/0000-0002-5789-4215; Belgaumi, Uzma/0000-0002-0624-6269; Chu, Dinh Toi/0000-0002-4596-2022; mohammadi, mokhtar/0000-0002-1393-5062</t>
  </si>
  <si>
    <t>1473-3099</t>
  </si>
  <si>
    <t>1474-4457</t>
  </si>
  <si>
    <t>10.1016/S1473-3099(21)00449-7</t>
  </si>
  <si>
    <t>WOS:000762847000004</t>
  </si>
  <si>
    <t>Abbott, R; Abbott, TD; Acernese, F; Ackley, K; Adams, C; Adhikari, N; Adhikari, RX; Adya, VB; Affeldt, C; Agarwal, D; Agathos, M; Agatsuma, K; Aggarwal, N; Aguiar, OD; Aiello, L; Ain, A; Ajith, P; Akutsu, T; Albanesi, S; Allocca, A; Altin, PA; Amato, A; Anand, C; Anand, S; Ananyeva, A; Anderson, SB; Anderson, WG; Ando, M; Andrade, T; Andres, N; Angelova, S; Ansoldi, S; Antelis, JM; Antier, S; Appert, S; Arai, K; Arai, K; Arai, Y; Araki, S; Araya, A; Araya, MC; Areeda, JS; Arène, M; Aritomi, N; Arnaud, N; Aronson, SM; Arun, KG; Asada, H; Asali, Y; Ashton, G; Aso, Y; Assiduo, M; Aston, SM; Astone, P; Aubin, F; Austin, C; Babak, S; Badaracco, F; Bader, MKM; Badger, C; Bae, S; Bae, Y; Baer, AM; Bagnasco, S; Bai, Y; Bailes, M; Baiotti, L; Baird, J; Bajpai, R; Ball, M; Ballardin, G; Ballmer, SW; Balsamo, A; Baltus, G; Banagiri, S; Bankar, D; Barayoga, JC; Barbieri, C; Barish, BC; Barker, D; Barneo, P; Barone, F; Barr, B; Barsotti, L; Barsuglia, M; Barta, D; Bartlett, J; Barton, MA; Bartos, ; Bassiri, R; Basti, A; Bawaj, M; Bayley, JC; Baylor, AC; Bazzan, M; Bécsy, B; Bedakihale, VM; Bejger, M; Belahcene, ; Benedetto, ; Beniwal, D; Bennett, TF; Bentley, JD; BenYaala, M; Bergamin, F; Berger, BK; Bernuzzi, S; Bersanetti, D; Bertolini, A; Betzwieser, J; Beveridge, D; Bhandare, R; Bhardwaj, U; Bhattacharjee, D; Bhaumik, S; Bilenko, IA; Billingsley, G; Bini, S; Birney, R; Birnholtz, O; Biscans, S; Bischi, M; Biscoveanu, S; Bisht, A; Biswas, B; Bitossi, M; Bizouard, MA; Blackburn, JK; Blair, CD; Blair, DG; Blair, RM; Bobba, F; Bode, N; Boer, M; Bogaert, G; Boldrini, M; Bonavena, LD; Bondu, F; Bonilla, E; Bonnand, R; Booker, P; Boom, BA; Bork, R; Boschi, ; Bose, N; Bose, S; Bossilkov, ; Boudart, ; Bouffanais, Y; Bozzi, A; Bradaschia, C; Brady, PR; Bramley, A; Branch, A; Branchesi, M; Brau, JE; Breschi, M; Briant, T; Briggs, JH; Brillet, A; Brinkmann, M; Brockill, P; Brooks, AF; Brooks, J; Brown, DD; Brunett, S; Bruno, G; Bruntz, R; Bryant, J; Bulik, T; Bulten, HJ; Buonanno, A; Buscicchio, R; Buskulic, D; Buy, C; Byer, RL; Cadonati, L; Cagnoli, G; Cahillane, C; Bustillo, JC; Callaghan, JD; Callister, TA; Calloni, E; Cameron, J; Camp, JB; Canepa, M; Canevarolo, S; Cannavacciuolo, M; Cannon, KC; Cao, H; Cao, Z; Capocasa, E; Capote, E; Carapella, G; Carbognani, F; Carlin, JB; Carney, MF; Carpinelli, M; Carrillo, G; Carullo, G; Carver, TL; Diaz, JC; Casentini, C; Castaldi, G; Caudill, S; Cavaglià, M; Cavalier, F; Cavalieri, R; Ceasar, M; Cella, G; Cerdá-Durán, P; Cesarini, E; Chaibi, W; Chakravarti, K; Subrahmanya, SC; Champion, E; Chan, CH; Chan, C; Chan, CL; Chan, K; Chan, M; Chandra, K; Chanial, P; Chao, S; Charlton, P; Chase, EA; Chassande-Mottin, E; Chatterjee, C; Chatterjee, D; Chatterjee, D; Chaturvedi, M; Chaty, S; Chen, C; Chen, HY; Chen, J; Chen, K; Chen, X; Chen, YB; Chen, YR; Chen, Z; Cheng, H; Cheong, CK; Cheung, HY; Chia, HY; Chiadini, F; Chiang, CY; Chiarini, G; Chierici, R; Chincarini, A; Chiofalo, ML; Chiummo, A; Cho, G; Cho, HS; Choudhary, RK; Choudhary, S; Christensen, N; Chu, H; Chu, Q; Chu, YK; Chua, S; Chung, KW; Ciani, G; Ciecielag, P; Cifaldi, M; Ciobanu, AA; Ciolfi, R; Cipriano, F; Cirone, A; Clara, F; Clark, EN; Clark, JA; Clarke, L; Clearwater, P; Clesse, S; Cleva, F; Coccia, E; Codazzo, E; Cohadon, PF; Cohen, DE; Cohen, L; Colleoni, M; Collette, CG; Colombo, A; Colpi, M; Compton, CM; Constancio, M ; Conti, L; Cooper, SJ; Corban, P; Corbitt, TR; Cordero-Carrión, ; Corezzi, S; Corley, KR; Cornish, N; Corre, D; Corsi, A; Cortese, S; Costa, CA; Cotesta, R; Coughlin, MW; Coulon, JP; Countryman, ST; Cousins, B; Couvares, P; Coward, DM; Cowart, MJ; Coyne, DC; Coyne, R; Creighton, JDE; Creighton, TD; Criswell, AW; Croquette, M; Crowder, SG; Cudell, JR; Cullen, TJ; Cumming, A; Cummings, R; Cunningham, L; Cuoco, E; Dabadie, P; Dal Canton, T; Dall'Osso, S; Dálya, G; Dana, A; DaneshgaranBajastani, LM; Danilishin, S; Danzmann, K; Darsow-Fromm, C; Dasgupta, A; Datrier, LEH; Datta, S; Dattilo, ; Dave, ; Davier, M; Davies, GS; Davis, D; Davis, MC; Daw, EJ; Dean, R; DeBra, D; Deenadayalan, M; Degallaix, J; De Laurentis, M; Deléglise, S; Del Favero, ; De Lillo, F; De Lillo, N; Del Pozzo, W; DeMarchi, LM; De Matteis, F; Demos, N; Dent, T; Depasse, A; De Pietri, R; De Rosa, R; De Rossi, C; DeSalvo, R; De Simone, R; Dhurandhar, S; Díaz, MC; Diaz-Ortiz, M ; Didio, NA; Dietrich, T; Di Fiore, L; Di Fronzo, C; Di Giorgio, C; Di Giovanni, F; Di Giovanni, M; Di Girolamo, T; Di Lieto, A; Ding, B; Di Pace, S; Di Palma, ; Di Renzo, F; Divakarla, AK; Dmitriev, A; Doctor, Z; Donovan, F; Dooley, KL; Doravari, S; Dorrington, ; Drago, M; Driggers, JC; Drori, Y; Ducoin, JG; Dupej, P; Durante, O; Duverne, PA; Dwyer, SE; Eassa, C; Easter, PJ; Ebersold, M; Eckhardt, T; Eddolls, G; Edelman, B; Edo, TB; Edy, O; Effler, A; Eguchi, S; Eichholz, J; Eikenberry, SS; Eisenmann, M; Eisenstein, RA; Ejlli, A; Engelby, E; Enomoto, Y; Errico, L; Essick, RC; Estellés, H; Estevez, D; Etienne, Z; Etzel, T; Evans, M; Evans, TM; Ewing, BE; Fafone, ; Fair, H; Fairhurst, S; Farah, AM; Farinon, S; Farr, B; Farr, WM; Farrow, NW; Fauchon-Jones, EJ; Favaro, G; Favata, M; Fays, M; Fazio, M; Feicht, J; Fejer, MM; Fenyvesi, E; Ferguson, DL; Fernandez-Galiana, A; Ferrante, ; Ferreira, TA; Fidecaro, F; Figura, P; Fiori, ; Fishbach, M; Fisher, RP; Fittipaldi, R; Fiumara, ; Flaminio, R; Floden, E; Fong, H; Font, JA; Fornal, B; Forsyth, PWF; Franke, A; Frasca, S; Frasconi, F; Frederick, C; Freed, JP; Frei, Z; Freise, A; Frey, R; Fritschel, P; Frolov, VV; Fronzé, GG; Fujii, Y; Fujikawa, Y; Fukunaga, M; Fukushima, M; Fulda, P; Fyffe, M; Gabbard, HA; Gadre, BU; Gair, JR; Gais, J; Galaudage, S; Gamba, R; Ganapathy, D; Ganguly, A; Gao, D; Gaonkar, SG; Garaventa, B; García-Núñez, C; García-Quirós, C; Garufi, F; Gateley, B; Gaudio, S; Gayathri, ; Ge, GG; Gemme, G; Gennai, A; George, J; Gerberding, O; Gergely, L; Gewecke, P; Ghonge, S; Ghosh, A; Ghosh, A; Ghosh, S; Ghosh, S; Giacomazzo, B; Giacoppo, L; Giaime, JA; Giardina, KD; Gibson, DR; Gier, C; Giesler, M; Giri, P; Gissi, F; Glanzer, J; Gleckl, AE; Godwin, P; Goetz, E; Goetz, R; Gohlke, N; Goncharov, B; González, G; Gopakumar, A; Gosselin, M; Gouaty, R; Gould, DW; Grace, B; Grado, A; Granata, M; Granata, ; Grant, A; Gras, S; Grassia, P; Gray, C; Gray, R; Greco, G; Green, AC; Green, R; Gretarsson, AM; Gretarsson, EM; Griffith, D; Griffiths, W; Griggs, HL; Grignani, G; Grimaldi, A; Grimm, SJ; Grote, H; Grunewald, S; Gruning, P; Guerra, D; Guidi, GM; Guimaraes, AR; Guixé, G; Gulati, HK; Guo, HK; Guo, Y; Gupta, A; Gupta, A; Gupta, P; Gustafson, EK; Gustafson, R; Guzman, F; Ha, S; Haegel, L; Hagiwara, A; Haino, S; Halim, O; Hall, ED; Hamilton, EZ; Hammond, G; Han, WB; Haney, M; Hanks, J; Hanna, C; Hannam, MD; Hannuksela, O; Hansen, H; Hansen, TJ; Hanson, J; Harder, T; Hardwick, T; Haris, K; Harms, J; Harry, GM; Harry, IW; Hartwig, D; Hasegawa, K; Haskell, B; Hasskew, RK; Haster, CJ; Hattori, K; Haughian, K; Hayakawa, H; Hayama, K; Hayes, FJ; Healy, J; Heidmann, A; Heidt, A; Heintze, MC; Heinze, J; Heinzel, J; Heitmann, H; Hellman, F; Hello, P; Helmling-Cornell, AF; Hemming, G; Hendry, M; Heng, IS; Hennes, E; Hennig, J; Hennig, MH; Hernandez, AG; Vivanco, FH; Heurs, M; Hild, S; Hill, P; Himemoto, Y; Hines, AS; Hiranuma, Y; Hirata, N; Hirose, E; Ho, WCG; Hochheim, S; Hofman, D; Hohmann, JN; Holcomb, DG; Holland, NA; Hollows, IJ; Holmes, ZJ; Holt, K; Holz, DE; Hong, Z; Hopkins, P; Hough, J; Hourihane, S; Howell, EJ; Hoy, CG; Hoyland, D; Hreibi, A; Hsieh, BH; Hsu, Y; Huang, GZ; Huang, HY; Huang, P; Huang, YC; Huang, YJ; Huang, Y; Hübner, MT; Huddart, AD; Hughey, B; Hui, DCY; Hui, ; Husa, S; Huttner, SH; Huxford, R; Huynh-Dinh, T; Ide, S; Idzkowski, B; Iess, A; Ikenoue, B; Imam, S; Inayoshi, K; Ingram, C; Inoue, Y; Ioka, K; Isi, M; Isleif, K; Ito, K; Itoh, Y; Iyer, BR; Izumi, K; JaberianHamedan, ; Jacqmin, T; Jadhav, SJ; Jadhav, SP; James, AL; Jan, AZ; Jani, K; Janquart, J; Janssens, K; Janthalur, NN; Jaranowski, P; Jariwala, D; Jaume, R; Jenkins, AC; Jenner, K; Jeon, C; Jeunon, M; Jia, W; Jin, HB; Johns, GR; Jones, AW; Jones, D; Jones, JD; Jones, P; Jones, R; Jonker, RJG; Ju, L; Jung, P; Jung, K; Junker, J; Juste, ; Kaihotsu, K; Kajita, T; Kakizaki, M; Kalaghatgi, C; Kalogera, ; Kamai, B; Kamiizumi, M; Kanda, N; Kandhasamy, S; Kang, G; Kanner, JB; Kao, Y; Kapadia, SJ; Kapasi, DP; Karat, S; Karathanasis, C; Karki, S; Kashyap, R; Kasprzack, M; Kastaun, W; Katsanevas, S; Katsavounidis, E; Katzman, W; Kaur, T; Kawabe, K; Kawaguchi, K; Kawai, N; Kawasaki, T; Kéfélian, F; Keitel, D; Key, JS; Khadka, S; Khalili, FY; Khan, S; Khazanov, EA; Khetan, N; Khursheed, M; Kijbunchoo, N; Kim, C; Kim, JC; Kim, J; Kim, K; Kim, WS; Kim, YM; Kimball, C; Kimura, N; Kinley-Hanlon, M; Kirchhoff, R; Kissel, JS; Kita, N; Kitazawa, H; Kleybolte, L; Klimenko, S; Knee, AM; Knowles, TD; Knyazev, E; Koch, P; Koekoek, G; Kojima, Y; Kokeyama, K; Koley, S; Kolitsidou, P; Kolstein, M; Komori, K; Kondrashov, ; Kong, AKH; Kontos, A; Koper, N; Korobko, M; Kotake, K; Kovalam, M; Kozak, DB; Kozakai, C; Kozu, R; Kringel, ; Krishnendu, N; Królak, A; Kuehn, G; Kuei, F; Kuijer, P; Kumar, A; Kumar, P; Kumar, R; Kumar, R; Kume, J; Kuns, K; Kuo, C; Kuo, HS; Kuromiya, Y; Kuroyanagi, S; Kusayanagi, K; Kuwahara, S; Kwak, K; Lagabbe, P; Laghi, D; Lalande, E; Lam, TL; Lamberts, A; Landry, M; Lane, BB; Lang, RN; Lange, J; Lantz, B; La Rosa, ; Lartaux-Vollard, A; Lasky, PD; Laxen, M; Lazzarini, A; Lazzaro, C; Leaci, P; Leavey, S; Lecoeuche, YK; Lee, HK; Lee, HM; Lee, HW; Lee, J; Lee, K; Lee, R; Lehmann, J; Lemaître, A; Leonardi, M; Leroy, N; Letendre, N; Levesque, C; Levin, Y; Leviton, JN; Leyde, K; Li, AKY; Li, B; Li, J; Li, KL; Li, TGF; Li, X; Lin, CY; Lin, FK; Lin, FL; Lin, HL; Lin, LCC; Linde, F; Linker, SD; Linley, JN; Littenberg, TB; Liu, GC; Liu, J; Liu, K; Liu, X; Llamas, F; Llorens-Monteagudo, M; Lo, RKL; Lockwood, A; London, LT; Longo, A; Lopez, D; Portilla, ML; Lorenzini, M; Loriette, ; Lormand, M; Losurdo, G; Lott, TP; Lough, JD; Lousto, CO; Lovelace, G; Lucaccioni, JF; Lück, H; Lumaca, D; Lundgren, AP; Luo, LW; Lynam, JE; Macas, R; MacInnis, M; Macleod, DM; MacMillan, IAO; Macquet, A; Hernandez, IM; Magazzù, C; Magee, RM; Maggiore, R; Magnozzi, M; Mahesh, S; Majorana, E; Makarem, C; Maksimovic, ; Maliakal, S; Malik, A; Man, N; Mandic, ; Mangano, ; Mango, JL; Mansell, GL; Manske, M; Mantovani, M; Mapelli, M; Marchesoni, F; Marchio, M; Marion, F; Mark, Z; Márka, S; Márka, Z; Markakis, C; Markosyan, AS; Markowitz, A; Maros, E; Marquina, A; Marsat, S; Martelli, F; Martin, IW; Martin, RM; Martinez, M; Martinez, VA; Martinez, ; Martinovic, K; Martynov, D; Marx, EJ; Masalehdan, H; Mason, K; Massera, E; Masserot, A; Massinger, TJ; Masso-Reid, M; Mastrogiovanni, S; Matas, A; Mateu-Lucena, M; Matichard, F; Matiushechkina, M; Mavalvala, N; McCann, JJ; McCarthy, R; McClelland, DE; McClincy, PK; McCormick, S; McCuller, L; McGhee, G; McGuire, SC; McIsaac, C; McIver, J; McRae, T; McWilliams, ST; Meacher, D; Mehmet, M; Mehta, AK; Meijer, Q; Melatos, A; Melchor, DA; Mendell, G; Menendez-Vazquez, A; Menoni, CS; Mercer, RA; Mereni, L; Merfeld, K; Merilh, EL; Merritt, JD; Merzougui, M; Meshkov, S; Messenger, C; Messick, C; Meyers, PM; Meylahn, F; Mhaske, A; Miani, A; Miao, H; Michaloliakos, ; Michel, C; Michimura, Y; Middleton, H; Milano, L; Miller, AL; Miller, A; Miller, B; Millhouse, M; Mills, JC; Milotti, E; Minazzoli, O; Minenkov, Y; Mio, N; Mir, LM; Miravet-Tenés, M; Mishra, C; Mishra, T; Mistry, T; Mitra, S; Mitrofanov, VP; Mitselmakher, G; Mittleman, R; Miyakawa, O; Miyamoto, A; Miyazaki, Y; Miyo, K; Miyoki, S; Mo, G; Modafferi, LM; Moguel, E; Mogushi, K; Mohapatra, SRP; Mohite, SR; Molina, ; Molina-Ruiz, M; Mondin, M; Montani, M; Moore, CJ; Moragues, J; Moraru, D; Morawski, F; More, A; Moreno, C; Moreno, G; Mori, Y; Morisaki, S; Moriwaki, Y; Mours, B; Mow-Lowry, CM; Mozzon, S; Muciaccia, F; Mukherjee, A; Mukherjee, D; Mukherjee, S; Mukherjee, S; Mukherjee, S; Mukund, N; Mullavey, A; Munch, J; Muñiz, EA; Murray, PG; Musenich, R; Muusse, S; Nadji, SL; Nagano, K; Nagano, S; Nagar, A; Nakamura, K; Nakano, H; Nakano, M; Nakashima, R; Nakayama, Y; Napolano, ; Nardecchia, ; Narikawa, T; Naticchioni, L; Nayak, B; Nayak, RK; Negishi, R; Neil, BF; Neilson, J; Nelemans, G; Nelson, TJN; Nery, M; Neubauer, P; Neunzert, A; Ng, KY; Ng, SWS; Nguyen, C; Nguyen, P; Nguyen, T; Quynh, LN; Ni, WT; Nichols, SA; Nishizawa, A; Nissanke, S; Nitoglia, E; Nocera, F; Norman, M; North, C; Nozaki, S; Nuttall, LK; Oberling, J; Obuchi, Y; Oelker, E; Ogaki, W; Oganesyan, G; Oh, JJ; Oh, K; Oh, SH; Ohashi, M; Ohishi, N; Ohkawa, M; Ohme, F; Ohta, H; Okada, MA; Okutani, Y; Okutomi, K; Olivetto, C; Oohara, K; Ooi, C; Oram, R; Ormiston, RG; Ormsby, ND; Ortega, LF; Oshino, S; Ossokine, S; Osthelder, C; Otabe, S; Ottaway, DJ; Overmier, H; Pace, AE; Pagano, G; Page, MA; Pagliaroli, G; Pai, A; Pai, SA; Palamos, JR; Palashov, O; Palomba, C; Pan, H; Pan, K; Panda, PK; Pang, H; Pang, PTH; Pankow, C; Pannarale, F; Pant, BC; Panther, FH; Paoletti, F; Paoli, A; Paolone, A; Parisi, A; Park, H; Park, J; Parker, W; Pascucci, D; Pasqualetti, A; Passaquieti, R; Passuello, D; Patel, M; Pathak, M; Patricelli, B; Patron, AS; Patrone, S; Paul, S; Payne, E; Pedraza, M; Pegoraro, M; Pele, A; Arellano, FEP; Penn, S; Perego, A; Pereira, A; Pereira, T; Perez, CJ; Périgois, C; Perkins, CC; Perreca, A; Perriès, S; Petermann, J; Petterson, D; Pfeiffer, HP; Pham, KA; Phukon, KS; Piccinni, OJ; Pichot, M; Piendibene, M; Piergiovanni, F; Pierini, L; Pierro, ; Pillant, G; Pillas, M; Pilo, F; Pinard, L; Pinto, IM; Pinto, M; Piotrzkowski, K; Pirello, M; Pitkin, MD; Placidi, E; Planas, L; Plastino, W; Pluchar, C; Poggiani, R; Polini, E; Pong, DYT; Ponrathnam, S; Popolizio, P; Porter, EK; Poulton, R; Powell, J; Pracchia, M; Pradier, T; Prajapati, AK; Prasai, K; Prasanna, R; Pratten, G; Principe, M; Prodi, GA; Prokhorov, L; Prosposito, P; Prudenzi, L; Puecher, A; Punturo, M; Puosi, F; Puppo, P; Pürrer, M; Qi, H; Quetschke, ; Quitzow-James, R; Raab, FJ; Raaijmakers, G; Radkins, H; Radulesco, N; Raffai, P; Rail, SX; Raja, S; Rajan, C; Ramirez, KE; Ramirez, TD; Ramos-Buades, A; Rana, J; Rapagnani, P; Rapol, UD; Ray, A; Raymond, ; Raza, N; Razzano, M; Read, J; Rees, LA; Regimbau, T; Rei, L; Reid, S; Reid, SW; Reitze, DH; Relton, P; Renzini, A; Rettegno, P; Rezac, M; Ricci, F; Richards, D; Richardson, JW; Richardson, L; Riemenschneider, G; Riles, K; Rinaldi, S; Rink, K; Rizzo, M; Robertson, NA; Robie, R; Robinet, F; Rocchi, A; Rodriguez, S; Rolland, L; Rollins, JG; Romanelli, M; Romano, R; Romel, CL; Romero-Rodríguez, A; Romero-Shaw, IM; Romie, JH; Ronchini, S; Rosa, L; Rose, CA; Ross, MP; Rowan, S; Rowlinson, SJ; Roy, S; Roy, S; Roy, S; Rozza, D; Ruggi, P; Ryan, K; Sachdev, S; Sadecki, T; Sadiq, J; Sago, N; Saito, S; Saito, Y; Sakai, K; Sakai, Y; Sakellariadou, M; Sakuno, Y; Salafia, OS; Salconi, L; Saleem, M; Salemi, F; Samajdar, A; Sanchez, EJ; Sanchez, JH; Sanchez, LE; Sanchis-Gual, N; Sanders, JR; Sanuy, A; Saravanan, TR; Sarin, N; Sassolas, B; Satari, H; Sato, S; Sato, T; Sauter, O; Savage, RL; Sawada, T; Sawant, D; Sawant, HL; Sayah, S; Schaetzl, D; Scheel, M; Scheuer, J; Schiworski, M; Schmidt, P; Schmidt, S; Schnabel, R; Schneewind, M; Schofield, RMS; Schönbeck, A; Schulte, BW; Schutz, BF; Schwartz, E; Scott, J; Scott, SM; Seglar-Arroyo, M; Sekiguchi, T; Sekiguchi, Y; Sellers, D; Sengupta, AS; Sentenac, D; Seo, EG; Sequino, ; Sergeev, A; Setyawati, Y; Shaffer, T; Shahriar, MS; Shams, B; Shao, L; Sharma, A; Sharma, P; Shawhan, P; Shcheblanov, NS; Shibagaki, S; Shikauchi, M; Shimizu, R; Shimoda, T; Shimode, K; Shinkai, H; Shishido, T; Shoda, A; Shoemaker, DH; Shoemaker, DM; ShyamSundar, S; Sieniawska, M; Sigg, D; Singer, LP; Singh, D; Singh, N; Singha, A; Sintes, AM; Sipala, ; Skliris, ; Slagmolen, BJJ; Slaven-Blair, TJ; Smetana, J; Smith, JR; Smith, RJE; Soldateschi, J; Somala, SN; Somiya, K; Son, EJ; Soni, K; Soni, S; Sordini, ; Sorrentino, F; Sorrentino, N; Sotani, H; Soulard, R; Souradeep, T; Sowell, E; Spagnuolo, ; Spencer, AP; Spera, M; Srinivasan, R; Srivastava, AK; Srivastava, ; Staats, K; Stachie, C; Steer, DA; Steinlechner, J; Steinlechner, S; Stops, DJ; Stover, M; Strain, KA; Strang, LC; Stratta, G; Strunk, A; Sturani, R; Stuver, AL; Sudhagar, S; Sudhir, ; Sugimoto, R; Suh, HG; Summerscales, TZ; Sun, H; Sun, L; Sunil, S; Sur, A; Suresh, J; Sutton, PJ; Suzuki, T; Suzuki, T; Swinkels, BL; Szewczyk, P; Tacca, M; Tagoshi, H; Tait, SC; Takahashi, H; Takahashi, R; Takamori, A; Takano, S; Takeda, H; Takeda, M; Talbot, CJ; Talbot, C; Tanaka, H; Tanaka, K; Tanaka, K; Tanaka, T; Tanaka, T; Tanasijczuk, AJ; Tanioka, S; Tanner, DB; Tao, D; Tao, L; San Martín, ENT; Taranto, C; Tasson, JD; Telada, S; Tenorio, R; Terhune, JE; Terkowski, L; Thirugnanasambandam, MP; Thomas, M; Thomas, P; Thompson, JE; Thondapu, SR; Thorne, KA; Thrane, E; Tiwari, S; Tiwari, S; Tiwari, ; Toivonen, AM; Toland, K; Tolley, AE; Tomaru, T; Tomigami, Y; Tomura, T; Tonelli, M; Torres-Forné, A; Torrie, C; Melo, ITE; Töyrä, D; Trapananti, A; Travasso, F; Traylor, G; Trevor, M; Tringali, MC; Tripathee, A; Troiano, L; Trovato, A; Trozzo, L; Trudeau, RJ; Tsai, DS; Tsai, D; Tsang, KW; Tsang, T; Tsao, JS; Tse, M; Tso, R; Tsubono, K; Tsuchida, S; Tsukada, L; Tsuna, D; Tsutsui, T; Tsuzuki, T; Turbang, K; Turconi, M; Tuyenbayev, D; Ubhi, AS; Uchikata, N; Uchiyama, T; Udall, RP; Ueda, A; Uehara, T; Ueno, K; Ueshima, G; Unnikrishnan, CS; Uraguchi, F; Urban, AL; Ushiba, T; Utina, A; Vahlbruch, H; Vajente, G; Vajpeyi, A; Valdes, G; Valentini, M; Valsan, V; van Bakel, N; van Beuzekom, M; van den Brand, JFJ; Van den Broeck, C; Vander-Hyde, DC; van der Schaaf, L; van Heijningen, J; Vanosky, J; van Putten, MHPM; van Remortel, N; Vardaro, M; Vargas, AF; Varma, V; Vasúth, M; Vecchio, A; Vedovato, G; Veitch, J; Veitch, PJ; Venneberg, J; Venugopalan, G; Verkindt, D; Verma, P; Verma, Y; Veske, D; Vetrano, F; Viceré, A; Vidyant, S; Viets, AD; Vijaykumar, A; Villa-Ortega, V; Vinet, JY; Virtuoso, A; Vitale, S; Vo, T; Vocca, H; von Reis, ERG; von Wrangel, JSA; Vorvick, C; Vyatchanin, SP; Wade, LE; Wade, M; Wagner, KJ; Walet, RC; Walker, M; Wallace, GS; Wallace, L; Walsh, S; Wang, J; Wang, JZ; Wang, WH; Ward, RL; Warner, J; Was, M; Washimi, T; Washington, NY; Watchi, J; Weaver, B; Webster, SA; Weinert, M; Weinstein, AJ; Weiss, R; Weller, CM; Wellmann, F; Wen, L; Wessels, P; Wette, K; Whelan, JT; White, DD; Whiting, BF; Whittle, C; Wilken, D; Williams, D; Williams, MJ; Williamson, AR; Willis, JL; Willke, B; Wilson, DJ; Winkler, W; Wipf, CC; Wlodarczyk, T; Woan, G; Woehler, J; Wofford, JK; Wong, ICF; Wu, C; Wu, DS; Wu, H; Wu, S; Wysocki, DM; Xiao, L; Xu, WR; Yamada, T; Yamamoto, H; Yamamoto, K; Yamamoto, K; Yamamoto, T; Yamashita, K; Yamazaki, R; Yang, FW; Yang, L; Yang, Y; Yang, Y; Yang, Z; Yap, MJ; Yeeles, DW; Yelikar, AB; Ying, M; Yokogawa, K; Yokoyama, J; Yokozawa, T; Yoo, J; Yoshioka, T; Yu, H; Yu, H; Yuzurihara, H; Zanolin, M; Zeidler, S; Zelenova, T; Zendri, JP; Zevin, M; Zhan, M; Zhang, H; Zhang, J; Zhang, L; Zhang, T; Zhang, Y; Zhao, C; Zhao, G; Zhao, Y; Zhao, Y; Zhou, R; Zhou, Z; Zhu, XJ; Zhu, ZH; Zucker, ME; Zweizig, J; Antonopoulou, D; Arzoumanian, Z; Basu, A; Bogdanov, S; Cognard, ; Crowter, K; Enoto, T; Espinoza, CM; Flynn, CML; Fonseca, E; Good, DC; Guillemot, L; Guillot, S; Harding, AK; Keith, MJ; Kuiper, L; Lower, ME; Lyne, AG; McKee, JW; Meyers, BW; Ng, C; Palfreyman, JL; Shannon, RM; Shaw, B; Stairs, IH; Stappers, BW; Tan, CM; Theureau, G; Weltevrede, P</t>
  </si>
  <si>
    <t>Abbott, R.; Abbott, T. D.; Acernese, F.; Ackley, K.; Adams, C.; Adhikari, N.; Adhikari, R. X.; Adya, V. B.; Affeldt, C.; Agarwal, D.; Agathos, M.; Agatsuma, K.; Aggarwal, N.; Aguiar, O. D.; Aiello, L.; Ain, A.; Ajith, P.; Akutsu, T.; Albanesi, S.; Allocca, A.; Altin, P. A.; Amato, A.; Anand, C.; Anand, S.; Ananyeva, A.; Anderson, S. B.; Anderson, W. G.; Ando, M.; Andrade, T.; Andres, N.; Angelova, S., V; Ansoldi, S.; Antelis, J. M.; Antier, S.; Appert, S.; Arai, Koji; Arai, Koya; Arai, Y.; Araki, S.; Araya, A.; Araya, M. C.; Areeda, J. S.; Arene, M.; Aritomi, N.; Arnaud, N.; Aronson, S. M.; Arun, K. G.; Asada, H.; Asali, Y.; Ashton, G.; Aso, Y.; Assiduo, M.; Aston, S. M.; Astone, P.; Aubin, F.; Austin, C.; Babak, S.; Badaracco, F.; Bader, M. K. M.; Badger, C.; Bae, S.; Bae, Y.; Baer, A. M.; Bagnasco, S.; Bai, Y.; Bailes, M.; Baiotti, L.; Baird, J.; Bajpai, R.; Ball, M.; Ballardin, G.; Ballmer, S. W.; Balsamo, A.; Baltus, G.; Banagiri, S.; Bankar, D.; Barayoga, J. C.; Barbieri, C.; Barish, B. C.; Barker, D.; Barneo, P.; Barone, F.; Barr, B.; Barsotti, L.; Barsuglia, M.; Barta, D.; Bartlett, J.; Barton, M. A.; Bartos, I; Bassiri, R.; Basti, A.; Bawaj, M.; Bayley, J. C.; Baylor, A. C.; Bazzan, M.; Becsy, B.; Bedakihale, V. M.; Bejger, M.; Belahcene, I; Benedetto, V; Beniwal, D.; Bennett, T. F.; Bentley, J. D.; BenYaala, M.; Bergamin, F.; Berger, B. K.; Bernuzzi, S.; Bersanetti, D.; Bertolini, A.; Betzwieser, J.; Beveridge, D.; Bhandare, R.; Bhardwaj, U.; Bhattacharjee, D.; Bhaumik, S.; Bilenko, I. A.; Billingsley, G.; Bini, S.; Birney, R.; Birnholtz, O.; Biscans, S.; Bischi, M.; Biscoveanu, S.; Bisht, A.; Biswas, B.; Bitossi, M.; Bizouard, M-A; Blackburn, J. K.; Blair, C. D.; Blair, D. G.; Blair, R. M.; Bobba, F.; Bode, N.; Boer, M.; Bogaert, G.; Boldrini, M.; Bonavena, L. D.; Bondu, F.; Bonilla, E.; Bonnand, R.; Booker, P.; Boom, B. A.; Bork, R.; Boschi, V; Bose, N.; Bose, S.; Bossilkov, V; Boudart, V; Bouffanais, Y.; Bozzi, A.; Bradaschia, C.; Brady, P. R.; Bramley, A.; Branch, A.; Branchesi, M.; Brau, J. E.; Breschi, M.; Briant, T.; Briggs, J. H.; Brillet, A.; Brinkmann, M.; Brockill, P.; Brooks, A. F.; Brooks, J.; Brown, D. D.; Brunett, S.; Bruno, G.; Bruntz, R.; Bryant, J.; Bulik, T.; Bulten, H. J.; Buonanno, A.; Buscicchio, R.; Buskulic, D.; Buy, C.; Byer, R. L.; Cadonati, L.; Cagnoli, G.; Cahillane, C.; Calderon Bustillo, J.; Callaghan, J. D.; Callister, T. A.; Calloni, E.; Cameron, J.; Camp, J. B.; Canepa, M.; Canevarolo, S.; Cannavacciuolo, M.; Cannon, K. C.; Cao, H.; Cao, Z.; Capocasa, E.; Capote, E.; Carapella, G.; Carbognani, F.; Carlin, J. B.; Carney, M. F.; Carpinelli, M.; Carrillo, G.; Carullo, G.; Carver, T. L.; Diaz, J. Casanueva; Casentini, C.; Castaldi, G.; Caudill, S.; Cavaglia, M.; Cavalier, F.; Cavalieri, R.; Ceasar, M.; Cella, G.; Cerda-Duran, P.; Cesarini, E.; Chaibi, W.; Chakravarti, K.; Subrahmanya, S. Chalathadka; Champion, E.; Chan, C-H; Chan, C.; Chan, C. L.; Chan, K.; Chan, M.; Chandra, K.; Chanial, P.; Chao, S.; Charlton, P.; Chase, E. A.; Chassande-Mottin, E.; Chatterjee, C.; Chatterjee, Debarati; Chatterjee, Deep; Chaturvedi, M.; Chaty, S.; Chen, C.; Chen, H. Y.; Chen, J.; Chen, K.; Chen, X.; Chen, Y-B; Chen, Y-R; Chen, Z.; Cheng, H.; Cheong, C. K.; Cheung, H. Y.; Chia, H. Y.; Chiadini, F.; Chiang, C-Y; Chiarini, G.; Chierici, R.; Chincarini, A.; Chiofalo, M. L.; Chiummo, A.; Cho, G.; Cho, H. S.; Choudhary, R. K.; Choudhary, S.; Christensen, N.; Chu, H.; Chu, Q.; Chu, Y-K; Chua, S.; Chung, K. W.; Ciani, G.; Ciecielag, P.; Cifaldi, M.; Ciobanu, A. A.; Ciolfi, R.; Cipriano, F.; Cirone, A.; Clara, F.; Clark, E. N.; Clark, J. A.; Clarke, L.; Clearwater, P.; Clesse, S.; Cleva, F.; Coccia, E.; Codazzo, E.; Cohadon, P-F; Cohen, D. E.; Cohen, L.; Colleoni, M.; Collette, C. G.; Colombo, A.; Colpi, M.; Compton, C. M.; Constancio, M., Jr.; Conti, L.; Cooper, S. J.; Corban, P.; Corbitt, T. R.; Cordero-Carrion, I; Corezzi, S.; Corley, K. R.; Cornish, N.; Corre, D.; Corsi, A.; Cortese, S.; Costa, C. A.; Cotesta, R.; Coughlin, M. W.; Coulon, J-P; Countryman, S. T.; Cousins, B.; Couvares, P.; Coward, D. M.; Cowart, M. J.; Coyne, D. C.; Coyne, R.; Creighton, J. D. E.; Creighton, T. D.; Criswell, A. W.; Croquette, M.; Crowder, S. G.; Cudell, J. R.; Cullen, T. J.; Cumming, A.; Cummings, R.; Cunningham, L.; Cuoco, E.; Dabadie, P.; Dal Canton, T.; Dall'Osso, S.; Dalya, G.; Dana, A.; DaneshgaranBajastani, L. M.; Danilishin, S.; Danzmann, K.; Darsow-Fromm, C.; Dasgupta, A.; Datrier, L. E. H.; Datta, S.; Dattilo, V; Dave, I; Davier, M.; Davies, G. S.; Davis, D.; Davis, M. C.; Daw, E. J.; Dean, R.; DeBra, D.; Deenadayalan, M.; Degallaix, J.; De Laurentis, M.; Deleglise, S.; Del Favero, V; De Lillo, F.; De Lillo, N.; Del Pozzo, W.; DeMarchi, L. M.; De Matteis, F.; Demos, N.; Dent, T.; Depasse, A.; De Pietri, R.; De Rosa, R.; De Rossi, C.; DeSalvo, R.; De Simone, R.; Dhurandhar, S.; Diaz, M. C.; Diaz-Ortiz, M., Jr.; Didio, N. A.; Dietrich, T.; Di Fiore, L.; Di Fronzo, C.; Di Giorgio, C.; Di Giovanni, F.; Di Giovanni, M.; Di Girolamo, T.; Di Lieto, A.; Ding, B.; Di Pace, S.; Di Palma, I; Di Renzo, F.; Divakarla, A. K.; Dmitriev, A.; Doctor, Z.; Donovan, F.; Dooley, K. L.; Doravari, S.; Dorrington, I; Drago, M.; Driggers, J. C.; Drori, Y.; Ducoin, J-G; Dupej, P.; Durante, O.; Duverne, P-A; Dwyer, S. E.; Eassa, C.; Easter, P. J.; Ebersold, M.; Eckhardt, T.; Eddolls, G.; Edelman, B.; Edo, T. B.; Edy, O.; Effler, A.; Eguchi, S.; Eichholz, J.; Eikenberry, S. S.; Eisenmann, M.; Eisenstein, R. A.; Ejlli, A.; Engelby, E.; Enomoto, Y.; Errico, L.; Essick, R. C.; Estelles, H.; Estevez, D.; Etienne, Z.; Etzel, T.; Evans, M.; Evans, T. M.; Ewing, B. E.; Fafone, V; Fair, H.; Fairhurst, S.; Farah, A. M.; Farinon, S.; Farr, B.; Farr, W. M.; Farrow, N. W.; Fauchon-Jones, E. J.; Favaro, G.; Favata, M.; Fays, M.; Fazio, M.; Feicht, J.; Fejer, M. M.; Fenyvesi, E.; Ferguson, D. L.; Fernandez-Galiana, A.; Ferrante, I; Ferreira, T. A.; Fidecaro, F.; Figura, P.; Fiori, I; Fishbach, M.; Fisher, R. P.; Fittipaldi, R.; Fiumara, V; Flaminio, R.; Floden, E.; Fong, H.; Font, J. A.; Fornal, B.; Forsyth, P. W. F.; Franke, A.; Frasca, S.; Frasconi, F.; Frederick, C.; Freed, J. P.; Frei, Z.; Freise, A.; Frey, R.; Fritschel, P.; Frolov, V. V.; Fronze, G. G.; Fujii, Y.; Fujikawa, Y.; Fukunaga, M.; Fukushima, M.; Fulda, P.; Fyffe, M.; Gabbard, H. A.; Gadre, B. U.; Gair, J. R.; Gais, J.; Galaudage, S.; Gamba, R.; Ganapathy, D.; Ganguly, A.; Gao, D.; Gaonkar, S. G.; Garaventa, B.; Garcia-Nunez, C.; Garcia-Quiros, C.; Garufi, F.; Gateley, B.; Gaudio, S.; Gayathri, V; Ge, G-G; Gemme, G.; Gennai, A.; George, J.; Gerberding, O.; Gergely, L.; Gewecke, P.; Ghonge, S.; Ghosh, Abhirup; Ghosh, Archisman; Ghosh, Shaon; Ghosh, Shrobana; Giacomazzo, B.; Giacoppo, L.; Giaime, J. A.; Giardina, K. D.; Gibson, D. R.; Gier, C.; Giesler, M.; Giri, P.; Gissi, F.; Glanzer, J.; Gleckl, A. E.; Godwin, P.; Goetz, E.; Goetz, R.; Gohlke, N.; Goncharov, B.; Gonzalez, G.; Gopakumar, A.; Gosselin, M.; Gouaty, R.; Gould, D. W.; Grace, B.; Grado, A.; Granata, M.; Granata, V; Grant, A.; Gras, S.; Grassia, P.; Gray, C.; Gray, R.; Greco, G.; Green, A. C.; Green, R.; Gretarsson, A. M.; Gretarsson, E. M.; Griffith, D.; Griffiths, W.; Griggs, H. L.; Grignani, G.; Grimaldi, A.; Grimm, S. J.; Grote, H.; Grunewald, S.; Gruning, P.; Guerra, D.; Guidi, G. M.; Guimaraes, A. R.; Guixe, G.; Gulati, H. K.; Guo, H-K; Guo, Y.; Gupta, Anchal; Gupta, Anuradha; Gupta, P.; Gustafson, E. K.; Gustafson, R.; Guzman, F.; Ha, S.; Haegel, L.; Hagiwara, A.; Haino, S.; Halim, O.; Hall, E. D.; Hamilton, E. Z.; Hammond, G.; Han, W-B; Haney, M.; Hanks, J.; Hanna, C.; Hannam, M. D.; Hannuksela, O.; Hansen, H.; Hansen, T. J.; Hanson, J.; Harder, T.; Hardwick, T.; Haris, K.; Harms, J.; Harry, G. M.; Harry, I. W.; Hartwig, D.; Hasegawa, K.; Haskell, B.; Hasskew, R. K.; Haster, C-J; Hattori, K.; Haughian, K.; Hayakawa, H.; Hayama, K.; Hayes, F. J.; Healy, J.; Heidmann, A.; Heidt, A.; Heintze, M. C.; Heinze, J.; Heinzel, J.; Heitmann, H.; Hellman, F.; Hello, P.; Helmling-Cornell, A. F.; Hemming, G.; Hendry, M.; Heng, I. S.; Hennes, E.; Hennig, J.; Hennig, M. H.; Hernandez, A. G.; Vivanco, F. Hernandez; Heurs, M.; Hild, S.; Hill, P.; Himemoto, Y.; Hines, A. S.; Hiranuma, Y.; Hirata, N.; Hirose, E.; Ho, W. C. G.; Hochheim, S.; Hofman, D.; Hohmann, J. N.; Holcomb, D. G.; Holland, N. A.; Hollows, I. J.; Holmes, Z. J.; Holt, K.; Holz, D. E.; Hong, Z.; Hopkins, P.; Hough, J.; Hourihane, S.; Howell, E. J.; Hoy, C. G.; Hoyland, D.; Hreibi, A.; Hsieh, B-H; Hsu, Y.; Huang, G-Z; Huang, H-Y; Huang, P.; Huang, Y-C; Huang, Y-J; Huang, Y.; Hubner, M. T.; Huddart, A. D.; Hughey, B.; Hui, D. C. Y.; Hui, V; Husa, S.; Huttner, S. H.; Huxford, R.; Huynh-Dinh, T.; Ide, S.; Idzkowski, B.; Iess, A.; Ikenoue, B.; Imam, S.; Inayoshi, K.; Ingram, C.; Inoue, Y.; Ioka, K.; Isi, M.; Isleif, K.; Ito, K.; Itoh, Y.; Iyer, B. R.; Izumi, K.; JaberianHamedan, V; Jacqmin, T.; Jadhav, S. J.; Jadhav, S. P.; James, A. L.; Jan, A. Z.; Jani, K.; Janquart, J.; Janssens, K.; Janthalur, N. N.; Jaranowski, P.; Jariwala, D.; Jaume, R.; Jenkins, A. C.; Jenner, K.; Jeon, C.; Jeunon, M.; Jia, W.; Jin, H-B; Johns, G. R.; Jones, A. W.; Jones, D., I; Jones, J. D.; Jones, P.; Jones, R.; Jonker, R. J. G.; Ju, L.; Jung, P.; Jung, K.; Junker, J.; Juste, V; Kaihotsu, K.; Kajita, T.; Kakizaki, M.; Kalaghatgi, C., V; Kalogera, V; Kamai, B.; Kamiizumi, M.; Kanda, N.; Kandhasamy, S.; Kang, G.; Kanner, J. B.; Kao, Y.; Kapadia, S. J.; Kapasi, D. P.; Karat, S.; Karathanasis, C.; Karki, S.; Kashyap, R.; Kasprzack, M.; Kastaun, W.; Katsanevas, S.; Katsavounidis, E.; Katzman, W.; Kaur, T.; Kawabe, K.; Kawaguchi, K.; Kawai, N.; Kawasaki, T.; Kefelian, F.; Keitel, D.; Key, J. S.; Khadka, S.; Khalili, F. Y.; Khan, S.; Khazanov, E. A.; Khetan, N.; Khursheed, M.; Kijbunchoo, N.; Kim, C.; Kim, J. C.; Kim, J.; Kim, K.; Kim, W. S.; Kim, Y-M; Kimball, C.; Kimura, N.; Kinley-Hanlon, M.; Kirchhoff, R.; Kissel, J. S.; Kita, N.; Kitazawa, H.; Kleybolte, L.; Klimenko, S.; Knee, A. M.; Knowles, T. D.; Knyazev, E.; Koch, P.; Koekoek, G.; Kojima, Y.; Kokeyama, K.; Koley, S.; Kolitsidou, P.; Kolstein, M.; Komori, K.; Kondrashov, V; Kong, A. K. H.; Kontos, A.; Koper, N.; Korobko, M.; Kotake, K.; Kovalam, M.; Kozak, D. B.; Kozakai, C.; Kozu, R.; Kringel, V; Krishnendu, N., V; Krolak, A.; Kuehn, G.; Kuei, F.; Kuijer, P.; Kumar, A.; Kumar, P.; Kumar, Rahul; Kumar, Rakesh; Kume, J.; Kuns, K.; Kuo, C.; Kuo, H-S; Kuromiya, Y.; Kuroyanagi, S.; Kusayanagi, K.; Kuwahara, S.; Kwak, K.; Lagabbe, P.; Laghi, D.; Lalande, E.; Lam, T. L.; Lamberts, A.; Landry, M.; Lane, B. B.; Lang, R. N.; Lange, J.; Lantz, B.; La Rosa, I; Lartaux-Vollard, A.; Lasky, P. D.; Laxen, M.; Lazzarini, A.; Lazzaro, C.; Leaci, P.; Leavey, S.; Lecoeuche, Y. K.; Lee, H. K.; Lee, H. M.; Lee, H. W.; Lee, J.; Lee, K.; Lee, R.; Lehmann, J.; Lemaitre, A.; Leonardi, M.; Leroy, N.; Letendre, N.; Levesque, C.; Levin, Y.; Leviton, J. N.; Leyde, K.; Li, A. K. Y.; Li, B.; Li, J.; Li, K. L.; Li, T. G. F.; Li, X.; Lin, C-Y; Lin, F-K; Lin, F-L; Lin, H. L.; Lin, L. C-C; Linde, F.; Linker, S. D.; Linley, J. N.; Littenberg, T. B.; Liu, G. C.; Liu, J.; Liu, K.; Liu, X.; Llamas, F.; Llorens-Monteagudo, M.; Lo, R. K. L.; Lockwood, A.; London, L. T.; Longo, A.; Lopez, D.; Portilla, M. Lopez; Lorenzini, M.; Loriette, V; Lormand, M.; Losurdo, G.; Lott, T. P.; Lough, J. D.; Lousto, C. O.; Lovelace, G.; Lucaccioni, J. F.; Luck, H.; Lumaca, D.; Lundgren, A. P.; Luo, L-W; Lynam, J. E.; Macas, R.; MacInnis, M.; Macleod, D. M.; MacMillan, I. A. O.; Macquet, A.; Hernandez, I. Magana; Magazzu, C.; Magee, R. M.; Maggiore, R.; Magnozzi, M.; Mahesh, S.; Majorana, E.; Makarem, C.; Maksimovic, I; Maliakal, S.; Malik, A.; Man, N.; Mandic, V; Mangano, V; Mango, J. L.; Mansell, G. L.; Manske, M.; Mantovani, M.; Mapelli, M.; Marchesoni, F.; Marchio, M.; Marion, F.; Mark, Z.; Marka, S.; Marka, Z.; Markakis, C.; Markosyan, A. S.; Markowitz, A.; Maros, E.; Marquina, A.; Marsat, S.; Martelli, F.; Martin, I. W.; Martin, R. M.; Martinez, M.; Martinez, V. A.; Martinez, V; Martinovic, K.; Martynov, D., V; Marx, E. J.; Masalehdan, H.; Mason, K.; Massera, E.; Masserot, A.; Massinger, T. J.; Masso-Reid, M.; Mastrogiovanni, S.; Matas, A.; Mateu-Lucena, M.; Matichard, F.; Matiushechkina, M.; Mavalvala, N.; McCann, J. J.; McCarthy, R.; McClelland, D. E.; McClincy, P. K.; McCormick, S.; McCuller, L.; McGhee, G., I; McGuire, S. C.; McIsaac, C.; McIver, J.; McRae, T.; McWilliams, S. T.; Meacher, D.; Mehmet, M.; Mehta, A. K.; Meijer, Q.; Melatos, A.; Melchor, D. A.; Mendell, G.; Menendez-Vazquez, A.; Menoni, C. S.; Mercer, R. A.; Mereni, L.; Merfeld, K.; Merilh, E. L.; Merritt, J. D.; Merzougui, M.; Meshkov, S.; Messenger, C.; Messick, C.; Meyers, P. M.; Meylahn, F.; Mhaske, A.; Miani, A.; Miao, H.; Michaloliakos, I; Michel, C.; Michimura, Y.; Middleton, H.; Milano, L.; Miller, A. L.; Miller, A.; Miller, B.; Millhouse, M.; Mills, J. C.; Milotti, E.; Minazzoli, O.; Minenkov, Y.; Mio, N.; Mir, Ll M.; Miravet-Tenes, M.; Mishra, C.; Mishra, T.; Mistry, T.; Mitra, S.; Mitrofanov, V. P.; Mitselmakher, G.; Mittleman, R.; Miyakawa, O.; Miyamoto, A.; Miyazaki, Y.; Miyo, K.; Miyoki, S.; Mo, Geoffrey; Modafferi, L. M.; Moguel, E.; Mogushi, K.; Mohapatra, S. R. P.; Mohite, S. R.; Molina, I; Molina-Ruiz, M.; Mondin, M.; Montani, M.; Moore, C. J.; Moragues, J.; Moraru, D.; Morawski, F.; More, A.; Moreno, C.; Moreno, G.; Mori, Y.; Morisaki, S.; Moriwaki, Y.; Mours, B.; Mow-Lowry, C. M.; Mozzon, S.; Muciaccia, F.; Mukherjee, Arunava; Mukherjee, D.; Mukherjee, Soma; Mukherjee, Subroto; Mukherjee, Suvodip; Mukund, N.; Mullavey, A.; Munch, J.; Muniz, E. A.; Murray, P. G.; Musenich, R.; Muusse, S.; Nadji, S. L.; Nagano, K.; Nagano, S.; Nagar, A.; Nakamura, K.; Nakano, H.; Nakano, M.; Nakashima, R.; Nakayama, Y.; Napolano, V; Nardecchia, I; Narikawa, T.; Naticchioni, L.; Nayak, B.; Nayak, R. K.; Negishi, R.; Neil, B. F.; Neilson, J.; Nelemans, G.; Nelson, T. J. N.; Nery, M.; Neubauer, P.; Neunzert, A.; Ng, K. Y.; Ng, S. W. S.; Nguyen, C.; Nguyen, P.; Nguyen, T.; Quynh, L. Nguyen; Ni, W-T; Nichols, S. A.; Nishizawa, A.; Nissanke, S.; Nitoglia, E.; Nocera, F.; Norman, M.; North, C.; Nozaki, S.; Nuttall, L. K.; Oberling, J.; Obuchi, Y.; Oelker, E.; Ogaki, W.; Oganesyan, G.; Oh, J. J.; Oh, K.; Oh, S. H.; Ohashi, M.; Ohishi, N.; Ohkawa, M.; Ohme, F.; Ohta, H.; Okada, M. A.; Okutani, Y.; Okutomi, K.; Olivetto, C.; Oohara, K.; Ooi, C.; Oram, R.; Ormiston, R. G.; Ormsby, N. D.; Ortega, L. F.; Oshino, S.; Ossokine, S.; Osthelder, C.; Otabe, S.; Ottaway, D. J.; Overmier, H.; Pace, A. E.; Pagano, G.; Page, M. A.; Pagliaroli, G.; Pai, A.; Pai, S. A.; Palamos, J. R.; Palashov, O.; Palomba, C.; Pan, H.; Pan, K.; Panda, P. K.; Pang, H.; Pang, P. T. H.; Pankow, C.; Pannarale, F.; Pant, B. C.; Panther, F. H.; Paoletti, F.; Paoli, A.; Paolone, A.; Parisi, A.; Park, H.; Park, J.; Parker, W.; Pascucci, D.; Pasqualetti, A.; Passaquieti, R.; Passuello, D.; Patel, M.; Pathak, M.; Patricelli, B.; Patron, A. S.; Patrone, S.; Paul, S.; Payne, E.; Pedraza, M.; Pegoraro, M.; Pele, A.; Arellano, F. E. Pena; Penn, S.; Perego, A.; Pereira, A.; Pereira, T.; Perez, C. J.; Perigois, C.; Perkins, C. C.; Perreca, A.; Perries, S.; Petermann, J.; Petterson, D.; Pfeiffer, H. P.; Pham, K. A.; Phukon, K. S.; Piccinni, O. J.; Pichot, M.; Piendibene, M.; Piergiovanni, F.; Pierini, L.; Pierro, V; Pillant, G.; Pillas, M.; Pilo, F.; Pinard, L.; Pinto, I. M.; Pinto, M.; Piotrzkowski, K.; Pirello, M.; Pitkin, M. D.; Placidi, E.; Planas, L.; Plastino, W.; Pluchar, C.; Poggiani, R.; Polini, E.; Pong, D. Y. T.; Ponrathnam, S.; Popolizio, P.; Porter, E. K.; Poulton, R.; Powell, J.; Pracchia, M.; Pradier, T.; Prajapati, A. K.; Prasai, K.; Prasanna, R.; Pratten, G.; Principe, M.; Prodi, G. A.; Prokhorov, L.; Prosposito, P.; Prudenzi, L.; Puecher, A.; Punturo, M.; Puosi, F.; Puppo, P.; Purrer, M.; Qi, H.; Quetschke, V; Quitzow-James, R.; Raab, F. J.; Raaijmakers, G.; Radkins, H.; Radulesco, N.; Raffai, P.; Rail, S. X.; Raja, S.; Rajan, C.; Ramirez, K. E.; Ramirez, T. D.; Ramos-Buades, A.; Rana, J.; Rapagnani, P.; Rapol, U. D.; Ray, A.; Raymond, V; Raza, N.; Razzano, M.; Read, J.; Rees, L. A.; Regimbau, T.; Rei, L.; Reid, S.; Reid, S. W.; Reitze, D. H.; Relton, P.; Renzini, A.; Rettegno, P.; Rezac, M.; Ricci, F.; Richards, D.; Richardson, J. W.; Richardson, L.; Riemenschneider, G.; Riles, K.; Rinaldi, S.; Rink, K.; Rizzo, M.; Robertson, N. A.; Robie, R.; Robinet, F.; Rocchi, A.; Rodriguez, S.; Rolland, L.; Rollins, J. G.; Romanelli, M.; Romano, R.; Romel, C. L.; Romero-Rodriguez, A.; Romero-Shaw, I. M.; Romie, J. H.; Ronchini, S.; Rosa, L.; Rose, C. A.; Ross, M. P.; Rowan, S.; Rowlinson, S. J.; Roy, S.; Roy, Santosh; Roy, Soumen; Rozza, D.; Ruggi, P.; Ryan, K.; Sachdev, S.; Sadecki, T.; Sadiq, J.; Sago, N.; Saito, S.; Saito, Y.; Sakai, K.; Sakai, Y.; Sakellariadou, M.; Sakuno, Y.; Salafia, O. S.; Salconi, L.; Saleem, M.; Salemi, F.; Samajdar, A.; Sanchez, E. J.; Sanchez, J. H.; Sanchez, L. E.; Sanchis-Gual, N.; Sanders, J. R.; Sanuy, A.; Saravanan, T. R.; Sarin, N.; Sassolas, B.; Satari, H.; Sato, S.; Sato, T.; Sauter, O.; Savage, R. L.; Sawada, T.; Sawant, D.; Sawant, H. L.; Sayah, S.; Schaetzl, D.; Scheel, M.; Scheuer, J.; Schiworski, M.; Schmidt, P.; Schmidt, S.; Schnabel, R.; Schneewind, M.; Schofield, R. M. S.; Schonbeck, A.; Schulte, B. W.; Schutz, B. F.; Schwartz, E.; Scott, J.; Scott, S. M.; Seglar-Arroyo, M.; Sekiguchi, T.; Sekiguchi, Y.; Sellers, D.; Sengupta, A. S.; Sentenac, D.; Seo, E. G.; Sequino, V; Sergeev, A.; Setyawati, Y.; Shaffer, T.; Shahriar, M. S.; Shams, B.; Shao, L.; Sharma, A.; Sharma, P.; Shawhan, P.; Shcheblanov, N. S.; Shibagaki, S.; Shikauchi, M.; Shimizu, R.; Shimoda, T.; Shimode, K.; Shinkai, H.; Shishido, T.; Shoda, A.; Shoemaker, D. H.; Shoemaker, D. M.; ShyamSundar, S.; Sieniawska, M.; Sigg, D.; Singer, L. P.; Singh, D.; Singh, N.; Singha, A.; Sintes, A. M.; Sipala, V; Skliris, V; Slagmolen, B. J. J.; Slaven-Blair, T. J.; Smetana, J.; Smith, J. R.; Smith, R. J. E.; Soldateschi, J.; Somala, S. N.; Somiya, K.; Son, E. J.; Soni, K.; Soni, S.; Sordini, V; Sorrentino, F.; Sorrentino, N.; Sotani, H.; Soulard, R.; Souradeep, T.; Sowell, E.; Spagnuolo, V; Spencer, A. P.; Spera, M.; Srinivasan, R.; Srivastava, A. K.; Srivastava, V; Staats, K.; Stachie, C.; Steer, D. A.; Steinlechner, J.; Steinlechner, S.; Stops, D. J.; Stover, M.; Strain, K. A.; Strang, L. C.; Stratta, G.; Strunk, A.; Sturani, R.; Stuver, A. L.; Sudhagar, S.; Sudhir, V; Sugimoto, R.; Suh, H. G.; Summerscales, T. Z.; Sun, H.; Sun, L.; Sunil, S.; Sur, A.; Suresh, J.; Sutton, P. J.; Suzuki, Takamasa; Suzuki, Toshikazu; Swinkels, B. L.; Szewczyk, P.; Tacca, M.; Tagoshi, H.; Tait, S. C.; Takahashi, H.; Takahashi, R.; Takamori, A.; Takano, S.; Takeda, H.; Takeda, M.; Talbot, C. J.; Talbot, C.; Tanaka, H.; Tanaka, Kazuyuki; Tanaka, Kenta; Tanaka, Taiki; Tanaka, Takahiro; Tanasijczuk, A. J.; Tanioka, S.; Tanner, D. B.; Tao, D.; Tao, L.; San Martin, E. N. Tapia; Taranto, C.; Tasson, J. D.; Telada, S.; Tenorio, R.; Terhune, J. E.; Terkowski, L.; Thirugnanasambandam, M. P.; Thomas, M.; Thomas, P.; Thompson, J. E.; Thondapu, S. R.; Thorne, K. A.; Thrane, E.; Tiwari, Shubhanshu; Tiwari, Srishti; Tiwari, V; Toivonen, A. M.; Toland, K.; Tolley, A. E.; Tomaru, T.; Tomigami, Y.; Tomura, T.; Tonelli, M.; Torres-Forne, A.; Torrie, C., I; Melo, I. Tosta E.; Toyra, D.; Trapananti, A.; Travasso, F.; Traylor, G.; Trevor, M.; Tringali, M. C.; Tripathee, A.; Troiano, L.; Trovato, A.; Trozzo, L.; Trudeau, R. J.; Tsai, D. S.; Tsai, D.; Tsang, K. W.; Tsang, T.; Tsao, J-S; Tse, M.; Tso, R.; Tsubono, K.; Tsuchida, S.; Tsukada, L.; Tsuna, D.; Tsutsui, T.; Tsuzuki, T.; Turbang, K.; Turconi, M.; Tuyenbayev, D.; Ubhi, A. S.; Uchikata, N.; Uchiyama, T.; Udall, R. P.; Ueda, A.; Uehara, T.; Ueno, K.; Ueshima, G.; Unnikrishnan, C. S.; Uraguchi, F.; Urban, A. L.; Ushiba, T.; Utina, A.; Vahlbruch, H.; Vajente, G.; Vajpeyi, A.; Valdes, G.; Valentini, M.; Valsan, V.; van Bakel, N.; van Beuzekom, M.; van den Brand, J. F. J.; Van den Broeck, C.; Vander-Hyde, D. C.; van der Schaaf, L.; van Heijningen, J., V; Vanosky, J.; van Putten, M. H. P. M.; van Remortel, N.; Vardaro, M.; Vargas, A. F.; Varma, V.; Vasuth, M.; Vecchio, A.; Vedovato, G.; Veitch, J.; Veitch, P. J.; Venneberg, J.; Venugopalan, G.; Verkindt, D.; Verma, P.; Verma, Y.; Veske, D.; Vetrano, F.; Vicere, A.; Vidyant, S.; Viets, A. D.; Vijaykumar, A.; Villa-Ortega, V.; Vinet, J-Y; Virtuoso, A.; Vitale, S.; Vo, T.; Vocca, H.; von Reis, E. R. G.; von Wrangel, J. S. A.; Vorvick, C.; Vyatchanin, S. P.; Wade, L. E.; Wade, M.; Wagner, K. J.; Walet, R. C.; Walker, M.; Wallace, G. S.; Wallace, L.; Walsh, S.; Wang, J.; Wang, J. Z.; Wang, W. H.; Ward, R. L.; Warner, J.; Was, M.; Washimi, T.; Washington, N. Y.; Watchi, J.; Weaver, B.; Webster, S. A.; Weinert, M.; Weinstein, A. J.; Weiss, R.; Weller, C. M.; Wellmann, F.; Wen, L.; Wessels, P.; Wette, K.; Whelan, J. T.; White, D. D.; Whiting, B. F.; Whittle, C.; Wilken, D.; Williams, D.; Williams, M. J.; Williamson, A. R.; Willis, J. L.; Willke, B.; Wilson, D. J.; Winkler, W.; Wipf, C. C.; Wlodarczyk, T.; Woan, G.; Woehler, J.; Wofford, J. K.; Wong, I. C. F.; Wu, C.; Wu, D. S.; Wu, H.; Wu, S.; Wysocki, D. M.; Xiao, L.; Xu, W-R; Yamada, T.; Yamamoto, H.; Yamamoto, Kazuhiro; Yamamoto, Kohei; Yamamoto, T.; Yamashita, K.; Yamazaki, R.; Yang, F. W.; Yang, L.; Yang, Y.; Yang, Yang; Yang, Z.; Yap, M. J.; Yeeles, D. W.; Yelikar, A. B.; Ying, M.; Yokogawa, K.; Yokoyama, J.; Yokozawa, T.; Yoo, J.; Yoshioka, T.; Yu, Hang; Yu, Haocun; Yuzurihara, H.; Zanolin, M.; Zeidler, S.; Zelenova, T.; Zendri, J-P; Zevin, M.; Zhan, M.; Zhang, H.; Zhang, J.; Zhang, L.; Zhang, T.; Zhang, Y.; Zhao, C.; Zhao, G.; Zhao, Y.; Zhao, Yue; Zhou, R.; Zhou, Z.; Zhu, X. J.; Zhu, Z-H; Zucker, M. E.; Zweizig, J.; Antonopoulou, D.; Arzoumanian, Z.; Basu, A.; Bogdanov, S.; Cognard, I; Crowter, K.; Enoto, T.; Espinoza, C. M.; Flynn, C. M. L.; Fonseca, E.; Good, D. C.; Guillemot, L.; Guillot, S.; Harding, A. K.; Keith, M. J.; Kuiper, L.; Lower, M. E.; Lyne, A. G.; McKee, J. W.; Meyers, B. W.; Ng, C.; Palfreyman, J. L.; Shannon, R. M.; Shaw, B.; Stairs, I. H.; Stappers, B. W.; Tan, C. M.; Theureau, G.; Weltevrede, P.</t>
  </si>
  <si>
    <t>LIGO Sci Collaboration; LIGO Sci Collaboration; Virgo Collaboration; Kagra Collaboration</t>
  </si>
  <si>
    <t>Narrowband Searches for Continuous and Long-duration Transient Gravitational Waves from Known Pulsars in the LIGO-Virgo Third Observing Run</t>
  </si>
  <si>
    <t>Isolated neutron stars that are asymmetric with respect to their spin axis are possible sources of detectable continuous gravitational waves. This paper presents a fully coherent search for such signals from eighteen pulsars in data from LIGO and Virgo's third observing run (O3). For known pulsars, efficient and sensitive matched-filter searches can be carried out if one assumes the gravitational radiation is phase-locked to the electromagnetic emission. In the search presented here, we relax this assumption and allow both the frequency and the time derivative of the frequency of the gravitational waves to vary in a small range around those inferred from electromagnetic observations. We find no evidence for continuous gravitational waves, and set upper limits on the strain amplitude for each target. These limits are more constraining for seven of the targets than the spin-down limit defined by ascribing all rotational energy loss to gravitational radiation. In an additional search, we look in O3 data for long-duration (hours-months) transient gravitational waves in the aftermath of pulsar glitches for six targets with a total of nine glitches. We report two marginal outliers from this search, but find no clear evidence for such emission either. The resulting duration-dependent strain upper limits do not surpass indirect energy constraints for any of these targets.</t>
  </si>
  <si>
    <t>l, j/HNC-5728-2023; Palashov, Oleg/G-3917-2017; Boldrini, Mattia/KFQ-0977-2024; Dehua, Wang/AFL-4468-2022; Bersanetti, Diego/N-4382-2018; Pang, Peter Tsun Ho/JCD-5182-2023; Pascucci, Daniela/AGR-5711-2022; Sanuy, Andreu/N-7477-2018; Miravet-Tenés, Miquel/LNQ-2413-2024; Haskell, Brynmor/AAX-1002-2021; Barr, Bryan/G-3348-2019; Paolone, Annalisa/P-1630-2019; Ohira, Yutaka/AAO-3546-2020; Shao, Lijing/GRO-6046-2022; Ciani, Giacomo/G-1036-2011; McKee, James/HNR-0770-2023; Yang, Chi/JRY-4671-2023; Korobko, Mikhail/ABD-8704-2020; TRAPANANTI, Angela/A-3621-2008; Grace, Benjamin/LRU-1735-2024; Chang, Ching-Chun/JAN-6210-2023; dattilo, vincenzino/N-9732-2015; Samajdar, Anuradha/AAA-3165-2022; Kim, Jin-Soo/AAF-3359-2019; Bertolini, Alessandro/ABG-4851-2021; Knyazev, Eugene/HSH-6039-2023; Slagmolen, Bram/AAY-1638-2020; Panther, Fiona/AAL-8635-2021; ZHANG, JIANWEN/JMQ-9363-2023; Helmling-Cornell, Adrian/AAG-8500-2020; Guerra, Davide/HJO-8267-2023; Boschi, Valerio/AAP-2034-2020; Polini, Eleonora/JFT-0612-2023; Ushiba, Takafumi/JVO-0091-2024; TIWARI, VINOD/L-9595-2019; Peng, Cheng-Zhi/JLM-8019-2023; Antelis, Javier/W-3381-2019; Singh, Divya/IUM-7944-2023; de Varona, Omar/AAA-6282-2020; Chua, Sheon/MBV-7162-2025; Cerretani, Giovanni/Z-1755-2019; Khazanov, Efim/GQA-7518-2022; Buscicchio, Riccardo/AFT-1650-2022; Brau, James/ACH-1573-2022; Cella, Giancarlo/A-9946-2012; Mishra, Tanmaya/ABH-3647-2020; Bawaj, Mateusz/AAC-2018-2021; Bécsy, Bence/GQR-0924-2022; Lin, Chunyu/AAI-5185-2021; Zhao, Chunnong/AAE-7836-2021; Bondu, Francois/A-2071-2012; Cerda-Duran, Pablo/D-7857-2015; Colleoni, Marta/JTV-4188-2023; Grimaldi, Andrea/KGM-2637-2024; Ganguly, Apratim/IQV-9557-2023; Mitrofanov, Valery/D-8501-2012; Kowalska-Leszczyńska, Izabela/IQT-3280-2023; Nardecchia, Ilaria/LPP-8431-2024; Wette, Karl/H-9897-2019; Phukon, khun Sang/AAY-4869-2021; Bejger, Magdalena/W-7298-2018; Arai, Koji/I-7506-2017; Iess, Alberto/GWD-0844-2022; Iyer, Bala/E-2894-2012; Salafia, Om Sharan/F-2108-2018; Giacomazzo, Bruno/I-8088-2012; Ejlli, Aldo/GLR-6626-2022; Farinon, Stefania/AAG-9056-2019; Jinhang, Zou/JCO-6023-2023; Tsang, Terrence/LDG-8014-2024; Mukherjee, Suvodip/AAX-8173-2020; Takeda, Hiroki/GYI-8690-2022; PRAJAPATI, ANUJ/ABG-4254-2020; Díaz Vélez, Juan Carlos/AAD-5211-2022; Van Remortel, Nick/AGQ-7045-2022; Mir, Lluïsa-Maria/G-7212-2015; Mukund, Nikhil/AAT-2916-2020; Mateu-Lucena, Maite/AAE-1655-2021; Ju, Li/C-2623-2013; Bulik, Tomasz/AAJ-6742-2020; Aso, Yoichi/R-9361-2019; Tenorio, Rodrigo/AAE-5308-2021; Ashton, Gregory/AFH-8657-2022; Bogaert, Gilles/GZA-8066-2022; Toland, Karl/KPA-3552-2024; Bhalerao, Varun/AAC-1467-2022; Frey, Raymond/E-2830-2016; Somiya, Kentaro/ABE-2215-2020; Baiotti, Luca/N-1791-2019; Lopez Portilla, Melissa/JAO-3438-2023; Grado, Aniello/AAA-1535-2019; Errico, Luciano/MIO-0834-2025; Estevez, Dimitri/AAR-7321-2021; Holz, Daniel/HGD-5989-2022; Weinstein, Amanda/D-1445-2019; Inayoshi, Kohei/AAW-2098-2020; Sudhir, Vivishek/E-5943-2011; Mapelli, Michela/ABA-4708-2020; Renzini, Arianna/IAO-1836-2023; Goetz, Evan/HHS-2153-2022; Barneo, Pablo/MSX-5174-2025; Gonzalez, Gabriela/AFK-8583-2022; Clark, James/JPK-8317-2023; Sun, Ling/AAC-6908-2022; Allocca, Annalisa/ABC-7105-2022; Isi, Maximiliano/LTD-3973-2024; Wang, Yifan/KDO-8319-2024; Chen, Chao-Hsien/AAE-8065-2022; Chincarini, Andrea/J-9998-2018; Gibson, David/HTQ-3690-2023; Lemaître, Anaël/F-1972-2010; PRADIER, Thierry/P-6052-2017; Drago, Marco/E-7134-2013; Sorrentino, Fiodor/X-8942-2019; Vardaro, Marco/AAE-9292-2022; Lasky, Paul/A-2660-2009; Prasai, Kiran/W-1170-2018; Li, Xuan/K-6034-2017; Garufi, Fabio/JAO-0368-2023; Sturani, Riccardo/B-3899-2014; Dupletsa, Ulyana/KHW-9504-2024; zhou, zhou/HCH-1084-2022; Hild, Stefan/A-3864-2010; Koley, Sudipta/C-3623-2017; Nayak, Bidyut/ABE-3379-2021; Gould, Daniel/MDS-4756-2025; Pannarale, Francesco/J-8852-2019; Martin, Iain/V-1198-2018; Tsuzuki, Toshihiro/Q-5761-2019; Torrie, Calum/HSF-6951-2023; zhou, zhou/HPE-9525-2023; Miao, Han/JHT-4396-2023; Buades, Antoni/R-4149-2019; Weltevrede, Patrick/AEL-9032-2022; Williams, David/A-1180-2007; Pilo, Federico/AAB-8998-2021; Gerberding, Oliver/I-1408-2014; Wysocki, Daniel/ABA-7659-2020; Sun, He-Jun/AAG-9589-2021; Middleton, Hannah/HLW-6398-2023; Kita, Naoki/LRU-7966-2024; Schutz, Bernard/B-1504-2010; Cavaglià, Matteo/HTM-1162-2023; Cirone, Alessio/IXN-4251-2023; Prokhorov, Leonid/I-2953-2012; Chen, Yu-Hung/GLU-7365-2022; Molina-Ruiz, Manel/O-1545-2015; Quirós, Cecilio/R-3567-2019; Somala, Surendra Nadh/Y-8896-2019; Blair, Carl/AGP-2697-2022; Chiofalo, Marilu/IUQ-1421-2023; Hammond, Giles/B-7861-2009; Husa, Sascha/AAB-6992-2019; Christensen, Nelson/AAH-9184-2019; Li, Jinjing/HMP-6683-2023; chen, jia/JLM-4733-2023; M, Saleem/B-9137-2013; Yu, Haocun/ABA-5429-2020; Ng, Yeung/E-9877-2010; Barta, Dániel/AAK-5867-2021; Szczepanczyk, Marek/GVR-7951-2022; Addesso, Paolo/F-4928-2012; Constancio, Marcio/M-7955-2017; Bagnasco, Stefano/J-4324-2012; Gergely, László/JCO-2832-2023; Vahlbruch, Henning/HSD-4655-2023; DI GIORGIO, CINZIA/AAC-2549-2021; yu, hui/KDO-3946-2024; Vyatchanin, Sergey/J-2238-2012; Amengual, Rafel/AAE-1693-2021; Rinaldi, Stefano/Q-2107-2016; Lee, Dean/KFS-1456-2024; Carannante, Giuseppe/HKM-6639-2023; Keith, Michael/AAH-2606-2019; Guo, Huaike/AAY-7856-2020; Krolak, Andrzej/V-3384-2017; Pratten, Geraint/AAX-3476-2020; del Pulgar Mancebo, Carlos/ABA-6137-2020; Placidi, Ernesto/AAA-6291-2020; Pierro, Vincenzo/AHD-9078-2022; Lin, Fan-Li/GLR-9406-2022; Van Den Broeck, Chris/R-7871-2018; Brooks, Allen/P-3560-2016; Sorrentino, Fiodor/M-6662-2016; Oh, Sang-Hwan/KIL-5347-2024; Sassolas, Benoit/HZL-0679-2023; Yu, Hang/ACX-1207-2022; Shoemaker, David/JKI-5322-2023; 陈, 祖成/ABG-2281-2020; Zangrando, Lisa/AGG-8712-2022; Pierini, Lorenzo/ABB-2115-2021; Torres-Forné, Alejandro/AEC-6922-2022; Vicere', Andrea/J-1742-2012; Williams, Michael/AAX-2117-2021; kumar, rahul/GZG-2171-2022; Miani, Andrea/MCY-5033-2025; Carullo, Gregorio/GVT-2377-2022; Chaty, Sylvain/B-8671-2016; Fittipaldi, Rosalba/G-7752-2012; Setyawati, Yoshinta/GLT-1191-2022; Aggarwal, Nancy/M-7203-2015; Patricelli, Barbara/ITV-6524-2023; Masalehdan, Hossein/I-2407-2012; Poggiani, Rosa/P-8801-2018; Menoni, Carmen/A-3775-2008; Leyde, Konstantin/ABG-7295-2020; Srivastava, Vipul/AEE-8410-2022; K, Haris/LCD-9637-2024; Andrade, Tomas/ABA-9296-2020; Monzani, Simone/D-6328-2017; Steinlechner, Jessica/AAJ-9932-2021; Sintes, Alicia/AAF-4791-2019; Farr, Will/KCY-9315-2024; Shimoda, Tomofumi/AAQ-6497-2020; Macleod, Duncan/JCP-4720-2023; De Simone, Roberta/AAD-7322-2022; Muciaccia, Federico/HJP-8974-2023; DI PALMA, IRENE/R-1916-2018; García Núñez, Carlos/I-8453-2015; Oganesyan, Gor/AAX-8143-2020; Farr, Ben/ABH-6964-2020; Bassiri, Riccardo/JPK-2189-2023; Wang, Weiyang/GZM-6620-2022; Hellman, Frances/D-3605-2019; CHASSANDE-MOTTIN, Eric/ABC-2478-2020; Chiummo, Antonino/AAZ-5233-2021; Willke, Benno/U-8992-2017; Miller, Andrew/HGU-6434-2022; Fidecaro, Francesco/H-9581-2017; Rowlinson, Antonia/M-7054-2018; Palfreyman, Jim/AAY-2239-2020; Pedraza Morales, Maria Isabel/ABC-7289-2021; Khalili, Farit/D-8113-2012; Raaijmakers, Geert/AAE-2102-2022; Pagliaroli, Giulia/AAA-7637-2020; Enoto, Teruaki/GQH-0674-2022; Brown, Duncan/U-2343-2019; Danilishin, Stefan/K-7262-2012; Granata, Veronica/AIB-9682-2022; Kéfélian, Fabien/AAN-6987-2020; Marka, Szabolcs/ABE-7493-2021; Smith, Joshua/HGV-2348-2022; Pinto, Innocenzo/L-3520-2016; Ott, Christian/G-2651-2011; Zhang, Jue/LDG-0594-2024; Bartos, Ivo/L-7159-2013; Spera, Mario/AAF-3870-2019; Poole, Michael/K-6707-2013; Acernese, Fausto/E-4989-2010; Ottaway, David/J-5908-2015; London, Lionel/AAY-6855-2020; Fejer, Martin/AAH-3883-2020; Puppo, Paola/J-4250-2012; Pannarale, Francesco/HTP-7790-2023; Lovelace, Geoffrey/LUY-6382-2024; Fazio, Mariana/HKO-3030-2023; Agatsuma, Kazuhiro/LOR-7307-2024; Chen, Chun-Hao/L-9537-2019; De Matteis, Fabio/ABG-1923-2020; Wang, James/JAD-0675-2023; Aiello, Lorenzo/GYV-4616-2022; Costa, César/V-9846-2019; Dmitriev, Artemiy/AAE-8933-2021; Kashyap, Rahul/AEM-3686-2022; Bilenko, Igor/JVZ-0655-2024; Mantovani, Matteo/D-2099-2016; Strigin, Sergey/I-8337-2012; zhan, Mingsheng/CAF-1115-2022; Ain, Anirban/HJA-2249-2022; Shahriar, Selim/B-7270-2009; Molina, Iñigo/K-1244-2017; Ciolfi, Riccardo/HMD-3019-2023; Zhang, Xuchao/P-9009-2015; Morawski, Filip/AHB-7548-2022; Qi, Hong/AAC-5169-2019; Rodríguez, Alba/ABE-2654-2020; Pitkin, Matthew/I-3802-2013; Srivastava, Anmesh Kumar/AAG-4161-2020; Vivekananthaswamy, gayathri/GLQ-5448-2022; Oshino, Satoru/HPG-1141-2023; Marchesoni, Fabio/A-1920-2008; Meyers, Bradley/J-3769-2019; Tao, Liu/MXK-5075-2025; Michimura, Yuta/O-4524-2014; Leonardi, Matteo/AAT-5237-2020; Ferrante, Isidoro/F-1017-2012; Bazzan, Marco/AAC-7894-2019; Nishizawa, Atsushi/A-4376-2011; Cabourn-Davies, Gareth/AAA-9744-2020; Davier, Michel/HTM-1466-2023; Veske, Doğa/JZS-8735-2024; Travasso, Flavio/J-9595-2016; Vocca, Helios/J-9579-2016; Valdes, Guillermo/AAC-5915-2019; Khan, Sebastian/AAV-6506-2020; Nakano, Hiroyuki/ABD-4784-2021; Dálya, Gergely/GLU-6345-2022; Fenyvesi, Edit/B-9076-2018; Trozzo, Lucia/AFP-2366-2022; SEGLAR-ARROYO, MONICA/AAB-4366-2021; Vocca, Helios/F-1444-2010; Piotrzkowski, Krzysztof/IST-1292-2023; Zevin, Michael/ABG-1443-2020; Macas, Ronaldas/N-7283-2018; Blair, Ryan/ABH-4559-2020; Zhang, Teng/Y-3281-2018; Kumar, Dr. Manoj/JTU-8722-2023; Rocchi, Alessio/O-9499-2015; Ricci, Fulvio/JZD-2100-2024; Lueck, Harald/F-7100-2011; Estrella, Héctor/R-3484-2019; Hamilton, Eleanor/MCY-7005-2025; Canepa, Maurizio/E-3658-2012; Conti, Livia/F-8565-2013; ANDO, MASAKI/G-4989-2014; Rapagnani, Piero/J-4783-2012; Shannon, Ryan/AAW-8522-2020; Babak, Stanislav/H-9689-2017; Gemme, Gianluca/C-7233-2008; Sanchis-Gual, Nicolas/HKW-6083-2023; Cordero-Carrión, Isabel/L-6124-2015; Williamson, Anne/M-3282-2015; Villa-Ortega, Verónica/ABG-4912-2021; qin, shuanglin/O-9202-2018; Gammaitoni, Luca/B-5375-2009; Cohen, Lior/GWZ-4291-2022; Magnozzi, Michele/AAF-2081-2019; Maksimovic, Ivan/KSM-1013-2024; carapella, giovanni/A-4416-2008; Adya, Vaishali/V-9014-2019; Frei, Zsolt/O-9538-2019; Kasprzack, Marie/JGM-1831-2023; Husa, Sascha/S-1787-2017; Favata, Marc/AAA-6755-2022; Raab, Frederick/E-2222-2011; Birney, Imogen/S-7320-2019; Font Roda, Jose Antonio/K-5198-2014; Ferreira, Tabata Aira/GQA-5414-2022; Slagmolen, Bram J. J./L-2876-2015; Mangano, Valentina/AAC-9281-2020; Plastino, Wolfango/AAS-7305-2021; McClelland, David/E-6765-2010; Panther, Fiona Helen/A-1682-2019; Cuoco, Elena/I-8789-2012; Howell, Eric/H-5072-2014; tiwari, shubhanshu/R-8546-2016; Dmitriev, Artemiy/J-2847-2012; Williams, Daniel/ABA-6070-2022; Kuroyanagi, Sachiko/B-3843-2017; Isleif, Katharina-Sophie/M-7891-2018; Paolone, Annalisa/B-7701-2015; Tacca, Matteo/J-1599-2015; Chiadini, Francesco/E-1812-2015; Leonardi, Matteo/G-9694-2015; Garufi, Fabio/K-3263-2015; Prodi, Giovanni Andrea/B-4398-2010; Reitze, David/IXD-3777-2023; Gergely, Laszlo Arpad/X-7693-2018; Garcia Nunez, Carlos/K-8614-2018; Mastrogiovanni, Simone/AAG-9846-2021; Mapelli, Michela/B-1157-2013; Losurdo, Giovanni/K-1241-2014; Keitel, David/AAA-1579-2019; Lee, Ray-Kuang/C-1039-2009; Fornal, Bartosz/M-8633-2016; Piccinni, Ornella Juliana/M-6238-2018; DI PACE, SIBILLA/Y-9521-2019; SHCHEBLANOV, Nikita/D-3713-2011; Placidi, Ernesto/D-8476-2016; McRae, Terry/J-5986-2015; Espinoza, Cristobal/U-4428-2017; Harms, Jan/J-4359-2012; VARDARO, MARCO/C-1745-2017; Nelemans, Gijs/D-3177-2012; De Pietri, Roberto/E-5336-2012; Marquina, Antonio/F-8755-2012; Salemi, Francesco/F-6988-2014; DALL'OSSO, Simone/HKM-3700-2023; Mow-Lowry, Conor/F-8843-2015; Nakamura, Kouji/H-6364-2013; Barone, Fabrizio/HMD-7711-2023; Sigg, Daniel/I-4308-2015; Lazzaro, Claudia/L-2986-2016; Passaquieti, Roberto/U-3083-2017; Costa, Cesar/G-7588-2012; Naticchioni, Luca/AAB-7775-2019; Stuver, Amber/L-9985-2018; Rettegno, Piero/KBR-2491-2024</t>
  </si>
  <si>
    <t>Raab, Frederick/0009-0005-5872-9819; Birney, Imogen/0000-0002-4766-0757; Markakis, Charalampos/0000-0002-5524-0410; Morisaki, Soichiro/0000-0002-8445-6747; Pierro, Vincenzo/0000-0002-6020-5521; Wette, Karl/0000-0002-4394-7179; Marka, Szabolcs/0000-0002-3957-1324; Font Roda, Jose Antonio/0000-0001-6650-2634; Ho, Wynn/0000-0002-6089-6836; Ferreira, Tabata Aira/0000-0002-1166-2005; Slagmolen, Bram J. J./0000-0002-2471-3828; Shoemaker, Deirdre/0000-0002-9899-6357; Eddolls, Graeme/0000-0002-5895-4523; Farr, Ben/0000-0002-2916-9200; Planas Llompart, Maria de Lluc/0000-0001-8278-7406; Edelman, Bruce/0000-0001-7648-1689; Helmling-Cornell, Adrian/0000-0002-7709-8638; Gupta, Anchal/0000-0002-1762-9644; Kolitsidou, Panagiota/0000-0002-6719-8686; Ejlli, Aldo/0000-0002-4149-4532; Mangano, Valentina/0000-0001-7902-8505; Khazanov, Efim/0000-0001-5641-8025; Ramirez Guevara, Karla Elizabeth/0000-0003-2194-7669; Vyatchanin, Sergey P./0000-0002-6823-911X; Sun, Ling/0000-0001-7959-892X; Holz, Daniel/0000-0002-0175-5064; Poggiani, Rosa/0000-0002-9968-2464; Thirugnanasambandam, Manasadevi Priyamvadha/0000-0003-3639-0365; Antelis, Javier M./0000-0003-3377-0813; Plastino, Wolfango/0000-0002-5737-6346; McClelland, David/0000-0001-6210-5842; Bejger, Michal/0000-0002-4991-8213; Badaracco, Francesca/0000-0001-8553-7904; Blair, David/0000-0002-1501-2405; Parisi, Alessandro/0000-0003-0251-8914; Panther, Fiona Helen/0000-0002-2618-5627; Ricci, Fulvio/0000-0001-5475-4447; Cuoco, Elena/0000-0002-6528-3449; Pinto, Innocenzo M./0000-0002-2679-4457; Lundgren, Andrew/0000-0002-0363-4469; Setyawati, Yoshinta Eka/0000-0003-3718-4491; Lower, Marcus/0000-0001-9208-0009; Dabadie, Paul/0000-0002-4533-1861; Yamamoto, Kazuhiro/0000-0002-3033-2845; Howell, Eric/0000-0001-7891-2817; Miller, Andrew L./0000-0002-4890-7627; Turbang, Kevin/0000-0002-9296-8603; Mukherjee, Suvodip/0000-0002-3373-5236; Carullo, Gregorio/0000-0001-9090-1862; Lartaux, Angelique/0000-0003-1714-365X; Favaro, Giulio/0000-0002-0351-6833; tiwari, shubhanshu/0000-0003-1611-6625; Dmitriev, Artemiy/0000-0002-0314-956X; Williams, Daniel/0000-0003-3772-198X; Bawaj, Mateusz/0000-0003-3611-3042; Kuroyanagi, Sachiko/0000-0001-6538-1447; Good, Deborah/0000-0003-1884-348X; Raymond, Vivien/0000-0003-0066-0095; Isleif, Katharina-Sophie/0000-0001-7032-9440; Meyers, Bradley/0000-0001-8845-1225; Paolone, Annalisa/0000-0002-4839-7815; Tacca, Matteo/0000-0003-1353-0441; Martynov, Denis/0000-0003-0679-1344; Couvares, Peter/0000-0002-2823-3127; Key, Joey Shapiro/0000-0003-0123-7600; Hall, Evan/0000-0001-9018-666X; Krolak, Andrzej/0000-0003-4514-7690; Tsuzuki, Toshihiro/0000-0002-8342-8314; Callister, Thomas/0000-0001-9892-177X; Chiadini, Francesco/0000-0002-9339-8622; yang, yang/0000-0001-9426-4733; Leonardi, Matteo/0000-0002-7641-0060; Iess, Alberto/0000-0001-9658-6752; Garufi, Fabio/0000-0003-1391-6168; Maggiore, Riccardo/0000-0001-5140-779X; Prodi, Giovanni Andrea/0000-0001-5256-915X; Kandhasamy, Shivaraj/0000-0002-4825-6764; Muciaccia, Federico/0000-0003-0850-2649; Powell, Jade/0000-0002-1357-4164; Casanueva Diaz, Julia/0000-0002-2948-5238; Antonopoulou, Danai/0000-0003-0746-5364; Guidi, Gianluca/0000-0002-3061-9870; Reitze, David/0000-0002-5756-1111; Gergely, Laszlo Arpad/0000-0003-3146-6201; Coward, David/0000-0002-7795-9354; Garcia Nunez, Carlos/0000-0001-5518-6189; Casentini, Claudio/0000-0001-8100-0579; Smetana, Jiri/0000-0002-7277-6671; Goncharov, Boris/0000-0003-3189-5807; Colleoni, Marta/0000-0002-7214-9088; Giri, Priyanka/0000-0002-4628-2432; Idzkowski, Bartosz/0000-0001-5869-2714; Tenorio, Rodrigo/0000-0002-3582-2587; Paoletti, Federico/0000-0001-8898-1963; Puppo, Paola/0000-0003-4677-5015; Depasse, Antoine V./0000-0003-1014-8394; Koekoek, Gideon/0000-0002-7750-1925; Shao, Lijing/0000-0002-1334-8853; Evans, Matthew/0000-0001-8459-4499; Sk, Javed Rana/0000-0001-5605-1809; Takeda, Hiroki/0000-0001-9937-2557; Beveridge, Damon/0000-0002-1481-1993; Ackley, Kendall/0000-0002-8648-0767; Nakano, Hiroyuki/0000-0001-7665-0796; Franke, Alexander/0000-0002-4843-1112; Pang, Peter Tsun Ho/0000-0001-7041-3239; Nissanke, Samaya/0000-0001-6573-7773; Kovalam, Manoj/0000-0001-8143-9696; Boldrini, Mattia/0000-0001-9861-821X; ZHAN, Mingsheng/0000-0001-7240-1952; Cieslar, Marek/0000-0001-8912-5587; Patricelli, Barbara/0000-0001-6709-0969; Renzini, Arianna/0000-0002-4589-3987; Charlton, Philip/0000-0002-4263-2706; Seglar-Arroyo, Monica/0000-0001-8654-409X; Shoemaker, David/0000-0002-4147-2560; Roy, Soumen/0000-0003-2147-5411; Oganesyan, Gor/0000-0001-9765-1552; Hannuksela, Otto Akseli/0000-0002-3887-7137; O'Reilly, Brian/0000-0002-3874-8335; Maksimovic, Ivan/0009-0003-9902-778X; Mastrogiovanni, Simone/0000-0003-1606-4183; Cifaldi, Maria/0009-0007-1566-7093; Mapelli, Michela/0000-0001-8799-2548; Itoh, Yousuke/0000-0003-2694-8935; Williams, Michael/0000-0003-2198-2974; Blair, Carl/0000-0003-4566-6888; Losurdo, Giovanni/0000-0003-0452-746X; Asali, Yasmeen/0000-0002-8320-2198; Christensen, Nelson/0000-0002-6870-4202; Bini, Sophie/0000-0002-0267-3562; Cavaglia, Marco/0000-0002-3835-6729; Daw, Edward/0000-0002-3780-5430; Grado, Aniello/0000-0002-0501-8256; de rossi, camilla/0000-0002-5825-472X; Miller, Benjamin/0000-0003-0387-8727; Satari, Hamid/0000-0002-9903-2779; Keitel, David/0000-0002-2824-626X; Keith, Michael/0000-0001-5567-5492; Himemoto, Yoshiaki/0000-0002-6856-3809; Hamilton, Eleanor/0000-0003-0098-9114; Sorrentino, Nunziato/0000-0002-1855-5966; Knyazev, Eugene/0000-0002-9621-5967; Figura, Przemyslaw/0000-0002-8925-0393; Aiello, Lorenzo/0000-0003-2771-8816; Polini, Eleonora/0000-0003-4059-0765; D'Onofrio, Luca/0000-0001-9546-5959; Garcia Quiros, Cecilio/0000-0002-8059-2477; Chen, Zu-Cheng/0000-0001-7016-9934; Pan, Kuo-Chuan/0000-0002-1473-9880; Utina, Andrei/0000-0003-2975-9208; CARAPELLA, Giovanni/0000-0002-0095-1434; schwartz, eyal/0000-0001-8922-7794; Han, Wen-Biao/0000-0002-2039-0726; Forsyth, Perry/0000-0003-4558-7266; Lee, Ray-Kuang/0000-0002-7171-7274; Cholayil, Muhammed Saleem/0000-0002-3836-7751; Fornal, Bartosz/0000-0003-3271-2080; Mitselmakher, Guenakh/0000-0001-5745-3658; Agarwal, Deepali/0000-0002-8735-5554; Scott, Susan M./0000-0002-9875-7700; Piccinni, Ornella Juliana/0000-0001-5478-3950; Piotrzkowski, Krzysztof/0000-0002-6226-957X; Bhardwaj, Uddipta/0000-0003-1233-4174; Glanzer, Jane/0009-0000-0808-0795; Kawasaki, Takuya/0000-0001-5839-1700; Chatterjee, Chayan/0000-0001-8700-3455; DI PACE, SIBILLA/0000-0001-6759-5676; Mehta, Ajit Kumar/0000-0002-7351-6724; Singh, Neha/0000-0002-1135-3456; SHCHEBLANOV, Nikita/0000-0001-8696-2435; Ben Yaala, Marwa/0000-0002-6754-0875; Haskell, Brynmor/0000-0002-8255-3519; BRANCHESI, Marica/0000-0003-1643-0526; Grimaldi, Andrea/0000-0002-6956-4301; Strang, Lucy/0000-0001-7834-9235; Chatterjee, Deep/0000-0003-0038-5468; Brady, Patrick/0000-0002-4611-9387; Placidi, Ernesto/0000-0002-3820-8451; Liu, Jian/0000-0001-6726-3268; Allocca, Annalisa/0000-0002-5288-1351; McRae, Terry/0000-0002-6540-6824; Espinoza, Cristobal/0000-0003-2481-2348; Harms, Jan/0000-0002-7332-9806; Goodwin-Jones, Aaron/0000-0002-0395-0680; Adya, Vaishali/0000-0003-4955-6280; Miravet, Miquel/0000-0002-8766-1156; Hollows, Ian/0000-0002-3404-6459; Kinley-Hanlon, Maya/0000-0002-7367-8002; Barneo Gonzalez, Pablo Jose/0000-0002-8883-7280; Leaci, Paola/0000-0002-3997-5046; Kong, Albert/0000-0002-5105-344X; VARDARO, MARCO/0000-0001-8604-3797; Rinaldi, Stefano/0000-0001-5799-4155; Nelemans, Gijs/0000-0002-0752-2974; Sakellariadou, Mairi/0000-0002-2715-1517; Jenkins, Alexander/0000-0003-1785-5841; Magnozzi, Michele/0000-0003-4512-8430; Hill, Paul/0000-0003-4826-3531; Bulik, Tomasz/0000-0003-2045-4803; Ghosh, Archisman/0000-0003-0423-3533; Frei, Zsolt/0000-0002-0181-8491; De Pietri, Roberto/0000-0003-1556-8304; Marquina, Antonio/0000-0001-8767-4208; Salemi, Francesco/0000-0002-9511-3846; Quetschke, Volker/0000-0002-8012-4868; Schiworski, Mitchell/0000-0001-9298-004X; Gonzalez, Gabriela/0000-0003-0199-3158; Kashyap, Rahul/0000-0002-5700-282X; DALL'OSSO, Simone/0000-0003-4366-8265; Schmidt, Patricia/0000-0003-1542-1791; Mow-Lowry, Conor/0000-0002-0351-4555; D'Angelo, Beatrice/0000-0001-9143-8427; Kapasi, Disha Pankaj/0000-0001-8189-4920; Nakamura, Kouji/0000-0001-6148-4289; Chu, Yu-Kuang (Cory)/0000-0002-8661-4120; Barone, Fabrizio/0000-0002-8069-8490; Lopez Portilla, Melissa/0000-0003-0301-3598; Gibson, Desmond/0000-0003-2851-0072; pagliaroli, giulia/0000-0002-6751-9996; Valerie, Martinez/0000-0001-5852-2301; Oh, John J./0000-0001-5417-862X; Piergiovanni, Francesco/0000-0001-8063-828X; Drago, Marco/0000-0002-3738-2431; McGhee, Graeme/0000-0001-5038-2658; Creighton, Jolien/0000-0003-3600-2406; Cirone, Alessio/0000-0003-4299-8609; Nuttall, Laura Kate/0000-0001-7472-0201; Sigg, Daniel/0000-0003-4606-6526; Lazzaro, Claudia/0000-0001-5993-3372; Kefelian, Fabien/0000-0001-9870-6850; Tringali, Maria Concetta/0000-0001-5087-189X; Fafone, Viviana/0000-0003-1314-1622; Passaquieti, Roberto/0000-0003-4753-9428; Ciecielag, Pawel/0000-0002-5871-4730; Costa, Cesar/0000-0003-4853-758X; Aso, Yoichi/0000-0002-1902-6695; Patrone, Samuel/0000-0001-5319-2729; Lee, Kyung-Ha/0000-0003-0470-3718; Ronchini, Samuele/0000-0003-0020-687X; M K, Haris/0000-0001-5597-8098; Suresh, Jishnu/0000-0003-2389-6666; S, Sudhagar/0000-0001-8578-4665; Naticchioni, Luca/0000-0003-2918-0730; Bajpai, Rishabh/0000-0003-0495-5720; Jeunon Barros Ferreira, Mariana/0000-0002-8173-0931; Riles, Keith/0000-0002-6418-5812; Park, June Gyu/0000-0002-7510-0079; Harry, Ian/0000-0002-5304-9372; Toland, Karl/0000-0001-9537-9698; Oh, Sang Hoon/0000-0003-1184-7453; Ain, Anirban/0000-0003-4534-4619; Junker, Jonas/0000-0002-3051-4374; Laxen, Michael/0000-0001-7515-9639; Stuver, Amber/0000-0003-0324-5735; Rettegno, Piero/0000-0001-8088-3517</t>
  </si>
  <si>
    <t>10.3847/1538-4357/ac6ad0</t>
  </si>
  <si>
    <t>WOS:000816872900001</t>
  </si>
  <si>
    <t>Zhou, B; Bennett, JE; Wickham, AP; Singleton, RK; Mishra, A; Carrillo-Larco, RM; Ikeda, N; Jain, L; Barradas-Pires, A; Heap, RA; Lhoste, VPF; Sheffer, KE; Phelps, NH; Rayner, AW; Gregg, EW; Stevens, GA; Iurilli, MLC; Danaei, G; Di Cesare, M; Aguilar-Salinas, CA; Ahmad, NA; Bovet, P; Chen, ZM; Damasceno, A; Filippi, SL; Janszky, I; Kengne, AP; Khang, YH; Khunti, K; Laxmaiah, A; Lim, LL; Lissner, L; Margozzini, P; Mbanya, JC; McGarvey, S; Shaw, JE; Söderberg, S; Soto-Mota, LA; Wang, JY; Zaccardi, F; Ezzati, M; Abarca-Gómez, L; Abbasi-Kangevari, M; Abdrakhmanova, S; Ghaffar, SA; Rahim, HFA; Abdurrahmonova, Z; Abu-Rmeileh, NM; Acosta-Cazares, B; Adam, I; Adamczyk, M; Aekplakorn, W; Agdeppa, IA; Aghazadeh-Attari, J; Agyemang, C; Ahmad, MH; Ahmad, NA; Ahmadi, A; Ahmadi, N; Ahmadi, N; Ahmed, SH; Ahrens, W; Aitmurzaeva, G; Ajlouni, K; Al-Hazzaa, HM; Al-Hinai, H; Al-Lawati, JA; Al-Raddadi, R; Al Asfoor, D; Al Hourani, HM; Alarouj, M; AlBuhairan, F; AlDhukair, S; Ali, MM; Alieva, AV; Alkandari, A; Alkhatib, BM; Aly, E; Amarapurkar, DN; Etxezarreta, PA; Amougou, N; Andersen, LB; Anderssen, SA; Androutsos, O; Anjana, RM; Ansari-Moghaddam, A; Anufrieva, E; Aounallah-Skhir, H; Aris, T; Arku, RE; Arlappa, N; Aryal, KK; Assah, FK; Assembekov, B; Assunçao, MCF; Auvinen, J; Avdicová, M; Azad, K; Azevedo, A; Azimi-Nezhad, M; Azizi, F; Bacopoulou, F; Bahijri, S; Bajramovic, I; Balakrishna, N; Bamoshmoosh, M; Banach, M; Bandosz, P; Banegas, JR; Baran, R; Barbagallo, CM; Barbosa, V; Barceló, A; Baretic, M; Barnoya, J; Barrera, L; Barros, AJ; Barros, MVG; Basit, A; Bastos, JL; Batieha, AM; Batista, AP; Batista, RL; Battakova, Z; Baur, LA; Bayauli, PM; Bel-Serrat, S; Belavendra, A; Ben Romdhane, H; Benedek, T; Benedics, J; Benet, M; Rolandi, GEB; Benzeval, M; Bere, E; Berger, N; Bergh, IH; Berkinbayev, S; Bernabe-Ortiz, A; Bettiol, H; Beybey, AF; Bezerra, J; Bhagyalaxmi, A; Bhargava, SK; Lele, ECB; Bikbov, MM; Bista, B; Bjelica, DJ; Bjerregaard, P; Bjertness, E; Bjertness, MB; Björkelund, C; Bloch, KV; Blokstra, A; Bo, S; Bobak, M; Boddy, LM; Boehm, BO; Boggia, JG; Bogova, E; Bonaccio, M; Bonillavargas, A; Borghs, H; Botomba, S; Bourne, R; Boymatova, K; Braeckman, L; Braithwaite, T; Brajkovich, I; Branca, F; Brenner, H; Brewster, LM; Briceño, Y; Brinduse, L; Bringolf-Isler, B; Brito, M; Brug, J; Bugge, A; Buntinx, F; Buoncristiano, M; Burns, C; de León, AC; Caixeta, RB; Cama, T; Can, G; Cândido, APC; Cañete, F; Capanzana, MV; Capková, N; Capuano, E; Capuano, E; Capuano, V; Cardoso, VC; Carlsson, AC; Casanueva, FF; Casas, M; Censi, L; Cervantes-Loaiza, M; Chamnan, P; Chamukuttan, S; Chan, Q; Chaturvedi, N; Chen, FF; Chen, HH; Chen, LS; Chen, ZM; Cheng, YJ; Cheraghian, B; Chetrit, A; Chikova-Iscener, E; Chinapaw, MJ; Chinnock, A; Chiolero, A; Chirita-Emandi, A; Chirlaque, MD; Chong, CL; Christofaro, DG; Chudek, J; Cifkova, R; Cirillo, M; Claessens, F; Clare, P; Cohen, E; Confortin, SC; Coppinger, TC; Cortés, LY; Cosmin, CR; Costanzo, S; Cowan, MJ; Cowell, C; Crampin, AC; Cross, AJ; Crujeiras, AB; Cruz, JJ; Cucu, AM; Cureau, FV; Cuschieri, S; D'Arrigo, G; D'Orsi, E; da Silva-Ferreira, H; Dahm, CC; Dallongeville, J; Damasceno, A; Dankner, R; Davletov, K; de Vasconcelos, FDG; de Assis, MAA; De Bacquer, D; De Bacquer, J; de Bont, J; De Curtis, A; Hinnig, PD; de Gaetano, G; De Henauw, S; De Miguel-Etayo, P; de Oliveira, PD; de Paiva, KM; De Ridder, K; Correia, MAD Jr; Deepa, M; DeGennaro, VJ; Demarest, S; Dennison, E; Deschamps, V; Dhimal, M; Ripolles, MPD; Dika, Z; Djalalinia, S; Dominguez, L; Donati, MB; Donfrancesco, C; Dong, GH; Donoso, SP; Dorobantu, M; Dörr, M; Dragano, N; Drygas, W; Du, S; Duante, CA; Duboz, P; Duda, RB; Duleva, VL; Dushpanova, A; Dyussupova, A; Dziankowska-Zaborszczyk, E; Ebrahimi, N; Echeverría, G; Eddie, R; Eftekhar, E; Efthymiou, V; Egbagbe, EE; Eghtesad, S; Ekelund, U; El-Khateeb, M; El Ati, J; Elosua, R; Enang, O; Erasmus, RT; Erem, C; Ergor, G; Eriksen, L; Eriksson, JG; Escobedo-de la Peña, JED; Esmaeili, A; Evans, RG; Fakhradiyev, I; Fakhretdinova, AA; Fall, CH; Faramarzi, E; Farjam, M; Farzadfar, F; Farzi, Y; Fattahi, MR; Fawwad, A; Felix-Redondo, FJ; Ferguson, TS; Fernandes, RA; Fernández-Bergés, D; Fernando, DR; Ferrante, D; Ferrari, G; Ferrari, M; Ferreccio, C; Ferrer, E; Figueiró, TH; Fijalkowska, A; Fink, G; Fisberg, M; Forsner, M; Fottrell, EF; Fouad, HM; Francis, DK; Frontera, G; Fuchs, FD; Fuchs, SC; Furdela, V; Furusawa, T; Gabriela, SA; Gaciong, Z; Cuesta, MG; Galbarczyk, A; Galcheva, SV; Galfo, M; Garcia-De-La-Hera, M; Garcia, P; Garnett, SP; Gasull, M; Gazzinelli, A; Gehring, U; Gerdts, E; Ghaderi, E; Ghamari, SH; Ghanbari, A; Ghasemi, E; Gheorghe-Fronea, OF; Ghimire, A; Gialluisi, A; Giampaoli, S; Gianfagna, F; Gironella, G; Giwercman, A; Gkiouras, K; Glushkova, N; Godara, R; Godos, J; Goldberg, M; Gómez, G; Gómez, JHG; Gomez, LF; Gómez, SF; Gomula, A; da Silva, BGC; Gonçalves, H; Gonçalves, M; González-Alvarez, AD; Gonzalez-Chica, DA; González-Gil, EM; Gonzalez-Gross, M; González-Rivas, JP; Gonzalez, AR; Gottrand, F; Grafnetter, D; Grajda, A; Grammatikopoulou, MG; Grodzicki, T; Groholt, EK; Grontved, A; Guajardo, V; Guallar-Castillón, P; Guerchet, M; Guerrero, R; Guimaraes, AL; Gujral, UP; Gulliford, MC; Gunter, MJ; Gupta, R; Gureje, O; Gurinovic, MA; Gurzkowska, B; Gutierrez, L; Gwee, X; Haghshenas, R; Hakimi, H; Halkjær, J; Hambleton, IR; Hamzeh, B; Hanekom, WA; Hange, D; Hanif, AA; Hantunen, S; Hao, J; Hardman, CM; Hardy, L; Kumar, RH; Harooni, J; Hashemi-Shahr, SM; Hassapidou, M; Hata, J; Haugsgjerd, T; Heinen, M; Hendriks, ME; Henrique, RD; Henriques, A; Cadena, LH; Herrala, S; Herrera-Cuenca, M; Herrera, VM; Herter-Aeberli, I; Herzig, KH; Heshmat, R; Hill, AG; Ho, SY; Holdsworth, M; Homayounfar, R; Homs, C; Hoogendijk, EO; Horimoto, AR; Hormiga, CM; Horta, BL; Houti, L; Howitt, C; Htay, TT; Htet, AS; Htike, MMT; Huerta, JM; Huhtaniemi, IT; Huiart, L; Petrescu, CH; Huisman, M; Husseini, A; Huybrechts, I; Hwalla, N; Iacoviello, L; Iakupova, EM; Iannone, AG; Igland, J; Ijoma, C; Ikeda, N; Iotova, V; Irazola, VE; Ishida, T; Isiguzo, GC; Islam, M; Islam, SMS; Islek, D; Ittermann, T; Ivanova-Pandourska, IY; Iwasaki, M; Jääskeläinen, T; Jackson, RT; Jaddou, HY; Jadoul, M; Jafar, T; Jan, N; Janszky, I; Janus, E; Jarani, J; Jarnig, G; Jarvelin, MR; Jasienska, G; Jelakovic, A; Jelakovic, B; Jha, AK; Jimenez, RO; Jöckel, KH; Joffres, M; Jokelainen, JJ; Jonas, JB; Joshi, P; Joshi, R; Josipovic, J; Joukar, F; Józwiak, JJ; Juolevi, A; Juresa, V; Kaaks, R; Kaducu, FO; Kadvan, AL; Kafatos, A; Kajantie, EO; Kakutia, N; Kállayová, D; Kalmatayeva, Z; Kalte-Leibovici, O; Kannan, S; Kapantais, E; Karaglani, E; Karakosta, A; Karki, KB; Anicet, AK; Katibeh, M; Katulanda, P; Katzmarzyk, PT; Kauhanen, J; Kazakbaeva, GM; Kaze, FF; Ke, C; Keinänen-Kiukaanniemi, S; Kelishadi, R; Kelleher, C; Kemper, HCG; Kengne, AP; Keramati, M; Kersting, M; Khader, YS; Khaledifar, A; Khalili, D; Khang, YH; Kheiri, B; Kheradmand, M; Khosravi, A; Kiechl-Kohlendorfer, U; Kiechl, SJ; Kiechl, S; Kim, HC; Klakk, H; Klanarong, S; Klanova, J; Klimek, M; Knoflach, M; Kobel, S; Koirala, B; Kolle, E; Kolsteren, P; König, J; Korpelainen, R; Korrovits, P; Korzycka, M; Kos, J; Koskinen, S; Simone, MK; Kovács, É; Kovalskys, I; Kowlessur, S; Koziel, S; Kratenova, J; Kratzer, W; Kriemler, S; Kristensen, PL; Krizan, H; Kroker-Lobos, MF; Krokstad, S; Kruger, HS; Kruger, R; Kryst, L; Kubinova, R; Kujala, UM; Kujundzic, E; Kulaga, Z; Kulimbet, M; Kumari, M; Kunesová, M; Kurjata, P; Kyobutungi, C; La, QN; Labadarios, D; Lachat, C; Lai, D; Laid, Y; Lall, L; Jimenez, ML; Landais, E; Lankila, T; Lanska, V; Lappas, G; Larijani, B; Lateva, MP; Latt, TS; Laurenzi, M; Lazo-Porras, M; Le Coroller, G; Bao, KL; Lehtimäki, T; Lemogoum, D; Leong, E; Leszczak, J; Leung, GM; Li, YP; Liivak, M; Lim, C; Lim, WY; Lima-Costa, MF; Lin, HH; Lind, L; Litwin, M; Liu, LP; Liu, XT; Abril, GL; Lopes, O; Lopez-Garcia, E; López-Gil, JF; Lopez, T; Lozano, JE; Lukrafk, JL; Luksiene, D; Lundqvist, A; Lunet, N; Lunogelo, C; Lustigová, M; M'Buyamba-Kabangu, JR; Machado-Coelho, GLL; Machado-Rodrigues, AM; Macia, E; Madar, AA; Maestre, GE; Maggi, S; Magliano, DJ; Magnacca, S; Magriplis, E; Mahasampath, G; Maire, B; Makdisse, M; Malekpour, MR; Malekzadeh, F; Malekzadeh, R; Rao, KM; Malyutina, S; Maniego, LV; Manios, Y; Mann, JI; Mansour-Ghanaei, F; Manzato, E; Mapatano, MA; Margozzini, P; Maria-Magdalena, R; Mariño, J; Markaki, A; Marques, LP; Marrugat, J; Martorell, R; Maruszczak, K; Masala, G; Mascarenhas, LP; Imani, MM; Masinaei, M; Mathiesen, EB; Matijasevich, A; Matlosz, P; Matsha, TE; Matsudo, V; Matteo, G; Maulik, PK; Mavrogianni, C; Mbanya, JCN; Posso, AJMD; McFarlane, SR; McGarvey, ST; McLean, RM; Benchekor, SM; Mehlig, K; Mehrparvar, AH; Melgarejo, JD; Méndez, F; Mendivil, CO; Montano, CM; Menezes, AMB; Mensink, GBM; Mereke, A; Meshram, II; Meto, DT; Meyer, HE; Mi, J; Milkowska, K; Miller, JC; Milushkina, O; Minderico, CS; Mini, GK; Miquel, JF; Miranda, JJ; Mirjalili, MR; Misigoj-Durakovic, M; Mistretta, A; Mocanu, V; Modesti, PA; Moghaddam, SS; Mohammad, K; Mohammadi, MR; Mohammadi, Z; Mohammadifard, N; Mohammadpourhodki, R; Mohan, V; Yusoff, MFM; Mohebbi, I; Moller, NC; Molnár, D; Momenan, A; Mondo, CK; Monroy-Valle, MM; Mendoza, RAM; Monterrubio-Flores, E; Monyeki, KDK; Moon, JS; Moosazadeh, M; Moradpour, F; Moreira, LB; Morejon, A; Moreno, LA; Morgan, K; Moschonis, G; Moslem, A; Mosquera, M; Mossakowska, M; Mostafa, A; Mostafavi, SA; Motlagh, ME; Motta, J; Moura-Dos-Santos, MA; Mridha, MK; Msyamboza, KP; Mu, TT; Muca, F; Mugosa, B; Munroe, PB; Mursu, J; Musa, KI; Milanovic, SM; Musil, V; Musinguzi, G; Mustafa, N; Muyer, MTMC; Nabipour, I; Naidu, BM; Najafi, F; Nalecz, H; Námesná, J; Narayan, KV; Naseri, T; Nathalie, M; Neelapaichit, N; Nejatizadeh, A; Nenko, I; Nervi, F; Neuhauser, HK; Ng, TP; Nguyen, CT; Nguyen, QV; Nguyen, QN; Ni, MY; Nie, P; Nieto-Martínez, RE; Niiranen, TJ; Ninomiya, T; Nishi, N; Nishtar, S; Noale, M; Noboa, OA; Norton, KI; Noto, D; Nowak-Szczepanska, N; Al Nsour, M; Nuhoglu, I; Nurk, E; Nuwaha, F; Nyirenda, M; O'Neill, TW; Ochimana, C; Ochoa-Avilés, AM; Oda, E; Odili, AN; Oh, K; Ohtsuka, R; Oldenburg, B; Olié, V; Omar, MA; Omar, SM; Onat, A; Ong, SK; Onland-Moret, NC; Ono, LM; Onodugo, O; Ordunez, P; Ornelas, R; Ortiz, AP; Ortiz, PJ; Osmond, C; Ostojic, SM; Ostovar, A; Otero, JA; Ottendahl, CB; Otu, A; Overvad, K; Owusu-Dabo, E; Padez, CP; Pagkalos, I; Pajula, N; Palloni, A; Palmieri, L; Pan, WH; Panza, F; Paoli, M; Papadopoulou, SK; Pareja, RG; Park, SW; Park, S; Parnell, WR; Parsaeian, M; Pascanu, IM; Pasquet, P; Patel, ND; Pavlyshyn, H; Pechlaner, R; Pecin, I; Pedro, JM; Peixoto, SV; Peltonen, M; Pereira, AC; Peres, KGDA; Peres, MA; Perez-Londoño, A; Pérez, CM; Peterkova, V; Kovtun, OP; Peykari, N; Pham, ST; Pichardo, RN; Pierre-Marie, P; Pikhart, H; Pilav, A; Piler, P; Piwonska, A; Pizarro, AN; Plata, S; Pop, RM; Popkin, BM; Popovic, SR; Porta, M; Poudyal, A; Pourfarzi, F; Pourshams, A; Poustchi, H; Pradeepa, R; Price, AJ; Prista, A; Providencia, R; Puder, JJ; Pudule, I; Puhakka, S; Puiu, M; Punab, M; Qorbani, M; Quialheiro, A; Quintana, HK; Quiroga-Padilla, PJ; Bao, TQ; Rach, S; Rahimikazerooni, S; Rahman, M; Raitakari, O; Rakhmatulloev, S; Rakovac, I; Ramachandran, A; Ramadan, OPC; Ramirez-Zea, M; Ramos, R; Rampal, L; Rampal, S; Ramsay, SE; Rangel, JF Jr; Reina, DAR; Rangelova, LS; Rarra, V; Rashidi, MM; Rech, CR; Redon, J; Regecová, V; Renner, JD; Repasy, JA; Revilla, L; Reynolds, A; Rezaei, N; Rezaianzadeh, A; Riboli, E; Rigo, F; Rigotti, A; Riley, LM; de Wit, TFR; Risérus, U; Ritti-Dias, RM; Roa, RG; Roccaldo, R; Rodríguez-Artalejo, F; Rodriguez-Perez, MD; Rodríguez-Villamizar, LA; Rodríguez, AY; Roggenbuck, U; Rohloff, P; Rojas-Martinez, R; Romeo, EL; Rosario, RV; Rosengren, A; Rouse, I; Rubinstein, A; Ruiz-Betancourt, BS; Ruiz-Castell, M; Moreno, ER; Rusakova, IA; Rusek, W; Rust, P; Rutkowski, M; Saamel, M; Sabbaghi, H; Sachdev, HS; Sadjadi, A; Safarpour, AR; Safi, S; Saghi, MH; Saidi, O; Saieva, C; Sakata, S; Saki, N; Salaj, S; Martinez, ES; Salkhanova, A; Salonen, JT; Samoutian, M; Sánchez-Abanto, J; Rodríguez, IS; Santos, DA; Santos, IS; Santos, MP; Santos, TR; Saramies, JL; Sardinha, LB; Sarganas, G; Sarrafzadegan, N; Saum, KU; Savin, S; Sbaraini, M; Scazufca, M; Schaan, BD; Schienkiewitz, A; Schindler, K; Schipf, S; Schmidt, AF; Schmidt, B; Schmidt, CO; Schöttker, B; Schramm, S; Schramm, S; Schröder, H; Schultsz, C; Schutte, AE; Sebert, S; Sedaghattalab, M; Sein, AA; Sen, A; Sepanlou, SG; Sequera, G; Sevcíková, L; Sewpaul, R; Shamah-Levy, T; Shamshirgaran, SM; Sharafkhah, M; Sharma, SK; Sharman, A; Shaw, JE; Shayanrad, A; Shayesteh, AA; Shengelia, L; Shibuya, K; Shimizu-Furusawa, H; Shiri, R; Shoranov, M; Shrestha, N; Si-Ramlee, K; Sibai, AM; Sidossis, LS; Silva, AM; Silva, CRD; Silva, DAS; Silva, KS; Sim, XL; Simon, M; Sjöström, M; Skoblina, NA; Slowikowska-Hilczer, J; Slusarczyk, P; Smeeth, L; Smith, L; Soares, FC; Sobek, G; Sobngwi, E; Sodemann, M; Söderberg, S; Soemantri, A; Solfrizz, V; Somi, MH; Sorgjerd, EP; Soric, M; Soto-Rojas, VE; Soumaré, A; Sousa-Poza, A; Spiroski, I; Staessen, JA; Stang, A; Steene-Johannessen, J; Stehle, P; Stein, AD; Stergiou, GS; Stokwiszewski, J; Stoyanova, E; Stratton, G; Stronks, K; Sturua, L; Suarez-Ortegón, MF; Suebsamran, P; Sulo, G; Sundström, J; Suriyawongpaisal, P; Swinburn, BA; Sylva, RC; Szponar, L; Tai, ES; Tambalis, KD; Tamosiunas, A; Tanabayev, B; Tanrygulyyeva, M; Tarawneh, MR; Tarp, J; Tarqui-Mamani, CB; Braunerová, RT; Velde, ST; Tebar, WR; Tell, GS; Tello, T; Thankappan, KR; Theodoridis, X; Thirunavukkarasu, S; Thomas, N; Thrift, AG; Tichá, L; Timmermans, EJ; Tjandrarini, DH; Tjonneland, A; Tolstrup, JS; Topbas, M; Torres-Collado, L; Touloumi, G; Traissac, P; Triantafyllou, A; Trivedi, A; Tshepo, L; Tsintavis, P; Tuitele, J; Tuliakova, AM; Tulloch-Reid, MK; Tullu, F; Tuomainen, TP; Turley, ML; Tzala, E; Tzotzas, T; Tzourio, C; Ueda, P; Ugel, E; Ukoli, FAM; Usupova, Z; Uusitalo, HMT; Uysal, N; Valdivia, G; Valvi, D; van Dam, RM; van den Born, BJ; Van der Heyden, J; van der Schouw, YT; Van Lippevelde, W; Van Minh, H; Van Schoor, NM; van Valkengoed, IGM; Vanderschueren, D; Vanuzzo, D; Varela-Moreiras, G; Vargas, LN; Vasan, SK; Vasques, DG; Vega, T; Velasquez-Melendez, G; Velika, B; Verdot, C; Verloigne, M; Veronesi, G; Verschuren, WMM; Verstraeten, R; Viet, L; Vik, FN; Vilar, M; Villalpando, S; Vioque, J; Virtanen, JK; Visser, M; Viswanathan, B; Vladulescu, M; Völzke, H; Voutilainen, A; Vrijheid, M; Wade, AN; Bebakar, WMW; Mohamud, WNW; Wanderley, RD Jr; Wang, CJ; Wang, HJ; Wang, NL; Wang, Q; Wang, XJ; Wang, YX; Wang, YW; Wannamethee, SG; Wareham, N; Wartha, O; Weber, A; Webster-Kerr, K; Wedderkopp, N; Weghuber, D; Wei, WB; Westbury, L; Whincup, PH; Wickramasinghe, K; Widhalm, K; Widyahening, IS; Wiecek, A; Wilks, RJ; Willeit, K; Willeit, P; Williams, J; Wilsgaard, T; Wojtyniak, B; Wong-McClure, RA; Wong, A; Wong, EB; Woodward, M; Wu, FC; Wyszynska, J; Xu, HQ; Xu, L; Yaacob, NA; Yan, L; Yan, W; Yang, Y; García, MY; Yoosefi, M; Yoshihara, A; Younger-Coleman, NO; Yu, YL; Yu, YJ; Yusof, AF; Zafiropulos, V; Zainuddin, AA; Zamani, F; Zambon, S; Zampelas, A; Zapata, ME; Zaw, KK; Zdrojewski, T; Zeglen, M; Zejglicova, K; Vrkic, TZ; Zhang, B; Zhang, ZY; Zhecheva, YV; Zholdin, B; Zimmet, P; Zins, M; Cisneros, JZ; Zuziak, M</t>
  </si>
  <si>
    <t>Zhou, Bin; Bennett, James E.; Wickham, Aidan P.; Singleton, Rosie K.; Mishra, Anu; Carrillo-Larco, Rodrigo M.; Ikeda, Nayu; Jain, Lakshya; Barradas-Pires, Ana; Heap, Rachel A.; Lhoste, Victor P. F.; Sheffer, Kate E.; Phelps, Nowell H.; Rayner, Archie W.; Gregg, Edward W.; Stevens, Gretchen A.; Iurilli, Maria L. C.; Danaei, Goodarz; Di Cesare, Mariachiara; Aguilar-Salinas, Carlos A.; Ahmad, Noor Ani; Bovet, Pascal; Chen, Zhengming; Damasceno, Albertino; Filippi, Sarah L.; Janszky, Imre; Kengne, Andre P.; Khang, Young-Ho; Khunti, Kamlesh; Laxmaiah, Avula; Lim, Lee-Ling; Lissner, Lauren; Margozzini, Paula; Mbanya, Jean Claude; McGarvey, Stephen; Shaw, Jonathan E.; Soderberg, Stefan; Soto-Mota, Luis Adrian; Wang, Junyang; Zaccardi, Francesco; Ezzati, Majid; Abarca-Gomez, Leandra; Abbasi-Kangevari, Mohsen; Abdrakhmanova, Shynar; Ghaffar, Suhaila Abdul; Rahim, Hanan F. Abdul; Abdurrahmonova, Zulfiya; Abu-Rmeileh, Niveen M.; Acosta-Cazares, Benjamin; Adam, Ishag; Adamczyk, Marzena; Aekplakorn, Wichai; Agdeppa, Imelda A.; Aghazadeh-Attari, Javad; Agyemang, Charles; Ahmad, Mohamad Hasnan; Ahmad, Noor Ani; Ahmadi, Ali; Ahmadi, Naser; Ahmadi, Nastaran; Ahmed, Soheir H.; Ahrens, Wolfgang; Aitmurzaeva, Gulmira; Ajlouni, Kamel; Al-Hazzaa, Hazzaa M.; Al-Hinai, Halima; Al-Lawati, Jawad A.; Al-Raddadi, Rajaa; Al Asfoor, Deena; Al Hourani, Huda M.; Alarouj, Monira; AlBuhairan, Fadia; AlDhukair, Shahla; Ali, Mohamed M.; Alieva, Anna V.; Alkandari, Abdullah; Alkhatib, Buthaina M.; Aly, Eman; Amarapurkar, Deepak N.; Etxezarreta, Pilar Amiano; Amougou, Norbert; Andersen, Lars Bo; Anderssen, Sigmund A.; Androutsos, Odysseas; Anjana, Ranjit Mohan; Ansari-Moghaddam, Alireza; Anufrieva, Elena; Aounallah-Skhir, Hajer; Aris, Tahir; Arku, Raphael E.; Arlappa, Nimmathota; Aryal, Krishna K.; Assah, Felix K.; Assembekov, Batyrbek; Assuncao, Maria Cecilia F.; Auvinen, Juha; Avdicova, Maria; Azad, Kishwar; Azevedo, Ana; Azimi-Nezhad, Mohsen; Azizi, Fereidoun; Bacopoulou, Flora; Bahijri, Suhad; Bajramovic, Izet; Balakrishna, Nagalla; Bamoshmoosh, Mohamed; Banach, Maciej; Bandosz, Piotr; Banegas, Jose R.; Baran, Rafal; Barbagallo, Carlo M.; Barbosa Filho, Valter; Barcelo, Alberto; Baretic, Maja; Barnoya, Joaquin; Barrera, Lena; Barros, Aluisio J. D.; Barros, Mauro Virgilio Gomes; Basit, Abdul; Bastos, Joao Luiz; Batieha, Anwar M.; Batista, Aline P.; Batista, Rosangela L.; Battakova, Zhamilya; Baur, Louise A.; Bayauli, Pascal M.; Bel-Serrat, Silvia; Belavendra, Antonisamy; Ben Romdhane, Habiba; Benedek, Theodora; Benedics, Judith; Benet, Mikhail; Rolandi, Gilda Estela Benitez; Benzeval, Michaela; Bere, Elling; Berger, Nicolas; Bergh, Ingunn Holden; Berkinbayev, Salim; Bernabe-Ortiz, Antonio; Bettiol, Heloisa; Beybey, Augustin F.; Bezerra, Jorge; Bhagyalaxmi, Aroor; Bhargava, Santosh K.; Lele, Elysee Claude Bika; Bikbov, Mukharram M.; Bista, Bihungum; Bjelica, Dusko J.; Bjerregaard, Peter; Bjertness, Espen; Bjertness, Marius B.; Bjorkelund, Cecilia; Bloch, Katia V.; Blokstra, Anneke; Bo, Simona; Bobak, Martin; Boddy, Lynne M.; Boehm, Bernhard O.; Boggia, Jose G.; Bogova, Elena; Bonaccio, Marialaura; Bonillavargas, Alice; Borghs, Herman; Botomba, Steve; Bourne, Rupert; Boymatova, Khadichamo; Braeckman, Lutgart; Braithwaite, Tasanee; Brajkovich, Imperia; Branca, Francesco; Brenner, Hermann; Brewster, Lizzy M.; Briceno, Yajaira; Brinduse, Lacramioara; Bringolf-Isler, Bettina; Brito, Miguel; Brug, Johannes; Bugge, Anna; Buntinx, Frank; Buoncristiano, Marta; Burns, Con; de Leon, Antonio Cabrera; Caixeta, Roberta B.; Cama, Tilema; Can, Gunay; Candido, Ana Paula C.; Canete, Felicia; Capanzana, Mario V.; Capkova, Nadezda; Capuano, Eduardo; Capuano, Eduardo; Capuano, Vincenzo; Cardoso, Viviane C.; Carlsson, Axel C.; Casanueva, Felipe F.; Casas, Maribel; Censi, Laura; Cervantes-Loaiza, Marvin; Chamnan, Parinya; Chamukuttan, Snehalatha; Chan, Queenie; Chaturvedi, Nish; Chen, Fangfang; Chen, Huashuai; Chen, Long-Sheng; Chen, Zhengming; Cheng, Yiling J.; Cheraghian, Bahman; Chetrit, Angela; Chikova-Iscener, Ekaterina; Chinapaw, Mai J. M.; Chinnock, Anne; Chiolero, Arnaud; Chirita-Emandi, Adela; Chirlaque, Maria-Dolores; Chong, Chean Lin; Christofaro, Diego G.; Chudek, Jerzy; Cifkova, Renata; Cirillo, Massimo; Claessens, Frank; Clare, Philip; Cohen, Emmanuel; Confortin, Susana C.; Coppinger, Tara C.; Cortes, Lilia Yadira; Cosmin, Cojocaru R.; Costanzo, Simona; Cowan, Melanie J.; Cowell, Chris; Crampin, Amelia C.; Cross, Amanda J.; Crujeiras, Ana B.; Cruz, Juan J.; Cucu, Alexandra M.; Cureau, Felipe V.; Cuschieri, Sarah; D'Arrigo, Graziella; d'Orsi, Eleonora; da Silva-Ferreira, Haroldo; Dahm, Christina C.; Dallongeville, Jean; Damasceno, Albertino; Dankner, Rachel; Davletov, Kairat; de Vasconcelos, Francisco de Assis Guedes; de Assis, Maria Alice Altenburg; De Bacquer, Dirk; De Bacquer, Jaco; de Bont, Jeroen; De Curtis, Amalia; Hinnig, Patricia de Fragas; de Gaetano, Giovanni; De Henauw, Stefaan; De Miguel-Etayo, Pilar; de Oliveira, Paula Duarte; de Paiva, Karina Mary; De Ridder, Karin; Correia Junior, Marco Aurelio de Valois; Deepa, Mohan; DeGennaro, Vincent Jr; Demarest, Stefaan; Dennison, Elaine; Deschamps, Valerie; Dhimal, Meghnath; Ripolles, Maria Pilar Diez; Dika, Zivka; Djalalinia, Shirin; Dominguez, Liria; Donati, Maria Benedetta; Donfrancesco, Chiara; Dong, Guanghui; Donoso, Silvana P.; Dorobantu, Maria; Doerr, Marcus; Dragano, Nico; Drygas, Wojciech; Du, Shufa; Duante, Charmaine A.; Duboz, Priscilla; Duda, Rosemary B.; Duleva, Vesselka L.; Dushpanova, Anar; Dyussupova, Azhar; Dziankowska-Zaborszczyk, Elzbieta; Ebrahimi, Narges; Echeverria, Guadalupe; Eddie, Ricky; Eftekhar, Ebrahim; Efthymiou, Vasiliki; Egbagbe, Eruke E.; Eghtesad, Sareh; Ekelund, Ulf; El-Khateeb, Mohammad; El Ati, Jalila; Elosua, Roberto; Enang, Ofem; Erasmus, Rajiv T.; Erem, Cihangir; Ergor, Gul; Eriksen, Louise; Eriksson, Johan G.; Escobedo-de la Pena, Jorge; Esmaeili, Ali; Evans, Roger G.; Fakhradiyev, Ildar; Fakhretdinova, Albina A.; Fall, Caroline H.; Faramarzi, Elnaz; Farjam, Mojtaba; Farzadfar, Farshad; Farzi, Yosef; Fattahi, Mohammad Reza; Fawwad, Asher; Felix-Redondo, Francisco J.; Ferguson, Trevor S.; Fernandes, Romulo A.; Fernandez-Berges, Daniel; Fernando, Desha R.; Ferrante, Daniel; Ferrari, Gerson; Ferrari, Marika; Ferreccio, Catterina; Ferrer, Eldridge; Figueiro, Thamara Hubler; Fijalkowska, Anna; Fink, Gunther; Fisberg, Mauro; Forsner, Maria; Fottrell, Edward F.; Fouad, Heba M.; Francis, Damian K.; Frontera, Guillermo; Fuchs, Flavio D.; Fuchs, Sandra C.; Furdela, Viktoriya; Furusawa, Takuro; Gabriela, Stefan Adela; Gaciong, Zbigniew; Cuesta, Manuel Galan; Galbarczyk, Andrzej; Galcheva, Sonya V.; Galfo, Myriam; Garcia-de-la-Hera, Manoli; Garcia, Pablo; Garnett, Sarah P.; Gasull, Magda; Gazzinelli, Andrea; Gehring, Ulrike; Gerdts, Eva; Ghaderi, Ebrahim; Ghamari, Seyyed-Hadi; Ghanbari, Ali; Ghasemi, Erfan; Gheorghe-Fronea, Oana-Florentina; Ghimire, Anup; Gialluisi, Alessandro; Giampaoli, Simona; Gianfagna, Francesco; Gironella, Glen; Giwercman, Aleksander; Gkiouras, Konstantinos; Glushkova, Natalya; Godara, Ramesh; Godos, Justyna; Goldberg, Marcel; Gomez, Georgina; Gomez, Jesus Humberto Gomez; Gomez, Luis F.; Gomez, Santiago F.; Gomula, Aleksandra; da Silva, Bruna Goncalves Cordeiro; Goncalves, Helen; Goncalves, Mauer; Gonzalez-Alvarez, Ana D.; Gonzalez-Chica, David A.; Gonzalez-Gil, Esther M.; Gonzalez-Gross, Marcela; Gonzalez-Rivas, Juan P.; Gonzalez, Angel R.; Gottrand, Frederic; Grafnetter, Dusan; Grajda, Aneta; Grammatikopoulou, Maria G.; Grodzicki, Tomasz; Groholt, Else Karin; Grontved, Anders; Guajardo, Viviana; Guallar-Castillon, Pilar; Guerchet, Maelenn; Guerrero, Ramiro; Guimaraes, Andre L.; Gujral, Unjali P.; Gulliford, Martin C.; Gunter, Marc J.; Gupta, Rajeev; Gureje, Oye; Gurinovic, Mirjana A.; Gurzkowska, Beata; Gutierrez, Laura; Gwee, Xinyi; Haghshenas, Rosa; Hakimi, Hamid; Halkjaer, Jytte; Hambleton, Ian R.; Hamzeh, Behrooz; Hanekom, Willem A.; Hange, Dominique; Hanif, Abu A. M.; Hantunen, Sari; Hao, Jie; Hardman, Carla Meneses; Hardy, Louise; Kumar, Rachakulla Hari; Harooni, Javad; Hashemi-Shahr, Seyed Mohammad; Hassapidou, Maria; Hata, Jun; Haugsgjerd, Teresa; Heinen, Mirjam; Hendriks, Marleen Elisabeth; Henrique, Rafael dos Santos; Henriques, Ana; Cadena, Leticia Hernandez; Herrala, Sauli; Herrera-Cuenca, Marianella; Herrera, Victor M.; Herter-Aeberli, Isabelle; Herzig, Karl-Heinz; Heshmat, Ramin; Hill, Allan G.; Ho, Sai Yin; Holdsworth, Michelle; Homayounfar, Reza; Homs, Clara; Hoogendijk, Emiel O.; Horimoto, Andrea R. V. R.; Hormiga, Claudia M.; Horta, Bernardo L.; Houti, Leila; Howitt, Christina; Htay, Thein Thein; Htet, Aung Soe; Htike, Maung Maung Than; Huerta, Jose Maria; Huhtaniemi, Ilpo Tapani; Huiart, Laetitia; Petrescu, Constanta Huidumac; Huisman, Martijn; Husseini, Abdullatif; Huybrechts, Inge; Hwalla, Nahla; Iacoviello, Licia; Iakupova, Ellina M.; Iannone, Anna G.; Igland, Jannicke; Ijoma, Chinwuba; Ikeda, Nayu; Iotova, Violeta; Irazola, Vilma E.; Ishida, Takafumi; Isiguzo, Godsent C.; Islam, Muhammad; Islam, Sheikh Mohammed Shariful; Islek, Duygu; Ittermann, Till; Ivanova-Pandourska, Ivaila Y.; Iwasaki, Masanori; Jaaskelainen, Tuija; Jackson, Rod T.; Jaddou, Hashem Y.; Jadoul, Michel; Jafar, Tazeen; Jan, Natasa; Janszky, Imre; Janus, Edward; Jarani, Juel; Jarnig, Gerald; Jarvelin, Marjo-Riitta; Jasienska, Grazyna; Jelakovic, Ana; Jelakovic, Bojan; Jha, Anjani Kumar; Jimenez, Ramon O.; Joeckel, Karl-Heinz; Joffres, Michel; Jokelainen, Jari J.; Jonas, Jost B.; Joshi, Pradeep; Joshi, Rohina; Josipovic, Josipa; Joukar, Farahnaz; Jozwiak, Jacek J.; Juolevi, Anne; Juresa, Vesna; Kaaks, Rudolf; Kaducu, Felix O.; Kadvan, Agnes L.; Kafatos, Anthony; Kajantie, Eero O.; Kakutia, Natia; Kallayova, Daniela; Kalmatayeva, Zhanna; Kalte-Leibovici, Ofra; Kannan, Srinivasan; Kapantais, Efthymios; Karaglani, Eva; Karakosta, Argyro; Karki, Khem B.; Anicet, Adoubi Kassi; Katibeh, Marzieh; Katulanda, Prasad; Katzmarzyk, Peter T.; Kauhanen, Jussi; Kazakbaeva, Gyulli M.; Kaze, Francois F.; Ke, Calvin; Keinanen-Kiukaanniemi, Sirkka; Kelishadi, Roya; Kelleher, Cecily; Kemper, Han C. G.; Kengne, Andre P.; Keramati, Maryam; Kersting, Mathilde; Khader, Yousef Saleh; Khaledifar, Arsalan; Khalili, Davood; Khang, Young-Ho; Kheiri, Bahareh; Kheradmand, Motahareh; Khosravi, Alireza; Kiechl-Kohlendorfer, Ursula; Kiechl, Sophia J.; Kiechl, Stefan; Kim, Hyeon Chang; Klakk, Heidi; Klanarong, Suntara; Klanova, Jana; Klimek, Magdalena; Knoflach, Michael; Kobel, Susanne; Koirala, Bhawesh; Kolle, Elin; Kolsteren, Patrick; Koenig, Juergen; Korpelainen, Raija; Korrovits, Paul; Korzycka, Magdalena; Kos, Jelena; Koskinen, Seppo; Simone, Malik Koussoh; Kovacs, Eva; Kovalskys, Irina; Kowlessur, Sudhir; Koziel, Slawomir; Kratenova, Jana; Kratzer, Wolfgang; Kriemler, Susi; Kristensen, Peter Lund; Krizan, Helena; Kroker-Lobos, Maria F.; Krokstad, Steinar; Kruger, Herculina S.; Kruger, Ruan; Kryst, Lukasz; Kubinova, Ruzena; Kujala, Urho M.; Kujundzic, Enisa; Kulaga, Zbigniew; Kulimbet, Mukhtar; Kumari, Meena; Kunesova, Marie; Kurjata, Pawel; Kyobutungi, Catherine; Quang Ngoc La; Labadarios, Demetre; Lachat, Carl; Lai, Daphne; Laid, Youcef; Lall, Lachmie; Jimenez, Maritza Landaeta; Landais, Edwige; Lankila, Tiina; Lanska, Vera; Lappas, Georg; Larijani, Bagher; Lateva, Mina P.; Latt, Tint Swe; Laurenzi, Martino; Lazo-Porras, Maria; Le Coroller, Gwenaelle; Khanh Le Nguyen Bao; Lehtimaki, Terho; Lemogoum, Daniel; Leong, Elvynna; Leszczak, Justyna; Leung, Gabriel M.; Li, Yanping; Liivak, Merike; Lim, Charlie; Lim, Wei-Yen; Lima-Costa, M. Fernanda; Lin, Hsien-Ho; Lind, Lars; Litwin, Mieczyslaw; Liu, Liping; Liu, Xiaotian; Abril, Guadalupe Longo; Lopes, Oscar; Lopez-Garcia, Esther; Lopez-Gil, Jose Francisco; Lopez, Tania; Eugenio Lozano, Jose; Lukrafk, Janice L.; Luksiene, Dalia; Lundqvist, Annamari; Lunet, Nuno; Lunogelo, Charles; Lustigova, Michala; M'Buyamba-Kabangu, Jean-Rene; Machado-Coelho, George L. L.; Machado-Rodrigues, Aristides M.; Macia, Enguerran; Madar, Ahmed A.; Maestre, Gladys E.; Maggi, Stefania; Magliano, Dianna J.; Magnacca, Sara; Magriplis, Emmanuella; Mahasampath, Gowri; Maire, Bernard; Makdisse, Marcia; Malekpour, Mohammad-Reza; Malekzadeh, Fatemeh; Malekzadeh, Reza; Rao, Kodavanti Mallikharjuna; Malyutina, Sofia; Maniego, Lynell V.; Manios, Yannis; Mann, Jim I.; Mansour-Ghanaei, Fariborz; Manzato, Enzo; Mapatano, Mala Ali; Margozzini, Paula; Maria-Magdalena, Rosu; Marino, Joany; Markaki, Anastasia; Marques, Larissa Pruner; Marrugat, Jaume; Martorell, Reynaldo; Maruszczak, Katharina; Masala, Giovanna; Mascarenhas, Luis P.; Imani, Mannix Masimango; Masinaei, Masoud; Mathiesen, Ellisiv B.; Matijasevich, Alicia; Matlosz, Piotr; Matsha, Tandi E.; Matsudo, Victor; Matteo, Giletta; Maulik, Pallab K.; Mavrogianni, Christina; Mbanya, Jean Claude N.; Posso, Anselmo J. Mc Donald; McFarlane, Shelly R.; McGarvey, Stephen T.; McLean, Rachael M.; Benchekor, Sounnia Mediene; Mehlig, Kirsten; Mehrparvar, Amir Houshang; Melgarejo, Jesus D.; Mendez, Fabian; Mendivil, Carlos O.; Montano, Carlos Mendoza; Menezes, Ana Maria B.; Mensink, Gert B. M.; Mereke, Alibek; Meshram, Indrapal I.; Meto, Diane T.; Meyer, Haakon E.; Mi, Jie; Milkowska, Karolina; Miller, Jody C.; Milushkina, Olga; Minderico, Claudia S.; Mini, G. K.; Miquel, Juan Francisco; Miranda, J. Jaime; Mirjalili, Mohammad Reza; Misigoj-Durakovic, Marjeta; Mistretta, Antonio; Mocanu, Veronica; Modesti, Pietro A.; Moghaddam, Sahar Saeedi; Mohammad, Kazem; Mohammadi, Mohammad Reza; Mohammadi, Zahra; Mohammadifard, Noushin; Mohammadpourhodki, Reza; Mohan, Viswanathan; Yusoff, Muhammad Fadhli Mohd; Mohebbi, Iraj; Moller, Niels C.; Molnar, Denes; Momenan, Amirabbas; Mondo, Charles K.; Monroy-Valle, Michele M.; Mendoza, Roger A. Montenegro; Monterrubio-Flores, Eric; Monyeki, Kotsedi Daniel K.; Moon, Jin Soo; Moosazadeh, Mahmood; Moradpour, Farhad; Moreira, Leila B.; Morejon, Alain; Moreno, Luis A.; Morgan, Karen; Moschonis, George; Moslem, Alireza; Mosquera, Mildrey; Mossakowska, Malgorzata; Mostafa, Aya; Mostafavi, Seyed-Ali; Motlagh, Mohammad Esmaeel; Motta, Jorge; Moura-dos-Santos, Marcos Andre; Mridha, Malay K.; Msyamboza, Kelias P.; Mu, Thet Thet; Muca, Florian; Mugosa, Boban; Munroe, Patricia B.; Mursu, Jaakko; Musa, Kamarul Imran; Milanovic, Sanja Music; Musil, Vera; Musinguzi, Geofrey; Mustafa, Norlaila; Muyer, Muel Telo Marie-Claire; Nabipour, Iraj; Naidu, Balkish M.; Najafi, Farid; Nalecz, Hanna; Namesna, Jana; Narayan, K. M. Venkat; Naseri, Take; Nathalie, Michels; Neelapaichit, Nareemarn; Nejatizadeh, Azim; Nenko, Ilona; Nervi, Flavio; Neuhauser, Hannelore K.; Ng, Tze Pin; Nguyen, Chung T.; Nguyen, Quang V.; Nguyen, Quang Ngoc; Ni, Michael Y.; Nie, Peng; Nieto-Martinez, Ramfis E.; Niiranen, Teemu J.; Ninomiya, Toshiharu; Nishi, Nobuo; Nishtar, Sania; Noale, Marianna; Noboa, Oscar A.; Norton, Kevin I.; Noto, Davide; Nowak-Szczepanska, Natalia; Al Nsour, Mohannad; Nuhoglu, Irfan; Nurk, Eha; Nuwaha, Fred; Nyirenda, Moffat; O'Neill, Terence W.; Ochimana, Caleb; Ochoa-Aviles, Angelica M.; Oda, Eiji; Odili, Augustine N.; Oh, Kyungwon; Ohtsuka, Ryutaro; Oldenburg, Brian; Olie, Valerie; Omar, Mohd Azahadi; Omar, Saeed M.; Onat, Altan; Ong, Sok King; Onland-Moret, N. Charlotte; Ono, Lariane M.; Onodugo, Obinna; Ordunez, Pedro; Ornelas, Rui; Ortiz, Ana P.; Ortiz, Pedro J.; Osmond, Clive; Ostojic, Sergej M.; Ostovar, Afshin; Otero, Johanna A.; Ottendahl, Charlotte B.; Otu, Akaninyene; Overvad, Kim; Owusu-Dabo, Ellis; Padez, Cristina P.; Pagkalos, Ioannis; Pajula, Natalja; Palloni, Alberto; Palmieri, Luigi; Pan, Wen-Harn; Panza, Francesco; Paoli, Mariela; Papadopoulou, Sousana K.; Pareja, Rossina G.; Park, Soon-Woo; Park, Suyeon; Parnell, Winsome R.; Parsaeian, Mahboubeh; Pascanu, Ionela M.; Pasquet, Patrick; Patel, Nikhil D.; Pavlyshyn, Halyna; Pechlaner, Raimund; Pecin, Ivan; Pedro, Joao M.; Peixoto, Sergio Viana; Peltonen, Markku; Pereira, Alexandre C.; Peres, Karen G. D. A.; Peres, Marco A.; Perez-Londono, Agustin; Perez, Cynthia M.; Peterkova, Valentina; Kovtun, Olga Petrovna; Peykari, Niloofar; Son Thai Pham; Pichardo, Rafael N.; Pierre-Marie, Preux; Pikhart, Hynek; Pilav, Aida; Piler, Pavel; Piwonska, Aleksandra; Pizarro, Andreia N.; Plata, Silvia; Pop, Raluca M.; Popkin, Barry M.; Popovic, Stevo R.; Porta, Miquel; Poudyal, Anil; Pourfarzi, Farhad; Pourshams, Akram; Poustchi, Hossein; Pradeepa, Rajendra; Price, Alison J.; Prista, Antonio; Providencia, Rui; Puder, Jardena J.; Pudule, Iveta; Puhakka, Soile; Puiu, Maria; Punab, Margus; Qorbani, Mostafa; Quialheiro, Anna; Quintana, Hedley K.; Quiroga-Padilla, Pedro J.; Tran Quoc Bao; Rach, Stefan; Rahimikazerooni, Salar; Rahman, Mahmudur; Raitakari, Olli; Rakhmatulloev, Sherali; Rakovac, Ivo; Ramachandran, Ambady; Ramadan, Otim P. C.; Ramirez-Zea, Manuel; Ramos, Rafel; Rampal, Lekhraj; Rampal, Sanjay; Ramsay, Sheena E.; Rangel Junior, Joao F. L. B.; Reina, Daniel A. Rangel; Rangelova, Lalka S.; Rarra, Vayia; Rashidi, Mohammad-Mahdi; Rech, Cassiano Ricardo; Redon, Josep; Regecova, Valeria; Renner, Jane D. P.; Repasy, Judit A.; Revilla, Luis; Reynolds, Andrew; Rezaei, Negar; Rezaianzadeh, Abbas; Riboli, Elio; Rigo, Fernando; Rigotti, Attilio; Riley, Leanne M.; de Wit, Tobias F. Rinke; Riserus, Ulf; Ritti-Dias, Raphael M.; Roa, Reina G.; Roccaldo, Romana; Rodriguez-Artalejo, Fernando; Rodriguez-Perez, Maria del Cristo; Rodriguez-Villamizar, Laura A.; Rodriguez, Andrea Y.; Roggenbuck, Ulla; Rohloff, Peter; Rojas-Martinez, Rosalba; Romeo, Elisabetta L.; Rosario, Rafaela V.; Rosengren, Annika; Rouse, Ian; Rubinstein, Adolfo; Ruiz-Betancourt, Blanca Sandra; Ruiz-Castell, Maria; Moreno, Emma Ruiz; Rusakova, Iuliia A.; Rusek, Wojciech; Rust, Petra; Rutkowski, Marcin; Saamel, Marge; Sabbaghi, Hamideh; Sachdev, Harshpal S.; Sadjadi, Alireza; Safarpour, Ali Reza; Safi, Sare; Saghi, Mohammad Hossien; Saidi, Olfa; Saieva, Calogero; Sakata, Satoko; Saki, Nader; Salaj, Sanja; Martinez, Eduardo Salazar; Salkhanova, Akkumis; Salonen, Jukka T.; Samoutian, Margarita; Sanchez-Abanto, Jose; Sanchez Rodriguez, Ines; Santos, Diana A.; Santos, Ina S.; Santos, Maria Paula; Santos, Tamara R.; Saramies, Jouko L.; Sardinha, Luis B.; Sarganas, Giselle; Sarrafzadegan, Nizal; Saum, Kai-Uwe; Savin, Stefan; Sbaraini, Mariana; Scazufca, Marcia; Schaan, Beatriz D.; Schienkiewitz, Anja; Schindler, Karin; Schipf, Sabine; Schmidt, Amand Floriaan; Schmidt, Borge; Schmidt, Carsten O.; Schoettker, Ben; Schramm, Sara; Schramm, Stine; Schroder, Helmut; Schultsz, Constance; Schutte, Aletta E.; Sebert, Sylvain; Sedaghattalab, Moslem; Sein, Aye Aye; Sen, Abhijit; Sepanlou, Sadaf G.; Sequera, Guillermo; Sevcikova, Ludmila; Sewpaul, Ronel; Shamah-Levy, Teresa; Shamshirgaran, Seyed Morteza; Sharafkhah, Maryam; Sharma, Sanjib K.; Sharman, Almaz; Shaw, Jonathan E.; Shayanrad, Amaneh; Shayesteh, Ali Akbar; Shengelia, Lela; Shibuya, Kenji; Shimizu-Furusawa, Hana; Shiri, Rahman; Shoranov, Marat; Shrestha, Namuna; Si-Ramlee, Khairil; Sibai, Abla M.; Sidossis, Labros S.; Silva, Antonio M.; Silva, Caroline Ramos de Moura; Silva, Diego Augusto Santos; Silva, Kelly Samara; Sim, Xueling; Simon, Mary; Sjostrom, Michael; Skoblina, Natalia A.; Slowikowska-Hilczer, Jolanta; Slusarczyk, Przemyslaw; Smeeth, Liam; Smith, Lee; Soares, Fernanda Cunha; Sobek, Grzegorz; Sobngwi, Eugene; Sodemann, Morten; Soderberg, Stefan; Soemantri, Agustinus; Solfrizz, Vincenzo; Somi, Mohammad Hossein; Sorgjerd, Elin P.; Soric, Maroje; Soto-Rojas, Victoria E.; Soumare, Aicha; Sousa-Poza, Alfonso; Spiroski, Igor; Staessen, Jan A.; Stang, Andreas; Steene-Johannessen, Jostein; Stehle, Peter; Stein, Aryeh D.; Stergiou, George S.; Stokwiszewski, Jakub; Stoyanova, Ekaterina; Stratton, Gareth; Stronks, Karien; Sturua, Lela; Suarez-Ortegon, Milton F.; Suebsamran, Phalakorn; Sulo, Gerhard; Sundstrom, Johan; Suriyawongpaisal, Paibul; Swinburn, Boyd A.; Sylva, Rene Charles; Szponar, Lucjan; Tai, E. Shyong; Tambalis, Konstantinos D.; Tamosiunas, Abdonas; Tanabayev, Baimakhan; Tanrygulyyeva, Maya; Tarawneh, Mohammed Rasoul; Tarp, Jakob; Tarqui-Mamani, Carolina B.; Braunerova, Radka Taxova; Velde, Saskia Te; Tebar, William R.; Tell, Grethe S.; Tello, Tania; Thankappan, K. R.; Theodoridis, Xenophon; Thirunavukkarasu, Sathish; Thomas, Nihal; Thrift, Amanda G.; Ticha, Lubica; Timmermans, Erik J.; Tjandrarini, Dwi Hapsari; Tjonneland, Anne; Tolstrup, Janne S.; Topbas, Murat; Torres-Collado, Laura; Touloumi, Giota; Traissac, Pierre; Triantafyllou, Areti; Trivedi, Atul; Tshepo, Lechaba; Tsintavis, Panagiotis; Tuitele, John; Tuliakova, Azaliia M.; Tulloch-Reid, Marshall K.; Tullu, Fikru; Tuomainen, Tomi-Pekka; Turley, Maria L.; Tzala, Evangelia; Tzotzas, Themistoklis; Tzourio, Christophe; Ueda, Peter; Ugel, Eunice; Ukoli, Flora A. M.; Usupova, Zhamyila; Uusitalo, Hannu M. T.; Uysal, Nalan; Valdivia, Gonzalo; Valvi, Damaskini; van Dam, Rob M.; van den Born, Bert-Jan; Van der Heyden, Johan; van der Schouw, Yvonne T.; Van Lippevelde, Wendy; Hoang Van Minh; Van Schoor, Natasja M.; van Valkengoed, Irene G. M.; Vanderschueren, Dirk; Vanuzzo, Diego; Varela-Moreiras, Gregorio; Vargas, Luz Nayibe; Vasan, Senthil K.; Vasques, Daniel G.; Vega, Tomas; Velasquez-Melendez, Gustavo; Velika, Biruta; Verdot, Charlotte; Verloigne, Maite; Veronesi, Giovanni; Verschuren, W. M. Monique; Verstraeten, Roosmarijn; Viet, Lucie; Vik, Froydis N.; Vilar, Monica; Villalpando, Salvador; Vioque, Jesus; Virtanen, Jyrki K.; Visser, Marjolein; Viswanathan, Bharathi; Vladulescu, Mihaela; Voelzke, Henry; Voutilainen, Ari; Vrijheid, Martine; Wade, Alisha N.; Bebakar, Wan Mohamad Wan; Mohamud, Wan Nazaimoon Wan; Wanderley Junior, Rildo de Souza; Wang, Chongjian; Wang, Huijun; Wang, Ningli; Wang, Qian; Wang, Xiangjun; Wang, Ya Xing; Wang, Ying-Wei; Wannamethee, S. Goya; Wareham, Nicholas; Wartha, Olivia; Weber, Adelheid; Webster-Kerr, Karen; Wedderkopp, Niels; Weghuber, Daniel; Wei, Wenbin; Westbury, Leo; Whincup, Peter H.; Wickramasinghe, Kremlin; Widhalm, Kurt; Widyahening, Indah S.; Wiecek, Andrzej; Wilks, Rainford J.; Willeit, Karin; Willeit, Peter; Williams, Julianne; Wilsgaard, Tom; Wojtyniak, Bogdan; Wong-McClure, Roy A.; Wong, Andrew; Wong, Emily B.; Woodward, Mark; Wu, Frederick C.; Wyszynska, Justyna; Xu, Haiquan; Xu, Liang; Yaacob, Nor Azwany; Yan, Li; Yan, Weili; Yang, Yang; Garcia, Martha Yepez; Yoosefi, Moein; Yoshihara, Akihiro; Younger-Coleman, Novie O.; Yu, Yu-Ling; Yu, Yunjiang; Yusof, Ahmad Faudzi; Zafiropulos, Vassilis; Zainuddin, Ahmad A.; Zamani, Farhad; Zambon, Sabina; Zampelas, Antonis; Zapata, Maria Elisa; Zaw, Ko Ko; Zdrojewski, Tomasz; Zeglen, Magdalena; Zejglicova, Kristyna; Vrkic, Tajana Zeljkovic; Zhang, Bing; Zhang, Zhen-Yu; Zhecheva, Yanitsa V.; Zholdin, Bekbolat; Zimmet, Paul; Zins, Marie; Cisneros, Julio Zuniga; Zuziak, Monika</t>
  </si>
  <si>
    <t>NCD Risk Factor Collaborat NCD RisC</t>
  </si>
  <si>
    <t>General and abdominal adiposity and hypertension in eight world regions: a pooled analysis of 837 population-based studies with 7•5 million participants</t>
  </si>
  <si>
    <t>Background Adiposity can be measured using BMI (which is based on weight and height) as well as indices of abdominal adiposity. We examined the association between BMI and waist-to-height ratio (WHtR) within and across populations of different world regions and quantified how well these two metrics discriminate between people with and without hypertension. Methods We used data from studies carried out from 1990 to 2023 on BMI, WHtR and hypertension in people aged 20-64 years in representative samples of the general population in eight world regions. We graphically compared the regional distributions of BMI and WHtR, and calculated Pearson's correlation coefficients between BMI and WHtR within each region. We used mixed-effects linear regression to estimate the extent to which WHtR varies across regions at the same BMI. We graphically examined the prevalence of hypertension and the distribution of people who have hypertension both in relation to BMI and WHtR, and we assessed how closely BMI and WHtR discriminate between participants with and without hypertension using C-statistic and net reclassification improvement (NRI). Findings The correlation between BMI and WHtR ranged from 076 to 089 within different regions. After adjusting for age and BMI, mean WHtR was highest in south Asia for both sexes, followed by Latin America and the Caribbean and the region of central Asia, Middle East and north Africa. Mean WHtR was lowest in central and eastern Europe for both sexes, in the high-income western region for women, and in Oceania for men. Conversely, to achieve an equivalent WHtR, the BMI of the population of south Asia would need to be, on average, 2 center dot 79 kg/m(2) (95% CI 231-328) lower for women and 1 center dot 28 kg/m(2) (1&lt;02-154) lower for men than in the high-income western region. In every region, hypertension prevalence increased with both BMI and WHtR. Models with either of these two adiposity metrics had virtually identical C-statistics and NRIs for every region and sex, with C-statistics ranging from 0&lt;72 to 081 and NRIs ranging from 034 to 0 center dot 57 in different region and sex combinations. When both BMI and WHtR were used, performance improved only slightly compared with using either adiposity measure alone. Interpretation BMI can distinguish young and middle-aged adults with higher versus lower amounts of abdominal adiposity with moderate-to-high accuracy, and both BMI and WHtR distinguish people with or without hypertension. However, at the same BMI level, people in south Asia, Latin America and the Caribbean, and the region of central Asia, Middle East and north Africa, have higher WHtR than in the other regions.</t>
  </si>
  <si>
    <t>Husseini, Abdullatif/E-8377-2015; Zhou, Bin/JGE-3401-2023; Pereira, Claudia/AAZ-9123-2021; Moreno, Luis/S-1780-2019; Zhang, Zhenyu/AAA-5096-2021; Norton, Kevin/KPB-7404-2024; Navarrete-Muñoz, Eva/F-1666-2011; Rech, Cassiano/AAU-4340-2020; Chirlaque, Maria-Dolores/KCL-3322-2024; Popovic, Stevo/S-7125-2016; Gialluisi, Alessandro/K-1195-2018; Nenko, Ilona/F-7410-2010; Bloch, Katia/GLN-2877-2022; Mostafavi, Seyed-Ali/AAG-9898-2019; Miranda, J. Jaime/A-8482-2008; Fernandez-Berges, Daniel/R-5998-2019; Ortiz, Pedro/LPP-8332-2024; Bustamante, Mariona/ABB-9142-2021; Cucu, Alexandra/MDT-5893-2025; Söderberg, Stefan/AAG-3881-2019; correia Junior, Marco/JAX-3093-2023; Peixoto, Sérgio/AAK-7335-2021; Gupta, Rajat/E-5545-2018; Thankappan, Kavumpurathu/ABC-9551-2021; van der Schouw, Yvonne/F-8327-2014; larijani, Bagher/ABE-3315-2020; Jelaković, Ana/HLH-2435-2023; Schaan, Beatriz/I-7518-2017; Gibbs, J. Raphael/A-3984-2010; Sabbaghi, Hamideh/AAT-2398-2021; Malekpour, Mohammad-Reza/AFU-5793-2022; Katzmarzyk, Peter/N-1974-2017; Lind, Lars/KAM-1968-2024; Kozieł, Sławomir/AAE-1003-2022; Qorbani, Mostafa/M-8171-2017; Confortin, Susana/KPB-8397-2024; Sardinha, Luís/F-2641-2013; Safi, Sare/AAW-4651-2020; Meisinger, Christine/B-5358-2014; Monterrubio, Eric/L-8073-2017; Mistretta, Antonio/J-5770-2012; Raitakari, Olli/AAQ-7389-2021; van Dam, Rob/F-9674-2010; Cardoso, Viviane/D-6254-2012; Nakamura, Harunobu/R-9237-2019; Sidossis, Labros/AAN-9546-2021; Isiguzo, Godsent/AAD-8102-2022; Thirunavukkarasu, Sathish/ABM-9697-2022; Spiroski, Igor/KYP-9785-2024; Silva, Kelly/AAX-8307-2020; Hardy, Rebecca/AFR-1989-2022; Mini, GK/ACE-7458-2022; Ergör, Gül/AAC-6457-2019; Brinduse, Lacramioara/JGE-2820-2023; Farjam, Mojtaba/O-3475-2017; Benoit, Salanave/F-3062-2017; Leong, Elvynna/GPC-8264-2022; Vasconcelos, Francisco/I-9222-2016; Kannan, Srinivasan/G-2896-2019; Aryal, Krishna/AFN-8677-2022; shayesteh, ali/R-1791-2017; Veronesi, Giovanni/O-5678-2019; Wang, Yaxing/AAL-2809-2020; REDON, JOSEP/E-1719-2019; Jarani, Juel/Y-4621-2018; Veronesi, Giovanni/E-3859-2010; Homayounfar, Reza/L-8813-2017; Cândido, Ana/L-9217-2013; Alkandari, Abdullah/AAI-5745-2021; Mohebbi, Iraj/G-1494-2017; Ghamari, Seyyed-Hadi/AFW-2770-2022; Providencia, Rui/HTN-7692-2023; popkin, barry/AFW-3930-2022; Alkhatib, Buthaina/GWY-3175-2022; Gonzalez Rivas, Juan Pablo/HZK-6756-2023; Dahm, Christina/G-9787-2014; Fisberg, Mauro/E-7149-2010; Fuchs, Flávio/L-5078-2016; Iacoviello, Licia/AGX-7071-2022; Hoogendijk, Emiel/ABA-2749-2020; Dong, Guanghui/AAN-4630-2020; Pilav, Aida/GLR-8893-2022; Shengelia, Lela/LJL-4964-2024; Peykari, Niloofar/L-4521-2016; Fattahi, Mohammad Reza/AGP-3659-2022; Altirkawi, Khalid/D-7302-2017; Papadopoulou, Sousana/AAP-8678-2020; Varela-Moreiras, Gregorio/AAA-7153-2019; Matłosz, Piotr/E-7053-2018; Weghuber, Daniel/AAN-1422-2020; Clare, Philip/N-7884-2015; Echeverría, Guadalupe/GWV-3832-2022; Horta, Bernardo/A-7604-2008; Benet, Mikhail/AAS-2086-2020; Ikuta, Kevin/HHZ-6411-2022; Rangel Junior, João/HHN-8192-2022; Mustafa, Norlaila/AAL-6310-2020; Boggia, Jose/LHA-0190-2024; Staessen, Jan/A-1065-2011; Widyahening, Indah/GNP-8450-2022; Ni, Michael/G-5209-2012; Meshram, Indrapal/AGD-7915-2022; Bjerregaard, Peter/ABD-8894-2020; Gkiouras, Konstantinos/AAW-4478-2020; Chaturvedi, Nishi/C-7761-2013; Bekbolat, Zholdin/ABL-0799-2022; Braeckman, lutgart/HJH-7657-2023; Sedaghattalab, Moslem/AAG-2637-2021; de Paiva, Karina/AAU-6776-2020; ahmadi, naser/JCO-6978-2023; López-Gil, José Francisco/AAN-5618-2020; Swinburn, Boyd/JXL-3452-2024; Bastos, Joao/AAG-4560-2019; McLean, Rachael/AAF-7596-2019; Gonzalez-Gross, Marcela/W-8000-2018; Mohammadi, Mohammad/Y-5827-2019; Saghi, Mohammad/P-3197-2017; M'BUYAMBA-KABANGU, Jean/AAD-7736-2022; Kasaeian, Amir/C-8290-2017; Rojas, Rosalba/C-8714-2014; Zins, Marie/AAX-6551-2021; Onland-Moret, N./G-9185-2011; Escobedo, Jorge/AAH-3917-2020; Nie, Peng/AFO-4955-2022; Al-Hazzaa, Hazzaa/R-6909-2019; Hakimi, Hamid/G-8700-2017; Martin-Prevel, Yves/E-7637-2011; Monroy-Valle, Michele/W-2054-2018; Sakarya, Sibel/GRJ-1667-2022; Dankner, Rachel/Q-5245-2019; Braithwaite, Tasanee/HZL-8579-2023; Santos, Maria Paula/L-7533-2013; , Margus Punab/KXS-1159-2024; Figueiró, Thamara/AAE-8515-2019; Lim, Lee-Ling/D-7697-2015; Bugge, Anna/P-5100-2016; Shamshirgaran, Seyed/P-9524-2017; Huy, Nguyen Tien/B-2573-2010; Shittu, Aminu/I-3754-2014; Munroe, Patricia/HJP-3565-2023; Gomula, Aleksandra/AAB-8821-2019; Fernandes, Romulo/MCJ-6459-2025; Soares, Fernanda/D-6483-2016; Mirfakhraie, Reza/L-7430-2019; McFarlane, Shelly/AFU-7579-2022; Bahijri, Suhad/AAF-4141-2020; Brenner, Hermann/ABE-6383-2020; Rampal, Sanjay/B-9691-2010; Salaj, Sanja/V-5962-2018; Pascanu, Maria/AAY-4174-2020; Lopez-Garcia, Esther/A-8894-2019; Iotova, Violeta/AAO-2387-2021; Gonzalez, Angel/F-5832-2017; Segers, Patrick/AAA-7844-2020; Moradpour, Farhad/HGA-9768-2022; Schneider, Ione/J-8762-2013; /GQB-2573-2022; Thrift, Amanda/I-6251-2012; Cureau, Felipe/G-7405-2014; Pavlyshyn, Halyna/H-2220-2018; Kulimbet, Mukhtar/AAR-3059-2021; Tjonneland, Anne/AGU-0320-2022; Grøntved, Anders/AAA-8025-2022; Elosúa, M./E-3449-2018; Tanser, Frank/ABE-8326-2021; Trung, Nguyen/JGM-3997-2023; Bandosz, Piotr/E-4964-2017; Kobel, Susanne/HTP-4072-2023; Sobek, Grzegorz/KRP-8739-2024; Ritti-Dias, Raphael/G-4200-2013; Ratan, Zubair Ahmed/GLT-3265-2022; Mereke, Alibek/ABA-4469-2020; Somi, Mohammad/B-1875-2009; Hinnig, Patricia/Q-4262-2018; Crump, John/AAZ-6412-2020; Rahim, Hanan/S-5987-2019; Gujral, Unjali/W-2640-2019; ATI, Jalila/Y-5467-2018; Tamosiunas, Abdonas/AAD-4274-2021; Merat, Shahin/A-5478-2009; Mourão-Carvalhal, Maria/A-4026-2017; Ostovar, Afshin/D-4630-2017; Abbasi-Kangevari, Mohsen/AAB-8908-2022; Osler, Merete/AAF-7885-2019; Klimek, Magdalena/AAL-8318-2020; Jasienska, Grazyna/E-4901-2011; Korzycka, Magdalena/AAG-1778-2021; Pourfarzi, Farhad/O-6772-2019; De Ridder, Karin/KFB-0647-2024; Gulliford, Martin/I-8606-2018; Ong, Sok King/AAA-5791-2021; Joukar, Farahnaz/P-9423-2016; bajramovic, izet/GLU-5580-2022; Valvi, Dania/ABE-6650-2020; Hamzeh, Behrooz/S-6852-2017; Foo, Leng/I-1127-2012; Drygas, Wojciech/GLR-9863-2022; Huisman, Martijn/G-2873-2010; Otero, Johanna/MGU-4434-2025; Alieva, Anna/AAK-1734-2020; Menni, Cristina/JLL-2864-2023; Tambalis, Konstantinos/JWO-7031-2024; Tarawneh, Monther/Q-8808-2016; Rosu, Maria Magdalena/HZI-4735-2023; Gonzalez-Chica, David/L-5316-2019; Jääskeläinen, Tuija/HJP-9606-2023; Herrera, Víctor/ABB-4480-2020; Guimarães, Rafael/AFN-3915-2022; Ebrahimi, Narges/AAN-7388-2021; Ferguson, Trevor/Q-7209-2019; Barros, Aluisio/A-7417-2008; Moschonis, George/AAM-9616-2021; giovannelli, jonathan/I-5307-2018; Rodriguez, Laura/GWC-8446-2022; Wyszynska, Justyna/L-5315-2016; Leung, Gabriel/C-4336-2009; Smeeth, Liam/X-5862-2018; Jonas, Jost/AEP-3841-2022; Carvalho, Joana/L-7948-2013; Matijasevich, Alicia/C-5576-2009; Sepanlou, Sadaf/H-9343-2016; Kruger, Ruan/N-7618-2015; Lilly, Christa/R-6644-2017; Sakata, Satoko/JCO-7023-2023; Chin A Paw, Mai/N-1665-2019; Galbarczyk, Andrzej/J-4657-2019; Kavousi, Maryam/F-1174-2018; Masoudi, Sahar/AEY-5492-2022; Mascarenhas, Luis/H-3465-2012; Shalnova, Svetlana/D-3824-2016; khaledifar, rsalan/N-3117-2017; Najafi, Farid/JSL-1581-2023; Nguyen, Truong/JXN-9786-2024; van den Born, Bert-Jan/IUQ-0970-2023; Sabanayagam, Charumathi/C-1294-2011; Masinaei, Masoud/AAE-2481-2022; Khosravi, Alireza/A-6141-2018; Martinez, Ramfis/I-7205-2019; Nalecz, Hanna/B-6788-2013; Noto, Davide/AAA-9208-2019; Schmidt, Carsten/AAH-2778-2019; Verdot, Charlotte/F-3050-2017; Mehlig, Kirsten/AAT-3468-2020; Theodoridis, Xenophon/AGS-2767-2022; Jiménez-Pavón, David/AAA-2970-2020; Sonestedt, Emily/I-3814-2016; Chudek, Jerzy/I-2826-2019; Zaw, Ko-Ko/HGF-2385-2022; mota, jorge/B-2980-2013; Ochoa-Avilés, Angélica/A-8713-2014; de Assis, Maria/B-8125-2009; mirjalili, mohammad/C-8543-2019; Gunter, Marc/AAP-8621-2020; Baretić, Maja/ITU-6886-2023; Demissie, Dereje/AAN-3556-2021; Kengne, Andre/ABB-3696-2020; Tebar, William/S-7523-2018; Henrique, Rafael/GOP-3290-2022; Sen, Abhijit/AAD-6009-2022; Fuchs, Sandra/T-2670-2019; Bel-Serrat, Silvia/AAN-8221-2020; Banach, Maciej/A-1271-2009; Makdisse, Marcia/AAY-9814-2020; Van Lippevelde, Wendy/AAM-6490-2021; Dika, Živka/AAX-7621-2021; Peterkova, Valentina/B-1344-2017; Iwasaki, Masanori/HTM-9059-2023; Herter-Aeberli, Isabelle/C-8580-2013; Shariful Islam, Sheikh Mohammed/B-1219-2011; Bjelica, Dusko/S-7633-2016; Aguilar Salinas, Carlos A/JFS-8212-2023; Khalili, Davood/T-2913-2017; Mocanu, Veronica/AAQ-6285-2020; Crujeiras, Ana B/ABA-8866-2021; Basit, Abdul/IVH-5780-2023; Ueda, Peter/AGH-9915-2022; Fijalkowska, Anna/V-3994-2018; Riboli, Elio/A-4357-2009; Panza, Francesco/Y-2539-2019; Abdrakhmanova, Shynar/U-5619-2018; NISHI, NOBUO/S-6195-2019; Schramm, Sara/B-5415-2014; solfrizzi, vincenzo/AAL-3222-2020; Kelishadi, Roya/E-6154-2012; Laatikainen, Tiina/ABD-6622-2021; Vrijheid, Martine/H-2702-2014; Haghshenas, Rosa/JYP-8789-2024; Ramasamy, Shakthi Kumaran/MEP-7182-2025; Puiu, Maria/F-3138-2016; Pham, Thai Son/JMB-2145-2023; Al Hourani, Huda/AEQ-4615-2022; MENESES HARDMAN, CARLA/ITT-9873-2023; Aekplakorn, Wichai/AAK-6867-2021; Velasquez-Melendez, Gustavo/ACO-7729-2022; Criqui, Michael/AFT-6067-2022; Barrera, Lena/AGL-6465-2022; Siani, Alfonso/B-7925-2015; Assah, Felix/HTQ-6564-2023; Vatten, Lars/AFK-2073-2022; Miquel, Juan/K-6310-2014; Rohloff, Peter/P-8722-2017; AMOUGOU, Norbert/GXW-3348-2022; Noboa, Oscar/Q-8150-2019; Nejatizadeh, Azim/M-2608-2017; Donati, Maria/K-6606-2016; Cuschieri, Sarah/Y-2881-2019; Viswanathan, Mohan/C-2321-2009; Mehrparvar, Amirhoushang/HGE-7320-2022; Timpson, Nicholas/O-7548-2015; Vioque, Jesus/A-1066-2008; van Valkengoed, Irene/ABA-1551-2021; Machado-Coelho, George Luiz/ABA-4312-2021; Cortes, Lilia/AAF-2960-2019; Brito, Miguel/AAY-5495-2021; Poudyal, Anil/IVH-4823-2023; Litwin, Mieczyslaw/ABH-4315-2020; Al-Raddadi, Rajaa/F-8337-2010; Esmaeili, Ali/T-1101-2019; Pizarro, Andreia/AEG-1728-2022; Mohammadpourhodki, Reza/P-5260-2018; Christofaro, Diego/C-3312-2014; Murtagh, Elaine/AEO-8704-2022; Manios, Yannis/AAM-8953-2021; Quialheiro, Anna/IUN-2024-2023; Batista, Aline/Q-5353-2019; Hwalla, Nahla/MIO-6582-2025; Assembekov, Batyrbek/K-6177-2018; Marques, Larissa/AAJ-8457-2020; Bo, Simona/AAC-1110-2019; Ho, Daniel/C-4307-2009; moosazadeh, mahmood/F-3730-2017; Coelho, George/S-3411-2019; Hambleton, Ian/AAP-3519-2020; Peltonen, Markku/F-3037-2015; Santos, Diana/H-9086-2013; Kruger, Salome/R-2476-2019; Zimmet, Paul/H-7635-2013; Schramm, Stine/X-3474-2019; Żegleń, Magdalena/HKO-2884-2023; Garnett, Sarah/D-8067-2012; TELLO, TANIA/GWZ-3894-2022; Yaacob, Nor/L-5709-2016; Petrilli, Alberto/AAZ-6314-2021; Piler, Pavel/L-6153-2016; Victora, Cesar/Y-2455-2019; Unal, Belgin/E-7064-2017; lachat, carl/AAH-9764-2020; Dyussupova, Azhar/F-2302-2017; Bacopoulou, Flora/AAH-1218-2019; Stergiou, George/J-3083-2019; Davletov, Kairat/JDD-4419-2023; Bikbov, Mukharram/AAO-7624-2021; donfrancesco, chiara/K-1460-2016; d'Orsi, Eleonora/D-1905-2015; Kim, Hyeon/F-8796-2019; Karki, Khem/AAM-8242-2021; Santos, Marcos/L-1761-2016; nuhoglu, irfan/Z-1967-2018; Zainuddin, Ahmad/AAN-6675-2021; Mensink, Gert/B-2447-2009; Costanzo, Simona/K-5076-2016; Tahan, Mohammad/N-9252-2017; Dhimal, Meghnath/AAD-7261-2021; Sharman, Almaz/AGJ-4693-2022; Meyer, Haakon/AAH-9333-2019; Pop, Raluca/AAS-7928-2020; Furdela, Viktoriya/AAG-7081-2019; Costa, Maria Fernanda/ABE-3779-2021; Ferrari, Gerson/HHM-6173-2022; Howitt, Christina/MIK-9677-2025; Reynolds, Andrew/AAC-6282-2019; Panza, Francesco/M-6804-2017; Kazakbaeva, Gyulli/ABA-6752-2021; Moslem, Alireza/AAL-1031-2021; Ahmadi, Nastaran/AAW-1051-2020; do Rosário, Helena/M-6077-2013; Enang, Ofem/AAQ-4396-2021; f, m/AAM-2063-2021; GHAFFAR, SUHAILA/AAG-1965-2019; Huerta, José María/N-8654-2015; Stein, Aryeh/J-9831-2012; Virtanen, Jyrki/G-5149-2013; Saki, Nader/Q-9926-2017; Goncalves, Mauer/LSK-9700-2024; Sharafkhah, Maryam/JQW-6917-2023; Kujala, Urho/AAP-2547-2020; Censi, Laura/AAN-1674-2020; Menezes, Ana/G-7266-2012; Godos, Justyna/AAC-1302-2019; Huiart, Laetitia/LXA-7410-2024; Vargas, Luz/AAB-4258-2020; Gomez, Georgina/AAR-7272-2020; Efthymiou, Vasiliki/GWC-7978-2022; cheraghian, bahman/L-8808-2017; do Carmo P Franco, Maria/F-7771-2015; Woo, Jean/K-2625-2014; Mansour-Ghanaei, Fariborz/ABC-0170-2022; Sunkersing, David/AAB-7020-2021; Chiolero, Arnaud/A-4322-2010; Mosquera, Mildrey/AGK-3087-2022; Mostafa, Aya/ITV-5153-2023; Pikhart, Hynek/E-3074-2010; de Bont, Jeroen/HZI-8523-2023; Cirillo, Massimo/G-5480-2018; Alieva, Anna/None; Lopez, Tania/AAC-5951-2021; khader, yousef/AAE-9620-2019; Giordani Vasques, Daniel/B-6578-2013; N, Skoblina/Y-8078-2018; fakhradiyev, ildar/ABI-2183-2020; Iacoviello, Licia/K-4676-2016; Ramos, Rafel/D-9627-2016; Ferrari, Gerson/P-1152-2014; Gomez, Santiago Felipe/H-9478-2017; Modesti, Pietro Amedeo/B-2638-2012; Gonzalez Gil, Esther Maria/AAA-8040-2020; Silva, Diego Augusto Santos/AAB-9249-2020; Koenig, Juergen/I-8130-2014; Nagalla, Balakrishna/GRR-4393-2022; Schutte, Aletta/E-5126-2018; Barbosa Filho, Valter/F-9025-2011; Chamnan, Parinya/J-6712-2017; Schmidt, Amand Floriaan/G-6602-2017; Braithwaite, Tasanee/AAZ-1118-2020; Schroder, Helmut/G-2586-2015; Niiranen, Teemu/R-1507-2017; Morejon Giraldoni, Alain Francisco/AAS-4280-2020</t>
  </si>
  <si>
    <t>Mostafa, Aya/0000-0002-2803-2608; Peykari, Niloofar/0000-0003-3219-3751; Pikhart, Hynek/0000-0001-5277-4049; de Bont, Jeroen/0000-0001-9924-5961; Grontved, Anders/0000-0003-1584-679X; Cirillo, Massimo/0000-0002-6409-3504; Alieva, Anna/0000-0002-4921-4494; Lopez, Tania/0000-0002-6168-400X; Gupta, Rajeev/0000-0002-8356-3137; Michels, Nathalie/0000-0002-3069-7254; khader, yousef/0000-0002-7830-6857; Kengne, Andre Pascal/0000-0002-5183-131X; Giordani Vasques, Daniel/0000-0001-8955-9676; N, Skoblina/0000-0001-7348-9984; Ottendahl, Charlotte Brandstrup/0000-0002-9285-3099; Westbury, Leo/0009-0008-5853-8096; Dennison, Elaine/0000-0002-3048-4961; Egebaek, Heidi Klakk/0000-0002-9299-4334; Bo, Simona/0000-0001-6862-8628; Osmond, Clive/0000-0002-9054-4655; Quialheiro, Anna/0000-0002-4168-6585; Dziankowska-Zaborszczyk, Elzbieta/0000-0001-8423-9606; fakhradiyev, ildar/0000-0003-0528-3874; Drygas, Wojciech/0000-0002-4351-6459; Wedderkopp, Niels/0000-0002-9660-6618; Shiri, Rahman/0000-0002-9312-3100; Iacoviello, Licia/0000-0003-0514-5885; Ramos, Rafel/0000-0001-7970-5537; Ferrari, Gerson/0000-0003-3177-6576; Gialluisi, Alessandro/0000-0002-7388-4463; Goncalves, Mauer/0000-0001-7937-7430; Gomez, Santiago Felipe/0000-0003-3352-2510; Moller, Niels Christian/0000-0001-5842-5595; Modesti, Pietro Amedeo/0000-0002-9511-2173; Gonzalez Gil, Esther Maria/0000-0003-2005-8229; Silva, Diego Augusto Santos/0000-0002-0489-7906; Koenig, Juergen/0000-0003-2184-9372; Furdela, Viktoriya/0000-0003-2030-4071; Moreno Aznar, Luis A./0000-0003-0454-653X; Kristensen, Peter Lund/0000-0002-5666-9614; Sodemann, Morten/0000-0001-8992-2500; Nagalla, Balakrishna/0000-0002-5613-0942; Schutte, Aletta/0000-0001-9217-4937; vanderschueren, dirk/0000-0003-1395-0104; Bjerregaard, Peter/0000-0001-7153-8447; Barbosa Filho, Valter/0000-0002-4769-4068; Baretic, Maja/0000-0002-7242-8407; Chamnan, Parinya/0000-0002-5202-4149; Schmidt, Amand Floriaan/0000-0003-1327-0424; Lehtimaki, Terho/0000-0002-2555-4427; Valvi, Dania/0000-0003-4633-229X; Riboli, Elio/0000-0001-6795-6080; Braithwaite, Tasanee/0000-0002-3025-4066; Tambalis, Konstantinos/0000-0002-5817-9395; Zhou, Bin/0000-0002-1741-8628; Schroder, Helmut/0000-0003-2231-5081; Niiranen, Teemu/0000-0002-7394-7487; Morejon Giraldoni, Alain Francisco/0000-0002-4652-1771; Tolstrup, Janne/0000-0002-9796-3967; Khunti, Kamlesh/0000-0003-2343-7099; Lopez-Gil, Jose Francisco/0000-0002-7412-7624; Norton, Kevin/0000-0002-0973-7012; Carlsson, Axel C/0000-0001-6113-0472; Yankova Ivanova-Pandourska, Ivaila/0009-0001-6637-705X; Rust, Petra/0000-0002-6477-8407; Ahmadi, Nastaran/0000-0001-9885-0326</t>
  </si>
  <si>
    <t>1474-547X</t>
  </si>
  <si>
    <t>AUG 31</t>
  </si>
  <si>
    <t>10.1016/S0140-6736(24)01405-3</t>
  </si>
  <si>
    <t>WOS:001313954500001</t>
  </si>
  <si>
    <t>Hudson, LN; Newbold, T; Contu, S; Hill, SLL; Lysenko, I; De Palma, A; Phillips, HRP; Alhusseini, TI; Bedford, FE; Bennett, DJ; Booth, H; Burton, VJ; Chng, CWT; Choimes, A; Correia, DLP; Day, J; Echeverría-Londoño, S; Emerson, SR; Gao, D; Garon, M; Harrison, MLK; Ingram, DJ; Jung, M; Kemp, V; Kirkpatrick, L; Martin, CD; Pan, Y; Pask-Hale, GD; Pynegar, EL; Robinson, AN; Sanchez-Ortiz, K; Senior, RA; Simmons, BI; White, HJ; Zhang, HB; Aben, J; Abrahamczyk, S; Adum, GB; Aguilar-Barquero, V; Aizen, MA; Albertos, B; Alcala, EL; Alguacil, MD; Alignier, A; Ancrenaz, M; Andersen, AN; Arbeláez-Cortés, E; Armbrecht, I; Arroyo-Rodríguez, V; Aumann, T; Axmacher, JC; Azhar, B; Azpiroz, AB; Baeten, L; Bakayoko, A; Báldi, A; Banks, JE; Baral, SK; Barlow, J; Barratt, BIP; Barrico, L; Bartolommei, P; Barton, DM; Basset, Y; Batáry, P; Bates, AJ; Baur, B; Bayne, EM; Beja, P; Benedick, S; Berg, Å; Bernard, H; Berry, NJ; Bhatt, D; Bicknell, JE; Bihn, JH; Blake, RJ; Bobo, KS; Bóçon, R; Boekhout, T; Böhning-Gaese, K; Bonham, KJ; Borges, PAV; Borges, SH; Boutin, C; Bouyer, J; Bragagnolo, C; Brandt, JS; Brearley, FQ; Brito, I; Bros, V; Brunet, J; Buczkowski, G; Buddle, CM; Bugter, R; Buscardo, E; Buse, J; Cabra-Garcia, J; Cáceres, NC; Cagle, NL; Calviño-Cancela, M; Cameron, SA; Cancello, EM; Caparros, R; Cardoso, P; Carpenter, D; Carrijo, TF; Carvalho, AL; Cassano, CR; Castro, H; Castro-Luna, AA; Cerda, BR; Cerezo, A; Chapman, KA; Chauvat, M; Christensen, M; Clarke, FM; Cleary, DFR; Colombo, G; Connop, SP; Craig, MD; Cruz-López, L; Cunningham, SA; D'Aniello, B; D'Cruze, N; da Silva, PG; Dallimer, M; Danquah, E; Darvill, B; Dauber, J; Davis, ALV; Dawson, J; de Sassi, C; de Thoisy, B; Deheuvels, O; Dejean, A; Devineau, JL; Diekötter, T; Dolia, JV; Domínguez, E; Dominguez-Haydar, Y; Dorn, S; Draper, I; Dreber, N; Dumont, B; Dures, SG; Dynesius, M; Edenius, L; Eggleton, P; Eigenbrod, F; Elek, Z; Entling, MH; Esler, KJ; De Lima, RF; Faruk, A; Farwig, N; Fayle, TM; Felicioli, A; Felton, AM; Fensham, RJ; Fernandez, IC; Ferreira, CC; Ficetola, GF; Fiera, C; Filgueiras, BKC; Firincioglu, HK; Flaspohler, D; Floren, A; Fonte, SJ; Fournier, A; Fowler, RE; Franzén, M; Fraser, LH; Fredriksson, GM; Freire, GB ; Frizzo, TLM; Fukuda, D; Furlani, D; Gaigher, R; Ganzhorn, JU; García, KP; Garcia-R, JC; Garden, JG; Garilleti, R; Ge, BM; Gendreau-Berthiaume, B; Gerard, PJ; Gheler-Costa, C; Gilbert, B; Giordani, P; Giordano, S; Golodets, C; Gomes, LGL; Gould, RK; Goulson, D; Gove, AD; Granjon, L; Grass, I; Gray, CL; Grogan, J; Gu, WB; Guardiola, M; Gunawardene, NR; Gutierrez, AG; Gutiérrez-Lamus, DL; Haarmeyer, DH; Hanley, ME; Hanson, T; Hashim, NR; Hassan, SN; Hatfield, RG; Hawes, JE; Hayward, MW; Hébert, C; Helden, AJ; Henden, JA; Henschel, P; Hernáandez, L; Herrera, JP; Herrmann, F; Herzog, F; Higuera-Diaz, D; Hilje, B; Höfer, H; Hoffmann, A; Horgan, FG; Hornung, E; Horváth, R; Hylander, K; Isaacs-Cubides, P; Ishida, H; Ishitani, M; Jacobs, CT; Jaramillo, VJ; Jauker, B; Hernández, FJ; Johnson, MF; Jolli, V; Jonsell, M; Juliani, SN; Jung, TS; Kapoor, V; Kappes, H; Kati, V; Katovai, E; Kellner, K; Kessler, M; Kirby, KR; Kittle, AM; Knight, ME; Knop, E; Kohler, F; Koivula, M; Kolb, A; Kone, M; Korösi, A; Krauss, J; Kumar, A; Kumar, R; Kurz, DJ; Kutt, AS; Lachat, T; Lantschner, V; Lara, F; Lasky, JR; Latta, SC; Laurance, WF; Lavelle, P; Le Féon, V; LeBuhn, G; Légaré, JP; Lehouck, V; Lencinas, MV; Lentini, PE; Letcher, SG; Li, Q; Litchwark, SA; Littlewood, NA; Liu, YH; Lo-Man-Hung, N; López-Quintero, CA; Louhaichi, M; Lövei, GL; Lucas-Borja, ME; Luja, VH; Luskin, MS; MacSwiney, MC; Maeto, K; Magura, T; Mallari, NA; Malone, LA; Malonza, PK; Malumbres-Olarte, J; Mandujano, S; Måren, IE; Marin-Spiotta, E; Marsh, CJ; Marshall, EJP; Martínez, E; Pastur, GM; Mateos, DM; Mayfield, MM; Mazimpaka, V; McCarthy, JL; McCarthy, KP; McFrederick, QS; McNamara, S; Medina, NG; Medina, R; Mena, JL; Mico, E; Mikusinski, G; Milder, JC; Miller, JR; Miranda-Esquivel, DR; Moir, ML; Morales, CL; Muchane, MN; Muchane, M; Mudri-Stojnic, S; Munira, AN; Muoñz-Alonso, A; Munyekenye, BF; Naidoo, R; Naithani, A; Nakagawa, M; Nakamura, A; Nakashima, Y; Naoe, S; Nates-Parra, G; Gutierrez, DAN; Navarro-Iriarte, L; Ndang'ang'a, PK; Neuschulz, EL; Ngai, JT; Nicolas, V; Nilsson, SG; Noreika, N; Norfolk, O; Noriega, JA; Norton, DA; Nöske, NM; Nowakowski, AJ; Numa, C; O'Dea, N; O'Farrell, PJ; Oduro, W; Oertli, S; Ofori-Boateng, C; Oke, CO; Oostra, V; Osgathorpe, LM; Otavo, SE; Page, NV; Paritsis, J; Parra-H, A; Parry, L; Pe'er, G; Pearman, PB; Pelegrin, N; Pélissier, R; Peres, CA; Peri, PL; Persson, AS; Petanidou, T; Peters, MK; Pethiyagoda, RS; Phalan, B; Philips, TK; Pillsbury, FC; Pincheira-Ulbrich, J; Pineda, E; Pino, J; Pizarro-Araya, J; Plumptre, AJ; Poggio, SL; Politi, N; Pons, P; Poveda, K; Power, EF; Presley, SJ; Proença, V; Quaranta, M; Quintero, C; Rader, R; Ramesh, BR; Ramirez-Pinilla, MP; Ranganathan, J; Rasmussen, C; Redpath-Downing, NA; Reid, JL; Reis, YT; Benayas, JM; Rey-Velasco, JC; Reynolds, C; Ribeiro, DB; Richards, MH; Richardson, BA; Richardson, MJ; Rios, RM; Robinson, R; Robles, CA; Römbke, J; Romero-Duque, LP; Rös, M; Rosselli, L; Rossiter, SJ; Roth, DS; Roulston, TH; Rousseau, L; Rubio, AV; Ruel, JC; Sadler, JP; Sáfián, S; Saldaña-Vázquez, RA; Sam, K; Samnegård, U; Santana, J; Santos, X; Savage, J; Schellhorn, NA; Schilthuizen, M; Schmiedel, U; Schmitt, CB; Schon, NL; Schüepp, C; Schumann, K; Schweiger, O; Scott, DM; Scott, KA; Sedlock, JL; Seefeldt, SS; Shahabuddin, G; Shannon, G; Sheil, D; Sheldon, FH; Shochat, E; Siebert, SJ; Silva, FAB; Simonetti, JA; Slade, EM; Smith, J; Smith-Pardo, AH; Sodhi, NS; Somarriba, EJ; Sosa, RA; Quiroga, GS; St-Laurent, MH; Starzomski, BM; Stefanescu, C; Steffan-Dewenter, I; Stouffer, PC; Stout, JC; Strauch, AM; Struebig, MJ; Su, ZM; Suarez-Rubio, M; Sugiura, S; Summerville, KS; Sung, YH; Sutrisno, H; Svenning, JC; Teder, T; Threlfall, CG; Tiitsaar, A; Todd, JH; Tonietto, RK; Torre, I; Tothmeresz, B; Tscharntke, T; Turner, EC; Tylianakis, JM; Uehara-Prado, M; Urbina-Cardona, N; Vallan, D; Vanbergen, AJ; Vasconcelos, HL; Vassilev, K; Verboven, HAF; Verdasca, MJ; Verdú, JR; Vergara, CH; Vergara, PM; Verhulst, J; Virgilio, M; Van Vu, L; Waite, EM; Walker, TR; Wang, HF; Wang, Y; Watling, JI; Weller, B; Wells, K; Westphal, C; Wiafe, ED; Williams, CD; Willig, MR; Woinarski, JCZ; Wolf, JHD; Wolters, V; Woodcock, BA; Wu, JH; Wunderle, JM ; Yamaura, Y; Yoshikura, S; Yu, DW; Zaitsev, AS; Zeidler, J; Zou, FS; Collen, B; Ewers, RM; Mace, GM; Purves, DW; Scharlemann, JPW; Purvis, A</t>
  </si>
  <si>
    <t>Hudson, Lawrence N.; Newbold, Tim; Contu, Sara; Hill, Samantha L. L.; Lysenko, Igor; De Palma, Adriana; Phillips, Helen R. P.; Alhusseini, Tamera I.; Bedford, Felicity E.; Bennett, Dominic J.; Booth, Hollie; Burton, Victoria J.; Chng, Charlotte W. T.; Choimes, Argyrios; Correia, David L. P.; Day, Julie; Echeverria-Londono, Susy; Emerson, Susan R.; Gao, Di; Garon, Morgan; Harrison, Michelle L. K.; Ingram, Daniel J.; Jung, Martin; Kemp, Victoria; Kirkpatrick, Lucinda; Martin, Callum D.; Pan, Yuan; Pask-Hale, Gwilym D.; Pynegar, Edwin L.; Robinson, Alexandra N.; Sanchez-Ortiz, Katia; Senior, Rebecca A.; Simmons, Benno I.; White, Hannah J.; Zhang, Hanbin; Aben, Job; Abrahamczyk, Stefan; Adum, Gilbert B.; Aguilar-Barquero, Virginia; Aizen, Marcelo A.; Albertos, Belen; Alcala, E. L.; del Mar Alguacil, Maria; Alignier, Audrey; Ancrenaz, Marc; Andersen, Alan N.; Arbelaez-Cortes, Enrique; Armbrecht, Inge; Arroyo-Rodriguez, Victor; Aumann, Tom; Axmacher, Jan C.; Azhar, Badrul; Azpiroz, Adrian B.; Baeten, Lander; Bakayoko, Adama; Baldi, Andras; Banks, John E.; Baral, Sharad K.; Barlow, Jos; Barratt, Barbara I. P.; Barrico, Lurdes; Bartolommei, Paola; Barton, Diane M.; Basset, Yves; Batary, Peter; Bates, Adam J.; Baur, Bruno; Bayne, Erin M.; Beja, Pedro; Benedick, Suzan; Berg, Ake; Bernard, Henry; Berry, Nicholas J.; Bhatt, Dinesh; Bicknell, Jake E.; Bihn, Jochen H.; Blake, Robin J.; Bobo, Kadiri S.; Bocon, Roberto; Boekhout, Teun; Bohning-Gaese, Katrin; Bonham, Kevin J.; Borges, Paulo A. V.; Borges, Sergio H.; Boutin, Celine; Bouyer, Jeremy; Bragagnolo, Cibele; Brandt, Jodi S.; Brearley, Francis Q.; Brito, Isabel; Bros, Vicenc; Brunet, Jorg; Buczkowski, Grzegorz; Buddle, Christopher M.; Bugter, Rob; Buscardo, Erika; Buse, Joern; Cabra-Garcia, Jimmy; Caceres, Nilton C.; Cagle, Nicolette L.; Calvino-Cancela, Maria; Cameron, Sydney A.; Cancello, Eliana M.; Caparros, Rut; Cardoso, Pedro; Carpenter, Dan; Carrijo, Tiago F.; Carvalho, Anelena L.; Cassano, Camila R.; Castro, Helena; Castro-Luna, Alejandro A.; Cerda, Rolando B.; Cerezo, Alexis; Chapman, Kim Alan; Chauvat, Matthieu; Christensen, Morten; Clarke, Francis M.; Cleary, Daniel F. R.; Colombo, Giorgio; Connop, Stuart P.; Craig, Michael D.; Cruz-Lopez, Leopoldo; Cunningham, Saul A.; D'Aniello, Biagio; D'Cruze, Neil; da Silva, Pedro Giovani; Dallimer, Martin; Danquah, Emmanuel; Darvill, Ben; Dauber, Jens; Davis, Adrian L. V.; Dawson, Jeff; de Sassi, Claudio; de Thoisy, Benoit; Deheuvels, Olivier; Dejean, Alain; Devineau, Jean-Louis; Diekoetter, Tim; Dolia, Jignasu V.; Dominguez, Erwin; Dominguez-Haydar, Yamileth; Dorn, Silvia; Draper, Isabel; Dreber, Niels; Dumont, Bertrand; Dures, Simon G.; Dynesius, Mats; Edenius, Lars; Eggleton, Paul; Eigenbrod, Felix; Elek, Zoltan; Entling, Martin H.; Esler, Karen J.; De Lima, Ricardo F.; Faruk, Aisyah; Farwig, Nina; Fayle, Tom M.; Felicioli, Antonio; Felton, Annika M.; Fensham, Roderick J.; Fernandez, Ignacio C.; Ferreira, Catarina C.; Ficetola, Gentile F.; Fiera, Cristina; Filgueiras, Bruno K. C.; Firincioglu, Huseyin K.; Flaspohler, David; Floren, Andreas; Fonte, Steven J.; Fournier, Anne; Fowler, Robert E.; Franzen, Markus; Fraser, Lauchlan H.; Fredriksson, Gabriella M.; Freire-, Geraldo B., Jr.; Frizzo, Tiago L. M.; Fukuda, Daisuke; Furlani, Dario; Gaigher, Rene; Ganzhorn, Joerg U.; Garcia, Karla P.; Garcia-R, Juan C.; Garden, Jenni G.; Garilleti, Ricardo; Ge, Bao-Ming; Gendreau-Berthiaume, Benoit; Gerard, Philippa J.; Gheler-Costa, Carla; Gilbert, Benjamin; Giordani, Paolo; Giordano, Simonetta; Golodets, Carly; Gomes, Laurens G. L.; Gould, Rachelle K.; Goulson, Dave; Gove, Aaron D.; Granjon, Laurent; Grass, Ingo; Gray, Claudia L.; Grogan, James; Gu, Weibin; Guardiola, Moises; Gunawardene, Nihara R.; Gutierrez, Alvaro G.; Gutierrez-Lamus, Doris L.; Haarmeyer, Daniela H.; Hanley, Mick E.; Hanson, Thor; Hashim, Nor R.; Hassan, Shombe N.; Hatfield, Richard G.; Hawes, Joseph E.; Hayward, Matt W.; Hebert, Christian; Helden, Alvin J.; Henden, John-Andre; Henschel, Philipp; Hernandez, Lionel; Herrera, James P.; Herrmann, Farina; Herzog, Felix; Higuera-Diaz, Diego; Hilje, Branko; Hofer, Hubert; Hoffmann, Anke; Horgan, Finbarr G.; Hornung, Elisabeth; Horvath, Roland; Hylander, Kristoffer; Isaacs-Cubides, Paola; Ishida, Hiroaki; Ishitani, Masahiro; Jacobs, Carmen T.; Jaramillo, Victor J.; Jauker, Birgit; Jimenez Hernandez, F.; Johnson, McKenzie F.; Jolli, Virat; Jonsell, Mats; Juliani, S. Nur; Jung, Thomas S.; Kapoor, Vena; Kappes, Heike; Kati, Vassiliki; Katovai, Eric; Kellner, Klaus; Kessler, Michael; Kirby, Kathryn R.; Kittle, Andrew M.; Knight, Mairi E.; Knop, Eva; Kohler, Florian; Koivula, Matti; Kolb, Annette; Kone, Mouhamadou; Koroesi, Adam; Krauss, Jochen; Kumar, Ajith; Kumar, Raman; Kurz, David J.; Kutt, Alex S.; Lachat, Thibault; Lantschner, Victoria; Lara, Francisco; Lasky, Jesse R.; Latta, Steven C.; Laurance, William F.; Lavelle, Patrick; Le Feon, Violette; LeBuhn, Gretchen; Legare, Jean-Philippe; Lehouck, Valerie; Lencinas, Maria V.; Lentini, Pia E.; Letcher, Susan G.; Li, Qi; Litchwark, Simon A.; Littlewood, Nick A.; Liu, Yunhui; Lo-Man-Hung, Nancy; Lopez-Quintero, Carlos A.; Louhaichi, Mounir; Lovei, Gabor L.; Lucas-Borja, Manuel Esteban; Luja, Victor H.; Luskin, Matthew S.; MacSwiney G, M. Cristina; Maeto, Kaoru; Magura, Tibor; Mallari, Neil Aldrin; Malone, Louise A.; Malonza, Patrick K.; Malumbres-Olarte, Jagoba; Mandujano, Salvador; Maren, Inger E.; Marin-Spiotta, Erika; Marsh, Charles J.; Marshall, E. J. P.; Martinez, Eliana; Pastur, Guillermo Martinez; Mateos, David Moreno; Mayfield, Margaret M.; Mazimpaka, Vicente; McCarthy, Jennifer L.; McCarthy, Kyle P.; McFrederick, Quinn S.; McNamara, Sean; Medina, Nagore G.; Medina, Rafael; Mena, Jose L.; Mico, Estefania; Mikusinski, Grzegorz; Milder, Jeffrey C.; Miller, James R.; Miranda-Esquivel, Daniel R.; Moir, Melinda L.; Morales, Carolina L.; Muchane, Mary N.; Muchane, Muchai; Mudri-Stojnic, Sonja; Munira, A. Nur; Muonz-Alonso, Antonio; Munyekenye, B. F.; Naidoo, Robin; Naithani, A.; Nakagawa, Michiko; Nakamura, Akihiro; Nakashima, Yoshihiro; Naoe, Shoji; Nates-Parra, Guiomar; Gutierrez, Dario A. Navarrete; Navarro-Iriarte, Luis; Ndang'ang'a, Paul K.; Neuschulz, Eike L.; Ngai, Jacqueline T.; Nicolas, Violaine; Nilsson, Sven G.; Noreika, Norbertas; Norfolk, Olivia; Noriega, Jorge Ari; Norton, David A.; Noeske, Nicole M.; Nowakowski, A. Justin; Numa, Catherine; O'Dea, Niall; O'Farrell, Patrick J.; Oduro, William; Oertli, Sabine; Ofori-Boateng, Caleb; Oke, Christopher Omamoke; Oostra, Vicencio; Osgathorpe, Lynne M.; Eduardo Otavo, Samuel; Page, Navendu V.; Paritsis, Juan; Parra-H, Alejandro; Parry, Luke; Pe'er, Guy; Pearman, Peter B.; Pelegrin, Nicolas; Pelissier, Raphael; Peres, Carlos A.; Peri, Pablo L.; Persson, Anna S.; Petanidou, Theodora; Peters, Marcell K.; Pethiyagoda, Rohan S.; Phalan, Ben; Philips, T. Keith; Pillsbury, Finn C.; Pincheira-Ulbrich, Jimmy; Pineda, Eduardo; Pino, Joan; Pizarro-Araya, Jaime; Plumptre, A. J.; Poggio, Santiago L.; Politi, Natalia; Pons, Pere; Poveda, Katja; Power, Eileen F.; Presley, Steven J.; Proenca, Vania; Quaranta, Marino; Quintero, Carolina; Rader, Romina; Ramesh, B. R.; Ramirez-Pinilla, Martha P.; Ranganathan, Jai; Rasmussen, Claus; Redpath-Downing, Nicola A.; Reid, J. Leighton; Reis, Yana T.; Rey Benayas, Jose M.; Carlos Rey-Velasco, Juan; Reynolds, Chevonne; Ribeiro, Danilo Bandini; Richards, Miriam H.; Richardson, Barbara A.; Richardson, Michael J.; Macip Rios, Rodrigo; Robinson, Richard; Robles, Carolina A.; Roembke, Joerg; Romero-Duque, Luz Piedad; Ros, Matthias; Rosselli, Loreta; Rossiter, Stephen J.; Roth, Dana S.; Roulston, T'ai H.; Rousseau, Laurent; Rubio, Andre V.; Ruel, Jean-Claude; Sadler, Jonathan P.; Safian, Szabolcs; Saldana-Vazquez, Romeo A.; Sam, Katerina; Samnegard, Ulrika; Santana, Joana; Santos, Xavier; Savage, Jade; Schellhorn, Nancy A.; Schilthuizen, Menno; Schmiedel, Ute; Schmitt, Christine B.; Schon, Nicole L.; Schuepp, Christof; Schumann, Katharina; Schweiger, Oliver; Scott, Dawn M.; Scott, Kenneth A.; Sedlock, Jodi L.; Seefeldt, Steven S.; Shahabuddin, Ghazala; Shannon, Graeme; Sheil, Douglas; Sheldon, Frederick H.; Shochat, Eyal; Siebert, Stefan J.; Silva, Fernando A. B.; Simonetti, Javier A.; Slade, Eleanor M.; Smith, Jo; Smith-Pardo, Allan H.; Sodhi, Navjot S.; Somarriba, Eduardo J.; Sosa, Ramon A.; Soto Quiroga, Grimaldo; St-Laurent, Martin-Hugues; Starzomski, Brian M.; Stefanescu, Constanti; Steffan-Dewenter, Ingolf; Stouffer, Philip C.; Stout, Jane C.; Strauch, Ayron M.; Struebig, Matthew J.; Su, Zhimin; Suarez-Rubio, Marcela; Sugiura, Shinji; Summerville, Keith S.; Sung, Yik-Hei; Sutrisno, Hari; Svenning, Jens-Christian; Teder, Tiit; Threlfall, Caragh G.; Tiitsaar, Anu; Todd, Jacqui H.; Tonietto, Rebecca K.; Torre, Ignasi; Tothmeresz, Bela; Tscharntke, Teja; Turner, Edgar C.; Tylianakis, Jason M.; Uehara-Prado, Marcio; Urbina-Cardona, Nicolas; Vallan, Denis; Vanbergen, Adam J.; Vasconcelos, Heraldo L.; Vassilev, Kiril; Verboven, Hans A. F.; Verdasca, Maria Joao; Verdu, Jose R.; Vergara, Carlos H.; Vergara, Pablo M.; Verhulst, Jort; Virgilio, Massimiliano; Van Vu, Lien; Waite, Edward M.; Walker, Tony R.; Wang, Hua-Feng; Wang, Yanping; Watling, James I.; Weller, Britta; Wells, Konstans; Westphal, Catrin; Wiafe, Edward D.; Williams, Christopher D.; Willig, Michael R.; Woinarski, John C. Z.; Wolf, Jan H. D.; Wolters, Volkmar; Woodcock, Ben A.; Wu, Jihua; Wunderle, Joseph M., Jr.; Yamaura, Yuichi; Yoshikura, Satoko; Yu, Douglas W.; Zaitsev, Andrey S.; Zeidler, Juliane; Zou, Fasheng; Collen, Ben; Ewers, Rob M.; Mace, Georgina M.; Purves, Drew W.; Scharlemann, Joern P. W.; Purvis, Andy</t>
  </si>
  <si>
    <t>The database of the PREDICTS (Projecting Responses of Ecological Diversity In Changing Terrestrial Systems) project</t>
  </si>
  <si>
    <t>The PREDICTS project-Projecting Responses of Ecological Diversity In Changing Terrestrial Systems (www.predicts.org.uk)-has collated from published studies a large, reasonably representative database of comparable samples of biodiversity from multiple sites that differ in the nature or intensity of human impacts relating to land use. We have used this evidence base to develop global and regional statistical models of how local biodiversity responds to these measures. We describe and make freely available this 2016 release of the database, containing more than 3.2 million records sampled at over 26,000 locations and representing over 47,000 species. We outline how the database can help in answering a range of questions in ecology and conservation biology. To our knowledge, this is the largest and most geographically and taxonomically representative database of spatial comparisons of biodiversity that has been collated to date; it will be useful to researchers and international efforts wishing to model and understand the global status of biodiversity.</t>
  </si>
  <si>
    <t>Jolli, Virat/J-1517-2019; Romero-Duque, Luz/V-2971-2019; Sheil, Douglas/N-3291-2019; Lachat, Thibault/B-7291-2018; Persson, Anna/AGD-7447-2022; Mandujano, Salvador/Q-5609-2018; Pinilla, Martha/G-6051-2010; Paritsis, Juan/KFB-3274-2024; Brunet, Jörg/B-3583-2012; Cagle, Nicolette/LFS-6519-2024; Diekötter, Tim/L-2463-2016; Silva, Fernando/G-8697-2013; Schilthuizen, Menno/B-5156-2009; Cleary, Daniel/HLH-8491-2023; Buscardo, Erika/ABA-4992-2021; Koehler, Florian/HQZ-9851-2023; Pizarro-Araya, Jaime/JDD-7227-2023; Saldaña-Vázquez, Romeo/AAD-2784-2019; Abrahamczyk, Stefan/D-7316-2011; Magura, Tibor/I-4383-2019; Pincheira-Ulbrich, Jimmy/O-1507-2019; Kati, Vassiliki/AAB-9418-2020; Gray, Claudia/LBH-4900-2024; Filgueiras, Bruno/C-3299-2017; Su, Zhimin/C-8627-2009; Phalan, Ben/A-5783-2009; Tiitsaar, Anu/G-9646-2012; Guardiola, Moisès/H-7149-2019; Petanidou, Theodora/AAU-3212-2020; Barlow, Jos/HGE-9486-2022; Tscharntke, Teja/N-5123-2014; POLITI, Natalia/MTB-3550-2025; Reid, John/ISB-8983-2023; Miranda-Esquivel, Daniel/AAA-8592-2019; Wolf, Jan/JHT-5405-2023; Baeten, Lander/G-1490-2010; Garilleti, Ricardo/A-2862-2014; Farwig, Nina/JMQ-1406-2023; Kirby, Kathryn/D-1151-2011; Dumont, Bertrand/IUQ-1527-2023; Collen, Ben/D-5055-2011; Plumptre, Andrew/X-3145-2019; Robles, Carolina/IXX-0886-2023; Presley, Steven/AAE-9189-2020; Sedlock, Jodi/HMD-4025-2023; stouffer, phil/AAF-7281-2020; McFrederick, Quinn/AAD-2858-2019; Vasconcelos, Heraldo/C-3353-2013; Felicioli, Antonio/AAT-2167-2021; Kurz, David/MBH-0847-2025; Shafie, Nur/X-3228-2018; Pelegrin, Nicolás/B-8900-2011; Laurance, William/B-2709-2012; O'Farrell, Patrick/AAQ-7728-2021; Mena, Jose/AAI-7762-2020; Yu, Douglas/D-2536-2009; Boekhout, Teun/JEJ-4938-2023; DEVINEAU, Jean-Louis/B-5503-2008; Cardoso, Pedro/AAY-9650-2020; Dallimer, Martin/I-1547-2019; Cleary, Michelle/E-9742-2013; Kumar, Raman/AAU-9136-2020; Entling, Martin/C-6953-2008; Gendreau-Berthiaume, Benoit/B-3486-2013; Bedford, Felicity/D-9455-2013; Barratt, Barbara/A-4763-2008; Pélissier, Raphaël/C-1224-2008; Roulston, Tai/AAI-4974-2020; Noreika, Norbertas/AAI-9173-2020; Azman, Nur/AAK-6133-2020; Richards, Miriam/H-5321-2011; McNamara, Sean/KAL-6503-2024; Noriega, Jorge/H-3662-2019; Bates, Adam/G-1795-2011; Seefeldt, Steven/S-5896-2017; Frizzo, Tiago/D-5003-2013; Lehouck, Valérie/A-2959-2010; Nates, Guiomar/AAV-7451-2021; Luskin, Matthew/GSE-0196-2022; Vergara, Pablo/F-2519-2010; Richardson, Michael/KOC-1588-2024; Draper, Isabel/G-1753-2016; Ferreira, Miguel/KEJ-0947-2024; Gheler-Costa, Carla/G-3800-2012; Maeto, Kaoru/AAB-7318-2019; Parry, Luke/LMN-8844-2024; Newbold, Tim/R-8958-2019; Castro, Helena/AAO-6270-2021; Svenning, Jens-Christian/C-8977-2012; Ribeiro, Danilo/E-3104-2012; KUMAR, AJITH/LKJ-8114-2024; Steffan-Dewenter, Ingolf/AFJ-8134-2022; Arroyo-Rodríguez, Víctor/C-9255-2009; Alignier, Audrey/A-9811-2015; De Palma, Adriana/H-9591-2019; Calvino-Cancela, Maria/A-8460-2014; Zaitsev, Andrey/J-6874-2018; Cancello, Eliana/AAS-5600-2020; Tóthmérész, Béla/A-5114-2009; Walker BSc, MPhil, PhD, Tony/ABA-4581-2020; Tylianakis, Jason/B-6634-2011; VERGARA, CARLOS/K-6646-2012; Benedick, Suzan/M-2529-2016; Lentini, Pia/H-3254-2019; Beja, Pedro/A-7851-2008; /V-6180-2019; Ruel, Jean-Claude/AAU-9145-2020; Lo Man Hung, Nancy/ABH-2002-2021; Borges, Paulo/AEW-0237-2022; Castro-Luna, Alejandro/AAH-4670-2020; Uehara-Prado, Marcio/KBC-8724-2024; Norfolk, Olivia/AAL-8310-2020; Peri, Pablo/ACF-3770-2022; Neuschulz, Eike Lena/HLW-5355-2023; Elek, Zoltan/A-5899-2011; Esler, Karen/A-1640-2008; Numa, Catherine/ABF-3030-2021; Herzog, Felix/B-1911-2009; Pineda, Eduardo/N-5254-2014; Grass, Ingo/H-7609-2019; Hoefer, Hubert/LFS-9948-2024; Wang, Hua-Feng/GNM-5262-2022; Hébert, Christian/M-1922-2015; Kutt, Alex/B-2020-2008; Schon, Nicole/E-5828-2011; Schmitt, Christine/H-9044-2019; Sung, Yik/L-7648-2019; Giordano, Simonetta/H-7683-2013; González, María/K-3322-2019; Dejean, Anne/L-5145-2018; Rös, Matthias/AAS-5755-2021; Rossiter, Stephen/E-2111-2011; Norton, David/D-6978-2011; Banks, John/AAN-2300-2020; rader, romina/AAL-8067-2020; Koivula, Matti/AAH-4156-2020; White, Hannah/AAJ-8117-2021; D'Aniello, Biagio/N-5287-2019; Måren, Inger/J-4870-2015; Muchai, Muchane/B-4076-2008; Woinarski, John/N-2262-2013; Pynegar, Edwin/JWA-2589-2024; Santos, Xavier/O-4397-2019; Schellhorn, Nancy/B-6716-2009; Medina, Rafael/AFP-2227-2022; Mace, Georgina/I-3072-2016; ISAACS, PAOLA/ABG-1700-2021; Wolters, Volkmar/B-4635-2010; Fournier, Anne/AAS-4927-2021; Naoe, Shoji/I-5758-2019; Berg, Åke/AAH-9904-2020; Kőrösi, Ádám/G-9480-2011; Malone, Louise/F-9577-2011; Bayne, Erin/IUP-1777-2023; Parra-H, Alejandro/D-1167-2010; Rey Benayas, José/C-3218-2011; Stout, Jane/AAS-8867-2020; Gilbert, Benjamin/E-3182-2010; Rasmussen, Claus/J-6714-2012; Goulson, David/A-2462-2010; Smith-Pardo, Allan/ACW-8297-2022; Lencinas, Maria/K-6208-2019; Virgilio, Massimiliano/E-9549-2011; Proenca, Vania/H-9372-2013; Purvis, Andy/A-7529-2008; Ficetola, Gentile Francesco/A-2813-2008; Mico, Estefania/H-1983-2015; Cunningham, Saul/B-9947-2009; Newbold, Tim/D-1524-2012; Cabra-Garcia, Jimmy/AAI-9256-2020; Verdu, Jose R./F-8269-2010; Marsh, Charles/D-2891-2012; Rubio, Andre/M-5307-2015; Bihn, Jochen/I-3491-2012; Scharlemann, Jorn/A-4737-2008; Nakamura, Akihiro/O-8384-2018; Bros, Vicenc/V-7423-2019; Poggio, Santiago/HPF-1539-2023; Axmacher, Jan Christoph/C-4412-2008; Gilbert, Benjamin/E-6616-2010; Burton, Victoria/N-8750-2014; Lovei, Gabor/B-7763-2008; Woodcock, Benjamin/F-9199-2010; Caceres, Nilton/H-6899-2012; Jung, Thomas S./A-8525-2015; Urbina-Cardona, J. Nicolas/B-5447-2008; Shannon, Graeme/A-5790-2011; Peres, Carlos/B-1276-2013; Threlfall, Caragh/Y-2292-2018; Wells, Konstans/A-7232-2010; Giordani, Paolo/C-7369-2009; Batary, Peter/A-2349-2008; Krauss, Jochen/C-6216-2014; Gutierrez, Alvaro G./C-1979-2009; Simmons, Benno/I-9174-2014; Ge, Baoming/F-4827-2011; Santos, Xavier/L-7748-2013; Fiera, Cristina/E-8651-2017; Chauvat, Matthieu/J-6113-2019; Kessler, Michael/A-3605-2009; Alguacil, Maria del Mar/M-3859-2014; Gaigher, Rene/X-3635-2018; Jauker, Birgit/G-9740-2014; Bouyer, Jeremy/AAK-7370-2020; Slade, Eleanor/O-3874-2014; Hudson, Lawrence/H-2918-2013; Moreno Mateos, David/J-5626-2014; Craig, Michael/G-1443-2018; Bragagnolo, Cibele/F-7588-2014; Bohning-Gaese, Katrin/W-2601-2019; Basset, Yves/B-6642-2014; Knop, Eva/D-2298-2018; Schweiger, Oliver/B-4909-2008; O'Farrell, Patrick/B-6898-2008; Martinez Pastur, Guillermo Jose/H-8188-2014; Day, Julie/M-4643-2013; Jung, Martin/C-3996-2014; Lucas Borja, Manuel Esteban/J-5363-2016; Garcia Medina, Nagore/M-1117-2018; Cancello, Eliana/K-3423-2012; Campos Ferreira, Catarina/A-3898-2011; Westphal, Catrin/F-9560-2015; Fayle, Tom/A-2721-2009; Teder, Tiit/H-4186-2012; Hornung, Elisabeth/E-5216-2011; Petanidou, Theodora/C-9399-2011; Vanbergen, Adam/I-6863-2012; Malumbres-Olarte, Jagoba/Q-2927-2016; Lara Garcia, Francisco/I-3003-2014; Baldi, Andras/A-7501-2008; Santana, Joana/C-5941-2009; Hayward, Matt W./F-3569-2010; Pino, Joan/H-6253-2015; Eggleton, Paul/A-3155-2015; Pearman, Peter/C-6298-2011; Todd, Jacqui/H-8777-2018; Pons, Pere/B-9472-2008; Sam, Katerina/I-2209-2014; Cardoso, Pedro/A-8820-2008; Carrijo, Tiago/B-5976-2013; Buse, Joern/G-6588-2015; Sheil, Douglas/A-3867-2015; Cleary, Daniel/D-2582-2012; Cassano, Camila Righetto/E-6761-2014; Borges, Paulo/B-2780-2008; da Silva, Pedro Giovani/F-7605-2014; F. de Lima, Ricardo/C-2826-2011; Ganzhorn, Joerg/AAO-6955-2020; Mayfield, Margaret/B-7386-2012; nicolas, violaine/N-9991-2017; Dynesius, Mats/A-6219-2009; Granjon, Laurent/K-2111-2016; Andersen, Alan/F-8763-2010; Garcia-R, Juan C./X-3399-2019; Yamaura, Yuichi/A-3638-2012; Senior, Rebecca/AFO-0188-2022; Simonetti, Javier A./A-4658-2008</t>
  </si>
  <si>
    <t>Virgilio, Massimiliano/0000-0002-1323-6886; Otavo, Samuel/0000-0001-6697-8237; Aguilar, Virginia/0000-0002-0055-4674; Luja, Victor H./0000-0001-7480-7278; Luskin, Matthew/0000-0002-5236-7096; Shochat, Eyal/0000-0003-0991-9366; Marin-Spiotta, Erika/0000-0001-7343-9354; Proenca, Vania/0000-0001-8245-357X; Purvis, Andy/0000-0002-8609-6204; Walker, Tony/0000-0001-9008-0697; Ficetola, Gentile Francesco/0000-0003-3414-5155; Mico, Estefania/0000-0002-7361-4770; Diekotter, Tim/0000-0003-4838-793X; Cunningham, Saul/0000-0003-0703-6893; Newbold, Tim/0000-0001-7361-0051; Zhang, Hanbin/0000-0003-2228-7981; Echeverria-Londono, Susy/0000-0002-0038-146X; Dominguez-Haydar, Yamileth/0000-0002-0774-8391; Cabra-Garcia, Jimmy/0000-0001-9263-4390; Pelissier, Raphael/0000-0003-4845-5090; Romero-Duque, Luz Piedad/0000-0001-8476-4662; Verdu, Jose R./0000-0002-0805-8341; Marsh, Charles/0000-0002-0281-3115; Steffan-Dewenter, Ingolf/0000-0003-1359-3944; NAVARRETE GUTIERREZ, DARIO ALEJANDRO/0000-0002-4210-1817; Baeten, Lander/0000-0003-4262-9221; Mikusinski, Grzegorz/0000-0003-1400-913X; ISAACS CUBIDES, PAOLA/0000-0003-4671-0297; Rubio, Andre/0000-0001-7297-9535; Hernandez, Lionel/0000-0002-7279-1003; Knight, Mairi/0000-0001-9388-4850; Mena, Jose Luis/0000-0002-3716-598X; Bhatt, Dinesh/0000-0002-0752-2448; Bihn, Jochen/0000-0002-6717-6786; Oostra, Vicencio/0000-0002-1273-1906; Scharlemann, Jorn/0000-0002-2834-6367; Henden, John-Andre/0000-0002-8825-1167; Nakamura, Akihiro/0000-0001-7349-5102; Bros, Vicenc/0000-0003-0364-8200; Lachat, Thibault/0000-0003-3952-7443; Booth, Hollie/0000-0003-4339-820X; Fensham, Roderick/0000-0003-3658-5867; Smith-Pardo, Allan/0000-0003-1905-6226; Lantschner, Maria Victoria/0000-0002-2012-1366; Fiera, Cristina/0000-0002-0013-7301; Poggio, Santiago/0000-0001-9949-9240; Peters, Marcell/0000-0002-1262-0827; Axmacher, Jan Christoph/0000-0003-1406-928X; Gilbert, Benjamin/0000-0002-4947-6822; Rasmussen, Claus/0000-0003-1529-6548; Burton, Victoria/0000-0003-0122-3292; Brito, Isabel/0000-0003-2143-8792; Dallimer, Martin/0000-0001-8120-3309; Bicknell, Jake/0000-0001-6831-627X; Presley, Steven James/0000-0002-5987-0735; Lovei, Gabor/0000-0002-6467-9812; Horgan, Finbarr/0000-0003-3796-667X; Woodcock, Benjamin/0000-0003-0300-9951; shafie, nur juliani/0000-0001-9014-0370; Stout, Jane/0000-0002-2027-0863; Caceres, Nilton/0000-0003-4904-0604; Fonte, Steven/0000-0002-3727-2304; Lentini, Pia/0000-0002-3520-3460; Phillips, Helen/0000-0002-7435-5934; Schmitt, Christine B./0000-0002-8527-9682; Jung, Thomas S./0000-0003-2681-6852; lebuhn, gretchen/0000-0001-5030-3366; FOURNIER, Anne/0000-0002-6457-9686; Urbina-Cardona, J. Nicolas/0000-0002-4174-8467; Kittle, Andrew/0000-0002-7334-4766; Gerard, Philippa/0000-0002-3891-2000; Ruel, Jean-Claude/0000-0002-6217-3842; Willig, Michael/0000-0001-6884-9957; Albertos, Belen/0000-0002-2116-5600; Shannon, Graeme/0000-0002-5039-4904; Peres, Carlos/0000-0002-1588-8765; Naoe, Shoji/0000-0002-0605-4187; Threlfall, Caragh/0000-0002-4197-8588; Aizen, Marcelo/0000-0001-9079-9749; Noske, Nicole M./0009-0007-0678-0430; White, Hannah/0000-0002-6793-8613; Wells, Konstans/0000-0003-0377-2463; Giordani, Paolo/0000-0003-0087-7315; Bates, Adam/0000-0001-7854-5260; Pineda, Eduardo/0000-0002-1997-9576; Littlewood, Nick/0000-0003-4461-8833; Pizarro-Araya, Jaime/0000-0002-1595-6924; Batary, Peter/0000-0002-1017-6996; Richardson, Michael/0000-0003-1232-4793; Saldana-Vazquez, Romeo A./0000-0002-6442-772X; Krauss, Jochen/0000-0003-2304-9117; Gutierrez, Alvaro G./0000-0001-8928-3198; Grass, Ingo/0000-0001-7788-1940; Simmons, Benno/0000-0002-2751-9430; Bayne, Erin/0000-0002-0679-4521; Ge, Baoming/0000-0002-3328-4498; Santos, Xavier/0000-0002-4330-4261; Pincheira-Ulbrich, Jimmy/0000-0001-9841-7426; Letcher, Susan/0000-0002-9475-7674; Rossiter, Stephen/0000-0002-3881-4515; Fiera, Cristina/0000-0002-0125-5879; Chauvat, Matthieu/0000-0002-4831-5904; Noriega, Jorge Ari/0000-0003-1760-7020; Kati, Vassiliki/0000-0003-3357-4556; Kessler, Michael/0000-0003-4612-9937; Alguacil, Maria del Mar/0000-0001-8495-8707; Smith, Joanne/0000-0001-8761-8556; Gaigher, Rene/0000-0003-4100-8634; Jauker, Birgit/0000-0001-5027-9351; Bouyer, Jeremy/0000-0002-1913-416X; Lencinas, Maria Vanessa/0000-0002-2123-3976; Slade, Eleanor/0000-0002-6108-1196; de Brito Freire Jr., Geraldo/0000-0002-3082-7274; Hudson, Lawrence/0000-0003-4072-7469; Gould, Rachelle/0000-0002-6307-8783; Moreno Mateos, David/0000-0002-1539-5848; Herzog, Felix/0000-0001-9472-4891; Buscardo, Erika/0000-0003-4029-8465; Craig, Michael/0000-0002-5411-165X; Muchai, Muchane/0000-0002-2387-4486; Bragagnolo, Cibele/0000-0003-0996-8635; Bohning-Gaese, Katrin/0000-0003-0477-5586; Basset, Yves/0000-0002-1942-5717; Fernandez, Ignacio/0000-0002-3631-9932; Reynolds, Chevonne/0000-0002-2345-7017; Knop, Eva/0000-0001-9402-2216; Schweiger, Oliver/0000-0001-8779-2335; Schmiedel, Ute/0000-0003-4059-6585; O'Farrell, Patrick/0000-0002-9538-8831; Martinez Pastur, Guillermo Jose/0000-0003-2614-5403; Day, Julie/0000-0003-1035-2117; Entling, Martin H./0000-0002-3947-6407; Sung, Yik Hei/0000-0003-0026-8624; Aben, Job/0000-0002-9906-7410; Paritsis, Juan/0000-0003-1626-8442; Jung, Martin/0000-0002-7569-1390; Lucas Borja, Manuel Esteban/0000-0001-6270-8408; , Hua-Feng Wang/0000-0003-3331-2898; Garcia Medina, Nagore/0000-0003-4702-1610; Mudri-Stojnic, Sonja/0000-0002-0118-0475; Cancello, Eliana/0000-0003-3125-6335; Medina, Rafael/0000-0001-5629-1503; Davis, Adrian/0000-0002-4522-2315; Campos Ferreira, Catarina/0000-0002-5093-0789; Westphal, Catrin/0000-0002-2615-1339; Fayle, Tom/0000-0002-1667-1189; Teder, Tiit/0000-0001-6587-9325; McFrederick, Quinn S./0000-0003-0740-6954; Tscharntke, Teja/0000-0002-4482-3178; Hornung, Elisabeth/0000-0002-9227-2673; Numa, Catherine/0000-0003-3213-1980; Petanidou, Theodora/0000-0003-1883-0945; Vanbergen, Adam/0000-0001-8320-5535; Malumbres-Olarte, Jagoba/0000-0002-6878-5719; Kutt, Alex/0000-0001-9679-2206; Lara Garcia, Francisco/0000-0002-1665-5277; Hilje, Branko/0000-0001-5701-5455; Bartolommei, Paola/0000-0003-3141-0099; Baldi, Andras/0000-0001-6063-3721; Santana, Joana/0000-0002-4100-8012; Sadler, Jonathan P./0000-0003-0443-4458; Silva, Fernando/0000-0002-3894-4846; Castro, Helena/0000-0003-1818-1535; Pan, Yuan/0000-0003-2729-6377; Hayward, Matt W./0000-0002-5574-1653; Pino, Joan/0000-0003-0939-7502; Scott, Dawn/0000-0002-9570-2739; Henschel, Philipp/0009-0003-6413-8471; Eggleton, Paul/0000-0002-1420-7518; Pearman, Peter/0000-0002-0794-101X; Todd, Jacqui/0000-0001-6871-9618; Bugter, Rob/0000-0002-7110-4419; Giordano, Simonetta/0000-0002-0705-8550; Connop, Stuart/0000-0003-3050-7649; Beja, Pedro/0000-0001-8164-0760; Pons, Pere/0000-0002-2196-5544; Sam, Katerina/0000-0002-3436-0579; Cardoso, Pedro/0000-0001-8119-9960; Eigenbrod, Felix/0000-0001-8982-824X; Carrijo, Tiago/0000-0001-6308-7252; Wu, Jihua/0000-0001-8623-8519; Buse, Joern/0000-0001-8226-1893; Sheil, Douglas/0000-0002-1166-6591; Barratt, Barbara I.P./0000-0002-8424-8729; Choimes, Argyrios/0000-0002-9849-1500; Quintero, Carolina/0000-0003-1269-4030; struebig, matthew/0000-0003-2058-8502; Moir, Melinda/0000-0002-6765-5162; Vergara, Pablo/0000-0002-0024-1678; Cleary, Daniel/0000-0002-6143-3390; Uehara-Prado, Marcio/0000-0001-9290-4610; Cassano, Camila Righetto/0000-0002-0585-5222; Suarez-Rubio, Marcela/0000-0002-0596-2626; De Sassi, Claudio/0000-0002-8811-7347; Barrico, Lurdes/0000-0002-8066-686X; Borges, Paulo/0000-0002-8448-7623; da Silva, Pedro Giovani/0000-0002-0702-9186; D'ANIELLO, BIAGIO/0000-0002-1176-946X; Castro-Luna, Alejandro Antonio/0000-0002-4418-5882; F. de Lima, Ricardo/0000-0002-0184-3945; Ganzhorn, Joerg/0000-0003-1395-9758; Mayfield, Margaret/0000-0002-5101-6542; nicolas, violaine/0000-0001-5384-7529; Guardiola, Moises/0000-0002-5572-540X; Dumont, Bertrand/0000-0001-8376-4417; Dynesius, Mats/0000-0003-0628-4203; Granjon, Laurent/0000-0003-1182-3793; Magura, Tibor/0000-0002-9130-6122; Andersen, Alan/0000-0003-1487-3323; Kolb, Annette/0000-0002-8275-1814; Robles, Amanda/0009-0003-5424-3411; Barlow, Jos/0000-0003-4992-2594; Rader, Romina/0000-0001-9056-9118; Garcia-R, Juan C./0000-0002-6665-9671; Hawes, Joseph/0000-0003-0053-2018; Yamaura, Yuichi/0000-0001-9355-4413; Miranda-Esquivel, Daniel Rafael/0000-0002-9913-7685; Benedick, Suzan/0000-0003-2587-3644; Borges, Sergio/0000-0002-1952-4467; Ros, Matthias/0000-0002-5722-6321; Calvino-Cancela, Maria/0000-0002-7833-4671; Schon, Nicole/0000-0002-8975-1382; Arroyo-Rodriguez, Victor/0000-0002-0858-0324; Senior, Rebecca/0000-0002-8208-736X; Simonetti, Javier A./0000-0002-7238-4133</t>
  </si>
  <si>
    <t>10.1002/ece3.2579</t>
  </si>
  <si>
    <t>WOS:000392069500013</t>
  </si>
  <si>
    <t>Mishra, A; Zhou, B; Rodriguez-Martinez, A; Bixby, H; Singleton, RK; Carrillo-Larco, RM; Sheffer, KE; Paciorek, CJ; Bennett, JE; Lhoste, V; Iurilli, MLC; Di Cesare, M; Bentham, J; Phelps, NH; Sophiea, MK; Stevens, GA; Danaei, G; Cowan, MJ; Savin, S; Riley, LM; Gregg, EW; Aekplakorn, W; Ahmad, NA; Baker, JL; Chirita-Emandi, A; Farzadfar, F; Fink, G; Heinen, M; Ikeda, N; Kengne, AP; Khang, YH; Laatikainen, T; Laxmaiah, A; Ma, J; Monroy-Valle, M; Mridha, MK; Padez, CP; Reynolds, A; Soric, M; Starc, G; Wirth, JP; Abarca-Gómez, L; Abdeen, ZA; Abdrakhmanova, S; Ghaffar, SA; Rahim, HFA; Abdurrahmonova, Z; Abu-Rmeileh, NM; Garba, JA; Acosta-Cazares, B; Adam, I; Adamczyk, M; Adams, RJ; Adu-Afarwuah, S; Afsana, K; Afzal, S; Agbor, VN; Agdeppa, IA; Aghazadeh-Attari, J; Aguenaou, H; Aguilar-Salinas, CA; Agyemang, C; Ahmad, MH; Ahmadi, A; Ahmadi, N; Ahmadi, N; Ahmed, I; Ahmed, SH; Ahrens, W; Aitmurzaeva, G; Ajlouni, K; Al-Hazzaa, HM; Al-Lahou, B; Al-Raddadi, R; Al Hourani, HM; Al Qaoud, NM; Alarouj, M; AlBuhairan, F; AlDhukair, S; Aldwairji, MA; Alexius, S; Ali, MM; Alkandari, A; Alkerwi, A; Alkhatib, BM; Allin, K; Alvarez-Pedrerol, M; Aly, E; Amarapurkar, DN; Etxezarreta, PA; Amoah, J; Amougou, N; Amouyel, P; Andersen, LB; Anderssen, SA; Androutsos, O; Ängquist, L; Anjana, RM; Ansari-Moghaddam, A; Anufrieva, E; Aounallah-Skhiri, H; Araújo, J; Ariansen, I; Aris, T; Arku, RE; Arlappa, N; Aryal, KK; Aseffa, N; Aspelund, T; Assah, FK; Assembekov, B; Assunçao, MCF; Aung, MS; Auvinen, J; Avdicová, M; Avi, S; Azevedo, A; Azimi-Nezhad, M; Azizi, F; Azmin, M; Babu, BV; Jorgensen, MB; Baharudin, A; Bahijri, S; Bakacs, M; Balakrishna, N; Balanova, Y; Bamoshmoosh, M; Banach, M; Banegas, JR; Baran, J; Baran, R; Barbagallo, CM; Barbosa, V; Barceló, A; Baretic, M; Barkat, A; Barnoya, J; Barrera, L; Barreto, M; Barros, AJD; Barros, MVG; Bartosiewicz, A; Basit, A; Bastos, JLD; Bata, I; Batieha, AM; Batista, AP; Batista, RL; Battakova, Z; Baur, LA; Bayauli, PM; Beaglehole, R; Bel-Serrat, S; Belavendra, A; Ben Romdhane, H; Benedics, J; Benet, M; Rolandi, GEB; Bere, E; Bergh, IH; Berhane, Y; Berkinbayev, S; Bernabe-Ortiz, A; Bernotiene, G; Carrasola, XB; Bettiol, H; Beutel, ME; Beybey, AF; Bezerra, J; Bhagyalaxmi, A; Bharadwaj, S; Bhargava, SK; Bi, HS; Bi, YF; Bia, D; Biasch, K; Lele, ECB; Bikbov, MM; Bista, B; Bjelica, DJ; Bjerregaard, AA; Bjerregaard, P; Bjertness, E; Bjertness, MB; Björkelund, C; Bloch, KV; Blokstra, A; Magnazu, MB; Bo, S; Bobak, M; Boddy, LM; Boehm, BO; Boer, JMA; Boggia, JG; Bogova, E; Boissonnet, CP; Bojesen, SE; Bonaccio, M; Bongard, V; Bonilla-Vargas, A; Bopp, M; Borghs, H; Bovet, P; Boymatova, K; Braeckevelt, L; Braeckman, L; Bragt, MCE; Brajkovich, I; Branca, F; Breckenkamp, J; Breda, J; Brenner, H; Brewster, LM; Brian, GR; Briceño, Y; Brinduse, L; Brito, M; Brophy, S; Brug, J; Bruno, G; Bugge, A; Buntinx, F; Buoncristiano, M; Burazeri, G; Burns, C; de León, AC; Cacciottolo, J; Cai, H; Caixeta, RB; Cama, T; Cameron, C; Camolas, J; Can, G; Candido, APC; Cañete, F; Capanzana, MV; Capková, N; Capuano, E; Capuano, R; Capuano, V; Cardol, M; Cardoso, VC; Carlsson, AC; Carmuega, E; Carvalho, J; Casajús, JA; Casanueva, FF; Casas, M; Celikcan, E; Censi, L; Cervantes-Loaiza, M; Cesar, JA; Chamukuttan, S; Chan, A; Chan, Q; Chaturvedi, HK; Chaturvedi, N; Rahim, NCA; Chee, ML; Chen, CJ; Chen, FF; Chen, HS; Chen, SH; Chen, ZM; Cheng, CY; Cheng, YLJ; Cheraghian, B; Chetrit, A; Chikova-Iscener, E; Chinapaw, MJM; Chinnock, A; Chiolero, A; Chiou, ST; Chirlaque, MD; Cho, B; Christensen, K; Christofaro, DG; Chudek, J; Cifkova, R; Cilia, M; Cinteza, E; Cirillo, M; Claessens, F; Clarke, J; Clays, E; Cohen, E; Compañ-Gabucio, LM; Concin, H; Confortin, SC; Cooper, C; Coppinger, TC; Corpeleijn, E; Cortés, LY; Costanzo, S; Cottel, D; Cowell, C; Craig, CL; Crampin, AC; Cross, AJ; Crujeiras, AB; Cruz, JJ; Csányi, T; Csilla, S; Cucu, AM; Cui, LF; Cureau, FV; Cuschieri, S; Czenczek-Lewandowska, E; D'Arrigo, G; d'Orsi, E; Dacica, L; Dallongeville, J; Damasceno, A; Damsgaard, CT; Dankner, R; Dantoft, TM; Dasgupta, P; Dastgiri, S; Dauchet, L; Davletov, K; de Assis, MAA; De Backer, G; De Bacquer, D; De Curtis, A; Hinnig, PD; de Gaetano, G; De Henauw, S; De Miguel-Etayo, P; de Oliveira, PD; De Ridder, D; De Ridder, K; de Rooij, SR; De Smedt, D; Deepa, M; Deev, AD; DeGennaro, V ; Delisle, H; Delpeuch, F; Demarest, S; Dennison, E; Deren, K; Deschamps, V; Dhimal, M; Di Castelnuovo, A; Dias-da-Costa, JS; Díaz-Sánchez, ME; Diaz, A; Fernández, PD; Ripollés, MPD; Dika, Z; Djalalinia, S; Djordjic, V; Do, HTP; Dobson, AJ; Dominguez, L; Donati, MB; Donfrancesco, C; Dong, GH; Dong, YH; Donoso, SP; Döring, A; Dorobantu, M; Dorosty, AR; Doua, K; Dragano, N; Drygas, W; Duan, JL; Duante, CA; Duboz, P; Duleva, VL; Dulskiene, V; Dumith, SC; Dushpanova, A; Dyussupova, A; Dzerve, V; Dziankowska-Zaborszczyk, E; Echeverría, G; Eddie, R; Eftekhar, E; Egbagbe, EE; Eggertsen, R; Eghtesad, S; Eiben, G; Ekelund, U; El-Khateeb, M; El Ammari, L; El Ati, J; Eldemire-Shearer, D; Eliasen, M; Elliott, P; Endevelt, R; Engle-Stone, R; Erasmus, RT; Erbel, R; Erem, C; Ergor, G; Eriksen, L; Eriksson, JG; Escobedo-de la Peña, J; Eslami, S; Esmaeili, A; Evans, A; Faeh, D; Fakhradiyev, I; Fakhretdinova, AA; Fall, CH; Faramarzi, E; Farjam, M; Sant'Angelo, VF; Fattahi, MR; Fawwad, A; Fawzi, WW; Feigl, E; Felix-Redondo, FJ; Ferguson, TS; Fernandes, RA; Fernández-Bergés, D; Ferrante, D; Ferrao, T; Ferrari, G; Ferrari, M; Ferrario, MM; Ferreccio, C; Ferreira, HS; Ferrer, E; Ferrieres, J; Figueiró, TH; Fijalkowska, A; Fisberg, M; Fischer, K; Foo, LH; Forsner, M; Fouad, HM; Francis, DK; Franco, MD; Fras, Z; Frontera, G; Fuchs, FD; Fuchs, SC; Fujiati, II; Fujita, Y; Fumihiko, M; Furdela, V; Furusawa, T; Gaciong, Z; Gafencu, M; Cuesta, MG; Galbarczyk, A; Galenkamp, H; Galeone, D; Galfo, M; Galvano, F; Gao, JL; Gao, P; Garcia-de-la-Hera, M; Mérida, MJG; Solano, MG; Gareta, D; Garnett, SP; Gaspoz, JM; Gasull, M; Gaya, ACA; Gaya, AR; Gazzinelli, A; Gehring, U; Geiger, H; Geleijnse, JM; George, R; Ghaderi, E; Ghanbari, A; Ghasemi, E; Gheorghe-Fronea, OF; Gialluisi, A; Giampaoli, S; Gianfagna, F; Gieger, C; Gill, TK; Giovannelli, J; Gironella, G; Giwercman, A; Gkiouras, K; Glushkova, N; Gluskova, N; Godara, R; Godos, J; Gogen, S; Goldberg, M; Goltzman, D; Gómez, G; Gómez, JHG; Gomez, LF; Gómez, SF; Gomula, A; da Silva, BGC; Gonçalves, H; Gonçalves, M; González-Alvarez, AD; Gonzalez-Chica, DA; González-Gil, EM; Gonzalez-Gross, M; González-Leon, M; González-Rivas, JP; González-Villalpando, C; González-Villalpando, ME; Gonzalez, AR; Gottrand, F; Graça, AP; Graff-Iversen, S; Grafnetter, D; Grajda, A; Grammatikopoulou, MG; Gregor, RD; Gregório, MJ; Groholt, EK; Grontved, A; Grosso, G; Gruden, G; Gu, DF; Guajardo, V; Gualdi-Russo, E; Guallar-Castillón, P; Gualtieri, A; Gudmundsson, EF; Gudnason, V; Guerrero, R; Guessous, I; Guimaraes, AL; Gulliford, MC; Gunnlaugsdottir, J; Gunter, MJ; Guo, XH; Guo, Y; Gupta, PC; Gupta, R; Gureje, O; González, EG; Gutierrez, L; Gutzwiller, F; Gwee, X; Ha, S; Hadaegh, F; Hadjigeorgiou, CA; Haghshenas, R; Hakimi, H; Halkjær, J; Hambleton, IR; Hamzeh, B; Hanekom, WA; Hange, D; Hanif, AAM; Hantunen, S; Hao, J; Hardman, CM; Kumar, RH; Lassen, TH; Harooni, J; Hashemi-Shahri, SM; Hassapidou, M; Hata, J; Haugsgjerd, T; Hayes, AJ; He, J; He, Y; He, YN; Heidinger-Felsö, R; Heier, M; Hejgaard, T; Hendriks, ME; Henrique, RD; Henriques, A; Cadena, LH; Herrala, S; Herrera-Cuenca, M; Herrera, VM; Herter-Aeberli, I; Herzig, KH; Heshmat, R; Hill, AG; Ho, SY; Ho, SC; Hobbs, M; Höfelmann, DA; Holdsworth, M; Homayounfar, R; Homs, C; Hopman, WM; Horimoto, ARVR; Hormiga, CM; Horta, BL; Houti, L; Howitt, C; Htay, TT; Htet, AS; Htike, MMT; Hu, YH; Huerta, JM; Huhtaniemi, IT; Huiart, L; Petrescu, CH; Huisman, M; Husseini, A; Huu, CN; Huybrechts, I; Hwalla, N; Hyska, J; Iacoviello, L; Iakupova, EM; Ibarluzea, JM; Ibrahim, MM; Wong, NI; Ikram, MA; Iñiguez, C; Iotova, V; Irazola, VE; Ishida, T; Isiguzo, GC; Islam, M; Islam, SMS; Islek, D; Ivanova-Pandourska, IY; Iwasaki, M; Jääskeläinen, T; Jackson, RT; Jacobs, JM; Jadoul, M; Jafar, T; Jallow, B; James, K; Jamil, KM; Jamrozik, K; Jansson, A; Janszky, I; Janus, E; Jarani, J; Jarvelin, MR; Jasienska, G; Jelakovic, A; Jelakovic, B; Jennings, G; Jiang, CQ; Jimenez, RO; Jöckel, KH; Joffres, M; Jokelainen, JJ; Jonas, JB; Jonnagaddala, J; Jorgensen, T; Joshi, P; Josipovic, J; Joukar, F; Józwiak, JJ; Judge, DS; Juolevi, A; Jurak, G; Simina, IJ; Juresa, V; Kaaks, R; Kaducu, FO; Kafatos, A; Kaj, M; Kajantie, EO; Kakutia, N; Kállayová, D; Kalmatayeva, Z; Kalter-Leibovici, O; Kameli, Y; Kampmann, FB; Kanala, KR; Kannan, S; Kapantais, E; Karaglani, E; Karakosta, A; Karhus, LL; Karki, KB; Katchunga, PB; Katibeh, M; Katz, J; Katzmarzyk, PT; Kauhanen, J; Kaur, P; Kavousi, M; Kazakbaeva, GM; Kaze, FF; Ke, C; Keil, U; Boker, LK; Keinänen-Kiukaanniemi, S; Kelishadi, R; Kelleher, C; Kemper, HCG; Keramati, M; Kerimkulova, A; Kersting, M; Key, T; Khader, YS; Khaledifar, A; Khalili, D; Khaw, KT; Kheiri, B; Kheradmand, M; Khosravi, A; Khouw, IMSL; Kiechl-Kohlendorfer, U; Kiechl, SJ; Kiechl, S; Killewo, J; Kim, HC; Kim, J; Kindblom, JM; Kingston, A; Klakk, H; Klimek, M; Klimont, J; Klumbiene, J; Knoflach, M; Koirala, B; Kolle, E; Kolsteren, P; König, J; Korpelainen, R; Korrovits, P; Korzycka, M; Kos, J; Koskinen, S; Kouda, K; Kovács, É; Kovacs, VA; Kovalskys, I; Kowlessur, S; Koziel, S; Kratenova, J; Kratzer, W; Kriaucioniene, V; Kriemler, S; Kristensen, PL; Krizan, H; Kroker-Lobos, MF; Krokstad, S; Kromhout, D; Kruger, HS; Kruger, R; Kryst, L; Kubinova, R; Kuciene, R; Kujala, UM; Kujundzic, E; Kulaga, Z; Kulimbet, M; Kumar, RK; Kunesová, M; Kurjata, P; Kusuma, YS; Kutsenko, V; Kuulasmaa, K; Kyobutungi, C; La, QN; Laamiri, FZ; Lachat, C; Lackner, KJ; Laid, Y; Lall, L; Lam, TH; Jimenez, ML; Landais, E; Lanska, V; Lappas, G; Larijani, B; Larissa, SP; Latt, TS; Laurenzi, M; Lauria, L; Lazo-Porras, M; Le Coroller, G; Bao, KLN; Le Port, A; Le, TD; Lee, J; Lee, J; Lee, PH; Lehmann, N; Lehtimäki, T; Lemogoum, D; Leskosek, B; Leszczak, J; Leth-Moller, KB; Leung, GM; Levitt, NS; Li, YP; Liivak, M; Lilly, CL; Lim, C; Lim, WY; Lima-Costa, MF; Lin, HH; Lin, X; Lin, YT; Lind, L; Lingam, V; Linkohr, B; Linneberg, A; Lissner, L; Litwin, M; Liu, J; Liu, LJ; Lo, WC; Loit, HM; Long, KQ; Abril, GL; Lopes, L; Lopes, MVV; Lopes, O; Lopez-Garcia, E; Lopez, T; Lotufo, PA; Lozano, JE; Lukrafka, JL; Luksiene, D; Lundqvist, A; Lunet, N; Lunogelo, C; Lustigová, M; Luszczki, E; M'Buyamba-Kabangu, JR; Ma, GS; Ma, X; Machado-Coelho, GLL; Machado-Rodrigues, AM; Macia, E; Macieira, LM; Madar, AA; Madsen, AL; Maestre, GE; Maggi, S; Magliano, DJ; Magnacca, S; Magriplis, E; Mahasampath, G; Maire, B; Majer, M; Makdisse, M; Mäki, P; Malekzadeh, F; Malekzadeh, R; Malhotra, R; Rao, KM; Malyutina, SK; Maniego, LV; Manios, Y; Manix, MI; Mann, JI; Mansour-Ghanaei, F; Manyanga, T; Manzato, E; Marcil, A; Margozzini, P; Mariño, J; Markaki, A; Markey, O; Ioannidou, EM; Marques-Vidal, P; Marques, LP; Marrugat, J; Martin-Prevel, Y; Martin, R; Martorell, R; Martos, E; Maruszczak, K; Marventano, S; Masala, G; Mascarenhas, LP; Masoodi, SR; Mathiesen, EB; Mathur, P; Matijasevich, A; Matlosz, P; Matsha, TE; Matsudo, V; Mavrogianni, C; Mazur, A; Mbanya, JCN; McFarlane, SR; McGarvey, ST; McKee, M; McLachlan, S; McLean, RM; McLean, SB; McNairy, ML; McNulty, BA; Benchekor, SM; Medzioniene, J; Mehdipour, P; Mehlig, K; Mehrparvar, AH; Meirhaeghe, A; Meisfjord, J; Meisinger, C; Melgarejo, JD; Melkumova, M; Mello, J; Méndez, F; Mendivil, CO; Menezes, AMB; Menon, GR; Mensink, GBM; Menzano, MT; Meshram, II; Meto, DT; Mi, J; Michaelsen, KF; Michels, N; Mikkel, K; Milkowska, K; Miller, JC; Milushkina, O; Minderico, CS; Mini, GK; Miquel, JF; Miranda, JJ; Mirjalili, MR; Mirkopoulou, D; Mirrakhimov, E; Misigoj-Durakovic, M; Mistretta, A; Mocanu, V; Modesti, PA; Moghaddam, SS; Mohajer, B; Mohamed, MK; Mohamed, SF; Mohammad, K; Mohammadi, MR; Mohammadi, Z; Mohammadifard, N; Mohammadpourhodki, R; Mohan, V; Mohanna, S; Yusoff, MFM; Mohebbi, I; Mohebi, F; Moitry, M; Mollehave, LT; Moller, NC; Molnar, D; Momenan, A; Mondo, CK; Mendoza, RAM; Monterrubio-Flores, E; Monyeki, KDK; Moon, JS; Moosazadeh, M; Mopa, HT; Moradpour, F; Moreira, LB; Morejon, A; Moreno, LA; Morey, F; Morgan, K; Morin, SN; Mortensen, EL; Moschonis, G; Moslem, A; Mossakowska, M; Mostafa, A; Mostafavi, SA; Mota-Pinto, A; Mota, J; Motlagh, ME; Motta, J; Moura-dos-Santos, MA; Movsesyan, Y; Msyamboza, KP; Mu, TT; Muc, M; Muca, F; Mugosa, B; Muiesan, ML; Müller-Nurasyid, M; Münzel, T; Mursu, J; Murtagh, EM; Musa, KI; Milanovic, SM; Musil, V; Musinguzi, G; Muyer, MTMC; Nabipour, I; Naderimagham, S; Nagel, G; Najafi, F; Nakamura, H; Nalecz, H; Námesná, J; Nang, EEK; Nangia, VB; Nankap, M; Narake, S; Nardone, P; Naseri, T; Nauck, M; Neal, WA; Nejatizadeh, A; Nekkantti, C; Nelis, K; Nenko, I; Neovius, M; Nervi, F; Ng, TP; Nguyen, CT; Nguyen, ND; Nguyen, QN; Ni, MY; Nicolescu, R; Nie, P; Nieto-Martínez, RE; Nikitin, YP; Ning, G; Ninomiya, T; Nishi, N; Nishtar, S; Noale, M; Noboa, OA; Nogueira, H; Nordendahl, M; Nordestgaard, BG; Noto, D; Nowak-Szczepanska, N; Al Nsour, M; Nuhoglu, I; Nunes, B; Nurk, E; Nuwaha, F; Nyirenda, M; O'Neill, TW; O'Reilly, D; Obreja, G; Ochimana, C; Ochoa-Avilés, AM; Oda, E; Odili, AN; Oh, K; Ohara, K; Ohlsson, C; Ohtsuka, R; Olafsson, Ö; Olinto, MTA; Oliveira, IO; Omar, MA; Omar, SM; Onat, A; Ong, SK; Onland-Moret, NC; Ono, LM; Ordunez, P; Ornelas, R; Ortiz, AP; Ortiz, PJ; Osler, M; Osmond, C; Ostojic, SM; Ostovar, A; Otero, JA; Overvad, K; Owusu-Dabo, E; Paccaud, FM; Pagkalos, I; Pahomova, E; de Paiva, KM; Pajak, A; Palloni, A; Palmieri, L; Pan, WH; Panda-Jonas, S; Pandey, A; Panza, F; Paoli, M; Papadopoulou, SK; Papandreou, D; Pareja, RG; Park, SW; Park, S; Parnell, WR; Parsaeian, M; Pascanu, IM; Pasquet, P; Patel, ND; Pattussi, M; Pavlyshyn, H; Pechlaner, R; Pecin, I; Pednekar, MS; Pedro, JM; Peer, N; Peixoto, SV; Peltonen, M; Pereira, AC; Peres, MA; Pérez, CM; Peterkova, V; Peters, A; Petersmann, A; Petkeviciene, J; Petrauskiene, A; Kovtun, OP; Pettenuzzo, E; Peykari, N; Pfeiffer, N; Phall, MC; Pham, ST; Pichardo, RN; Pierannunzio, D; Pigeot, I; Pikhart, H; Pilav, A; Pilotto, L; Pistelli, F; Pitakaka, F; Piwonska, A; Pizarro, AN; Plans-Rubió, P; Platonova, AG; Poh, BK; Pohlabeln, H; Polka, NS; Pop, RM; Popovic, SR; Porta, M; Posch, G; Poudyal, A; Poulimeneas, D; Pouraram, H; Pourfarzi, F; Pourshams, A; Poustchi, H; Pradeepa, R; Price, AJ; Price, JF; Prista, A; Providencia, R; Puder, JJ; Pudule, I; Puiu, M; Punab, M; Qadir, MS; Qasrawi, RF; Qorbani, M; Quintana, HK; Quiroga-Padilla, PJ; Bao, TQ; Rach, S; Radic, I; Radisauskas, R; Rahimikazerooni, S; Rahman, M; Rahman, M; Raitakari, O; Raj, M; Rajabov, T; Rakhmatulloev, S; Rakovac, I; Rao, SR; Ramachandran, A; Ramadan, OPC; Ramires, VV; Ramke, J; Ramos, E; Ramos, R; Rampal, L; Rampal, S; Rangelova, LS; Rarra, V; Rascon-Pacheco, RA; Rech, CR; Redon, J; Reganit, PFM; Regecová, V; Renner, JDP; Repasy, JA; Reuter, CP; Revilla, L; Rezaianzadeh, A; Rho, Y; Ribas-Barba, L; Ribeiro, R; Riboli, E; Richter, A; Rigo, F; Rigotti, A; Rinaldo, N; de Wit, TFR; Rito, AI; Ritti-Dias, RM; Rivera, JA; Roa, RG; Robinson, L; Robitaille, C; Roccaldo, R; Rodrigues, D; Rodriguez-Artalejo, F; Rodriguez-Perez, MD; Rodríguez-Villamizar, LA; Rodríguez, AY; Roggenbuck, U; Rohloff, P; Rohner, F; Rojas-Martinez, R; Rojroongwasinkul, N; Romaguera, D; Romeo, EL; Rosario, RV; Rosengren, A; Rouse, I; Rouzier, V; Roy, JGR; Ruano, MH; Rubinstein, A; Rühli, FJ; Ruidavets, JB; Ruiz-Betancourt, BS; Ruiz-Castell, M; Moreno, ER; Rusakova, IA; Jonsson, KR; Russo, P; Rust, P; Rutkowski, M; Saamel, M; Sabanayagam, C; Sabbaghi, H; Sacchini, E; Sachdev, HS; Sadjadi, A; Safarpour, AR; Safi, S; Safiri, S; Saghi, MH; Saidi, O; Saki, N; Salaj, S; Salanave, B; Martinez, ES; Saleva, C; Salmerón, D; Salomaa, V; Salonen, JT; Salvetti, M; Samoutian, M; Sánchez-Abanto, J; Rodríguez, IS; Sandjaja; Sans, S; Marina, LS; Santacruz, E; Santos, DA; Santos, IS; Santos, LC; Santos, MP; Santos, O; Santos, R; Santos, TR; Saramies, JL; Sardinha, LB; Sarrafzadegan, N; Sathish, T; Saum, KU; Savva, S; Savy, M; Sawada, N; Sbaraini, M; Scazufca, M; Schaan, BD; Rosario, AS; Schargrodsky, H; Schienkiewitz, A; Schindler, K; Schipf, S; Schmidt, CO; Schmidt, IM; Schneider, A; Schnohr, P; Schöttker, B; Schramm, S; Schramm, S; Schröder, H; Schultsz, C; Schulze, MB; Schutte, AE; Sebert, S; Sedaghattalab, M; Selamat, R; Sember, V; Sen, A; Senbanjo, IO; Sepanlou, SG; Sequera, G; Serra-Majem, L; Servais, J; Sevcíková, L; Shalnova, S; Shamah-Levy, T; Shamshirgaran, SM; Shanthirani, CS; Sharafkhah, M; Sharma, SK; Shaw, JE; Shayanrad, A; Shayesteh, AA; Shengelia, L; Shi, ZM; Shibuya, K; Shimizu-Furusawa, H; Shimony, T; Shiri, R; Shrestha, N; Si-Ramlee, K; Siani, A; Siantar, R; Sibai, AM; Sidossis, LS; Silitrari, N; Silva, AM; Silva, CRD; Silva, DAS; Silva, KS; Sim, XL; Simon, M; Simons, J; Simons, LA; Sjöberg, A; Sjöström, M; Skoblina, NA; Skodje, G; Slazhnyova, T; Slowikowska-Hilczer, J; Slusarczyk, P; Smeeth, L; So, HK; Soares, FC; Sobek, G; Sobngwi, E; Sodemann, M; Söderberg, S; Soekatri, MYE; Soemantri, A; Sofat, R; Solfrizzi, V; Somi, MH; Sonestedt, E; Song, Y; Soofi, S; Sorensen, TIA; Sorgjerd, EP; Jérome, CS; Soto-Rojas, VE; Soumaré, A; Sousa-Poza, A; Sovic, S; Sparboe-Nilsen, B; Sparrenberger, K; Spencer, PR; Spinelli, A; Spiroski, I; Staessen, JA; Stamm, H; Staub, K; Stavreski, B; Steene-Johannessen, J; Stehle, P; Stein, AD; Stergiou, GS; Stessman, J; Stevanovic, R; Stieber, J; Stöckl, D; Stokwiszewski, J; Stoyanova, E; Stratton, G; Stronks, K; Strufaldi, MW; Sturua, L; Suárez-Medina, R; Suka, M; Sun, CA; Sun, L; Sundström, J; Sung, YT; Sunyer, J; Suriyawongpaisal, P; Sweis, NWG; Swinburn, BA; Sy, RG; Sylva, RC; Szklo, M; Szponar, L; Tabone, L; Tai, ESO; Tambalis, KD; Tammesoo, ML; Tamosiunas, A; Tan, EJ; Tang, X; Tanrygulyyeva, M; Tanser, F; Tao, Y; Tarawneh, MR; Tarp, J; Tarqui-Mamani, CB; Braunerová, RT; Taylor, A; Taylor, J; Tchibindat, F; Te Velde, S; Tebar, WR; Tell, GS; Tello, T; Tham, YC; Thankappan, KR; Theobald, H; Theodoridis, X; Thomas, N; Thorand, B; Thuesen, BH; Tichá, L; Timmermans, EJ; Tjandrarini, DH; Tjonneland, A; Tolonen, HK; Tolstrup, JS; Topbas, M; Topór-Madry, R; Torheim, LE; Tormo, MJ; Tornaritis, MJ; Torrent, M; Torres-Collado, L; Toselli, S; Touloumi, G; Traissac, P; Tran, TTH; Tremblay, MS; Triantafyllou, A; Trichopoulos, D; Trichopoulou, A; Trinh, OTH; Trivedi, A; Tsao, YH; Tshepo, L; Tsigga, M; Tsintavis, P; Tsugane, S; Tuitele, J; Tuliakova, AM; Tulloch-Reid, MK; Tullu, F; Tuomainen, TP; Tuomilehto, J; Turley, ML; Twig, G; Tynelius, P; Tzala, E; Tzotzas, T; Tzourio, C; Ueda, P; Ugel, E; Ukoli, FAM; Ulmer, H; Unal, B; Usupova, Z; Uusitalo, HMT; Uysal, N; Vaitkeviciute, J; Valdivia, G; Vale, S; Valvi, D; van Dam, RM; van den Born, BJ; Van der Heyden, J; van der Schouw, YT; Van Herck, K; Van Lippevelde, W; Minh, HV; Van Schoor, NM; van Valkengoed, IGM; Vanderschueren, D; Vanuzzo, D; Varbo, A; Varela-Moreiras, G; Vargas, LN; Varona-Pérez, P; Vasan, SK; Vasques, DG; Vega, T; Veidebaum, T; Velasquez-Melendez, G; Velika, B; Verloigne, M; Veronesi, G; Verschuren, WMM; Victora, CG; Viegi, G; Viet, L; Vik, FN; Vilar, M; Villalpando, S; Vioque, J; Virtanen, JK; Visvikis-Siest, S; Viswanathan, B; Vladulescu, M; Vlasoff, T; Vocanec, D; Vollenweider, P; Völzke, H; Voutilainen, A; Vrijheid, M; Vrijkotte, TGM; Wade, AN; Waldhör, T; Walton, J; Wambiya, EOA; Bebakar, WMW; Mohamud, WNW; Wanderley, RD Jr; Wang, MD; Wang, NL; Wang, Q; Wang, XJ; Wang, YX; Wang, YW; Wannamethee, SG; Wareham, N; Weber, A; Webster-Kerr, K; Wedderkopp, N; Weghuber, D; Wei, WB; Weres, A; Werner, B; Westbury, LD; Whincup, PH; Wickramasinghe, K; Widhalm, K; Widyahening, IS; Wiecek, A; Wild, PS; Wilks, RJ; Willeit, J; Willeit, P; Williams, J; Wilsgaard, T; Wojciech, R; Wojtyniak, B; Wolf, K; Wong-McClure, RA; Wong, A; Wong, EB; Wong, JE; Wong, TY; Woo, J; Woodward, M; Wu, FC; Wu, HY; Wu, JF; Wu, LJ; Wu, SL; Wyszynska, J; Xu, HQ; Xu, L; Yaacob, NA; Yamborisut, U; Yan, WL; Yang, L; Yang, XG; Yang, Y; Yardim, N; Yasuharu, T; García, MY; Yiallouros, PK; Yngve, A; Yoosefi, M; Yoshihara, A; You, QS; You, SL; Younger-Coleman, NO; Yu, YL; Yu, YJ; Yusof, SM; Yusoff, AF; Zaccagni, L; Zafiropulos, V; Zainuddin, AA; Zakavi, SR; Zamani, F; Zambon, S; Zampelas, A; Zamrazilova, H; Zapata, ME; Zargar, AH; Zaw, KK; Zayed, AA; Zdrojewski, T; Zeglen, M; Zejglicova, K; Vrkic, TZ; Zeng, Y; Zhang, LX; Zhang, ZY; Zhao, D; Zhao, MH; Zhao, WH; Zhecheva, YV; Zhen, SQ; Zheng, W; Zheng, YF; Zholdin, B; Zhou, MG; Zhu, D; Zins, M; Zitt, E; Zocalo, Y; Zoghlami, N; Cisneros, JZ; Zuziak, M; Bhutta, ZA; Black, RE; Ezzati, M</t>
  </si>
  <si>
    <t>Mishra, Anu; Zhou, Bin; Rodriguez-Martinez, Andrea; Bixby, Honor; Singleton, Rosie K.; Carrillo-Larco, Rodrigo M.; Sheffer, Kate E.; Paciorek, Christopher J.; Bennett, James E.; Lhoste, Victor; Iurilli, Maria L. C.; Di Cesare, Mariachiara; Bentham, James; Phelps, Nowell H.; Sophiea, Marisa K.; Stevens, Gretchen A.; Danaei, Goodarz; Cowan, Melanie J.; Savin, Stefan; Riley, Leanne M.; Gregg, Edward W.; Aekplakorn, Wichai; Ahmad, Noor Ani; Baker, Jennifer L.; Chirita-Emandi, Adela; Farzadfar, Farshad; Fink, Guenther; Heinen, Mirjam; Ikeda, Nayu; Kengne, Andre P.; Khang, Young-Ho; Laatikainen, Tiina; Laxmaiah, Avula; Ma, Jun; Monroy-Valle, Michele; Mridha, Malay K.; Padez, Cristina P.; Reynolds, Andrew; Soric, Maroje; Starc, Gregor; Wirth, James P.; Abarca-Gomez, Leandra; Abdeen, Ziad A.; Abdrakhmanova, Shynar; Ghaffar, Suhaila Abdul; Rahim, Hanan F. Abdul; Abdurrahmonova, Zulfiya; Abu-Rmeileh, Niveen M.; Garba, Jamila Abubakar; Acosta-Cazares, Benjamin; Adam, Ishag; Adamczyk, Marzena; Adams, Robert J.; Adu-Afarwuah, Seth; Afsana, Kaosar; Afzal, Shoaib; Agbor, Valirie N.; Agdeppa, Imelda A.; Aghazadeh-Attari, Javad; Aguenaou, Hassan; Aguilar-Salinas, Carlos A.; Agyemang, Charles; Ahmad, Mohamad Hasnan; Ahmadi, Ali; Ahmadi, Naser; Ahmadi, Nastaran; Ahmed, Imran; Ahmed, Soheir H.; Ahrens, Wolfgang; Aitmurzaeva, Gulmira; Ajlouni, Kamel; Al-Hazzaa, Hazzaa M.; Al-Lahou, Badreya; Al-Raddadi, Rajaa; Al Hourani, Huda M.; Al Qaoud, Nawal M.; Alarouj, Monira; AlBuhairan, Fadia; AlDhukair, Shahla; Aldwairji, Maryam A.; Alexius, Sylvia; Ali, Mohamed M.; Alkandari, Abdullah; Alkerwi, Ala'a; Alkhatib, Buthaina M.; Allin, Kristine; Alvarez-Pedrerol, Mar; Aly, Eman; Amarapurkar, Deepak N.; Amiano Etxezarreta, Pilar; Amoah, John; Amougou, Norbert; Amouyel, Philippe; Andersen, Lars Bo; Anderssen, Sigmund A.; Androutsos, Odysseas; Angquist, Lars; Anjana, Ranjit Mohan; Ansari-Moghaddam, Alireza; Anufrieva, Elena; Aounallah-Skhiri, Hajer; Araujo, Joana; Ariansen, Inger; Aris, Tahir; Arku, Raphael E.; Arlappa, Nimmathota; Aryal, Krishna K.; Aseffa, Nega; Aspelund, Thor; Assah, Felix K.; Assembekov, Batyrbek; Assuncao, Maria Cecilia F.; Aung, May Soe; Auvinen, Juha; Avdicova, Maria; Avi, Shina; Azevedo, Ana; Azimi-Nezhad, Mohsen; Azizi, Fereidoun; Azmin, Mehrdad; Babu, Bontha V.; Jorgensen, Maja Baeksgaard; Baharudin, Azli; Bahijri, Suhad; Bakacs, Marta; Balakrishna, Nagalla; Balanova, Yulia; Bamoshmoosh, Mohamed; Banach, Maciej; Banegas, Jose R.; Baran, Joanna; Baran, Rafal; Barbagallo, Carlo M.; Barbosa Filho, Valter; Barcelo, Alberto; Baretic, Maja; Barkat, Amina; Barnoya, Joaquin; Barrera, Lena; Barreto, Marta; Barros, Aluisio J. D.; Gomes Barros, Mauro Virgilio; Bartosiewicz, Anna; Basit, Abdul; Bastos, Joao Luiz D.; Bata, Iqbal; Batieha, Anwar M.; Batista, Aline P.; Batista, Rosangela L.; Battakova, Zhamilya; Baur, Louise A.; Bayauli, Pascal M.; Beaglehole, Robert; Bel-Serrat, Silvia; Belavendra, Antonisamy; Ben Romdhane, Habiba; Benedics, Judith; Benet, Mikhail; Benitez Rolandi, Gilda Estela; Bere, Elling; Bergh, Ingunn Holden; Berhane, Yemane; Berkinbayev, Salim; Bernabe-Ortiz, Antonio; Bernotiene, Gailute; Carrasola, Ximena Berrios; Bettiol, Heloisa; Beutel, Manfred E.; Beybey, Augustin F.; Bezerra, Jorge; Bhagyalaxmi, Aroor; Bharadwaj, Sumit; Bhargava, Santosh K.; Bi, Hongsheng; Bi, Yufang; Bia, Daniel; Biasch, Katia; Lele, Elysee Claude Bika; Bikbov, Mukharram M.; Bista, Bihungum; Bjelica, Dusko J.; Bjerregaard, Anne A.; Bjerregaard, Peter; Bjertness, Espen; Bjertness, Marius B.; Bjorkelund, Cecilia; Bloch, Katia V.; Blokstra, Anneke; Magnazu, Moran Blychfeld; Bo, Simona; Bobak, Martin; Boddy, Lynne M.; Boehm, Bernhard O.; Boer, Jolanda M. A.; Boggia, Jose G.; Bogova, Elena; Boissonnet, Carlos P.; Bojesen, Stig E.; Bonaccio, Marialaura; Bongard, Vanina; Bonilla-Vargas, Alice; Bopp, Matthias; Borghs, Herman; Bovet, Pascal; Boymatova, Khadichamo; Braeckevelt, Lien; Braeckman, Lutgart; Bragt, Marjolijn C. E.; Brajkovich, Imperia; Branca, Francesco; Breckenkamp, Juergen; Breda, Joao; Brenner, Hermann; Brewster, Lizzy M.; Brian, Garry R.; Briceno, Yajaira; Brinduse, Lacramioara; Brito, Miguel; Brophy, Sinead; Brug, Johannes; Bruno, Graziella; Bugge, Anna; Buntinx, Frank; Buoncristiano, Marta; Burazeri, Genc; Burns, Con; de Leon, Antonio Cabrera; Cacciottolo, Joseph; Cai, Hui; Caixeta, Roberta B.; Cama, Tilema; Cameron, Christine; Camolas, Jose; Can, Gunay; Candido, Ana Paula C.; Canete, Felicia; Capanzana, Mario V.; Capkova, Nadezda; Capuano, Eduardo; Capuano, Rocco; Capuano, Vincenzo; Cardol, Marloes; Cardoso, Viviane C.; Carlsson, Axel C.; Carmuega, Esteban; Carvalho, Joana; Casajus, Jose A.; Casanueva, Felipe F.; Casas, Maribel; Celikcan, Ertugrul; Censi, Laura; Cervantes-Loaiza, Marvin; Cesar, Juraci A.; Chamukuttan, Snehalatha; Chan, Angelique; Chan, Queenie; Chaturvedi, Himanshu K.; Chaturvedi, Nish; Rahim, Norsyamlina Che Abdul; Chee, Miao Li; Chen, Chien-Jen; Chen, Fangfang; Chen, Huashuai; Chen, Shuohua; Chen, Zhengming; Cheng, Ching-Yu; Cheng, Yiling J.; Cheraghian, Bahman; Chetrit, Angela; Chikova-Iscener, Ekaterina; Chinapaw, Mai J. M.; Chinnock, Anne; Chiolero, Arnaud; Chiou, Shu-Ti; Chirlaque, Maria-Dolores; Cho, Belong; Christensen, Kaare; Christofaro, Diego G.; Chudek, Jerzy; Cifkova, Renata; Cilia, Michelle; Cinteza, Eliza; Cirillo, Massimo; Claessens, Frank; Clarke, Janine; Clays, Els; Cohen, Emmanuel; Compan-Gabucio, Laura-Maria; Concin, Hans; Confortin, Susana C.; Cooper, Cyrus; Coppinger, Tara C.; Corpeleijn, Eva; Cortes, Lilia Yadira; Costanzo, Simona; Cottel, Dominique; Cowell, Chris; Craig, Cora L.; Crampin, Amelia C.; Cross, Amanda J.; Crujeiras, Ana B.; Cruz, Juan J.; Csanyi, Tamas; Csilla, Semanova; Cucu, Alexandra M.; Cui, Liufu; Cureau, Felipe V.; Cuschieri, Sarah; Czenczek-Lewandowska, Ewelina; D'Arrigo, Graziella; d'Orsi, Eleonora; Dacica, Liliana; Dallongeville, Jean; Damasceno, Albertino; Damsgaard, Camilla T.; Dankner, Rachel; Dantoft, Thomas M.; Dasgupta, Parasmani; Dastgiri, Saeed; Dauchet, Luc; Davletov, Kairat; Altenburg de Assis, Maria Alice; De Backer, Guy; De Bacquer, Dirk; De Curtis, Amalia; de Fragas Hinnig, Patricia; de Gaetano, Giovanni; De Henauw, Stefaan; De Miguel-Etayo, Pilar; de Oliveira, Paula Duarte; De Ridder, David; De Ridder, Karin; de Rooij, Susanne R.; De Smedt, Delphine; Deepa, Mohan; Deev, Alexander D.; DeGennaro, Vincent, Jr.; Delisle, Helene; Delpeuch, Francis; Demarest, Stefaan; Dennison, Elaine; Deren, Katarzyna; Deschamps, Valerie; Dhimal, Meghnath; Di Castelnuovo, Augusto; Dias-da-Costa, Juvenal Soares; Diaz-Sanchez, Maria Elena; Diaz, Alejandro; Fernandez, Pedro Diaz; Diez Ripolles, Maria Pilar; Dika, Zivka; Djalalinia, Shirin; Djordjic, Visnja; Do, Ha T. P.; Dobson, Annette J.; Dominguez, Liria; Donati, Maria Benedetta; Donfrancesco, Chiara; Dong, Guanghui; Dong, Yanhui; Donoso, Silvana P.; Doring, Angela; Dorobantu, Maria; Dorosty, Ahmad Reza; Doua, Kouamelan; Dragano, Nico; Drygas, Wojciech; Duan, Jia Li; Duante, Charmaine A.; Duboz, Priscilla; Duleva, Vesselka L.; Dulskiene, Virginija; Dumith, Samuel C.; Dushpanova, Anar; Dyussupova, Azhar; Dzerve, Vilnis; Dziankowska-Zaborszczyk, Elzbieta; Echeverria, Guadalupe; Eddie, Ricky; Eftekhar, Ebrahim; Egbagbe, Eruke E.; Eggertsen, Robert; Eghtesad, Sareh; Eiben, Gabriele; Ekelund, Ulf; El-Khateeb, Mohammad; El Ammari, Laila; El Ati, Jalila; Eldemire-Shearer, Denise; Eliasen, Marie; Elliott, Paul; Endevelt, Ronit; Engle-Stone, Reina; Erasmus, Rajiv T.; Erbel, Raimund; Erem, Cihangir; Ergor, Gul; Eriksen, Louise; Eriksson, Johan G.; Escobedo-de la Pena, Jorge; Eslami, Saeid; Esmaeili, Ali; Evans, Alun; Faeh, David; Fakhradiyev, Ildar; Fakhretdinova, Albina A.; Fall, Caroline H.; Faramarzi, Elnaz; Farjam, Mojtaba; Sant'Angelo, Victoria Farrugia; Fattahi, Mohammad Reza; Fawwad, Asher; Fawzi, Wafaie W.; Feigl, Edit; Felix-Redondo, Francisco J.; Ferguson, Trevor S.; Fernandes, Romulo A.; Fernandez-Berges, Daniel; Ferrante, Daniel; Ferrao, Thomas; Ferrari, Gerson; Ferrari, Marika; Ferrario, Marco M.; Ferreccio, Catterina; Ferreira, Haroldo S.; Ferrer, Eldridge; Ferrieres, Jean; Figueiro, Thamara Hubler; Fijalkowska, Anna; Fisberg, Mauro; Fischer, Krista; Foo, Leng Huat; Forsner, Maria; Fouad, Heba M.; Francis, Damian K.; Franco, Maria do Carmo; Fras, Zlatko; Frontera, Guillermo; Fuchs, Flavio D.; Fuchs, Sandra C.; Fujiati, Isti I.; Fujita, Yuki; Fumihiko, Matsuda; Furdela, Viktoriya; Furusawa, Takuro; Gaciong, Zbigniew; Gafencu, Mihai; Cuesta, Manuel Galan; Galbarczyk, Andrzej; Galenkamp, Henrike; Galeone, Daniela; Galfo, Myriam; Galvano, Fabio; Gao, Jingli; Gao, Pei; Garcia-de-la-Hera, Manoli; Garcia Merida, Maria Jose; Garcia Solano, Marta; Gareta, Dickman; Garnett, Sarah P.; Gaspoz, Jean-Michel; Gasull, Magda; Araujo Gaya, Adroaldo Cesar; Reis Gaya, Anelise; Gazzinelli, Andrea; Gehring, Ulrike; Geiger, Harald; Geleijnse, Johanna M.; George, Ronnie; Ghaderi, Ebrahim; Ghanbari, Ali; Ghasemi, Erfan; Gheorghe-Fronea, Oana-Florentina; Gialluisi, Alessandro; Giampaoli, Simona; Gianfagna, Francesco; Gieger, Christian; Gill, Tiffany K.; Giovannelli, Jonathan; Gironella, Glen; Giwercman, Aleksander; Gkiouras, Konstantinos; Glushkova, Natalya; Gluskova, Natalja; Godara, Ramesh; Godos, Justyna; Gogen, Sibel; Goldberg, Marcel; Goltzman, David; Gomez, Georgina; Gomez Gomez, Jesus Humberto; Gomez, Luis F.; Gomez, Santiago F.; Gomula, Aleksandra; Cordeiro da Silva, Bruna Goncalves; Goncalves, Helen; Goncalves, Mauer; Gonzalez-Alvarez, Ana D.; Gonzalez-Chica, David A.; Gonzalez-Gil, Esther M.; Gonzalez-Gross, Marcela; Gonzalez-Leon, Margot; Gonzalez-Rivas, Juan P.; Gonzalez-Villalpando, Clicerio; Gonzalez-Villalpando, Maria-Elena; Gonzalez, Angel R.; Gottrand, Frederic; Graca, Antonio Pedro; Graff-Iversen, Sidsel; Grafnetter, Dusan; Grajda, Aneta; Grammatikopoulou, Maria G.; Gregor, Ronald D.; Joao Gregorio, Maria; Groholt, Else Karin; Grontved, Anders; Grosso, Giuseppe; Gruden, Gabriella; Gu, Dongfeng; Guajardo, Viviana; Gualdi-Russo, Emanuela; Guallar-Castillon, Pilar; Gualtieri, Andrea; Gudmundsson, Elias F.; Gudnason, Vilmundur; Guerrero, Ramiro; Guessous, Idris; Guimaraes, Andre L.; Gulliford, Martin C.; Gunnlaugsdottir, Johanna; Gunter, Marc J.; Guo, Xiu-Hua; Guo, Yin; Gupta, Prakash C.; Gupta, Rajeev; Gureje, Oye; Gutierrez Gonzalez, Enrique; Gutierrez, Laura; Gutzwiller, Felix; Gwee, Xinyi; Ha, Seongjun; Hadaegh, Farzad; Hadjigeorgiou, Charalambos A.; Haghshenas, Rosa; Hakimi, Hamid; Halkjaer, Jytte; Hambleton, Ian R.; Hamzeh, Behrooz; Hanekom, Willem A.; Hange, Dominique; Hanif, Abu A. M.; Hantunen, Sari; Hao, Jie; Hardman, Carla Meneses; Kumar, Rachakulla Hari; Lassen, Tina Harmer; Harooni, Javad; Hashemi-Shahri, Seyed Mohammad; Hassapidou, Maria; Hata, Jun; Haugsgjerd, Teresa; Hayes, Alison J.; He, Jiang; He, Yuan; He, Yuna; Heidinger-Felso, Regina; Heier, Margit; Hejgaard, Tatjana; Hendriks, Marleen Elisabeth; Henrique, Rafael dos Santos; Henriques, Ana; Cadena, Leticia Hernandez; Herrala, Sauli; Herrera-Cuenca, Marianella; Herrera, Victor M.; Herter-Aeberli, Isabelle; Herzig, Karl-Heinz; Heshmat, Ramin; Hill, Allan G.; Ho, Sai Yin; Ho, Suzanne C.; Hobbs, Michael; Hofelmann, Doroteia A.; Holdsworth, Michelle; Homayounfar, Reza; Homs, Clara; Hopman, Wilma M.; Horimoto, Andrea R. V. R.; Hormiga, Claudia M.; Horta, Bernardo L.; Houti, Leila; Howitt, Christina; Thein Thein Htay; Htet, Aung Soe; Maung Maung Than Htike; Hu, Yonghua; Huerta, Jose Maria; Huhtaniemi, Ilpo Tapani; Huiart, Laetitia; Petrescu, Constanta Huidumac; Huisman, Martijn; Husseini, Abdullatif; Chinh Nguyen Huu; Huybrechts, Inge; Hwalla, Nahla; Hyska, Jolanda; Iacoviello, Licia; Iakupova, Ellina M.; Ibarluzea, Jesus M.; Ibrahim, Mohsen M.; Wong, Norazizah Ibrahim; Ikram, M. Arfan; Iniguez, Carmen; Iotova, Violeta; Irazola, Vilma E.; Ishida, Takafumi; Isiguzo, Godsent C.; Islam, Muhammad; Islam, Sheikh Mohammed Shariful; Islek, Duygu; Ivanova-Pandourska, Ivaila Y.; Iwasaki, Masanori; Jaaskelainen, Tuija; Jackson, Rod T.; Jacobs, Jeremy M.; Jadoul, Michel; Jafar, Tazeen; Jallow, Bakary; James, Kenneth; Jamil, Kazi M.; Jamrozik, Konrad; Jansson, Anna; Janszky, Imre; Janus, Edward; Jarani, Juel; Jarvelin, Marjo-Riitta; Jasienska, Grazyna; Jelakovic, Ana; Jelakovic, Bojan; Jennings, Garry; Jiang, Chao Qiang; Jimenez, Ramon O.; Jockel, Karl-Heinz; Joffres, Michel; Jokelainen, Jari J.; Jonas, Jost B.; Jonnagaddala, Jitendra; Jorgensen, Torben; Joshi, Pradeep; Josipovic, Josipa; Joukar, Farahnaz; Jozwiak, Jacek J.; Judge, Debra S.; Juolevi, Anne; Jurak, Gregor; Simina, Iulia Jurca; Juresa, Vesna; Kaaks, Rudolf; Kaducu, Felix O.; Kafatos, Anthony; Kaj, Monika; Kajantie, Eero O.; Kakutia, Natia; Kallayova, Daniela; Kalmatayeva, Zhanna; Kalter-Leibovici, Ofra; Kameli, Yves; Kampmann, Freja B.; Kanala, Kodanda R.; Kannan, Srinivasan; Kapantais, Efthymios; Karaglani, Eva; Karakosta, Argyro; Karhus, Line L.; Karki, Khem B.; Katchunga, Philippe B.; Katibeh, Marzieh; Katz, Joanne; Katzmarzyk, Peter T.; Kauhanen, Jussi; Kaur, Prabhdeep; Kavousi, Maryam; Kazakbaeva, Gyulli M.; Kaze, Francois F.; Ke, Calvin; Keil, Ulrich; Boker, Lital Keinan; Keinanen-Kiukaanniemi, Sirkka; Kelishadi, Roya; Kelleher, Cecily; Kemper, Han C. G.; Keramati, Maryam; Kerimkulova, Alina; Kersting, Mathilde; Key, Timothy; Khader, Yousef Saleh; Khaledifar, Arsalan; Khalili, Davood; Khaw, Kay-Tee; Kheiri, Bahareh; Kheradmand, Motahareh; Khosravi, Alireza; Khouw, Ilse M. S. L.; Kiechl-Kohlendorfer, Ursula; Kiechl, Sophia J.; Kiechl, Stefan; Killewo, Japhet; Kim, Hyeon Chang; Kim, Jeongseon; Kindblom, Jenny M.; Kingston, Andrew; Klakk, Heidi; Klimek, Magdalena; Klimont, Jeannette; Klumbiene, Jurate; Knoflach, Michael; Koirala, Bhawesh; Kolle, Elin; Kolsteren, Patrick; Konig, Jurgen; Korpelainen, Raija; Korrovits, Paul; Korzycka, Magdalena; Kos, Jelena; Koskinen, Seppo; Kouda, Katsuyasu; Kovacs, Eva; Kovacs, Viktoria Anna; Kovalskys, Irina; Kowlessur, Sudhir; Koziel, Slawomir; Kratenova, Jana; Kratzer, Wolfgang; Kriaucioniene, Vilma; Kriemler, Susi; Kristensen, Peter Lund; Krizan, Helena; Kroker-Lobos, Maria F.; Krokstad, Steinar; Kromhout, Daan; Kruger, Herculina S.; Kruger, Ruan; Kryst, Lukasz; Kubinova, Ruzena; Kuciene, Renata; Kujala, Urho M.; Kujundzic, Enisa; Kulaga, Zbigniew; Kulimbet, Mukhtar; Kumar, R. Krishna; Kunesova, Marie; Kurjata, Pawel; Kusuma, Yadlapalli S.; Kutsenko, Vladimir; Kuulasmaa, Kari; Kyobutungi, Catherine; La, Quang Ngoc; Laamiri, Fatima Zahra; Lachat, Carl; Lackner, Karl J.; Laid, Youcef; Lall, Lachmie; Lam, Tai Hing; Jimenez, Maritza Landaeta; Landais, Edwige; Lanska, Vera; Lappas, Georg; Larijani, Bagher; Larissa, Simo Pone; Latt, Tint Swe; Laurenzi, Martino; Lauria, Laura; Lazo-Porras, Maria; Le Coroller, Gwenaelle; Khanh Le Nguyen Bao; Le Port, Agnes; Le, Tuyen D.; Lee, Jeannette; Lee, Jeonghee; Lee, Paul H.; Lehmann, Nils; Lehtimaki, Terho; Lemogoum, Daniel; Leskosek, Branimir; Leszczak, Justyna; Leth-Moller, Katja B.; Leung, Gabriel M.; Levitt, Naomi S.; Li, Yanping; Liivak, Merike; Lilly, Christa L.; Lim, Charlie; Lim, Wei-Yen; Lima-Costa, M. Fernanda; Lin, Hsien-Ho; Lin, Xu; Lin, Yi-Ting; Lind, Lars; Lingam, Vijaya; Linkohr, Birgit; Linneberg, Allan; Lissner, Lauren; Litwin, Mieczyslaw; Liu, Jing; Liu, Lijuan; Lo, Wei-Cheng; Loit, Helle-Mai; Khuong Quynh Long; Abril, Guadalupe Longo; Lopes, Luis; Lopes, Marcus V. V.; Lopes, Oscar; Lopez-Garcia, Esther; Lopez, Tania; Lotufo, Paulo A.; Lozano, Jose Eugenio; Lukrafka, Janice L.; Luksiene, Dalia; Lundqvist, Annamari; Lunet, Nuno; Lunogelo, Charles; Lustigova, Michala; Luszczki, Edyta; M'Buyamba-Kabangu, Jean-Rene; Ma, Guansheng; Ma, Xu; Machado-Coelho, George L. L.; Machado-Rodrigues, Aristides M.; Macia, Enguerran; Macieira, Luisa M.; Madar, Ahmed A.; Madsen, Anja L.; Maestre, Gladys E.; Maggi, Stefania; Magliano, Dianna J.; Magnacca, Sara; Magriplis, Emmanuella; Mahasampath, Gowri; Maire, Bernard; Majer, Marjeta; Makdisse, Marcia; Maki, Paivi; Malekzadeh, Fatemeh; Malekzadeh, Reza; Malhotra, Rahul; Rao, Kodavanti Mallikharjuna; Malyutina, Sofia K.; Maniego, Lynell V.; Manios, Yannis; Manix, Masimango Imani; Mann, Jim I.; Mansour-Ghanaei, Fariborz; Manyanga, Taru; Manzato, Enzo; Marcil, Anie; Margozzini, Paula; Marino, Joany; Markaki, Anastasia; Markey, Oonagh; Ioannidou, Eliza Markidou; Marques-Vidal, Pedro; Marques, Larissa Pruner; Marrugat, Jaume; Martin-Prevel, Yves; Martin, Rosemarie; Martorell, Reynaldo; Martos, Eva; Maruszczak, Katharina; Marventano, Stefano; Masala, Giovanna; Mascarenhas, Luis P.; Masoodi, Shariq R.; Mathiesen, Ellisiv B.; Mathur, Prashant; Matijasevich, Alicia; Matlosz, Piotr; Matsha, Tandi E.; Matsudo, Victor; Mavrogianni, Christina; Mazur, Artur; Mbanya, Jean Claude N.; McFarlane, Shelly R.; McGarvey, Stephen T.; McKee, Martin; McLachlan, Stela; McLean, Rachael M.; McLean, Scott B.; McNairy, Margaret L.; McNulty, Breige A.; Benchekor, Sounnia Mediene; Medzioniene, Jurate; Mehdipour, Parinaz; Mehlig, Kirsten; Mehrparvar, Amir Houshang; Meirhaeghe, Aline; Meisfjord, Jorgen; Meisinger, Christa; Melgarejo, Jesus D.; Melkumova, Marina; Mello, Joao; Mendez, Fabian; Mendivil, Carlos O.; Menezes, Ana Maria B.; Menon, Geetha R.; Mensink, Gert B. M.; Menzano, Maria Teresa; Meshram, Indrapal I.; Meto, Diane T.; Mi, Jie; Michaelsen, Kim F.; Michels, Nathalie; Mikkel, Kairit; Milkowska, Karolina; Miller, Jody C.; Milushkina, Olga; Minderico, Claudia S.; Mini, G. K.; Miquel, Juan Francisco; Miranda, J. Jaime; Mirjalili, Mohammad Reza; Mirkopoulou, Daphne; Mirrakhimov, Erkin; Misigoj-Durakovic, Marjeta; Mistretta, Antonio; Mocanu, Veronica; Modesti, Pietro A.; Moghaddam, Sahar Saeedi; Mohajer, Bahram; Mohamed, Mostafa K.; Mohamed, Shukri F.; Mohammad, Kazem; Mohammadi, Mohammad Reza; Mohammadi, Zahra; Mohammadifard, Noushin; Mohammadpourhodki, Reza; Mohan, Viswanathan; Mohanna, Salim; Yusoff, Muhammad Fadhli Mohd; Mohebbi, Iraj; Mohebi, Farnam; Moitry, Marie; Mollehave, Line T.; Moller, Niels C.; Molnar, Denes; Momenan, Amirabbas; Mondo, Charles K.; Mendoza, Roger A. Montenegro; Monterrubio-Flores, Eric; Monyeki, Kotsedi Daniel K.; Moon, Jin Soo; Moosazadeh, Mahmood; Mopa, Hermine T.; Moradpour, Farhad; Moreira, Leila B.; Morejon, Alain; Moreno, Luis A.; Morey, Francis; Morgan, Karen; Morin, Suzanne N.; Mortensen, Erik Lykke; Moschonis, George; Moslem, Alireza; Mossakowska, Malgorzata; Mostafa, Aya; Mostafavi, Seyed-Ali; Mota-Pinto, Anabela; Mota, Jorge; Motlagh, Mohammad Esmaeel; Motta, Jorge; Moura-dos-Santos, Marcos Andre; Movsesyan, Yeva; Msyamboza, Kelias P.; Mu, Thet Thet; Muc, Magdalena; Muca, Florian; Mugosa, Boban; Muiesan, Maria L.; Mueller-Nurasyid, Martina; Munzel, Thomas; Mursu, Jaakko; Murtagh, Elaine M.; Musa, Kamarul Imran; Milanovic, Sanja Music; Musil, Vera; Musinguzi, Geofrey; Muyer, Muel Telo M. C.; Nabipour, Iraj; Naderimagham, Shohreh; Nagel, Gabriele; Najafi, Farid; Nakamura, Harunobu; Nalecz, Hanna; Namesna, Jana; Nang, Ei Ei K.; Nangia, Vinay B.; Nankap, Martin; Narake, Sameer; Nardone, Paola; Naseri, Take; Nauck, Matthias; Neal, William A.; Nejatizadeh, Azim; Nekkantti, Chandini; Nelis, Keiu; Nenko, Ilona; Neovius, Martin; Nervi, Flavio; Ng, Tze Pin; Nguyen, Chung T.; Nguyen, Nguyen D.; Quang Ngoc Nguyen; Ni, Michael Y.; Nicolescu, Rodica; Nie, Peng; Nieto-Martinez, Ramfis E.; Nikitin, Yury P.; Ning, Guang; Ninomiya, Toshiharu; Nishi, Nobuo; Nishtar, Sania; Noale, Marianna; Noboa, Oscar A.; Nogueira, Helena; Nordendahl, Maria; Nordestgaard, Borge G.; Noto, Davide; Nowak-Szczepanska, Natalia; Al Nsour, Mohannad; Nuhoglu, Irfan; Nunes, Baltazar; Nurk, Eha; Nuwaha, Fred; Nyirenda, Moffat; O'Neill, Terence W.; O'Reilly, Dermot; Obreja, Galina; Ochimana, Caleb; Ochoa-Aviles, Angelica M.; Oda, Eiji; Odili, Augustine N.; Oh, Kyungwon; Ohara, Kumiko; Ohlsson, Claes; Ohtsuka, Ryutaro; Olafsson, Orn; Olinto, Maria Teresa A.; Oliveira, Isabel O.; Omar, Mohd Azahadi; Omar, Saeed M.; Onat, Altan; Ong, Sok King; Onland-Moret, N. Charlotte; Ono, Lariane M.; Ordunez, Pedro; Ornelas, Rui; Ortiz, Ana P.; Ortiz, Pedro J.; Osler, Merete; Osmond, Clive; Ostojic, Sergej M.; Ostovar, Afshin; Otero, Johanna A.; Overvad, Kim; Owusu-Dabo, Ellis; Paccaud, Fred Michel; Pagkalos, Ioannis; Pahomova, Elena; de Paiva, Karina Mary; Pajak, Andrzej; Palloni, Alberto; Palmieri, Luigi; Pan, Wen-Harn; Panda-Jonas, Songhomitra; Pandey, Arvind; Panza, Francesco; Paoli, Mariela; Papadopoulou, Sousana K.; Papandreou, Dimitrios; Pareja, Rossina G.; Park, Soon-Woo; Park, Suyeon; Parnell, Winsome R.; Parsaeian, Mahboubeh; Pascanu, Ionela M.; Pasquet, Patrick; Patel, Nikhil D.; Pattussi, Marcos; Pavlyshyn, Halyna; Pechlaner, Raimund; Pecin, Ivan; Pednekar, Mangesh S.; Pedro, Joao M.; Peer, Nasheeta; Peixoto, Sergio Viana; Peltonen, Markku; Pereira, Alexandre C.; Peres, Marco A.; Perez, Cynthia M.; Peterkova, Valentina; Peters, Annette; Petersmann, Astrid; Petkeviciene, Janina; Petrauskiene, Ausra; Kovtun, Olga Petrovna; Pettenuzzo, Emanuela; Peykari, Niloofar; Pfeiffer, Norbert; Phall, Modou Cheyassin; Pham, Son Thai; Pichardo, Rafael N.; Pierannunzio, Daniela; Pigeot, Iris; Pikhart, Hynek; Pilav, Aida; Pilotto, Lorenza; Pistelli, Francesco; Pitakaka, Freda; Piwonska, Aleksandra; Pizarro, Andreia N.; Plans-Rubio, Pedro; Platonova, Alina G.; Poh, Bee Koon; Pohlabeln, Hermann; Polka, Nadija S.; Pop, Raluca M.; Popovic, Stevo R.; Porta, Miquel; Posch, Georg; Poudyal, Anil; Poulimeneas, Dimitrios; Pouraram, Hamed; Pourfarzi, Farhad; Pourshams, Akram; Poustchi, Hossein; Pradeepa, Rajendra; Price, Alison J.; Price, Jacqueline F.; Prista, Antonio; Providencia, Rui; Puder, Jardena J.; Pudule, Iveta; Puiu, Maria; Punab, Margus; Qadir, Muhammed S.; Qasrawi, Radwan F.; Qorbani, Mostafa; Quintana, Hedley K.; Quiroga-Padilla, Pedro J.; Bao, Tran Quoc; Rach, Stefan; Radic, Ivana; Radisauskas, Ricardas; Rahimikazerooni, Salar; Rahman, Mahfuzar; Rahman, Mahmudur; Raitakari, Olli; Raj, Manu; Rajabov, Tamerlan; Rakhmatulloev, Sherali; Rakovac, Ivo; Rao, Sudha Ramachandra; Ramachandran, Ambady; Ramadan, Otim P. C.; Ramires, Virgilio V.; Ramke, Jacqueline; Ramos, Elisabete; Ramos, Rafel; Rampal, Lekhraj; Rampal, Sanjay; Rangelova, Lalka S.; Rarra, Vayia; Rascon-Pacheco, Ramon A.; Rech, Cassiano Ricardo; Redon, Josep; Reganit, Paul Ferdinand M.; Regecova, Valeria; Renner, Jane D. P.; Repasy, Judit A.; Reuter, Cezane P.; Revilla, Luis; Rezaianzadeh, Abbas; Rho, Yeunsook; Ribas-Barba, Lourdes; Ribeiro, Robespierre; Riboli, Elio; Richter, Adrian; Rigo, Fernando; Rigotti, Attilio; Rinaldo, Natascia; de Wit, Tobias F. Rinke; Rito, Ana I.; Ritti-Dias, Raphael M.; Rivera, Juan A.; Roa, Reina G.; Robinson, Louise; Robitaille, Cynthia; Roccaldo, Romana; Rodrigues, Daniela; Rodriguez-Artalejo, Fernando; Rodriguez-Perez, Maria del Cristo; Rodriguez-Villamizar, Laura A.; Rodriguez, Andrea Y.; Roggenbuck, Ulla; Rohloff, Peter; Rohner, Fabian; Rojas-Martinez, Rosalba; Rojroongwasinkul, Nipa; Romaguera, Dora; Romeo, Elisabetta L.; Rosario, Rafaela V.; Rosengren, Annika; Rouse, Ian; Rouzier, Vanessa; Roy, Joel G. R.; Ruano, Maira H.; Rubinstein, Adolfo; Ruhli, Frank J.; Ruidavets, Jean-Bernard; Sandra Ruiz-Betancourt, Blanca; Ruiz-Castell, Maria; Ruiz Moreno, Emma; Rusakova, Iuliia A.; Jonsson, Kenisha Russell; Russo, Paola; Rust, Petra; Rutkowski, Marcin; Saamel, Marge; Sabanayagam, Charumathi; Sabbaghi, Hamideh; Sacchini, Elena; Sachdev, Harshpal S.; Sadjadi, Alireza; Safarpour, Ali Reza; Safi, Sare; Safiri, Saeid; Saghi, Mohammad Hossien; Saidi, Olfa; Saki, Nader; Salaj, Sanja; Salanave, Benoit; Martinez, Eduardo Salazar; Saleva, Calogero; Salmeron, Diego; Salomaa, Veikko; Salonen, Jukka T.; Salvetti, Massimo; Samoutian, Margarita; Sanchez-Abanto, Jose; Sanchez Rodriguez, Ines; Sandjaja; Sans, Susana; Santa Marina, Loreto; Santacruz, Ethel; Santos, Diana A.; Santos, Ina S.; Santos, Lelita C.; Santos, Maria Paula; Santos, Osvaldo; Santos, Rute; Santos, Tamara R.; Saramies, Jouko L.; Sardinha, Luis B.; Sarrafzadegan, Nizal; Sathish, Thirunavukkarasu; Saum, Kai-Uwe; Savva, Savvas; Savy, Mathilde; Sawada, Norie; Sbaraini, Mariana; Scazufca, Marcia; Schaan, Beatriz D.; Rosario, Angelika Schaffrath; Schargrodsky, Herman; Schienkiewitz, Anja; Schindler, Karin; Schipf, Sabine; Schmidt, Carsten O.; Schmidt, Ida Maria; Schneider, Andrea; Schnohr, Peter; Schottker, Ben; Schramm, Sara; Schramm, Stine; Schroder, Helmut; Schultsz, Constance; Schulze, Matthias B.; Schutte, Aletta E.; Sebert, Sylvain; Sedaghattalab, Moslem; Selamat, Rusidah; Sember, Vedrana; Sen, Abhijit; Senbanjo, Idowu O.; Sepanlou, Sadaf G.; Sequera, Guillermo; Serra-Majem, Luis; Servais, Jennifer; Sevcikova, Ludmila; Shalnova, Svetlana; Shamah-Levy, Teresa; Shamshirgaran, Seyed Morteza; Shanthirani, Coimbatore Subramaniam; Sharafkhah, Maryam; Sharma, Sanjib K.; Shaw, Jonathan E.; Shayanrad, Amaneh; Shayesteh, Ali Akbar; Shengelia, Lela; Shi, Zumin; Shibuya, Kenji; Shimizu-Furusawa, Hana; Shimony, Tal; Shiri, Rahman; Shrestha, Namuna; Si-Ramlee, Khairil; Siani, Alfonso; Siantar, Rosalynn; Sibai, Abla M.; Sidossis, Labros S.; Silitrari, Natalia; Silva, Antonio M.; de Moura Silva, Caroline Ramos; Santos Silva, Diego Augusto; Silva, Kelly S.; Sim, Xueling; Simon, Mary; Simons, Judith; Simons, Leon A.; Sjoberg, Agneta; Sjostrom, Michael; Skoblina, Natalia A.; Skodje, Gry; Slazhnyova, Tatyana; Slowikowska-Hilczer, Jolanta; Slusarczyk, Przemyslaw; Smeeth, Liam; So, Hung-Kwan; Soares, Fernanda Cunha; Sobek, Grzegorz; Sobngwi, Eugene; Sodemann, Morten; Soderberg, Stefan; Soekatri, Moesijanti Y. E.; Soemantri, Agustinus; Sofat, Reecha; Solfrizzi, Vincenzo; Somi, Mohammad Hossein; Sonestedt, Emily; Song, Yi; Soofi, Sajid; Sorensen, Thorkild I. A.; Sorgjerd, Elin P.; Jerome, Charles Sossa; Soto-Rojas, Victoria E.; Soumare, Aicha; Sousa-Poza, Alfonso; Sovic, Slavica; Sparboe-Nilsen, Bente; Sparrenberger, Karen; Spencer, Phoebe R.; Spinelli, Angela; Spiroski, Igor; Staessen, Jan A.; Stamm, Hanspeter; Staub, Kaspar; Stavreski, Bill; Steene-Johannessen, Jostein; Stehle, Peter; Stein, Aryeh D.; Stergiou, George S.; Stessman, Jochanan; Stevanovic, Ranko; Stieber, Jutta; Stockl, Doris; Stokwiszewski, Jakub; Stoyanova, Ekaterina; Stratton, Gareth; Stronks, Karien; Strufaldi, Maria Wany; Sturua, Lela; Suarez-Medina, Ramon; Suka, Machi; Sun, Chien-An; Sun, Liang; Sundstrom, Johan; Sung, Yn-Tz; Sunyer, Jordi; Suriyawongpaisal, Paibul; Sweis, Nabil William G.; Swinburn, Boyd A.; Sy, Rody G.; Sylva, Rene Charles; Szklo, Moyses; Szponar, Lucjan; Tabone, Lorraine; Tai, E. Shyong; Tambalis, Konstantinos D.; Tammesoo, Mari-Liis; Tamosiunas, Abdonas; Tan, Eng Joo; Tang, Xun; Tanrygulyyeva, Maya; Tanser, Frank; Tao, Yong; Tarawneh, Mohammed Rasoul; Tarp, Jakob; Tarqui-Mamani, Carolina B.; Braunerova, Radka Taxova; Taylor, Anne; Taylor, Julie; Tchibindat, Felicite; Te Velde, Saskia; Tebar, William R.; Tell, Grethe S.; Tello, Tania; Tham, Yih Chung; Thankappan, K. R.; Theobald, Holger; Theodoridis, Xenophon; Thomas, Nihal; Thorand, Barbara; Thuesen, Betina H.; Ticha, Lubica; Timmermans, Erik J.; Tjandrarini, Dwi H.; Tjonneland, Anne; Tolonen, Hanna K.; Tolstrup, Janne S.; Topbas, Murat; Topor-Madry, Roman; Torheim, Liv Elin; Tormo, Maria Jose; Tornaritis, Michael J.; Torrent, Maties; Torres-Collado, Laura; Toselli, Stefania; Touloumi, Giota; Traissac, Pierre; Thi Tuyet-Hanh Tran; Tremblay, Mark S.; Triantafyllou, Areti; Trichopoulos, Dimitrios; Trichopoulou, Antonia; Trinh, Oanh T. H.; Trivedi, Atul; Tsao, Yu-Hsiang; Tshepo, Lechaba; Tsigga, Maria; Tsintavis, Panagiotis; Tsugane, Shoichiro; Tuitele, John; Tuliakova, Azaliia M.; Tulloch-Reid, Marshall K.; Tullu, Fikru; Tuomainen, Tomi-Pekka; Tuomilehto, Jaakko; Turley, Maria L.; Twig, Gilad; Tynelius, Per; Tzala, Evangelia; Tzotzas, Themistoklis; Tzourio, Christophe; Ueda, Peter; Ugel, Eunice; Ukoli, Flora A. M.; Ulmer, Hanno; Unal, Belgin; Usupova, Zhamyila; Uusitalo, Hannu M. T.; Uysal, Nalan; Vaitkeviciute, Justina; Valdivia, Gonzalo; Vale, Susana; Valvi, Damaskini; van Dam, Rob M.; van den Born, Bert-Jan; Van der Heyden, Johan; van der Schouw, Yvonne T.; Van Herck, Koen; Van Lippevelde, Wendy; Hoang Van Minh; Van Schoor, Natasja M.; van Valkengoed, Irene G. M.; Vanderschueren, Dirk; Vanuzzo, Diego; Varbo, Anette; Varela-Moreiras, Gregorio; Vargas, Luz Nayibe; Varona-Perez, Patricia; Vasan, Senthil K.; Vasques, Daniel G.; Vega, Tomas; Veidebaum, Toomas; Velasquez-Melendez, Gustavo; Velika, Biruta; Verloigne, Maite; Veronesi, Giovanni; Verschuren, W. M. Monique; Victora, Cesar G.; Viegi, Giovanni; Viet, Lucie; Vik, Froydis N.; Vilar, Monica; Villalpando, Salvador; Vioque, Jesus; Virtanen, Jyrki K.; Visvikis-Siest, Sophie; Viswanathan, Bharathi; Vladulescu, Mihaela; Vlasoff, Tiina; Vocanec, Dorja; Vollenweider, Peter; Volzke, Henry; Voutilainen, Ari; Vrijheid, Martine; Vrijkotte, Tanja G. M.; Wade, Alisha N.; Waldhor, Thomas; Walton, Janette; Wambiya, Elvis O. A.; Bebakar, Wan Mohamad Wan; Mohamud, Wan Nazaimoon Wan; de Souza Wanderley Junior, Rildo; Wang, Ming-Dong; Wang, Ningli; Wang, Qian; Wang, Xiangjun; Wang, Ya Xing; Wang, Ying-Wei; Wannamethee, S. Goya; Wareham, Nicholas; Weber, Adelheid; Webster-Kerr, Karen; Wedderkopp, Niels; Weghuber, Daniel; Wei, Wenbin; Weres, Aneta; Werner, Bo; Westbury, Leo D.; Whincup, Peter H.; Wickramasinghe, Kremlin; Widhalm, Kurt; Widyahening, Indah S.; Wiecek, Andrzej; Wild, Philipp S.; Wilks, Rainford J.; Willeit, Johann; Willeit, Peter; Williams, Julianne; Wilsgaard, Tom; Wojciech, Rusek; Wojtyniak, Bogdan; Wolf, Kathrin; Wong-McClure, Roy A.; Wong, Andrew; Wong, Emily B.; Wong, Jyh Eiin; Wong, Tien Yin; Woo, Jean; Woodward, Mark; Wu, Frederick C.; Wu, Hon-Yen; Wu, Jianfeng; Wu, Li Juan; Wu, Shouling; Wyszynska, Justyna; Xu, Haiquan; Xu, Liang; Yaacob, Nor Azwany; Yamborisut, Uruwan; Yan, Weili; Yang, Ling; Yang, Xiaoguang; Yang, Yang; Yardim, Nazan; Yasuharu, Tabara; Garcia, Martha Yepez; Yiallouros, Panayiotis K.; Yngve, Agneta; Yoosefi, Moein; Yoshihara, Akihiro; You, Qi Sheng; You, San-Lin; Younger-Coleman, Novie O.; Yu, Yu-Ling; Yu, Yunjiang; Yusof, Safiah Md; Yusoff, Ahmad Faudzi; Zaccagni, Luciana; Zafiropulos, Vassilis; Zainuddin, Ahmad A.; Zakavi, Seyed Rasoul; Zamani, Farhad; Zambon, Sabina; Zampelas, Antonis; Zamrazilova, Hana; Zapata, Maria Elisa; Zargar, Abdul Hamid; Zaw, Ko Ko; Zayed, Ayman A.; Zdrojewski, Tomasz; Zeglen, Magdalena; Zejglicova, Kristyna; Vrkic, Tajana Zeljkovic; Zeng, Yi; Zhang, Luxia; Zhang, Zhen-Yu; Zhao, Dong; Zhao, Ming-Hui; Zhao, Wenhua; Zhecheva, Yanitsa V.; Zhen, Shiqi; Zheng, Wei; Zheng, Yingfeng; Zholdin, Bekbolat; Zhou, Maigeng; Zhu, Dan; Zins, Marie; Zitt, Emanuel; Zocalo, Yanina; Zoghlami, Nada; Cisneros, Julio Zuniga; Zuziak, Monika; Bhutta, Zulfiqar A.; Black, Robert E.; Ezzati, Majid</t>
  </si>
  <si>
    <t>NCD Risk Factor Collaboration</t>
  </si>
  <si>
    <t>Diminishing benefits of urban living for children and adolescents' growth and development</t>
  </si>
  <si>
    <t>Optimal growth and development in childhood and adolescence is crucial for lifelong health and well-being(1-6). Here we used data from 2,325 population-based studies, with measurements of height and weight from 71million participants, to report the height and body-mass index (BMI) of children and adolescents aged 5-19years on the basis of rural and urban place of residence in 200 countries and territories from 1990 to 2020. In 1990, children and adolescents residing in cities were taller than their rural counterparts in all but a few high-income countries. By 2020, the urban height advantage became smaller in most countries, and in many high-income western countries it reversed into a small urban-based disadvantage. The exception was for boys in most countries in sub-Saharan Africa and in some countries in Oceania, south Asia and the region of central Asia, Middle East and north Africa. In these countries, successive cohorts of boys from rural places either did not gain height or possibly became shorter, and hence fell further behind their urban peers. The difference between the age-standardized mean BMI of children in urban and rural areas was &lt; 1.1kgm(-2) in the vast majority of countries. Within this small range, BMI increased slightly more in cities than in rural areas, except in south Asia, sub-Saharan Africa and some countries in central and eastern Europe. Our results show that in much of the world, the growth and developmental advantages of living in cities have diminished in the twenty-first century, whereas in much of sub-Saharan Africa they have amplified.</t>
  </si>
  <si>
    <t>Sabanayagam, Charumathi/C-1294-2011; Fijalkowska, Anna/V-3994-2018; Li, Yichong/A-3559-2019; Trung, Nguyen/JGM-3997-2023; Malhotra, Rahul/I-7818-2019; Zhao, D/AAX-5040-2021; Puiu, Maria/F-3138-2016; Bentham, James/ABF-5746-2020; Godos, Justyna/AAC-1302-2019; Staub, Kaspar/F-8567-2013; Dereń, Katarzyna/AAA-8916-2019; Zheng, Wei/O-3351-2013; Theodoridis, Xenophon/AGS-2767-2022; Waldhoer, Thomas/I-1215-2019; Mensink, Gert/B-2447-2009; Wedderkopp, Niels/L-9810-2019; Echeverría, Guadalupe/GWV-3832-2022; Drygas, Wojciech/GLR-9863-2022; Magriplis, Emmanuela/A-1466-2015; ahmadi, naser/JCO-6978-2023; Nang, Ei/C-2219-2011; Saki, Nader/Q-9926-2017; Heier, Margit/AAT-5280-2020; Heshmat, Ramin/S-7435-2017; Scarlatescu, Alina/J-1911-2016; Bartosiewicz, Anna/K-9621-2019; Molnár, Dénes/AAB-6820-2022; You, Qisheng/AAG-7153-2020; Kriaucioniene, Vilma/AHB-3528-2022; Bloch, Katia/GLN-2877-2022; Van Lippevelde, Wendy/AAM-6490-2021; Nordestgaard, Borge/ABF-1310-2020; Wong, Tien/AAC-9724-2020; Sunyer, Jordi/G-6909-2014; Virtanen, Jyrki/G-5149-2013; Stergiou, George/J-3083-2019; Rahim, Hanan/S-5987-2019; Schaffrath Rosario, Angelika/JQW-8470-2023; Gieger, Christian/A-3083-2013; Ferrieres, Jean/S-7993-2016; Pham, Thai Son/JMB-2145-2023; Bjertness, Espen/LBH-4851-2024; Lustigova, Michala/AAR-1386-2021; Ikeda, Nayu/J-9890-2019; Gonzalez-Gross, Marcela/W-8000-2018; Lilly, Christa/R-6644-2017; Cífková, Renata/O-5731-2017; Hazarika, Dr. Chaya/AHE-4096-2022; Wang, Yukun/GRJ-5930-2022; Hwalla, Nahla/MIO-6582-2025; Meshram, Indrapal/AGD-7915-2022; Kozieł, Sławomir/AAE-1003-2022; Cooper, Cyrus/ADV-7232-2022; Grosso, Giuseppe/K-6730-2016; Karki, Khem/AAM-8242-2021; Fattahi, Mohammad/C-2010-2018; Fuchs, Flávio/L-5078-2016; Bitaraf, Saeid/M-5618-2019; Papadopoulou, Sousana/AAP-8678-2020; Pierannunzio, Daniela/AAB-7702-2019; Dantoft, Thomas/N-2702-2017; Valvi, Dania/ABE-6650-2020; Guallar-Castillon, Pilar/F-1533-2016; Raj, Manu/U-7187-2019; Manyanga, Taru/GQY-7863-2022; Nogueira, Helena/N-8663-2018; Adu-Afarwuah, Seth/GWZ-2033-2022; Ferrario, Marco/ABH-2115-2021; Siani, Alfonso/B-7925-2015; Capuano, Rocco/IAS-0883-2023; Lyu, Zhangyan/HJA-0434-2022; Jarani, Juel/Y-4621-2018; Hoang, Minh/AET-0962-2022; AMOUGOU, Norbert/GXW-3348-2022; Damsgaard, Camilla/B-4866-2015; wang, jing/GVT-8700-2022; KIM, JEONGSEON/AAA-4643-2022; Cooper, Rachel/ABE-3768-2021; Fuchs, Sandra/T-2670-2019; Guo, Yin/ABC-2134-2020; nuhoglu, irfan/Z-1967-2018; f, m/AAM-2063-2021; Swinburn, Boyd/JXL-3452-2024; Harmer Lassen, Tina/JFL-0493-2023; Dyussupova, Azhar/F-2302-2017; Berhane, Yemane/ABB-8154-2020; Di Castelnuovo, Augusto Filippo/K-5517-2016; Mostafavi, Seyed-Ali/AAG-9898-2019; Ho, Daniel/C-4307-2009; Soekatri, Moesijanti/AAM-8754-2021; russo, emanuela/KFT-2406-2024; Mascarenhas, Luis/H-3465-2012; ATI, Jalila/Y-5467-2018; Chin A Paw, Mai/N-1665-2019; Nyirenda, Makandwe/R-4080-2018; Iotova, Violeta/AAO-2387-2021; Masoudi, Sahar/AEY-5492-2022; Herrera, Víctor/ABB-4480-2020; Bhutta, Zulfiqar/ADZ-0156-2022; Gutiérrez, Laura/IYJ-6582-2023; Dhimal, Meghnath/AAD-7261-2021; Bonaccio, Marialaura/K-7678-2016; Kutsenko, Vladimir/S-7802-2018; Rohner, Fabian/I-5088-2019; Safi, Sare/AAW-4651-2020; Taylor, Anne/F-5708-2010; Cândido, Ana/L-9217-2013; Galvano, Fabio/JSL-7451-2023; Sharma, Shailendra/JFJ-5002-2023; gottrand, frederic/G-7370-2015; Sharafkhah, Maryam/JQW-6917-2023; Masoodi, Shariq/AAV-7265-2020; Tanser, Frank/ABE-8326-2021; Fujiati, Isti/GPF-3335-2022; Kannan, Srinivasan/G-2896-2019; Manios, Yannis/AAM-8953-2021; Woodward, Mark/L-6817-2017; Rivera, Juan/AGG-2060-2022; Schmidt, Carsten/AAH-2778-2019; RODRÍGUEZ, IRMA BRIGIDA/AAQ-4087-2020; Söderberg, Stefan/AAG-3881-2019; Dacica, Liliana/AAY-9192-2021; Menon, Geetha/AAQ-7062-2020; Panza, Francesco/Y-2539-2019; tuomilehto, jaakko/E-6504-2011; de Paiva, Karina/AAU-6776-2020; Shengelia, Lela/LJL-4964-2024; /AAJ-2098-2020; Davletov, Kairat/JDD-4419-2023; Topbas, Murat/AAT-1095-2020; Salaj, Sanja/V-5962-2018; Goldberg, Marcel/I-7834-2012; Kumar, Raman/AAU-9136-2020; Viswanathan, Mohan/C-2321-2009; Moradpour, Farhad/HGA-9768-2022; Kindblom, Jenny/G-3415-2012; Huybrechts, Inge/ITT-7052-2023; TRIVEDI, ATUL/AAK-1984-2021; Noboa, Oscar/Q-8150-2019; Yiallouros, Panayiotis/AAF-6026-2019; Pourfarzi, Farhad/O-6772-2019; Mathur, Prashant/AAY-9373-2020; Korzycka, Magdalena/AAG-1778-2021; Spiroski, Igor/KYP-9785-2024; Liu, Jing/AAH-8079-2021; Farjam, Mojtaba/O-3475-2017; Grøntved, Anders/AAA-8025-2022; Nguyen-Viet, Hung/AHH-2981-2022; Nenko, Ilona/F-7410-2010; Saghi, Mohammad/P-3197-2017; Nsour, Mohannad/ABE-8741-2020; TRICHOPOULOU, Antonia/AEO-0065-2022; Markey, Oonagh/E-5490-2017; Dika, Živka/AAX-7621-2021; Ortiz, Pedro/LPP-8332-2024; Ikuta, Kevin/HHZ-6411-2022; Bjelica, Dusko/S-7633-2016; Franco, Maria/F-9421-2012; Peykari, Niloofar/L-4521-2016; Benet, Mikhail/AAS-2086-2020; Lotufo, Paulo/A-9843-2008; Thankappan, Kavumpurathu/ABC-9551-2021; Pattussi, Marcos/P-1730-2019; Gianfagna, Francesco/K-4561-2016; Riboli, Elio/A-4357-2009; Santos, Maria Paula/L-7533-2013; Jasienska, Grazyna/E-4901-2011; Salomaa, Veikko/AEO-8209-2022; Noale, Marianna/IXD-2540-2023; Li, Xia/GOK-1145-2022; donfrancesco, chiara/K-1460-2016; Lam, Tai/C-4317-2009; MOREIRA, LEILA/AAC-2240-2019; Jääskeläinen, Tuija/HJP-9606-2023; Chudek, Jerzy/I-2826-2019; Stehle, Peter/ITU-6185-2023; MENESES HARDMAN, CARLA/ITT-9873-2023; Sedaghattalab, Moslem/AAG-2637-2021; Lopez-Garcia, Esther/A-8894-2019; Rech, Cassiano/AAU-4340-2020; Di Castelnuovo, Augusto Filippo/AAC-2436-2022; Li, Chen/GPX-2756-2022; Sans, Susana/ABD-5378-2021; , Margus Punab/KXS-1159-2024; cheraghian, bahman/L-8808-2017; Mohammadifard, Noushin/M-2244-2018; Machado-Coelho, George Luiz/ABA-4312-2021; M'BUYAMBA-KABANGU, Jean/AAD-7736-2022; Majer, Marjeta/AAF-9412-2021; Tham, Yih Chung/IUP-0091-2023; Chaturvedi, Nishi/C-7761-2013; Bikbov, Mukharram/AAO-7624-2021; Ruiz Moreno, Emma/S-7210-2018; Breda, Joao/J-9371-2014; Wade, Alisha/A-8180-2011; Gomula, Aleksandra/AAB-8821-2019; Martinez, Andrea/KHX-0081-2024; Otero, Johanna/IQS-9779-2023; Garcia de la Hera, Manuela/N-8908-2019; Pouraram, Hamed/D-5409-2018; Ahmadi, Nastaran/AAW-1051-2020; Bjerregaard, Peter/ABD-8894-2020; Padez, Cristina/AAN-1156-2020; Smeeth, Liam/X-5862-2018; Klimek, Magdalena/AAL-8318-2020; Zeng, Yan/C-1353-2011; Csányi, Tamás/I-1391-2016; Mohammadi, Mohammad Reza/ABD-9550-2021; Bach Kampmann, Freja/AAX-3552-2021; Zins, Marie/AAX-6551-2021; Cortes, Lilia/AAF-2960-2019; SOUMARE, AICHA/T-4739-2019; H, A/KFA-1203-2024; Gaya, Anelise/C-1140-2012; Aekplakorn, Wichai/AAK-6867-2021; Sánchez, Maria-José/D-1087-2011; Boggia, Jose/LHA-0190-2024; Moreno, Luis/S-1780-2019; Cardoso, Viviane/D-6254-2012; van Valkengoed, Irene/B-2974-2013; Michael, Navin/HGF-2322-2022; Mocanu, Veronica/AAQ-6285-2020; Demissie, Dereje/AAN-3556-2021; Shariful Islam, Sheikh Mohammed/B-1219-2011; Kauhanen, Jussi/ABC-4064-2021; van den Born, Bert-Jan/IUQ-0970-2023; Pilav, Aida/GLR-8893-2022; Brinduse, Lacramioara/JGE-2820-2023; Dauchet, Luc/HJH-7119-2023; Ma, Jun/R-8732-2019; Shalnova, Svetlana/D-3824-2016; Twig, Gilad/C-4373-2018; Ramke, Jacqueline/I-8844-2019; Tan, Eng Joo/JXN-6779-2024; Gómez, Santiago/JFA-6171-2023; Sen, Abhijit/AAD-6009-2022; Salvetti, Massimo/E-9929-2010; Viana Ramires, Virgílio/JTV-6901-2023; Motta, Jorge/ABI-6006-2020; larijani, Bagher/ABE-3315-2020; Kujala, Urho/AAP-2547-2020; Rohloff, Peter/P-8722-2017; Lackner, Karl/IAQ-4908-2023; Iñiguez, Carmen/AAA-5866-2019; Schramm, Stine/X-3474-2019; Jonas, Jost/AEP-3841-2022; NISHI, NOBUO/S-6195-2019; Hamzeh, Behrooz/S-6852-2017; moosazadeh, mahmood/F-3730-2017; Widyahening, Indah/GNP-8450-2022; Huisman, Martijn/G-2873-2010; Ye, Xingwang/D-5193-2011; Makdisse, Marcia/AAY-9814-2020; Reuter, Cezane/K-3311-2016; Brug, Johannes/A-8242-2018; Chen, Chien-Jen/N-4723-2019; Mohamed, Shukri/R-1769-2019; Gutiérrez, Laura/D-3958-2009; Chirlaque, Maria-Dolores/KCL-3322-2024; Schneider, Ione/J-8762-2013; mota, jorge/B-2980-2013; Varela-Moreiras, Gregorio/AAA-7153-2019; Banach, Maciej/A-1271-2009; PALMIERI, LUIGI/O-1845-2017; Romaguera, Dora/ABE-7004-2020; Marcelino-RodrÃguez, Itahisa/AGE-3176-2022; Kruger, Salome/R-2476-2019; Matijasevich, Alicia/C-5576-2009; Rampal, Sanjay/B-9691-2010; Moschonis, George/AAM-9616-2021; Plans-Rubió, Pedro/AAB-1778-2022; Vargas, Luz/AAB-4258-2020; Mansour-Ghaanei, Fariborz/P-7240-2016; Rodrigues, Daniela/AAR-1000-2020; Rojas, Rosalba/C-8714-2014; Obreja, Galina/AFL-7328-2022; Fernandes, Romulo/MCJ-6459-2025; Lehtimäki, Terho/AAD-1094-2022; Bustamante, Mariona/ABB-9142-2021; Zheng, Yingfeng/KGK-8305-2024; Cheng, Ching-Yu/Y-2229-2019; Pedro, Joao/KLC-8936-2024; Zhou, Ben/G-1850-2017; shayesteh, ali/R-1791-2017; Allin, Kristine/ABG-3463-2021; Navarrete-Muñoz, Eva/F-1666-2011; Isiguzo, Godsent/AAD-8102-2022; Ünal, Belgin/KBQ-0552-2024; Tebar, William/S-7523-2018; Ostovar, Afshin/D-4630-2017; Khaw, Kay-Tee/AAZ-3209-2021; De Ridder, Karin/KFB-0647-2024; Żegleń, Magdalena/HKO-2884-2023; Bjerregaard, Anne/H-6205-2019; Costa, Maria Fernanda/ABE-3779-2021; Tremblay, Mark/ABI-5477-2020; Qorbani, Mostafa/M-8171-2017; Reynolds, Andrew/AAC-6282-2019; Li, J/JXL-5833-2024; Al Hourani, Huda/AEQ-4615-2022; Kazakbaeva, Gyulli/ABA-6752-2021; , Alireza/AAE-4134-2022; Weghuber, Daniel/AAN-1422-2020; McLean, Rachael/AAF-7596-2019; Safarpour, Ali Reza/G-4061-2010; Yaacob, Nor/L-5709-2016; Eslami, Saeid/AAZ-6005-2020; Velasquez-Melendez, Gustavo/ACO-7729-2022; Vale, Susana/L-8367-2013; Quintana, Hedley/J-6562-2019; Bekbolat, Zholdin/ABL-0799-2022; Wild, Philipp/M-2106-2019; Zhang, Zhen-Yu/HJG-5266-2022; Mohajer, Bahram/I-9529-2019; Kállayová, Daniela/C-1684-2015; Poh, Bee Koon/LLL-3691-2024; Baretić, Maja/ITU-6886-2023; Tjonneland, Anne/AGU-0320-2022; Mehdipour, Parinaz/O-7680-2018; Aung, May Soe/AAX-3456-2021; mazur, andre/ABC-8971-2021; Chaturvedi, Himanshu/AAD-7705-2020; Wang, Ming-Dong/AAR-9322-2021; Łuszczki, Edyta/AAP-1883-2020; Tsugane, Shoichiro/A-2424-2015; Jørgensen, Torben/Z-1335-2018; Ochoa-Avilés, Angélica/A-8713-2014; Olinto, Maria/AAH-5897-2021; Gao, Pei/R-4794-2018; Sundström, Johan/IAP-6197-2023; Leung, Gabriel/C-4336-2009; Mohammed, Ammas/ABF-4925-2020; Monterrubio, Eric/L-8073-2017; Møllehave, Line/U-6360-2019; Garcia-Garcia, Francisco Jose/R-9258-2017; Alina, Kerimkulova/H-9330-2017; Cureau, Felipe/H-1021-2018; Mehrparvar, Amir/D-3812-2016; Jelaković, Ana/HLH-2435-2023; Furdela, Viktoriya/AAG-7081-2019; Vioque, Jesus/A-1066-2008; Lee, Paul/F-2549-2010; Henrique, Rafael/GOP-3290-2022; Schramm, Sara/B-5415-2014; Somi, Mohammad/B-1875-2009; TELLO, TANIA/GWZ-3894-2022; Victora, Cesar/Y-2455-2019; Bongard, Vanina/KLY-9335-2024; Howitt, Christina/MIK-9677-2025; Hambleton, Ian/AAP-3519-2020; Nunes, Baltazar/V-8903-2019; Wyszynska, Justyna/L-5315-2016; Horta, Bernardo/A-7604-2008; Chirita-Emandi, Adela/G-5574-2016; Alkandari, Abdullah/AAI-5745-2021; Ahmed, Imran/JVO-3120-2024; Hardy, Rebecca/AFR-1989-2022; Mohebi, Farnam/AGB-7159-2022; Gonzalez Rivas, Juan Pablo/HZK-6756-2023; Zainuddin, Ahmad/AAN-6675-2021; Miranda, J. Jaime/A-8482-2008; Bastos, Joao/AAG-4560-2019; Eftekhar, Ebrahim/K-7831-2017; Pereira, Claudia/AAZ-9108-2021; Koziel, Slawomir/AAK-1652-2021; Mohebbi, Iraj/G-1494-2017; Chiolero, Arnaud/A-4322-2010; Figueiró, Thamara/AAE-8515-2019; Rakovac, Ivo/A-7678-2013; Tzourio, Christophe/B-4015-2009; Basit, Muhammad Abdul/JJN-5751-2023; Zampelas, Antonis/AAM-4349-2020; Mohammadpourhodki, Reza/P-5260-2018; Kasaeian, Amir/C-8290-2017; Bovet, Pascal/F-4477-2011; Kiechl, Stefan/GQP-0351-2022; Pradeepa, Rajendra/ADN-8398-2022; Salmerón Martínez, Diego/AAA-3403-2019; Christofaro, Diego/C-3312-2014; Ergör, Gül/AAC-6457-2019; Gupta, Rajat/E-5545-2018; Sarrafzadegan, Nizal/V-5826-2017; Jennings, Garry/B-3914-2009; Simina, Iulia/KIC-1586-2024; Tarawneh, Monther/Q-8808-2016; Mridha, Malay Kanti/AAJ-5539-2020; d'Orsi, Eleonora/D-1905-2015; Shi, Zumin/A-1093-2009; Gonzalez-Chica, David/L-5316-2019; Balanova, Yulia/M-5911-2014; Iwasaki, Masanori/HTM-9059-2023; Stein, Aryeh/J-9831-2012; dastgiri, saeed/S-9077-2016; Casas, Maribel/T-5643-2017; Can, Günay/AAB-1669-2020; Kavousi, Maryam/F-1174-2018; lachat, carl/AAH-9764-2020; Peterkova, Valentina/B-1344-2017; Raitakari, Olli/AAQ-7389-2021; Martorell, Reynaldo/I-2539-2012; Joukar, Farahnaz/P-9423-2016; Gialluisi, Alessandro/K-1195-2018; Michels, Nathalie/C-2819-2012; Nakamura, Harunobu/JVN-7507-2024; Danaei, Goodarz/B-6085-2008; Costanzo, Simona/K-5076-2016; Jelakovic, Bojan/J-2058-2017; Tamosiunas, Abdonas/AAD-4274-2021; Husseini, Abdullatif/E-8377-2015; Schaan, Beatriz/I-7518-2017; Li, Xiaoli/JVZ-4089-2024; Kelishadi, Roya/E-6154-2012; Salvetti, Marina/CAH-5302-2022; bi, yu/JOK-3859-2023; Najafi, Farid/JSL-1581-2023; Goncalves, Mauer/LSK-9700-2024; Peixoto, Sérgio/AAK-7335-2021; Meisinger, Christine/B-5358-2014; Bia, Daniel/AFS-1736-2022; Tao, Yong/AFG-9738-2022; Wong, Emily/JGM-0118-2023; ZAKAVI, SEYED/H-5891-2016; Katzmarzyk, Peter/N-1974-2017; Jonsson, KR/K-5786-2019; Noto, Davide/AAA-9208-2019; Pascanu, Maria/AAY-4174-2020; Khosravi, Alireza/A-6141-2018; Íbarluzea, Jesus/ACJ-5440-2022; Bennett, James/AAS-5505-2021; kheradmand, Motahareh/R-9818-2018; Kristensen, Peter/B-4218-2009; Munzel, Thomas/A-2912-2014; de Assis, Maria/B-8125-2009; Gkiouras, Konstantinos/AAW-4478-2020; Huiart, Laetitia/LXA-7410-2024; Schienkiewitz, Anja/A-8463-2019; Sepanlou, Sadaf/H-9343-2016; Czenczek- Lewandowska, Ewelina/KIB-1088-2024; Meisinger, Christa/KYQ-6817-2024; DZERVE, VILNIS/GRF-4184-2022; He, Yuan/JFS-1316-2023; Khalili, Davood/T-2913-2017; Ke, Calvin/K-6231-2016; SHALNOVA, SVETLANA/ABI-1341-2020; Segers, Patrick/AAA-7844-2020; León, Margot/ABD-4622-2020; Jamil, Kazi/ABX-6965-2022; Marques, Larissa/AAJ-8457-2020; Gibbs, J. Raphael/A-3984-2010; Ohara, Kumiko/AFU-6086-2022; Cho, Belong/GLU-3443-2022; Wambiya, Elvis/AAR-5832-2021; Gill, Tiffany/F-9042-2010; Al-Raddadi, Rajaa/F-8337-2010; Pop, Raluca/AAS-7928-2020; do Rosário, Helena/M-6077-2013; Radić, Ivana/IYJ-2576-2023; Nalecz, Hanna/B-6788-2013; Carvalho, Joana/L-7948-2013; Bel-Serrat, Silvia/AAN-8221-2020; Dong, Guanghui/AAN-4630-2020; Petrilli, Alberto/AAZ-6314-2021; Rodriguez, Laura/GWC-8446-2022; Braeckman, lutgart/HJH-7657-2023; do Carmo P Franco, Maria/F-7771-2015; Spinelli, Angela/K-2004-2018; Sardinha, Luís/F-2641-2013; Aryal, Krishna/AFN-8677-2022; de curtis, amalia/AAC-2829-2020; Wang, Yaxing/AAL-2809-2020; Hinnig, Patricia/Q-4262-2018; Baran, Joanna/T-8405-2019; Cohen, Emmanuel/ABE-1916-2021; Gunter, Marc/AAP-8621-2020; Ma, Guansheng/MZQ-3701-2025; Abdrakhmanova, Shynar/U-5619-2018; Robinson, Louise/AAE-1570-2021; Lind, Lars/KAM-1968-2024; Ohlsson, Claes/HIR-6959-2022; Muiesan, M.L./AAC-2060-2022; hadaegh, farzad/K-2460-2017; Gomez, Georgina/AAR-7272-2020; Malyutina, Sofia/J-1651-2018; ahmadi, ali/JMC-5690-2023; Gureje, Oye/J-1183-2014; Saieva, Calogero/AAC-2611-2019; Ramos, Elisabete/F-3473-2013; Gudnason, Vilmundur/AAE-7126-2019; Bobak, Martin/O-9524-2019; Papandreou, Dimitrios/AAF-1712-2020; van Valkengoed, Irene/ABA-1551-2021; McNulty, Breige/GSI-4486-2022; Amouyel, Philippe/D-3662-2018; Donati, Maria/K-6606-2016; Woo, Jean/K-2625-2014; Redon, Josep/L-5997-2019; Tambalis, Konstantinos/JWO-7031-2024; Benoit, Salanave/F-3062-2017; Rahimikazerooni, Salar/X-1326-2018; Sabbaghi, Hamideh/AAT-2398-2021; mirjalili, mohammad/C-8543-2019; Onland-Moret, N./G-9185-2011; Kengne, Andre/ABB-3696-2020; Ulmer, Hanno/S-6615-2019; Qasrawi, Radwan/AAA-6245-2019; Topor-Madry, Roman/ABF-5449-2020; Ekelund, Ulf/AAE-8471-2019; Cheng, Chingyu/ADB-9835-2022; Pan, Wen-Harn/F-9972-2010; khaledifar, rsalan/N-3117-2017; De Miguel-Etayo, Pilar/B-5258-2014; Censi, Laura/AAN-1674-2020; Strufaldi, Maria/C-6663-2016; Porta, Miquel/B-5787-2008; Laatikainen, Tiina/ABD-6622-2021; Litwin, Mieczyslaw/L-4648-2017; Sonestedt, Emily/I-3814-2016; Sakarya, Sibel/GRJ-1667-2022; GHAFFAR, SUHAILA/AAG-1965-2019; Foo, Leng/I-1127-2012; Scazufca, Marcia/K-7418-2012; Henriques, Ana/JDW-8699-2023; Marina, Ljiljana/AAH-1185-2019; Zaw, Ko-Ko/HGF-2385-2022; giovannelli, jonathan/I-5307-2018; Diaz, Maria/AAO-4873-2020; Cuschieri, Sarah/Y-2881-2019; Galbarczyk, Andrzej/J-4657-2019; Martinez, Ramfis/I-7205-2019; Providencia, Rui/HTN-7692-2023; Marques-Vidal, Pedro/C-9449-2009; REDON, JOSEP/E-1719-2019; Gabucio, Laura/AAN-6068-2020; Batista, Aline/Q-5353-2019; Wong, Jyh Eiin/AAK-4382-2020; Androutsos, Odysseas/ABF-8670-2021; Stoyanova, Elena/HPF-2305-2023; Chen, Zhengming/JQW-0084-2023; Santos, Osvaldo/E-7995-2010; Barkat, Amina/ADG-2157-2022; Brewster, Lizzy/K-7675-2019; Assembekov, Batyrbek/K-6177-2018; Ferrari, Gerson/HHM-6173-2022; Trichopoulos, Dimitrios/G-6825-2012; Coelho, George/S-3411-2019; Gregório, Maria João/AAI-2085-2021; Altirkawi, Khalid/D-7302-2017; Van Herck, Koen/L-2549-2019; McFarlane, Shelly/AFU-7579-2022; Garnett, Sarah/D-8067-2012; Zdrojewski, Tomasz/AAA-8875-2020; Nargus, Shumaila/AIE-4332-2022; Hakimi, Hamid/G-8700-2017; Lopes, Luis/AAX-7957-2020; Cinteza, Eliza/HIR-9956-2022; Burazeri, Genc/Q-8860-2019; Gonzalez, Angel/F-5832-2017; Zhou, Maigeng/HCH-7703-2022; Zitt, Emanuel/ABE-1926-2020; landais, edwige/AAK-2356-2020; Fisberg, Mauro/E-7149-2010; van Dam, Rob/F-9674-2010; Dumith, Samuel/JMQ-3284-2023; Sidossis, Labros/AAN-9546-2021; He, Jiang/AAF-5303-2020; Veronesi, Giovanni/O-5678-2019; Al-Hazzaa, Hazzaa/R-6909-2019; Fischer, Krista/AFK-0237-2022; Haghshenas, Rosa/JYP-8789-2024; Nakamura, Harunobu/R-9237-2019; Mini, GK/ACE-7458-2022; Nejatizadeh, Azim/M-2608-2017; Herter-Aeberli, Isabelle/C-8580-2013; Pavlyshyn, Halyna/H-2220-2018; Rinaldo, Natascia/J-2219-2019; Mehlig, Kirsten/AAT-3468-2020; Willeit, Peter/HCI-7091-2022; Poudyal, Anil/IVH-4823-2023; Abdeen, Ziad/AAC-7889-2019; Ni, Michael/G-5209-2012; Shamshirgaran, Seyed/P-9524-2017; Jansson, Anna/GRJ-6413-2022; Jiménez-Pavón, David/AAA-2970-2020; Aguilar Salinas, Carlos A/JFS-8212-2023; Assah, Felix/HTQ-6564-2023; León-Muñoz, Luz/H-8275-2017; Bo, Simona/AAC-1110-2019; Alkerwi, Ala'a/M-3435-2014; Bahijri, Suhad/AAF-4141-2020; Staessen, Jan/A-1065-2011; Escobedo, Jorge/AAH-3917-2020; Morejon Giraldoni, Alain Francisco/AAS-4280-2020; Tan, Eng Joo/D-4368-2011; Mota-Pinto, Anabela/M-1523-2013; Giordani Vasques, Daniel/B-6578-2013; Baker, Jennifer L./F-1917-2010; Koenig, Juergen/I-8130-2014; Mendez Paz, Fabian/LKK-5470-2024; Vollenweider, Peter/Q-4603-2016; Holdsworth, Michelle/AAH-5400-2020; Ruhli, Frank/H-8789-2017; Peters, Annette/A-6117-2011; Cirillo, Massimo/G-5480-2018; Dushpanova, Anar/I-7583-2017; TANG, Xun/L-8375-2013; Gulliford, Martin/I-8606-2018; Platonova, Alina/AAT-6261-2020; Kim, Hyeon Chang/F-8796-2019; Mbanya, Jean Claude N/T-5147-2018; Soric, Maroje/AAR-6770-2021; Sobek, Grzegorz/KRP-8739-2024; Barbosa Filho, Valter/F-9025-2011; Afzal, Shoaib/B-6763-2012; Geleijnse, Johanna Marianna/B-5749-2012; Brito, Miguel/A-7970-2016; Radisauskas, Ricardas/AAT-8920-2021; McKee, Martin/E-6673-2018; Nagalla, Balakrishna/GRR-4393-2022; Pikhart, Hynek/E-3074-2010; Schulze, Matthias B./AAH-6906-2021; Miquel Poblete, Juan Francisco/K-6310-2014; You, Qi Sheng/A-3619-2014; Meirhaeghe, Aline/E-4663-2015; Christensen, Kaare/C-2360-2009; Guimaraes, Andre/D-8122-2011; Veronesi, Giovanni/E-3859-2010; Djordjic, Visnja/T-3828-2018; Ong, Sok King/AAA-5791-2021; Santos, Diana/H-9086-2013; Crujeiras, Ana B/ABA-8866-2021; Silva, Kelly Samara/AAX-8307-2020; Barreto, Marta/F-5591-2012; Santos, Rute/A-6401-2012; Schutte, Aletta/E-5126-2018; Monroy-Valle, Michele/W-2054-2018; Claessens, Frank/M-8565-2016; Muller-Nurasyid, Martina/I-8735-2018; Pizarro, Andreia/AEG-1728-2022; Kulimbet, Mukhtar/AAR-3059-2021; Stratton, Gareth/Q-2746-2017; Huerta, Jose Maria/N-8654-2015; Fernandez-Berges, Daniel/R-5998-2019; Pistelli, Francesco/Y-8270-2019; Popovic, Stevo/S-7125-2016; Cheng, Yiling/A-6547-2009; Modesti, Pietro Amedeo/B-2638-2012; Homayounfar, Reza/L-8813-2017; N, Skoblina/Y-8078-2018; Schroder, Helmut/G-2586-2015; Ferrari, Gerson/P-1152-2014; Van Herck, Koen/G-5223-2013; Alkhatib, Buthaina/GWY-3175-2022; Barros, Mauro/B-8983-2014; Padez, Cristina/B-3476-2012; Wang, Ling/KBA-9814-2024; fakhradiyev, ildar/ABI-2183-2020; Cunha Soares, Fernanda/D-6483-2016; Glushkova, Natalya/GPT-0503-2022; Matlosz, Piotr/E-7053-2018; Mostafa, Aya/ITV-5153-2023; Nie, Peng/AFO-4955-2022; Vrijheid, Martine/H-2702-2014; Kruger, Ruan/N-7618-2015; Santos, Marcos/L-1761-2016; Cararo Confortin, Susana/KPB-8397-2024; khader, yousef/AAE-9620-2019; Thirunavukkarasu, Sathish/ABM-9697-2022; Mirrakhimov, Erkin/E-6900-2017; Gomez, Santiago Felipe/H-9478-2017; Dankner, Rachel/Q-5245-2019; Musa, Kamarul Imran/N-3198-2015; Batista, Rosangela/G-6808-2016; Gonzalez Gil, Esther Maria/AAA-8040-2020; Judge, Debra/J-5784-2012; LIN, YI-TING/S-8855-2017; Renner, Jane Dagmar Pollo/J-3772-2016; Alexandra, Cucu/MDT-5893-2025; Machado-Rodrigues, Aristides/KJM-3429-2024; Safarpour, Ali Reza/U-3953-2017; Silva, Diego Augusto Santos/AAB-9249-2020; dos Santos Henrique, Rafael/N-3773-2017; Gudnason, Vilmundur/K-6885-2015; Barrera, Lena/AGL-6465-2022; Ritti-Dias, Raphael/G-4200-2013; Iacoviello, Licia/K-4676-2016; Jonnagaddala, Jitendra/F-7372-2015; Ramos, Rafel/D-9627-2016</t>
  </si>
  <si>
    <t>Rodriguez-Villamizar, Laura Andrea/0000-0002-5551-2586; Rivera, Juan A./0000-0003-2586-4908; Goncalves, Mauer/0000-0001-7937-7430; Morejon Giraldoni, Alain Francisco/0000-0002-4652-1771; Tan, Eng Joo/0000-0003-4449-4404; Mota-Pinto, Anabela/0000-0002-0820-9568; Ornelas, Rui/0000-0003-3737-7402; Giordani Vasques, Daniel/0000-0001-8955-9676; Michaelsen, Kim F/0000-0003-0449-0839; Baker, Jennifer L./0000-0002-9649-6615; Aguenaou, Hassan/0000-0002-7137-1955; Burazeri, Genc/0000-0003-4813-4000; Phelps, Nowell/0009-0008-7351-4447; Yankova Ivanova-Pandourska, Ivaila/0009-0001-6637-705X; Ibarluzea, Jesus/0000-0002-6933-5373; Ohara, Kumiko/0000-0002-0411-9821; Koenig, Juergen/0000-0003-2184-9372; Mendez Paz, Fabian/0000-0002-5201-8822; Vollenweider, Peter/0000-0002-0765-896X; Holdsworth, Michelle/0000-0001-6028-885X; Osmond, Clive/0000-0002-9054-4655; Baretic, Maja/0000-0002-7242-8407; Ruhli, Frank/0000-0001-7937-001X; Katibeh, Marzieh/0009-0001-2642-1116; NARAKE, SAMEER/0000-0002-1355-5596; Howitt, Christina/0000-0003-0002-4734; Drygas, Wojciech/0000-0002-4351-6459; Simina, Iulia-Elena/0000-0001-7768-2968; Khuong, Quynh Long/0000-0002-1232-6230; Peters, Annette/0000-0001-6645-0985; Wedderkopp, Niels/0000-0002-9660-6618; Cirillo, Massimo/0000-0002-6409-3504; Branca, Francesco/0000-0002-4238-1433; Karaglani, Eva/0000-0001-5395-7023; Angquist, Lars/0000-0002-9516-4424; Gureje, Oye/0000-0003-0094-5947; Dushpanova, Anar/0000-0001-6941-2773; TANG, Xun/0000-0002-6990-0168; Ahmed Chauhadry, Imran/0000-0001-7425-3113; Araujo, Joana/0000-0001-9649-3177; Gulliford, Martin/0000-0003-1898-9075; Martorell, Reynaldo/0000-0001-8862-7243; Mollehave, Line Tang/0000-0001-7116-9346; Platonova, Alina/0000-0002-2487-6782; Westbury, Leo/0009-0008-5853-8096; B, Antonisamy/0000-0003-3582-2410; Sobngwi, Eugene/0000-0001-5457-6572; Carvalho, Maria Joana/0000-0001-6500-7543; Bo, Simona/0000-0001-6862-8628; Michels, Nathalie/0000-0002-3069-7254; Tanser, Frank/0000-0001-9797-0000; Radic, Ivana/0000-0003-1889-2978; Veber Lopes, Marcus Vinicius/0000-0002-7968-5211; Kim, Hyeon Chang/0000-0001-7867-1240; Mbanya, Jean Claude N/0000-0001-9651-8653; Gupta, Rajeev/0000-0002-8356-3137; Kujala, Urho/0000-0002-9262-1992; Haghshenas, Rosa/0000-0001-8453-8446; Foo, Leng Huat/0000-0001-5578-3389; Burns, Con/0000-0001-6035-7181; Soric, Maroje/0000-0001-6835-1438; Landais, Edwige/0000-0002-7291-2012; Kristensen, Peter Lund/0000-0002-5666-9614; Sobek, Grzegorz/0000-0003-2504-0562; Ahmed, Soheir H./0000-0002-3699-6378; Barbosa Filho, Valter/0000-0002-4769-4068; Kriaucioniene, Vilma/0000-0001-5269-2895; Kriemler, Susi/0000-0002-3384-7940; Afzal, Shoaib/0000-0002-1442-4694; Geleijnse, Johanna Marianna/0000-0001-7638-0589; qadir, muhammed/0009-0004-2257-7342; Nowak-Szczepanska, Natalia/0000-0003-2774-992X; Tolstrup, Janne/0000-0002-9796-3967; Brito, Miguel/0000-0001-6394-658X; Radisauskas, Ricardas/0000-0002-1227-2674; Linneberg, Allan/0000-0002-0994-0184; Che Abdul Rahim, Dr Norsyamlina/0000-0003-4045-6566; Alkandari, Abdullah/0000-0002-9452-7000; Ndip, Valirie Agbor/0000-0002-6708-6852; Ghaderi, Ebrahim/0000-0002-2303-1657; , Yadlapalli Sriparvathi Kusuma/0000-0002-4355-6274; McKee, Martin/0000-0002-0121-9683; Nagalla, Balakrishna/0000-0002-5613-0942; Levitt, Naomi/0000-0001-6480-8066; Tjonneland, Anne/0000-0003-4385-2097; Puder, Jardena/0000-0002-0460-7614; Escobedo, Jorge/0000-0003-1942-7402; Sheffer, Kate/0000-0001-7075-9918; Lucjan, szponar/0000-0003-4225-8299; Pikhart, Hynek/0000-0001-5277-4049; Acosta-Cazares, Benjamin/0000-0001-9697-6160; Gutierrez-Gonzalez, Enrique/0000-0002-5737-026X; Hofelmann, Doroteia/0000-0003-1046-3319; Schulze, Matthias B./0000-0002-0830-5277; Bentham, James/0000-0001-5733-9417; Miquel Poblete, Juan Francisco/0000-0002-0526-4377; You, Qi Sheng/0000-0003-0743-7320; So, Hung-kwan/0000-0002-6188-7587; Coppinger, Tara/0000-0002-7251-4516; Rust, Petra/0000-0002-6477-8407; Meirhaeghe, Aline/0000-0001-6983-2364; Trivedi, Atulkumar/0000-0001-7921-7971; Wade, Alisha/0000-0002-1158-2523; Moreno Aznar, Luis A./0000-0003-0454-653X; Christensen, Kaare/0000-0002-5429-5292; Guimaraes, Andre/0000-0002-3162-3206; Veronesi, Giovanni/0000-0002-4119-6615; BARKAT, Amina/0000-0002-5724-2751; Schramm, Stine/0000-0001-8039-8095; Nyirenda, Moffat/0000-0003-2120-4806; Gregorio, Maria Joao/0000-0002-0380-7833; Djordjic, Visnja/0000-0002-2788-493X; Ong, Sok King/0000-0001-8176-8561; Ruiz-Castell, Maria/0000-0001-9741-7491; Santos, Diana/0000-0003-0429-3093; Crujeiras, Ana B/0000-0003-4392-0301; Assembekov, Batyrbek/0000-0001-6149-2748; Tambalis, Konstantinos/0000-0002-5817-9395; Goncalves, Helen/0000-0001-6470-3352; Pradeepa, Rajendra/0000-0002-4909-3733; Silva, Kelly Samara/0000-0002-7356-1680; Compan Gabucio, Laura M/0000-0001-5324-1535; Overvad, Kim/0000-0001-6429-7921; Moller, Niels Christian/0000-0001-5842-5595; Joshi, Pradeep/0000-0002-6759-9236; Barreto, Marta/0000-0001-6464-548X; Malhotra, Rahul/0000-0002-9978-4276; Santos, Rute/0000-0002-7604-5753; Grontved, Anders/0000-0003-1584-679X; Schutte, Aletta/0000-0001-9217-4937; Obreja, Galina/0000-0003-0466-8078; Monroy-Valle, Michele/0000-0002-4588-145X; Claessens, Frank/0000-0002-8676-7709; Ochoa-Aviles, Angelica/0000-0001-7926-3644; Muller-Nurasyid, Martina/0000-0003-3793-5910; Pizarro, Andreia/0000-0001-6518-5569; Kulimbet, Mukhtar/0000-0003-4399-700X; Eliasen, Marie Holm/0000-0002-1464-8719; Ramos de Moura Silva, Caroline/0000-0002-8727-0024; Raj, Manu/0000-0001-7130-3437; Cooper, Cyrus/0000-0003-3510-0709; Stratton, Gareth/0000-0001-5618-0803; Brophy, Sinead/0000-0001-7417-2858; Jacobs, Jeremy Michael/0000-0002-7001-7815; Shiri, Rahman/0000-0002-9312-3100; Liliana, Dacica/0000-0003-4000-2580; Poh, Bee Koon/0000-0003-0713-5197; magnacca, sara/0000-0003-0379-040X; Farzadfar, Farshad/0000-0001-8288-4046; De Bacquer, Dirk/0000-0002-3202-7238; Huerta, Jose Maria/0000-0002-9637-3869; Mohanna, Salim/0000-0002-1486-3259; Bjerregaard, Peter/0000-0001-7153-8447; Hormiga Sanchez, Claudia Milena/0000-0002-8723-666X; Fernandez-Berges, Daniel/0000-0002-9561-2901; Zampelas, Antonis/0000-0002-4242-3365; Pistelli, Francesco/0000-0001-5612-6364; Wareham, Nicholas/0000-0003-1422-2993; Popovic, Stevo/0000-0002-6633-3575; Cheng, Yiling/0000-0002-5053-0814; Modesti, Pietro Amedeo/0000-0002-9511-2173; Yngve, Agneta/0000-0002-7165-279X; Sodemann, Morten/0000-0001-8992-2500; Homayounfar, Reza/0000-0001-5398-9519; Nguyen, Huu Chinh/0009-0004-7883-378X; N, Skoblina/0000-0001-7348-9984; Basit, Abdul/0000-0001-8066-8219; C. Fuchs, Sandra/0000-0001-6351-9588; Manios, Yannis/0000-0001-6486-114X; laamiri, fatima zahra/0000-0001-7181-5934; Dennison, Elaine/0000-0002-3048-4961; Di Cesare, Mariachiara/0000-0002-3934-3364; Hyska, Jolanda/0000-0001-8598-8983; Garcia de la Hera, Manuela/0000-0001-5742-2704; Ahrendt Bjerregaard, Anne/0000-0002-0628-5292; Schroder, Helmut/0000-0003-2231-5081; Ferrari, Gerson/0000-0003-3177-6576; Van Herck, Koen/0000-0003-0717-2406; Alkhatib, Buthaina/0000-0002-6105-0680; Ramke, Jacqueline/0000-0002-5764-1306; Barros, Mauro/0000-0003-3165-0965; Padez, Cristina/0000-0002-1967-3497; Gomula, Aleksandra/0000-0003-2206-1659; Ulmer, Hanno/0000-0001-5911-1002; Wang, Ling/0000-0003-0272-2974; Benet Rodriguez, Mikhail/0000-0002-6420-0680; fakhradiyev, ildar/0000-0003-0528-3874; Rach, Stefan/0000-0001-5241-0253; Ahmadi, Nastaran/0000-0001-9885-0326; Brewster, Lizzy M/0000-0002-7434-0038; Cunha Soares, Fernanda/0000-0001-6465-3164; Glushkova, Natalya/0000-0003-1400-8436; Matlosz, Piotr/0000-0002-7388-5722; Mostafa, Aya/0000-0002-2803-2608; Nie, Peng/0000-0002-5322-6324; Vrijheid, Martine/0000-0002-7090-1758; Kruger, Ruan/0000-0001-7680-2032; Santos, Marcos/0000-0002-2734-8416; Ferrer, Eldridge/0000-0002-9915-7010; Tai, E Shyong/0000-0003-2929-8966; Mohan, Viswanathan/0000-0001-5038-6210; Wild, Philipp/0000-0003-4413-9752; Cararo Confortin, Susana/0000-0001-5159-4062; Endevelt, Ronit/0000-0002-0866-523X; khader, yousef/0000-0002-7830-6857; vanderschueren, dirk/0000-0003-1395-0104; Thirunavukkarasu, Sathish/0000-0002-2016-4964; Shi, Zumin/0000-0002-3099-3299; Price, Alison/0000-0002-3891-3337; Siraj, Ammas/0000-0001-9575-7556; Mirrakhimov, Erkin/0000-0003-2982-6108; Vale, Susana/0000-0002-1703-9361; Rodrigues, Daniela/0000-0002-4559-4303; Brajkovich M., Imperia E./0000-0003-1734-0768; Carlos Candido, Ana Paula/0000-0002-1112-1153; Gomez, Santiago Felipe/0000-0003-3352-2510; Islek, Duygu/0000-0001-6041-2320; de curtis, amalia/0000-0001-5104-0318; Valvi, Dania/0000-0003-4633-229X; Dankner, Rachel/0000-0001-6454-6000; Wasif, Muhammad/0009-0004-1374-302X; Sharafkhah, Maryam/0000-0001-5466-488X; Kengne, Andre Pascal/0000-0002-5183-131X; Aung, May Soe/0000-0002-0861-9399; Riboli, Elio/0000-0001-6795-6080; Cardol, Marloes/0000-0002-6783-2368; Quiroga Padilla, Pedro Jose/0000-0001-9532-8284; Nalecz, Hanna/0000-0003-0384-6469; McNulty, Breige/0000-0003-0841-063X; Musa, Kamarul Imran/0000-0002-3708-0628; Batista, Rosangela/0000-0002-1529-0165; Kuciene, Renata/0000-0002-6296-3449; Hubler Figueiro, Thamara/0000-0001-6502-1396; Gonzalez Gil, Esther Maria/0000-0003-2005-8229; Zheng, Yingfeng/0000-0002-9952-6445; Judge, Debra/0000-0003-0671-0743; LIN, YI-TING/0000-0002-5833-0040; Afsana, Kaosar/0000-0002-5197-8151; Bongard, Vanina/0000-0001-5789-0815; Sousa-Poza, Alfonso/0000-0002-6524-9654; Gkiouras, Konstantinos/0000-0002-6407-8494; Renner, Jane Dagmar Pollo/0000-0003-0649-7081; Alexandra, Cucu/0000-0001-5646-5999; Carlsson, Axel C/0000-0001-6113-0472; Muc, Magdalena/0000-0001-6323-9973; Machado-Rodrigues, Aristides/0000-0002-7169-8034; Safarpour, Ali Reza/0000-0002-9880-0043; Cortes, Lilia Yadira/0000-0003-2789-3219; Silva, Diego Augusto Santos/0000-0002-0489-7906; Gialluisi, Alessandro/0000-0002-7388-4463; Chin A Paw, Mai/0000-0001-6259-2441; Mocanu, Veronica/0000-0002-9330-1691; Mishra, Anu/0000-0002-4662-0374; dos Santos Henrique, Rafael/0000-0003-3912-5559; Gudnason, Vilmundur/0000-0001-5696-0084; Damsgaard, Camilla T/0000-0002-5013-0562; Sardinha, Luis/0000-0002-6230-6027; Barrera, Lena/0000-0001-9179-7796; Corpeleijn, Eva/0000-0002-2974-3305; Topor-Madry, Roman/0000-0002-3091-6760; Ritti-Dias, Raphael/0000-0001-7883-6746; Lehtimaki, Terho/0000-0002-2555-4427; Iacoviello, Licia/0000-0003-0514-5885; Klimek, Magdalena/0000-0002-2396-7519; Jonnagaddala, Jitendra/0000-0002-9912-2344; Ramos, Rafel/0000-0001-7970-5537; Dziankowska-Zaborszczyk, Elzbieta/0000-0001-8423-9606; Peykari, Niloofar/0000-0003-3219-3751; Furdela, Viktoriya/0000-0003-2030-4071</t>
  </si>
  <si>
    <t>MAR 30</t>
  </si>
  <si>
    <t>10.1038/s41586-023-05772-8</t>
  </si>
  <si>
    <t>WOS:001023407200001</t>
  </si>
  <si>
    <t>Klionsky, DJ; Abdel-Aziz, AK; Abdelfatah, S; Abdellatif, M; Abdoli, A; Abel, S; Abeliovich, H; Abildgaard, MH; Abudu, YP; Acevedo-Arozena, A; Adamopoulos, IE; Adeli, K; Adolph, TE; Adornetto, A; Aflaki, E; Agam, G; Agarwal, A; Aggarwal, BB; Agnello, M; Agostinis, P; Agrewala, JN; Agrotis, A; Aguilar, P; Ahmad, ST; Ahmed, ZM; Ahumada-Castro, U; Aits, S; Aizawa, S; Akkoc, Y; Akoumianaki, T; Akpinar, HA; Al-Abd, AM; Al-Akra, L; Al-Gharaibeh, A; Alaoui-Jamali, MA; Alberti, S; Alcocer-Gómez, E; Alessandri, C; Ali, M; Al-Bari, MAA; Aliwaini, S; Alizadeh, J; Almacellas, E; Almasan, A; Alonso, A; Alonso, GD; Altan-Bonnet, N; Altieri, DC; Alves, S; da Costa, CA; Alzaharna, MM; Amadio, M; Amantini, C; Amaral, C; Ambrosio, S; Amer, AO; Ammanathan, V; An, ZY; Andersen, SU; Andrabi, SA; Andrade-Silva, M; Andres, AM; Angelini, S; Ann, D; Anozie, UC; Ansari, MY; Antas, P; Antebi, A; Antón, Z; Anwar, T; Apetoh, L; Apostolova, N; Araki, T; Araki, Y; Arasaki, K; Araújo, WL; Araya, J; Arden, C; Arévalo, MA; Arguelles, S; Arias, E; Arikkath, J; Arimoto, H; Ariosa, AR; Armstrong-James, D; Arnauné-Pelloquin, L; Aroca, A; Arroyo, DS; Arsov, I; Artero, R; Asaro, DML; Aschner, M; Ashrafizadeh, M; Ashur-Fabian, O; Atanasov, AG; Au, AK; Auberger, P; Auner, HW; Aurelian, L; Autelli, R; Avagliano, L; Avalos, Y; Aveic, S; Aveleira, CA; AvinWittenberg, T; Aydin, Y; Ayton, S; Ayyadevara, S; Azzopardi, M; Baba, M; Backer, JM; Backues, SK; Bae, DH; Bae, ON; Bae, SH; Baehrecke, EH; Baek, A; Baek, SH; Baek, SH; Bagetta, G; Bagniewska-Zadworna, A; Bai, H; Bai, J; Bai, XY; Bai, YD; Bairagi, N; Baksi, S; Balbi, T; Baldari, CT; Balduini, W; Ballabio, A; Ballester, M; Balazadeh, S; Balzan, R; Bandopadhyay, R; Banerjee, S; Banerjee, S; Bao, Y; Baptista, MS; Baracca, A; Barbati, C; Bargiela, A; Barilà, D; Barlow, PG; Barmada, SJ; Barreiro, E; Barreto, GE; Bartek, J; Bartel, B; Bartolome, A; Barve, GR; Basagoudanavar, SH; Bassham, DC; Bast, RC ; Basu, A; Batoko, H; Batten, I; Baulieu, EE; Baumgarner, BL; Bayry, J; Beale, R; Beau, I; Beaumatin, F; Bechara, LRG; Beck, GR ; Beers, MF; Begun, J; Behrends, C; Behrens, GMN; Bei, R; Bejarano, E; Bel, S; Behl, C; Belaid, A; Belgareh-Touzé, N; Bellarosa, C; Belleudi, F; Perez, MB; Bello-Morales, R; Beltran, JSD; Beltran, S; Benbrook, DM; Bendorius, M; Benitez, BA; Benito-Cuesta, I; Bensalem, J; Berchtold, MW; Berezowska, S; Bergamaschi, D; Bergami, M; Bergmann, A; Berliocchi, L; Berlioz-Torrent, C; Bernard, A; Berthoux, L; Besirli, CG; Besteiro, S; Betin, VM; Beyaert, R; Bezbradica, JS; Bhaskar, K; Bhatia-Kissova, I; Bhattacharya, R; Bhattacharya, S; Bhattacharyya, S; Bhuiyan, MS; Bhutia, SK; Bi, LR; Bi, XL; Biden, TJ; Bijian, K; Billes, VA; Binart, N; Bincoletto, C; Birgisdottir, AB; Bjorkoy, G; Blanco, G; Blas-Garcia, A; Blasiak, J; Blomgran, R; Blomgren, K; Blum, JS; Boada-Romero, E; Boban, M; BoeszeBattaglia, K; Boeuf, P; Boland, B; Bomont, P; Bonaldo, P; Bonam, SR; Bonfili, L; Bonifacino, JS; Boone, BA; Bootman, MD; Bordi, M; Borner, C; Bornhauser, BC; Borthakur, G; Bosch, J; Bose, S; Botana, LM; Botas, J; Boulanger, CM; Boulton, ME; Bourdenx, M; Bourgeois, B; Bourke, NM; Bousquet, G; Boya, P; Bozhkov, P; Bozi, LHM; Bozkurt, TO; Brackney, DE; Brandts, CH; Braun, RJ; Braus, GH; Bravo-Sagua, R; Bravo-San Pedro, JM; Brest, P; Bringer, MA; Briones-Herrera, A; Broaddus, VC; Brodersen, P; Alvarez, ÉMC; Brodsky, JL; Brody, SL; Bronson, PG; Bronstein, JM; Brown, CN; Brown, RE; Brum, PC; Brumell, JH; Brunetti-Pierri, N; Bruno, D; Bryson-Richardson, RJ; Bucci, C; Buchrieser, C; Bueno, M; Buitrago-Molina, LE; Buraschi, S; Buch, S; Buchan, JR; Buckingham, EM; Budak, H; Budini, M; Bultynck, G; Burada, F; Burgoyne, JR; Burón, MI; Bustos, V; Büttner, S; Butturini, E; Byrd, A; Cabas, I; Cabrera-Benitez, S; Cadwell, K; Cai, JJ; Cai, L; Cai, Q; Cairó, M; Calbet, JA; Caldwell, GA; Caldwell, KA; Call, JA; Calvani, R; Calvo, AC; Barrera, MCR; Camara, NO; Camonis, JH; Camougrand, N; Campanella, M; Campbell, EM; Campbell-Valois, FX; Campello, S; Campesi, I; Campos, JC; Camuzard, O; Cancino, J; de Almeida, DC; Canesi, L; Caniggia, I; Canonico, B; Cantí, C; Cao, B; Caraglia, M; Caramés, B; Carchman, EH; Cardenal-Muñoz, E; Cardenas, C; Cardenas, L; Cardoso, SM; Carew, JS; Carle, GF; Carleton, G; Carloni, S; Carmona-Gutierrez, D; Carneiro, LA; Carnevali, O; Carosi, JM; Carra, S; Carrier, A; Carrier, L; Carroll, B; Carter, AB; Carvalho, AN; Casanova, M; Casas, C; Casas, J; Cassioli, C; Castillo, EF; Castillo, K; Castillo-Lluva, S; Castoldi, F; Castori, M; Castro, AF; Castro-Caldas, M; Castro-Hernandez, J; Castro-Obregon, S; Catz, SD; Cavadas, C; Cavaliere, F; Cavallini, G; Cavinato, M; Cayuela, ML; Rica, PC; Cecarini, V; Cecconi, F; Cechowska-Pasko, M; Cenci, S; Ceperuelo-Mallafré, V; Cerqueira, JJ; Cerutti, JM; Cervia, D; Cetintas, VB; Cetrullo, S; Chae, HJ; Chagin, AS; Chai, CY; Chakrabarti, G; Chakrabarti, O; Chakraborty, T; Chakraborty, T; Chami, M; Chamilos, G; Chan, DW; Chan, EYW; Chan, ED; Chan, HYE; Chan, HH; Chan, H; Chan, MT; Chan, YS; Chandra, PK; Chang, CP; Chang, CM; Chang, HC; Chang, K; Chao, J; Chapman, T; Charlet-Berguerand, N; Chatterjee, S; Chaube, SK; Chaudhary, A; Chauhan, S; Chaum, E; Checler, F; Cheetham, ME; Chen, CS; Chen, GC; Chen, JF; Chen, LL; Chen, LL; Chen, L; Chen, ML; Chen, MK; Chen, N; Chen, Q; Chen, RH; Chen, S; Chen, W; Chen, WQ; Chen, XM; Chen, XW; Chen, X; Chen, Y; Chen, YG; Chen, YY; Chen, YQ; Chen, YJ; Chen, YQ; Chen, ZS; Chen, Z; Chen, ZH; Chen, ZJ; Chen, ZX; Cheng, HH; Cheng, J; Cheng, SY; Cheng, W; Cheng, XD; Cheng, XT; Cheng, YY; Cheng, ZY; Chen, Z; Cheong, H; Cheong, JK; Chernyak, B; Cherry, S; Cheung, CFR; Cheung, CHA; Cheung, KH; Chevet, E; Chi, RJ; Chiang, AKS; Chiaradonna, F; Chiarelli, R; Chiariello, M; Chica, N; Chiocca, S; Chiong, M; Chiou, SH; Chiramel, A; Chiurchiù, V; Cho, DH; Choe, SK; Choi, AMK; Choi, ME; Choudhury, KR; Chow, NS; Chu, CT; Chua, JP; Chua, JJE; Chung, H; Chung, KP; Chung, S; Chung, SH; Chung, YL; Cianfanelli, V; Ciechomska, IA; Cifuentes, M; Cinque, L; Cirak, S; Cirone, M; Clague, MJ; Clarke, R; Clementi, E; Coccia, EM; Codogno, P; Cohen, E; Cohen, MM; Colasanti, T; Colasuonno, F; Colbert, RA; Colell, A; Coll, NS; Collins, MO; Colombo, M; Colón-Ramos, DA; Combaret, L; Comincini, S; Cominetti, MR; Consiglio, A; Conte, A; Conti, F; Contu, VR; Cookson, MR; Coombs, KM; Coppens, I; Corasaniti, MT; Corkery, DP; Cordes, N; Cortese, K; Costa, MD; Costantino, S; Costelli, P; Coto-Montes, A; Crack, PJ; Crespo, JL; Criollo, A; Crippa, V; Cristofani, R; Csizmadia, T; Cuadrado, A; Cui, B; Cui, J; Cui, YX; Cui, Y; Culetto, E; Cumino, AC; Cybulsky, A; Czaja, MJ; Czuczwar, SJ; D'Adamo, S; D'Amelio, M; D'Arcangelo, D; D'Lugos, AC; D'Orazi, G; da Silva, JA; Dafsari, HS; Dagda, RK; Dagdas, Y; Daglia, M; Dai, X; Dai, Y; Dai, YY; Dal Col, J; Dalhaimer, P; Dalla Valle, L; Dallenga, T; Dalmasso, G; Damme, M; Dando, I; Dantuma, NP; Darling, AL; Das, H; Dasarathy, S; Dasari, SK; Dash, S; Daumke, O; Dauphinee, AN; Davies, JS; Dávila, VA; Davis, RJ; Davis, T; Naidu, SD; De Amicis, F; De Bosscher, K; De Felice, F; De Franceschi, L; De Leonibus, C; Barbosa, MGD; De Meyer, GRY; De Milito, A; De Nunzio, C; De Palma, C; De Santi, M; De Virgilio, C; De Zio, D; Debnath, J; DeBosch, BJ; Decuypere, J; Deehan, MA; Deflorian, G; DeGregori, J; Dehay, B; Del Rio, G; Delaney, JR; Delbridge, LMD; Delorme-Axford, E; Delpino, MV; Demarchi, F; Dembitz, V; Demers, ND; Deng, HB; Deng, ZQ; Dengjel, J; Dent, P; Denton, D; DePamphilis, ML; Der, CJ; Deretic, V; Descoteaux, A; Devis, L; Devkota, S; Devuyst, O; Dewson, G; Dharmasivam, M; Dhiman, R; di Bernardo, D; Di Cristina, M; Di Domenico, F; Di Fazio, P; Di Fonzo, A; Di Guardo, G; Di Guglielmo, GM; Di Leo, L; Di Malta, C; Di Nardo, A; Di Rienzo, M; Di Sano, F; Diallinas, G; Diao, JJ; Diaz-Araya, G; Díaz-Laviada, I; Dickinson, JM; Diederich, M; Dieudé, M; Dikic, I; Ding, SP; Ding, WX; Dini, L; Dinic, J; Dinic, M; Dinkova-Kostova, AT; Dionne, MS; Distler, JHW; Diwan, A; Dixon, IMC; Djavaheri-Mergny, M; Dobrinski, I; Dobrovinskaya, O; Dobrowolski, R; Dobson, RCJ; Emre, SD; Donadelli, M; Dong, B; Dong, XN; Dong, ZW; Ii, GWD; Dotsch, V; Dou, H; Dou, J; Dowaidar, M; Dridi, S; Drucker, L; Du, AL; Du, CG; Du, GW; Du, HN; Du, LL; du Toit, A; Duan, SB; Duan, XQ; Duarte, SP; Dubrovska, A; Dunlop, EA; Dupont, N; Durán, R; Dwarakanath, BS; Dyshlovoy, SA; Ebrahimi-Fakhari, D; Eckhart, L; Edelstein, CL; Efferth, T; Eftekharpour, E; Eichinger, L; Eid, N; Eisenberg, T; Eissa, NT; Eissa, S; Ejarque, M; El Andaloussi, A; El-Hage, N; El-Naggar, S; Eleuteri, AM; El-Shafey, ES; Elgendy, M; Eliopoulos, AG; Elizalde, MM; Elks, PM; Elsasser, HP; Elsherbiny, ES; Emerling, BM; Emre, NCT; Eng, CH; Engedal, N; Engelbrecht, AM; Engelsen, AST; Enserink, JM; Escalante, R; Esclatine, A; Escobar-Henriques, M; Eskelinen, EL; Espert, L; Eusebio, MO; Fabrias, G; Fabrizi, C; Facchiano, A; Facchiano, F; Fadeel, B; Fader, C; Faesen, AC; Fairlie, WD; Falcó, A; Falkenburger, BH; Fan, DP; Fan, J; Fan, YB; Fang, EF; Fang, YS; Fang, YQ; Fanto, M; Farfel-Becker, T; Faure, M; Fazeli, G; Fedele, AO; Feldman, AM; Feng, D; Feng, JC; Feng, LF; Feng, YB; Feng, YC; Feng, W; Araujo, TF; Ferguson, TA; Fernandez-Checa, JC; FernándezVeledo, S; Fernie, AR; Ferrante, AW Jr; Ferraresi, A; Ferrari, MF; Ferreira, JCB; Ferro-Novick, S; Figueras, A; Filadi, R; Filigheddu, N; FilippiChiela, E; Filomeni, G; Fimia, GM; Fineschi, V; Finetti, F; Finkbeiner, S; Fisher, EA; Fisher, PB; Flamigni, F; Fliesler, SJ; Flo, TH; Florance, I; Florey, O; Florio, T; Fodor, E; Follo, C; Fon, EA; Forlino, A; Fornai, F; Fortini, P; Fracassi, A; Fraldi, A; Franco, B; Franco, R; Franconi, F; Frankel, LB; Friedman, SL; Fröhlich, LF; Frühbeck, G; Fuentes, JM; Fujiki, Y; Fujita, N; Fujiwara, Y; Fukuda, M; Fulda, S; Furic, L; Furuya, N; Fusco, C; Gack, MU; Gaffke, L; Galadari, S; Galasso, A; Galindo, MF; Kankanamalage, SG; Galluzzi, L; Galy, V; Gammoh, N; Gan, BY; Ganley, IG; Gao, F; Gao, H; Gao, MH; Gao, P; Gao, SJ; Gao, WT; Gao, XB; Garcera, A; Garcia, MN; Garcia, VE; García-Del Portillo, F; Garcia-Escudero, V; GarciaGarcia, A; Garcia-Macia, M; García-Moreno, D; Garcia-Ruiz, C; García-Sanz, P; Garg, AD; Gargini, R; Garofalo, T; Garry, RF; Gassen, NC; Gatica, D; Ge, L; Ge, WZ; Geiss-Friedlander, R; Gelfi, C; Genschik, P; Gentle, IE; Gerbino, V; Gerhardt, C; Germain, K; Germain, M; Gewirtz, DA; Afshar, EG; Ghavami, S; Ghigo, A; Ghosh, M; Giamas, G; Giampietri, C; Giatromanolaki, A; Gibson, GE; Gibson, SB; Ginet, V; Giniger, E; Giorgi, C; Girao, H; Girardin, SE; Giridharan, M; Giuliano, S; Giulivi, C; Giuriato, S; Giustiniani, J; Gluschko, A; Goder, V; Goginashvili, A; Golab, J; Goldstone, DC; Golebiewska, A; Gomes, LR; Gomez, R; Gómez-Sánchez, R; Gomez-Puerto, MC; Gomez-Sintes, R; Gong, Q; Goni, FM; González-Gallego, J; Gonzalez-Hernandez, T; Gonzalez-Polo, RA; Gonzalez-Reyes, JA; González-Rodríguez, P; Goping, IS; Gorbatyuk, MS; Gorbunov, N; Gorojod, RM; Gorski, SM; Goruppi, S; Gotor, C; Gottlieb, RA; Gozes, I; Gozuacik, D; Graef, M; Gräler, MH; Granatiero, V; Grasso, D; Gray, JP; Green, DR; Greenhough, A; Gregory, SL; Griffin, EF; Grinstaff, MW; Gros, F; Grose, C; Gross, AS; Gruber, F; Grumati, P; Grune, T; Gu, XY; Guan, JL; Guardia, CM; Guda, K; Guerra, F; Guerri, C; Guha, P; Guillén, C; Gujar, S; Gukovskaya, A; Gukovsky, I; Gunst, J; Günther, A; Guntur, AR; Guo, CY; Guo, C; Guo, HQ; Guo, LW; Guo, M; Gupta, P; Fernandez, AF; Gupta, SK; Gupta, S; Gupta, VB; Gupta, V; Gustafsson, AB; Gutterman, DD; Ranjitha, HB; Haapasalo, A; Haber, JE; Hadano, S; Hafrén, AJ; Haidar, M; Hall, BS; Halldén, G; Hamacher-Brady, A; Hamann, A; Hamasaki, M; Han, WD; Hansen, M; Hanson, P; Hao, ZJ; Harada, M; Harhaji-Trajkovic, L; Hariharan, N; Haroon, N; Harris, J; Hasegawa, T; Nagoor, NH; Haspel, JA; Haucke, V; Hawkins, WD; Hay, BA; Haynes, CM; Hayrabedyan, SB; Hays, TS; He, CC; He, Q; He, RR; He, YW; He, YY; Heakal, Y; Heberle, AM; Hejtmancik, JF; Helgason, GV; Henkel, V; Herb, M; Hergovich, A; Herman-Antosiewicz, A; Hernández, A; Hernandez, C; Hernandez-Diaz, S; Hernandez-Gea, V; Herpin, A; Herreros, J; Hervás, JH; Hesselson, D; Hetz, C; Heussler, VT; Higuchi, Y; Hilfiker, S; Hill, JA; Hlavacek, WS; Ho, EA; Ho, IHT; Ho, PWL; Ho, S; Ho, WY; Hobbs, GA; Hochstrasser, M; Hoet, PHM; Hofius, D; Hofman, P; Höhn, A; Holmberg, C; Hombrebueno, JR; Hong, CW; Hong, YR; Hooper, L; Hoppe, T; Horos, R; Hoshida, Y; Hsin, IL; Hsu, HY; Hu, B; Hu, D; Hu, LF; Hu, MC; Hu, RG; Hu, W; Hu, YC; Hu, ZW; Hua, F; Hua, JL; Hua, YQ; Huan, CM; Huang, CH; Huang, CS; Huang, CX; Huang, CL; Huang, HS; Huang, K; Huang, MLH; Huang, R; Huang, S; Huang, TZ; Huang, X; Huang, YJ; Huber, TB; Hubert, V; Hubner, CA; Hughes, SM; Hughes, WE; Humbert, M; Hummer, G; Hurley, JH; Hussain, S; Hussain, S; Hussey, PJ; Hutabarat, M; Hwang, HY; Hwang, S; Ieni, A; Ikeda, F; Imagawa, Y; Imai, Y; Imbriano, C; Imoto, M; Inman, DM; Inoki, K; Iovanna, J; Iozzo, R; Ippolito, G; Irazoqui, JE; Iribarren, P; Ishaq, M; Ishikawa, M; Ishimwe, N; Isidoro, C; Ismail, N; Issazadeh-Navikas, S; Itakura, E; Ito, D; Ivankovic, D; Ivanova, S; Iyer, AK; Izquierdo, JM; Izumi, M; Jäättelä, M; Jabir, MS; Jackson, WT; Jacobo-Herrera, N; Jacomin, AC; Jacquin, E; Jadiya, P; Jaeschke, H; Jagannath, C; Jakobi, AJ; Jakobsson, J; Janji, B; JansenDürr, P; Jansson, PJ; Jantsch, J; Januszewski, S; Jassey, A; Jean, S; JeltschDavid, H; Jendelova, P; Jenny, A; Jensen, TE; Jessen, N; Jewell, JL; Ji, J; Jia, LJ; Jia, R; Jiang, LW; Jiang, Q; Jiang, RC; Jiang, T; Jiang, XJ; Jiang, Y; Jimenez-Sanchez, M; Jin, EJ; Jin, FY; Jin, HC; Jin, L; Jin, LQ; Jin, MY; Jin, S; Jo, EK; Joffre, C; Johansen, T; Johnson, GVW; Johnston, SA; Jokitalo, E; Jolly, MK; Joosten, LAB; Jordan, J; Joseph, B; Ju, DW; Ju, JS; Ju, JF; Juárez, E; Judith, D; Juhász, G; Jun, Y; Jung, CH; Jung, S; Jung, YK; Jungbluth, H; Jungverdorben, J; Just, S; Kaarniranta, K; Kaasik, A; Kabuta, T; Kaganovich, D; Kahana, A; Kain, R; Kajimura, S; Kalamvoki, M; Kalia, M; Kalinowski, DS; Kaludercic, N; Kalvari, I; Kaminska, J; Kaminskyy, VO; Kanamori, H; Kanasaki, K; Kang, C; Kang, R; Kang, SS; Kaniyappan, S; Kanki, T; Kanneganti, TD; Kanthasamy, AG; Kanthasamy, A; Kantorow, M; Kapuy, O; Karamouzis, M; Karim, MR; Karmakar, P; Katare, RG; Kato, M; Kaufmann, SHE; Kauppinen, A; Kaushal, GP; Kaushik, S; Kawasaki, K; Kazan, K; Ke, PY; Keating, DJ; Keber, U; Kehrl, JH; Keller, KE; Keller, CW; Kemper, JK; Kenific, CM; Kepp, O; Kermorgant, S; Kern, A; Ketteler, R; Keulers, TG; Khalfin, B; Khalil, H; Khambu, B; Khan, SY; Khandelwal, VKM; Khandia, R; Kho, W; Khobrekar, N; Khuansuwan, S; Khundadze, M; Killackey, SA; Kim, D; Kim, DR; Kim, DH; Kim, DE; Kim, EY; Kim, EK; Kim, H; Kim, HS; Kim, HR; Kim, JH; Kim, JK; Kim, JH; Kim, J; Kim, JH; Kim, KI; Kim, PK; Kim, SJ; Kimball, SR; Kimchi, A; Kimmelman, AC; Kimura, T; King, MA; Kinghorn, KJ; Kinsey, CG; Kirkin, V; Kirshenbaum, LA; Kiselev, SL; Kishi, S; Kitamoto, K; Kitaoka, Y; Kitazato, K; Kitsis, RN; Kittler, JT; Kjaerulff, O; Klein, PS; Klopstock, T; Klucken, J; Knovelsrud, H; Knorr, RL; Ko, BB; Ko, F; Ko, JL; Kobayashi, H; Kobayashi, S; Koch, I; Koch, JC; Koenig, U; Kögel, D; Koh, YH; Koike, M; Kohlwein, SD; Kocaturk, NM; Komatsu, M; König, J; Kono, T; Kopp, BT; Korcsmaros, T; Korkmaz, G; Korolchuk, V; Korsnes, MS; Koskela, A; Kota, J; Kotake, Y; Kotler, ML; Kou, YJ; Koukourakis, M; Koustas, E; Kovacs, AL; Kovács, T; Koya, D; Kozako, T; Kraft, C; Krainc, D; Krämer, H; Krasnodembskaya, AD; Kretz-Remy, C; Kroemer, G; Ktistakis, NT; Kuchitsu, K; Kuenen, S; Kuerschner, L; Kukar, T; Kumar, A; Kumar, A; Kumar, D; Kumar, D; Kumar, S; Kume, S; Kumsta, C; Kundu, CN; Kundu, M; Kunnumakkara, AB; Kurgan, L; Kutateladze, TG; Kutlu, O; Kwak, S; Kwon, HJ; Kwon, TK; Kwon, YT; Kyrmizi, I; La Spada, A; Labonté, P; Ladoire, S; Laface, I; Lafont, F; Lagace, DC; Lahiri, V; Lai, ZB; Laird, AS; Lakkaraju, A; Lamark, T; Lan, SH; Landajuela, A; Lane, DJR; Lane, JD; Lang, CH; Lange, C; Langer, R; Lapaquette, P; Laporte, J; LaRusso, NF; Lastres-Becker, I; Lau, WCY; Laurie, GW; Lavandero, S; Law, BYK; Law, HKW; Layfield, R; Le, WD; Le Stunff, H; Leary, AY; Lebrun, JJ; Leck, LYW; Leduc-Gaudet, JP; Lee, C; Lee, CP; Lee, DH; Lee, EB; Lee, EF; Lee, GM; Lee, HJ; Lee, HK; Lee, JM; Lee, JS; Lee, JA; Lee, JY; Lee, JH; Lee, M; Lee, MG; Lee, MJ; Lee, MS; Lee, SY; Lee, SJ; Lee, SY; Lee, SB; Lee, WH; Lee, YR; Lee, YH; Lee, Y; Lefebvre, C; Legouis, R; Lei, YL; Lei, YC; Leikin, S; Leitinger, G; Lemus, L; Leng, SL; Lenoir, O; Lenz, G; Lenz, HJ; Lenzi, P; León, Y; Leopoldino, AM; Leschczyk, C; Leskelä, S; Letellier, E; Leung, CT; Leung, PS; Leventhal, JS; Levine, B; Lewis, PA; Ley, K; Li, B; Li, DQ; Li, JM; Li, J; Li, J; Li, K; Li, LW; Li, M; Li, M; Li, M; Li, M; Li, MC; Li, PL; Li, MQ; Li, Q; Li, S; Li, TG; Li, W; Li, WM; Li, X; Li, YP; Li, Y; Li, ZQ; Li, ZY; Li, ZY; Lian, JQ; Liang, CY; Liang, QR; Liang, WC; Liang, YH; Liang, YT; Liao, GH; Liao, LJ; Liao, MZ; Liao, YF; Librizzi, M; Lie, PPY; Lilly, MA; Lim, HJ; Lima, TRR; Limana, F; Lin, C; Lin, CW; Lin, DS; Lin, FC; Lin, JDD; Lin, KM; Lin, KH; Lin, LT; Lin, PH; Lin, Q; Lin, SF; Lin, SJ; Lin, WY; Lin, XY; Lin, YX; Lin, YS; Linden, R; Lindner, P; Ling, SC; Lingor, P; Linnemann, AK; Liou, Y; Lipinski, MM; Lipovsek, S; Lira, VA; Lisiak, N; Liton, PB; Liu, C; Liu, CH; Liu, CF; Liu, CH; Liu, F; Liu, H; Liu, HS; Liu, HF; Liu, HF; Liu, J; Liu, J; Liu, JL; Liu, LY; Liu, LH; Liu, ML; Liu, Q; Liu, W; Liu, WD; Liu, XH; Liu, XD; Liu, XG; Liu, X; Liu, XD; Liu, YF; Liu, Y; Liu, Y; Liu, YY; Liu, YL; Livingston, JA; Lizard, G; Lizcano, JM; Ljubojevic-Holzer, S; LLeonart, ME; Llobet-Navàs, D; Llorente, A; Lo, CH; Lobato-Márquez, D; Long, Q; Long, YC; Loos, B; Loos, JA; López, MG; López-Doménech, G; López-Guerrero, JA; López-Jiménez, AT; López-Valero, I; Lorenowicz, MJ; Lorente, M; Lorincz, P; Lossi, L; Lotersztajn, S; Lovat, PE; Lovell, JF; Lovy, A; Lu, G; Lu, HC; Lu, JH; Lu, JJ; Lu, MJ; Lu, SY; Luciani, A; Lucocq, JM; Ludovico, P; Luftig, MA; Luhr, M; Luis-Ravelo, D; Lum, JJ; Luna-Dulcey, L; Lund, AH; Lund, VK; Lünemann, JD; Lüningschrör, P; Luo, HL; Luo, RC; Luo, SQ; Luo, Z; Luparello, C; Lüscher, B; Luu, L; Lyakhovich, A; Lyamzaev, KG; Lystad, AH; Lytvynchuk, L; Ma, AC; Ma, CL; Ma, MX; Ma, NF; Ma, QH; Ma, XL; Ma, YY; Ma, ZY; MacDougald, OA; Macian, F; MacIntosh, GC; MacKeigan, JP; Macleod, KF; Maday, S; Madeo, F; Madesh, M; Madl, T; Madrigal-Matute, J; Maeda, A; Maejima, Y; Magarinos, M; Mahavadi, P; Maiani, E; Maiese, K; Maiti, P; Maiuri, MC; Majello, B; Major, MB; Makareeva, E; Malik, F; Mallilankaraman, K; Malorni, W; Maloyan, A; Mammadova, N; Man, GCW; Manai, F; Mancias, JD; Mandelkow, EM; Mandell, MA; Manfredi, AA; Manjili, MH; Manjithaya, R; Manque, P; Manshian, BB; Manzano, R; Manzoni, C; Mao, K; Marchese, C; Marchetti, S; Marconi, AM; Marcucci, F; Mardente, S; Mareninova, OA; Margeta, M; Mari, M; Marinelli, S; Marinelli, O; Mariño, G; Mariotto, S; Marshall, RS; Marten, MR; Martens, S; Martin, APJ; Martin, KR; Martin, S; Martin, S; Martín-Segura, A; Martín-Acebes, MA; Martin-Burriel, I; Martin-Rincon, M; Martin-Sanz, P; Martina, JA; Martinet, W; Martinez, A; Martinez, A; Martinez, J; Velazquez, MM; Martinez-Lopez, N; Martinez-Vicente, M; Martins, DO; Lange, Ü; Lopez-Perez, O; Martins, JO; Martins, WK; Martins-Marques, T; Marzetti, E; Masaldan, S; Masclaux-Daubresse, C; Mashek, DG; Massa, V; Massieu, L; Masson, GR; Masuelli, L; Masyuk, A; Masyuk, T; Matarrese, P; Matheu, A; Matoba, S; Matsuzaki, S; Mattar, P; Matte, A; Mattoscio, D; Mauriz, JL; Mauthe, M; Mauvezin, C; Maverakis, E; Maycotte, P; Mayer, J; Mazzoccoli, G; Mazzoni, C; Mazzulli, JR; McCarty, N; McDonald, C; McGill, MR; McKenna, SL; McLaughlin, B; McLoughlin, F; McNiven, MA; McWilliams, TG; Mechta-Grigoriou, F; Medeiros, TC; Medina, DL; Megeney, LA; Megyeri, K; Mehrpour, M; Mehta, JL; Meijer, AJ; Meijer, AH; Mejlvang, J; Meléndez, A; Melk, A; Memisoglu, G; Mendes, AF; Meng, D; Meng, F; Meng, T; Menna-Barreto, R; Menon, MB; Mercer, C; Mercier, AE; Mergny, JL; Merighi, A; Merkley, SD; Merla, G; Meske, V; Mestre, AC; Metur, SP; Meyer, C; Meyer, H; Mi, WY; Mialet-Perez, J; Miao, JY; Micale, L; Miki, Y; Milan, E; Milczarek, M; Miller, DL; Miller, S; Miller, S; Millward, SW; Milosevic, I; Minina, EA; Mirzaei, H; Mirzaei, HR; Mirzaei, M; Mishra, A; Mishra, N; Mishra, PK; Marjanovic, MM; Misasi, R; Misra, A; Misso, G; Mitchell, C; Mitou, G; Miura, T; Miyamoto, S; Miyazaki, M; Miyazaki, M; Miyazaki, T; Miyazawa, K; Mizushima, N; Mogensen, TH; Mograbi, B; Mohammadinejad, R; Mohamud, Y; Mohanty, A; Mohapatra, S; Möhlmann, T; Mohmmed, A; Moles, A; Moley, KH; Molinari, M; Mollace, V; Müller, AB; Mollereau, B; Mollinedo, F; Montagna, C; Monteiro, MJ; Montella, A; Montes, LR; Montico, B; Mony, VK; Compagnoni, GM; Moore, MN; Moosavi, MA; Mora, AL; Mora, M; Morales-Alamo, D; Moratalla, R; Moreira, P; Morelli, E; Moreno, S; Moreno-Blas, D; Moresi, V; Morga, B; Morgan, AH; Morin, F; Morishita, H; Moritz, OL; Moriyama, M; Moriyasu, Y; Morleo, M; Morselli, E; Moruno-Manchon, JF; Moscat, J; Mostowy, S; Motori, E; Moura, AF; Moustaid-Moussa, N; Mrakovcic, M; MuciñoHernández, G; Mukherjee, A; Mukhopadhyay, S; Levy, JMM; Mulero, V; Muller, S; Münch, C; Munjal, A; Munoz-Canoves, P; Muñoz-Galdeano, T; Münz, C; Murakawa, T; Muratori, C; Murphy, BM; Murphy, JP; Murthy, A; Myöhänen, TT; Mysorekar, IU; Mytych, J; Nabavi, SM; Nabissi, M; Nagy, P; Nah, J; Nahimana, A; Nakagawa, I; Nakamura, K; Nakatogawa, H; Nandi, SS; Nanjundan, M; Nanni, M; Napolitano, G; Nardacci, R; Narita, M; Nassif, M; Nathan, I; Natsumeda, M; Naude, RJ; Naumann, C; Naveiras, O; Navid, F; Nawrocki, ST; Nazarko, TY; Nazio, F; Negoita, F; Neill, T; Neisch, AL; Neri, LM; Netea, MG; Neubert, P; Neufeld, TP; Neumann, D; Neutzner, A; Newton, PT; Ney, PA; Nezis, IP; Ng, CCW; Ng, TB; Nguyen, HTT; Nguyen, LT; Ni, HM; Cheallaigh, CN; Ni, Z; Nicolao, MC; Nicoli, F; Nieto-Diaz, M; Nilsson, P; Ning, S; Niranjan, R; Nishimune, H; Niso-Santano, M; Nixon, RA; Nobili, A; Nobrega, C; Noda, T; Nogueira-Recalde, U; Nolan, TM; Nombela, I; Novak, I; Novoa, B; Nozawa, T; Nukina, N; Nussbaum-Krammer, C; Nylandsted, J; O'Donovan, TR; O'Leary, SM; O'Rourke, EJ; O'Sullivan, MP; O'Sullivan, TE; Oddo, S; Oehme, I; Ogawa, M; Ogier-Denis, E; Ogmundsdottir, MH; Ogretmen, B; Oh, GT; Oh, SH; Oh, YJ; Ohama, T; Ohashi, Y; Ohmuraya, M; Oikonomou, V; Ojha, R; Okamoto, K; Okazawa, H; Oku, M; Oliván, S; Oliveira, JMA; Ollmann, M; Olzmann, JA; Omari, S; Omary, MB; Önal, G; Ondrej, M; Ong, SB; Ong, SG; Onnis, A; Orellana, JA; Orellana-Muñoz, S; Ortega-Villaizan, MD; Ortiz-Gonzalez, XR; Ortona, E; Osiewacz, HD; Osman, AHK; Osta, R; Otegui, MS; Otsu, K; Ott, C; Ottobrini, L; Ou, JHJ; Outeiro, TF; Oynebraten, I; Ozturk, M; Pagès, G; Pahari, S; Pajares, M; Pajvani, UB; Pal, R; Paladino, S; Pallet, N; Palmieri, M; Palmisano, G; Palumbo, C; Pampaloni, F; Pan, LF; Pan, QJ; Pan, WL; Pan, X; Panasyuk, G; Pandey, R; Pandey, UB; Pandya, V; Paneni, F; Pang, SY; Panzarini, E; Papademetrio, DL; Papaleo, E; Papinski, D; Papp, D; Park, EC; Park, HT; Park, JM; Park, J; Park, JT; Park, J; Park, SC; Park, SY; Parola, AH; Parys, JB; Pasquier, A; Pasquier, B; Passos, JF; Pastore, N; Patel, HH; Patschan, D; Pattingre, S; Pedraza-Alva, G; Pedraza-Chaverri, J; Pedrozo, Z; Pei, G; Pei, JM; Peled-Zehavi, H; Pellegrini, JM; Pelletier, J; Peñalva, MA; Peng, D; Peng, Y; Penna, F; Pennuto, M; Pentimalli, F; Pereira, CM; Pereira, GJS; Pereira, LC; de Almeida, LP; Perera, ND; PerezOliva, AB; Pérez-Pérez, ME; Periyasamy, P; Perl, A; Perrotta, C; Perrotta, I; Pestell, RG; Petersen, M; Petrache, I; Petrovski, G; Pfirrmann, T; Pfister, AS; Philips, JA; Pi, HF; Picca, A; Pickrell, AM; Picot, S; Pierantoni, GM; Pierdominici, M; Pierre, P; Pierrefite-Carle, V; Pierzynowska, K; Pietrocola, F; Pietruczuk, M; Pignata, C; PimentelMuiños, FX; Pinar, M; Pinheiro, RO; Pinkas-Kramarski, R; Pinton, P; Pircs, K; Piya, S; Pizzo, P; Plantinga, TS; Platta, HW; Plaza-Zabala, A; Plomann, M; Plotnikov, EY; Plun-Favreau, H; Pluta, R; Pocock, R; Pöggeler, S; Pohl, C; Poirot, M; Poletti, A; Ponpuak, M; Popelka, H; Popova, B; Porta, H; Alcon, SP; Portilla-Fernandez, E; Post, M; Potts, MB; Poulton, J; Powers, T; Prahlad, V; Prajsnar, TK; Praticò, D; Prencipe, R; Priault, M; ProikasCezanne, T; Promponas, VJ; Proud, CG; Puertollano, R; Puglielli, L; Pulinilkunnil, T; Puri, D; Puri, R; Puyal, J; Qi, XP; Qi, YM; Qian, WB; Qiang, L; Qiu, Y; Quadrilatero, J; Quarleri, J; Raben, N; Rabinowich, H; Ragona, D; Ragusa, MJ; Rahimi, N; Rahmati, M; Raia, V; Raimundo, N; Rajasekaran, NS; Rao, SR; Rami, A; Ramírez-Pardo, I; Ramsden, DB; Randow, F; Rangarajan, PN; Ranieri, D; Rao, H; Rao, L; Rao, R; Rathore, S; Ratnayaka, JA; Ratovitski, EA; Ravanan, P; Ravegnini, G; Ray, SK; Razani, B; Rebecca, V; Reggiori, F; Régnier-Vigouroux, A; Reichert, AS; Reigada, D; Reiling, JH; Rein, T; Reipert, S; Rekha, RS; Ren, HM; Ren, J; Ren, WC; Renault, T; Renga, G; Reue, K; Rewitz, K; Ramos, BRD; Riazuddin, SA; Ribeiro-Rodrigues, TM; Ricci, JE; Ricci, R; Riccio, V; Richardson, D; Rikihisa, Y; Risbud, M; Risueño, RM; Ritis, K; Rizza, S; Rizzuto, R; Roberts, HC; Roberts, LD; Robinson, KJ; Roccheri, MC; Rocchi, S; Rodney, GG; Rodrigues, T; Silva, VRR; Rodriguez, A; Rodriguez-Barrueco, R; Rodriguez-Henche, N; Rodriguez-Rocha, H; Roelofs, J; Rogers, RS; Rogov, VV; Rojo, A; Rolka, K; Romanello, V; Romani, L; Romano, A; Romano, PS; Romeo-Guitart, D; Romero, LC; Romero, M; Roney, JC; Rongo, C; Roperto, S; Rosenfeldt, MT; Rosenstiel, P; Rosenwald, AG; Roth, KA; Roth, L; Roth, S; Rouschop, KMA; Roussel, BD; Roux, S; Rovere-Querini, P; Roy, A; Rozieres, A; Ruano, D; Rubinsztein, DC; Rubtsova, MP; Ruckdeschel, K; Ruckenstuhl, C; Rudolf, E; Rudolf, R; Ruggieri, A; Ruparelia, AA; Rusmini, P; Russell, RR; Russo, GL; Russo, M; Russo, R; Ryabaya, OO; Ryan, KM; Ryu, KY; Sabater-Arcis, M; Sachdev, U; Sacher, M; Sachse, C; Sadhu, A; Sadoshima, J; Safren, N; Saftig, P; Sagona, AP; Sahay, G; Sahebkar, A; Sahin, M; Sahin, O; Sahni, S; Saito, N; Saito, S; Saito, T; Sakai, R; Sakai, Y; Sakamaki, JI; Saksela, K; Salazar, G; Salazar-Degracia, A; Salekdeh, GH; Saluja, AK; Sampaio-Marques, B; Sanchez, MC; Sanchez-Alcazar, JA; Sanchez-Vera, V; Sancho-Shimizu, V; Sanderson, JT; Sandri, M; Santaguida, S; Santambrogio, L; Santana, MM; Santoni, G; Sanz, A; Sanz, P; Saran, S; Sardiello, M; Sargeant, TJ; Sarin, A; Sarkar, C; Sarkar, S; Sarrias, MR; Sarkar, S; Sarmah, DT; Sarparanta, J; Sathyanarayan, A; Sathyanarayanan, R; Scaglione, KM; Scatozza, F; Schaefer, L; Schafer, ZT; Schaible, UE; Schapira, AH; Scharl, M; Schatzl, HM; Schein, CH; Scheper, W; Scheuring, D; Schiaffino, MV; Schiappacassi, M; Schindl, R; Schlattner, U; Schmidt, O; Schmitt, R; Schmidt, SD; Schmitz, I; Schmukler, E; Schneider, A; Schneider, BE; Schober, R; Schoijet, AC; Schott, MB; Schramm, M; Schröder, B; Schuh, K; Schüller, C; Schulze, RJ; Schürmanns, L; Schwamborn, JC; Schwarten, M; Scialo, F; Sciarretta, S; Scott, MJ; Scotto, KW; Scovassi, AI; Scrima, A; Scrivo, A; Sebastian, D; Sebti, S; Sedej, S; Segatori, L; Segev, N; Seglen, PO; Seiliez, I; Seki, E; Selleck, SB; Sellke, FW; Perez-Lara, A; Selsby, JT; Sendtner, M; Senturk, S; Seranova, E; Sergi, C; Serra-Moreno, R; Sesaki, H; Settembre, C; Setty, SRG; Sgarbi, G; Sha, O; Shacka, JJ; Shah, JA; Shang, DT; Shao, CS; Shao, F; Sharbati, S; Sharkey, LM; Sharma, D; Sharma, G; Sharma, K; Sharma, P; Sharma, S; Shen, HM; Shen, HT; Shen, JG; Shen, M; Shen, WL; Shen, ZN; Sheng, R; Sheng, Z; Sheng, ZH; Shi, JJ; Shi, XB; Shi, YH; Shiba-Fukushima, K; Shieh, J; Shimada, Y; Shimizu, S; Shimozawa, M; Shintani, T; Shoemaker, CJ; Shojaei, S; Shoji, I; Shravage, B; Shridhar, V; Shu, CW; Shu, HB; Shui, K; Shukla, AK; Shutt, TE; Sica, V; Siddiqui, A; Sierra, A; Sierra-Torre, V; Signorelli, S; Sil, P; Silva, BJD; Silva, JD; Silva-Pavez, E; Silvente-Poirot, S; Simmonds, RE; Simon, AK; Simon, HU; Simons, M; Singh, A; Singh, LP; Singh, R; Singh, S; Singh, SK; Singh, SB; Singh, S; Singh, SP; Sinha, D; Sinha, RA; Sinha, S; Sirko, A; Sirohi, K; Sivridis, EL; Skendros, P; Skirycz, A; Slaninová, I; Smaili, SS; Smertenko, A; Smith, MD; Soenen, SJ; Sohn, EJ; Sok, SPM; Solaini, G; Soldati, T; Soleimanpour, SA; Soler, RM; Solovchenko, A; Somarelli, JA; Sonawane, A; Song, FY; Song, HK; Song, JX; Song, KH; Song, ZY; Soria, LR; Sorice, M; Soukas, AA; Soukup, SF; Sousa, D; Sousa, N; Spagnuolo, PA; Spector, SA; Bharath, MMS; St Clair, D; Stagni, V; Staiano, L; Stalnecker, CA; Stankov, M; Stathopulos, PB; Stefan, K; Stefan, SM; Stefanis, L; Steffan, JS; Steinkasserer, A; Stenmark, H; Sterneckert, J; Stevens, C; Stoka, V; Storch, S; Stork, B; Strappazzon, F; Strohecker, AM; Stupack, DG; Su, HX; Su, LY; Su, LX; SuarezFontes, AM; Subauste, CS; Subbian, S; Subirada, P; Sudhandiran, G; Sue, CM; Sui, XB; Summers, C; Sun, GC; Sun, J; Sun, K; Sun, MX; Sun, QM; Sun, Y; Sun, ZJ; Sunahara, KKS; Sundberg, E; Susztak, K; Sutovsky, P; Suzuki, H; Sweeney, G; Symons, JD; Sze, SCW; Szewczyk, NJ; Tabolacci, C; Tacke, F; Taegtmeyer, H; Tafani, M; Tagaya, M; Tai, HR; Tait, SWG; Takahashi, Y; Takats, S; Talwar, P; Tam, C; Tam, SY; Tampellini, D; Tamura, A; Tan, CT; Tan, EK; Tan, YQ; Tanaka, M; Tanaka, M; Tang, D; Tang, JF; Tang, TS; Tanida, I; Tao, ZP; Taouis, M; Tatenhorst, L; Tavernarakis, N; Taylor, A; Taylor, GA; Taylor, JM; Tchetina, E; Tee, AR; Tegeder, I; Teis, D; Teixeira, N; Teixeira-Clerc, F; Tekirdag, KA; Tencomnao, T; Tenreiro, S; Tepikin, A; Testillano, PS; Tettamanti, G; Tharaux, P; Thedieck, K; Thekkinghat, AA; Thellung, S; Thinwa, JW; Thirumalaikumar, VP; Thomas, SM; Thomes, PG; Thorburn, A; Thukral, L; Thum, T; Thumm, M; Tian, L; Tichy, A; Till, A; Timmerman, V; Titorenko, V; Todi, S; Todorova, K; Toivonen, JM; Tomaipitinca, L; Tomar, D; Tomas-Zapico, C; Tong, BCK; Tong, C; Tong, X; Tooze, SA; Torgersen, ML; Torii, S; Torres-López, L; Torriglia, A; Towers, CG; Towns, R; Toyokuni, S; Trajkovic, V; Tramontano, D; Tran, Q; Travassos, LH; Trelford, CB; Tremel, S; Trougakos, IP; Tsao, BP; Tschan, MP; Tse, HF; Tse, TF; Tsugawa, H; Tsvetkov, AS; Tumbarello, DA; Tumtas, Y; Tuñón, MJ; Turcotte, S; Turk, B; Turk, V; Turner, BJ; Tuxworth, R; Tyler, JK; Tyutereva, E; Uchiyama, Y; UgunKlusek, A; Uhlig, HH; Ulasov, I; Umekawa, M; Ungermann, C; Unno, R; Urbe, S; Uribe-Carretero, E; Üstün, S; Uversky, VN; Vaccari, T; Vaccaro, M; Vahsen, BF; Vakifahmetoglu-Norberg, H; Valdor, R; Valente, MJ; Valko, A; Vallee, RB; Valverde, AM; Van den Berghe, G; van Der Veen, S; Van Kaer, L; van Loosdregt, J; van Wijk, SJL; Vandenberghe, W; Vanhorebeek, I; Vannier-Santos, MA; Vannini, N; Vanrell, MC; Vantaggiato, C; Varano, G; Varela-Nieto, I; Varga, M; Vasconcelos, MH; Vats, S; Vavvas, DG; VegaNaredo, I; Vega-Rubin-de-Celis, S; Velasco, G; Velázquez, AP; Vellai, T; Vellenga, E; Velotti, F; Verdier, M; Verginis, P; Vergne, I; Verkade, P; Verma, M; Verstreken, P; Vervliet, T; Vervoorts, J; Vessoni, AT; Victor, VM; Vidal, M; Vidoni, C; Vieira, OV; Vierstra, RD; Viganó, S; Vihinen, H; Vijayan, V; Vila, M; Vilar, M; Villalba, JM; Villalobo, A; Villarejo-Zori, B; Villarroya, F; Villarroya, J; Vincent, O; Vindis, C; Viret, C; Viscomi, MT; Visnjic, D; Vitale, I; Vocadlo, DJ; Voitsekhovskaja, OV; Volonté, C; Volta, M; Vomero, M; Von Haefen, C; Vooijs, MA; Voos, W; Vucicevic, L; Wade-Martins, R; Waguri, S; Waite, KA; Wakatsuki, S; Walker, DW; Walker, MJ; Walker, SA; Walter, J; Wandosell, FG; Wang, B; Wang, CY; Wang, C; Wang, CR; Wang, CW; Wang, CY; Wang, D; Wang, FY; Wang, F; Wang, FM; Wang, GS; Wang, H; Wang, H; Wang, HX; Wang, HG; Wang, JR; Wang, JG; Wang, J; Wang, JD; Wang, K; Wang, LR; Wang, LM; Wang, MH; Wang, MQ; Wang, NB; Wang, PW; Wang, PP; Wang, P; Wang, P; Wang, QJ; Wang, Q; Wang, QK; Wang, QA; Wang, WT; Wang, WY; Wang, XN; Wang, XJ; Wang, Y; Wang, YC; Wang, YZ; Wang, YY; Wang, YH; Wang, YP; Wang, Y; Wang, YQ; Wang, Z; Wang, ZY; Wang, ZG; Warnes, G; Warnsmann, V; Watada, H; Watanabe, E; Watchon, M; Weaver, TE; Wegrzyn, G; Wehman, AM; Wei, HF; Wei, L; Wei, TT; Wei, YJ; Weiergräber, OH; Weihl, CC; Weindl, G; Weiskirchen, R; Wells, A; Wen, RXH; Wen, X; Werner, A; Weykopf, B; Wheatley, SP; Whitton, JL; Whitworth, AJ; Wiktorska, K; Wildenberg, ME; Wileman, T; Wilkinson, S; Willbold, D; Williams, B; Williams, RSB; Williams, RL; Williamson, PR; Wilson, RA; Winner, B; Winsor, NJ; Witkin, SS; Wodrich, H; Woehlbier, U; Wollert, T; Wong, E; Wong, JH; Wong, RW; Wong, VKW; Wong, WWL; Wu, AG; Wu, CB; Wu, J; Wu, JF; Wu, KK; Wu, M; Wu, SY; Wu, SZ; Wu, SY; Wu, SF; Wu, WKK; Wu, XH; Wu, XQ; Wu, YW; Wu, YH; Xavier, RJ; Xia, HG; Xia, LX; Xia, ZY; Xiang, G; Xiang, J; Xiang, ML; Xiang, W; Xiao, B; Xiao, GZ; Xiao, HY; Xiao, HT; Xiao, J; Xiao, L; Xiao, S; Xiao, Y; Xie, BM; Xie, CM; Xie, M; Xie, YX; Xie, ZP; Xie, ZL; Xilouri, M; Xu, CF; Xu, E; Xu, HX; Xu, J; Xu, JR; Xu, L; Xu, WW; Xu, XL; Xue, Y; Yakhine-Diop, SMS; Yam(data truncated to fit)</t>
  </si>
  <si>
    <t>Klionsky, Daniel J.; Abdel-Aziz, Amal Kamal; Abdelfatah, Sara; Abdellatif, Mahmoud; Abdoli, Asghar; Abel, Steffen; Abeliovich, Hagai; Abildgaard, Marie H.; Abudu, Yakubu Princely; Acevedo-Arozena, Abraham; Adamopoulos, Iannis E.; Adeli, Khosrow; Adolph, Timon E.; Adornetto, Annagrazia; Aflaki, Elma; Agam, Galila; Agarwal, Anupam; Aggarwal, Bharat B.; Agnello, Maria; Agostinis, Patrizia; Agrewala, Javed N.; Agrotis, Alexander; Aguilar, Patricia, V; Ahmad, S. Tariq; Ahmed, Zubair M.; Ahumada-Castro, Ulises; Aits, Sonja; Aizawa, Shu; Akkoc, Yunus; Akoumianaki, Tonia; Akpinar, Hafize Aysin; Al-Abd, Ahmed M.; Al-Akra, Lina; Al-Gharaibeh, Abeer; Alaoui-Jamali, Moulay A.; Alberti, Simon; Alcocer-Gomez, Elisabet; Alessandri, Cristiano; Ali, Muhammad; Al-Bari, M. Abdul Alim; Aliwaini, Saeb; Alizadeh, Javad; Almacellas, Eugenia; Almasan, Alexandru; Alonso, Alicia; Alonso, Guillermo D.; Altan-Bonnet, Nihal; Altieri, Dario C.; Alves, Sara; da Costa, Cristine Alves; Alzaharna, Mazen M.; Amadio, Marialaura; Amantini, Consuelo; Amaral, Cristina; Ambrosio, Susanna; Amer, Amal O.; Ammanathan, Veena; An, Zhenyi; Andersen, Stig U.; Andrabi, Shaida A.; Andrade-Silva, Magaiver; Andres, Allen M.; Angelini, Sabrina; Ann, David; Anozie, Uche C.; Ansari, Mohammad Y.; Antas, Pedro; Antebi, Adam; Anton, Zurine; Anwar, Tahira; Apetoh, Lionel; Apostolova, Nadezda; Araki, Toshiyuki; Araki, Yasuhiro; Arasaki, Kohei; Araujo, Wagner L.; Araya, Jun; Arden, Catherine; Arevalo, Maria-Angeles; Arguelles, Sandro; Arias, Esperanza; Arikkath, Jyothi; Arimoto, Hirokazu; Ariosa, Aileen R.; Armstrong-James, Darius; Arnaune-Pelloquin, Laetitia; Aroca, Angeles; Arroyo, Daniela S.; Arsov, Ivica; Artero, Ruben; Asaro, Dalia Maria Lucia; Aschner, Michael; Ashrafizadeh, Milad; Ashur-Fabian, Osnat; Atanasov, Atanas G.; Au, Alicia K.; Auberger, Patrick; Auner, Holger W.; Aurelian, Laure; Autelli, Riccardo; Avagliano, Laura; Avalos, Yenniffer; Aveic, Sanja; Aveleira, Celia Alexandra; AvinWittenberg, Tamar; Aydin, Yucel; Ayton, Scott; Ayyadevara, Srinivas; Azzopardi, Maria; Baba, Misuzu; Backer, Jonathan M.; Backues, Steven K.; Bae, Dong-Hun; Bae, Ok-Nam; Bae, Soo Han; Baehrecke, Eric H.; Baek, Ahruem; Baek, Seung-Hoon; Baek, Sung Hee; Bagetta, Giacinto; Bagniewska-Zadworna, Agnieszka; Bai, Hua; Bai, Jie; Bai, Xiyuan; Bai, Yidong; Bairagi, Nandadulal; Baksi, Shounak; Balbi, Teresa; Baldari, Cosima T.; Balduini, Walter; Ballabio, Andrea; Ballester, Maria; Balazadeh, Salma; Balzan, Rena; Bandopadhyay, Rina; Banerjee, Sreeparna; Banerjee, Sulagna; Bao, Yan; Baptista, Mauricio S.; Baracca, Alessandra; Barbati, Cristiana; Bargiela, Ariadna; Barila, Daniela; Barlow, Peter G.; Barmada, Sami J.; Barreiro, Esther; Barreto, George E.; Bartek, Jiri; Bartel, Bonnie; Bartolome, Alberto; Barve, Gaurav R.; Basagoudanavar, Suresh H.; Bassham, Diane C.; Bast, Robert C., Jr.; Basu, Alakananda; Batoko, Henri; Batten, Isabella; Baulieu, Etienne E.; Baumgarner, Bradley L.; Bayry, Jagadeesh; Beale, Rupert; Beau, Isabelle; Beaumatin, Florian; Bechara, Luiz R. G.; Beck, George R., Jr.; Beers, Michael F.; Begun, Jakob; Behrends, Christian; Behrens, Georg M. N.; Bei, Roberto; Bejarano, Eloy; Bel, Shai; Behl, Christian; Belaid, Amine; Belgareh-Touze, Naima; Bellarosa, Cristina; Belleudi, Francesca; Bello Perez, Melissa; Bello-Morales, Raquel; de Oliveira Beltran, Jackeline Soares; Beltran, Sebastian; Benbrook, Doris Mangiaracina; Bendorius, Mykolas; Benitez, Bruno A.; Benito-Cuesta, Irene; Bensalem, Julien; Berchtold, Martin W.; Berezowska, Sabina; Bergamaschi, Daniele; Bergami, Matteo; Bergmann, Andreas; Berliocchi, Laura; Berlioz-Torrent, Clarisse; Bernard, Amelie; Berthoux, Lionel; Besirli, Cagri G.; Besteiro, Sebastien; Betin, Virginie M.; Beyaert, Rudi; Bezbradica, Jelena S.; Bhaskar, Kiran; Bhatia-Kissova, Ingrid; Bhattacharya, Resham; Bhattacharya, Sujoy; Bhattacharyya, Shalmoli; Bhuiyan, Md Shenuarin; Bhutia, Sujit Kumar; Bi, Lanrong; Bi, Xiaolin; Biden, Trevor J.; Bijian, Krikor; Billes, Viktor A.; Binart, Nadine; Bincoletto, Claudia; Birgisdottir, Asa B.; Bjorkoy, Geir; Blanco, Gonzalo; Blas-Garcia, Ana; Blasiak, Janusz; Blomgran, Robert; Blomgren, Klas; Blum, Janice S.; Boada-Romero, Emilio; Boban, Mirta; BoeszeBattaglia, Kathleen; Boeuf, Philippe; Boland, Barry; Bomont, Pascale; Bonaldo, Paolo; Bonam, Srinivasa Reddy; Bonfili, Laura; Bonifacino, Juan S.; Boone, Brian A.; Bootman, Martin D.; Bordi, Matteo; Borner, Christoph; Bornhauser, Beat C.; Borthakur, Gautam; Bosch, Jurgen; Bose, Santanu; Botana, Luis M.; Botas, Juan; Boulanger, Chantal M.; Boulton, Michael E.; Bourdenx, Mathieu; Bourgeois, Benjamin; Bourke, Nollaig M.; Bousquet, Guilhem; Boya, Patricia; Bozhkov, Peter, V; Bozi, Luiz H. M.; Bozkurt, Tolga O.; Brackney, Doug E.; Brandts, Christian H.; Braun, Ralf J.; Braus, Gerhard H.; Bravo-Sagua, Roberto; Bravo-San Pedro, Jose M.; Brest, Patrick; Bringer, Marie-Agnes; Briones-Herrera, Alfredo; Broaddus, V. Courtney; Brodersen, Peter; Alvarez, Elida M. C.; Brodsky, Jeffrey L.; Brody, Steven L.; Bronson, Paola G.; Bronstein, Jeff M.; Brown, Carolyn N.; Brown, Rhoderick E.; Brum, Patricia C.; Brumell, John H.; Brunetti-Pierri, Nicola; Bruno, Daniele; Bryson-Richardson, Robert J.; Bucci, Cecilia; Buchrieser, Carmen; Bueno, Marta; Buitrago-Molina, Laura Elisa; Buraschi, Simone; Buch, Shilpa; Buchan, J. Ross; Buckingham, Erin M.; Budak, Hikmet; Budini, Mauricio; Bultynck, Geert; Burada, Florin; Burgoyne, Joseph R.; Buron, M. Isabel; Bustos, Victor; Buttner, Sabrina; Butturini, Elena; Byrd, Aaron; Cabas, Isabel; Cabrera-Benitez, Sandra; Cadwell, Ken; Cai, Jingjing; Cai, Lu; Cai, Qian; Cairo, Montserrat; Calbet, Jose A.; Caldwell, Guy A.; Caldwell, Kim A.; Call, Jarrod A.; Calvani, Riccardo; Calvo, Ana C.; Barrera, Miguel Calvo-Rubio; Camara, Niels Os; Camonis, Jacques H.; Camougrand, Nadine; Campanella, Michelangelo; Campbell, Edward M.; Campbell-Valois, Francois-Xavier; Campello, Silvia; Campesi, Ilaria; Campos, Juliane C.; Camuzard, Olivier; Cancino, Jorge; de Almeida, Danilo Candido; Canesi, Laura; Caniggia, Isabella; Canonico, Barbara; Canti, Carles; Cao, Bin; Caraglia, Michele; Carames, Beatriz; Carchman, Evie H.; Cardenal-Munoz, Elena; Cardenas, Cesar; Cardenas, Luis; Cardoso, Sandra M.; Carew, Jennifer S.; Carle, Georges F.; Carleton, Gillian; Carloni, Silvia; Carmona-Gutierrez, Didac; Carneiro, Leticia A.; Carnevali, Oliana; Carosi, Julian M.; Carra, Serena; Carrier, Alice; Carrier, Lucie; Carroll, Bernadette; Carter, A. Brent; Carvalho, Andreia Neves; Casanova, Magali; Casas, Caty; Casas, Josefina; Cassioli, Chiara; Castillo, Eliseo F.; Castillo, Karen; Castillo-Lluva, Sonia; Castoldi, Francesca; Castori, Marco; Castro, Ariel F.; Castro-Caldas, Margarida; Castro-Hernandez, Javier; Castro-Obregon, Susana; Catz, Sergio D.; Cavadas, Claudia; Cavaliere, Federica; Cavallini, Gabriella; Cavinato, Maria; Cayuela, Maria L.; Rica, Paula Cebollada; Cecarini, Valentina; Cecconi, Francesco; Cechowska-Pasko, Marzanna; Cenci, Simone; Ceperuelo-Mallafre, Victoria; Cerqueira, Joao J.; Cerutti, Janete M.; Cervia, Davide; Cetintas, Vildan Bozok; Cetrullo, Silvia; Chae, Han-Jung; Chagin, Andrei S.; Chai, Chee-Yin; Chakrabarti, Gopal; Chakrabarti, Oishee; Chakraborty, Tapas; Chakraborty, Trinad; Chami, Mounia; Chamilos, Georgios; Chan, David W.; Chan, Edmond Y. W.; Chan, Edward D.; Chan, H. Y. Edwin; Chan, Helen H.; Chan, Hung; Chan, Matthew T., V; Chan, Yau Sang; Chandra, Partha K.; Chang, Chih-Peng; Chang, Chunmei; Chang, Hao-Chun; Chang, Kai; Chao, Jie; Chapman, Tracey; Charlet-Berguerand, Nicolas; Chatterjee, Samrat; Chaube, Shail K.; Chaudhary, Anu; Chauhan, Santosh; Chaum, Edward; Checler, Frederic; Cheetham, Michael E.; Chen, ChangShi; Chen, Guang-Chao; Chen, Jian-Fu; Chen, Liam L.; Chen, Leilei; Chen, Lin; Chen, Mingliang; Chen, MuKuan; Chen, Ning; Chen, Quan; Chen, Ruey-Hwa; Chen, Shi; Chen, Wei; Chen, Weiqiang; Chen, XinMing; Chen, Xiong-Wen; Chen, Xu; Chen, Yan; Chen, Ye-Guang; Chen, Yingyu; Chen, Yongqiang; Chen, YuJen; Chen, Yue-Qin; Chen, Zhefan Stephen; Chen, Zhi; Chen, Zhi-Hua; Chen, Zhijian J.; Chen, Zhixiang; Cheng, Hanhua; Cheng, Jun; Cheng, Shi-Yuan; Cheng, Wei; Cheng, Xiaodong; Cheng, Xiu-Tang; Cheng, Yiyun; Cheng, Zhiyong; Chen, Zhong; Cheong, Heesun; Cheong, Jit Kong; Chernyak, Boris, V; Cherry, Sara; Cheung, Chi Fai Randy; Cheung, Chun Hei Antonio; Cheung, King-Ho; Chevet, Eric; Chi, Richard J.; Chiang, Alan Kwok Shing; Chiaradonna, Ferdinando; Chiarelli, Roberto; Chiariello, Mario; Chica, Nathalia; Chiocca, Susanna; Chiong, Mario; Chiou, Shih-Hwa; Chiramel, Abhilash, I; Chiurchiu, Valerio; Cho, Dong-Hyung; Choe, Seong-Kyu; Choi, Augustine M. K.; Choi, Mary E.; Choudhury, Kamalika Roy; Chow, Norman S.; Chu, Charleen T.; Chua, Jason P.; Chua, John Jia En; Chung, Hyewon; Chung, Kin Pan; Chung, Seockhoon; Chung, So-Hyang; Chung, Yuen-Li; Cianfanelli, Valentina; Ciechomska, Iwona A.; Cifuentes, Mariana; Cinque, Laura; Cirak, Sebahattin; Cirone, Mara; Clague, Michael J.; Clarke, Robert; Clementi, Emilio; Coccia, Eliana M.; Codogno, Patrice; Cohen, Ehud; Cohen, Mickael M.; Colasanti, Tania; Colasuonno, Fiorella; Colbert, Robert A.; Colell, Anna; Coll, Nuria S.; Collins, Mark O.; Colombo, Maria, I; Colon-Ramos, Daniel A.; Combaret, Lydie; Comincini, Sergio; Cominetti, Marcia R.; Consiglio, Antonella; Conte, Andrea; Conti, Fabrizio; Contu, Viorica Raluca; Cookson, Mark R.; Coombs, Kevin M.; Coppens, Isabelle; Corasaniti, Maria Tiziana; Corkery, Dale P.; Cordes, Nils; Cortese, Katia; Costa, Maria do Carmo; Costantino, Sarah; Costelli, Paola; Coto-Montes, Ana; Crack, Peter J.; Crespo, Jose L.; Criollo, Alfredo; Crippa, Valeria; Cristofani, Riccardo; Csizmadia, Tamas; Cuadrado, Antonio; Cui, Bing; Cui, Jun; Cui, Yixian; Cui, Yong; Culetto, Emmanuel; Cumino, Andrea C.; Cybulsky, Andrey, V; Czaja, Mark J.; Czuczwar, Stanislaw J.; D'Adamo, Stefania; D'Amelio, Marcello; D'Arcangelo, Daniela; D'Lugos, Andrew C.; D'Orazi, Gabriella; da Silva, James A.; Dafsari, Hormos Salimi; Dagda, Ruben K.; Dagdas, Yasin; Daglia, Maria; Dai, Xiaoxia; Dai, Yun; Dai, Yuyuan; Dal Col, Jessica; Dalhaimer, Paul; Dalla Valle, Luisa; Dallenga, Tobias; Dalmasso, Guillaume; Damme, Markus; Dando, Ilaria; Dantuma, Nico P.; Darling, April L.; Das, Hiranmoy; Dasarathy, Srinivasan; Dasari, Santosh K.; Dash, Srikanta; Daumke, Oliver; Dauphinee, Adrian N.; Davies, Jeffrey S.; Davila, Valeria A.; Davis, Roger J.; Davis, Tanja; Naidu, Sharadha Dayalan; De Amicis, Francesca; De Bosscher, Karolien; De Felice, Francesca; De Franceschi, Lucia; De Leonibus, Chiara; de Mattos Barbosa, Mayara G.; De Meyer, Guido R. Y.; De Milito, Angelo; De Nunzio, Cosimo; De Palma, Clara; De Santi, Mauro; De Virgilio, Claudio; De Zio, Daniela; Debnath, Jayanta; DeBosch, Brian J.; Decuypere, JeanPaul; Deehan, Mark A.; Deflorian, Gianluca; DeGregori, James; Dehay, Benjamin; Del Rio, Gabriel; Delaney, Joe R.; Delbridge, Lea M. D.; Delorme-Axford, Elizabeth; Delpino, M. Victoria; Demarchi, Francesca; Dembitz, Vilma; Demers, Nicholas D.; Deng, Hongbin; Deng, Zhiqiang; Dengjel, Joern; Dent, Paul; Denton, Donna; DePamphilis, Melvin L.; Der, Channing J.; Deretic, Vojo; Descoteaux, Albert; Devis, Laura; Devkota, Sushil; Devuyst, Olivier; Dewson, Grant; Dharmasivam, Mahendiran; Dhiman, Rohan; di Bernardo, Diego; Di Cristina, Manlio; Di Domenico, Fabio; Di Fazio, Pietro; Di Fonzo, Alessio; Di Guardo, Giovanni; Di Guglielmo, Gianni M.; Di Leo, Luca; Di Malta, Chiara; Di Nardo, Alessia; Di Rienzo, Martina; Di Sano, Federica; Diallinas, George; Diao, Jiajie; Diaz-Araya, Guillermo; Diaz-Laviada, Ines; Dickinson, Jared M.; Diederich, Marc; Dieude, Melanie; Dikic, Ivan; Ding, Shiping; Ding, Wen-Xing; Dini, Luciana; Dinic, Jelena; Dinic, Miroslav; Dinkova-Kostova, Albena T.; Dionne, Marc S.; Distler, Jorg H. W.; Diwan, Abhinav; Dixon, Ian M. C.; Djavaheri-Mergny, Mojgan; Dobrinski, Ina; Dobrovinskaya, Oxana; Dobrowolski, Radek; Dobson, Renwick C. J.; Emre, Serap Dokmeci; Donadelli, Massimo; Dong, Bo; Dong, Xiaonan; Dong, Zhiwu; Ii, Gerald W. Dorn; Dotsch, Volker; Dou, Huan; Dou, Juan; Dowaidar, Moataz; Dridi, Sami; Drucker, Liat; Du, Ailian; Du, Caigan; Du, Guangwei; Du, Hai-Ning; Du, Li-Lin; du Toit, Andre; Duan, Shao-Bin; Duan, Xiaoqiong; Duarte, Sonia P.; Dubrovska, Anna; Dunlop, Elaine A.; Dupont, Nicolas; Duran, Raul, V; Dwarakanath, Bilikere S.; Dyshlovoy, Sergey A.; Ebrahimi-Fakhari, Darius; Eckhart, Leopold; Edelstein, Charles L.; Efferth, Thomas; Eftekharpour, Eftekhar; Eichinger, Ludwig; Eid, Nabil; Eisenberg, Tobias; Eissa, N. Tony; Eissa, Sanaa; Ejarque, Miriam; El Andaloussi, Abdeljabar; El-Hage, Nazira; El-Naggar, Shahenda; Eleuteri, Anna Maria; El-Shafey, Eman S.; Elgendy, Mohamed; Eliopoulos, Aristides G.; Elizalde, Maria M.; Elks, Philip M.; Elsasser, Hans-Peter; Elsherbiny, Eslam S.; Emerling, Brooke M.; Emre, N. C. Tolga; Eng, Christina H.; Engedal, Nikolai; Engelbrecht, Anna-Mart; Engelsen, Agnete S. T.; Enserink, Jorrit M.; Escalante, Ricardo; Esclatine, Audrey; Escobar-Henriques, Mafalda; Eskelinen, Eeva-Liisa; Espert, Lucile; Eusebio, Makandjou-Ola; Fabrias, Gemma; Fabrizi, Cinzia; Facchiano, Antonio; Facchiano, Francesco; Fadeel, Bengt; Fader, Claudio; Faesen, Alex C.; Fairlie, W. Douglas; Falco, Alberto; Falkenburger, Bjorn H.; Fan, Daping; Fan, Jie; Fan, Yanbo; Fang, Evandro F.; Fang, Yanshan; Fang, Yognqi; Fanto, Manolis; Farfel-Becker, Tamar; Faure, Mathias; Fazeli, Gholamreza; Fedele, Anthony O.; Feldman, Arthur M.; Feng, Du; Feng, Jiachun; Feng, Lifeng; Feng, Yibin; Feng, Yuchen; Feng, Wei; Araujo, Thais Fenz; Ferguson, Thomas A.; Fernandez-Checa, Jose C.; FernandezVeledo, Sonia; Fernie, Alisdair R.; Ferrante, Anthony W. Jryyy; Ferraresi, Alessandra; Ferrari, Merari F.; Ferreira, Julio C. B.; Ferro-Novick, Susan; Figueras, Antonio; Filadi, Riccardo; Filigheddu, Nicoletta; FilippiChiela, Eduardo; Filomeni, Giuseppe; Fimia, Gian Maria; Fineschi, Vittorio; Finetti, Francesca; Finkbeiner, Steven; Fisher, Edward A.; Fisher, Paul B.; Flamigni, Flavio; Fliesler, Steven J.; Flo, Trude H.; Florance, Ida; Florey, Oliver; Florio, Tullio; Fodor, Erika; Follo, Carlo; Fon, Edward A.; Forlino, Antonella; Fornai, Francesco; Fortini, Paola; Fracassi, Anna; Fraldi, Alessandro; Franco, Brunella; Franco, Rodrigo; Franconi, Flavia; Frankel, Lisa B.; Friedman, Scott L.; Frohlich, Leopold F.; Fruhbeck, Gema; Fuentes, Jose M.; Fujiki, Yukio; Fujita, Naonobu; Fujiwara, Yuuki; Fukuda, Mitsunori; Fulda, Simone; Furic, Luc; Furuya, Norihiko; Fusco, Carmela; Gack, Michaela U.; Gaffke, Lidia; Galadari, Sehamuddin; Galasso, Alessia; Galindo, Maria F.; Kankanamalage, Sachith Gallolu; Galluzzi, Lorenzo; Galy, Vincent; Gammoh, Noor; Gan, Boyi; Ganley, Ian G.; Gao, Feng; Gao, Hui; Gao, Minghui; Gao, Ping; Gao, Shou-Jiang; Gao, Wentao; Gao, Xiaobo; Garcera, Ana; Garcia, Maria Noe; Garcia, Veronica E.; Garcia-Del Portillo, Francisco; Garcia-Escudero, Vega; GarciaGarcia, Aracely; Garcia-Macia, Marina; Garcia-Moreno, Diana; Garcia-Ruiz, Carmen; Garcia-Sanz, Patricia; Garg, Abhishek D.; Gargini, Ricardo; Garofalo, Tina; Garry, Robert F.; Gassen, Nils C.; Gatica, Damian; Ge, Liang; Ge, Wanzhong; Geiss-Friedlander, Ruth; Gelfi, Cecilia; Genschik, Pascal; Gentle, Ian E.; Gerbino, Valeria; Gerhardt, Christoph; Germain, Kyla; Germain, Marc; Gewirtz, David A.; Afshar, Elham Ghasemipour; Ghavami, Saeid; Ghigo, Alessandra; Ghosh, Manosij; Giamas, Georgios; Giampietri, Claudia; Giatromanolaki, Alexandra; Gibson, Gary E.; Gibson, Spencer B.; Ginet, Vanessa; Giniger, Edward; Giorgi, Carlotta; Girao, Henrique; Girardin, Stephen E.; Giridharan, Mridhula; Giuliano, Sandy; Giulivi, Cecilia; Giuriato, Sylvie; Giustiniani, Julien; Gluschko, Alexander; Goder, Veit; Goginashvili, Alexander; Golab, Jakub; Goldstone, David C.; Golebiewska, Anna; Gomes, Luciana R.; Gomez, Rodrigo; Gomez-Sanchez, Ruben; Gomez-Puerto, Maria Catalina; Gomez-Sintes, Raquel; Gong, Qingqiu; Goni, Felix M.; Gonzalez-Gallego, Javier; Gonzalez-Hernandez, Tomas; Gonzalez-Polo, Rosa A.; Gonzalez-Reyes, Jose A.; Gonzalez-Rodriguez, Patricia; Goping, Ing Swie; Gorbatyuk, Marina S.; Gorbunov, Nikolai, V; Gorojod, Roxana M.; Gorski, Sharon M.; Goruppi, Sandro; Gotor, Cecilia; Gottlieb, Roberta A.; Gozes, Illana; Gozuacik, Devrim; Graef, Martin; Graler, Markus H.; Granatiero, Veronica; Grasso, Daniel; Gray, Joshua P.; Green, Douglas R.; Greenhough, Alexander; Gregory, Stephen L.; Griffin, Edward F.; Grinstaff, Mark W.; Gros, Frederic; Grose, Charles; Gross, Angelina S.; Gruber, Florian; Grumati, Paolo; Grune, Tilman; Gu, Xueyan; Guan, Jun-Lin; Guardia, Carlos M.; Guda, Kishore; Guerra, Flora; Guerri, Consuelo; Guha, Prasun; Guillen, Carlos; Gujar, Shashi; Gukovskaya, Anna; Gukovsky, Ilya; Gunst, Jan; Gunther, Andreas; Guntur, Anyonya R.; Guo, Chuanyong; Guo, Chun; Guo, Hongqing; Guo, Lian-Wang; Guo, Ming; Gupta, Pawan; Fernandez, Alvaro F.; Gupta, Shashi Kumar; Gupta, Swapnil; Gupta, Veer Bala; Gupta, Vivek; Gustafsson, Asa B.; Gutterman, David D.; Ranjitha, H. B.; Haapasalo, Annakaisa; Haber, James E.; Hadano, Shinji; Hafren, Anders J.; Haidar, Mansour; Hall, Belinda S.; Hallden, Gunnel; Hamacher-Brady, Anne; Hamann, Andrea; Hamasaki, Maho; Han, Weidong; Hansen, Malene; Hanson, Phyllis, I; Hao, Zijian; Harada, Masaru; Harhaji-Trajkovic, Ljubica; Hariharan, Nirmala; Haroon, Nigil; Harris, James; Hasegawa, Takafumi; Nagoor, Noor Hasima; Haspel, Jeffrey A.; Haucke, Volker; Hawkins, Wayne D.; Hay, Bruce A.; Haynes, Cole M.; Hayrabedyan, Soren B.; Hays, Thomas S.; He, Congcong; He, Qin; He, RongRong; He, You-Wen; He, Yu-Ying; Heakal, Yasser; Heberle, Alexander M.; Hejtmancik, J. Fielding; Helgason, Gudmundur Vignir; Henkel, Vanessa; Herb, Marc; Hergovich, Alexander; Herman-Antosiewicz, Anna; Hernandez, Agustin; Hernandez, Carlos; Hernandez-Diaz, Sergio; Hernandez-Gea, Virginia; Herpin, Amaury; Herreros, Judit; Hervas, Javier H.; Hesselson, Daniel; Hetz, Claudio; Heussler, Volker T.; Higuchi, Yujiro; Hilfiker, Sabine; Hill, Joseph A.; Hlavacek, William S.; Ho, Emmanuel A.; Ho, Idy H. T.; Ho, Philip Wing-Lok; Ho, ShuLeong; Ho, Wan Yun; Hobbs, G. Aaron; Hochstrasser, Mark; Hoet, Peter H. M.; Hofius, Daniel; Hofman, Paul; Hohn, Annika; Holmberg, Carina, I; Hombrebueno, Jose R.; Hong, Chang-Won; Hong, Yi-Ren; Hooper, Lora, V; Hoppe, Thorsten; Horos, Rastislav; Hoshida, Yujin; Hsin, I-Lun; Hsu, Hsin-Yun; Hu, Bing; Hu, Dong; Hu, Li-Fang; Hu, Ming Chang; Hu, Ronggui; Hu, Wei; Hu, Yu-Chen; Hu, Zhuo-Wei; Hua, Fang; Hua, Jinlian; Hua, Yingqi; Huan, Chongmin; Huang, Canhua; Huang, Chuanshu; Huang, Chuanxin; Huang, Chunling; Huang, Haishan; Huang, Kun; Huang, Michael L. H.; Huang, Rui; Huang, Shan; Huang, Tianzhi; Huang, Xing; Huang, Yuxiang Jack; Huber, Tobias B.; Hubert, Virginie; Hubner, Christian A.; Hughes, Stephanie M.; Hughes, William E.; Humbert, Magali; Hummer, Gerhard; Hurley, James H.; Hussain, Sabah; Hussain, Salik; Hussey, Patrick J.; Hutabarat, Martina; Hwang, Hui-Yun; Hwang, Seungmin; Ieni, Antonio; Ikeda, Fumiyo; Imagawa, Yusuke; Imai, Yuzuru; Imbriano, Carol; Imoto, Masaya; Inman, Denise M.; Inoki, Ken; Iovanna, Juan; Iozzo, Renato, V; Ippolito, Giuseppe; Irazoqui, Javier E.; Iribarren, Pablo; Ishaq, Mohd; Ishikawa, Makoto; Ishimwe, Nestor; Isidoro, Ciro; Ismail, Nahed; Issazadeh-Navikas, Shohreh; Itakura, Eisuke; Ito, Daisuke; Ivankovic, Davor; Ivanova, Saska; Iyer, Anand Krishnan, V; Izquierdo, Jose M.; Izumi, Masanori; Jaattela, Marja; Jabir, Majid Sakhi; Jackson, William T.; Jacobo-Herrera, Nadia; Jacomin, Anne-Claire; Jacquin, Elise; Jadiya, Pooja; Jaeschke, Hartmut; Jagannath, Chinnaswamy; Jakobi, Arjen J.; Jakobsson, Johan; Janji, Bassam; JansenDurr, Pidder; Jansson, Patric J.; Jantsch, Jonathan; Januszewski, Slawomir; Jassey, Alagie; Jean, Steve; JeltschDavid, Helene; Jendelova, Pavla; Jenny, Andreas; Jensen, Thomas E.; Jessen, Niels; Jewell, Jenna L.; Ji, Jing; Jia, Lijun; Jia, Rui; Jiang, Liwen; Jiang, Qing; Jiang, Richeng; Jiang, Teng; Jiang, Xuejun; Jiang, Yu; Jimenez-Sanchez, Maria; Jin, Eun-Jung; Jin, Fengyan; Jin, Hongchuan; Jin, Li; Jin, Luqi; Jin, Meiyan; Jin, Si; Jo, Eun-Kyeong; Joffre, Carine; Johansen, Terje; Johnson, Gail V. W.; Johnston, Simon A.; Jokitalo, Eija; Jolly, Mohit Kumar; Joosten, Leo A. B.; Jordan, Joaquin; Joseph, Bertrand; Ju, Dianwen; Ju, Jeong-Sun; Ju, Jingfang; Juarez, Esmeralda; Judith, Delphine; Juhasz, Gabor; Jun, Youngsoo; Jung, Chang Hwa; Jung, SungChul; Jung, Yong Keun; Jungbluth, Heinz; Jungverdorben, Johannes; Just, Steffen; Kaarniranta, Kai; Kaasik, Allen; Kabuta, Tomohiro; Kaganovich, Daniel; Kahana, Alon; Kain, Renate; Kajimura, Shinjo; Kalamvoki, Maria; Kalia, Manjula; Kalinowski, Danuta S.; Kaludercic, Nina; Kalvari, Ioanna; Kaminska, Joanna; Kaminskyy, Vitaliy O.; Kanamori, Hiromitsu; Kanasaki, Keizo; Kang, Chanhee; Kang, Rui; Kang, Sang Sun; Kaniyappan, Senthilvelrajan; Kanki, Tomotake; Kanneganti, Thirumala-Devi; Kanthasamy, Anumantha G.; Kanthasamy, Arthi; Kantorow, Marc; Kapuy, Orsolya; Karamouzis, Michalis, V; Karim, Md Razaul; Karmakar, Parimal; Katare, Rajesh G.; Kato, Masaru; Kaufmann, Stefan H. E.; Kauppinen, Anu; Kaushal, Gur P.; Kaushik, Susmita; Kawasaki, Kiyoshi; Kazan, Kemal; Ke, Po-Yuan; Keating, Damien J.; Keber, Ursula; Kehrl, John H.; Keller, Kate E.; Keller, Christian W.; Kemper, Jongsook Kim; Kenific, Candia M.; Kepp, Oliver; Kermorgant, Stephanie; Kern, Andreas; Ketteler, Robin; Keulers, Tom G.; Khalfin, Boris; Khalil, Hany; Khambu, Bilon; Khan, Shahid Y.; Khandelwal, Vinoth Kumar Megraj; Khandia, Rekha; Kho, Widuri; Khobrekar, Noopur, V; Khuansuwan, Sataree; Khundadze, Mukhran; Killackey, Samuel A.; Kim, Dasol; Kim, Deok Ryong; Kim, Do-Hyung; Kim, Dong-Eun; Kim, Eun Young; Kim, Eun-Kyoung; Kim, HakRim; Kim, Hee-Sik; Kim, Hyung-Ryong; Kim, Jeong Hun; Kim, Jin Kyung; Kim, Jin-Hoi; Kim, Joungmok; Kim, Ju Hwan; Kim, Keun Il; Kim, Peter K.; Kim, Seong-Jun; Kimball, Scot R.; Kimchi, Adi; Kimmelman, Alec C.; Kimura, Tomonori; King, Matthew A.; Kinghorn, Kerri J.; Kinsey, Conan G.; Kirkin, Vladimir; Kirshenbaum, Lorrie A.; Kiselev, Sergey L.; Kishi, Shuji; Kitamoto, Katsuhiko; Kitaoka, Yasushi; Kitazato, Kaio; Kitsis, Richard N.; Kittler, Josef T.; Kjaerulff, Ole; Klein, Peter S.; Klopstock, Thomas; Klucken, Jochen; Knovelsrud, Helene; Knorr, Roland L.; Ko, Ben C. B.; Ko, Fred; Ko, JiunnLiang; Kobayashi, Hotaka; Kobayashi, Satoru; Koch, Ina; Koch, Jan C.; Koenig, Ulrich; Kogel, Donat; Koh, Young Ho; Koike, Masato; Kohlwein, Sepp D.; Kocaturk, Nur M.; Komatsu, Masaaki; Konig, Jeannette; Kono, Toru; Kopp, Benjamin T.; Korcsmaros, Tamas; Korkmaz, Gozde; Korolchuk, Viktor, I; Korsnes, Monica Suarez; Koskela, Ali; Kota, Janaiah; Kotake, Yaichiro; Kotler, Monica L.; Kou, Yanjun; Koukourakis, Michael, I; Koustas, Evangelos; Kovacs, Attila L.; Kovacs, Tibor; Koya, Daisuke; Kozako, Tomohiro; Kraft, Claudine; Krainc, Dimitri; Kramer, Helmut; Krasnodembskaya, Anna D.; Kretz-Remy, Carole; Kroemer, Guido; Ktistakis, Nicholas T.; Kuchitsu, Kazuyuki; Kuenen, Sabine; Kuerschner, Lars; Kukar, Thomas; Kumar, Ajay; Kumar, Ashok; Kumar, Deepak; Kumar, Dhiraj; Kumar, Sharad; Kume, Shinji; Kumsta, Caroline; Kundu, Chanakya N.; Kundu, Mondira; Kunnumakkara, Ajaikumar B.; Kurgan, Lukasz; Kutateladze, Tatiana G.; Kutlu, Ozlem; Kwak, SeongAe; Kwon, Ho Jeong; Kwon, Taeg Kyu; Kwon, Yong Tae; Kyrmizi, Irene; La Spada, Albert; Labonte, Patrick; Ladoire, Sylvain; Laface, Ilaria; Lafont, Frank; Lagace, Diane C.; Lahiri, Vikramjit; Lai, Zhibing; Laird, Angela S.; Lakkaraju, Aparna; Lamark, Trond; Lan, Sheng-Hui; Landajuela, Ane; Lane, Darius J. R.; Lane, Jon D.; Lang, Charles H.; Lange, Carsten; Langer, Rupert; Lapaquette, Pierre; Laporte, Jocelyn; LaRusso, Nicholas F.; Lastres-Becker, Isabel; Lau, Wilson Chun Yu; Laurie, Gordon W.; Lavandero, Sergio; Law, Betty Yuen Kwan; Law, Helen Ka-wai; Layfield, Rob; Le, Weidong; Le Stunff, Herve; Leary, Alexandre Y.; Lebrun, Jean-Jacques; Leck, Lionel Y. W.; Leduc-Gaudet, Jean-Philippe; Lee, Changwook; Lee, Chung-Pei; Lee, Da-Hye; Lee, Edward B.; Lee, Erinna F.; Lee, Gyun Min; Lee, He-Jin; Lee, Heung Kyu; Lee, Jae Man; Lee, Jason S.; Lee, Jin-A; Lee, Joo-Yong; Lee, Jun Hee; Lee, Michael; Lee, Min Goo; Lee, Min Jae; Lee, Myung-Shik; Lee, Sang Yoon; Lee, Seung-Jae; Lee, Stella Y.; Lee, Sung Bae; Lee, Won Hee; Lee, Ying-Ray; Lee, Yong-ho; Lee, Youngil; Lefebvre, Christophe; Legouis, Renaud; Lei, Yu L.; Lei, Yuchen; Leikin, Sergey; Leitinger, Gerd; Lemus, Leticia; Leng, Shuilong; Lenoir, Olivia; Lenz, Guido; Lenz, Heinz Josef; Lenzi, Paola; Leon, Yolanda; Leopoldino, Andreia M.; Leschczyk, Christoph; Leskela, Stina; Letellier, Elisabeth; Leung, Chi-Ting; Leung, Po Sing; Leventhal, Jeremy S.; Levine, Beth; Lewis, Patrick A.; Ley, Klaus; Li, Bin; Li, Da-Qiang; Li, Jianming; Li, Jing; Li, Jiong; Li, Ke; Li, Liwu; Li, Mei; Li, Min; Li, Min; Li, Ming; Li, Mingchuan; Li, Pin-Lan; Li, MingQing; Li, Qing; Li, Sheng; Li, Tiangang; Li, Wei; Li, Wenming; Li, Xue; Li, Yi-Ping; Li, Yuan; Li, Zhiqiang; Li, Zhiyong; Li, Zhiyuan; Lian, Jiqin; Liang, Chengyu; Liang, Qiangrong; Liang, Weicheng; Liang, Yongheng; Liang, YongTian; Liao, Guanghong; Liao, Lujian; Liao, Mingzhi; Liao, Yung-Feng; Librizzi, Mariangela; Lie, Pearl P. Y.; Lilly, Mary A.; Lim, Hyunjung J.; Lima, Thania R. R.; Limana, Federica; Lin, Chao; Lin, Chih-Wen; Lin, Dar-Shong; Lin, Fu-Cheng; Lin, Jiandie D.; Lin, Kurt M.; Lin, Kwang-Huei; Lin, Liang-Tzung; Lin, Pei-Hui; Lin, Qiong; Lin, Shaofeng; Lin, Su-Ju; Lin, Wenyu; Lin, Xueying; Lin, Yao-Xin; Lin, Yee-Shin; Linden, Rafael; Lindner, Paula; Ling, Shuo-Chien; Lingor, Paul; Linnemann, Amelia K.; Liou, YihCherng; Lipinski, Marta M.; Lipovsek, Saska; Lira, Vitor A.; Lisiak, Natalia; Liton, Paloma B.; Liu, Chao; Liu, Ching-Hsuan; Liu, Chun-Feng; Liu, Cui Hua; Liu, Fang; Liu, Hao; Liu, Hsiao-Sheng; Liu, Hua-feng; Liu, Huifang; Liu, Jia; Liu, Jing; Liu, Julia; Liu, Leyuan; Liu, Longhua; Liu, Meilian; Liu, Qin; Liu, Wei; Liu, Wende; Liu, Xiao-Hong; Liu, Xiaodong; Liu, Xingguo; Liu, Xu; Liu, Xuedong; Liu, Yanfen; Liu, Yang; Liu, Yang; Liu, Yueyang; Liu, Yule; Livingston, J. Andrew; Lizard, Gerard; Lizcano, Jose M.; Ljubojevic-Holzer, Senka; LLeonart, Matilde E.; Llobet-Navas, David; Llorente, Alicia; Lo, Chih Hung; Lobato-Marquez, Damian; Long, Qi; Long, Yun Chau; Loos, Ben; Loos, Julia A.; Lopez, Manuela G.; Lopez-Domenech, Guillermo; Lopez-Guerrero, Jose Antonio; Lopez-Jimenez, Ana T.; Lopez-Valero, Israel; Lorenowicz, Magdalena J.; Lorente, Mar; Lorincz, Peter; Lossi, Laura; Lotersztajn, Sophie; Lovat, Penny E.; Lovell, Jonathan F.; Lovy, Alenka; Lu, Guang; Lu, Haocheng; Lu, Jia-Hong; Lu, Jin-Jian; Lu, Mengji; Lu, Shuyan; Luciani, Alessandro; Lucocq, John M.; Ludovico, Paula; Luftig, Micah A.; Luhr, Morten; Luis-Ravelo, Diego; Lum, Julian J.; Luna-Dulcey, Liany; Lund, Anders H.; Lund, Viktor K.; Lunemann, Jan D.; Luningschror, Patrick; Luo, Honglin; Luo, Rongcan; Luo, Shouqing; Luo, Zhi; Luparello, Claudio; Luscher, Bernhard; Luu, Luan; Lyakhovich, Alex; Lyamzaev, Konstantin G.; Lystad, Alf Hakon; Lytvynchuk, Lyubomyr; Ma, Alvin C.; Ma, Changle; Ma, Mengxiao; Ma, Ning-Fang; Ma, Quan-Hong; Ma, Xinliang; Ma, Yueyun; Ma, Zhenyi; MacDougald, Ormond A.; Macian, Fernando; MacIntosh, Gustavo C.; MacKeigan, Jeffrey P.; Macleod, Kay F.; Maday, Sandra; Madeo, Frank; Madesh, Muniswamy; Madl, Tobias; Madrigal-Matute, Julio; Maeda, Akiko; Maejima, Yasuhiro; Magarinos, Marta; Mahavadi, Poornima; Maiani, Emiliano; Maiese, Kenneth; Maiti, Panchanan; Maiuri, Maria Chiara; Majello, Barbara; Major, Michael B.; Makareeva, Elena; Malik, Fayaz; Mallilankaraman, Karthik; Malorni, Walter; Maloyan, Alina; Mammadova, Najiba; Man, Gene Chi Wai; Manai, Federico; Mancias, Joseph D.; Mandelkow, Eva-Maria; Mandell, Michael A.; Manfredi, Angelo A.; Manjili, Masoud H.; Manjithaya, Ravi; Manque, Patricio; Manshian, Bella B.; Manzano, Raquel; Manzoni, Claudia; Mao, Kai; Marchese, Cinzia; Marchetti, Sandrine; Marconi, Anna Maria; Marcucci, Fabrizio; Mardente, Stefania; Mareninova, Olga A.; Margeta, Marta; Mari, Muriel; Marinelli, Sara; Marinelli, Oliviero; Marino, Guillermo; Mariotto, Sofia; Marshall, Richard S.; Marten, Mark R.; Martens, Sascha; Martin, Alexandre P. J.; Martin, Katie R.; Martin, Sara; Martin, Shaun; Martin-Segura, Adrian; Martin-Acebes, Miguel A.; Martin-Burriel, Inmaculada; Martin-Rincon, Marcos; Martin-Sanz, Paloma; Martina, Jose A.; Martinet, Wim; Martinez, Aitor; Martinez, Ana; Martinez, Jennifer; Martinez Velazquez, Moises; Martinez-Lopez, Nuria; Martinez-Vicente, Marta; Martins, Daniel O.; Lange, Ulo; Lopez-Perez, Oscar; Martins, Joilson O.; Martins, Waleska K.; Martins-Marques, Tania; Marzetti, Emanuele; Masaldan, Shashank; Masclaux-Daubresse, Celine; Mashek, Douglas G.; Massa, Valentina; Massieu, Lourdes; Masson, Glenn R.; Masuelli, Laura; Masyuk, Anatoliy, I; Masyuk, Tetyana, V; Matarrese, Paola; Matheu, Ander; Matoba, Satoaki; Matsuzaki, Sachiko; Mattar, Pamela; Matte, Alessandro; Mattoscio, Domenico; Mauriz, Jose L.; Mauthe, Mario; Mauvezin, Caroline; Maverakis, Emanual; Maycotte, Paola; Mayer, Johanna; Mazzoccoli, Gianluigi; Mazzoni, Cristina; Mazzulli, Joseph R.; McCarty, Nami; McDonald, Christine; McGill, Mitchell R.; McKenna, Sharon L.; McLaughlin, BethAnn; McLoughlin, Fionn; McNiven, Mark A.; McWilliams, Thomas G.; Mechta-Grigoriou, Fatima; Medeiros, Tania Catarina; Medina, Diego L.; Megeney, Lynn A.; Megyeri, Klara; Mehrpour, Maryam; Mehta, Jawahar L.; Meijer, Alfred J.; Meijer, Annemarie H.; Mejlvang, Jakob; Melendez, Alicia; Melk, Annette; Memisoglu, Gonen; Mendes, Alexandrina F.; Meng, Delong; Meng, Fei; Meng, Tian; Menna-Barreto, Rubem; Menon, Manoj B.; Mercer, Carol; Mercier, Anne E.; Mergny, Jean-Louis; Merighi, Adalberto; Merkley, Seth D.; Merla, Giuseppe; Meske, Volker; Mestre, Ana Cecilia; Metur, Shree Padma; Meyer, Christian; Meyer, Hemmo; Mi, Wenyi; Mialet-Perez, Jeanne; Miao, Junying; Micale, Lucia; Miki, Yasuo; Milan, Enrico; Milczarek, Malgorzata; Miller, Dana L.; Miller, Samuel, I; Miller, Silke; Millward, Steven W.; Milosevic, Ira; Minina, Elena A.; Mirzaei, Hamed; Mirzaei, Hamid Reza; Mirzaei, Mehdi; Mishra, Amit; Mishra, Nandita; Mishra, Paras Kumar; Marjanovic, Maja Misirkic; Misasi, Roberta; Misra, Amit; Misso, Gabriella; Mitchell, Claire; Mitou, Geraldine; Miura, Tetsuji; Miyamoto, Shigeki; Miyazaki, Makoto; Miyazaki, Mitsunori; Miyazaki, Taiga; Miyazawa, Keisuke; Mizushima, Noboru; Mogensen, Trine H.; Mograbi, Baharia; Mohammadinejad, Reza; Mohamud, Yasir; Mohanty, Abhishek; Mohapatra, Sipra; Mohlmann, Torsten; Mohmmed, Asif; Moles, Anna; Moley, Kelle H.; Molinari, Maurizio; Mollace, Vincenzo; Muller, Andreas Buch; Mollereau, Bertrand; Mollinedo, Faustino; Montagna, Costanza; Monteiro, Mervyn J.; Montella, Andrea; Montes, L. Ruth; Montico, Barbara; Mony, Vinod K.; Compagnoni, Giacomo Monzio; Moore, Michael N.; Moosavi, Mohammad A.; Mora, Ana L.; Mora, Marina; Morales-Alamo, David; Moratalla, Rosario; Moreira, Paula, I; Morelli, Elena; Moreno, Sandra; Moreno-Blas, Daniel; Moresi, Viviana; Morga, Benjamin; Morgan, Alwena H.; Morin, Fabrice; Morishita, Hideaki; Moritz, Orson L.; Moriyama, Mariko; Moriyasu, Yuji; Morleo, Manuela; Morselli, Eugenia; Moruno-Manchon, Jose F.; Moscat, Jorge; Mostowy, Serge; Motori, Elisa; Moura, Andrea Felinto; Moustaid-Moussa, Naima; Mrakovcic, Maria; MucinoHernandez, Gabriel; Mukherjee, Anupam; Mukhopadhyay, Subhadip; Levy, Jean M. Mulcahy; Mulero, Victoriano; Muller, Sylviane; Munch, Christian; Munjal, Ashok; Munoz-Canoves, Pura; Munoz-Galdeano, Teresa; Munz, Christian; Murakawa, Tomokazu; Muratori, Claudia; Murphy, Brona M.; Murphy, J. Patrick; Murthy, Aditya; Myohanen, Timo T.; Mysorekar, Indira U.; Mytych, Jennifer; Nabavi, Seyed Mohammad; Nabissi, Massimo; Nagy, Peter; Nah, Jihoon; Nahimana, Aimable; Nakagawa, Ichiro; Nakamura, Ken; Nakatogawa, Hitoshi; Nandi, Shyam S.; Nanjundan, Meera; Nanni, Monica; Napolitano, Gennaro; Nardacci, Roberta; Narita, Masashi; Nassif, Melissa; Nathan, Ilana; Natsumeda, Manabu; Naude, Ryno J.; Naumann, Christin; Naveiras, Olaia; Navid, Fatemeh; Nawrocki, Steffan T.; Nazarko, Taras Y.; Nazio, Francesca; Negoita, Florentina; Neill, Thomas; Neisch, Amanda L.; Neri, Luca M.; Netea, Mihai G.; Neubert, Patrick; Neufeld, Thomas P.; Neumann, Dietbert; Neutzner, Albert; Newton, Phillip T.; Ney, Paul A.; Nezis, Ioannis P.; Ng, Charlene C. W.; Ng, Tzi Bun; Nguyen, Hang T. T.; Nguyen, Long T.; Ni, Hong-Min; Cheallaigh, Cliona Ni; Ni, Zhenhong; Nicolao, M. Celeste; Nicoli, Francesco; Nieto-Diaz, Manuel; Nilsson, Per; Ning, Shunbin; Niranjan, Rituraj; Nishimune, Hiroshi; Niso-Santano, Mireia; Nixon, Ralph A.; Nobili, Annalisa; Nobrega, Clevio; Noda, Takeshi; Nogueira-Recalde, Uxia; Nolan, Trevor M.; Nombela, Ivan; Novak, Ivana; Novoa, Beatriz; Nozawa, Takashi; Nukina, Nobuyuki; ;(data truncated to fit)</t>
  </si>
  <si>
    <t>Guidelines for the use and interpretation of assays for monitoring autophagy (4th edition)</t>
  </si>
  <si>
    <t>AUTOPHAGY</t>
  </si>
  <si>
    <t>In 2008, we published the first set of guidelines for standardizing research in autophagy. Since then, this topic has received increasing attention, and many scientists have entered the field. Our knowledge base and relevant new technologies have also been expanding. Thus, it is important to formulate on a regular basis updated guidelines for monitoring autophagy in different organisms. Despite numerous reviews, there continues to be confusion regarding acceptable methods to evaluate autophagy, especially in multicellular eukaryotes. Here, we present a set of guidelines for investigators to select and interpret methods to examine autophagy and related processes, and for reviewers to provide realistic and reasonable critiques of reports that are focused on these processes. These guidelines are not meant to be a dogmatic set of rules, because the appropriateness of any assay largely depends on the question being asked and the system being used. Moreover, no individual assay is perfect for every situation, calling for the use of multiple techniques to properly monitor autophagy in each experimental setting. Finally, several core components of the autophagy machinery have been implicated in distinct autophagic processes (canonical and noncanonical autophagy), implying that genetic approaches to block autophagy should rely on targeting two or more autophagy-related genes that ideally participate in distinct steps of the pathway. Along similar lines, because multiple proteins involved in autophagy also regulate other cellular pathways including apoptosis, not all of them can be used as a specific marker for bona fide autophagic responses. Here, we critically discuss current methods of assessing autophagy and the information they can, or cannot, provide. Our ultimate goal is to encourage intellectual and technical innovation in the field.</t>
  </si>
  <si>
    <t xml:space="preserve">Manshian, Bella/AAJ-8665-2020; Lu, Guang/AEN-3197-2022; Romero, Luis/B-7138-2012; wang, sijia/IYJ-0510-2023; Chu, Charleen/B-1601-2008; Malik, Fayaz/AGP-7768-2022; Solovchenko, Alexei/B-5996-2009; Pestell, Richard/JQW-3484-2023; 张, 迎东/HJA-4776-2022; Elsherbiny, Eslam/AFQ-5353-2022; Tse, Hung-Fat/C-4426-2009; Cui, Xu/B-2757-2009; Wodrich, Harald/P-1777-2019; Wang, Liming/M-7381-2019; Bel, Shai/AAH-7870-2021; Yang, Ling/C-8000-2011; Pei, Gang/U-4740-2017; Zhang, Jiewen/GSE-5744-2022; 林, 少锋/JED-4105-2023; Yuan, Zengqiang/G-5245-2017; Lingor, Paul/A-5394-2008; SHEN, Han-Ming/B-5942-2011; Malorni, Walter/G-5874-2016; Mehta, jl/AAB-8832-2019; Amaral, Cristina/K-5850-2013; Sanz, Alberto/O-2329-2015; McGill, Mitchell/AFL-8840-2022; qi, li/JFE-7167-2023; Campesi, Ilaria/AFE-4953-2022; Mirzaei-Alavijeh, Mehdi/S-2232-2019; Rudolf, Emil/B-5956-2017; Wong, Richard/E-9155-2011; Plaza-Zabala, Ainhoa/IWE-4955-2023; Bhaskar, Kiran/AAF-2755-2020; Giuriato, Sylvie/A-9113-2010; Guerra, Flora/D-1755-2014; Cecarini, Valentina/AAU-9749-2021; Liu, Xuedong/IVV-8465-2023; yang, qian/HTS-5357-2023; Mohamud, Yasir/LYO-6716-2024; Romero, Emilio/AAD-3669-2020; Ishimwe, Nestor/AAO-5061-2020; russo, maria/E-8585-2011; Mauvezin, Caroline/B-5803-2016; Skirycz, Aleksandra/AAM-7911-2021; Hong, Yi-Ren/D-5514-2009; yang, xiao/HJI-7815-2023; Engelsen, Agnete Svendsen Tenfjord/AAB-6652-2020; SINGH, RAJAT/JPK-6888-2023; Segura-Aguilar, Juan/H-8839-2013; Lei, Yu/ABF-1293-2020; Gao, Minghui/G-4032-2014; Baldari, Carlo/N-6756-2014; yang, huaxia/AAP-7126-2020; Suzuki, Hidekazu/AAO-6330-2020; Nguyen, Long/AAH-2433-2021; Matte, Alessandro/AAB-3496-2022; Garcera, Ana/J-5894-2017; Wegrzyn, Grzegorz/AAL-1179-2020; Gonzalez-Gallego, Javier/D-8219-2012; Herreros, Judit/B-5809-2009; Feng, Yuchen/AAV-6419-2021; Cortese, Katia/AEO-1602-2022; HSU, HSIN-YUN/AAG-1923-2020; Apostolova, Nadezda/K-5930-2017; Yang, Jinming/ABA-6276-2021; Zhu, Hongxin/HCI-9872-2022; Zhang, Hong-Tao/P-9661-2017; Peng, Di/KHZ-1099-2024; Lo, Chih Hung/M-7720-2019; Gerhardt, Christoph/AAO-4596-2020; El-Naggar, Shahenda/Y-9778-2019; Bravo-Sagua, Roberto/AAG-1245-2019; Liu, Yueyang/JMQ-9249-2023; Santana, Magda/P-4244-2017; González-Rodríguez, Patricia/AAA-1492-2022; Engelbrecht, Anna-Mart/B-5846-2011; Costantino, Sarah/ABD-7708-2020; COMINCINI, SERGIO/AAC-9164-2019; Tampellini, Davide/ACO-0517-2022; Apetoh, Lionel/AIC-2384-2022; Hu, Li-Fang/S-3153-2019; Ley, Klaus/LTE-4278-2024; Yuan, Ling-Qing/HZL-9093-2023; Barreto, George E./LQJ-8882-2024; Chaube, Shail K/O-3558-2019; Cheallaigh, Cliona/C-5482-2017; Balduini, Walter/AAE-7130-2020; Cavadas, Claudia/A-8722-2019; Scrivo, Aurora/ABA-4113-2021; Yang, Zheyu/GRR-2329-2022; Judith, Delphine/X-2924-2019; dewson, grant/C-7646-2013; Di Cristina, Manlio/GNP-6995-2022; Pinar, Mario/G-7408-2015; zhang, bin/HGB-4369-2022; Pereira, Lilian/AAF-8738-2021; Bhatia, Ingrid/H-7016-2016; Gomez-Sintes, Raquel/S-6618-2019; LEE, JIEUN/HTN-1777-2023; Braus, Gerhard/G-3999-2012; Hasegawa, Takafumi/I-6668-2017; Gupta, Vivek Kumar/AAB-8940-2022; López Pérez, Óscar/HTQ-8835-2023; Issazadeh-Navikas, Shohreh/AAI-7900-2021; Stork, Björn/C-2160-2011; Tan, Ya-Qin/W-2428-2018; Moruno-Manchon, Jose Felix/AAC-5958-2022; Pulinilkunnil, Thomas/H-4387-2019; zhou, zhou/HPE-9525-2023; Cristofani, Riccardo/P-1245-2014; Descoteaux, Albert/ABE-6326-2021; Reichert, Andreas/A-4090-2012; Hoppe, Thorsten/AAC-7880-2020; Sgarbi, Gianluca/AAD-8061-2021; scatozza, francesca/HSB-4694-2023; Velasco, Guillermo/AAU-9189-2020; BALLABIO, Andrea/AAL-2672-2020; Papp, Diana/K-3921-2015; Yu, Hao/GYD-8698-2022; Tegeder, Irmgard/AAM-2266-2020; LLeonart, Matilde/Q-2662-2019; lu, yuting/IIS-2826-2023; Zhang, Lin/A-7389-2009; Lee, Myung/C-9606-2011; Abudu, Yakubu/AAN-1792-2020; Sahin, Mustafa/I-8653-2019; Díaz, Manuel/ABD-7144-2020; Cybulsky, Andrey/AAG-8238-2020; Cassioli, Chiara/ITU-8621-2023; , Dal Col Jessica/AAC-4852-2020; Chiang, Alan/L-8849-2018; Nakatogawa, Hitoshi/D-5155-2015; consiglio, antonella/AAA-5864-2019; Ribeiro de Andrade Ramos, Bruna/P-6448-2015; marconi, anna/O-2580-2017; Marchese, Cinzia/J-1323-2018; Pöggeler, Stefanie/AAI-5178-2020; Chan, Matthew/J-2884-2013; Plantinga, Theo/A-6895-2015; Chan, Edmond/A-1940-2013; PURI, RAJAT/H-6369-2019; Ferrari, Merari/N-1210-2019; Ishikawa, Makoto/IWE-2329-2023; Lu, Jinjian/X-2083-2019; Chen, Mingliang/AGH-3195-2022; Ojha, Rani/ABF-9507-2020; Viscomi, Maria Teresa/AAB-9412-2022; Escalante, Ricardo/G-8272-2015; McLaughlin, BethAnn/D-9580-2012; Chen, Chien-Chin/A-9977-2016; Cookson, Mark/AAW-2516-2021; Johnson, Gail/K-4723-2012; Irazoqui, Javier/A-8028-2013; Samali, Afshin/A-9571-2008; Krasnodembskaya, Anna/I-1225-2019; zhang, zhiyang/HJA-5751-2022; Verstreken, Patrik/AAC-7591-2022; Cervia, Davide/A-8782-2010; Rodrigues, Cecilia/M-3572-2013; Falkenburger, Bjoern/AFK-3161-2022; Chung, Kin Pan/IYS-1306-2023; Murphy, Brona/P-2544-2019; Wehman, Ann/J-7860-2019; Caraglia, Michele/AFY-9729-2022; Lahiri, Vikramjit/GMZ-9419-2022; Hofman, Paul/P-7654-2018; Anguo, Wu/GRF-4136-2022; Zhang, Xiaoyan/AAU-4416-2020; ORELLANA-MUNOZ, SARA/GQI-2825-2022; Almacellas, Eugenia/KBC-2224-2024; Andrabi, Shaida/I-6167-2012; Yang, Shun-Fa/AAN-1519-2020; Jacquin, Elise/GPX-1868-2022; Sendtner, Michael/J-1542-2012; Simons, Matias/I-2038-2017; laporte, jocelyn/O-4888-2019; Naidu, Sharadha/AAQ-1491-2020; Jacomin, Anne-Claire/K-1009-2019; Pietruczuk, Miroslawa/S-9761-2016; Ganapasam, Sudhandiran/AAD-4264-2021; Yoshii, Saori/M-6170-2016; Weicheng, Liang/JQJ-6774-2023; Sun, Guangchao/AAS-3333-2020; Wu, Jianping/H-9150-2012; Periyasamy, Palsamy/H-5568-2012; Lapaquette, Pierre/AAF-5537-2020; Papaleo, Elena/M-6629-2014; Jaeschke, Hartmut/J-6285-2013; Herman-Antosiewicz, Anna/AFL-3545-2022; Philips, Jennifer/AFT-2370-2022; Rost-Roszkowska, Magdalena/AAM-7005-2020; dasari, santosh/V-3867-2019; Moustaid-Moussa, Naima/B-9067-2014; Korhonen, Laura/AAW-3256-2020; Oliveira, Jorge/D-4787-2013; Rodríguez, Clara/E-5402-2012; SHARMA, KULBHUSHAN/AAD-7713-2019; Zerovnik, Eva/AAB-6498-2022; Wang, Mengmeng/ABG-8454-2021; Sadhu, Abhishek/GQP-3457-2022; Mingyang, Zhang/J-7412-2019; GANAPASAM, SUDHANDIRAN/AAG-9967-2019; Rizzuto, Rosario/B-6312-2008; Witkin, Steven/AAW-8602-2021; Hafren, Anders/HPD-7827-2023; Bei, Roberto/W-8023-2019; Manai, Federico/ABF-5272-2021; Stoka, Veronika/AAM-2283-2021; Alberti, Simon/ABB-8277-2021; Al-Abd, Ahmed/J-2826-2012; Fliesler, Steven/AAE-9243-2020; Arguelles, Sandro/Y-6343-2019; Martins-Marques, Tania/AAJ-6686-2020; Goginashvili, Alexander/HGB-5860-2022; Aveleira, Célia/AAI-2455-2021; Sok, Sophia/AAA-6067-2021; Llobet-Navas, David/B-5660-2009; Novak, Ivana/D-4852-2017; Sanchez-Prieto, Ricardo/B-6877-2008; Lőrincz, Péter/E-3204-2018; Alzaharna, Mazen/ABG-8279-2021; Manchon, Jose/AAD-2849-2022; Shao, Feng/JXN-7575-2024; Maiani, Emiliano/AAW-1871-2021; Miyazaki, Mitsunori/AAM-8598-2021; Moreno-Blas, Daniel/AAQ-6291-2021; Makareeva, Elena/F-5183-2011; Wandosell, Francisco/AAV-6391-2020; Ao, Zhou/AAO-6943-2021; KUMAR, AJAY/ABC-6109-2021; Rodrigues, Tiago/P-6874-2019; Abdel-Aziz, Amal/AAA-1360-2021; Emre, Tolga/A-1787-2016; Nieto-Diaz, Manuel/R-5163-2017; kim, jin-hoi/HDN-0829-2022; Taylor, J./N-2482-2018; Kimura, Tomonori/JSL-2237-2023; Jungbluth, Heinz/B-8893-2012; Johnston, Simon/G-4515-2010; Gruber, Florian/KBD-4719-2024; Batoko, Henri/Y-4238-2019; Lenzi, paola/K-4547-2016; Tumtas, Yasin/MIT-1283-2025; Chen, Zi-Jiang/GOE-6119-2022; Mattoscio, Domenico/K-1411-2018; Ryabaya, Oxana/G-1529-2017; Kanneganti, Thirumala-Devi/M-9435-2018; Chen, Guangchao/M-6638-2013; Yang, Chuanbin/AAS-7324-2020; Hetz, Claudio/ABD-7514-2021; Donadelli, Massimo/AAC-2003-2022; Cohen, Mickael/F-4122-2011; De Nunzio, Cosimo/AAJ-1692-2021; Pennuto, Maria.Pennuto/E-3270-2019; Lavandero, Sergio/B-6001-2013; Yao, Shenggen/ABH-9989-2020; De Palma, Clara/M-9842-2019; Vannier-Santos, Marcos/AAG-5053-2021; Di Fazio, Pietro/AAU-4575-2020; Micale, Lucia/K-3909-2016; Junjia, Cui/R-5919-2019; Mayer, Johanna/JLM-1437-2023; Pampaloni, Francesco/B-1110-2011; Osiewacz, Heinz/D-3454-2011; Teixeira-Clerc, Fatima/C-9884-2009; Tai, Haoran/S-2807-2018; Vierstra, Richard/ACU-3583-2022; Rodrigues, Teresa/O-7862-2017; Nazio, Francesca/K-5272-2014; Cerqueira, Joao/B-4579-2008; LE STUNFF, Hervé/AAA-6882-2019; Chen, Yu/KWU-0062-2024; Gupta, Vivek/IUN-2175-2023; Verma, Manish/JFJ-1465-2023; li, xiaomin/KCX-9845-2024; Dash, Sandip/ABC-3125-2020; chakrabarti, Oishee/IYS-1337-2023; Herpin, Amaury/B-8950-2011; Giulivi, Cecilia/AAV-6774-2021; Zheng, Guoping/AAF-2332-2019; Yanagi, Yasuo/AAA-5441-2022; Lee, Jeonghwan/C-5214-2011; Canonico, Barbara/AEP-0756-2022; Miyamoto, Shigeki/L-4004-2019; Nardacci, Roberta/K-6555-2016; Gao, Shou-Jiang/B-8641-2012; Wang, Yanzhuang/AAE-5299-2019; Guerri, Consuelo/B-5181-2014; Wang, Lijuan/L-1760-2019; Hübner, Christian/A-2950-2017; Boya, Patricia/P-8345-2019; Dong, Zhiwu/K-8442-2014; Garcia Macia, Marina/AAY-4728-2021; Gan, Boyi/AFD-5892-2022; Leduc-Gaudet, Jean-philippe/AAR-2580-2021; Jolly, Mohit/A-1826-2014; Gotor, Cecilia/B-7173-2012; Joosten, Leo/H-3138-2015; Thomas, Sufi/O-1487-2018; Ghavami, Saeid/Q-8918-2016; Kunnumakkara, Ajaikumar/AAH-5214-2019; Gräler, Markus/ABH-1905-2021; Heussler, Volker/H-9322-2019; Zhou, Hong/AAE-8554-2019; Tsugawa, Hitoshi/V-9589-2019; dong, zhiwu/M-5150-2019; ROUÉ, GAËL/D-4759-2014; Muñoz España, Elena/AAG-6184-2021; Uribe-Carretero, Elisabet/AAT-5836-2021; Hayrabedyan, Soren/M-7527-2013; li, jing/KHY-5337-2024; Rojo, Ana/AAA-5203-2019; Genschik, Pascal/IUP-6297-2023; He, Pengcheng/GYJ-6459-2022; Liu, Kehan/HNR-8833-2023; Ondrej, Martin/ABG-5074-2020; Meijer, Annemarie/W-3726-2019; Fingert, John/F-8787-2012; Cairó, Montse/AAF-8039-2021; Vasconcelos, M./J-9547-2013; Jabir, Majid/J-9683-2019; Juhasz, Gabor/G-5622-2013; Poeggeler, Stefanie/KDO-2254-2024; Walter, Jochen/B-3677-2014; Neri, Luca/AAU-1772-2021; Zhang, Danyang/CAI-2223-2022; García-Escudero, Vega/AAA-9142-2019; Ieni, Antonio/AAC-7265-2019; Menon, Manoj/P-1543-2015; Schneider, Anja/F-5293-2010; sun, mengxiang/KGM-8445-2024; Petrovski, Goran/A-8983-2012; Piacentini, Mauro/I-2411-2016; xu, jia/GSD-6347-2022; Shah, Javeed/J-2716-2019; Sun, Jun/B-1971-2008; Dobrovinskaya, Oxana/A-8510-2018; Maiese, Kenneth/A-7155-2009; Maverakis, Emanual/JWP-9408-2024; Chen, Yongqiang/ABF-6081-2021; Imagawa, Yusuke/R-1030-2019; Dionne, Marc/J-2572-2013; FORNAI, FRANCESCO/AAA-5312-2019; Diaz-Laviada, Ines/I-2838-2015; Jin, Hongchuan/C-3686-2009; Tomaipitinca, Luana/AAC-2165-2019; Tong, Chao/IST-3109-2023; García-del Portillo, Francisco/D-2576-2009; Wang, Wentao/HJH-3949-2023; Wang, Qianghu/HJI-9741-2023; Chiong, Mario/I-1043-2013; Chai, Chee-Yin/D-5523-2009; Williams, Brett/AAJ-2685-2020; Chen, Chang-Shi/B-9251-2009; Su, Huanxing/X-3980-2019; Raimundo, Nuno/AAD-9498-2020; Becker, Christoph/L-2996-2016; Berezowska, Sabina/AAJ-4557-2021; Khandia, Rekha/ACF-1985-2022; Liu, Yang/GSD-5476-2022; Visnjic, Dora/JZT-2058-2024; Nah, Jihoon/ABB-4363-2021; ROZIERES, Aurore/M-4447-2014; Takats, Szabolcs/J-2293-2018; Takahashi, Yoshinori/ACJ-7295-2022; Imai, Yuzuru/AAA-6472-2019; Park, Ji-Man/O-9279-2019; Qi, Xiaopeng/D-2856-2012; Linden, Rafael/E-6950-2011; Nixon, Ralph/JOZ-2957-2023; Aliwaini, Saeb/AAI-2426-2020; MONTAGNA, COSTANZA/AAA-8742-2019; Lin, Shaofeng/GWV-6464-2022; Quarleri, Jorge/AFR-0308-2022; Eisenberg, Tobias/AAV-7806-2021; DeBosch, Brian/AAC-7257-2021; BERLIOZ-TORRENT, clarisse/F-2570-2013; Chiocca, Susanna/AAC-8863-2019; wiktorska, katarzyna/AAG-4747-2019; Arimoto, Hirokazu/E-9414-2010; Al-Bari, Abdul Alim/AAT-4301-2020; wang, hexiang/KQV-4737-2024; lizcano, jose/AAK-3577-2020; Wang, Chenran/IYK-0005-2023; Bejarano, Eloy/AAJ-4708-2021; Span, Paul/G-4710-2012; Amira, Zarrouk/AFN-1200-2022; Schmidt, Stephen/B-5398-2012; Sharbati, Soroush/D-2548-2014; Ling, Shuo-Chien/C-8619-2016; Wang, Xuejun/AAT-9490-2021; Roussel, Benoit/L-9520-2018; Menna-Barreto, Rubem/O-7325-2019; Araki, Toshiyuki/H-4289-2019; Geiss-Friedlander, Ruth/AAT-8768-2020; Pinton, Paolo/J-8025-2012; chen, shi/KQU-9216-2024; MacDougald, Ormond/HTL-2168-2023; Koya, Daisuke/J-3257-2014; Park, SangChul/CAF-6192-2022; Braun, Ralf/B-9123-2008; Jantsch, Jonathan/KEE-9741-2024; Gentle, Ian/X-2888-2019; Wang, Yong-Qiang/AAG-9444-2020; Li, Ke-Xin/AAG-5874-2021; Munoz, Elena/JGC-8936-2023; Ogawa, Michinaga/JOK-6605-2023; Facchiano, Antonio/J-4744-2012; D'Adamo, Stefania/AAB-7723-2019; Picca, Anna/K-2305-2018; Garcera, Ana/AAF-7737-2020; Green, Douglas/N-8083-2018; Banerjee, Sreeparna/AAZ-6742-2020; Lyakhovich, Alex/B-4410-2008; Ivanova, Saska/AAJ-1283-2021; Chen, Ning/AAM-9513-2021; Oku, Masahide/AAW-4752-2021; Staiano, Leopoldo/JAX-3057-2023; Chan, Hung/MTC-2382-2025; Chen, Ye-Guang/L-6998-2019; Talwar, Priti/AAA-1126-2021; Csizmadia, Tamas/J-8924-2018; Cui, Bing/F-3599-2018; Galluzzi, Lorenzo/AAH-3286-2021; Wang, Lan/JGM-3426-2023; Wu, Junfang/AAN-9409-2020; zhu, binglin/AGE-0330-2022; Huang, Kun/H-4427-2012; Li, Qing/B-3422-2009; Roth, Steven/IYS-2940-2023; Borthakur, Gautam/AAQ-4490-2021; Zhang, Zhiyong/HJI-4999-2023; Caniggia, Isabella/G-6466-2013; De Bosscher, Karolien/HKW-0710-2023; Schröder, Bernd/KFB-6501-2024; casas, caty/E-2149-2011; Li, Min/B-1281-2011; Zorov, Dmitry/AAB-1738-2019; di Bernardo, Diego/AAF-5881-2021; Sachse, Carsten/AAY-9384-2020; Martens, Sascha/C-3693-2011; Brand-Saberi, Beate/GVT-9451-2022; Sinha, Rohit/GXV-2427-2022; Mauriz, Jose/G-9970-2014; SUN, YI/JBS-2950-2023; Amer, Amal/E-2643-2011; Reipert, Siegfried/A-4406-2014; Backues, Steven/LKJ-4793-2024; Faesen, Alex/GXA-1482-2022; Fukuda, MItsunori/I-1511-2015; Thomas, Sufi/AFR-1642-2022; Tyutereva, Elena/AAU-8779-2021; Zhang, Zengqiang/J-3167-2014; Dinkova-Kostova, Albena/AEB-8168-2022; Jiang, Richeng/GPC-4901-2022; Jacobo-Herrera, Nadia/AGG-8009-2022; Wang, Han/A-9774-2008; Fisher, Edward/ABE-7469-2020; Kimmelman, Alec/AEB-6894-2022; Yan, Shengmin/W-4643-2017; Agrotis, Alexander/AAW-8562-2021; Gomes, Luciana/M-3056-2014; Cheon, Gi/AAA-5702-2020; Schaible, Ulrich/C-7837-2011; Meyer, Hemmo/GNH-5784-2022; Moreno, Sandra/D-4254-2014; Rubtsova, Maria/E-2644-2012; Bourgeois, Benjamin/U-2482-2019; Masuelli, Laura/AGW-4259-2022; Jiang, Teng/JPA-0287-2023; Zhuang, Xiaohong/ISV-3812-2023; Ruano, Diego/IQU-0145-2023; de Almeida, Luis/A-4605-2009; Muñoz-Cánoves, Purificacion/JTV-5568-2023; zhang, yueqi/JXM-4287-2024; Kazemi Noureini, Sakineh/AAD-4340-2020; Sebastián, David/ABH-1574-2020; Garg, Abhishek/D-5230-2012; Hussain, Sabah/ABC-5315-2021; Inman, Denise/AAA-8074-2019; Bello-Morales, Raquel/AHD-5028-2022; Grinstaff, Mark/U-2829-2017; Brown, Nicole/HOF-9859-2023; Juárez, Esmeralda/GQP-7703-2022; Petersen, Morten/J-5023-2014; Humbert, Magali/KFB-4325-2024; Tang, Dingzhong/AAZ-2500-2020; Zhang, Zhengguang/F-3917-2014; Nukina, Nobuyuki/GPP-6265-2022; Martín-Segura, Adrián/HNR-8310-2023; Yang, Yuqi/HPE-2700-2023; Moosavi, Mohammad/AAK-3240-2020; Maejima, Yasuhiro/AAG-5580-2020; An, Zhenyi/H-9061-2016; Buitrago-Molina, Laura/IZD-8587-2023; Bracone, Francesca/ABF-6072-2020; Wu, Jianping/JJD-0118-2023; Biden, Trevor/JAC-5508-2023; Ceperuelo-Mallafré, Victòria/A-4615-2017; Bao, Yan/AAQ-3173-2020; Kukar, Thomas/AAW-2612-2021; Cheung, Chun Hei Antonio/D-4588-2009; Shutt, Tim/U-9047-2019; Guardia, Carlos/IUQ-0502-2023; Hernandez-Gea, Virginia/E-9485-2017; Diallinas, George/AAE-8457-2019; Wang, Jigang/K-9584-2014; Mukherjee, Anupam/ABB-9438-2020; Lin, Kurt/E-3975-2010; Bairagi, Nandadulal/S-4557-2016; Barilà, Daniela/K-8506-2016; Barrera, Miguel/G-8790-2015; Lu, Jia/HHY-9195-2022; Koch, Ina/D-8899-2011; Baptista, Mauricio/A-5140-2008; Czuczwar, Stanislaw/HDN-8352-2022; Nguyen, Hang/P-4850-2016; Hobbs, Aaron/JUV-2716-2023; Vilar, Marçal/B-4581-2016; Greenhough, Alexander/Y-6728-2019; Perez, Maria/P-5892-2014; Agrewala, Javed/AAS-8449-2021; Ortiz-Gonzalez, Xilma/AAD-2211-2021; Villalobo, Antonio/K-2902-2017; Meyer, Christian/AAE-8120-2020; Pocock, Roger/AAQ-8526-2020; Trelford, Charles/GWZ-7510-2022; Culetto, Emmanuel/AFQ-8565-2022; Prencipe, Rosaria/AAJ-7535-2020; Zoladek, Teresa/O-3884-2018; Castro-Obregon, Susana/JAC-9372-2023; Martin-Acebes, Miguel/L-2258-2014; Garcia-Garcia, Aracely/ABC-8905-2021; Engedal, Nikolai/AAJ-8951-2020; De Virgilio, Claudio/B-4707-2012; Vomero, Marta/AAC-6074-2022; Mitroulis, Ioannis/AAB-7915-2021; Li, Yi-Ping/ABF-9245-2020; Prajsnar, Tomasz/HTP-5276-2023; Adamopoulos, Iannis/AAE-5624-2022; yu, xiaolin/GQI-0501-2022; Bruno, Daniele/AAM-7098-2020; Colasuonno, Fiorella/AAO-3982-2021; Nylandsted, Jesper/ABE-7192-2021; wu, shengzhou/ABG-8579-2021; Dai, Yuyuan/D-6485-2016; Li, Fan/GRX-7461-2022; Nilsson, Per/AAP-4057-2020; Kim, Sung Woo/AFQ-7580-2022; Ogier-Denis, Eric/E-5030-2016; Lopez-Guerrero, Jose Antonio/Z-2413-2019; Plotnikov, Egor/F-8592-2019; Zanivan, Sara/GOV-5505-2022; De Santi, Mauro/F-5401-2013; Li, Zhiqiang/O-6657-2018; Chagin, Andrei/F-4080-2014; Otegui, Marisa/IYT-3280-2023; Natsumeda, Manabu/Z-2072-2019; Trougakos, Ioannis/R-6149-2018; CAVALLINI, GABRIELLA/LZF-2001-2025; Moresi, Viviana/N-7977-2013; Xiao, Lan/JGD-0799-2023; Moreira, Pedro/U-2581-2019; Zhou, Zhengyu/JKI-0668-2023; Bucci, Cecilia/F-6699-2012; de Pablos, Montserrat/AAK-3167-2021; Romani, Luigina/O-9987-2018; Jin, Liwen/G-1139-2014; Tang, Daolin/B-2905-2010; Yang, Pei-Ming/G-3763-2014; Marzetti, Emanuele/A-9430-2010; Vessoni, Alexandre/L-5754-2013; Bartolome, Alberto/AAV-1735-2020; Yu, Ming-Lung/AAZ-4306-2020; Gatica, Damian/MCJ-5216-2025; Scovassi, Anna/F-2458-2010; Khobrekar, Noopur/KMX-0698-2024; Kumar, Deepak/KIG-3624-2024; Fang, Yanshan/B-7217-2011; Yuan, Shilin/JVO-3456-2024; Cohen, Ehud/B-1868-2014; Garcia-Sanz, Patricia/H-9814-2015; Torriglia, Alicia/Q-3509-2019; Dharmasivam, Mahendiran/I-7689-2018; Passos, Joao/LTF-6572-2024; Rocchi, Stephane/O-4152-2016; Kaynar, Ata/ABI-6877-2020; Yakhine-Diop, Sokhna/Y-8620-2019; Cheung, Ho/B-3424-2011; Dikic, Ivan/O-4650-2015; Grumati, Paolo/AAA-5787-2019; Alves, Sara/U-5006-2019; SAITO, SHIGERU/JXO-0004-2024; Minina, Elena/C-9888-2017; Zhou, Cefan/C-4009-2016; Morleo, Manuela/AAK-5833-2020; Feldman, Arthur/MVX-9924-2025; Billes, Viktor/AAE-8226-2021; Vannier-Santos, Marcos/L-3649-2013; DEHAY, Benjamin/I-4713-2016; Zou, Zhen/ABB-3301-2021; Raia, Valeria/AAC-3029-2022; Potts, Malia/N-8130-2018; Yue, Zhenyu/JVD-9287-2023; Kaasik, Allen/I-2738-2015; Williams, Robin/G-6807-2011; Daglia, Maria/AAC-9498-2019; Legouis, Renaud/S-1250-2017; Pukhrambam, Lalit/W-2709-2019; Basagoudanavar, Suresh/AAG-4317-2019; Gaffke, Lidia/AAV-1526-2021; Ramachandra Rao, Sriganesh/AAW-1354-2021; Kim, YoungHwan/B-2395-2013; Bornhauser, Beat/M-4437-2014; Hamacher-Brady, Anne/G-4268-2013; Conti, Fabrizio/J-8591-2018; Nabavi, Seyed Mohammad/G-5335-2010; Zhang, Yi/J-7181-2019; Zhu, Wei-Guo/ABF-8373-2021; Stefan, Sven/AAH-8457-2019; Kumsta, Caroline/AAU-9147-2020; Avagliano, Laura/AAM-3412-2021; Lisiak/Szymanowska, Natalia/HTM-6059-2023; Miller, Samuel/MYR-9984-2025; Arias, Esperanza/IAQ-7707-2023; Chen, Zhefan/LDF-8805-2024; Pampaloni, Francesco/AAU-9705-2021; Misirkic, Maja/CAJ-3018-2022; Vooijs, Marc/K-3522-2019; Osta, Rosario/R-5410-2019; Mazzulli, joseph/AAS-4480-2020; Facchiano, Francesco/K-8716-2016; Bozhkov, Peter/K-3387-2012; Teixeira, Natercia/K-4663-2013; Yu, Ming-Lung/C-9540-2009; Campos, Juliane/G-5997-2014; Kaushik, Susmita/GVS-3186-2022; Armstrong-James, Darius/AAX-4077-2020; Wang, Chao-Yung/ABA-6757-2021; Orellana, Juan/F-6148-2012; Chapman, Tracey/E-5100-2011; Mattar, Pamela/GQY-9132-2022; Cai, Jingjing/JXN-8391-2024; ravegnini, gloria/K-1330-2016; Rahmati, Marveh/AAK-6279-2020; Yen, Paul/V-9857-2019; sarrias, maria/D-6205-2014; yousefi, Bahman/AAI-2969-2021; D'Lugos, Andrew/AAL-7738-2020; Calvo, Ana/L-2826-2017; liu, xiaoqiang/T-6269-2019; Sirko, Agnieszka/ABG-3358-2020; Xiao, Shi/GZB-0643-2022; Kang, Chanhee/AAS-1323-2021; Martins, Waleska/IZE-4396-2023; Bourke, Nollaig/AAE-7279-2019; Pizzo, Paola/T-4874-2018; Soenen, Stefaan/GLR-3797-2022; Budak, Hikmet/U-8517-2019; Xu, Congfeng/E-4806-2013; Wang, Ying-Chiao/U-8210-2017; Xiao, Bin/Y-8659-2018; Bast, Robert/E-6585-2011; Gelfi, Cecilia/L-1490-2016; Nanni, Monica/IYJ-9502-2023; fernie, alisdair/IWD-9278-2023; Woehlbier, Ute/HTT-6023-2023; Keller, Christian Wolfgang/HOC-1820-2023; Jensen, Thomas/E-1215-2015; Kaganovich, Daniel/K-2376-2012; Montella, Andrea/ABA-7073-2021; Singh, Rajat/HWQ-4839-2023; Schröder, Bernd/C-5504-2011; O'Sullivan, Timothy/D-3422-2018; Masson, Glenn/AAD-6546-2022; Xie, Chuan-Ming/AAT-9557-2021; Slaninová, Iva/AAI-5979-2020; SHINTANI, Takahiro/ABE-1267-2020; Alonso, Guillermo/AAI-6674-2020; Zhu, Yushan/F-1579-2019; Liang, Weicheng/AER-7127-2022; Bergami, Matteo/AAI-9972-2020; Outeiro, Tiago/C-1067-2008; Adornetto, Annagrazia/AAG-5467-2020; Lemus, Leticia/AAY-2730-2020; Chen, Zhijian/C-6039-2012; Feng, Yibin/I-5245-2012; Tomar, Dhanendra/H-3358-2019; Ma, Alvin/AAM-5951-2021; Izumi, Masanori/AAF-6080-2019; Tettamanti, Gianluca/E-5465-2012; Promponas, Vasilis/G-5539-2010; Enserink, Jorrit/E-5383-2010; Eissa, Sanaa/AAA-6319-2019; Wang, Mengchen/JPL-1468-2023; Oh, Goo/AAQ-9995-2021; SAEZ, CARLOS/M-3029-2014; yao, yongming/ABA-9113-2020; Pahari, Susanta/GLU-0379-2022; Pujol, Aurora/N-4990-2014; Gluschko, Alexander/HTQ-0447-2023; Rubinsztein, David/C-3472-2011; cayuela, maria/S-1148-2019; Vega-Naredo, Ignacio/A-4245-2009; Sze, Cho/C-4404-2009; Perrotta, Cristiana/I-2835-2016; Wang, Liming/A-6924-2012; Fan, Hualin/JCD-7845-2023; Paladino, Simona/ABH-7826-2020; Dridi, Sami/Q-8207-2019; Ferreira, Julio Cesar Batista/AEU-0494-2022; Rosenfeldt, Mathias/ABE-4736-2022; Roney, Joseph/LBH-1904-2024; Sakai, Ryohei/JLL-0474-2023; Uversky, Vladimir/F-4515-2011; Bae, Ok-Nam/AAS-8247-2020; Sun, Yi/K-1025-2014; martinez, manzano/ACS-3663-2022; Di Malta, Chiara/AAX-6395-2020; Neri, Luca/J-2462-2017; Molinari, Maurizio/N-2587-2019; wang, juan/IUO-6218-2023; Recalde, Uxia/AAC-7280-2020; Chung, Seockhoon/AAS-6676-2021; Lee, Min/C-9814-2015; Toivonen, Janne/E-5691-2011; Ruiz Roldán, Carmen/AAB-2100-2019; Karamouzis, Michalis/AAD-2860-2020; Cifuentes, Mariana/I-1054-2013; Corasaniti, Maria/N-1332-2015; Zacks, David/I-4394-2013; Bozi, Luiz/AAT-6126-2020; Avin-Wittenberg, Tamar/AAD-3622-2019; Smaili, Soraya/AAH-2129-2019; Wu, Yi-Hua/KII-0761-2024; Dhiman, Rohan/N-7011-2019; Sebti, Salwa/AAB-3188-2020; Velasco, Guillermo/H-5260-2012; Tam, Shing/AAZ-1345-2020; Pfirrmann, Thorsten/HTQ-6239-2023; YASUI, Takahiro/E-6401-2018; Morishita, Hideaki/MHR-7701-2025; Bosch, Jürgen/E-9370-2011; Milan, Enrico/J-8343-2016; Cenci, Simone/J-7700-2016; Jaattela, Marja/AAT-7932-2021; Tettamanti, Gianluca/L-8748-2019; Zhou, Yubin/D-4748-2011; Signorelli, Santiago/AAV-7069-2020; Roy, Ajit/AAA-3432-2022; Wang, Maggie/F-5954-2017; Bayry, Jagadeesh/A-6589-2011; Misso, Gabriella/AHD-1339-2022; Zeng, Jialiu/AAB-3039-2019; Crespo, Jose/L-3977-2014; ren, jun/KHG-7717-2024; Matoba, Satoaki/NCV-0475-2025; Rewitz, Kim/M-6012-2014; Mytych, Jennifer/AAK-5961-2020; Tacke, Frank/ABF-2212-2020; coto-montes, ana/D-2544-2016; García Sanz, Patricia Julia/CAH-9637-2022; Carrier, Lucie/HLX-3022-2023; Zhu, Hua/G-4409-2010; Bincoletto, Claudia/H-4936-2012; Aschner, Michael/ACO-6461-2022; Mysorekar, Indira U./GRS-4574-2022; Ke, Po-Yuan/AAQ-6324-2021; Cavinato, Dr. Maria/IYJ-8765-2023; Elks, Philip/ACB-9474-2022; Yoshimori, Tamotsu/K-9626-2014; Ruparelia, Avnika/GOV-4202-2022; Delorme-Axford, Elizabeth/AGR-6955-2022; Witkin, Steven/AAF-3812-2019; 권, 호정/AAS-3642-2021; vaccari, thomas/B-1945-2015; Shimozawa, Makoto/AHB-3369-2022; Nezis, Ioannis/Q-6124-2019; zhu, xinyu/KHY-9572-2024; Novoa, Beatriz/K-3785-2014; Hussain, Salik/AAG-1017-2020; Thum, Thomas/ABD-3487-2022; Lee, Youngil/AAX-2787-2021; jiang, lei/IWE-1124-2023; Dobson, Renwick/A-9188-2011; Schmitt, Roland/AAP-4609-2021; Hu, Yu-Chen/E-7825-2012; Tang, Daolin/ABD-5062-2021; Palaniyandi, Ravanan/IYS-2167-2023; BEAUMATIN, Florian/HLX-5501-2023; Velotti, Francesca/AAC-1884-2020; Muñoz-Galdeano, Teresa/ABF-8881-2020; Park, Sang-Youel/D-5966-2012; Chen, Chang/ITD-0049-2023; GUPTA, VIVEK/F-5476-2019; Márquez, Damián/H-8388-2015; Simon, Anna/IAM-0780-2023; Tabolacci, Claudio/U-4194-2017; Frankel, Lisa/JPY-1969-2023; Kono, Toru/AAH-2011-2020; Yao, Yong-Gang/AAH-2303-2021; Gong, Qingqiu/AAU-9486-2021; Yao, Shenggen/AAE-1602-2019; Fukuda, Mitsunori/S-3702-2019; Burada, Florin/AFQ-1133-2022; Toyokuni, Shinya/ABE-7714-2021; Bartek, Jiri/G-5870-2014; Marinelli, Sara/L-7738-2019; Luftig, Micah/AAY-7567-2021; Castori, Marco/K-1099-2016; Zhang, Haiyan/LSM-0328-2024; Blasiak, Janusz/LCE-1013-2024; Jimenez-Sanchez, Maria/IZD-5277-2023; Blas-Garcia, Ana/AAT-6762-2021; Øynebråten, Inger/W-3369-2019; Lei, yuqing/KDN-4812-2024; Simon, Hans-Uwe/AAU-7410-2020; Hall, Belinda/AGU-6214-2022; Kalvari, Ioanna/AAJ-1295-2021; Madl, Tobias/B-1682-2012; misra, amit/C-4199-2012; Pallauf, Kathrin/Z-5966-2019; Yoshida, Kiyotsugu/A-1646-2014; Bargiela, Ariadna/ABF-9125-2020; Schatzl, Hermann/G-4958-2011; Hadano, Shinji/ABA-5052-2021; Luo, Rongcan/AAC-6479-2019; Zhao, Yuting/MHQ-5761-2025; yang, liu/GVU-8760-2022; LIU, Fangfang/GNH-4322-2022; Gutterman, David/L-6767-2017; Chung, Jin-Haeng/F-3706-2011; Brunetti-Pierri, Nicola/K-8465-2016; Tatche, Rosa/AAJ-6721-2021; Auner, Holger/LMO-0071-2024; Han, Weidong/D-3538-2017; Dando, Ilaria/P-7062-2019; Dyshlovoy, Sergey/B-3586-2013; Lee, Seung/AAI-1191-2020; Aveic, Sanja/J-9456-2014; Oikonomou, Vasileios/ABC-7703-2021; Eichinger, Ludwig/AAJ-8895-2021; Dalla Valle, Luisa/G-6721-2011; ZHANG, Libo/AAP-4097-2020; Masclaux-Daubresse, Celine/ABG-3128-2020; Schindl, Rainer/V-4205-2019; Dai, Yun/AAG-4040-2019; Giamas, Georgios/AAP-3487-2021; Yu, Yan/GYV-4514-2022; Hariharan, Nirmala/J-6736-2013; Duran, Raul/I-9052-2014; shaohua, wang/AAB-7904-2022; Fon, Edward/ABV-6348-2022; Urbe, Sylvie/S-1433-2018; Fang, Evandro/AAC-5511-2019; Dengjel, Joern/AAI-3682-2020; Collins, Mark/HKO-2795-2023; Wollert, Thomas/HOC-7437-2023; Bartel, Bonnie/D-3550-2011; Li, Mingqing/AFK-9650-2022; Torgersen, Maria/F-3492-2017; zhao, ying/ISA-2502-2023; Martinet, Wim/I-7375-2015; Kalia, Manjula/AAM-2767-2021; Jin, Si/KGK-5977-2024; Atanasov, Atanas/C-5535-2013; Saito, Nayuta/AAH-1206-2019; Chen, Chin-Chuan/G-3094-2013; Malicdan, May/F-2806-2013; yue, zhenyu/GRF-4856-2022; Johansen, Terje/N-2971-2015; Huang, Michael/AAK-2237-2020; Cardenas, Luis/F-3427-2013; De Leonibus, Chiara/AAB-9392-2019; Duarte, Sonia/LIC-2194-2024; Wang, Xiaojun/JUU-9683-2023; Lukacs, Nicholas/ABH-5583-2020; Matarrese, Paola/A-4369-2014; Sonawane, Avinash/S-9889-2019; ELIOPOULOS, ARISTIDES/ABI-6632-2020; Lee, MW/F-2120-2013; Casas, Josefina/L-7934-2014; Fabio, Penna/K-5090-2016; Lee, Joo Yong/ADE-2110-2022; Kim, Deok Ryong/LTF-4760-2024; Jessen, Niels/E-1731-2011; Beck, George/AAO-2117-2020; Coll, Nuria/Y-6326-2019; Goni, Felix/M-5425-2015; Behrends, Christian/AAX-4201-2021; Roth, Lynn/E-5636-2017; Bootman, Martin/AAB-3330-2019; Li, Xiaoyu/JEF-0569-2023; Timmerman, Vincent/O-7283-2019; Lira, Vitor/AAN-3403-2021; Kuchitsu, Kazuyuki/G-3024-2013; Martinez-Velazquez, Moises/I-1468-2019; Giuliano, Sandy/U-2498-2019; Yang, Xuefeng/AAB-7163-2019; Shojaei, Shahla/AAX-5259-2020; Clague, Michael/A-7199-2008; Schiaffino, Maria/AAN-3313-2020; Chami, Mounia/S-6471-2019; Cechowska-Pasko, Marzanna/W-4203-2018; Galluzzi, Lorenzo/AAG-6432-2019; Korcsmaros, Tamas/C-3526-2015; de Almeida, Danilo/AAK-2399-2021; Ansari, Mohammad/ABF-7052-2021; Panasyuk, Ganna/AAF-4350-2021; Lopez, Manuela/D-2164-2015; Cianfanelli, Valentina/AAA-2682-2020; Wang, Fangyang/AAW-3373-2020; Nah, Jihoon/ABC-5145-2020; Soukup, Sandra/ABG-2322-2021; Carneiro, Leticia/T-8978-2019; Mollinedo, Faustino/M-9024-2016; Chung, Yuen-Li/K-2269-2019; van der Laan, Luc/M-5495-2019; Alizadeh, Javad/AAR-4824-2020; de Pablos, Montserrat/J-5704-2017; Tchetina, Elena/E-9059-2016; Pinheiro, R/A-2525-2013; Myohanen, Timo/N-8438-2014; De Zio, Daniela/AEF-0546-2022; Liton, Paloma/K-4229-2019; Xu, Liang/LRX-4101-2024; Campello, Silvia/AAB-3399-2019; Kozako, Tomohiro/AAX-4824-2021; SÁNCHEZ, MARTA/ABG-7748-2020; Netea, Mihai/N-5155-2014; Carle, Georges/GWC-5240-2022; Thurston, Teresa/AAZ-9938-2020; Nassif, Melissa/ABE-6932-2020; Sorice, Maurizio/Q-5079-2019; Rios, Thania/I-4352-2014; Filippi-Chiela, Eduardo/F-1959-2014; Manjithaya, Ravi/T-4248-2019; Wang, Jigang/HJB-2711-2022; Djavaheri-Mergny, Mojgan/N-6315-2017; Girao, Henrique/I-7591-2012; Bueno, Marta/GXM-7181-2022; Kim, Jeong/J-2748-2012; Wang, Fudi/L-7888-2018; van Wijk, Sjoerd/AAL-6680-2021; Rizza, Salvatore/GWZ-7823-2022; Chen, Zhongjian/ABI-7110-2020; Shao, Changshun/AAD-8977-2022; CASTILLO-LLUVA, SONIA/AAA-1776-2020; Yang, Ming/G-4705-2012; Wang, Pengwei/S-1240-2019; Martina, Jose/C-2772-2013; Mazzoccoli, Gianluigi/H-2447-2016; Mirzaei, Mohammad/S-3198-2017; Sedej, Simon/L-3066-2015; Behrens, Georg/Q-4486-2016; Sterneckert, Jared/E-6802-2015; Zhang, Yanjin/H-5035-2019; Slavov, Nikolai/AAH-9525-2019; Lim, Hyunjung/D-5343-2011; Klionsky, Daniel/ABD-5189-2021; COLASANTI, Tania/AFI-8434-2022; Yang, Jin-Ming/J-9067-2015; Bi, Lanrong/B-8133-2012; Lokeshwar, Bal/O-3196-2019; Agostinis, Patrizia/AAO-2468-2020; Nolan, Trevor/AAB-5319-2022; Begun, Jakob/J-6793-2014; Liu, Xiaodong/AAA-2538-2019; Kittler, Josef/E-9113-2010; Tee, Andrew/IAN-6419-2023; xu, haodong/IAM-9132-2023; Pang, Swee Yun/HHN-0476-2022; Li, Qing/ABC-4649-2020; zhang, xian/JAC-5480-2023; Reggiori, Fulvio/U-8327-2019; Zhou, Hao/I-3716-2019; Tao, Zhipeng/AAE-2021-2019; Pluta, Ryszard/W-1956-2019; Golebiewska, Anna/E-1332-2015; Kretz-Remy, Carole/J-7850-2019; Schwamborn, Jens/F-9395-2011; Cheng, Shiyuan/ISU-4685-2023; Berliocchi, Laura/A-2831-2013; Gassen, Nils/ABH-2018-2020; Lin, LiHan/KYQ-4405-2024; Tam, Shing/AAN-4109-2020; Bai, Hua/A-6665-2012; Verkade, Paul/N-7240-2014; Ashur, Osnat/AAC-1417-2020; Bringer, Marie-Agnès/Q-1752-2018; Zhang, Zili/HKW-2171-2023; wang, zhenyu/H-4365-2011; KEATING, DAMIEN/KVZ-1655-2024; MECHTA-GRIGORIOU, Fatima/C-5253-2017; Lystad, Alf/HSD-0740-2023; Torres-López, Liliana/HMD-8432-2023; Luo, Rongcan/GMW-4330-2022; Nagy, Peter/AFT-0238-2022; Oliveira, Jorge/HSH-4076-2023; Gassen, Nils/AAZ-2504-2021; Zhang, Wenbin/JXX-8070-2024; Dembitz, Vilma/AAN-3608-2021; Schein, Catherine/A-1426-2012; Till, Andreas/AAO-6375-2021; Dafsari, Hormos/AAF-3740-2019; Llorente, Alicia/AAP-7349-2021; Neumann, Dietbert/ITU-4450-2023; Zhao, Lei/AAF-3066-2020; nabavi, seyed fazel/A-2223-2010; Liao, Yung-Feng/A-9761-2011; Guerri, Consuelo/R-1171-2019; Man, Gene Chi-Wai/AAH-4865-2019; Goder, Veit/F-8092-2016; Schlattner, Uwe/D-1267-2009; Manfredi, Angelo/C-7018-2014; Bryson-Richardson, Robert/B-7556-2008; Viscomi, Maria/AAL-6625-2021; Pan, Lifeng/KCL-4047-2024; Pickrell, Alicia/B-8494-2018; Choi, Hye Rin/JDV-9065-2023; manzoni, claudia/F-4831-2014; Fraldi, Alessandro/AAB-2243-2021; Sheng, Rui/AAE-6335-2022; Liang, Yongtian/L-6977-2019; Zhong, Qing/GLT-4858-2022; Rao, Lang/N-3886-2015; Sanchéz-Alcázar, José/L-4925-2014; Sheng, Rui/N-5436-2017; Travassos, Leonardo/G-1925-2012; Zambelli, Vanessa/C-2716-2013; RENAULT, Tristan/H-6405-2011; VICTOR, VICTOR/I-3270-2015; Navarro, Miguel/C-3685-2009; jiang, lan/T-3965-2019; Mirzaee, Hamidreza/AAU-8999-2021; Zhang, Huanhuan/LDG-2528-2024; Mirzaei, Hamid Reza/I-4673-2019; Wang, Qing K/JPK-1687-2023; wang, yingying/JSK-6741-2023; Bozok, Vildan/C-2946-2014; Silva, James/G-6780-2014; Misirkic Marjanovic, Maja/JOZ-2759-2023; jingyu, yang/JEP-7293-2023; Beltran, Jackeline/O-2456-2018; Mashek, Douglas/ABD-6844-2021; Saftig, Paul/A-7966-2010; Bagetta, Giacinto/N-9716-2018; Linden, Rafael/F-2275-2011; Kim, Su Hyun/JPY-2079-2023; Seki, Ekihiro/K-2481-2016; Guo, Chun/AAM-5894-2020; Khandelwal, Vinoth/O-8443-2019; László, Lajos/AAG-2098-2020; Zhou, Zhenhua/AID-6326-2022; Bensalem, Julien/AAN-2408-2021; RODRIGUEZ-ROCHA, HUMBERTO/K-4562-2019; Hamasaki, Makoto/AAO-2229-2020; AYDIN, YUCEL/AAA-8522-2019; PITCHAI, NOOR/B-9270-2010; Mohammadinejad, Reza/AAD-2129-2021; Kajimura, Shingo/AAC-5090-2019; Sanchez, Anthony/N-8092-2019; Garcia-Moreno, Diana/ABG-2131-2020; Zheng, Kai/AAT-8994-2021; Markovic, Ivanka/AAJ-1243-2020; Revuelta, Jose/ABG-1502-2020; SHEN, HAN-MING/HSF-3303-2023; Yu, Zhouliang/JKC-9569-2023; Valdor, Rut/AAM-6174-2020; Chen, Zhi/V-2214-2017; Ramirez-Pardo, Ignacio/HTR-0069-2023; Dagda, Ruben/MIN-0665-2025; Flo, Trude Helen/E-1311-2013; Charlet-Berguerand, Nicolas/GZM-6636-2022; Angelini, Sabrina/AAB-5220-2022; zhao, YZ/GXH-6401-2022; Shi, Liaoshan/KFR-7855-2024; Sahni, Sumit/ACG-9725-2022; Call, Jarrod/IAM-9642-2023; Wang, Jia-Wei/K-1005-2019; Zhou, Yinghong/ABE-6575-2021; Rui, Zhenhua/J-8195-2019; Trajkovic, Vladimir/AFR-4124-2022; Mahavadi, Poornima/AAC-2500-2020; Granatiero, Veronica/AAX-9044-2020; Carloni, Silvia/JGL-9422-2023; López Doménech, Guillermo López Doménech/X-6075-2018; Crack, Peter/A-1980-2011; Gibson, Matthew/A-7348-2010; Dobson, Renwick/AAZ-7020-2021; Ray, Swapan/GVU-1803-2022; ; </t>
  </si>
  <si>
    <t>Lenoir, Olivia/0000-0001-8107-6987; Rodrigues Silva, Vagner Ramon/0000-0003-4793-1075; Wang, Yihua/0000-0001-5561-0648; Kou, Yanjun/0000-0003-4189-0962; Haucke, Volker/0000-0003-3119-6993; Oliveira, Jorge/0000-0002-6040-5355; Jung, Sung-Chul/0000-0002-3174-8965; Thedieck, Kathrin/0000-0002-9069-2930; ISHIMWE, Nestor/0000-0001-6379-4109; Duran, Raul V./0000-0002-2249-9215; Boland, Barry/0000-0003-2676-4343; Sluimer, Judith/0000-0002-0269-4582; Graler, Markus/0000-0001-6650-7849; Chen, Chang-Shi/0000-0002-8201-3635; Papademetrio, Daniela Laura/0000-0002-3419-5614; Wong, Vincent Kam Wai/0000-0002-2951-8108; Gujar, Shashi/0000-0002-5427-0829; Oikonomou, Vasileios/0000-0002-7553-0159; Tomic, Sergej/0000-0003-2570-1295; Zambelli, Vanessa/0000-0003-0890-9561; Bruno, Daniele/0000-0002-2550-3267; Serra-Moreno, Ruth/0000-0002-1923-6414; Renga, Giorgia/0000-0002-9762-6493; Pfirrmann, Thorsten/0000-0002-9474-9535; Zhao, Lei/0000-0003-1263-1742; SHARMA, KULBHUSHAN/0000-0001-5226-4209; Giulivi, Cecilia/0000-0003-1033-7435; Hsin, I-Lun/0000-0003-4711-3582; Issazadeh-Navikas, Shohreh/0000-0003-0369-424X; Bravo-San Pedro, Jose Manuel/0000-0002-5781-1133; Sarkar, Sovan/0000-0002-9456-4362; Chenwei, Wang/0000-0002-0920-8639; Szewczyk, Nathaniel/0000-0003-4425-9746; Nathan, Ilana/0000-0003-0739-0884; Diao, Jiajie/0000-0003-4288-3203; Fernandez-Veledo, Sonia/0000-0003-2906-3788; Valko, Ayelen/0000-0002-1296-0178; Yue, Jianbo/0000-0001-6384-5447; Meyer, Hemmo/0000-0003-1883-1796; Ammanathan, Veena/0000-0002-5142-380X; Bultynck, Geert/0000-0002-5968-4828; Rogov, Vladimir/0000-0002-2164-2323; , Paul/0000-0003-2929-3372; Pereira da Costa, Maria do Carmo/0000-0001-8466-4864; Gangi Setty, Subba Rao/0000-0003-4035-2900; Bueno, Marta/0000-0001-7140-9899; Fedele, Anthony Olind/0009-0001-8006-0227; Leon Alvarez, Yolanda/0000-0002-4536-8373; SARA, OLIVAN/0000-0003-0156-4230; Kanki, Tomotake/0000-0001-9646-5379; Volonte, Cinzia/0000-0001-7362-8307; Tang, Jingfeng/0000-0002-5524-4518; vincent, Olivier/0000-0003-4355-5367; Garcia, Maria Noe/0000-0002-2167-1298; Staiano, Leopoldo/0000-0001-7017-1516; Carloni, Silvia/0000-0003-3634-3454; Cumino, Andrea/0000-0002-0225-6363; Valdor, Rut/0000-0002-2681-0779; Call, Jarrod/0000-0002-1094-4940; Zeng, Jialiu/0000-0001-7802-1432; Engelsen, Agnete/0000-0003-0375-3406; Emre, N. C. Tolga/0000-0001-8021-5228; Shah, Javeed/0000-0002-2997-7988; Agostinis, Patrizia/0000-0003-1314-2115; Masaldan, Shashank/0000-0003-4960-4983; Palmieri, Michela/0000-0001-9373-1133; Popova, Blagovesta/0000-0001-6323-374X; Sharma, Shweta/0000-0002-6160-1331; Kocaturk, Nur Mehpare/0000-0002-4452-9913; Liu, Jing/0000-0001-5588-3865; Martinez Valverde, Angela/0000-0003-1192-9045; Gorgulu, Kivanc/0000-0002-1613-1422; Kalvari, Dr Ioanna/0000-0001-9424-9197; Fuentes, Jose M./0000-0001-6910-2089; Codogno, Patrice/0000-0002-5492-3180; Li, Liwu/0000-0001-8870-5299; Vahsen, Bjorn Friedhelm/0000-0002-5159-5070; Nicoli, Francesco/0000-0001-6327-5958; Zanella, Isabella/0000-0003-3902-3376; Mirzaei, Mehdi/0000-0001-8727-4984; Tang, Daolin/0000-0002-1903-6180; Gomez Sintes, Raquel/0000-0003-2854-6964; Hejtmancik, Fielding/0009-0009-9144-7951; Consiglio, Antonella/0000-0002-3988-6254; Penalva, Miguel A/0000-0002-3102-2806; Dal Col, Jessica/0000-0002-0042-2161; Elizalde, Maria Mercedes/0000-0002-0533-4283; Uribe Carretero, Elisabet/0000-0001-6477-5268; Vanhorebeek, Ilse/0000-0002-5261-5192; Boban, Mirta/0009-0000-9493-3917; Teixeira-Clerc, Fatima/0000-0003-1098-9222; Verstreken, Patrik/0000-0002-5073-5393; Liang, YongTian/0000-0002-5802-1045; Noda, Takeshi/0000-0003-3581-7961; Vervliet, Tim/0000-0002-4030-5875; Bronson, Paola/0000-0001-9996-9812; Fang, Yanshan/0000-0002-4123-0174; Knaevelsrud, Helene/0000-0001-8848-8829; Mizushima, Noboru/0000-0002-6258-6444; Nixon, Ralph A/0000-0001-5124-1021; Poletti, Angelo/0000-0002-8883-0468; Neisch, Amanda/0000-0002-3002-9221; Shukla, Arvind/0000-0003-3334-0450; Yang, Wei Yuan/0000-0002-8939-651X; Francesca, Finetti/0000-0002-3421-1637; Wang, Yanchang/0000-0001-6782-0570; Moreira, Paula/0000-0001-5177-6747; Weykopf, Beatrice/0000-0001-5541-839X; Morselli, Eugenia/0000-0002-7840-8351; Moratalla, Rosario/0000-0002-7623-8010; Ghavami, Saeid/0000-0001-5948-508X; Bergamaschi, Daniele/0000-0002-3955-1091; Lee, Won Hee/0000-0001-8534-9639; Kain, Renate/0000-0002-2428-543X; /0000-0002-2480-8210; Cardenal Munoz, Elena/0000-0003-4757-9323; Eskelinen, Eeva-Liisa/0000-0003-0006-7785; Zhang, Xiaoyan/0000-0002-0646-4418; Reggiori, Fulvio/0000-0003-2652-2686; Adamopoulos, Iannis/0000-0002-3708-2965; RICCI, Jean-Ehrland/0000-0003-1585-8117; Cui, Bing/0000-0001-8374-7801; Kurgan, Lukasz/0000-0002-7749-0314; Esclatine, Audrey/0000-0002-4692-5186; Guo, Muxing/0000-0002-1852-9282; BEAUMATIN, Florian/0000-0001-6017-7172; Gan, Boyi/0000-0001-8884-6040; Dickinson, Jared/0000-0003-3142-938X; Xiao, Lan/0000-0002-5227-9352; Sirko, Agnieszka/0000-0002-5205-2924; Zarrouk, Amira/0000-0002-9190-5328; Ejarque, Miriam/0000-0003-0545-9817; Barlow, Peter/0000-0002-6516-9312; Munoz Risueno, Ruth/0000-0003-4048-9536; Kundu, Chanakya/0000-0003-0297-1030; Kim, Dong-Eun/0000-0001-6545-8387; RUSSO, GIAN LUIGI/0000-0001-9321-1613; Cechowska-Pasko, Marzanna/0000-0002-2806-399X; Ginet, Vanessa/0009-0007-7876-8174; Gomez-Sanchez, Ruben/0000-0002-8274-3259; Gerhardt, Christoph/0000-0002-6340-549X; MARINO GARCIA, GUILLERMO/0000-0003-1960-1677; BANRETI, Agnes/0000-0001-9042-4138; Boeuf, Philippe/0000-0002-5851-3373; Aroca, Angeles/0000-0003-4915-170X; Lee, Erinna/0000-0003-1255-9808; Panasyuk, Ganna/0000-0002-5591-848X; Neves Carvalho, Andreia/0000-0001-9605-5054; D'ORAZI, Gabriella/0000-0001-6876-9105; Negoita, Florentina/0000-0001-6032-0127; Man, Gene Chi Wai/0000-0002-8608-9688; Dinic, Miroslav/0000-0001-5275-4531; Canti, Carles/0000-0003-3854-9712; Ballester Devis, Maria/0000-0002-5413-4640; Kunnumakkara, Ajaikumar/0000-0001-9121-6816; Tsao, Betty/0000-0001-7938-5975; Heberle, Alexander Martin/0000-0001-6414-8707; Du, Guangwei/0000-0003-4193-6975; Naveiras, Olaia/0000-0003-3434-0022; Cardoso, Sandra Morais/0000-0002-2199-0555; Blasiak, Janusz/0000-0001-9539-9584; Garofalo, Tina/0000-0003-0645-2510; Carames, Beatriz/0000-0002-8353-6526; Motori, Elisa/0000-0001-5997-6866; Van Kaer, Luc/0000-0001-5275-2309; Wehman, Ann M/0000-0001-9826-4132; Zhou, Rongjia/0000-0002-9701-8009; Morishita, Hideaki/0000-0003-0860-8371; Scrivo, Aurora/0000-0001-7511-035X; VERDIER, Mireille/0000-0002-8162-4856; Calvo-Rubio Barrera, Miguel/0000-0003-3760-4118; Chen, Zhefan Stephen/0000-0002-9276-0378; Schneider, Anja/0000-0001-9540-8700; Gorojod, Roxana Mayra/0000-0002-9820-3978; De Virgilio, Claudio/0000-0001-8826-4323; Dallenga, Tobias/0000-0002-1737-0687; Novoa, Beatriz/0000-0003-4888-8419; Casas, Josefina/0000-0002-7926-5209; Gupta, Pawan/0000-0001-6692-7237; Haber, James/0000-0002-1878-0610; Gluschko, Alexander/0000-0002-1090-1756; Garcera, Ana/0000-0002-2391-1216; NANNI, MONICA/0000-0001-5706-0053; Pereira, Claudia Maria Fragao/0000-0002-6630-5056; Luis-Ravelo, Diego/0000-0003-2876-9762; Itakura, Eisuke/0000-0001-7248-9333; Colell, Anna/0000-0001-5236-1834; Poggeler, Stefanie/0000-0002-6842-4489; Bartolome, Alberto/0000-0002-3382-0553; Berliocchi, Laura/0000-0002-3014-1838; Russo, Rossella/0000-0001-8758-6523; Alonso, Alicia/0000-0002-2730-7470; Golab, Jakub/0000-0002-2830-5100; Zou, Zhen/0000-0002-1651-591X; Rodriguez Henche, Nieves/0000-0001-9798-359X; Tharaux, Pierre-Louis/0000-0002-6062-5905; Iozzo, Renato/0000-0002-5908-5112; Neumann, Dietbert/0000-0002-4316-684X; Moruno-Manchon, Jose Felix/0000-0002-2139-6134; Puri, Deepika/0000-0002-7687-7226; Mashek, Douglas/0000-0001-7033-3386; Ikeda, Fumiyo/0000-0003-0407-2768; Coccia, Eliana M/0000-0002-1606-2949; MUKHOPADHYAY, SUBHADIP/0000-0002-7025-8694; Falco, Alberto/0000-0001-7726-6577; Chen, Xiongwen/0000-0002-3829-5815; Zhang, Xiaolei/0000-0003-0117-7599; Nombela, Ivan/0000-0001-8436-2081; Adornetto, Annagrazia/0000-0003-1869-2642; Garcia-del Portillo, Francisco/0000-0002-4120-0530; Zhang, Peng/0000-0002-0773-2904; Madeo, Frank/0000-0002-5070-1329; Prahlad, Veena/0000-0002-0413-6074; Brum, Patricia/0000-0002-4750-6506; Leopoldino, Andreia/0000-0002-8313-4754; Konig, Jeannette/0000-0003-3217-573X; Fisher, Edward/0000-0001-9802-143X; MALLILANKARAMAN, KARTHIK/0000-0002-9492-9050; Rosenfeldt, Mathias/0000-0001-7650-8458; Zuryn, Steven/0000-0002-3551-6790; Ganley, Ian/0000-0003-1481-9407; Neubert, Patrick/0000-0002-8292-333X; Yang, Ling/0000-0002-3105-3063; Devuyst, Olivier/0000-0003-3744-4767; DEHAY, Benjamin/0000-0003-1723-9045; Voitsekhovskaja, Olga/0000-0003-0966-1270; Pulinilkunnil, Thomas/0000-0003-1228-893X; Korsnes, Monica Suarez/0000-0002-0586-2318; Calbet, Jose A/0000-0002-9215-6234; Chauhan, Santosh/0000-0001-9167-5107; Takahashi, Yoshinori/0000-0002-8004-4817; Passos, Joao/0000-0001-8765-1890; Proikas-Cezanne, Prof. Dr. Tassula/0000-0001-6934-132X; Ito, Daisuke/0000-0002-4740-1675; Aliwaini, Saeb/0000-0001-8795-201X; pierre, philippe/0000-0003-0863-8255; Yanagi, Yasuo/0000-0002-0362-7285; Ljubojevic-Holzer, Senka/0000-0001-6994-9976; Efferth, Thomas/0000-0002-2637-1681; Ni Cheallaigh, Cliona/0000-0002-0842-425X; Milan, Enrico/0000-0003-3094-4275; Lee, Yong-ho/0000-0002-6219-4942; Dalla Valle, Luisa/0000-0001-8097-6369; Maejima, Yasuhiro/0000-0001-7450-4840; Cadwell, Ken/0000-0002-5860-0661; Laird, Angela/0000-0002-6860-9192; lizcano, jose m/0000-0002-3154-5383; van Wijk, Sjoerd/0000-0001-6532-7651; SAHIN, MUSTAFA/0000-0001-7044-2953; Chai, Chee-Yin/0000-0003-0486-9742; LOPEZ-GUERRERO, JOSE ANTONIO/0000-0003-2817-5956; Oddo, Salvatore/0000-0001-7304-7430; Lin, Kurt/0000-0003-1371-5569; Bae, Soo Han/0000-0002-8007-2906; Nobili, Annalisa/0000-0001-8369-1561; Kjaerulff, Ole/0000-0002-8654-1435; Micale, Lucia/0000-0003-3604-194X; Silva-Pavez, Eduardo/0000-0002-9650-7521; Figueras, Antonio/0000-0002-0617-0030; Bejarano Fernandez, Eloy/0000-0001-8390-1581; BEAU, Isabelle/0000-0002-3352-6813; Wang, Liming/0000-0002-5444-2424; De Palma, Clara/0000-0003-0365-7414; Du, Hai-Ning/0000-0001-8062-5411; Guo, Chuanyong/0000-0002-6527-4673; Jimenez-Sanchez, Maria/0000-0002-2287-1582; Gonzalez-Gallego, Javier/0000-0002-4386-9342; Mishra, Nandita/0000-0003-1502-8949; Zhou, Cefan/0000-0003-0680-3843; Milczarek, Malgorzata/0000-0003-1209-9477; Araki, Toshiyuki/0000-0002-1179-4534; zheng, guoping/0000-0002-5551-4522; Su, Huanxing/0000-0003-3254-825X; Fulda, Simone/0000-0002-0459-6417; Hac, Aleksandra/0000-0002-0478-3263; Kinghorn, Kerri J/0000-0003-2048-4332; Lund, Viktor/0000-0002-3801-1165; Pereira, Lilian Cristina/0000-0003-0024-7655; Kimchi, Adi/0000-0002-8236-8989; Wollert, Thomas/0000-0001-9732-4789; Sachse, Carsten/0000-0002-1168-5143; Calegaro Nassif, Melissa/0000-0002-5039-5245; Bagetta, Giacinto/0000-0001-8540-6218; Zhu, Yushan/0000-0002-5648-0416; Tomaipitinca, Luana/0000-0002-3862-7787; Devis-Jauregui, Laura/0000-0003-3736-3983; Martin-Rincon, Marcos/0000-0002-3685-2331; Eusebio, Makandjou-Ola/0000-0003-4541-3813; Llorente, Alicia/0000-0002-0045-071X; Chaum, Edward/0000-0003-3542-8376; Khalil, Hany Hamed Esmail/0000-0001-9738-4087; Alessandri, Cristiano/0000-0003-4149-5321; Gerbino, Valeria/0000-0002-7722-7284; Lu, Guang/0000-0002-2268-1033; Massa, Valentina/0000-0003-2246-9515; lu, jiahong/0000-0002-1147-125X; Quarleri, Jorge/0000-0001-5110-8773; PAHARI, SUSANTA/0000-0001-6577-3387; Arguelles, Sandro/0000-0001-8450-3227; Agrotis, Alexander/0000-0002-4875-4499; Korkmaz, Gozde/0000-0002-3574-1015; Herb, Marc/0000-0002-7533-0288; Chevet, Eric/0000-0001-5855-4522; Grassmann Bechara, Luiz Roberto/0000-0002-1642-1008; ROZIERES, Aurore/0000-0003-0293-4002; Sahin, Ozgur/0000-0002-8033-7089; Vila, Miquel/0000-0002-1352-989X; Sebti, Salwa/0000-0003-4327-1129; Kaniyappan, Senthilvelrajan/0000-0002-0606-2769; Vigano, Sonia/0000-0003-0437-0087; Mazzoni, Cristina/0000-0002-1504-6189; Bornhauser, Beat/0000-0003-2890-3191; Stalnecker, Clint/0000-0002-0570-4416; Hamacher-Brady, Anne/0000-0001-5042-1338; Ciechomska, Iwona/0000-0002-8068-0020; Jun, Youngsoo/0000-0002-2387-032X; Pennuto, Maria/0000-0001-8634-0767; Xue, Yu/0000-0002-9403-6869; Mollereau, Bertrand/0000-0003-4710-8185; Chami, Mounia/0000-0003-1498-7187; mirzaei, mahdi/0000-0001-9817-9157; Schiaffino, Maria Vittoria/0000-0001-9744-7025; Gregory, Stephen/0000-0002-0046-5815; Galasso, Alessia/0000-0001-7110-9925; Besteiro, Sebastien/0000-0003-1853-1494; Bomont, Pascale/0000-0001-7216-3261; Jacquin, Elise/0000-0003-0368-4113; Dutra Silva, Johnatas/0000-0003-4379-4237; Gatica, Damian/0000-0001-5052-3131; Weindl, Gunther/0000-0002-4493-7597; Schmitz, Ingo/0000-0002-5360-0419; Vindis, Cecile/0000-0003-2421-1155; Dinic, Jelena/0000-0003-3371-2381; O'Leary, Seonadh/0000-0002-7903-2325; Papp, Diana/0000-0002-2732-7543; LADOIRE, Sylvain/0000-0002-0331-9194; Chua, John Jia En/0000-0002-5615-1014; Colasuonno, Fiorella/0000-0002-4894-5084; Pedrozo, Zully/0000-0003-4690-2803; Xie, Min/0000-0002-2967-3490; Ohashi, Yohei/0000-0002-2288-130X; Di Fonzo, Alessio/0000-0001-6478-026X; SOLDATI, Thierry/0000-0002-2056-7931; Thumm, Michael/0000-0003-3238-4857; Kumar, Sharad/0000-0001-7126-9814; Reipert, Siegfried/0000-0002-2043-3562; Ugun Klusek, Aslihan/0000-0002-0199-0275; Sargeant, Timothy/0000-0003-1254-4390; Dando, Ilaria/0000-0002-6390-4184; Daglia, Maria/0000-0002-4870-7713; Dowaidar, Moataz/0000-0002-6189-3020; Jokitalo, Eija/0000-0002-4159-6934; Goping, Ing Swie/0000-0001-6355-827X; McWilliams, Thomas/0000-0002-9570-4152; YUAN, Yanggang/0000-0003-2764-9486; Xiao, Yin/0000-0003-1785-3491; Akkoc, Yunus/0000-0001-5379-6151; Guardia, Carlos/0000-0002-4662-9360; Madrigal-Matute, Julio/0000-0002-0894-5450; Nylandsted, Jesper/0000-0001-6474-5093; Bonam, Srinivasa Reddy/0000-0002-2888-2418; Zang, Qun (Sophia)/0000-0002-6397-8896; KRETZ-REMY, Carole/0000-0002-9553-5598; Hallden, Gunnel/0000-0001-5680-2895; Uhlig, Holm/0000-0002-6111-7355; Acevedo-Arozena, Abraham/0000-0001-6127-7116; Khuansuwan, Sataree/0000-0003-4888-4768; Pereira, Gustavo/0000-0002-6765-1276; Irazoqui, Javier/0000-0001-6553-1329; Araki, Toshiyuki/0000-0003-3625-2042; laporte, jocelyn/0000-0001-8256-5862; Scaglione, Kenneth/0000-0002-3858-9418; Charlet-Berguerand, Nicolas/0000-0002-4423-4920; Nah, Jihoon/0000-0003-2254-2233; Robinson, Katherine/0000-0001-9603-2696; Blomgran, Robert/0000-0002-2767-8175; Simmonds, Rachel/0000-0003-4843-8266; Susztak, Katalin/0000-0002-1005-3726; Lee, Myung-Shik/0000-0003-3292-1720; Mergny, Jean-Louis/0000-0003-3043-8401; Salekdeh, Ghasem Hosseini/0000-0002-5124-4721; Alves, Sara/0000-0003-0404-5954; Yiu, Stephanie Pei Tung/0000-0002-1792-247X; Zhou, Ben/0000-0001-7177-2882; Ruggieri, Alessandra/0000-0002-2777-6226; Wu, Yihua/0000-0001-7952-4090; Torres-Lopez, Liliana/0000-0003-1424-1596; Hilfiker, Sabine/0000-0002-5167-7682; Oliveira Martins, Daniel/0000-0003-3441-1820; Sok, Sophia P. M./0000-0001-5084-068X; Castro-Caldas, Margarida/0000-0002-5829-8933; Shu, Chih-Wen/0000-0002-7774-0002; Guha, Prasun/0000-0003-1224-7361; Ortega-Villaizan, Maria del Mar/0000-0003-2065-0601; Pinar, Mario/0000-0002-2415-8721; Burgoyne, Joseph/0000-0001-7325-7382; brest, patrick/0000-0002-1252-4747; Nandi, Shyam Sundar/0000-0001-6422-2540; Maiani, Emiliano/0000-0003-1432-5394; Klucken, Jochen/0000-0001-6645-9437; Filadi, Riccardo/0000-0002-5871-2620; Liu, Yang/0000-0002-7614-4233; Adolph, Timon/0000-0002-4736-830X; Pocock, Roger/0000-0002-5515-3608; Kuenen, Sabine/0000-0001-9135-5293; Schoijet, Alejandra/0000-0002-4999-7169; Xie, Yuxiang/0000-0002-8559-1967; Dieude, Melanie/0000-0002-9300-4232; Zheng, Xi-Long/0000-0002-0889-1827; Kang, Chanhee/0000-0003-4350-5706; Le Stunff, Herve/0000-0003-4618-7838; Tenreiro, Sandra/0000-0001-7272-5842; Huang, Chuanshu/0000-0003-4133-5096; AUBERGER, Patrick/0000-0002-2481-8275; Soukup, Sandra/0000-0003-2915-919X; Li, Mingchuan/0000-0001-5185-6392; Antas, Pedro/0000-0002-4149-943X; Kanthasamy, Arthi/0000-0003-4654-9907; ONG, SANG-BING/0000-0001-7421-2610; Buttner, Sabrina/0000-0002-2786-8542; Chen, Ning/0000-0002-8191-6744; Puyal, Julien/0000-0002-8140-7026; Chen, Yongqiang/0000-0003-2309-5674; AKPINAR, HAFIZE AYSIN/0000-0002-6718-6343; Scharl, Michael/0000-0002-6729-1469; Campanella, Michelangelo/0000-0002-6948-4184; Lee, Joo-Yong/0000-0003-1049-6006; Kaganovich, Daniel/0000-0003-2398-1596; Yuan, Zengqiang/0000-0001-5739-2867; Bourke, Nollaig/0000-0003-4313-6859; Tao, Zhipeng/0000-0002-9582-6950; Tong, Xin/0000-0002-6618-3976; Weiskirchen, Ralf/0000-0003-3888-0931; Roussel, Benoit/0000-0003-0575-8112; Boulanger, Chantal M./0000-0002-3687-651X; Dinkova-Kostova, Albena/0000-0003-0316-9859; Duarte de Sousa, Diana/0000-0003-0145-2642; Ruparelia, Avnika/0000-0002-1012-0079; Lu, Haocheng/0000-0002-5740-8010; Sampaio-Marques, Belem/0000-0001-6580-0971; Lopez-Jimenez, Ana Teresa/0000-0002-0289-738X; Biden, Trevor/0000-0001-5211-0234; Checler, Frederic/0000-0003-2098-1750; Lo, Chih Hung/0000-0003-2717-4484; Martins, Joilson O./0000-0003-2630-7038; Zhao, Tongbiao/0000-0003-1429-5818; Vihinen, Helena/0000-0003-3862-9237; Kukar, Thomas/0000-0002-3750-6262; GENSCHIK, Pascal/0000-0002-4107-5071; vomero, marta/0000-0001-9744-5628; Schwarten, Melanie/0000-0001-8920-9668; Pentimalli, Francesca/0000-0003-4740-6801; Jansson, Patric/0000-0002-9322-653X; GROS, Frederic/0000-0002-6252-4323; Tichy, Ales/0000-0002-8262-5703; Abdel-Aziz, Amal Kamal/0000-0003-1709-1183; Gozuacik, Devrim/0000-0001-7739-2346; Cerutti, Janete/0000-0003-0156-8274; Yang, Chuanbin/0000-0001-8288-4038; Luscher, Bernhard/0000-0002-9622-8709; Yao, Xiaoqiang/0000-0002-0687-8186; Bi, Xiaolin/0000-0002-7172-7851; Misirkic Marjanovic, Maja/0000-0002-0510-826X; Kho, Widuri/0000-0001-9587-885X; Benito Cuesta, Irene/0000-0002-2958-3188; Baksi, Shounak/0000-0001-7225-5377; Bayry, Jagadeesh/0000-0003-0498-9808; Poirot, Marc/0000-0002-5711-6624; Hoet, Peter/0000-0002-0292-6603; Ahumada, Ulises/0009-0005-5651-7177; O'Sullivan, Mary/0000-0002-6104-8943; Cheetham, Michael/0000-0001-6429-654X; Marchetti, Sandrine/0000-0001-8326-5730; Gonzalez-Reyes, Jose A./0000-0003-1918-5490; Lin, Kwang-Huei/0000-0002-5649-2222; Carra, Serena/0000-0003-0939-0140; Bringer, Marie-Agnes/0000-0002-3746-4998; Lin, Fu-Cheng/0000-0002-4127-8143; Fazeli, Gholamreza/0000-0002-1367-1941; Hohn, Annika/0000-0003-1306-2668; Mareninova, Olga A./0000-0003-0881-4079; , RAQUEL MANZANO/0000-0002-7477-8742; Cominetti, Marcia Regina/0000-0001-6385-7392; Sirohi, Kapil/0000-0001-5039-2848; Senturk, Serif/0000-0003-3963-2294; Vasconcelos, M. Helena/0000-0002-7801-4643; DUPONT, NICOLAS/0000-0002-3056-9906; wei, yongjie/0009-0001-6629-0261; Bincoletto, Claudia/0000-0001-6666-3673; Beyaert, Rudi/0000-0002-5704-582X; cherry, sara/0000-0003-3956-6610; liang, YU/0009-0007-3922-3454; Lin, Shaofeng/0000-0002-1177-5480; Ribeiro-Rodrigues, Teresa M/0000-0002-5169-6090; Hummer, Gerhard/0000-0001-7768-746X; Sterneckert, Jared/0000-0002-7688-3124; Pierzynowska, Karolina/0000-0003-3634-6567; Jungbluth, Heinz/0000-0002-7159-3427; Sue, Carolyn/0000-0003-1255-3617; Tyutereva, Elena/0000-0002-6727-6656; Benitez, Bruno A./0000-0002-2699-3878; Diederich, Marc/0000-0003-0115-4725; Mari, Muriel/0000-0002-2677-6945; Salimi Dafsari, Hormos/0000-0003-3483-5009; Zerovnik, Eva/0000-0002-9793-8200; Gupta, Veer/0000-0003-4989-0764; Herman-Antosiewicz, Anna/0000-0003-0526-2168; Balbi, Teresa/0000-0002-7495-6000; Jakobsson, Johan/0000-0003-0669-7673; Kimura, Tomonori/0000-0001-8186-094X; Clarke, Robert/0000-0002-9278-0854; Filigheddu, Nicoletta/0000-0002-3848-611X; Wang, Yanzhuang/0000-0002-1864-7094; Shoemaker, Christopher/0000-0003-2004-6340; Rojo, Ana I/0000-0002-0312-5867; Vantaggiato, Chiara/0000-0002-3910-6836; Rocchi, Stephane/0000-0002-0943-1304; Facchiano, Francesco/0000-0003-4313-0617; Valente, Maria Joao/0000-0001-6162-2426; Chan, Hung/0009-0009-0156-4952; Schindl, Rainer/0000-0003-0896-8887; symons, j david/0000-0003-2021-4770; Vooijs, Marc/0000-0003-1386-3027; Mohamud, Yasir/0000-0002-3950-2070; Maycotte, Paola/0000-0003-4059-0554; Florey, Oliver/0000-0002-1075-7424; Hernandez-Diaz, Sergio/0000-0001-9497-7119; Sorice, Maurizio/0000-0003-3534-1502; Ulasov, Ilya/0000-0002-0818-0363; van Loosdregt, Jorg/0000-0003-1411-3754; Nazarko, Taras/0000-0001-5322-8496; HE, Rong-Rong/0000-0001-5505-5672; Tavernarakis, Nektarios/0000-0002-5253-1466; Ludovico, Paula/0000-0003-4130-7167; Alves da Costa, Cristine/0000-0002-7777-005X; Kaminska, Joanna/0000-0002-0168-7882; Furic, Luc/0000-0002-1893-9812; Cui, Yixian/0000-0001-8260-1421; Villalobo, Antonio/0000-0002-4200-374X; Vucicevic, Ljubica/0000-0003-2802-2773; Olzmann, James/0000-0001-7751-8316; MacIntosh, Gustavo/0000-0003-1350-1229; Wang, Pengwei/0000-0001-8882-3447; Milojkovic, Ana/0000-0001-7505-9996; Criollo, Alfredo/0000-0002-2737-7751; Tomar, Dhanendra/0000-0002-3144-7257; Ondrej, Martin/0000-0002-2640-3348; Wawrzynska, Anna/0000-0002-6985-3904; GUERRI, CONSUELO/0000-0001-9485-6202; Wang, Yuqi/0000-0002-9793-6002; Bozok, Vildan/0000-0003-3915-6363; Ariosa, Aileen R/0009-0002-0662-7624; Frankel, Lisa B./0000-0001-7249-3607; Zhong, Qing/0000-0001-6979-955X; Myohanen, Timo/0000-0002-9277-6687; Ho, Emmanuel/0000-0003-4729-9970; Czuczwar, Stanislaw/0000-0003-2879-9945; Osiewacz, Heinz D./0000-0002-0360-6994; Lopez Perez, Oscar/0000-0003-2454-2114; Inman, Denise/0000-0002-8522-4112; Chiurchiu, Valerio/0000-0002-0316-7311; Sharma, Pawan/0000-0002-2904-2306; Peng, Di/0000-0002-1249-3741; Stefan, Sven Marcel/0000-0002-2048-8598; Bhattacharya, Sujoy/0000-0003-4443-9691; Lund, Anders/0000-0002-7407-3398; Richardson, Des/0000-0002-5506-3274; Ratnayaka, J. Arjuna/0000-0002-1027-6938; Ferreira, Julio Cesar Batista/0000-0003-2694-239X; Zanivan, Sara/0000-0002-9880-9099; Geiss-Friedlander, Ruth/0000-0002-1720-3440; Imbriano, Carol/0000-0003-2864-4820; Hernandez, Agustin/0000-0002-7884-8023; Chamilos, Georgios/0000-0002-7987-4055; Song, Hyun Kyu/0000-0001-5684-4059; dong, zhiwu/0000-0002-3792-9556; Lemus, Leticia/0000-0001-6723-1290; Zhou, Yinghong/0000-0001-9757-7735; ROMANO, ALESSANDRA/0000-0002-6333-4433; Harhaji-Trajkovic, Ljubica/0000-0001-8757-555X; Huang, Michael L.H./0000-0003-0693-7833; El-Shafey, Eman/0000-0002-9674-7832; Bel, Shai/0000-0002-7166-4870; Shimozawa, Makoto/0000-0001-9618-0533; YU, Boxuan/0000-0001-6193-6054; Das, Hiranmoy/0000-0002-3343-0096; Koch, Jan Christoph/0000-0002-3778-0683; Collins, Mark/0000-0002-7656-4975; Paneni, Francesco/0000-0001-6483-7844; Saksela, Kalle/0000-0003-0827-122X; Weiergraber, Oliver H./0000-0002-2410-3691; Anton, PhD, Zurine/0000-0002-0175-8548; RUANO, DIEGO/0000-0001-6131-3033; Wang, Xuejun/0000-0001-9267-1343; Fairlie, Walter/0000-0002-2498-1160; Tomas-Zapico, Cristina/0000-0001-7823-0410; Taouis, Mohammed/0000-0002-4101-691X; Martinez Zarate, Aitor/0000-0003-1648-9448; Martins, Waleska Kerllen/0000-0003-1502-4606; Vieira, Otilia/0000-0003-4924-1780; Chan, David/0000-0002-6951-3467; Wu, William K.K./0000-0002-5662-5240; Rosenstiel, Philip/0000-0002-9692-8828; Schapira, Anthony/0000-0002-3018-3966; Eckhart, Leopold/0000-0002-5645-2036; Miyamoto, Shigeki/0000-0002-1513-8067; Bagniewska-Zadworna, Agnieszka/0000-0003-2828-1505; Fernandez Fernandez, Alvaro/0000-0002-7704-4285; Shutt, Timothy/0000-0001-5299-2943; Gonzalez Polo, Rosa-Ana/0000-0002-0163-2953; Montico, Barbara/0000-0001-6783-2969; Yu, Wai Haung/0000-0001-7186-6731; Di Domenico, Fabio/0000-0002-2013-209X; Aits, Sonja/0000-0002-1321-0678; Leung, Po Sing/0000-0001-8074-3178; Beale, Rupert/0000-0002-6705-8560; O'Rourke, Eyleen/0000-0003-0503-4181; Mukherjee, Anupam/0000-0002-0612-2258; Dengjel, Joern/0000-0002-9453-4614; Rudolf, Ruediger/0000-0002-0833-1053; Ogier-Denis, Eric/0000-0002-0057-7593; Brown, Rhoderick/0000-0002-7337-3604; Yu, Victor/0000-0003-3270-4734; Hu, Bing/0000-0001-5085-3114; Lindner, Paula/0000-0003-0734-6429; Lleonart Pajarin, Matilde/0000-0002-6196-7405; Munch, Christian/0000-0003-3832-090X; Schiappacassi, Monica/0000-0003-4804-4291; Mendes, Alexandrina/0000-0001-5511-7132; Lyakhovich, Alex/0000-0002-8279-4697; Pandya, Vrajesh/0000-0001-9917-0138; Soler Tatche, Rosa M/0000-0003-0528-3102; Meng, Delong/0000-0001-5183-4564; MONTAGNA, COSTANZA/0000-0001-9309-1666; Garcia-Escudero, Vega/0000-0003-1762-0882; JOFFRE, Carine/0000-0002-7551-356X; pelletier, joffrey/0000-0001-9174-044X; Imagawa, Yusuke/0000-0002-1245-3387; Mohammadinejad, Reza/0000-0003-3511-9282; Yakhine-Diop, Sokhna M.S./0000-0002-4868-3352; NAZIO, FRANCESCA/0000-0002-3039-4448; Mattar, Pamela/0000-0002-8505-4088; Pietruczuk, Miroslawa/0000-0002-6496-3776; Chan, Edwin/0000-0003-4307-474X; Davies, Jeffrey/0000-0002-4234-0033; Schwamborn, Jens/0000-0003-4496-0559; Langer, Rupert/0000-0001-9491-3609; Watchon, Maxinne/0000-0002-8400-4994; Gupta, Vivek/0000-0002-0202-7843; Letellier, Elisabeth/0000-0001-8242-9393; HO, Idy Hiu Ting/0000-0001-9897-3780; Fang, Evandro Fei/0000-0003-0355-7202; Morleo, Manuela/0000-0002-7553-3245; Izquierdo, Jose M/0000-0002-7942-4046; Gozes, Illana/0000-0001-9796-2430; Munoz-Galdeano, Teresa/0000-0003-3526-819X; Yuan, Ling-Qing/0000-0001-8602-7113; Mercier (Theron), Anne (Joji)/0000-0002-2030-9879; Ho, Philip Wing-Lok/0000-0001-7794-0146; De Meyer, Guido/0000-0003-3848-8702; Tam, Shing Yau/0000-0002-5899-1041; Xie, Zhiping/0000-0001-5816-6159; Alberti, Simon/0000-0003-4017-6505; Russo, Maria/0000-0001-8385-9184; Wang, Ping/0000-0002-1557-0394; Misso, Gabriella/0000-0002-7787-2531; McKenna, Sharon/0000-0002-6764-6274; Skendros, Panagiotis/0000-0003-0456-7015; Stankov, Metodi/0000-0003-3001-2478; Lee, Jason S/0000-0003-0879-934X; Ansari, Mohammad/0000-0002-2628-6604; Gorski, Sharon/0000-0002-3821-8289; Azzopardi, Maria/0000-0002-3097-6878; Park, Jong-In/0000-0001-7248-4735; Bootman, Martin/0000-0002-6447-3451; Gunst, Jan/0000-0003-2470-6393; Carle, Georges/0000-0002-3901-1052; Nahimana, Aimable/0000-0003-4968-3167; Torriglia, Alicia/0000-0003-1181-6710; Gharaibeh, Abeer/0000-0003-3549-1826; Sarkar, Surajit/0000-0001-6861-2271; Nobrega, Clevio/0000-0002-8312-5292; Varga, Mate/0000-0003-4289-1705; Rizza, Salvatore/0000-0001-7335-4684; Liu, Yule/0000-0002-4423-6045; Magarinos Sanchez, Marta/0000-0003-4592-9377; Pellegrini, Joaquin Miguel/0000-0002-3505-8638; Dauphinee, Adrian/0000-0002-3363-198X; Platta, Harald/0000-0001-8968-7280; SZE, Stephen Cho Wing/0000-0002-4561-1214; Shimada, Yohta/0000-0003-2003-1552; Wiktorska, Katarzyna/0000-0002-2731-9535; Ortiz-Gonzalez, Xilma/0000-0002-1710-4696; Rios Rossi Lima, Thania/0000-0003-1798-8708; Ghosh, Manosij/0000-0001-5034-001X; Vannini, Nicola/0000-0002-6351-7512; Chung, Kin Pan/0000-0003-2786-3095; Golebiewska, Anna/0000-0002-4160-2521; Nagy, Peter/0000-0002-5053-0646; Franco, Rodrigo/0000-0003-3241-8615; Porte Alcon, Soledad/0000-0002-0381-0880; Cheung, Chun Hei Antonio/0000-0003-4181-1435; Arias, Esperanza/0000-0002-7836-5072; Orellana, Juan Andres/0000-0003-4076-207X; Jessen, Niels/0000-0001-5613-7274; Xia, hongguang/0000-0003-3044-9282; Lobato Marquez, Damian/0000-0002-0044-7588; Raimundo, Nuno/0000-0002-5988-9129; Di Guardo, Giovanni/0000-0003-4592-1084; Bezbradica, Jelena/0000-0003-1441-1727; Sendtner, Michael/0000-0002-4737-2974; Olsen Saraiva Camara, Niels/0000-0001-5436-1248; TAM, Chit/0000-0002-8719-1190; Ashur-Fabian, Osnat/0000-0001-8624-3182; Pircs, Karolina/0000-0001-8281-4785; Luu, Luan/0000-0001-9227-8146; Nilsson, Per/0000-0001-6450-0870; Ferrari, Merari/0000-0001-7396-2196; Reigada, David/0000-0001-9041-0705; fortini, paola/0000-0001-6206-8498; Carosi, Julian/0000-0001-6820-3953; Casanova, Magali/0000-0002-1439-0762; Ruckenstuhl, Christoph/0000-0002-4338-4679; Wu, Yaowen/0000-0002-2573-8736; BOUSQUET, Guilhem/0000-0001-5594-6694; Budak, Hikmet/0000-0002-2556-2478; Tumbarello, David/0000-0002-5169-0561; Abudu, Yakubu Princely/0000-0002-8798-270X; Roberts, Helen C./0000-0003-1974-0319; Laird, Dale W/0000-0002-4568-3285; Varela-Nieto, Isabel/0000-0003-3077-0500; Kalia, Manjula/0000-0002-3376-3659; Zoladek, Teresa/0000-0002-9881-0516; Neutzner, Albert/0000-0001-9254-5558; Williams, Brett/0000-0002-6510-8843; Arevalo, Maria-Angeles/0000-0002-4303-9576; AVAGLIANO, LAURA/0000-0002-7808-7578; Bozhkov, Peter/0000-0002-8819-3884; PIERREFITE-CARLE, Valerie/0000-0003-3399-2934; Gonzalez-Hernandez, Tomas/0000-0002-2223-7434; jeltsch-david, helene/0000-0003-3630-7242; Vervoorts, Jorg/0000-0002-3251-6496; Baulieu, Etienne-Emile/0000-0002-2532-5085; Martinez, Ana/0000-0002-2707-8110; Shoji, Ikuo/0000-0002-0730-4379; Sathyanarayanan, Ranganayaki/0000-0002-1826-5512; Shen, Han-Ming/0000-0001-7369-5227; Chiaradonna, Ferdinando/0000-0001-8529-2732; Morales-Alamo, David/0000-0001-8463-397X; Artero, Ruben/0000-0003-1596-047X; KUMAR, AJAY/0000-0002-3889-3049; Kepp, Oliver/0000-0002-6081-9558; FLORIO, TULLIO/0000-0002-2394-996X; De Zio, Daniela/0000-0002-9454-402X; Ramachandra Rao, Sriganesh/0000-0003-1029-1051; Onnis, Anna/0000-0003-3199-9868; De Bosscher, Karolien/0000-0001-5059-9718; Marinelli, Sara/0000-0001-5393-4796; Krasnodembskaya, Anna/0000-0002-2380-5069; Castillo-LLuva, Sonia/0000-0001-5357-7178; Lafont, frank/0000-0001-8668-2580; Goder, Veit/0000-0003-0854-4873; El-Naggar, Shahenda/0000-0001-6465-9881; MacDougald, Ormond/0000-0001-6907-7960; Woehlbier, Ute/0000-0003-3114-9708; Timmerman, Vincent/0000-0002-2162-0933; Palmisano, Giuseppe/0000-0003-1336-6151; du Toit, Andre/0000-0002-3936-6013; Haidar, Mansour/0000-0002-7838-007X; Khalfin, Boris/0000-0003-1695-6544; Wandosell, Francisco/0000-0001-6537-2321; Bozkurt, Tolga Osman/0000-0003-0507-6875; Chiariello, Mario/0000-0001-8434-5177; Torii, Satoru/0000-0003-4841-7131; Bensalem, Julien/0000-0003-3873-4627; Luftig, Micah/0000-0002-2964-1907; Sanchez-Vera, Victoria/0000-0001-8615-5270; Lee, Jae Man/0000-0003-2707-5136; Lewis, Patrick/0000-0003-4537-0489; COLASANTI, Tania/0000-0002-4413-1817; Csizmadia, Tamas/0000-0002-2098-9165; Dong, Xiaonan/0000-0001-7967-2755; Culetto, Emmanuel/0000-0003-4725-2654; Mogensen, Trine Hyrup/0000-0002-1853-9704; Perera, Nirma/0000-0002-7695-6290; Zhouguang, Wang/0000-0001-9903-0362; Cavadas, Claudia/0000-0001-8020-9266; Somarelli, Jason/0000-0003-1510-9343</t>
  </si>
  <si>
    <t>1554-8627</t>
  </si>
  <si>
    <t>1554-8635</t>
  </si>
  <si>
    <t>10.1080/15548627.2020.1797280</t>
  </si>
  <si>
    <t>WOS:000636121800001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</si>
</sst>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80</v>
      </c>
      <c r="AC2" s="1" t="s">
        <v>74</v>
      </c>
      <c r="AD2" s="1" t="s">
        <v>74</v>
      </c>
      <c r="AE2" s="1" t="s">
        <v>74</v>
      </c>
      <c r="AF2" s="1" t="s">
        <v>74</v>
      </c>
      <c r="AG2" s="1" t="s">
        <v>74</v>
      </c>
      <c r="AH2" s="1" t="s">
        <v>74</v>
      </c>
      <c r="AI2" s="1" t="s">
        <v>74</v>
      </c>
      <c r="AJ2" s="1" t="s">
        <v>74</v>
      </c>
      <c r="AK2" s="1" t="s">
        <v>74</v>
      </c>
      <c r="AL2" s="1" t="s">
        <v>74</v>
      </c>
      <c r="AM2" s="1" t="s">
        <v>74</v>
      </c>
      <c r="AN2" s="1" t="s">
        <v>74</v>
      </c>
      <c r="AO2" s="1" t="s">
        <v>81</v>
      </c>
      <c r="AP2" s="1" t="s">
        <v>82</v>
      </c>
      <c r="AQ2" s="1" t="s">
        <v>74</v>
      </c>
      <c r="AR2" s="1" t="s">
        <v>74</v>
      </c>
      <c r="AS2" s="1" t="s">
        <v>74</v>
      </c>
      <c r="AT2" s="1" t="s">
        <v>83</v>
      </c>
      <c r="AU2" s="1">
        <v>2022.0</v>
      </c>
      <c r="AV2" s="1">
        <v>33.0</v>
      </c>
      <c r="AW2" s="1">
        <v>2.0</v>
      </c>
      <c r="AX2" s="1" t="s">
        <v>74</v>
      </c>
      <c r="AY2" s="1" t="s">
        <v>74</v>
      </c>
      <c r="AZ2" s="1" t="s">
        <v>74</v>
      </c>
      <c r="BA2" s="1" t="s">
        <v>74</v>
      </c>
      <c r="BB2" s="1">
        <v>403.0</v>
      </c>
      <c r="BC2" s="1">
        <v>420.0</v>
      </c>
      <c r="BD2" s="1" t="s">
        <v>74</v>
      </c>
      <c r="BE2" s="1" t="s">
        <v>84</v>
      </c>
      <c r="BF2" s="2" t="str">
        <f>HYPERLINK("http://dx.doi.org/10.1093/cercor/bhac074","http://dx.doi.org/10.1093/cercor/bhac074")</f>
        <v>http://dx.doi.org/10.1093/cercor/bhac074</v>
      </c>
      <c r="BG2" s="1" t="s">
        <v>74</v>
      </c>
      <c r="BH2" s="1" t="s">
        <v>85</v>
      </c>
      <c r="BI2" s="1" t="s">
        <v>74</v>
      </c>
      <c r="BJ2" s="1" t="s">
        <v>74</v>
      </c>
      <c r="BK2" s="1" t="s">
        <v>74</v>
      </c>
      <c r="BL2" s="1" t="s">
        <v>74</v>
      </c>
      <c r="BM2" s="1" t="s">
        <v>74</v>
      </c>
      <c r="BN2" s="1">
        <v>3.5253864E7</v>
      </c>
      <c r="BO2" s="1" t="s">
        <v>74</v>
      </c>
      <c r="BP2" s="1" t="s">
        <v>74</v>
      </c>
      <c r="BQ2" s="1" t="s">
        <v>74</v>
      </c>
      <c r="BR2" s="1" t="s">
        <v>74</v>
      </c>
      <c r="BS2" s="1" t="s">
        <v>86</v>
      </c>
      <c r="BT2" s="1" t="str">
        <f>HYPERLINK("https%3A%2F%2Fwww.webofscience.com%2Fwos%2Fwoscc%2Ffull-record%2FWOS:000776252900001","View Full Record in Web of Science")</f>
        <v>View Full Record in Web of Science</v>
      </c>
    </row>
    <row r="3" ht="12.75" customHeight="1">
      <c r="A3" s="1" t="s">
        <v>72</v>
      </c>
      <c r="B3" s="1" t="s">
        <v>87</v>
      </c>
      <c r="C3" s="1" t="s">
        <v>74</v>
      </c>
      <c r="D3" s="1" t="s">
        <v>74</v>
      </c>
      <c r="E3" s="1" t="s">
        <v>74</v>
      </c>
      <c r="F3" s="1" t="s">
        <v>88</v>
      </c>
      <c r="G3" s="1" t="s">
        <v>74</v>
      </c>
      <c r="H3" s="1" t="s">
        <v>74</v>
      </c>
      <c r="I3" s="1" t="s">
        <v>89</v>
      </c>
      <c r="J3" s="1" t="s">
        <v>90</v>
      </c>
      <c r="K3" s="1" t="s">
        <v>74</v>
      </c>
      <c r="L3" s="1" t="s">
        <v>74</v>
      </c>
      <c r="M3" s="1" t="s">
        <v>74</v>
      </c>
      <c r="N3" s="1" t="s">
        <v>74</v>
      </c>
      <c r="O3" s="1" t="s">
        <v>74</v>
      </c>
      <c r="P3" s="1" t="s">
        <v>74</v>
      </c>
      <c r="Q3" s="1" t="s">
        <v>74</v>
      </c>
      <c r="R3" s="1" t="s">
        <v>74</v>
      </c>
      <c r="S3" s="1" t="s">
        <v>74</v>
      </c>
      <c r="T3" s="1" t="s">
        <v>74</v>
      </c>
      <c r="U3" s="1" t="s">
        <v>74</v>
      </c>
      <c r="V3" s="1" t="s">
        <v>91</v>
      </c>
      <c r="W3" s="1" t="s">
        <v>74</v>
      </c>
      <c r="X3" s="1" t="s">
        <v>74</v>
      </c>
      <c r="Y3" s="1" t="s">
        <v>74</v>
      </c>
      <c r="Z3" s="1" t="s">
        <v>74</v>
      </c>
      <c r="AA3" s="1" t="s">
        <v>92</v>
      </c>
      <c r="AB3" s="1" t="s">
        <v>93</v>
      </c>
      <c r="AC3" s="1" t="s">
        <v>74</v>
      </c>
      <c r="AD3" s="1" t="s">
        <v>74</v>
      </c>
      <c r="AE3" s="1" t="s">
        <v>74</v>
      </c>
      <c r="AF3" s="1" t="s">
        <v>74</v>
      </c>
      <c r="AG3" s="1" t="s">
        <v>74</v>
      </c>
      <c r="AH3" s="1" t="s">
        <v>74</v>
      </c>
      <c r="AI3" s="1" t="s">
        <v>74</v>
      </c>
      <c r="AJ3" s="1" t="s">
        <v>74</v>
      </c>
      <c r="AK3" s="1" t="s">
        <v>74</v>
      </c>
      <c r="AL3" s="1" t="s">
        <v>74</v>
      </c>
      <c r="AM3" s="1" t="s">
        <v>74</v>
      </c>
      <c r="AN3" s="1" t="s">
        <v>74</v>
      </c>
      <c r="AO3" s="1" t="s">
        <v>94</v>
      </c>
      <c r="AP3" s="1" t="s">
        <v>74</v>
      </c>
      <c r="AQ3" s="1" t="s">
        <v>74</v>
      </c>
      <c r="AR3" s="1" t="s">
        <v>74</v>
      </c>
      <c r="AS3" s="1" t="s">
        <v>74</v>
      </c>
      <c r="AT3" s="1" t="s">
        <v>95</v>
      </c>
      <c r="AU3" s="1">
        <v>2023.0</v>
      </c>
      <c r="AV3" s="1">
        <v>5.0</v>
      </c>
      <c r="AW3" s="1">
        <v>18.0</v>
      </c>
      <c r="AX3" s="1" t="s">
        <v>74</v>
      </c>
      <c r="AY3" s="1" t="s">
        <v>74</v>
      </c>
      <c r="AZ3" s="1" t="s">
        <v>74</v>
      </c>
      <c r="BA3" s="1" t="s">
        <v>74</v>
      </c>
      <c r="BB3" s="1">
        <v>5015.0</v>
      </c>
      <c r="BC3" s="1">
        <v>5028.0</v>
      </c>
      <c r="BD3" s="1" t="s">
        <v>74</v>
      </c>
      <c r="BE3" s="1" t="s">
        <v>96</v>
      </c>
      <c r="BF3" s="2" t="str">
        <f>HYPERLINK("http://dx.doi.org/10.1039/d3na00433c","http://dx.doi.org/10.1039/d3na00433c")</f>
        <v>http://dx.doi.org/10.1039/d3na00433c</v>
      </c>
      <c r="BG3" s="1" t="s">
        <v>74</v>
      </c>
      <c r="BH3" s="1" t="s">
        <v>97</v>
      </c>
      <c r="BI3" s="1" t="s">
        <v>74</v>
      </c>
      <c r="BJ3" s="1" t="s">
        <v>74</v>
      </c>
      <c r="BK3" s="1" t="s">
        <v>74</v>
      </c>
      <c r="BL3" s="1" t="s">
        <v>74</v>
      </c>
      <c r="BM3" s="1" t="s">
        <v>74</v>
      </c>
      <c r="BN3" s="1">
        <v>3.7705767E7</v>
      </c>
      <c r="BO3" s="1" t="s">
        <v>74</v>
      </c>
      <c r="BP3" s="1" t="s">
        <v>74</v>
      </c>
      <c r="BQ3" s="1" t="s">
        <v>74</v>
      </c>
      <c r="BR3" s="1" t="s">
        <v>74</v>
      </c>
      <c r="BS3" s="1" t="s">
        <v>98</v>
      </c>
      <c r="BT3" s="1" t="str">
        <f>HYPERLINK("https%3A%2F%2Fwww.webofscience.com%2Fwos%2Fwoscc%2Ffull-record%2FWOS:001065162000001","View Full Record in Web of Science")</f>
        <v>View Full Record in Web of Science</v>
      </c>
    </row>
    <row r="4" ht="12.75" customHeight="1">
      <c r="A4" s="1" t="s">
        <v>72</v>
      </c>
      <c r="B4" s="1" t="s">
        <v>99</v>
      </c>
      <c r="C4" s="1" t="s">
        <v>74</v>
      </c>
      <c r="D4" s="1" t="s">
        <v>74</v>
      </c>
      <c r="E4" s="1" t="s">
        <v>74</v>
      </c>
      <c r="F4" s="1" t="s">
        <v>100</v>
      </c>
      <c r="G4" s="1" t="s">
        <v>74</v>
      </c>
      <c r="H4" s="1" t="s">
        <v>74</v>
      </c>
      <c r="I4" s="1" t="s">
        <v>101</v>
      </c>
      <c r="J4" s="1" t="s">
        <v>102</v>
      </c>
      <c r="K4" s="1" t="s">
        <v>74</v>
      </c>
      <c r="L4" s="1" t="s">
        <v>74</v>
      </c>
      <c r="M4" s="1" t="s">
        <v>74</v>
      </c>
      <c r="N4" s="1" t="s">
        <v>74</v>
      </c>
      <c r="O4" s="1" t="s">
        <v>74</v>
      </c>
      <c r="P4" s="1" t="s">
        <v>74</v>
      </c>
      <c r="Q4" s="1" t="s">
        <v>74</v>
      </c>
      <c r="R4" s="1" t="s">
        <v>74</v>
      </c>
      <c r="S4" s="1" t="s">
        <v>74</v>
      </c>
      <c r="T4" s="1" t="s">
        <v>74</v>
      </c>
      <c r="U4" s="1" t="s">
        <v>74</v>
      </c>
      <c r="V4" s="1" t="s">
        <v>103</v>
      </c>
      <c r="W4" s="1" t="s">
        <v>74</v>
      </c>
      <c r="X4" s="1" t="s">
        <v>74</v>
      </c>
      <c r="Y4" s="1" t="s">
        <v>74</v>
      </c>
      <c r="Z4" s="1" t="s">
        <v>74</v>
      </c>
      <c r="AA4" s="1" t="s">
        <v>104</v>
      </c>
      <c r="AB4" s="1" t="s">
        <v>105</v>
      </c>
      <c r="AC4" s="1" t="s">
        <v>74</v>
      </c>
      <c r="AD4" s="1" t="s">
        <v>74</v>
      </c>
      <c r="AE4" s="1" t="s">
        <v>74</v>
      </c>
      <c r="AF4" s="1" t="s">
        <v>74</v>
      </c>
      <c r="AG4" s="1" t="s">
        <v>74</v>
      </c>
      <c r="AH4" s="1" t="s">
        <v>74</v>
      </c>
      <c r="AI4" s="1" t="s">
        <v>74</v>
      </c>
      <c r="AJ4" s="1" t="s">
        <v>74</v>
      </c>
      <c r="AK4" s="1" t="s">
        <v>74</v>
      </c>
      <c r="AL4" s="1" t="s">
        <v>74</v>
      </c>
      <c r="AM4" s="1" t="s">
        <v>74</v>
      </c>
      <c r="AN4" s="1" t="s">
        <v>74</v>
      </c>
      <c r="AO4" s="1" t="s">
        <v>106</v>
      </c>
      <c r="AP4" s="1" t="s">
        <v>107</v>
      </c>
      <c r="AQ4" s="1" t="s">
        <v>74</v>
      </c>
      <c r="AR4" s="1" t="s">
        <v>74</v>
      </c>
      <c r="AS4" s="1" t="s">
        <v>74</v>
      </c>
      <c r="AT4" s="1" t="s">
        <v>108</v>
      </c>
      <c r="AU4" s="1">
        <v>2010.0</v>
      </c>
      <c r="AV4" s="1">
        <v>81.0</v>
      </c>
      <c r="AW4" s="1">
        <v>18.0</v>
      </c>
      <c r="AX4" s="1" t="s">
        <v>74</v>
      </c>
      <c r="AY4" s="1" t="s">
        <v>74</v>
      </c>
      <c r="AZ4" s="1" t="s">
        <v>74</v>
      </c>
      <c r="BA4" s="1" t="s">
        <v>74</v>
      </c>
      <c r="BB4" s="1" t="s">
        <v>74</v>
      </c>
      <c r="BC4" s="1" t="s">
        <v>74</v>
      </c>
      <c r="BD4" s="1">
        <v>184417.0</v>
      </c>
      <c r="BE4" s="1" t="s">
        <v>109</v>
      </c>
      <c r="BF4" s="2" t="str">
        <f>HYPERLINK("http://dx.doi.org/10.1103/PhysRevB.81.184417","http://dx.doi.org/10.1103/PhysRevB.81.184417")</f>
        <v>http://dx.doi.org/10.1103/PhysRevB.81.184417</v>
      </c>
      <c r="BG4" s="1" t="s">
        <v>74</v>
      </c>
      <c r="BH4" s="1" t="s">
        <v>74</v>
      </c>
      <c r="BI4" s="1" t="s">
        <v>74</v>
      </c>
      <c r="BJ4" s="1" t="s">
        <v>74</v>
      </c>
      <c r="BK4" s="1" t="s">
        <v>74</v>
      </c>
      <c r="BL4" s="1" t="s">
        <v>74</v>
      </c>
      <c r="BM4" s="1" t="s">
        <v>74</v>
      </c>
      <c r="BN4" s="1" t="s">
        <v>74</v>
      </c>
      <c r="BO4" s="1" t="s">
        <v>74</v>
      </c>
      <c r="BP4" s="1" t="s">
        <v>74</v>
      </c>
      <c r="BQ4" s="1" t="s">
        <v>74</v>
      </c>
      <c r="BR4" s="1" t="s">
        <v>74</v>
      </c>
      <c r="BS4" s="1" t="s">
        <v>110</v>
      </c>
      <c r="BT4" s="1" t="str">
        <f>HYPERLINK("https%3A%2F%2Fwww.webofscience.com%2Fwos%2Fwoscc%2Ffull-record%2FWOS:000278141800062","View Full Record in Web of Science")</f>
        <v>View Full Record in Web of Science</v>
      </c>
    </row>
    <row r="5" ht="12.75" customHeight="1">
      <c r="A5" s="1" t="s">
        <v>72</v>
      </c>
      <c r="B5" s="1" t="s">
        <v>111</v>
      </c>
      <c r="C5" s="1" t="s">
        <v>74</v>
      </c>
      <c r="D5" s="1" t="s">
        <v>74</v>
      </c>
      <c r="E5" s="1" t="s">
        <v>74</v>
      </c>
      <c r="F5" s="1" t="s">
        <v>112</v>
      </c>
      <c r="G5" s="1" t="s">
        <v>74</v>
      </c>
      <c r="H5" s="1" t="s">
        <v>74</v>
      </c>
      <c r="I5" s="1" t="s">
        <v>113</v>
      </c>
      <c r="J5" s="1" t="s">
        <v>114</v>
      </c>
      <c r="K5" s="1" t="s">
        <v>74</v>
      </c>
      <c r="L5" s="1" t="s">
        <v>74</v>
      </c>
      <c r="M5" s="1" t="s">
        <v>74</v>
      </c>
      <c r="N5" s="1" t="s">
        <v>74</v>
      </c>
      <c r="O5" s="1" t="s">
        <v>74</v>
      </c>
      <c r="P5" s="1" t="s">
        <v>74</v>
      </c>
      <c r="Q5" s="1" t="s">
        <v>74</v>
      </c>
      <c r="R5" s="1" t="s">
        <v>74</v>
      </c>
      <c r="S5" s="1" t="s">
        <v>74</v>
      </c>
      <c r="T5" s="1" t="s">
        <v>74</v>
      </c>
      <c r="U5" s="1" t="s">
        <v>74</v>
      </c>
      <c r="V5" s="1" t="s">
        <v>115</v>
      </c>
      <c r="W5" s="1" t="s">
        <v>74</v>
      </c>
      <c r="X5" s="1" t="s">
        <v>74</v>
      </c>
      <c r="Y5" s="1" t="s">
        <v>74</v>
      </c>
      <c r="Z5" s="1" t="s">
        <v>74</v>
      </c>
      <c r="AA5" s="1" t="s">
        <v>116</v>
      </c>
      <c r="AB5" s="1" t="s">
        <v>117</v>
      </c>
      <c r="AC5" s="1" t="s">
        <v>74</v>
      </c>
      <c r="AD5" s="1" t="s">
        <v>74</v>
      </c>
      <c r="AE5" s="1" t="s">
        <v>74</v>
      </c>
      <c r="AF5" s="1" t="s">
        <v>74</v>
      </c>
      <c r="AG5" s="1" t="s">
        <v>74</v>
      </c>
      <c r="AH5" s="1" t="s">
        <v>74</v>
      </c>
      <c r="AI5" s="1" t="s">
        <v>74</v>
      </c>
      <c r="AJ5" s="1" t="s">
        <v>74</v>
      </c>
      <c r="AK5" s="1" t="s">
        <v>74</v>
      </c>
      <c r="AL5" s="1" t="s">
        <v>74</v>
      </c>
      <c r="AM5" s="1" t="s">
        <v>74</v>
      </c>
      <c r="AN5" s="1" t="s">
        <v>74</v>
      </c>
      <c r="AO5" s="1" t="s">
        <v>118</v>
      </c>
      <c r="AP5" s="1" t="s">
        <v>74</v>
      </c>
      <c r="AQ5" s="1" t="s">
        <v>74</v>
      </c>
      <c r="AR5" s="1" t="s">
        <v>74</v>
      </c>
      <c r="AS5" s="1" t="s">
        <v>74</v>
      </c>
      <c r="AT5" s="1" t="s">
        <v>119</v>
      </c>
      <c r="AU5" s="1">
        <v>2024.0</v>
      </c>
      <c r="AV5" s="1">
        <v>14.0</v>
      </c>
      <c r="AW5" s="1">
        <v>4.0</v>
      </c>
      <c r="AX5" s="1" t="s">
        <v>74</v>
      </c>
      <c r="AY5" s="1" t="s">
        <v>74</v>
      </c>
      <c r="AZ5" s="1" t="s">
        <v>74</v>
      </c>
      <c r="BA5" s="1" t="s">
        <v>74</v>
      </c>
      <c r="BB5" s="1" t="s">
        <v>74</v>
      </c>
      <c r="BC5" s="1" t="s">
        <v>74</v>
      </c>
      <c r="BD5" s="1">
        <v>526.0</v>
      </c>
      <c r="BE5" s="1" t="s">
        <v>120</v>
      </c>
      <c r="BF5" s="2" t="str">
        <f>HYPERLINK("http://dx.doi.org/10.3390/ani14040526","http://dx.doi.org/10.3390/ani14040526")</f>
        <v>http://dx.doi.org/10.3390/ani14040526</v>
      </c>
      <c r="BG5" s="1" t="s">
        <v>74</v>
      </c>
      <c r="BH5" s="1" t="s">
        <v>74</v>
      </c>
      <c r="BI5" s="1" t="s">
        <v>74</v>
      </c>
      <c r="BJ5" s="1" t="s">
        <v>74</v>
      </c>
      <c r="BK5" s="1" t="s">
        <v>74</v>
      </c>
      <c r="BL5" s="1" t="s">
        <v>74</v>
      </c>
      <c r="BM5" s="1" t="s">
        <v>74</v>
      </c>
      <c r="BN5" s="1">
        <v>3.8396494E7</v>
      </c>
      <c r="BO5" s="1" t="s">
        <v>74</v>
      </c>
      <c r="BP5" s="1" t="s">
        <v>74</v>
      </c>
      <c r="BQ5" s="1" t="s">
        <v>74</v>
      </c>
      <c r="BR5" s="1" t="s">
        <v>74</v>
      </c>
      <c r="BS5" s="1" t="s">
        <v>121</v>
      </c>
      <c r="BT5" s="1" t="str">
        <f>HYPERLINK("https%3A%2F%2Fwww.webofscience.com%2Fwos%2Fwoscc%2Ffull-record%2FWOS:001175100100001","View Full Record in Web of Science")</f>
        <v>View Full Record in Web of Science</v>
      </c>
    </row>
    <row r="6" ht="12.75" customHeight="1">
      <c r="A6" s="1" t="s">
        <v>72</v>
      </c>
      <c r="B6" s="1" t="s">
        <v>122</v>
      </c>
      <c r="C6" s="1" t="s">
        <v>74</v>
      </c>
      <c r="D6" s="1" t="s">
        <v>74</v>
      </c>
      <c r="E6" s="1" t="s">
        <v>74</v>
      </c>
      <c r="F6" s="1" t="s">
        <v>123</v>
      </c>
      <c r="G6" s="1" t="s">
        <v>74</v>
      </c>
      <c r="H6" s="1" t="s">
        <v>74</v>
      </c>
      <c r="I6" s="1" t="s">
        <v>124</v>
      </c>
      <c r="J6" s="1" t="s">
        <v>125</v>
      </c>
      <c r="K6" s="1" t="s">
        <v>74</v>
      </c>
      <c r="L6" s="1" t="s">
        <v>74</v>
      </c>
      <c r="M6" s="1" t="s">
        <v>74</v>
      </c>
      <c r="N6" s="1" t="s">
        <v>74</v>
      </c>
      <c r="O6" s="1" t="s">
        <v>74</v>
      </c>
      <c r="P6" s="1" t="s">
        <v>74</v>
      </c>
      <c r="Q6" s="1" t="s">
        <v>74</v>
      </c>
      <c r="R6" s="1" t="s">
        <v>74</v>
      </c>
      <c r="S6" s="1" t="s">
        <v>74</v>
      </c>
      <c r="T6" s="1" t="s">
        <v>74</v>
      </c>
      <c r="U6" s="1" t="s">
        <v>74</v>
      </c>
      <c r="V6" s="1" t="s">
        <v>126</v>
      </c>
      <c r="W6" s="1" t="s">
        <v>74</v>
      </c>
      <c r="X6" s="1" t="s">
        <v>74</v>
      </c>
      <c r="Y6" s="1" t="s">
        <v>74</v>
      </c>
      <c r="Z6" s="1" t="s">
        <v>74</v>
      </c>
      <c r="AA6" s="1" t="s">
        <v>127</v>
      </c>
      <c r="AB6" s="1" t="s">
        <v>128</v>
      </c>
      <c r="AC6" s="1" t="s">
        <v>74</v>
      </c>
      <c r="AD6" s="1" t="s">
        <v>74</v>
      </c>
      <c r="AE6" s="1" t="s">
        <v>74</v>
      </c>
      <c r="AF6" s="1" t="s">
        <v>74</v>
      </c>
      <c r="AG6" s="1" t="s">
        <v>74</v>
      </c>
      <c r="AH6" s="1" t="s">
        <v>74</v>
      </c>
      <c r="AI6" s="1" t="s">
        <v>74</v>
      </c>
      <c r="AJ6" s="1" t="s">
        <v>74</v>
      </c>
      <c r="AK6" s="1" t="s">
        <v>74</v>
      </c>
      <c r="AL6" s="1" t="s">
        <v>74</v>
      </c>
      <c r="AM6" s="1" t="s">
        <v>74</v>
      </c>
      <c r="AN6" s="1" t="s">
        <v>74</v>
      </c>
      <c r="AO6" s="1" t="s">
        <v>129</v>
      </c>
      <c r="AP6" s="1" t="s">
        <v>74</v>
      </c>
      <c r="AQ6" s="1" t="s">
        <v>74</v>
      </c>
      <c r="AR6" s="1" t="s">
        <v>74</v>
      </c>
      <c r="AS6" s="1" t="s">
        <v>74</v>
      </c>
      <c r="AT6" s="1" t="s">
        <v>130</v>
      </c>
      <c r="AU6" s="1">
        <v>2024.0</v>
      </c>
      <c r="AV6" s="1">
        <v>39.0</v>
      </c>
      <c r="AW6" s="1" t="s">
        <v>74</v>
      </c>
      <c r="AX6" s="1" t="s">
        <v>74</v>
      </c>
      <c r="AY6" s="1" t="s">
        <v>74</v>
      </c>
      <c r="AZ6" s="1" t="s">
        <v>74</v>
      </c>
      <c r="BA6" s="1" t="s">
        <v>74</v>
      </c>
      <c r="BB6" s="1" t="s">
        <v>74</v>
      </c>
      <c r="BC6" s="1" t="s">
        <v>74</v>
      </c>
      <c r="BD6" s="1">
        <v>100904.0</v>
      </c>
      <c r="BE6" s="1" t="s">
        <v>131</v>
      </c>
      <c r="BF6" s="2" t="str">
        <f>HYPERLINK("http://dx.doi.org/10.1016/j.lana.2024.100904","http://dx.doi.org/10.1016/j.lana.2024.100904")</f>
        <v>http://dx.doi.org/10.1016/j.lana.2024.100904</v>
      </c>
      <c r="BG6" s="1" t="s">
        <v>74</v>
      </c>
      <c r="BH6" s="1" t="s">
        <v>132</v>
      </c>
      <c r="BI6" s="1" t="s">
        <v>74</v>
      </c>
      <c r="BJ6" s="1" t="s">
        <v>74</v>
      </c>
      <c r="BK6" s="1" t="s">
        <v>74</v>
      </c>
      <c r="BL6" s="1" t="s">
        <v>74</v>
      </c>
      <c r="BM6" s="1" t="s">
        <v>74</v>
      </c>
      <c r="BN6" s="1">
        <v>3.9430885E7</v>
      </c>
      <c r="BO6" s="1" t="s">
        <v>74</v>
      </c>
      <c r="BP6" s="1" t="s">
        <v>74</v>
      </c>
      <c r="BQ6" s="1" t="s">
        <v>74</v>
      </c>
      <c r="BR6" s="1" t="s">
        <v>74</v>
      </c>
      <c r="BS6" s="1" t="s">
        <v>133</v>
      </c>
      <c r="BT6" s="1" t="str">
        <f>HYPERLINK("https%3A%2F%2Fwww.webofscience.com%2Fwos%2Fwoscc%2Ffull-record%2FWOS:001331627000001","View Full Record in Web of Science")</f>
        <v>View Full Record in Web of Science</v>
      </c>
    </row>
    <row r="7" ht="12.75" customHeight="1">
      <c r="A7" s="1" t="s">
        <v>72</v>
      </c>
      <c r="B7" s="1" t="s">
        <v>134</v>
      </c>
      <c r="C7" s="1" t="s">
        <v>74</v>
      </c>
      <c r="D7" s="1" t="s">
        <v>74</v>
      </c>
      <c r="E7" s="1" t="s">
        <v>74</v>
      </c>
      <c r="F7" s="1" t="s">
        <v>135</v>
      </c>
      <c r="G7" s="1" t="s">
        <v>74</v>
      </c>
      <c r="H7" s="1" t="s">
        <v>74</v>
      </c>
      <c r="I7" s="1" t="s">
        <v>136</v>
      </c>
      <c r="J7" s="1" t="s">
        <v>137</v>
      </c>
      <c r="K7" s="1" t="s">
        <v>74</v>
      </c>
      <c r="L7" s="1" t="s">
        <v>74</v>
      </c>
      <c r="M7" s="1" t="s">
        <v>74</v>
      </c>
      <c r="N7" s="1" t="s">
        <v>74</v>
      </c>
      <c r="O7" s="1" t="s">
        <v>74</v>
      </c>
      <c r="P7" s="1" t="s">
        <v>74</v>
      </c>
      <c r="Q7" s="1" t="s">
        <v>74</v>
      </c>
      <c r="R7" s="1" t="s">
        <v>74</v>
      </c>
      <c r="S7" s="1" t="s">
        <v>74</v>
      </c>
      <c r="T7" s="1" t="s">
        <v>74</v>
      </c>
      <c r="U7" s="1" t="s">
        <v>74</v>
      </c>
      <c r="V7" s="1" t="s">
        <v>138</v>
      </c>
      <c r="W7" s="1" t="s">
        <v>74</v>
      </c>
      <c r="X7" s="1" t="s">
        <v>74</v>
      </c>
      <c r="Y7" s="1" t="s">
        <v>74</v>
      </c>
      <c r="Z7" s="1" t="s">
        <v>74</v>
      </c>
      <c r="AA7" s="1" t="s">
        <v>139</v>
      </c>
      <c r="AB7" s="1" t="s">
        <v>140</v>
      </c>
      <c r="AC7" s="1" t="s">
        <v>74</v>
      </c>
      <c r="AD7" s="1" t="s">
        <v>74</v>
      </c>
      <c r="AE7" s="1" t="s">
        <v>74</v>
      </c>
      <c r="AF7" s="1" t="s">
        <v>74</v>
      </c>
      <c r="AG7" s="1" t="s">
        <v>74</v>
      </c>
      <c r="AH7" s="1" t="s">
        <v>74</v>
      </c>
      <c r="AI7" s="1" t="s">
        <v>74</v>
      </c>
      <c r="AJ7" s="1" t="s">
        <v>74</v>
      </c>
      <c r="AK7" s="1" t="s">
        <v>74</v>
      </c>
      <c r="AL7" s="1" t="s">
        <v>74</v>
      </c>
      <c r="AM7" s="1" t="s">
        <v>74</v>
      </c>
      <c r="AN7" s="1" t="s">
        <v>74</v>
      </c>
      <c r="AO7" s="1" t="s">
        <v>141</v>
      </c>
      <c r="AP7" s="1" t="s">
        <v>142</v>
      </c>
      <c r="AQ7" s="1" t="s">
        <v>74</v>
      </c>
      <c r="AR7" s="1" t="s">
        <v>74</v>
      </c>
      <c r="AS7" s="1" t="s">
        <v>74</v>
      </c>
      <c r="AT7" s="1" t="s">
        <v>143</v>
      </c>
      <c r="AU7" s="1">
        <v>2023.0</v>
      </c>
      <c r="AV7" s="1">
        <v>17.0</v>
      </c>
      <c r="AW7" s="1">
        <v>11.0</v>
      </c>
      <c r="AX7" s="1" t="s">
        <v>74</v>
      </c>
      <c r="AY7" s="1" t="s">
        <v>74</v>
      </c>
      <c r="AZ7" s="1" t="s">
        <v>74</v>
      </c>
      <c r="BA7" s="1" t="s">
        <v>74</v>
      </c>
      <c r="BB7" s="1">
        <v>4995.0</v>
      </c>
      <c r="BC7" s="1">
        <v>5006.0</v>
      </c>
      <c r="BD7" s="1" t="s">
        <v>74</v>
      </c>
      <c r="BE7" s="1" t="s">
        <v>144</v>
      </c>
      <c r="BF7" s="2" t="str">
        <f>HYPERLINK("http://dx.doi.org/10.5194/tc-17-4995-2023","http://dx.doi.org/10.5194/tc-17-4995-2023")</f>
        <v>http://dx.doi.org/10.5194/tc-17-4995-2023</v>
      </c>
      <c r="BG7" s="1" t="s">
        <v>74</v>
      </c>
      <c r="BH7" s="1" t="s">
        <v>74</v>
      </c>
      <c r="BI7" s="1" t="s">
        <v>74</v>
      </c>
      <c r="BJ7" s="1" t="s">
        <v>74</v>
      </c>
      <c r="BK7" s="1" t="s">
        <v>74</v>
      </c>
      <c r="BL7" s="1" t="s">
        <v>74</v>
      </c>
      <c r="BM7" s="1" t="s">
        <v>74</v>
      </c>
      <c r="BN7" s="1" t="s">
        <v>74</v>
      </c>
      <c r="BO7" s="1" t="s">
        <v>74</v>
      </c>
      <c r="BP7" s="1" t="s">
        <v>74</v>
      </c>
      <c r="BQ7" s="1" t="s">
        <v>74</v>
      </c>
      <c r="BR7" s="1" t="s">
        <v>74</v>
      </c>
      <c r="BS7" s="1" t="s">
        <v>145</v>
      </c>
      <c r="BT7" s="1" t="str">
        <f>HYPERLINK("https%3A%2F%2Fwww.webofscience.com%2Fwos%2Fwoscc%2Ffull-record%2FWOS:001168840600001","View Full Record in Web of Science")</f>
        <v>View Full Record in Web of Science</v>
      </c>
    </row>
    <row r="8" ht="12.75" customHeight="1">
      <c r="A8" s="1" t="s">
        <v>72</v>
      </c>
      <c r="B8" s="1" t="s">
        <v>146</v>
      </c>
      <c r="C8" s="1" t="s">
        <v>74</v>
      </c>
      <c r="D8" s="1" t="s">
        <v>74</v>
      </c>
      <c r="E8" s="1" t="s">
        <v>74</v>
      </c>
      <c r="F8" s="1" t="s">
        <v>147</v>
      </c>
      <c r="G8" s="1" t="s">
        <v>74</v>
      </c>
      <c r="H8" s="1" t="s">
        <v>74</v>
      </c>
      <c r="I8" s="1" t="s">
        <v>148</v>
      </c>
      <c r="J8" s="1" t="s">
        <v>149</v>
      </c>
      <c r="K8" s="1" t="s">
        <v>74</v>
      </c>
      <c r="L8" s="1" t="s">
        <v>74</v>
      </c>
      <c r="M8" s="1" t="s">
        <v>74</v>
      </c>
      <c r="N8" s="1" t="s">
        <v>74</v>
      </c>
      <c r="O8" s="1" t="s">
        <v>74</v>
      </c>
      <c r="P8" s="1" t="s">
        <v>74</v>
      </c>
      <c r="Q8" s="1" t="s">
        <v>74</v>
      </c>
      <c r="R8" s="1" t="s">
        <v>74</v>
      </c>
      <c r="S8" s="1" t="s">
        <v>74</v>
      </c>
      <c r="T8" s="1" t="s">
        <v>74</v>
      </c>
      <c r="U8" s="1" t="s">
        <v>74</v>
      </c>
      <c r="V8" s="1" t="s">
        <v>150</v>
      </c>
      <c r="W8" s="1" t="s">
        <v>74</v>
      </c>
      <c r="X8" s="1" t="s">
        <v>74</v>
      </c>
      <c r="Y8" s="1" t="s">
        <v>74</v>
      </c>
      <c r="Z8" s="1" t="s">
        <v>74</v>
      </c>
      <c r="AA8" s="1" t="s">
        <v>151</v>
      </c>
      <c r="AB8" s="1" t="s">
        <v>152</v>
      </c>
      <c r="AC8" s="1" t="s">
        <v>74</v>
      </c>
      <c r="AD8" s="1" t="s">
        <v>74</v>
      </c>
      <c r="AE8" s="1" t="s">
        <v>74</v>
      </c>
      <c r="AF8" s="1" t="s">
        <v>74</v>
      </c>
      <c r="AG8" s="1" t="s">
        <v>74</v>
      </c>
      <c r="AH8" s="1" t="s">
        <v>74</v>
      </c>
      <c r="AI8" s="1" t="s">
        <v>74</v>
      </c>
      <c r="AJ8" s="1" t="s">
        <v>74</v>
      </c>
      <c r="AK8" s="1" t="s">
        <v>74</v>
      </c>
      <c r="AL8" s="1" t="s">
        <v>74</v>
      </c>
      <c r="AM8" s="1" t="s">
        <v>74</v>
      </c>
      <c r="AN8" s="1" t="s">
        <v>74</v>
      </c>
      <c r="AO8" s="1" t="s">
        <v>74</v>
      </c>
      <c r="AP8" s="1" t="s">
        <v>153</v>
      </c>
      <c r="AQ8" s="1" t="s">
        <v>74</v>
      </c>
      <c r="AR8" s="1" t="s">
        <v>74</v>
      </c>
      <c r="AS8" s="1" t="s">
        <v>74</v>
      </c>
      <c r="AT8" s="1" t="s">
        <v>154</v>
      </c>
      <c r="AU8" s="1">
        <v>2023.0</v>
      </c>
      <c r="AV8" s="1">
        <v>14.0</v>
      </c>
      <c r="AW8" s="1">
        <v>1.0</v>
      </c>
      <c r="AX8" s="1" t="s">
        <v>74</v>
      </c>
      <c r="AY8" s="1" t="s">
        <v>74</v>
      </c>
      <c r="AZ8" s="1" t="s">
        <v>74</v>
      </c>
      <c r="BA8" s="1" t="s">
        <v>74</v>
      </c>
      <c r="BB8" s="1" t="s">
        <v>74</v>
      </c>
      <c r="BC8" s="1" t="s">
        <v>74</v>
      </c>
      <c r="BD8" s="1">
        <v>6434.0</v>
      </c>
      <c r="BE8" s="1" t="s">
        <v>155</v>
      </c>
      <c r="BF8" s="2" t="str">
        <f>HYPERLINK("http://dx.doi.org/10.1038/s41467-023-41458-5","http://dx.doi.org/10.1038/s41467-023-41458-5")</f>
        <v>http://dx.doi.org/10.1038/s41467-023-41458-5</v>
      </c>
      <c r="BG8" s="1" t="s">
        <v>74</v>
      </c>
      <c r="BH8" s="1" t="s">
        <v>74</v>
      </c>
      <c r="BI8" s="1" t="s">
        <v>74</v>
      </c>
      <c r="BJ8" s="1" t="s">
        <v>74</v>
      </c>
      <c r="BK8" s="1" t="s">
        <v>74</v>
      </c>
      <c r="BL8" s="1" t="s">
        <v>74</v>
      </c>
      <c r="BM8" s="1" t="s">
        <v>74</v>
      </c>
      <c r="BN8" s="1">
        <v>3.7852971E7</v>
      </c>
      <c r="BO8" s="1" t="s">
        <v>74</v>
      </c>
      <c r="BP8" s="1" t="s">
        <v>74</v>
      </c>
      <c r="BQ8" s="1" t="s">
        <v>74</v>
      </c>
      <c r="BR8" s="1" t="s">
        <v>74</v>
      </c>
      <c r="BS8" s="1" t="s">
        <v>156</v>
      </c>
      <c r="BT8" s="1" t="str">
        <f>HYPERLINK("https%3A%2F%2Fwww.webofscience.com%2Fwos%2Fwoscc%2Ffull-record%2FWOS:001100768000016","View Full Record in Web of Science")</f>
        <v>View Full Record in Web of Science</v>
      </c>
    </row>
    <row r="9" ht="12.75" customHeight="1">
      <c r="A9" s="1" t="s">
        <v>72</v>
      </c>
      <c r="B9" s="1" t="s">
        <v>157</v>
      </c>
      <c r="C9" s="1" t="s">
        <v>74</v>
      </c>
      <c r="D9" s="1" t="s">
        <v>74</v>
      </c>
      <c r="E9" s="1" t="s">
        <v>74</v>
      </c>
      <c r="F9" s="1" t="s">
        <v>158</v>
      </c>
      <c r="G9" s="1" t="s">
        <v>74</v>
      </c>
      <c r="H9" s="1" t="s">
        <v>74</v>
      </c>
      <c r="I9" s="1" t="s">
        <v>159</v>
      </c>
      <c r="J9" s="1" t="s">
        <v>160</v>
      </c>
      <c r="K9" s="1" t="s">
        <v>74</v>
      </c>
      <c r="L9" s="1" t="s">
        <v>74</v>
      </c>
      <c r="M9" s="1" t="s">
        <v>74</v>
      </c>
      <c r="N9" s="1" t="s">
        <v>74</v>
      </c>
      <c r="O9" s="1" t="s">
        <v>74</v>
      </c>
      <c r="P9" s="1" t="s">
        <v>74</v>
      </c>
      <c r="Q9" s="1" t="s">
        <v>74</v>
      </c>
      <c r="R9" s="1" t="s">
        <v>74</v>
      </c>
      <c r="S9" s="1" t="s">
        <v>74</v>
      </c>
      <c r="T9" s="1" t="s">
        <v>74</v>
      </c>
      <c r="U9" s="1" t="s">
        <v>74</v>
      </c>
      <c r="V9" s="1" t="s">
        <v>161</v>
      </c>
      <c r="W9" s="1" t="s">
        <v>74</v>
      </c>
      <c r="X9" s="1" t="s">
        <v>74</v>
      </c>
      <c r="Y9" s="1" t="s">
        <v>74</v>
      </c>
      <c r="Z9" s="1" t="s">
        <v>74</v>
      </c>
      <c r="AA9" s="1" t="s">
        <v>162</v>
      </c>
      <c r="AB9" s="1" t="s">
        <v>163</v>
      </c>
      <c r="AC9" s="1" t="s">
        <v>74</v>
      </c>
      <c r="AD9" s="1" t="s">
        <v>74</v>
      </c>
      <c r="AE9" s="1" t="s">
        <v>74</v>
      </c>
      <c r="AF9" s="1" t="s">
        <v>74</v>
      </c>
      <c r="AG9" s="1" t="s">
        <v>74</v>
      </c>
      <c r="AH9" s="1" t="s">
        <v>74</v>
      </c>
      <c r="AI9" s="1" t="s">
        <v>74</v>
      </c>
      <c r="AJ9" s="1" t="s">
        <v>74</v>
      </c>
      <c r="AK9" s="1" t="s">
        <v>74</v>
      </c>
      <c r="AL9" s="1" t="s">
        <v>74</v>
      </c>
      <c r="AM9" s="1" t="s">
        <v>74</v>
      </c>
      <c r="AN9" s="1" t="s">
        <v>74</v>
      </c>
      <c r="AO9" s="1" t="s">
        <v>164</v>
      </c>
      <c r="AP9" s="1" t="s">
        <v>165</v>
      </c>
      <c r="AQ9" s="1" t="s">
        <v>74</v>
      </c>
      <c r="AR9" s="1" t="s">
        <v>74</v>
      </c>
      <c r="AS9" s="1" t="s">
        <v>74</v>
      </c>
      <c r="AT9" s="1" t="s">
        <v>119</v>
      </c>
      <c r="AU9" s="1">
        <v>2023.0</v>
      </c>
      <c r="AV9" s="1">
        <v>251.0</v>
      </c>
      <c r="AW9" s="1" t="s">
        <v>74</v>
      </c>
      <c r="AX9" s="1" t="s">
        <v>74</v>
      </c>
      <c r="AY9" s="1" t="s">
        <v>74</v>
      </c>
      <c r="AZ9" s="1" t="s">
        <v>74</v>
      </c>
      <c r="BA9" s="1" t="s">
        <v>74</v>
      </c>
      <c r="BB9" s="1">
        <v>261.0</v>
      </c>
      <c r="BC9" s="1">
        <v>285.0</v>
      </c>
      <c r="BD9" s="1" t="s">
        <v>74</v>
      </c>
      <c r="BE9" s="1" t="s">
        <v>166</v>
      </c>
      <c r="BF9" s="2" t="str">
        <f>HYPERLINK("http://dx.doi.org/10.1016/j.solener.2023.01.010","http://dx.doi.org/10.1016/j.solener.2023.01.010")</f>
        <v>http://dx.doi.org/10.1016/j.solener.2023.01.010</v>
      </c>
      <c r="BG9" s="1" t="s">
        <v>74</v>
      </c>
      <c r="BH9" s="1" t="s">
        <v>167</v>
      </c>
      <c r="BI9" s="1" t="s">
        <v>74</v>
      </c>
      <c r="BJ9" s="1" t="s">
        <v>74</v>
      </c>
      <c r="BK9" s="1" t="s">
        <v>74</v>
      </c>
      <c r="BL9" s="1" t="s">
        <v>74</v>
      </c>
      <c r="BM9" s="1" t="s">
        <v>74</v>
      </c>
      <c r="BN9" s="1" t="s">
        <v>74</v>
      </c>
      <c r="BO9" s="1" t="s">
        <v>74</v>
      </c>
      <c r="BP9" s="1" t="s">
        <v>74</v>
      </c>
      <c r="BQ9" s="1" t="s">
        <v>74</v>
      </c>
      <c r="BR9" s="1" t="s">
        <v>74</v>
      </c>
      <c r="BS9" s="1" t="s">
        <v>168</v>
      </c>
      <c r="BT9" s="1" t="str">
        <f>HYPERLINK("https%3A%2F%2Fwww.webofscience.com%2Fwos%2Fwoscc%2Ffull-record%2FWOS:000926054600001","View Full Record in Web of Science")</f>
        <v>View Full Record in Web of Science</v>
      </c>
    </row>
    <row r="10" ht="12.75" customHeight="1">
      <c r="A10" s="1" t="s">
        <v>72</v>
      </c>
      <c r="B10" s="1" t="s">
        <v>169</v>
      </c>
      <c r="C10" s="1" t="s">
        <v>74</v>
      </c>
      <c r="D10" s="1" t="s">
        <v>74</v>
      </c>
      <c r="E10" s="1" t="s">
        <v>74</v>
      </c>
      <c r="F10" s="1" t="s">
        <v>170</v>
      </c>
      <c r="G10" s="1" t="s">
        <v>74</v>
      </c>
      <c r="H10" s="1" t="s">
        <v>74</v>
      </c>
      <c r="I10" s="1" t="s">
        <v>171</v>
      </c>
      <c r="J10" s="1" t="s">
        <v>172</v>
      </c>
      <c r="K10" s="1" t="s">
        <v>74</v>
      </c>
      <c r="L10" s="1" t="s">
        <v>74</v>
      </c>
      <c r="M10" s="1" t="s">
        <v>74</v>
      </c>
      <c r="N10" s="1" t="s">
        <v>74</v>
      </c>
      <c r="O10" s="1" t="s">
        <v>74</v>
      </c>
      <c r="P10" s="1" t="s">
        <v>74</v>
      </c>
      <c r="Q10" s="1" t="s">
        <v>74</v>
      </c>
      <c r="R10" s="1" t="s">
        <v>74</v>
      </c>
      <c r="S10" s="1" t="s">
        <v>74</v>
      </c>
      <c r="T10" s="1" t="s">
        <v>74</v>
      </c>
      <c r="U10" s="1" t="s">
        <v>74</v>
      </c>
      <c r="V10" s="1" t="s">
        <v>74</v>
      </c>
      <c r="W10" s="1" t="s">
        <v>74</v>
      </c>
      <c r="X10" s="1" t="s">
        <v>74</v>
      </c>
      <c r="Y10" s="1" t="s">
        <v>74</v>
      </c>
      <c r="Z10" s="1" t="s">
        <v>74</v>
      </c>
      <c r="AA10" s="1" t="s">
        <v>173</v>
      </c>
      <c r="AB10" s="1" t="s">
        <v>174</v>
      </c>
      <c r="AC10" s="1" t="s">
        <v>74</v>
      </c>
      <c r="AD10" s="1" t="s">
        <v>74</v>
      </c>
      <c r="AE10" s="1" t="s">
        <v>74</v>
      </c>
      <c r="AF10" s="1" t="s">
        <v>74</v>
      </c>
      <c r="AG10" s="1" t="s">
        <v>74</v>
      </c>
      <c r="AH10" s="1" t="s">
        <v>74</v>
      </c>
      <c r="AI10" s="1" t="s">
        <v>74</v>
      </c>
      <c r="AJ10" s="1" t="s">
        <v>74</v>
      </c>
      <c r="AK10" s="1" t="s">
        <v>74</v>
      </c>
      <c r="AL10" s="1" t="s">
        <v>74</v>
      </c>
      <c r="AM10" s="1" t="s">
        <v>74</v>
      </c>
      <c r="AN10" s="1" t="s">
        <v>74</v>
      </c>
      <c r="AO10" s="1" t="s">
        <v>74</v>
      </c>
      <c r="AP10" s="1" t="s">
        <v>175</v>
      </c>
      <c r="AQ10" s="1" t="s">
        <v>74</v>
      </c>
      <c r="AR10" s="1" t="s">
        <v>74</v>
      </c>
      <c r="AS10" s="1" t="s">
        <v>74</v>
      </c>
      <c r="AT10" s="1" t="s">
        <v>176</v>
      </c>
      <c r="AU10" s="1">
        <v>2022.0</v>
      </c>
      <c r="AV10" s="1">
        <v>13.0</v>
      </c>
      <c r="AW10" s="1" t="s">
        <v>74</v>
      </c>
      <c r="AX10" s="1" t="s">
        <v>74</v>
      </c>
      <c r="AY10" s="1" t="s">
        <v>74</v>
      </c>
      <c r="AZ10" s="1" t="s">
        <v>74</v>
      </c>
      <c r="BA10" s="1" t="s">
        <v>74</v>
      </c>
      <c r="BB10" s="1" t="s">
        <v>74</v>
      </c>
      <c r="BC10" s="1" t="s">
        <v>74</v>
      </c>
      <c r="BD10" s="1">
        <v>997577.0</v>
      </c>
      <c r="BE10" s="1" t="s">
        <v>177</v>
      </c>
      <c r="BF10" s="2" t="str">
        <f>HYPERLINK("http://dx.doi.org/10.3389/fphar.2022.997577","http://dx.doi.org/10.3389/fphar.2022.997577")</f>
        <v>http://dx.doi.org/10.3389/fphar.2022.997577</v>
      </c>
      <c r="BG10" s="1" t="s">
        <v>74</v>
      </c>
      <c r="BH10" s="1" t="s">
        <v>74</v>
      </c>
      <c r="BI10" s="1" t="s">
        <v>74</v>
      </c>
      <c r="BJ10" s="1" t="s">
        <v>74</v>
      </c>
      <c r="BK10" s="1" t="s">
        <v>74</v>
      </c>
      <c r="BL10" s="1" t="s">
        <v>74</v>
      </c>
      <c r="BM10" s="1" t="s">
        <v>74</v>
      </c>
      <c r="BN10" s="1">
        <v>3.6204218E7</v>
      </c>
      <c r="BO10" s="1" t="s">
        <v>74</v>
      </c>
      <c r="BP10" s="1" t="s">
        <v>74</v>
      </c>
      <c r="BQ10" s="1" t="s">
        <v>74</v>
      </c>
      <c r="BR10" s="1" t="s">
        <v>74</v>
      </c>
      <c r="BS10" s="1" t="s">
        <v>178</v>
      </c>
      <c r="BT10" s="1" t="str">
        <f>HYPERLINK("https%3A%2F%2Fwww.webofscience.com%2Fwos%2Fwoscc%2Ffull-record%2FWOS:000869092300001","View Full Record in Web of Science")</f>
        <v>View Full Record in Web of Science</v>
      </c>
    </row>
    <row r="11" ht="12.75" customHeight="1">
      <c r="A11" s="1" t="s">
        <v>72</v>
      </c>
      <c r="B11" s="1" t="s">
        <v>179</v>
      </c>
      <c r="C11" s="1" t="s">
        <v>74</v>
      </c>
      <c r="D11" s="1" t="s">
        <v>74</v>
      </c>
      <c r="E11" s="1" t="s">
        <v>74</v>
      </c>
      <c r="F11" s="1" t="s">
        <v>180</v>
      </c>
      <c r="G11" s="1" t="s">
        <v>74</v>
      </c>
      <c r="H11" s="1" t="s">
        <v>74</v>
      </c>
      <c r="I11" s="1" t="s">
        <v>181</v>
      </c>
      <c r="J11" s="1" t="s">
        <v>182</v>
      </c>
      <c r="K11" s="1" t="s">
        <v>74</v>
      </c>
      <c r="L11" s="1" t="s">
        <v>74</v>
      </c>
      <c r="M11" s="1" t="s">
        <v>74</v>
      </c>
      <c r="N11" s="1" t="s">
        <v>74</v>
      </c>
      <c r="O11" s="1" t="s">
        <v>74</v>
      </c>
      <c r="P11" s="1" t="s">
        <v>74</v>
      </c>
      <c r="Q11" s="1" t="s">
        <v>74</v>
      </c>
      <c r="R11" s="1" t="s">
        <v>74</v>
      </c>
      <c r="S11" s="1" t="s">
        <v>74</v>
      </c>
      <c r="T11" s="1" t="s">
        <v>74</v>
      </c>
      <c r="U11" s="1" t="s">
        <v>74</v>
      </c>
      <c r="V11" s="1" t="s">
        <v>183</v>
      </c>
      <c r="W11" s="1" t="s">
        <v>74</v>
      </c>
      <c r="X11" s="1" t="s">
        <v>74</v>
      </c>
      <c r="Y11" s="1" t="s">
        <v>74</v>
      </c>
      <c r="Z11" s="1" t="s">
        <v>74</v>
      </c>
      <c r="AA11" s="1" t="s">
        <v>184</v>
      </c>
      <c r="AB11" s="1" t="s">
        <v>185</v>
      </c>
      <c r="AC11" s="1" t="s">
        <v>74</v>
      </c>
      <c r="AD11" s="1" t="s">
        <v>74</v>
      </c>
      <c r="AE11" s="1" t="s">
        <v>74</v>
      </c>
      <c r="AF11" s="1" t="s">
        <v>74</v>
      </c>
      <c r="AG11" s="1" t="s">
        <v>74</v>
      </c>
      <c r="AH11" s="1" t="s">
        <v>74</v>
      </c>
      <c r="AI11" s="1" t="s">
        <v>74</v>
      </c>
      <c r="AJ11" s="1" t="s">
        <v>74</v>
      </c>
      <c r="AK11" s="1" t="s">
        <v>74</v>
      </c>
      <c r="AL11" s="1" t="s">
        <v>74</v>
      </c>
      <c r="AM11" s="1" t="s">
        <v>74</v>
      </c>
      <c r="AN11" s="1" t="s">
        <v>74</v>
      </c>
      <c r="AO11" s="1" t="s">
        <v>186</v>
      </c>
      <c r="AP11" s="1" t="s">
        <v>187</v>
      </c>
      <c r="AQ11" s="1" t="s">
        <v>74</v>
      </c>
      <c r="AR11" s="1" t="s">
        <v>74</v>
      </c>
      <c r="AS11" s="1" t="s">
        <v>74</v>
      </c>
      <c r="AT11" s="1" t="s">
        <v>188</v>
      </c>
      <c r="AU11" s="1">
        <v>2020.0</v>
      </c>
      <c r="AV11" s="1">
        <v>17.0</v>
      </c>
      <c r="AW11" s="1">
        <v>8.0</v>
      </c>
      <c r="AX11" s="1" t="s">
        <v>74</v>
      </c>
      <c r="AY11" s="1" t="s">
        <v>74</v>
      </c>
      <c r="AZ11" s="1" t="s">
        <v>74</v>
      </c>
      <c r="BA11" s="1" t="s">
        <v>74</v>
      </c>
      <c r="BB11" s="1">
        <v>807.0</v>
      </c>
      <c r="BC11" s="1">
        <v>815.0</v>
      </c>
      <c r="BD11" s="1" t="s">
        <v>74</v>
      </c>
      <c r="BE11" s="1" t="s">
        <v>189</v>
      </c>
      <c r="BF11" s="2" t="str">
        <f>HYPERLINK("http://dx.doi.org/10.1123/jpah.2020-0120","http://dx.doi.org/10.1123/jpah.2020-0120")</f>
        <v>http://dx.doi.org/10.1123/jpah.2020-0120</v>
      </c>
      <c r="BG11" s="1" t="s">
        <v>74</v>
      </c>
      <c r="BH11" s="1" t="s">
        <v>74</v>
      </c>
      <c r="BI11" s="1" t="s">
        <v>74</v>
      </c>
      <c r="BJ11" s="1" t="s">
        <v>74</v>
      </c>
      <c r="BK11" s="1" t="s">
        <v>74</v>
      </c>
      <c r="BL11" s="1" t="s">
        <v>74</v>
      </c>
      <c r="BM11" s="1" t="s">
        <v>74</v>
      </c>
      <c r="BN11" s="1">
        <v>3.2668409E7</v>
      </c>
      <c r="BO11" s="1" t="s">
        <v>74</v>
      </c>
      <c r="BP11" s="1" t="s">
        <v>74</v>
      </c>
      <c r="BQ11" s="1" t="s">
        <v>74</v>
      </c>
      <c r="BR11" s="1" t="s">
        <v>74</v>
      </c>
      <c r="BS11" s="1" t="s">
        <v>190</v>
      </c>
      <c r="BT11" s="1" t="str">
        <f>HYPERLINK("https%3A%2F%2Fwww.webofscience.com%2Fwos%2Fwoscc%2Ffull-record%2FWOS:000556530000005","View Full Record in Web of Science")</f>
        <v>View Full Record in Web of Science</v>
      </c>
    </row>
    <row r="12" ht="12.75" customHeight="1">
      <c r="A12" s="1" t="s">
        <v>72</v>
      </c>
      <c r="B12" s="1" t="s">
        <v>191</v>
      </c>
      <c r="C12" s="1" t="s">
        <v>74</v>
      </c>
      <c r="D12" s="1" t="s">
        <v>74</v>
      </c>
      <c r="E12" s="1" t="s">
        <v>74</v>
      </c>
      <c r="F12" s="1" t="s">
        <v>192</v>
      </c>
      <c r="G12" s="1" t="s">
        <v>74</v>
      </c>
      <c r="H12" s="1" t="s">
        <v>74</v>
      </c>
      <c r="I12" s="1" t="s">
        <v>193</v>
      </c>
      <c r="J12" s="1" t="s">
        <v>194</v>
      </c>
      <c r="K12" s="1" t="s">
        <v>74</v>
      </c>
      <c r="L12" s="1" t="s">
        <v>74</v>
      </c>
      <c r="M12" s="1" t="s">
        <v>74</v>
      </c>
      <c r="N12" s="1" t="s">
        <v>74</v>
      </c>
      <c r="O12" s="1" t="s">
        <v>74</v>
      </c>
      <c r="P12" s="1" t="s">
        <v>74</v>
      </c>
      <c r="Q12" s="1" t="s">
        <v>74</v>
      </c>
      <c r="R12" s="1" t="s">
        <v>74</v>
      </c>
      <c r="S12" s="1" t="s">
        <v>74</v>
      </c>
      <c r="T12" s="1" t="s">
        <v>74</v>
      </c>
      <c r="U12" s="1" t="s">
        <v>74</v>
      </c>
      <c r="V12" s="1" t="s">
        <v>195</v>
      </c>
      <c r="W12" s="1" t="s">
        <v>74</v>
      </c>
      <c r="X12" s="1" t="s">
        <v>74</v>
      </c>
      <c r="Y12" s="1" t="s">
        <v>74</v>
      </c>
      <c r="Z12" s="1" t="s">
        <v>74</v>
      </c>
      <c r="AA12" s="1" t="s">
        <v>196</v>
      </c>
      <c r="AB12" s="1" t="s">
        <v>197</v>
      </c>
      <c r="AC12" s="1" t="s">
        <v>74</v>
      </c>
      <c r="AD12" s="1" t="s">
        <v>74</v>
      </c>
      <c r="AE12" s="1" t="s">
        <v>74</v>
      </c>
      <c r="AF12" s="1" t="s">
        <v>74</v>
      </c>
      <c r="AG12" s="1" t="s">
        <v>74</v>
      </c>
      <c r="AH12" s="1" t="s">
        <v>74</v>
      </c>
      <c r="AI12" s="1" t="s">
        <v>74</v>
      </c>
      <c r="AJ12" s="1" t="s">
        <v>74</v>
      </c>
      <c r="AK12" s="1" t="s">
        <v>74</v>
      </c>
      <c r="AL12" s="1" t="s">
        <v>74</v>
      </c>
      <c r="AM12" s="1" t="s">
        <v>74</v>
      </c>
      <c r="AN12" s="1" t="s">
        <v>74</v>
      </c>
      <c r="AO12" s="1" t="s">
        <v>198</v>
      </c>
      <c r="AP12" s="1" t="s">
        <v>199</v>
      </c>
      <c r="AQ12" s="1" t="s">
        <v>74</v>
      </c>
      <c r="AR12" s="1" t="s">
        <v>74</v>
      </c>
      <c r="AS12" s="1" t="s">
        <v>74</v>
      </c>
      <c r="AT12" s="1" t="s">
        <v>200</v>
      </c>
      <c r="AU12" s="1">
        <v>2023.0</v>
      </c>
      <c r="AV12" s="1">
        <v>183.0</v>
      </c>
      <c r="AW12" s="1" t="s">
        <v>74</v>
      </c>
      <c r="AX12" s="1" t="s">
        <v>74</v>
      </c>
      <c r="AY12" s="1" t="s">
        <v>74</v>
      </c>
      <c r="AZ12" s="1" t="s">
        <v>74</v>
      </c>
      <c r="BA12" s="1" t="s">
        <v>74</v>
      </c>
      <c r="BB12" s="1" t="s">
        <v>74</v>
      </c>
      <c r="BC12" s="1" t="s">
        <v>74</v>
      </c>
      <c r="BD12" s="1">
        <v>106171.0</v>
      </c>
      <c r="BE12" s="1" t="s">
        <v>201</v>
      </c>
      <c r="BF12" s="2" t="str">
        <f>HYPERLINK("http://dx.doi.org/10.1016/j.nbd.2023.106171","http://dx.doi.org/10.1016/j.nbd.2023.106171")</f>
        <v>http://dx.doi.org/10.1016/j.nbd.2023.106171</v>
      </c>
      <c r="BG12" s="1" t="s">
        <v>74</v>
      </c>
      <c r="BH12" s="1" t="s">
        <v>202</v>
      </c>
      <c r="BI12" s="1" t="s">
        <v>74</v>
      </c>
      <c r="BJ12" s="1" t="s">
        <v>74</v>
      </c>
      <c r="BK12" s="1" t="s">
        <v>74</v>
      </c>
      <c r="BL12" s="1" t="s">
        <v>74</v>
      </c>
      <c r="BM12" s="1" t="s">
        <v>74</v>
      </c>
      <c r="BN12" s="1">
        <v>3.7257663E7</v>
      </c>
      <c r="BO12" s="1" t="s">
        <v>74</v>
      </c>
      <c r="BP12" s="1" t="s">
        <v>74</v>
      </c>
      <c r="BQ12" s="1" t="s">
        <v>74</v>
      </c>
      <c r="BR12" s="1" t="s">
        <v>74</v>
      </c>
      <c r="BS12" s="1" t="s">
        <v>203</v>
      </c>
      <c r="BT12" s="1" t="str">
        <f>HYPERLINK("https%3A%2F%2Fwww.webofscience.com%2Fwos%2Fwoscc%2Ffull-record%2FWOS:001015209600001","View Full Record in Web of Science")</f>
        <v>View Full Record in Web of Science</v>
      </c>
    </row>
    <row r="13" ht="12.75" customHeight="1">
      <c r="A13" s="1" t="s">
        <v>72</v>
      </c>
      <c r="B13" s="1" t="s">
        <v>204</v>
      </c>
      <c r="C13" s="1" t="s">
        <v>74</v>
      </c>
      <c r="D13" s="1" t="s">
        <v>74</v>
      </c>
      <c r="E13" s="1" t="s">
        <v>74</v>
      </c>
      <c r="F13" s="1" t="s">
        <v>205</v>
      </c>
      <c r="G13" s="1" t="s">
        <v>74</v>
      </c>
      <c r="H13" s="1" t="s">
        <v>74</v>
      </c>
      <c r="I13" s="1" t="s">
        <v>206</v>
      </c>
      <c r="J13" s="1" t="s">
        <v>207</v>
      </c>
      <c r="K13" s="1" t="s">
        <v>74</v>
      </c>
      <c r="L13" s="1" t="s">
        <v>74</v>
      </c>
      <c r="M13" s="1" t="s">
        <v>74</v>
      </c>
      <c r="N13" s="1" t="s">
        <v>74</v>
      </c>
      <c r="O13" s="1" t="s">
        <v>74</v>
      </c>
      <c r="P13" s="1" t="s">
        <v>74</v>
      </c>
      <c r="Q13" s="1" t="s">
        <v>74</v>
      </c>
      <c r="R13" s="1" t="s">
        <v>74</v>
      </c>
      <c r="S13" s="1" t="s">
        <v>74</v>
      </c>
      <c r="T13" s="1" t="s">
        <v>74</v>
      </c>
      <c r="U13" s="1" t="s">
        <v>74</v>
      </c>
      <c r="V13" s="1" t="s">
        <v>208</v>
      </c>
      <c r="W13" s="1" t="s">
        <v>74</v>
      </c>
      <c r="X13" s="1" t="s">
        <v>74</v>
      </c>
      <c r="Y13" s="1" t="s">
        <v>74</v>
      </c>
      <c r="Z13" s="1" t="s">
        <v>74</v>
      </c>
      <c r="AA13" s="1" t="s">
        <v>209</v>
      </c>
      <c r="AB13" s="1" t="s">
        <v>210</v>
      </c>
      <c r="AC13" s="1" t="s">
        <v>74</v>
      </c>
      <c r="AD13" s="1" t="s">
        <v>74</v>
      </c>
      <c r="AE13" s="1" t="s">
        <v>74</v>
      </c>
      <c r="AF13" s="1" t="s">
        <v>74</v>
      </c>
      <c r="AG13" s="1" t="s">
        <v>74</v>
      </c>
      <c r="AH13" s="1" t="s">
        <v>74</v>
      </c>
      <c r="AI13" s="1" t="s">
        <v>74</v>
      </c>
      <c r="AJ13" s="1" t="s">
        <v>74</v>
      </c>
      <c r="AK13" s="1" t="s">
        <v>74</v>
      </c>
      <c r="AL13" s="1" t="s">
        <v>74</v>
      </c>
      <c r="AM13" s="1" t="s">
        <v>74</v>
      </c>
      <c r="AN13" s="1" t="s">
        <v>74</v>
      </c>
      <c r="AO13" s="1" t="s">
        <v>211</v>
      </c>
      <c r="AP13" s="1" t="s">
        <v>212</v>
      </c>
      <c r="AQ13" s="1" t="s">
        <v>74</v>
      </c>
      <c r="AR13" s="1" t="s">
        <v>74</v>
      </c>
      <c r="AS13" s="1" t="s">
        <v>74</v>
      </c>
      <c r="AT13" s="1" t="s">
        <v>213</v>
      </c>
      <c r="AU13" s="1">
        <v>2021.0</v>
      </c>
      <c r="AV13" s="1">
        <v>110.0</v>
      </c>
      <c r="AW13" s="1" t="s">
        <v>74</v>
      </c>
      <c r="AX13" s="1" t="s">
        <v>74</v>
      </c>
      <c r="AY13" s="1" t="s">
        <v>74</v>
      </c>
      <c r="AZ13" s="1" t="s">
        <v>74</v>
      </c>
      <c r="BA13" s="1" t="s">
        <v>74</v>
      </c>
      <c r="BB13" s="1" t="s">
        <v>74</v>
      </c>
      <c r="BC13" s="1" t="s">
        <v>74</v>
      </c>
      <c r="BD13" s="1">
        <v>110328.0</v>
      </c>
      <c r="BE13" s="1" t="s">
        <v>214</v>
      </c>
      <c r="BF13" s="2" t="str">
        <f>HYPERLINK("http://dx.doi.org/10.1016/j.pnpbp.2021.110328","http://dx.doi.org/10.1016/j.pnpbp.2021.110328")</f>
        <v>http://dx.doi.org/10.1016/j.pnpbp.2021.110328</v>
      </c>
      <c r="BG13" s="1" t="s">
        <v>74</v>
      </c>
      <c r="BH13" s="1" t="s">
        <v>215</v>
      </c>
      <c r="BI13" s="1" t="s">
        <v>74</v>
      </c>
      <c r="BJ13" s="1" t="s">
        <v>74</v>
      </c>
      <c r="BK13" s="1" t="s">
        <v>74</v>
      </c>
      <c r="BL13" s="1" t="s">
        <v>74</v>
      </c>
      <c r="BM13" s="1" t="s">
        <v>74</v>
      </c>
      <c r="BN13" s="1">
        <v>3.3865925E7</v>
      </c>
      <c r="BO13" s="1" t="s">
        <v>74</v>
      </c>
      <c r="BP13" s="1" t="s">
        <v>74</v>
      </c>
      <c r="BQ13" s="1" t="s">
        <v>74</v>
      </c>
      <c r="BR13" s="1" t="s">
        <v>74</v>
      </c>
      <c r="BS13" s="1" t="s">
        <v>216</v>
      </c>
      <c r="BT13" s="1" t="str">
        <f>HYPERLINK("https%3A%2F%2Fwww.webofscience.com%2Fwos%2Fwoscc%2Ffull-record%2FWOS:000670371100002","View Full Record in Web of Science")</f>
        <v>View Full Record in Web of Science</v>
      </c>
    </row>
    <row r="14" ht="12.75" customHeight="1">
      <c r="A14" s="1" t="s">
        <v>72</v>
      </c>
      <c r="B14" s="1" t="s">
        <v>217</v>
      </c>
      <c r="C14" s="1" t="s">
        <v>74</v>
      </c>
      <c r="D14" s="1" t="s">
        <v>74</v>
      </c>
      <c r="E14" s="1" t="s">
        <v>74</v>
      </c>
      <c r="F14" s="1" t="s">
        <v>218</v>
      </c>
      <c r="G14" s="1" t="s">
        <v>74</v>
      </c>
      <c r="H14" s="1" t="s">
        <v>74</v>
      </c>
      <c r="I14" s="1" t="s">
        <v>219</v>
      </c>
      <c r="J14" s="1" t="s">
        <v>220</v>
      </c>
      <c r="K14" s="1" t="s">
        <v>74</v>
      </c>
      <c r="L14" s="1" t="s">
        <v>74</v>
      </c>
      <c r="M14" s="1" t="s">
        <v>74</v>
      </c>
      <c r="N14" s="1" t="s">
        <v>74</v>
      </c>
      <c r="O14" s="1" t="s">
        <v>74</v>
      </c>
      <c r="P14" s="1" t="s">
        <v>74</v>
      </c>
      <c r="Q14" s="1" t="s">
        <v>74</v>
      </c>
      <c r="R14" s="1" t="s">
        <v>74</v>
      </c>
      <c r="S14" s="1" t="s">
        <v>74</v>
      </c>
      <c r="T14" s="1" t="s">
        <v>74</v>
      </c>
      <c r="U14" s="1" t="s">
        <v>74</v>
      </c>
      <c r="V14" s="1" t="s">
        <v>221</v>
      </c>
      <c r="W14" s="1" t="s">
        <v>74</v>
      </c>
      <c r="X14" s="1" t="s">
        <v>74</v>
      </c>
      <c r="Y14" s="1" t="s">
        <v>74</v>
      </c>
      <c r="Z14" s="1" t="s">
        <v>74</v>
      </c>
      <c r="AA14" s="1" t="s">
        <v>222</v>
      </c>
      <c r="AB14" s="1" t="s">
        <v>223</v>
      </c>
      <c r="AC14" s="1" t="s">
        <v>74</v>
      </c>
      <c r="AD14" s="1" t="s">
        <v>74</v>
      </c>
      <c r="AE14" s="1" t="s">
        <v>74</v>
      </c>
      <c r="AF14" s="1" t="s">
        <v>74</v>
      </c>
      <c r="AG14" s="1" t="s">
        <v>74</v>
      </c>
      <c r="AH14" s="1" t="s">
        <v>74</v>
      </c>
      <c r="AI14" s="1" t="s">
        <v>74</v>
      </c>
      <c r="AJ14" s="1" t="s">
        <v>74</v>
      </c>
      <c r="AK14" s="1" t="s">
        <v>74</v>
      </c>
      <c r="AL14" s="1" t="s">
        <v>74</v>
      </c>
      <c r="AM14" s="1" t="s">
        <v>74</v>
      </c>
      <c r="AN14" s="1" t="s">
        <v>74</v>
      </c>
      <c r="AO14" s="1" t="s">
        <v>224</v>
      </c>
      <c r="AP14" s="1" t="s">
        <v>225</v>
      </c>
      <c r="AQ14" s="1" t="s">
        <v>74</v>
      </c>
      <c r="AR14" s="1" t="s">
        <v>74</v>
      </c>
      <c r="AS14" s="1" t="s">
        <v>74</v>
      </c>
      <c r="AT14" s="1" t="s">
        <v>226</v>
      </c>
      <c r="AU14" s="1">
        <v>2024.0</v>
      </c>
      <c r="AV14" s="1">
        <v>26.0</v>
      </c>
      <c r="AW14" s="1">
        <v>6.0</v>
      </c>
      <c r="AX14" s="1" t="s">
        <v>74</v>
      </c>
      <c r="AY14" s="1" t="s">
        <v>74</v>
      </c>
      <c r="AZ14" s="1" t="s">
        <v>74</v>
      </c>
      <c r="BA14" s="1" t="s">
        <v>74</v>
      </c>
      <c r="BB14" s="1">
        <v>2199.0</v>
      </c>
      <c r="BC14" s="1">
        <v>2208.0</v>
      </c>
      <c r="BD14" s="1" t="s">
        <v>74</v>
      </c>
      <c r="BE14" s="1" t="s">
        <v>227</v>
      </c>
      <c r="BF14" s="2" t="str">
        <f>HYPERLINK("http://dx.doi.org/10.1111/dom.15528","http://dx.doi.org/10.1111/dom.15528")</f>
        <v>http://dx.doi.org/10.1111/dom.15528</v>
      </c>
      <c r="BG14" s="1" t="s">
        <v>74</v>
      </c>
      <c r="BH14" s="1" t="s">
        <v>228</v>
      </c>
      <c r="BI14" s="1" t="s">
        <v>74</v>
      </c>
      <c r="BJ14" s="1" t="s">
        <v>74</v>
      </c>
      <c r="BK14" s="1" t="s">
        <v>74</v>
      </c>
      <c r="BL14" s="1" t="s">
        <v>74</v>
      </c>
      <c r="BM14" s="1" t="s">
        <v>74</v>
      </c>
      <c r="BN14" s="1">
        <v>3.8439662E7</v>
      </c>
      <c r="BO14" s="1" t="s">
        <v>74</v>
      </c>
      <c r="BP14" s="1" t="s">
        <v>74</v>
      </c>
      <c r="BQ14" s="1" t="s">
        <v>74</v>
      </c>
      <c r="BR14" s="1" t="s">
        <v>74</v>
      </c>
      <c r="BS14" s="1" t="s">
        <v>229</v>
      </c>
      <c r="BT14" s="1" t="str">
        <f>HYPERLINK("https%3A%2F%2Fwww.webofscience.com%2Fwos%2Fwoscc%2Ffull-record%2FWOS:001178078900001","View Full Record in Web of Science")</f>
        <v>View Full Record in Web of Science</v>
      </c>
    </row>
    <row r="15" ht="12.75" customHeight="1">
      <c r="A15" s="1" t="s">
        <v>72</v>
      </c>
      <c r="B15" s="1" t="s">
        <v>230</v>
      </c>
      <c r="C15" s="1" t="s">
        <v>74</v>
      </c>
      <c r="D15" s="1" t="s">
        <v>74</v>
      </c>
      <c r="E15" s="1" t="s">
        <v>74</v>
      </c>
      <c r="F15" s="1" t="s">
        <v>231</v>
      </c>
      <c r="G15" s="1" t="s">
        <v>74</v>
      </c>
      <c r="H15" s="1" t="s">
        <v>74</v>
      </c>
      <c r="I15" s="1" t="s">
        <v>232</v>
      </c>
      <c r="J15" s="1" t="s">
        <v>233</v>
      </c>
      <c r="K15" s="1" t="s">
        <v>74</v>
      </c>
      <c r="L15" s="1" t="s">
        <v>74</v>
      </c>
      <c r="M15" s="1" t="s">
        <v>74</v>
      </c>
      <c r="N15" s="1" t="s">
        <v>74</v>
      </c>
      <c r="O15" s="1" t="s">
        <v>74</v>
      </c>
      <c r="P15" s="1" t="s">
        <v>74</v>
      </c>
      <c r="Q15" s="1" t="s">
        <v>74</v>
      </c>
      <c r="R15" s="1" t="s">
        <v>74</v>
      </c>
      <c r="S15" s="1" t="s">
        <v>74</v>
      </c>
      <c r="T15" s="1" t="s">
        <v>74</v>
      </c>
      <c r="U15" s="1" t="s">
        <v>74</v>
      </c>
      <c r="V15" s="1" t="s">
        <v>234</v>
      </c>
      <c r="W15" s="1" t="s">
        <v>74</v>
      </c>
      <c r="X15" s="1" t="s">
        <v>74</v>
      </c>
      <c r="Y15" s="1" t="s">
        <v>74</v>
      </c>
      <c r="Z15" s="1" t="s">
        <v>74</v>
      </c>
      <c r="AA15" s="1" t="s">
        <v>235</v>
      </c>
      <c r="AB15" s="1" t="s">
        <v>236</v>
      </c>
      <c r="AC15" s="1" t="s">
        <v>74</v>
      </c>
      <c r="AD15" s="1" t="s">
        <v>74</v>
      </c>
      <c r="AE15" s="1" t="s">
        <v>74</v>
      </c>
      <c r="AF15" s="1" t="s">
        <v>74</v>
      </c>
      <c r="AG15" s="1" t="s">
        <v>74</v>
      </c>
      <c r="AH15" s="1" t="s">
        <v>74</v>
      </c>
      <c r="AI15" s="1" t="s">
        <v>74</v>
      </c>
      <c r="AJ15" s="1" t="s">
        <v>74</v>
      </c>
      <c r="AK15" s="1" t="s">
        <v>74</v>
      </c>
      <c r="AL15" s="1" t="s">
        <v>74</v>
      </c>
      <c r="AM15" s="1" t="s">
        <v>74</v>
      </c>
      <c r="AN15" s="1" t="s">
        <v>74</v>
      </c>
      <c r="AO15" s="1" t="s">
        <v>237</v>
      </c>
      <c r="AP15" s="1" t="s">
        <v>238</v>
      </c>
      <c r="AQ15" s="1" t="s">
        <v>74</v>
      </c>
      <c r="AR15" s="1" t="s">
        <v>74</v>
      </c>
      <c r="AS15" s="1" t="s">
        <v>74</v>
      </c>
      <c r="AT15" s="1" t="s">
        <v>74</v>
      </c>
      <c r="AU15" s="1">
        <v>2021.0</v>
      </c>
      <c r="AV15" s="1">
        <v>83.0</v>
      </c>
      <c r="AW15" s="1">
        <v>1.0</v>
      </c>
      <c r="AX15" s="1" t="s">
        <v>74</v>
      </c>
      <c r="AY15" s="1" t="s">
        <v>74</v>
      </c>
      <c r="AZ15" s="1" t="s">
        <v>74</v>
      </c>
      <c r="BA15" s="1" t="s">
        <v>74</v>
      </c>
      <c r="BB15" s="1">
        <v>227.0</v>
      </c>
      <c r="BC15" s="1">
        <v>248.0</v>
      </c>
      <c r="BD15" s="1" t="s">
        <v>74</v>
      </c>
      <c r="BE15" s="1" t="s">
        <v>239</v>
      </c>
      <c r="BF15" s="2" t="str">
        <f>HYPERLINK("http://dx.doi.org/10.3233/JAD-210163","http://dx.doi.org/10.3233/JAD-210163")</f>
        <v>http://dx.doi.org/10.3233/JAD-210163</v>
      </c>
      <c r="BG15" s="1" t="s">
        <v>74</v>
      </c>
      <c r="BH15" s="1" t="s">
        <v>74</v>
      </c>
      <c r="BI15" s="1" t="s">
        <v>74</v>
      </c>
      <c r="BJ15" s="1" t="s">
        <v>74</v>
      </c>
      <c r="BK15" s="1" t="s">
        <v>74</v>
      </c>
      <c r="BL15" s="1" t="s">
        <v>74</v>
      </c>
      <c r="BM15" s="1" t="s">
        <v>74</v>
      </c>
      <c r="BN15" s="1">
        <v>3.4275897E7</v>
      </c>
      <c r="BO15" s="1" t="s">
        <v>74</v>
      </c>
      <c r="BP15" s="1" t="s">
        <v>74</v>
      </c>
      <c r="BQ15" s="1" t="s">
        <v>74</v>
      </c>
      <c r="BR15" s="1" t="s">
        <v>74</v>
      </c>
      <c r="BS15" s="1" t="s">
        <v>240</v>
      </c>
      <c r="BT15" s="1" t="str">
        <f>HYPERLINK("https%3A%2F%2Fwww.webofscience.com%2Fwos%2Fwoscc%2Ffull-record%2FWOS:000692658700020","View Full Record in Web of Science")</f>
        <v>View Full Record in Web of Science</v>
      </c>
    </row>
    <row r="16" ht="12.75" customHeight="1">
      <c r="A16" s="1" t="s">
        <v>72</v>
      </c>
      <c r="B16" s="1" t="s">
        <v>241</v>
      </c>
      <c r="C16" s="1" t="s">
        <v>74</v>
      </c>
      <c r="D16" s="1" t="s">
        <v>74</v>
      </c>
      <c r="E16" s="1" t="s">
        <v>74</v>
      </c>
      <c r="F16" s="1" t="s">
        <v>242</v>
      </c>
      <c r="G16" s="1" t="s">
        <v>74</v>
      </c>
      <c r="H16" s="1" t="s">
        <v>74</v>
      </c>
      <c r="I16" s="1" t="s">
        <v>243</v>
      </c>
      <c r="J16" s="1" t="s">
        <v>244</v>
      </c>
      <c r="K16" s="1" t="s">
        <v>74</v>
      </c>
      <c r="L16" s="1" t="s">
        <v>74</v>
      </c>
      <c r="M16" s="1" t="s">
        <v>74</v>
      </c>
      <c r="N16" s="1" t="s">
        <v>74</v>
      </c>
      <c r="O16" s="1" t="s">
        <v>74</v>
      </c>
      <c r="P16" s="1" t="s">
        <v>74</v>
      </c>
      <c r="Q16" s="1" t="s">
        <v>74</v>
      </c>
      <c r="R16" s="1" t="s">
        <v>74</v>
      </c>
      <c r="S16" s="1" t="s">
        <v>74</v>
      </c>
      <c r="T16" s="1" t="s">
        <v>74</v>
      </c>
      <c r="U16" s="1" t="s">
        <v>74</v>
      </c>
      <c r="V16" s="1" t="s">
        <v>245</v>
      </c>
      <c r="W16" s="1" t="s">
        <v>74</v>
      </c>
      <c r="X16" s="1" t="s">
        <v>74</v>
      </c>
      <c r="Y16" s="1" t="s">
        <v>74</v>
      </c>
      <c r="Z16" s="1" t="s">
        <v>74</v>
      </c>
      <c r="AA16" s="1" t="s">
        <v>246</v>
      </c>
      <c r="AB16" s="1" t="s">
        <v>247</v>
      </c>
      <c r="AC16" s="1" t="s">
        <v>74</v>
      </c>
      <c r="AD16" s="1" t="s">
        <v>74</v>
      </c>
      <c r="AE16" s="1" t="s">
        <v>74</v>
      </c>
      <c r="AF16" s="1" t="s">
        <v>74</v>
      </c>
      <c r="AG16" s="1" t="s">
        <v>74</v>
      </c>
      <c r="AH16" s="1" t="s">
        <v>74</v>
      </c>
      <c r="AI16" s="1" t="s">
        <v>74</v>
      </c>
      <c r="AJ16" s="1" t="s">
        <v>74</v>
      </c>
      <c r="AK16" s="1" t="s">
        <v>74</v>
      </c>
      <c r="AL16" s="1" t="s">
        <v>74</v>
      </c>
      <c r="AM16" s="1" t="s">
        <v>74</v>
      </c>
      <c r="AN16" s="1" t="s">
        <v>74</v>
      </c>
      <c r="AO16" s="1" t="s">
        <v>248</v>
      </c>
      <c r="AP16" s="1" t="s">
        <v>249</v>
      </c>
      <c r="AQ16" s="1" t="s">
        <v>74</v>
      </c>
      <c r="AR16" s="1" t="s">
        <v>74</v>
      </c>
      <c r="AS16" s="1" t="s">
        <v>74</v>
      </c>
      <c r="AT16" s="1" t="s">
        <v>250</v>
      </c>
      <c r="AU16" s="1">
        <v>2025.0</v>
      </c>
      <c r="AV16" s="1">
        <v>981.0</v>
      </c>
      <c r="AW16" s="1">
        <v>1.0</v>
      </c>
      <c r="AX16" s="1" t="s">
        <v>74</v>
      </c>
      <c r="AY16" s="1" t="s">
        <v>74</v>
      </c>
      <c r="AZ16" s="1" t="s">
        <v>74</v>
      </c>
      <c r="BA16" s="1" t="s">
        <v>74</v>
      </c>
      <c r="BB16" s="1" t="s">
        <v>74</v>
      </c>
      <c r="BC16" s="1" t="s">
        <v>74</v>
      </c>
      <c r="BD16" s="1" t="s">
        <v>251</v>
      </c>
      <c r="BE16" s="1" t="s">
        <v>252</v>
      </c>
      <c r="BF16" s="2" t="str">
        <f>HYPERLINK("http://dx.doi.org/10.3847/2041-8213/adb03c","http://dx.doi.org/10.3847/2041-8213/adb03c")</f>
        <v>http://dx.doi.org/10.3847/2041-8213/adb03c</v>
      </c>
      <c r="BG16" s="1" t="s">
        <v>74</v>
      </c>
      <c r="BH16" s="1" t="s">
        <v>74</v>
      </c>
      <c r="BI16" s="1" t="s">
        <v>74</v>
      </c>
      <c r="BJ16" s="1" t="s">
        <v>74</v>
      </c>
      <c r="BK16" s="1" t="s">
        <v>74</v>
      </c>
      <c r="BL16" s="1" t="s">
        <v>74</v>
      </c>
      <c r="BM16" s="1" t="s">
        <v>74</v>
      </c>
      <c r="BN16" s="1" t="s">
        <v>74</v>
      </c>
      <c r="BO16" s="1" t="s">
        <v>74</v>
      </c>
      <c r="BP16" s="1" t="s">
        <v>74</v>
      </c>
      <c r="BQ16" s="1" t="s">
        <v>74</v>
      </c>
      <c r="BR16" s="1" t="s">
        <v>74</v>
      </c>
      <c r="BS16" s="1" t="s">
        <v>253</v>
      </c>
      <c r="BT16" s="1" t="str">
        <f>HYPERLINK("https%3A%2F%2Fwww.webofscience.com%2Fwos%2Fwoscc%2Ffull-record%2FWOS:001440394500001","View Full Record in Web of Science")</f>
        <v>View Full Record in Web of Science</v>
      </c>
    </row>
    <row r="17" ht="12.75" customHeight="1">
      <c r="A17" s="1" t="s">
        <v>72</v>
      </c>
      <c r="B17" s="1" t="s">
        <v>254</v>
      </c>
      <c r="C17" s="1" t="s">
        <v>74</v>
      </c>
      <c r="D17" s="1" t="s">
        <v>74</v>
      </c>
      <c r="E17" s="1" t="s">
        <v>74</v>
      </c>
      <c r="F17" s="1" t="s">
        <v>255</v>
      </c>
      <c r="G17" s="1" t="s">
        <v>74</v>
      </c>
      <c r="H17" s="1" t="s">
        <v>74</v>
      </c>
      <c r="I17" s="1" t="s">
        <v>256</v>
      </c>
      <c r="J17" s="1" t="s">
        <v>257</v>
      </c>
      <c r="K17" s="1" t="s">
        <v>74</v>
      </c>
      <c r="L17" s="1" t="s">
        <v>74</v>
      </c>
      <c r="M17" s="1" t="s">
        <v>74</v>
      </c>
      <c r="N17" s="1" t="s">
        <v>74</v>
      </c>
      <c r="O17" s="1" t="s">
        <v>74</v>
      </c>
      <c r="P17" s="1" t="s">
        <v>74</v>
      </c>
      <c r="Q17" s="1" t="s">
        <v>74</v>
      </c>
      <c r="R17" s="1" t="s">
        <v>74</v>
      </c>
      <c r="S17" s="1" t="s">
        <v>74</v>
      </c>
      <c r="T17" s="1" t="s">
        <v>74</v>
      </c>
      <c r="U17" s="1" t="s">
        <v>74</v>
      </c>
      <c r="V17" s="1" t="s">
        <v>258</v>
      </c>
      <c r="W17" s="1" t="s">
        <v>74</v>
      </c>
      <c r="X17" s="1" t="s">
        <v>74</v>
      </c>
      <c r="Y17" s="1" t="s">
        <v>74</v>
      </c>
      <c r="Z17" s="1" t="s">
        <v>74</v>
      </c>
      <c r="AA17" s="1" t="s">
        <v>259</v>
      </c>
      <c r="AB17" s="1" t="s">
        <v>260</v>
      </c>
      <c r="AC17" s="1" t="s">
        <v>74</v>
      </c>
      <c r="AD17" s="1" t="s">
        <v>74</v>
      </c>
      <c r="AE17" s="1" t="s">
        <v>74</v>
      </c>
      <c r="AF17" s="1" t="s">
        <v>74</v>
      </c>
      <c r="AG17" s="1" t="s">
        <v>74</v>
      </c>
      <c r="AH17" s="1" t="s">
        <v>74</v>
      </c>
      <c r="AI17" s="1" t="s">
        <v>74</v>
      </c>
      <c r="AJ17" s="1" t="s">
        <v>74</v>
      </c>
      <c r="AK17" s="1" t="s">
        <v>74</v>
      </c>
      <c r="AL17" s="1" t="s">
        <v>74</v>
      </c>
      <c r="AM17" s="1" t="s">
        <v>74</v>
      </c>
      <c r="AN17" s="1" t="s">
        <v>74</v>
      </c>
      <c r="AO17" s="1" t="s">
        <v>261</v>
      </c>
      <c r="AP17" s="1" t="s">
        <v>262</v>
      </c>
      <c r="AQ17" s="1" t="s">
        <v>74</v>
      </c>
      <c r="AR17" s="1" t="s">
        <v>74</v>
      </c>
      <c r="AS17" s="1" t="s">
        <v>74</v>
      </c>
      <c r="AT17" s="1" t="s">
        <v>263</v>
      </c>
      <c r="AU17" s="1">
        <v>2020.0</v>
      </c>
      <c r="AV17" s="1">
        <v>82.0</v>
      </c>
      <c r="AW17" s="1">
        <v>9.0</v>
      </c>
      <c r="AX17" s="1" t="s">
        <v>74</v>
      </c>
      <c r="AY17" s="1" t="s">
        <v>74</v>
      </c>
      <c r="AZ17" s="1" t="s">
        <v>74</v>
      </c>
      <c r="BA17" s="1" t="s">
        <v>74</v>
      </c>
      <c r="BB17" s="1">
        <v>850.0</v>
      </c>
      <c r="BC17" s="1">
        <v>861.0</v>
      </c>
      <c r="BD17" s="1" t="s">
        <v>74</v>
      </c>
      <c r="BE17" s="1" t="s">
        <v>264</v>
      </c>
      <c r="BF17" s="2" t="str">
        <f>HYPERLINK("http://dx.doi.org/10.1097/PSY.0000000000000868","http://dx.doi.org/10.1097/PSY.0000000000000868")</f>
        <v>http://dx.doi.org/10.1097/PSY.0000000000000868</v>
      </c>
      <c r="BG17" s="1" t="s">
        <v>74</v>
      </c>
      <c r="BH17" s="1" t="s">
        <v>74</v>
      </c>
      <c r="BI17" s="1" t="s">
        <v>74</v>
      </c>
      <c r="BJ17" s="1" t="s">
        <v>74</v>
      </c>
      <c r="BK17" s="1" t="s">
        <v>74</v>
      </c>
      <c r="BL17" s="1" t="s">
        <v>74</v>
      </c>
      <c r="BM17" s="1" t="s">
        <v>74</v>
      </c>
      <c r="BN17" s="1">
        <v>3.3003072E7</v>
      </c>
      <c r="BO17" s="1" t="s">
        <v>74</v>
      </c>
      <c r="BP17" s="1" t="s">
        <v>74</v>
      </c>
      <c r="BQ17" s="1" t="s">
        <v>74</v>
      </c>
      <c r="BR17" s="1" t="s">
        <v>74</v>
      </c>
      <c r="BS17" s="1" t="s">
        <v>265</v>
      </c>
      <c r="BT17" s="1" t="str">
        <f>HYPERLINK("https%3A%2F%2Fwww.webofscience.com%2Fwos%2Fwoscc%2Ffull-record%2FWOS:000596036200006","View Full Record in Web of Science")</f>
        <v>View Full Record in Web of Science</v>
      </c>
    </row>
    <row r="18" ht="12.75" customHeight="1">
      <c r="A18" s="1" t="s">
        <v>72</v>
      </c>
      <c r="B18" s="1" t="s">
        <v>266</v>
      </c>
      <c r="C18" s="1" t="s">
        <v>74</v>
      </c>
      <c r="D18" s="1" t="s">
        <v>74</v>
      </c>
      <c r="E18" s="1" t="s">
        <v>74</v>
      </c>
      <c r="F18" s="1" t="s">
        <v>267</v>
      </c>
      <c r="G18" s="1" t="s">
        <v>74</v>
      </c>
      <c r="H18" s="1" t="s">
        <v>74</v>
      </c>
      <c r="I18" s="1" t="s">
        <v>268</v>
      </c>
      <c r="J18" s="1" t="s">
        <v>269</v>
      </c>
      <c r="K18" s="1" t="s">
        <v>74</v>
      </c>
      <c r="L18" s="1" t="s">
        <v>74</v>
      </c>
      <c r="M18" s="1" t="s">
        <v>74</v>
      </c>
      <c r="N18" s="1" t="s">
        <v>74</v>
      </c>
      <c r="O18" s="1" t="s">
        <v>74</v>
      </c>
      <c r="P18" s="1" t="s">
        <v>74</v>
      </c>
      <c r="Q18" s="1" t="s">
        <v>74</v>
      </c>
      <c r="R18" s="1" t="s">
        <v>74</v>
      </c>
      <c r="S18" s="1" t="s">
        <v>74</v>
      </c>
      <c r="T18" s="1" t="s">
        <v>74</v>
      </c>
      <c r="U18" s="1" t="s">
        <v>74</v>
      </c>
      <c r="V18" s="1" t="s">
        <v>270</v>
      </c>
      <c r="W18" s="1" t="s">
        <v>74</v>
      </c>
      <c r="X18" s="1" t="s">
        <v>74</v>
      </c>
      <c r="Y18" s="1" t="s">
        <v>74</v>
      </c>
      <c r="Z18" s="1" t="s">
        <v>74</v>
      </c>
      <c r="AA18" s="1" t="s">
        <v>271</v>
      </c>
      <c r="AB18" s="1" t="s">
        <v>272</v>
      </c>
      <c r="AC18" s="1" t="s">
        <v>74</v>
      </c>
      <c r="AD18" s="1" t="s">
        <v>74</v>
      </c>
      <c r="AE18" s="1" t="s">
        <v>74</v>
      </c>
      <c r="AF18" s="1" t="s">
        <v>74</v>
      </c>
      <c r="AG18" s="1" t="s">
        <v>74</v>
      </c>
      <c r="AH18" s="1" t="s">
        <v>74</v>
      </c>
      <c r="AI18" s="1" t="s">
        <v>74</v>
      </c>
      <c r="AJ18" s="1" t="s">
        <v>74</v>
      </c>
      <c r="AK18" s="1" t="s">
        <v>74</v>
      </c>
      <c r="AL18" s="1" t="s">
        <v>74</v>
      </c>
      <c r="AM18" s="1" t="s">
        <v>74</v>
      </c>
      <c r="AN18" s="1" t="s">
        <v>74</v>
      </c>
      <c r="AO18" s="1" t="s">
        <v>273</v>
      </c>
      <c r="AP18" s="1" t="s">
        <v>274</v>
      </c>
      <c r="AQ18" s="1" t="s">
        <v>74</v>
      </c>
      <c r="AR18" s="1" t="s">
        <v>74</v>
      </c>
      <c r="AS18" s="1" t="s">
        <v>74</v>
      </c>
      <c r="AT18" s="1" t="s">
        <v>275</v>
      </c>
      <c r="AU18" s="1">
        <v>2024.0</v>
      </c>
      <c r="AV18" s="1">
        <v>58.0</v>
      </c>
      <c r="AW18" s="1">
        <v>5.0</v>
      </c>
      <c r="AX18" s="1" t="s">
        <v>74</v>
      </c>
      <c r="AY18" s="1" t="s">
        <v>74</v>
      </c>
      <c r="AZ18" s="1" t="s">
        <v>74</v>
      </c>
      <c r="BA18" s="1" t="s">
        <v>74</v>
      </c>
      <c r="BB18" s="1" t="s">
        <v>74</v>
      </c>
      <c r="BC18" s="1" t="s">
        <v>74</v>
      </c>
      <c r="BD18" s="1" t="s">
        <v>74</v>
      </c>
      <c r="BE18" s="1" t="s">
        <v>276</v>
      </c>
      <c r="BF18" s="2" t="str">
        <f>HYPERLINK("http://dx.doi.org/10.1136/bjsports-2023-107221","http://dx.doi.org/10.1136/bjsports-2023-107221")</f>
        <v>http://dx.doi.org/10.1136/bjsports-2023-107221</v>
      </c>
      <c r="BG18" s="1" t="s">
        <v>74</v>
      </c>
      <c r="BH18" s="1" t="s">
        <v>228</v>
      </c>
      <c r="BI18" s="1" t="s">
        <v>74</v>
      </c>
      <c r="BJ18" s="1" t="s">
        <v>74</v>
      </c>
      <c r="BK18" s="1" t="s">
        <v>74</v>
      </c>
      <c r="BL18" s="1" t="s">
        <v>74</v>
      </c>
      <c r="BM18" s="1" t="s">
        <v>74</v>
      </c>
      <c r="BN18" s="1">
        <v>3.844295E7</v>
      </c>
      <c r="BO18" s="1" t="s">
        <v>74</v>
      </c>
      <c r="BP18" s="1" t="s">
        <v>74</v>
      </c>
      <c r="BQ18" s="1" t="s">
        <v>74</v>
      </c>
      <c r="BR18" s="1" t="s">
        <v>74</v>
      </c>
      <c r="BS18" s="1" t="s">
        <v>277</v>
      </c>
      <c r="BT18" s="1" t="str">
        <f>HYPERLINK("https%3A%2F%2Fwww.webofscience.com%2Fwos%2Fwoscc%2Ffull-record%2FWOS:001189994800003","View Full Record in Web of Science")</f>
        <v>View Full Record in Web of Science</v>
      </c>
    </row>
    <row r="19" ht="12.75" customHeight="1">
      <c r="A19" s="1" t="s">
        <v>72</v>
      </c>
      <c r="B19" s="1" t="s">
        <v>278</v>
      </c>
      <c r="C19" s="1" t="s">
        <v>74</v>
      </c>
      <c r="D19" s="1" t="s">
        <v>74</v>
      </c>
      <c r="E19" s="1" t="s">
        <v>74</v>
      </c>
      <c r="F19" s="1" t="s">
        <v>279</v>
      </c>
      <c r="G19" s="1" t="s">
        <v>74</v>
      </c>
      <c r="H19" s="1" t="s">
        <v>74</v>
      </c>
      <c r="I19" s="1" t="s">
        <v>280</v>
      </c>
      <c r="J19" s="1" t="s">
        <v>281</v>
      </c>
      <c r="K19" s="1" t="s">
        <v>74</v>
      </c>
      <c r="L19" s="1" t="s">
        <v>74</v>
      </c>
      <c r="M19" s="1" t="s">
        <v>74</v>
      </c>
      <c r="N19" s="1" t="s">
        <v>74</v>
      </c>
      <c r="O19" s="1" t="s">
        <v>74</v>
      </c>
      <c r="P19" s="1" t="s">
        <v>74</v>
      </c>
      <c r="Q19" s="1" t="s">
        <v>74</v>
      </c>
      <c r="R19" s="1" t="s">
        <v>74</v>
      </c>
      <c r="S19" s="1" t="s">
        <v>74</v>
      </c>
      <c r="T19" s="1" t="s">
        <v>74</v>
      </c>
      <c r="U19" s="1" t="s">
        <v>74</v>
      </c>
      <c r="V19" s="1" t="s">
        <v>282</v>
      </c>
      <c r="W19" s="1" t="s">
        <v>74</v>
      </c>
      <c r="X19" s="1" t="s">
        <v>74</v>
      </c>
      <c r="Y19" s="1" t="s">
        <v>74</v>
      </c>
      <c r="Z19" s="1" t="s">
        <v>74</v>
      </c>
      <c r="AA19" s="1" t="s">
        <v>283</v>
      </c>
      <c r="AB19" s="1" t="s">
        <v>284</v>
      </c>
      <c r="AC19" s="1" t="s">
        <v>74</v>
      </c>
      <c r="AD19" s="1" t="s">
        <v>74</v>
      </c>
      <c r="AE19" s="1" t="s">
        <v>74</v>
      </c>
      <c r="AF19" s="1" t="s">
        <v>74</v>
      </c>
      <c r="AG19" s="1" t="s">
        <v>74</v>
      </c>
      <c r="AH19" s="1" t="s">
        <v>74</v>
      </c>
      <c r="AI19" s="1" t="s">
        <v>74</v>
      </c>
      <c r="AJ19" s="1" t="s">
        <v>74</v>
      </c>
      <c r="AK19" s="1" t="s">
        <v>74</v>
      </c>
      <c r="AL19" s="1" t="s">
        <v>74</v>
      </c>
      <c r="AM19" s="1" t="s">
        <v>74</v>
      </c>
      <c r="AN19" s="1" t="s">
        <v>74</v>
      </c>
      <c r="AO19" s="1" t="s">
        <v>74</v>
      </c>
      <c r="AP19" s="1" t="s">
        <v>285</v>
      </c>
      <c r="AQ19" s="1" t="s">
        <v>74</v>
      </c>
      <c r="AR19" s="1" t="s">
        <v>74</v>
      </c>
      <c r="AS19" s="1" t="s">
        <v>74</v>
      </c>
      <c r="AT19" s="1" t="s">
        <v>286</v>
      </c>
      <c r="AU19" s="1">
        <v>2022.0</v>
      </c>
      <c r="AV19" s="1">
        <v>13.0</v>
      </c>
      <c r="AW19" s="1" t="s">
        <v>74</v>
      </c>
      <c r="AX19" s="1" t="s">
        <v>74</v>
      </c>
      <c r="AY19" s="1" t="s">
        <v>74</v>
      </c>
      <c r="AZ19" s="1" t="s">
        <v>74</v>
      </c>
      <c r="BA19" s="1" t="s">
        <v>74</v>
      </c>
      <c r="BB19" s="1" t="s">
        <v>74</v>
      </c>
      <c r="BC19" s="1" t="s">
        <v>74</v>
      </c>
      <c r="BD19" s="1">
        <v>934038.0</v>
      </c>
      <c r="BE19" s="1" t="s">
        <v>287</v>
      </c>
      <c r="BF19" s="2" t="str">
        <f>HYPERLINK("http://dx.doi.org/10.3389/fphys.2022.934038","http://dx.doi.org/10.3389/fphys.2022.934038")</f>
        <v>http://dx.doi.org/10.3389/fphys.2022.934038</v>
      </c>
      <c r="BG19" s="1" t="s">
        <v>74</v>
      </c>
      <c r="BH19" s="1" t="s">
        <v>74</v>
      </c>
      <c r="BI19" s="1" t="s">
        <v>74</v>
      </c>
      <c r="BJ19" s="1" t="s">
        <v>74</v>
      </c>
      <c r="BK19" s="1" t="s">
        <v>74</v>
      </c>
      <c r="BL19" s="1" t="s">
        <v>74</v>
      </c>
      <c r="BM19" s="1" t="s">
        <v>74</v>
      </c>
      <c r="BN19" s="1">
        <v>3.6217503E7</v>
      </c>
      <c r="BO19" s="1" t="s">
        <v>74</v>
      </c>
      <c r="BP19" s="1" t="s">
        <v>74</v>
      </c>
      <c r="BQ19" s="1" t="s">
        <v>74</v>
      </c>
      <c r="BR19" s="1" t="s">
        <v>74</v>
      </c>
      <c r="BS19" s="1" t="s">
        <v>288</v>
      </c>
      <c r="BT19" s="1" t="str">
        <f>HYPERLINK("https%3A%2F%2Fwww.webofscience.com%2Fwos%2Fwoscc%2Ffull-record%2FWOS:000870523400001","View Full Record in Web of Science")</f>
        <v>View Full Record in Web of Science</v>
      </c>
    </row>
    <row r="20" ht="12.75" customHeight="1">
      <c r="A20" s="1" t="s">
        <v>72</v>
      </c>
      <c r="B20" s="1" t="s">
        <v>289</v>
      </c>
      <c r="C20" s="1" t="s">
        <v>74</v>
      </c>
      <c r="D20" s="1" t="s">
        <v>74</v>
      </c>
      <c r="E20" s="1" t="s">
        <v>74</v>
      </c>
      <c r="F20" s="1" t="s">
        <v>290</v>
      </c>
      <c r="G20" s="1" t="s">
        <v>74</v>
      </c>
      <c r="H20" s="1" t="s">
        <v>74</v>
      </c>
      <c r="I20" s="1" t="s">
        <v>291</v>
      </c>
      <c r="J20" s="1" t="s">
        <v>292</v>
      </c>
      <c r="K20" s="1" t="s">
        <v>74</v>
      </c>
      <c r="L20" s="1" t="s">
        <v>74</v>
      </c>
      <c r="M20" s="1" t="s">
        <v>74</v>
      </c>
      <c r="N20" s="1" t="s">
        <v>74</v>
      </c>
      <c r="O20" s="1" t="s">
        <v>74</v>
      </c>
      <c r="P20" s="1" t="s">
        <v>74</v>
      </c>
      <c r="Q20" s="1" t="s">
        <v>74</v>
      </c>
      <c r="R20" s="1" t="s">
        <v>74</v>
      </c>
      <c r="S20" s="1" t="s">
        <v>74</v>
      </c>
      <c r="T20" s="1" t="s">
        <v>74</v>
      </c>
      <c r="U20" s="1" t="s">
        <v>74</v>
      </c>
      <c r="V20" s="1" t="s">
        <v>293</v>
      </c>
      <c r="W20" s="1" t="s">
        <v>74</v>
      </c>
      <c r="X20" s="1" t="s">
        <v>74</v>
      </c>
      <c r="Y20" s="1" t="s">
        <v>74</v>
      </c>
      <c r="Z20" s="1" t="s">
        <v>74</v>
      </c>
      <c r="AA20" s="1" t="s">
        <v>294</v>
      </c>
      <c r="AB20" s="1" t="s">
        <v>295</v>
      </c>
      <c r="AC20" s="1" t="s">
        <v>74</v>
      </c>
      <c r="AD20" s="1" t="s">
        <v>74</v>
      </c>
      <c r="AE20" s="1" t="s">
        <v>74</v>
      </c>
      <c r="AF20" s="1" t="s">
        <v>74</v>
      </c>
      <c r="AG20" s="1" t="s">
        <v>74</v>
      </c>
      <c r="AH20" s="1" t="s">
        <v>74</v>
      </c>
      <c r="AI20" s="1" t="s">
        <v>74</v>
      </c>
      <c r="AJ20" s="1" t="s">
        <v>74</v>
      </c>
      <c r="AK20" s="1" t="s">
        <v>74</v>
      </c>
      <c r="AL20" s="1" t="s">
        <v>74</v>
      </c>
      <c r="AM20" s="1" t="s">
        <v>74</v>
      </c>
      <c r="AN20" s="1" t="s">
        <v>74</v>
      </c>
      <c r="AO20" s="1" t="s">
        <v>296</v>
      </c>
      <c r="AP20" s="1" t="s">
        <v>297</v>
      </c>
      <c r="AQ20" s="1" t="s">
        <v>74</v>
      </c>
      <c r="AR20" s="1" t="s">
        <v>74</v>
      </c>
      <c r="AS20" s="1" t="s">
        <v>74</v>
      </c>
      <c r="AT20" s="1" t="s">
        <v>298</v>
      </c>
      <c r="AU20" s="1">
        <v>2023.0</v>
      </c>
      <c r="AV20" s="1">
        <v>225.0</v>
      </c>
      <c r="AW20" s="1" t="s">
        <v>74</v>
      </c>
      <c r="AX20" s="1" t="s">
        <v>74</v>
      </c>
      <c r="AY20" s="1" t="s">
        <v>74</v>
      </c>
      <c r="AZ20" s="1" t="s">
        <v>74</v>
      </c>
      <c r="BA20" s="1" t="s">
        <v>74</v>
      </c>
      <c r="BB20" s="1">
        <v>360.0</v>
      </c>
      <c r="BC20" s="1">
        <v>368.0</v>
      </c>
      <c r="BD20" s="1" t="s">
        <v>74</v>
      </c>
      <c r="BE20" s="1" t="s">
        <v>299</v>
      </c>
      <c r="BF20" s="2" t="str">
        <f>HYPERLINK("http://dx.doi.org/10.1016/j.puhe.2023.10.004","http://dx.doi.org/10.1016/j.puhe.2023.10.004")</f>
        <v>http://dx.doi.org/10.1016/j.puhe.2023.10.004</v>
      </c>
      <c r="BG20" s="1" t="s">
        <v>74</v>
      </c>
      <c r="BH20" s="1" t="s">
        <v>300</v>
      </c>
      <c r="BI20" s="1" t="s">
        <v>74</v>
      </c>
      <c r="BJ20" s="1" t="s">
        <v>74</v>
      </c>
      <c r="BK20" s="1" t="s">
        <v>74</v>
      </c>
      <c r="BL20" s="1" t="s">
        <v>74</v>
      </c>
      <c r="BM20" s="1" t="s">
        <v>74</v>
      </c>
      <c r="BN20" s="1">
        <v>3.7981452E7</v>
      </c>
      <c r="BO20" s="1" t="s">
        <v>74</v>
      </c>
      <c r="BP20" s="1" t="s">
        <v>74</v>
      </c>
      <c r="BQ20" s="1" t="s">
        <v>74</v>
      </c>
      <c r="BR20" s="1" t="s">
        <v>74</v>
      </c>
      <c r="BS20" s="1" t="s">
        <v>301</v>
      </c>
      <c r="BT20" s="1" t="str">
        <f>HYPERLINK("https%3A%2F%2Fwww.webofscience.com%2Fwos%2Fwoscc%2Ffull-record%2FWOS:001116827800001","View Full Record in Web of Science")</f>
        <v>View Full Record in Web of Science</v>
      </c>
    </row>
    <row r="21" ht="12.75" customHeight="1">
      <c r="A21" s="1" t="s">
        <v>72</v>
      </c>
      <c r="B21" s="1" t="s">
        <v>302</v>
      </c>
      <c r="C21" s="1" t="s">
        <v>74</v>
      </c>
      <c r="D21" s="1" t="s">
        <v>74</v>
      </c>
      <c r="E21" s="1" t="s">
        <v>74</v>
      </c>
      <c r="F21" s="1" t="s">
        <v>303</v>
      </c>
      <c r="G21" s="1" t="s">
        <v>74</v>
      </c>
      <c r="H21" s="1" t="s">
        <v>74</v>
      </c>
      <c r="I21" s="1" t="s">
        <v>304</v>
      </c>
      <c r="J21" s="1" t="s">
        <v>305</v>
      </c>
      <c r="K21" s="1" t="s">
        <v>74</v>
      </c>
      <c r="L21" s="1" t="s">
        <v>74</v>
      </c>
      <c r="M21" s="1" t="s">
        <v>74</v>
      </c>
      <c r="N21" s="1" t="s">
        <v>74</v>
      </c>
      <c r="O21" s="1" t="s">
        <v>74</v>
      </c>
      <c r="P21" s="1" t="s">
        <v>74</v>
      </c>
      <c r="Q21" s="1" t="s">
        <v>74</v>
      </c>
      <c r="R21" s="1" t="s">
        <v>74</v>
      </c>
      <c r="S21" s="1" t="s">
        <v>74</v>
      </c>
      <c r="T21" s="1" t="s">
        <v>74</v>
      </c>
      <c r="U21" s="1" t="s">
        <v>74</v>
      </c>
      <c r="V21" s="1" t="s">
        <v>306</v>
      </c>
      <c r="W21" s="1" t="s">
        <v>74</v>
      </c>
      <c r="X21" s="1" t="s">
        <v>74</v>
      </c>
      <c r="Y21" s="1" t="s">
        <v>74</v>
      </c>
      <c r="Z21" s="1" t="s">
        <v>74</v>
      </c>
      <c r="AA21" s="1" t="s">
        <v>307</v>
      </c>
      <c r="AB21" s="1" t="s">
        <v>74</v>
      </c>
      <c r="AC21" s="1" t="s">
        <v>74</v>
      </c>
      <c r="AD21" s="1" t="s">
        <v>74</v>
      </c>
      <c r="AE21" s="1" t="s">
        <v>74</v>
      </c>
      <c r="AF21" s="1" t="s">
        <v>74</v>
      </c>
      <c r="AG21" s="1" t="s">
        <v>74</v>
      </c>
      <c r="AH21" s="1" t="s">
        <v>74</v>
      </c>
      <c r="AI21" s="1" t="s">
        <v>74</v>
      </c>
      <c r="AJ21" s="1" t="s">
        <v>74</v>
      </c>
      <c r="AK21" s="1" t="s">
        <v>74</v>
      </c>
      <c r="AL21" s="1" t="s">
        <v>74</v>
      </c>
      <c r="AM21" s="1" t="s">
        <v>74</v>
      </c>
      <c r="AN21" s="1" t="s">
        <v>74</v>
      </c>
      <c r="AO21" s="1" t="s">
        <v>308</v>
      </c>
      <c r="AP21" s="1" t="s">
        <v>309</v>
      </c>
      <c r="AQ21" s="1" t="s">
        <v>74</v>
      </c>
      <c r="AR21" s="1" t="s">
        <v>74</v>
      </c>
      <c r="AS21" s="1" t="s">
        <v>74</v>
      </c>
      <c r="AT21" s="1" t="s">
        <v>119</v>
      </c>
      <c r="AU21" s="1">
        <v>2022.0</v>
      </c>
      <c r="AV21" s="1">
        <v>150.0</v>
      </c>
      <c r="AW21" s="1">
        <v>2.0</v>
      </c>
      <c r="AX21" s="1" t="s">
        <v>74</v>
      </c>
      <c r="AY21" s="1" t="s">
        <v>74</v>
      </c>
      <c r="AZ21" s="1" t="s">
        <v>74</v>
      </c>
      <c r="BA21" s="1" t="s">
        <v>74</v>
      </c>
      <c r="BB21" s="1">
        <v>241.0</v>
      </c>
      <c r="BC21" s="1">
        <v>247.0</v>
      </c>
      <c r="BD21" s="1" t="s">
        <v>74</v>
      </c>
      <c r="BE21" s="1" t="s">
        <v>74</v>
      </c>
      <c r="BF21" s="1" t="s">
        <v>74</v>
      </c>
      <c r="BG21" s="1" t="s">
        <v>74</v>
      </c>
      <c r="BH21" s="1" t="s">
        <v>74</v>
      </c>
      <c r="BI21" s="1" t="s">
        <v>74</v>
      </c>
      <c r="BJ21" s="1" t="s">
        <v>74</v>
      </c>
      <c r="BK21" s="1" t="s">
        <v>74</v>
      </c>
      <c r="BL21" s="1" t="s">
        <v>74</v>
      </c>
      <c r="BM21" s="1" t="s">
        <v>74</v>
      </c>
      <c r="BN21" s="1">
        <v>3.6156651E7</v>
      </c>
      <c r="BO21" s="1" t="s">
        <v>74</v>
      </c>
      <c r="BP21" s="1" t="s">
        <v>74</v>
      </c>
      <c r="BQ21" s="1" t="s">
        <v>74</v>
      </c>
      <c r="BR21" s="1" t="s">
        <v>74</v>
      </c>
      <c r="BS21" s="1" t="s">
        <v>310</v>
      </c>
      <c r="BT21" s="1" t="str">
        <f>HYPERLINK("https%3A%2F%2Fwww.webofscience.com%2Fwos%2Fwoscc%2Ffull-record%2FWOS:000836614000013","View Full Record in Web of Science")</f>
        <v>View Full Record in Web of Science</v>
      </c>
    </row>
    <row r="22" ht="12.75" customHeight="1">
      <c r="A22" s="1" t="s">
        <v>72</v>
      </c>
      <c r="B22" s="1" t="s">
        <v>311</v>
      </c>
      <c r="C22" s="1" t="s">
        <v>74</v>
      </c>
      <c r="D22" s="1" t="s">
        <v>74</v>
      </c>
      <c r="E22" s="1" t="s">
        <v>74</v>
      </c>
      <c r="F22" s="1" t="s">
        <v>312</v>
      </c>
      <c r="G22" s="1" t="s">
        <v>74</v>
      </c>
      <c r="H22" s="1" t="s">
        <v>74</v>
      </c>
      <c r="I22" s="1" t="s">
        <v>313</v>
      </c>
      <c r="J22" s="1" t="s">
        <v>314</v>
      </c>
      <c r="K22" s="1" t="s">
        <v>74</v>
      </c>
      <c r="L22" s="1" t="s">
        <v>74</v>
      </c>
      <c r="M22" s="1" t="s">
        <v>74</v>
      </c>
      <c r="N22" s="1" t="s">
        <v>74</v>
      </c>
      <c r="O22" s="1" t="s">
        <v>74</v>
      </c>
      <c r="P22" s="1" t="s">
        <v>74</v>
      </c>
      <c r="Q22" s="1" t="s">
        <v>74</v>
      </c>
      <c r="R22" s="1" t="s">
        <v>74</v>
      </c>
      <c r="S22" s="1" t="s">
        <v>74</v>
      </c>
      <c r="T22" s="1" t="s">
        <v>74</v>
      </c>
      <c r="U22" s="1" t="s">
        <v>74</v>
      </c>
      <c r="V22" s="1" t="s">
        <v>315</v>
      </c>
      <c r="W22" s="1" t="s">
        <v>74</v>
      </c>
      <c r="X22" s="1" t="s">
        <v>74</v>
      </c>
      <c r="Y22" s="1" t="s">
        <v>74</v>
      </c>
      <c r="Z22" s="1" t="s">
        <v>74</v>
      </c>
      <c r="AA22" s="1" t="s">
        <v>316</v>
      </c>
      <c r="AB22" s="1" t="s">
        <v>317</v>
      </c>
      <c r="AC22" s="1" t="s">
        <v>74</v>
      </c>
      <c r="AD22" s="1" t="s">
        <v>74</v>
      </c>
      <c r="AE22" s="1" t="s">
        <v>74</v>
      </c>
      <c r="AF22" s="1" t="s">
        <v>74</v>
      </c>
      <c r="AG22" s="1" t="s">
        <v>74</v>
      </c>
      <c r="AH22" s="1" t="s">
        <v>74</v>
      </c>
      <c r="AI22" s="1" t="s">
        <v>74</v>
      </c>
      <c r="AJ22" s="1" t="s">
        <v>74</v>
      </c>
      <c r="AK22" s="1" t="s">
        <v>74</v>
      </c>
      <c r="AL22" s="1" t="s">
        <v>74</v>
      </c>
      <c r="AM22" s="1" t="s">
        <v>74</v>
      </c>
      <c r="AN22" s="1" t="s">
        <v>74</v>
      </c>
      <c r="AO22" s="1" t="s">
        <v>318</v>
      </c>
      <c r="AP22" s="1" t="s">
        <v>74</v>
      </c>
      <c r="AQ22" s="1" t="s">
        <v>74</v>
      </c>
      <c r="AR22" s="1" t="s">
        <v>74</v>
      </c>
      <c r="AS22" s="1" t="s">
        <v>74</v>
      </c>
      <c r="AT22" s="1" t="s">
        <v>319</v>
      </c>
      <c r="AU22" s="1">
        <v>2021.0</v>
      </c>
      <c r="AV22" s="1">
        <v>16.0</v>
      </c>
      <c r="AW22" s="1">
        <v>10.0</v>
      </c>
      <c r="AX22" s="1" t="s">
        <v>74</v>
      </c>
      <c r="AY22" s="1" t="s">
        <v>74</v>
      </c>
      <c r="AZ22" s="1" t="s">
        <v>74</v>
      </c>
      <c r="BA22" s="1" t="s">
        <v>74</v>
      </c>
      <c r="BB22" s="1" t="s">
        <v>74</v>
      </c>
      <c r="BC22" s="1" t="s">
        <v>74</v>
      </c>
      <c r="BD22" s="1">
        <v>104052.0</v>
      </c>
      <c r="BE22" s="1" t="s">
        <v>320</v>
      </c>
      <c r="BF22" s="2" t="str">
        <f>HYPERLINK("http://dx.doi.org/10.1088/1748-9326/ac2a63","http://dx.doi.org/10.1088/1748-9326/ac2a63")</f>
        <v>http://dx.doi.org/10.1088/1748-9326/ac2a63</v>
      </c>
      <c r="BG22" s="1" t="s">
        <v>74</v>
      </c>
      <c r="BH22" s="1" t="s">
        <v>74</v>
      </c>
      <c r="BI22" s="1" t="s">
        <v>74</v>
      </c>
      <c r="BJ22" s="1" t="s">
        <v>74</v>
      </c>
      <c r="BK22" s="1" t="s">
        <v>74</v>
      </c>
      <c r="BL22" s="1" t="s">
        <v>74</v>
      </c>
      <c r="BM22" s="1" t="s">
        <v>74</v>
      </c>
      <c r="BN22" s="1">
        <v>3.4691242E7</v>
      </c>
      <c r="BO22" s="1" t="s">
        <v>74</v>
      </c>
      <c r="BP22" s="1" t="s">
        <v>74</v>
      </c>
      <c r="BQ22" s="1" t="s">
        <v>74</v>
      </c>
      <c r="BR22" s="1" t="s">
        <v>74</v>
      </c>
      <c r="BS22" s="1" t="s">
        <v>321</v>
      </c>
      <c r="BT22" s="1" t="str">
        <f>HYPERLINK("https%3A%2F%2Fwww.webofscience.com%2Fwos%2Fwoscc%2Ffull-record%2FWOS:000708653600001","View Full Record in Web of Science")</f>
        <v>View Full Record in Web of Science</v>
      </c>
    </row>
    <row r="23" ht="12.75" customHeight="1">
      <c r="A23" s="1" t="s">
        <v>72</v>
      </c>
      <c r="B23" s="1" t="s">
        <v>322</v>
      </c>
      <c r="C23" s="1" t="s">
        <v>74</v>
      </c>
      <c r="D23" s="1" t="s">
        <v>74</v>
      </c>
      <c r="E23" s="1" t="s">
        <v>74</v>
      </c>
      <c r="F23" s="1" t="s">
        <v>323</v>
      </c>
      <c r="G23" s="1" t="s">
        <v>74</v>
      </c>
      <c r="H23" s="1" t="s">
        <v>324</v>
      </c>
      <c r="I23" s="1" t="s">
        <v>325</v>
      </c>
      <c r="J23" s="1" t="s">
        <v>326</v>
      </c>
      <c r="K23" s="1" t="s">
        <v>74</v>
      </c>
      <c r="L23" s="1" t="s">
        <v>74</v>
      </c>
      <c r="M23" s="1" t="s">
        <v>74</v>
      </c>
      <c r="N23" s="1" t="s">
        <v>74</v>
      </c>
      <c r="O23" s="1" t="s">
        <v>74</v>
      </c>
      <c r="P23" s="1" t="s">
        <v>74</v>
      </c>
      <c r="Q23" s="1" t="s">
        <v>74</v>
      </c>
      <c r="R23" s="1" t="s">
        <v>74</v>
      </c>
      <c r="S23" s="1" t="s">
        <v>74</v>
      </c>
      <c r="T23" s="1" t="s">
        <v>74</v>
      </c>
      <c r="U23" s="1" t="s">
        <v>74</v>
      </c>
      <c r="V23" s="1" t="s">
        <v>327</v>
      </c>
      <c r="W23" s="1" t="s">
        <v>74</v>
      </c>
      <c r="X23" s="1" t="s">
        <v>74</v>
      </c>
      <c r="Y23" s="1" t="s">
        <v>74</v>
      </c>
      <c r="Z23" s="1" t="s">
        <v>74</v>
      </c>
      <c r="AA23" s="1" t="s">
        <v>328</v>
      </c>
      <c r="AB23" s="1" t="s">
        <v>329</v>
      </c>
      <c r="AC23" s="1" t="s">
        <v>74</v>
      </c>
      <c r="AD23" s="1" t="s">
        <v>74</v>
      </c>
      <c r="AE23" s="1" t="s">
        <v>74</v>
      </c>
      <c r="AF23" s="1" t="s">
        <v>74</v>
      </c>
      <c r="AG23" s="1" t="s">
        <v>74</v>
      </c>
      <c r="AH23" s="1" t="s">
        <v>74</v>
      </c>
      <c r="AI23" s="1" t="s">
        <v>74</v>
      </c>
      <c r="AJ23" s="1" t="s">
        <v>74</v>
      </c>
      <c r="AK23" s="1" t="s">
        <v>74</v>
      </c>
      <c r="AL23" s="1" t="s">
        <v>74</v>
      </c>
      <c r="AM23" s="1" t="s">
        <v>74</v>
      </c>
      <c r="AN23" s="1" t="s">
        <v>74</v>
      </c>
      <c r="AO23" s="1" t="s">
        <v>330</v>
      </c>
      <c r="AP23" s="1" t="s">
        <v>331</v>
      </c>
      <c r="AQ23" s="1" t="s">
        <v>74</v>
      </c>
      <c r="AR23" s="1" t="s">
        <v>74</v>
      </c>
      <c r="AS23" s="1" t="s">
        <v>74</v>
      </c>
      <c r="AT23" s="1" t="s">
        <v>319</v>
      </c>
      <c r="AU23" s="1">
        <v>2022.0</v>
      </c>
      <c r="AV23" s="1">
        <v>29.0</v>
      </c>
      <c r="AW23" s="1">
        <v>7.0</v>
      </c>
      <c r="AX23" s="1" t="s">
        <v>74</v>
      </c>
      <c r="AY23" s="1" t="s">
        <v>74</v>
      </c>
      <c r="AZ23" s="1" t="s">
        <v>74</v>
      </c>
      <c r="BA23" s="1" t="s">
        <v>74</v>
      </c>
      <c r="BB23" s="1">
        <v>1441.0</v>
      </c>
      <c r="BC23" s="1">
        <v>1457.0</v>
      </c>
      <c r="BD23" s="1">
        <v>1.0731911211017636E16</v>
      </c>
      <c r="BE23" s="1" t="s">
        <v>332</v>
      </c>
      <c r="BF23" s="2" t="str">
        <f>HYPERLINK("http://dx.doi.org/10.1177/10731911211017637","http://dx.doi.org/10.1177/10731911211017637")</f>
        <v>http://dx.doi.org/10.1177/10731911211017637</v>
      </c>
      <c r="BG23" s="1" t="s">
        <v>74</v>
      </c>
      <c r="BH23" s="1" t="s">
        <v>333</v>
      </c>
      <c r="BI23" s="1" t="s">
        <v>74</v>
      </c>
      <c r="BJ23" s="1" t="s">
        <v>74</v>
      </c>
      <c r="BK23" s="1" t="s">
        <v>74</v>
      </c>
      <c r="BL23" s="1" t="s">
        <v>74</v>
      </c>
      <c r="BM23" s="1" t="s">
        <v>74</v>
      </c>
      <c r="BN23" s="1">
        <v>3.4044597E7</v>
      </c>
      <c r="BO23" s="1" t="s">
        <v>74</v>
      </c>
      <c r="BP23" s="1" t="s">
        <v>74</v>
      </c>
      <c r="BQ23" s="1" t="s">
        <v>74</v>
      </c>
      <c r="BR23" s="1" t="s">
        <v>74</v>
      </c>
      <c r="BS23" s="1" t="s">
        <v>334</v>
      </c>
      <c r="BT23" s="1" t="str">
        <f>HYPERLINK("https%3A%2F%2Fwww.webofscience.com%2Fwos%2Fwoscc%2Ffull-record%2FWOS:000657115200001","View Full Record in Web of Science")</f>
        <v>View Full Record in Web of Science</v>
      </c>
    </row>
    <row r="24" ht="12.75" customHeight="1">
      <c r="A24" s="1" t="s">
        <v>72</v>
      </c>
      <c r="B24" s="1" t="s">
        <v>335</v>
      </c>
      <c r="C24" s="1" t="s">
        <v>74</v>
      </c>
      <c r="D24" s="1" t="s">
        <v>74</v>
      </c>
      <c r="E24" s="1" t="s">
        <v>74</v>
      </c>
      <c r="F24" s="1" t="s">
        <v>336</v>
      </c>
      <c r="G24" s="1" t="s">
        <v>74</v>
      </c>
      <c r="H24" s="1" t="s">
        <v>74</v>
      </c>
      <c r="I24" s="1" t="s">
        <v>337</v>
      </c>
      <c r="J24" s="1" t="s">
        <v>338</v>
      </c>
      <c r="K24" s="1" t="s">
        <v>74</v>
      </c>
      <c r="L24" s="1" t="s">
        <v>74</v>
      </c>
      <c r="M24" s="1" t="s">
        <v>74</v>
      </c>
      <c r="N24" s="1" t="s">
        <v>74</v>
      </c>
      <c r="O24" s="1" t="s">
        <v>74</v>
      </c>
      <c r="P24" s="1" t="s">
        <v>74</v>
      </c>
      <c r="Q24" s="1" t="s">
        <v>74</v>
      </c>
      <c r="R24" s="1" t="s">
        <v>74</v>
      </c>
      <c r="S24" s="1" t="s">
        <v>74</v>
      </c>
      <c r="T24" s="1" t="s">
        <v>74</v>
      </c>
      <c r="U24" s="1" t="s">
        <v>74</v>
      </c>
      <c r="V24" s="1" t="s">
        <v>339</v>
      </c>
      <c r="W24" s="1" t="s">
        <v>74</v>
      </c>
      <c r="X24" s="1" t="s">
        <v>74</v>
      </c>
      <c r="Y24" s="1" t="s">
        <v>74</v>
      </c>
      <c r="Z24" s="1" t="s">
        <v>74</v>
      </c>
      <c r="AA24" s="1" t="s">
        <v>340</v>
      </c>
      <c r="AB24" s="1" t="s">
        <v>341</v>
      </c>
      <c r="AC24" s="1" t="s">
        <v>74</v>
      </c>
      <c r="AD24" s="1" t="s">
        <v>74</v>
      </c>
      <c r="AE24" s="1" t="s">
        <v>74</v>
      </c>
      <c r="AF24" s="1" t="s">
        <v>74</v>
      </c>
      <c r="AG24" s="1" t="s">
        <v>74</v>
      </c>
      <c r="AH24" s="1" t="s">
        <v>74</v>
      </c>
      <c r="AI24" s="1" t="s">
        <v>74</v>
      </c>
      <c r="AJ24" s="1" t="s">
        <v>74</v>
      </c>
      <c r="AK24" s="1" t="s">
        <v>74</v>
      </c>
      <c r="AL24" s="1" t="s">
        <v>74</v>
      </c>
      <c r="AM24" s="1" t="s">
        <v>74</v>
      </c>
      <c r="AN24" s="1" t="s">
        <v>74</v>
      </c>
      <c r="AO24" s="1" t="s">
        <v>342</v>
      </c>
      <c r="AP24" s="1" t="s">
        <v>343</v>
      </c>
      <c r="AQ24" s="1" t="s">
        <v>74</v>
      </c>
      <c r="AR24" s="1" t="s">
        <v>74</v>
      </c>
      <c r="AS24" s="1" t="s">
        <v>74</v>
      </c>
      <c r="AT24" s="1" t="s">
        <v>344</v>
      </c>
      <c r="AU24" s="1">
        <v>2023.0</v>
      </c>
      <c r="AV24" s="1">
        <v>17.0</v>
      </c>
      <c r="AW24" s="1">
        <v>3.0</v>
      </c>
      <c r="AX24" s="1" t="s">
        <v>74</v>
      </c>
      <c r="AY24" s="1" t="s">
        <v>74</v>
      </c>
      <c r="AZ24" s="1" t="s">
        <v>74</v>
      </c>
      <c r="BA24" s="1" t="s">
        <v>74</v>
      </c>
      <c r="BB24" s="1">
        <v>3950.0</v>
      </c>
      <c r="BC24" s="1">
        <v>3961.0</v>
      </c>
      <c r="BD24" s="1" t="s">
        <v>74</v>
      </c>
      <c r="BE24" s="1" t="s">
        <v>345</v>
      </c>
      <c r="BF24" s="2" t="str">
        <f>HYPERLINK("http://dx.doi.org/10.1109/JSYST.2023.3285492","http://dx.doi.org/10.1109/JSYST.2023.3285492")</f>
        <v>http://dx.doi.org/10.1109/JSYST.2023.3285492</v>
      </c>
      <c r="BG24" s="1" t="s">
        <v>74</v>
      </c>
      <c r="BH24" s="1" t="s">
        <v>202</v>
      </c>
      <c r="BI24" s="1" t="s">
        <v>74</v>
      </c>
      <c r="BJ24" s="1" t="s">
        <v>74</v>
      </c>
      <c r="BK24" s="1" t="s">
        <v>74</v>
      </c>
      <c r="BL24" s="1" t="s">
        <v>74</v>
      </c>
      <c r="BM24" s="1" t="s">
        <v>74</v>
      </c>
      <c r="BN24" s="1" t="s">
        <v>74</v>
      </c>
      <c r="BO24" s="1" t="s">
        <v>74</v>
      </c>
      <c r="BP24" s="1" t="s">
        <v>74</v>
      </c>
      <c r="BQ24" s="1" t="s">
        <v>74</v>
      </c>
      <c r="BR24" s="1" t="s">
        <v>74</v>
      </c>
      <c r="BS24" s="1" t="s">
        <v>346</v>
      </c>
      <c r="BT24" s="1" t="str">
        <f>HYPERLINK("https%3A%2F%2Fwww.webofscience.com%2Fwos%2Fwoscc%2Ffull-record%2FWOS:001025570700001","View Full Record in Web of Science")</f>
        <v>View Full Record in Web of Science</v>
      </c>
    </row>
    <row r="25" ht="12.75" customHeight="1">
      <c r="A25" s="1" t="s">
        <v>72</v>
      </c>
      <c r="B25" s="1" t="s">
        <v>347</v>
      </c>
      <c r="C25" s="1" t="s">
        <v>74</v>
      </c>
      <c r="D25" s="1" t="s">
        <v>74</v>
      </c>
      <c r="E25" s="1" t="s">
        <v>74</v>
      </c>
      <c r="F25" s="1" t="s">
        <v>348</v>
      </c>
      <c r="G25" s="1" t="s">
        <v>74</v>
      </c>
      <c r="H25" s="1" t="s">
        <v>74</v>
      </c>
      <c r="I25" s="1" t="s">
        <v>349</v>
      </c>
      <c r="J25" s="1" t="s">
        <v>350</v>
      </c>
      <c r="K25" s="1" t="s">
        <v>74</v>
      </c>
      <c r="L25" s="1" t="s">
        <v>74</v>
      </c>
      <c r="M25" s="1" t="s">
        <v>74</v>
      </c>
      <c r="N25" s="1" t="s">
        <v>74</v>
      </c>
      <c r="O25" s="1" t="s">
        <v>74</v>
      </c>
      <c r="P25" s="1" t="s">
        <v>74</v>
      </c>
      <c r="Q25" s="1" t="s">
        <v>74</v>
      </c>
      <c r="R25" s="1" t="s">
        <v>74</v>
      </c>
      <c r="S25" s="1" t="s">
        <v>74</v>
      </c>
      <c r="T25" s="1" t="s">
        <v>74</v>
      </c>
      <c r="U25" s="1" t="s">
        <v>74</v>
      </c>
      <c r="V25" s="1" t="s">
        <v>351</v>
      </c>
      <c r="W25" s="1" t="s">
        <v>74</v>
      </c>
      <c r="X25" s="1" t="s">
        <v>74</v>
      </c>
      <c r="Y25" s="1" t="s">
        <v>74</v>
      </c>
      <c r="Z25" s="1" t="s">
        <v>74</v>
      </c>
      <c r="AA25" s="1" t="s">
        <v>352</v>
      </c>
      <c r="AB25" s="1" t="s">
        <v>353</v>
      </c>
      <c r="AC25" s="1" t="s">
        <v>74</v>
      </c>
      <c r="AD25" s="1" t="s">
        <v>74</v>
      </c>
      <c r="AE25" s="1" t="s">
        <v>74</v>
      </c>
      <c r="AF25" s="1" t="s">
        <v>74</v>
      </c>
      <c r="AG25" s="1" t="s">
        <v>74</v>
      </c>
      <c r="AH25" s="1" t="s">
        <v>74</v>
      </c>
      <c r="AI25" s="1" t="s">
        <v>74</v>
      </c>
      <c r="AJ25" s="1" t="s">
        <v>74</v>
      </c>
      <c r="AK25" s="1" t="s">
        <v>74</v>
      </c>
      <c r="AL25" s="1" t="s">
        <v>74</v>
      </c>
      <c r="AM25" s="1" t="s">
        <v>74</v>
      </c>
      <c r="AN25" s="1" t="s">
        <v>74</v>
      </c>
      <c r="AO25" s="1" t="s">
        <v>74</v>
      </c>
      <c r="AP25" s="1" t="s">
        <v>354</v>
      </c>
      <c r="AQ25" s="1" t="s">
        <v>74</v>
      </c>
      <c r="AR25" s="1" t="s">
        <v>74</v>
      </c>
      <c r="AS25" s="1" t="s">
        <v>74</v>
      </c>
      <c r="AT25" s="1" t="s">
        <v>355</v>
      </c>
      <c r="AU25" s="1">
        <v>2021.0</v>
      </c>
      <c r="AV25" s="1">
        <v>21.0</v>
      </c>
      <c r="AW25" s="1">
        <v>1.0</v>
      </c>
      <c r="AX25" s="1" t="s">
        <v>74</v>
      </c>
      <c r="AY25" s="1" t="s">
        <v>74</v>
      </c>
      <c r="AZ25" s="1" t="s">
        <v>74</v>
      </c>
      <c r="BA25" s="1" t="s">
        <v>74</v>
      </c>
      <c r="BB25" s="1" t="s">
        <v>74</v>
      </c>
      <c r="BC25" s="1" t="s">
        <v>74</v>
      </c>
      <c r="BD25" s="1">
        <v>418.0</v>
      </c>
      <c r="BE25" s="1" t="s">
        <v>356</v>
      </c>
      <c r="BF25" s="2" t="str">
        <f>HYPERLINK("http://dx.doi.org/10.1186/s12888-021-03380-2","http://dx.doi.org/10.1186/s12888-021-03380-2")</f>
        <v>http://dx.doi.org/10.1186/s12888-021-03380-2</v>
      </c>
      <c r="BG25" s="1" t="s">
        <v>74</v>
      </c>
      <c r="BH25" s="1" t="s">
        <v>74</v>
      </c>
      <c r="BI25" s="1" t="s">
        <v>74</v>
      </c>
      <c r="BJ25" s="1" t="s">
        <v>74</v>
      </c>
      <c r="BK25" s="1" t="s">
        <v>74</v>
      </c>
      <c r="BL25" s="1" t="s">
        <v>74</v>
      </c>
      <c r="BM25" s="1" t="s">
        <v>74</v>
      </c>
      <c r="BN25" s="1">
        <v>3.441901E7</v>
      </c>
      <c r="BO25" s="1" t="s">
        <v>74</v>
      </c>
      <c r="BP25" s="1" t="s">
        <v>74</v>
      </c>
      <c r="BQ25" s="1" t="s">
        <v>74</v>
      </c>
      <c r="BR25" s="1" t="s">
        <v>74</v>
      </c>
      <c r="BS25" s="1" t="s">
        <v>357</v>
      </c>
      <c r="BT25" s="1" t="str">
        <f>HYPERLINK("https%3A%2F%2Fwww.webofscience.com%2Fwos%2Fwoscc%2Ffull-record%2FWOS:000687156400001","View Full Record in Web of Science")</f>
        <v>View Full Record in Web of Science</v>
      </c>
    </row>
    <row r="26" ht="12.75" customHeight="1">
      <c r="A26" s="1" t="s">
        <v>72</v>
      </c>
      <c r="B26" s="1" t="s">
        <v>358</v>
      </c>
      <c r="C26" s="1" t="s">
        <v>74</v>
      </c>
      <c r="D26" s="1" t="s">
        <v>74</v>
      </c>
      <c r="E26" s="1" t="s">
        <v>74</v>
      </c>
      <c r="F26" s="1" t="s">
        <v>359</v>
      </c>
      <c r="G26" s="1" t="s">
        <v>74</v>
      </c>
      <c r="H26" s="1" t="s">
        <v>74</v>
      </c>
      <c r="I26" s="1" t="s">
        <v>360</v>
      </c>
      <c r="J26" s="1" t="s">
        <v>361</v>
      </c>
      <c r="K26" s="1" t="s">
        <v>74</v>
      </c>
      <c r="L26" s="1" t="s">
        <v>74</v>
      </c>
      <c r="M26" s="1" t="s">
        <v>74</v>
      </c>
      <c r="N26" s="1" t="s">
        <v>74</v>
      </c>
      <c r="O26" s="1" t="s">
        <v>74</v>
      </c>
      <c r="P26" s="1" t="s">
        <v>74</v>
      </c>
      <c r="Q26" s="1" t="s">
        <v>74</v>
      </c>
      <c r="R26" s="1" t="s">
        <v>74</v>
      </c>
      <c r="S26" s="1" t="s">
        <v>74</v>
      </c>
      <c r="T26" s="1" t="s">
        <v>74</v>
      </c>
      <c r="U26" s="1" t="s">
        <v>74</v>
      </c>
      <c r="V26" s="1" t="s">
        <v>362</v>
      </c>
      <c r="W26" s="1" t="s">
        <v>74</v>
      </c>
      <c r="X26" s="1" t="s">
        <v>74</v>
      </c>
      <c r="Y26" s="1" t="s">
        <v>74</v>
      </c>
      <c r="Z26" s="1" t="s">
        <v>74</v>
      </c>
      <c r="AA26" s="1" t="s">
        <v>363</v>
      </c>
      <c r="AB26" s="1" t="s">
        <v>364</v>
      </c>
      <c r="AC26" s="1" t="s">
        <v>74</v>
      </c>
      <c r="AD26" s="1" t="s">
        <v>74</v>
      </c>
      <c r="AE26" s="1" t="s">
        <v>74</v>
      </c>
      <c r="AF26" s="1" t="s">
        <v>74</v>
      </c>
      <c r="AG26" s="1" t="s">
        <v>74</v>
      </c>
      <c r="AH26" s="1" t="s">
        <v>74</v>
      </c>
      <c r="AI26" s="1" t="s">
        <v>74</v>
      </c>
      <c r="AJ26" s="1" t="s">
        <v>74</v>
      </c>
      <c r="AK26" s="1" t="s">
        <v>74</v>
      </c>
      <c r="AL26" s="1" t="s">
        <v>74</v>
      </c>
      <c r="AM26" s="1" t="s">
        <v>74</v>
      </c>
      <c r="AN26" s="1" t="s">
        <v>74</v>
      </c>
      <c r="AO26" s="1" t="s">
        <v>365</v>
      </c>
      <c r="AP26" s="1" t="s">
        <v>366</v>
      </c>
      <c r="AQ26" s="1" t="s">
        <v>74</v>
      </c>
      <c r="AR26" s="1" t="s">
        <v>74</v>
      </c>
      <c r="AS26" s="1" t="s">
        <v>74</v>
      </c>
      <c r="AT26" s="1" t="s">
        <v>275</v>
      </c>
      <c r="AU26" s="1">
        <v>2021.0</v>
      </c>
      <c r="AV26" s="1">
        <v>126.0</v>
      </c>
      <c r="AW26" s="1" t="s">
        <v>74</v>
      </c>
      <c r="AX26" s="1" t="s">
        <v>74</v>
      </c>
      <c r="AY26" s="1" t="s">
        <v>74</v>
      </c>
      <c r="AZ26" s="1" t="s">
        <v>74</v>
      </c>
      <c r="BA26" s="1" t="s">
        <v>74</v>
      </c>
      <c r="BB26" s="1">
        <v>170.0</v>
      </c>
      <c r="BC26" s="1">
        <v>186.0</v>
      </c>
      <c r="BD26" s="1" t="s">
        <v>74</v>
      </c>
      <c r="BE26" s="1" t="s">
        <v>367</v>
      </c>
      <c r="BF26" s="2" t="str">
        <f>HYPERLINK("http://dx.doi.org/10.1016/j.jbusres.2020.12.045","http://dx.doi.org/10.1016/j.jbusres.2020.12.045")</f>
        <v>http://dx.doi.org/10.1016/j.jbusres.2020.12.045</v>
      </c>
      <c r="BG26" s="1" t="s">
        <v>74</v>
      </c>
      <c r="BH26" s="1" t="s">
        <v>368</v>
      </c>
      <c r="BI26" s="1" t="s">
        <v>74</v>
      </c>
      <c r="BJ26" s="1" t="s">
        <v>74</v>
      </c>
      <c r="BK26" s="1" t="s">
        <v>74</v>
      </c>
      <c r="BL26" s="1" t="s">
        <v>74</v>
      </c>
      <c r="BM26" s="1" t="s">
        <v>74</v>
      </c>
      <c r="BN26" s="1" t="s">
        <v>74</v>
      </c>
      <c r="BO26" s="1" t="s">
        <v>74</v>
      </c>
      <c r="BP26" s="1" t="s">
        <v>74</v>
      </c>
      <c r="BQ26" s="1" t="s">
        <v>74</v>
      </c>
      <c r="BR26" s="1" t="s">
        <v>74</v>
      </c>
      <c r="BS26" s="1" t="s">
        <v>369</v>
      </c>
      <c r="BT26" s="1" t="str">
        <f>HYPERLINK("https%3A%2F%2Fwww.webofscience.com%2Fwos%2Fwoscc%2Ffull-record%2FWOS:000620055100015","View Full Record in Web of Science")</f>
        <v>View Full Record in Web of Science</v>
      </c>
    </row>
    <row r="27" ht="12.75" customHeight="1">
      <c r="A27" s="1" t="s">
        <v>72</v>
      </c>
      <c r="B27" s="1" t="s">
        <v>370</v>
      </c>
      <c r="C27" s="1" t="s">
        <v>74</v>
      </c>
      <c r="D27" s="1" t="s">
        <v>74</v>
      </c>
      <c r="E27" s="1" t="s">
        <v>74</v>
      </c>
      <c r="F27" s="1" t="s">
        <v>371</v>
      </c>
      <c r="G27" s="1" t="s">
        <v>74</v>
      </c>
      <c r="H27" s="1" t="s">
        <v>74</v>
      </c>
      <c r="I27" s="1" t="s">
        <v>372</v>
      </c>
      <c r="J27" s="1" t="s">
        <v>373</v>
      </c>
      <c r="K27" s="1" t="s">
        <v>74</v>
      </c>
      <c r="L27" s="1" t="s">
        <v>74</v>
      </c>
      <c r="M27" s="1" t="s">
        <v>74</v>
      </c>
      <c r="N27" s="1" t="s">
        <v>74</v>
      </c>
      <c r="O27" s="1" t="s">
        <v>74</v>
      </c>
      <c r="P27" s="1" t="s">
        <v>74</v>
      </c>
      <c r="Q27" s="1" t="s">
        <v>74</v>
      </c>
      <c r="R27" s="1" t="s">
        <v>74</v>
      </c>
      <c r="S27" s="1" t="s">
        <v>74</v>
      </c>
      <c r="T27" s="1" t="s">
        <v>74</v>
      </c>
      <c r="U27" s="1" t="s">
        <v>74</v>
      </c>
      <c r="V27" s="1" t="s">
        <v>374</v>
      </c>
      <c r="W27" s="1" t="s">
        <v>74</v>
      </c>
      <c r="X27" s="1" t="s">
        <v>74</v>
      </c>
      <c r="Y27" s="1" t="s">
        <v>74</v>
      </c>
      <c r="Z27" s="1" t="s">
        <v>74</v>
      </c>
      <c r="AA27" s="1" t="s">
        <v>375</v>
      </c>
      <c r="AB27" s="1" t="s">
        <v>376</v>
      </c>
      <c r="AC27" s="1" t="s">
        <v>74</v>
      </c>
      <c r="AD27" s="1" t="s">
        <v>74</v>
      </c>
      <c r="AE27" s="1" t="s">
        <v>74</v>
      </c>
      <c r="AF27" s="1" t="s">
        <v>74</v>
      </c>
      <c r="AG27" s="1" t="s">
        <v>74</v>
      </c>
      <c r="AH27" s="1" t="s">
        <v>74</v>
      </c>
      <c r="AI27" s="1" t="s">
        <v>74</v>
      </c>
      <c r="AJ27" s="1" t="s">
        <v>74</v>
      </c>
      <c r="AK27" s="1" t="s">
        <v>74</v>
      </c>
      <c r="AL27" s="1" t="s">
        <v>74</v>
      </c>
      <c r="AM27" s="1" t="s">
        <v>74</v>
      </c>
      <c r="AN27" s="1" t="s">
        <v>74</v>
      </c>
      <c r="AO27" s="1" t="s">
        <v>377</v>
      </c>
      <c r="AP27" s="1" t="s">
        <v>378</v>
      </c>
      <c r="AQ27" s="1" t="s">
        <v>74</v>
      </c>
      <c r="AR27" s="1" t="s">
        <v>74</v>
      </c>
      <c r="AS27" s="1" t="s">
        <v>74</v>
      </c>
      <c r="AT27" s="1" t="s">
        <v>130</v>
      </c>
      <c r="AU27" s="1">
        <v>2018.0</v>
      </c>
      <c r="AV27" s="1">
        <v>113.0</v>
      </c>
      <c r="AW27" s="1" t="s">
        <v>74</v>
      </c>
      <c r="AX27" s="1" t="s">
        <v>74</v>
      </c>
      <c r="AY27" s="1" t="s">
        <v>74</v>
      </c>
      <c r="AZ27" s="1" t="s">
        <v>74</v>
      </c>
      <c r="BA27" s="1" t="s">
        <v>74</v>
      </c>
      <c r="BB27" s="1">
        <v>180.0</v>
      </c>
      <c r="BC27" s="1">
        <v>185.0</v>
      </c>
      <c r="BD27" s="1" t="s">
        <v>74</v>
      </c>
      <c r="BE27" s="1" t="s">
        <v>379</v>
      </c>
      <c r="BF27" s="2" t="str">
        <f>HYPERLINK("http://dx.doi.org/10.1016/j.exger.2018.09.026","http://dx.doi.org/10.1016/j.exger.2018.09.026")</f>
        <v>http://dx.doi.org/10.1016/j.exger.2018.09.026</v>
      </c>
      <c r="BG27" s="1" t="s">
        <v>74</v>
      </c>
      <c r="BH27" s="1" t="s">
        <v>74</v>
      </c>
      <c r="BI27" s="1" t="s">
        <v>74</v>
      </c>
      <c r="BJ27" s="1" t="s">
        <v>74</v>
      </c>
      <c r="BK27" s="1" t="s">
        <v>74</v>
      </c>
      <c r="BL27" s="1" t="s">
        <v>74</v>
      </c>
      <c r="BM27" s="1" t="s">
        <v>74</v>
      </c>
      <c r="BN27" s="1">
        <v>3.0292772E7</v>
      </c>
      <c r="BO27" s="1" t="s">
        <v>74</v>
      </c>
      <c r="BP27" s="1" t="s">
        <v>74</v>
      </c>
      <c r="BQ27" s="1" t="s">
        <v>74</v>
      </c>
      <c r="BR27" s="1" t="s">
        <v>74</v>
      </c>
      <c r="BS27" s="1" t="s">
        <v>380</v>
      </c>
      <c r="BT27" s="1" t="str">
        <f>HYPERLINK("https%3A%2F%2Fwww.webofscience.com%2Fwos%2Fwoscc%2Ffull-record%2FWOS:000449275300021","View Full Record in Web of Science")</f>
        <v>View Full Record in Web of Science</v>
      </c>
    </row>
    <row r="28" ht="12.75" customHeight="1">
      <c r="A28" s="1" t="s">
        <v>72</v>
      </c>
      <c r="B28" s="1" t="s">
        <v>381</v>
      </c>
      <c r="C28" s="1" t="s">
        <v>74</v>
      </c>
      <c r="D28" s="1" t="s">
        <v>74</v>
      </c>
      <c r="E28" s="1" t="s">
        <v>74</v>
      </c>
      <c r="F28" s="1" t="s">
        <v>382</v>
      </c>
      <c r="G28" s="1" t="s">
        <v>74</v>
      </c>
      <c r="H28" s="1" t="s">
        <v>383</v>
      </c>
      <c r="I28" s="1" t="s">
        <v>384</v>
      </c>
      <c r="J28" s="1" t="s">
        <v>385</v>
      </c>
      <c r="K28" s="1" t="s">
        <v>74</v>
      </c>
      <c r="L28" s="1" t="s">
        <v>74</v>
      </c>
      <c r="M28" s="1" t="s">
        <v>74</v>
      </c>
      <c r="N28" s="1" t="s">
        <v>74</v>
      </c>
      <c r="O28" s="1" t="s">
        <v>74</v>
      </c>
      <c r="P28" s="1" t="s">
        <v>74</v>
      </c>
      <c r="Q28" s="1" t="s">
        <v>74</v>
      </c>
      <c r="R28" s="1" t="s">
        <v>74</v>
      </c>
      <c r="S28" s="1" t="s">
        <v>74</v>
      </c>
      <c r="T28" s="1" t="s">
        <v>74</v>
      </c>
      <c r="U28" s="1" t="s">
        <v>74</v>
      </c>
      <c r="V28" s="1" t="s">
        <v>386</v>
      </c>
      <c r="W28" s="1" t="s">
        <v>74</v>
      </c>
      <c r="X28" s="1" t="s">
        <v>74</v>
      </c>
      <c r="Y28" s="1" t="s">
        <v>74</v>
      </c>
      <c r="Z28" s="1" t="s">
        <v>74</v>
      </c>
      <c r="AA28" s="1" t="s">
        <v>387</v>
      </c>
      <c r="AB28" s="1" t="s">
        <v>74</v>
      </c>
      <c r="AC28" s="1" t="s">
        <v>74</v>
      </c>
      <c r="AD28" s="1" t="s">
        <v>74</v>
      </c>
      <c r="AE28" s="1" t="s">
        <v>74</v>
      </c>
      <c r="AF28" s="1" t="s">
        <v>74</v>
      </c>
      <c r="AG28" s="1" t="s">
        <v>74</v>
      </c>
      <c r="AH28" s="1" t="s">
        <v>74</v>
      </c>
      <c r="AI28" s="1" t="s">
        <v>74</v>
      </c>
      <c r="AJ28" s="1" t="s">
        <v>74</v>
      </c>
      <c r="AK28" s="1" t="s">
        <v>74</v>
      </c>
      <c r="AL28" s="1" t="s">
        <v>74</v>
      </c>
      <c r="AM28" s="1" t="s">
        <v>74</v>
      </c>
      <c r="AN28" s="1" t="s">
        <v>74</v>
      </c>
      <c r="AO28" s="1" t="s">
        <v>388</v>
      </c>
      <c r="AP28" s="1" t="s">
        <v>389</v>
      </c>
      <c r="AQ28" s="1" t="s">
        <v>74</v>
      </c>
      <c r="AR28" s="1" t="s">
        <v>74</v>
      </c>
      <c r="AS28" s="1" t="s">
        <v>74</v>
      </c>
      <c r="AT28" s="1" t="s">
        <v>74</v>
      </c>
      <c r="AU28" s="1">
        <v>2021.0</v>
      </c>
      <c r="AV28" s="1">
        <v>49.0</v>
      </c>
      <c r="AW28" s="1">
        <v>4.0</v>
      </c>
      <c r="AX28" s="1" t="s">
        <v>74</v>
      </c>
      <c r="AY28" s="1" t="s">
        <v>74</v>
      </c>
      <c r="AZ28" s="1" t="s">
        <v>74</v>
      </c>
      <c r="BA28" s="1" t="s">
        <v>74</v>
      </c>
      <c r="BB28" s="1">
        <v>47.0</v>
      </c>
      <c r="BC28" s="1">
        <v>54.0</v>
      </c>
      <c r="BD28" s="1" t="s">
        <v>74</v>
      </c>
      <c r="BE28" s="1" t="s">
        <v>390</v>
      </c>
      <c r="BF28" s="2" t="str">
        <f>HYPERLINK("http://dx.doi.org/10.15586/aei.v49i4.100","http://dx.doi.org/10.15586/aei.v49i4.100")</f>
        <v>http://dx.doi.org/10.15586/aei.v49i4.100</v>
      </c>
      <c r="BG28" s="1" t="s">
        <v>74</v>
      </c>
      <c r="BH28" s="1" t="s">
        <v>74</v>
      </c>
      <c r="BI28" s="1" t="s">
        <v>74</v>
      </c>
      <c r="BJ28" s="1" t="s">
        <v>74</v>
      </c>
      <c r="BK28" s="1" t="s">
        <v>74</v>
      </c>
      <c r="BL28" s="1" t="s">
        <v>74</v>
      </c>
      <c r="BM28" s="1" t="s">
        <v>74</v>
      </c>
      <c r="BN28" s="1">
        <v>3.4224218E7</v>
      </c>
      <c r="BO28" s="1" t="s">
        <v>74</v>
      </c>
      <c r="BP28" s="1" t="s">
        <v>74</v>
      </c>
      <c r="BQ28" s="1" t="s">
        <v>74</v>
      </c>
      <c r="BR28" s="1" t="s">
        <v>74</v>
      </c>
      <c r="BS28" s="1" t="s">
        <v>391</v>
      </c>
      <c r="BT28" s="1" t="str">
        <f>HYPERLINK("https%3A%2F%2Fwww.webofscience.com%2Fwos%2Fwoscc%2Ffull-record%2FWOS:000669521100007","View Full Record in Web of Science")</f>
        <v>View Full Record in Web of Science</v>
      </c>
    </row>
    <row r="29" ht="12.75" customHeight="1">
      <c r="A29" s="1" t="s">
        <v>72</v>
      </c>
      <c r="B29" s="1" t="s">
        <v>392</v>
      </c>
      <c r="C29" s="1" t="s">
        <v>74</v>
      </c>
      <c r="D29" s="1" t="s">
        <v>74</v>
      </c>
      <c r="E29" s="1" t="s">
        <v>74</v>
      </c>
      <c r="F29" s="1" t="s">
        <v>393</v>
      </c>
      <c r="G29" s="1" t="s">
        <v>74</v>
      </c>
      <c r="H29" s="1" t="s">
        <v>74</v>
      </c>
      <c r="I29" s="1" t="s">
        <v>394</v>
      </c>
      <c r="J29" s="1" t="s">
        <v>395</v>
      </c>
      <c r="K29" s="1" t="s">
        <v>74</v>
      </c>
      <c r="L29" s="1" t="s">
        <v>74</v>
      </c>
      <c r="M29" s="1" t="s">
        <v>74</v>
      </c>
      <c r="N29" s="1" t="s">
        <v>74</v>
      </c>
      <c r="O29" s="1" t="s">
        <v>74</v>
      </c>
      <c r="P29" s="1" t="s">
        <v>74</v>
      </c>
      <c r="Q29" s="1" t="s">
        <v>74</v>
      </c>
      <c r="R29" s="1" t="s">
        <v>74</v>
      </c>
      <c r="S29" s="1" t="s">
        <v>74</v>
      </c>
      <c r="T29" s="1" t="s">
        <v>74</v>
      </c>
      <c r="U29" s="1" t="s">
        <v>74</v>
      </c>
      <c r="V29" s="1" t="s">
        <v>396</v>
      </c>
      <c r="W29" s="1" t="s">
        <v>74</v>
      </c>
      <c r="X29" s="1" t="s">
        <v>74</v>
      </c>
      <c r="Y29" s="1" t="s">
        <v>74</v>
      </c>
      <c r="Z29" s="1" t="s">
        <v>74</v>
      </c>
      <c r="AA29" s="1" t="s">
        <v>397</v>
      </c>
      <c r="AB29" s="1" t="s">
        <v>398</v>
      </c>
      <c r="AC29" s="1" t="s">
        <v>74</v>
      </c>
      <c r="AD29" s="1" t="s">
        <v>74</v>
      </c>
      <c r="AE29" s="1" t="s">
        <v>74</v>
      </c>
      <c r="AF29" s="1" t="s">
        <v>74</v>
      </c>
      <c r="AG29" s="1" t="s">
        <v>74</v>
      </c>
      <c r="AH29" s="1" t="s">
        <v>74</v>
      </c>
      <c r="AI29" s="1" t="s">
        <v>74</v>
      </c>
      <c r="AJ29" s="1" t="s">
        <v>74</v>
      </c>
      <c r="AK29" s="1" t="s">
        <v>74</v>
      </c>
      <c r="AL29" s="1" t="s">
        <v>74</v>
      </c>
      <c r="AM29" s="1" t="s">
        <v>74</v>
      </c>
      <c r="AN29" s="1" t="s">
        <v>74</v>
      </c>
      <c r="AO29" s="1" t="s">
        <v>399</v>
      </c>
      <c r="AP29" s="1" t="s">
        <v>400</v>
      </c>
      <c r="AQ29" s="1" t="s">
        <v>74</v>
      </c>
      <c r="AR29" s="1" t="s">
        <v>74</v>
      </c>
      <c r="AS29" s="1" t="s">
        <v>74</v>
      </c>
      <c r="AT29" s="1" t="s">
        <v>200</v>
      </c>
      <c r="AU29" s="1">
        <v>2020.0</v>
      </c>
      <c r="AV29" s="1">
        <v>495.0</v>
      </c>
      <c r="AW29" s="1">
        <v>3.0</v>
      </c>
      <c r="AX29" s="1" t="s">
        <v>74</v>
      </c>
      <c r="AY29" s="1" t="s">
        <v>74</v>
      </c>
      <c r="AZ29" s="1" t="s">
        <v>74</v>
      </c>
      <c r="BA29" s="1" t="s">
        <v>74</v>
      </c>
      <c r="BB29" s="1">
        <v>3482.0</v>
      </c>
      <c r="BC29" s="1">
        <v>3493.0</v>
      </c>
      <c r="BD29" s="1" t="s">
        <v>74</v>
      </c>
      <c r="BE29" s="1" t="s">
        <v>401</v>
      </c>
      <c r="BF29" s="2" t="str">
        <f>HYPERLINK("http://dx.doi.org/10.1093/mnras/staa1422","http://dx.doi.org/10.1093/mnras/staa1422")</f>
        <v>http://dx.doi.org/10.1093/mnras/staa1422</v>
      </c>
      <c r="BG29" s="1" t="s">
        <v>74</v>
      </c>
      <c r="BH29" s="1" t="s">
        <v>74</v>
      </c>
      <c r="BI29" s="1" t="s">
        <v>74</v>
      </c>
      <c r="BJ29" s="1" t="s">
        <v>74</v>
      </c>
      <c r="BK29" s="1" t="s">
        <v>74</v>
      </c>
      <c r="BL29" s="1" t="s">
        <v>74</v>
      </c>
      <c r="BM29" s="1" t="s">
        <v>74</v>
      </c>
      <c r="BN29" s="1" t="s">
        <v>74</v>
      </c>
      <c r="BO29" s="1" t="s">
        <v>74</v>
      </c>
      <c r="BP29" s="1" t="s">
        <v>74</v>
      </c>
      <c r="BQ29" s="1" t="s">
        <v>74</v>
      </c>
      <c r="BR29" s="1" t="s">
        <v>74</v>
      </c>
      <c r="BS29" s="1" t="s">
        <v>402</v>
      </c>
      <c r="BT29" s="1" t="str">
        <f>HYPERLINK("https%3A%2F%2Fwww.webofscience.com%2Fwos%2Fwoscc%2Ffull-record%2FWOS:000543025500066","View Full Record in Web of Science")</f>
        <v>View Full Record in Web of Science</v>
      </c>
    </row>
    <row r="30" ht="12.75" customHeight="1">
      <c r="A30" s="1" t="s">
        <v>72</v>
      </c>
      <c r="B30" s="1" t="s">
        <v>403</v>
      </c>
      <c r="C30" s="1" t="s">
        <v>74</v>
      </c>
      <c r="D30" s="1" t="s">
        <v>74</v>
      </c>
      <c r="E30" s="1" t="s">
        <v>74</v>
      </c>
      <c r="F30" s="1" t="s">
        <v>404</v>
      </c>
      <c r="G30" s="1" t="s">
        <v>74</v>
      </c>
      <c r="H30" s="1" t="s">
        <v>74</v>
      </c>
      <c r="I30" s="1" t="s">
        <v>405</v>
      </c>
      <c r="J30" s="1" t="s">
        <v>406</v>
      </c>
      <c r="K30" s="1" t="s">
        <v>74</v>
      </c>
      <c r="L30" s="1" t="s">
        <v>74</v>
      </c>
      <c r="M30" s="1" t="s">
        <v>74</v>
      </c>
      <c r="N30" s="1" t="s">
        <v>74</v>
      </c>
      <c r="O30" s="1" t="s">
        <v>74</v>
      </c>
      <c r="P30" s="1" t="s">
        <v>74</v>
      </c>
      <c r="Q30" s="1" t="s">
        <v>74</v>
      </c>
      <c r="R30" s="1" t="s">
        <v>74</v>
      </c>
      <c r="S30" s="1" t="s">
        <v>74</v>
      </c>
      <c r="T30" s="1" t="s">
        <v>74</v>
      </c>
      <c r="U30" s="1" t="s">
        <v>74</v>
      </c>
      <c r="V30" s="1" t="s">
        <v>407</v>
      </c>
      <c r="W30" s="1" t="s">
        <v>74</v>
      </c>
      <c r="X30" s="1" t="s">
        <v>74</v>
      </c>
      <c r="Y30" s="1" t="s">
        <v>74</v>
      </c>
      <c r="Z30" s="1" t="s">
        <v>74</v>
      </c>
      <c r="AA30" s="1" t="s">
        <v>408</v>
      </c>
      <c r="AB30" s="1" t="s">
        <v>409</v>
      </c>
      <c r="AC30" s="1" t="s">
        <v>74</v>
      </c>
      <c r="AD30" s="1" t="s">
        <v>74</v>
      </c>
      <c r="AE30" s="1" t="s">
        <v>74</v>
      </c>
      <c r="AF30" s="1" t="s">
        <v>74</v>
      </c>
      <c r="AG30" s="1" t="s">
        <v>74</v>
      </c>
      <c r="AH30" s="1" t="s">
        <v>74</v>
      </c>
      <c r="AI30" s="1" t="s">
        <v>74</v>
      </c>
      <c r="AJ30" s="1" t="s">
        <v>74</v>
      </c>
      <c r="AK30" s="1" t="s">
        <v>74</v>
      </c>
      <c r="AL30" s="1" t="s">
        <v>74</v>
      </c>
      <c r="AM30" s="1" t="s">
        <v>74</v>
      </c>
      <c r="AN30" s="1" t="s">
        <v>74</v>
      </c>
      <c r="AO30" s="1" t="s">
        <v>410</v>
      </c>
      <c r="AP30" s="1" t="s">
        <v>74</v>
      </c>
      <c r="AQ30" s="1" t="s">
        <v>74</v>
      </c>
      <c r="AR30" s="1" t="s">
        <v>74</v>
      </c>
      <c r="AS30" s="1" t="s">
        <v>74</v>
      </c>
      <c r="AT30" s="1" t="s">
        <v>411</v>
      </c>
      <c r="AU30" s="1">
        <v>2021.0</v>
      </c>
      <c r="AV30" s="1">
        <v>11.0</v>
      </c>
      <c r="AW30" s="1">
        <v>1.0</v>
      </c>
      <c r="AX30" s="1" t="s">
        <v>74</v>
      </c>
      <c r="AY30" s="1" t="s">
        <v>74</v>
      </c>
      <c r="AZ30" s="1" t="s">
        <v>74</v>
      </c>
      <c r="BA30" s="1" t="s">
        <v>74</v>
      </c>
      <c r="BB30" s="1" t="s">
        <v>74</v>
      </c>
      <c r="BC30" s="1" t="s">
        <v>74</v>
      </c>
      <c r="BD30" s="1">
        <v>4288.0</v>
      </c>
      <c r="BE30" s="1" t="s">
        <v>412</v>
      </c>
      <c r="BF30" s="2" t="str">
        <f>HYPERLINK("http://dx.doi.org/10.1038/s41598-021-81954-6","http://dx.doi.org/10.1038/s41598-021-81954-6")</f>
        <v>http://dx.doi.org/10.1038/s41598-021-81954-6</v>
      </c>
      <c r="BG30" s="1" t="s">
        <v>74</v>
      </c>
      <c r="BH30" s="1" t="s">
        <v>74</v>
      </c>
      <c r="BI30" s="1" t="s">
        <v>74</v>
      </c>
      <c r="BJ30" s="1" t="s">
        <v>74</v>
      </c>
      <c r="BK30" s="1" t="s">
        <v>74</v>
      </c>
      <c r="BL30" s="1" t="s">
        <v>74</v>
      </c>
      <c r="BM30" s="1" t="s">
        <v>74</v>
      </c>
      <c r="BN30" s="1">
        <v>3.3619291E7</v>
      </c>
      <c r="BO30" s="1" t="s">
        <v>74</v>
      </c>
      <c r="BP30" s="1" t="s">
        <v>74</v>
      </c>
      <c r="BQ30" s="1" t="s">
        <v>74</v>
      </c>
      <c r="BR30" s="1" t="s">
        <v>74</v>
      </c>
      <c r="BS30" s="1" t="s">
        <v>413</v>
      </c>
      <c r="BT30" s="1" t="str">
        <f>HYPERLINK("https%3A%2F%2Fwww.webofscience.com%2Fwos%2Fwoscc%2Ffull-record%2FWOS:000621911100002","View Full Record in Web of Science")</f>
        <v>View Full Record in Web of Science</v>
      </c>
    </row>
    <row r="31" ht="12.75" customHeight="1">
      <c r="A31" s="1" t="s">
        <v>72</v>
      </c>
      <c r="B31" s="1" t="s">
        <v>414</v>
      </c>
      <c r="C31" s="1" t="s">
        <v>74</v>
      </c>
      <c r="D31" s="1" t="s">
        <v>74</v>
      </c>
      <c r="E31" s="1" t="s">
        <v>74</v>
      </c>
      <c r="F31" s="1" t="s">
        <v>415</v>
      </c>
      <c r="G31" s="1" t="s">
        <v>74</v>
      </c>
      <c r="H31" s="1" t="s">
        <v>74</v>
      </c>
      <c r="I31" s="1" t="s">
        <v>416</v>
      </c>
      <c r="J31" s="1" t="s">
        <v>417</v>
      </c>
      <c r="K31" s="1" t="s">
        <v>74</v>
      </c>
      <c r="L31" s="1" t="s">
        <v>74</v>
      </c>
      <c r="M31" s="1" t="s">
        <v>74</v>
      </c>
      <c r="N31" s="1" t="s">
        <v>74</v>
      </c>
      <c r="O31" s="1" t="s">
        <v>74</v>
      </c>
      <c r="P31" s="1" t="s">
        <v>74</v>
      </c>
      <c r="Q31" s="1" t="s">
        <v>74</v>
      </c>
      <c r="R31" s="1" t="s">
        <v>74</v>
      </c>
      <c r="S31" s="1" t="s">
        <v>74</v>
      </c>
      <c r="T31" s="1" t="s">
        <v>74</v>
      </c>
      <c r="U31" s="1" t="s">
        <v>74</v>
      </c>
      <c r="V31" s="1" t="s">
        <v>418</v>
      </c>
      <c r="W31" s="1" t="s">
        <v>74</v>
      </c>
      <c r="X31" s="1" t="s">
        <v>74</v>
      </c>
      <c r="Y31" s="1" t="s">
        <v>74</v>
      </c>
      <c r="Z31" s="1" t="s">
        <v>74</v>
      </c>
      <c r="AA31" s="1" t="s">
        <v>419</v>
      </c>
      <c r="AB31" s="1" t="s">
        <v>420</v>
      </c>
      <c r="AC31" s="1" t="s">
        <v>74</v>
      </c>
      <c r="AD31" s="1" t="s">
        <v>74</v>
      </c>
      <c r="AE31" s="1" t="s">
        <v>74</v>
      </c>
      <c r="AF31" s="1" t="s">
        <v>74</v>
      </c>
      <c r="AG31" s="1" t="s">
        <v>74</v>
      </c>
      <c r="AH31" s="1" t="s">
        <v>74</v>
      </c>
      <c r="AI31" s="1" t="s">
        <v>74</v>
      </c>
      <c r="AJ31" s="1" t="s">
        <v>74</v>
      </c>
      <c r="AK31" s="1" t="s">
        <v>74</v>
      </c>
      <c r="AL31" s="1" t="s">
        <v>74</v>
      </c>
      <c r="AM31" s="1" t="s">
        <v>74</v>
      </c>
      <c r="AN31" s="1" t="s">
        <v>74</v>
      </c>
      <c r="AO31" s="1" t="s">
        <v>74</v>
      </c>
      <c r="AP31" s="1" t="s">
        <v>421</v>
      </c>
      <c r="AQ31" s="1" t="s">
        <v>74</v>
      </c>
      <c r="AR31" s="1" t="s">
        <v>74</v>
      </c>
      <c r="AS31" s="1" t="s">
        <v>74</v>
      </c>
      <c r="AT31" s="1" t="s">
        <v>422</v>
      </c>
      <c r="AU31" s="1">
        <v>2023.0</v>
      </c>
      <c r="AV31" s="1">
        <v>23.0</v>
      </c>
      <c r="AW31" s="1">
        <v>1.0</v>
      </c>
      <c r="AX31" s="1" t="s">
        <v>74</v>
      </c>
      <c r="AY31" s="1" t="s">
        <v>74</v>
      </c>
      <c r="AZ31" s="1" t="s">
        <v>74</v>
      </c>
      <c r="BA31" s="1" t="s">
        <v>74</v>
      </c>
      <c r="BB31" s="1" t="s">
        <v>74</v>
      </c>
      <c r="BC31" s="1" t="s">
        <v>74</v>
      </c>
      <c r="BD31" s="1">
        <v>110.0</v>
      </c>
      <c r="BE31" s="1" t="s">
        <v>423</v>
      </c>
      <c r="BF31" s="2" t="str">
        <f>HYPERLINK("http://dx.doi.org/10.1186/s12889-023-15029-8","http://dx.doi.org/10.1186/s12889-023-15029-8")</f>
        <v>http://dx.doi.org/10.1186/s12889-023-15029-8</v>
      </c>
      <c r="BG31" s="1" t="s">
        <v>74</v>
      </c>
      <c r="BH31" s="1" t="s">
        <v>74</v>
      </c>
      <c r="BI31" s="1" t="s">
        <v>74</v>
      </c>
      <c r="BJ31" s="1" t="s">
        <v>74</v>
      </c>
      <c r="BK31" s="1" t="s">
        <v>74</v>
      </c>
      <c r="BL31" s="1" t="s">
        <v>74</v>
      </c>
      <c r="BM31" s="1" t="s">
        <v>74</v>
      </c>
      <c r="BN31" s="1">
        <v>3.6647028E7</v>
      </c>
      <c r="BO31" s="1" t="s">
        <v>74</v>
      </c>
      <c r="BP31" s="1" t="s">
        <v>74</v>
      </c>
      <c r="BQ31" s="1" t="s">
        <v>74</v>
      </c>
      <c r="BR31" s="1" t="s">
        <v>74</v>
      </c>
      <c r="BS31" s="1" t="s">
        <v>424</v>
      </c>
      <c r="BT31" s="1" t="str">
        <f>HYPERLINK("https%3A%2F%2Fwww.webofscience.com%2Fwos%2Fwoscc%2Ffull-record%2FWOS:000916932100002","View Full Record in Web of Science")</f>
        <v>View Full Record in Web of Science</v>
      </c>
    </row>
    <row r="32" ht="12.75" customHeight="1">
      <c r="A32" s="1" t="s">
        <v>72</v>
      </c>
      <c r="B32" s="1" t="s">
        <v>425</v>
      </c>
      <c r="C32" s="1" t="s">
        <v>74</v>
      </c>
      <c r="D32" s="1" t="s">
        <v>74</v>
      </c>
      <c r="E32" s="1" t="s">
        <v>74</v>
      </c>
      <c r="F32" s="1" t="s">
        <v>426</v>
      </c>
      <c r="G32" s="1" t="s">
        <v>74</v>
      </c>
      <c r="H32" s="1" t="s">
        <v>74</v>
      </c>
      <c r="I32" s="1" t="s">
        <v>427</v>
      </c>
      <c r="J32" s="1" t="s">
        <v>428</v>
      </c>
      <c r="K32" s="1" t="s">
        <v>74</v>
      </c>
      <c r="L32" s="1" t="s">
        <v>74</v>
      </c>
      <c r="M32" s="1" t="s">
        <v>74</v>
      </c>
      <c r="N32" s="1" t="s">
        <v>74</v>
      </c>
      <c r="O32" s="1" t="s">
        <v>74</v>
      </c>
      <c r="P32" s="1" t="s">
        <v>74</v>
      </c>
      <c r="Q32" s="1" t="s">
        <v>74</v>
      </c>
      <c r="R32" s="1" t="s">
        <v>74</v>
      </c>
      <c r="S32" s="1" t="s">
        <v>74</v>
      </c>
      <c r="T32" s="1" t="s">
        <v>74</v>
      </c>
      <c r="U32" s="1" t="s">
        <v>74</v>
      </c>
      <c r="V32" s="1" t="s">
        <v>429</v>
      </c>
      <c r="W32" s="1" t="s">
        <v>74</v>
      </c>
      <c r="X32" s="1" t="s">
        <v>74</v>
      </c>
      <c r="Y32" s="1" t="s">
        <v>74</v>
      </c>
      <c r="Z32" s="1" t="s">
        <v>74</v>
      </c>
      <c r="AA32" s="1" t="s">
        <v>430</v>
      </c>
      <c r="AB32" s="1" t="s">
        <v>431</v>
      </c>
      <c r="AC32" s="1" t="s">
        <v>74</v>
      </c>
      <c r="AD32" s="1" t="s">
        <v>74</v>
      </c>
      <c r="AE32" s="1" t="s">
        <v>74</v>
      </c>
      <c r="AF32" s="1" t="s">
        <v>74</v>
      </c>
      <c r="AG32" s="1" t="s">
        <v>74</v>
      </c>
      <c r="AH32" s="1" t="s">
        <v>74</v>
      </c>
      <c r="AI32" s="1" t="s">
        <v>74</v>
      </c>
      <c r="AJ32" s="1" t="s">
        <v>74</v>
      </c>
      <c r="AK32" s="1" t="s">
        <v>74</v>
      </c>
      <c r="AL32" s="1" t="s">
        <v>74</v>
      </c>
      <c r="AM32" s="1" t="s">
        <v>74</v>
      </c>
      <c r="AN32" s="1" t="s">
        <v>74</v>
      </c>
      <c r="AO32" s="1" t="s">
        <v>432</v>
      </c>
      <c r="AP32" s="1" t="s">
        <v>74</v>
      </c>
      <c r="AQ32" s="1" t="s">
        <v>74</v>
      </c>
      <c r="AR32" s="1" t="s">
        <v>74</v>
      </c>
      <c r="AS32" s="1" t="s">
        <v>74</v>
      </c>
      <c r="AT32" s="1" t="s">
        <v>275</v>
      </c>
      <c r="AU32" s="1">
        <v>2025.0</v>
      </c>
      <c r="AV32" s="1">
        <v>9.0</v>
      </c>
      <c r="AW32" s="1">
        <v>3.0</v>
      </c>
      <c r="AX32" s="1" t="s">
        <v>74</v>
      </c>
      <c r="AY32" s="1" t="s">
        <v>74</v>
      </c>
      <c r="AZ32" s="1" t="s">
        <v>74</v>
      </c>
      <c r="BA32" s="1" t="s">
        <v>74</v>
      </c>
      <c r="BB32" s="1">
        <v>449.0</v>
      </c>
      <c r="BC32" s="1">
        <v>457.0</v>
      </c>
      <c r="BD32" s="1" t="s">
        <v>74</v>
      </c>
      <c r="BE32" s="1" t="s">
        <v>433</v>
      </c>
      <c r="BF32" s="2" t="str">
        <f>HYPERLINK("http://dx.doi.org/10.1038/s41550-024-02473-8","http://dx.doi.org/10.1038/s41550-024-02473-8")</f>
        <v>http://dx.doi.org/10.1038/s41550-024-02473-8</v>
      </c>
      <c r="BG32" s="1" t="s">
        <v>74</v>
      </c>
      <c r="BH32" s="1" t="s">
        <v>434</v>
      </c>
      <c r="BI32" s="1" t="s">
        <v>74</v>
      </c>
      <c r="BJ32" s="1" t="s">
        <v>74</v>
      </c>
      <c r="BK32" s="1" t="s">
        <v>74</v>
      </c>
      <c r="BL32" s="1" t="s">
        <v>74</v>
      </c>
      <c r="BM32" s="1" t="s">
        <v>74</v>
      </c>
      <c r="BN32" s="1" t="s">
        <v>74</v>
      </c>
      <c r="BO32" s="1" t="s">
        <v>74</v>
      </c>
      <c r="BP32" s="1" t="s">
        <v>74</v>
      </c>
      <c r="BQ32" s="1" t="s">
        <v>74</v>
      </c>
      <c r="BR32" s="1" t="s">
        <v>74</v>
      </c>
      <c r="BS32" s="1" t="s">
        <v>435</v>
      </c>
      <c r="BT32" s="1" t="str">
        <f>HYPERLINK("https%3A%2F%2Fwww.webofscience.com%2Fwos%2Fwoscc%2Ffull-record%2FWOS:001409524100001","View Full Record in Web of Science")</f>
        <v>View Full Record in Web of Science</v>
      </c>
    </row>
    <row r="33" ht="12.75" customHeight="1">
      <c r="A33" s="1" t="s">
        <v>72</v>
      </c>
      <c r="B33" s="1" t="s">
        <v>436</v>
      </c>
      <c r="C33" s="1" t="s">
        <v>74</v>
      </c>
      <c r="D33" s="1" t="s">
        <v>74</v>
      </c>
      <c r="E33" s="1" t="s">
        <v>74</v>
      </c>
      <c r="F33" s="1" t="s">
        <v>437</v>
      </c>
      <c r="G33" s="1" t="s">
        <v>74</v>
      </c>
      <c r="H33" s="1" t="s">
        <v>324</v>
      </c>
      <c r="I33" s="1" t="s">
        <v>438</v>
      </c>
      <c r="J33" s="1" t="s">
        <v>439</v>
      </c>
      <c r="K33" s="1" t="s">
        <v>74</v>
      </c>
      <c r="L33" s="1" t="s">
        <v>74</v>
      </c>
      <c r="M33" s="1" t="s">
        <v>74</v>
      </c>
      <c r="N33" s="1" t="s">
        <v>74</v>
      </c>
      <c r="O33" s="1" t="s">
        <v>74</v>
      </c>
      <c r="P33" s="1" t="s">
        <v>74</v>
      </c>
      <c r="Q33" s="1" t="s">
        <v>74</v>
      </c>
      <c r="R33" s="1" t="s">
        <v>74</v>
      </c>
      <c r="S33" s="1" t="s">
        <v>74</v>
      </c>
      <c r="T33" s="1" t="s">
        <v>74</v>
      </c>
      <c r="U33" s="1" t="s">
        <v>74</v>
      </c>
      <c r="V33" s="1" t="s">
        <v>440</v>
      </c>
      <c r="W33" s="1" t="s">
        <v>74</v>
      </c>
      <c r="X33" s="1" t="s">
        <v>74</v>
      </c>
      <c r="Y33" s="1" t="s">
        <v>74</v>
      </c>
      <c r="Z33" s="1" t="s">
        <v>74</v>
      </c>
      <c r="AA33" s="1" t="s">
        <v>441</v>
      </c>
      <c r="AB33" s="1" t="s">
        <v>442</v>
      </c>
      <c r="AC33" s="1" t="s">
        <v>74</v>
      </c>
      <c r="AD33" s="1" t="s">
        <v>74</v>
      </c>
      <c r="AE33" s="1" t="s">
        <v>74</v>
      </c>
      <c r="AF33" s="1" t="s">
        <v>74</v>
      </c>
      <c r="AG33" s="1" t="s">
        <v>74</v>
      </c>
      <c r="AH33" s="1" t="s">
        <v>74</v>
      </c>
      <c r="AI33" s="1" t="s">
        <v>74</v>
      </c>
      <c r="AJ33" s="1" t="s">
        <v>74</v>
      </c>
      <c r="AK33" s="1" t="s">
        <v>74</v>
      </c>
      <c r="AL33" s="1" t="s">
        <v>74</v>
      </c>
      <c r="AM33" s="1" t="s">
        <v>74</v>
      </c>
      <c r="AN33" s="1" t="s">
        <v>74</v>
      </c>
      <c r="AO33" s="1" t="s">
        <v>74</v>
      </c>
      <c r="AP33" s="1" t="s">
        <v>443</v>
      </c>
      <c r="AQ33" s="1" t="s">
        <v>74</v>
      </c>
      <c r="AR33" s="1" t="s">
        <v>74</v>
      </c>
      <c r="AS33" s="1" t="s">
        <v>74</v>
      </c>
      <c r="AT33" s="1" t="s">
        <v>298</v>
      </c>
      <c r="AU33" s="1">
        <v>2021.0</v>
      </c>
      <c r="AV33" s="1">
        <v>18.0</v>
      </c>
      <c r="AW33" s="1">
        <v>24.0</v>
      </c>
      <c r="AX33" s="1" t="s">
        <v>74</v>
      </c>
      <c r="AY33" s="1" t="s">
        <v>74</v>
      </c>
      <c r="AZ33" s="1" t="s">
        <v>74</v>
      </c>
      <c r="BA33" s="1" t="s">
        <v>74</v>
      </c>
      <c r="BB33" s="1" t="s">
        <v>74</v>
      </c>
      <c r="BC33" s="1" t="s">
        <v>74</v>
      </c>
      <c r="BD33" s="1">
        <v>13130.0</v>
      </c>
      <c r="BE33" s="1" t="s">
        <v>444</v>
      </c>
      <c r="BF33" s="2" t="str">
        <f>HYPERLINK("http://dx.doi.org/10.3390/ijerph182413130","http://dx.doi.org/10.3390/ijerph182413130")</f>
        <v>http://dx.doi.org/10.3390/ijerph182413130</v>
      </c>
      <c r="BG33" s="1" t="s">
        <v>74</v>
      </c>
      <c r="BH33" s="1" t="s">
        <v>74</v>
      </c>
      <c r="BI33" s="1" t="s">
        <v>74</v>
      </c>
      <c r="BJ33" s="1" t="s">
        <v>74</v>
      </c>
      <c r="BK33" s="1" t="s">
        <v>74</v>
      </c>
      <c r="BL33" s="1" t="s">
        <v>74</v>
      </c>
      <c r="BM33" s="1" t="s">
        <v>74</v>
      </c>
      <c r="BN33" s="1">
        <v>3.494874E7</v>
      </c>
      <c r="BO33" s="1" t="s">
        <v>74</v>
      </c>
      <c r="BP33" s="1" t="s">
        <v>74</v>
      </c>
      <c r="BQ33" s="1" t="s">
        <v>74</v>
      </c>
      <c r="BR33" s="1" t="s">
        <v>74</v>
      </c>
      <c r="BS33" s="1" t="s">
        <v>445</v>
      </c>
      <c r="BT33" s="1" t="str">
        <f>HYPERLINK("https%3A%2F%2Fwww.webofscience.com%2Fwos%2Fwoscc%2Ffull-record%2FWOS:000773094000001","View Full Record in Web of Science")</f>
        <v>View Full Record in Web of Science</v>
      </c>
    </row>
    <row r="34" ht="12.75" customHeight="1">
      <c r="A34" s="1" t="s">
        <v>72</v>
      </c>
      <c r="B34" s="1" t="s">
        <v>446</v>
      </c>
      <c r="C34" s="1" t="s">
        <v>74</v>
      </c>
      <c r="D34" s="1" t="s">
        <v>74</v>
      </c>
      <c r="E34" s="1" t="s">
        <v>74</v>
      </c>
      <c r="F34" s="1" t="s">
        <v>447</v>
      </c>
      <c r="G34" s="1" t="s">
        <v>74</v>
      </c>
      <c r="H34" s="1" t="s">
        <v>74</v>
      </c>
      <c r="I34" s="1" t="s">
        <v>448</v>
      </c>
      <c r="J34" s="1" t="s">
        <v>172</v>
      </c>
      <c r="K34" s="1" t="s">
        <v>74</v>
      </c>
      <c r="L34" s="1" t="s">
        <v>74</v>
      </c>
      <c r="M34" s="1" t="s">
        <v>74</v>
      </c>
      <c r="N34" s="1" t="s">
        <v>74</v>
      </c>
      <c r="O34" s="1" t="s">
        <v>74</v>
      </c>
      <c r="P34" s="1" t="s">
        <v>74</v>
      </c>
      <c r="Q34" s="1" t="s">
        <v>74</v>
      </c>
      <c r="R34" s="1" t="s">
        <v>74</v>
      </c>
      <c r="S34" s="1" t="s">
        <v>74</v>
      </c>
      <c r="T34" s="1" t="s">
        <v>74</v>
      </c>
      <c r="U34" s="1" t="s">
        <v>74</v>
      </c>
      <c r="V34" s="1" t="s">
        <v>449</v>
      </c>
      <c r="W34" s="1" t="s">
        <v>74</v>
      </c>
      <c r="X34" s="1" t="s">
        <v>74</v>
      </c>
      <c r="Y34" s="1" t="s">
        <v>74</v>
      </c>
      <c r="Z34" s="1" t="s">
        <v>74</v>
      </c>
      <c r="AA34" s="1" t="s">
        <v>450</v>
      </c>
      <c r="AB34" s="1" t="s">
        <v>451</v>
      </c>
      <c r="AC34" s="1" t="s">
        <v>74</v>
      </c>
      <c r="AD34" s="1" t="s">
        <v>74</v>
      </c>
      <c r="AE34" s="1" t="s">
        <v>74</v>
      </c>
      <c r="AF34" s="1" t="s">
        <v>74</v>
      </c>
      <c r="AG34" s="1" t="s">
        <v>74</v>
      </c>
      <c r="AH34" s="1" t="s">
        <v>74</v>
      </c>
      <c r="AI34" s="1" t="s">
        <v>74</v>
      </c>
      <c r="AJ34" s="1" t="s">
        <v>74</v>
      </c>
      <c r="AK34" s="1" t="s">
        <v>74</v>
      </c>
      <c r="AL34" s="1" t="s">
        <v>74</v>
      </c>
      <c r="AM34" s="1" t="s">
        <v>74</v>
      </c>
      <c r="AN34" s="1" t="s">
        <v>74</v>
      </c>
      <c r="AO34" s="1" t="s">
        <v>175</v>
      </c>
      <c r="AP34" s="1" t="s">
        <v>74</v>
      </c>
      <c r="AQ34" s="1" t="s">
        <v>74</v>
      </c>
      <c r="AR34" s="1" t="s">
        <v>74</v>
      </c>
      <c r="AS34" s="1" t="s">
        <v>74</v>
      </c>
      <c r="AT34" s="1" t="s">
        <v>452</v>
      </c>
      <c r="AU34" s="1">
        <v>2020.0</v>
      </c>
      <c r="AV34" s="1">
        <v>11.0</v>
      </c>
      <c r="AW34" s="1" t="s">
        <v>74</v>
      </c>
      <c r="AX34" s="1" t="s">
        <v>74</v>
      </c>
      <c r="AY34" s="1" t="s">
        <v>74</v>
      </c>
      <c r="AZ34" s="1" t="s">
        <v>74</v>
      </c>
      <c r="BA34" s="1" t="s">
        <v>74</v>
      </c>
      <c r="BB34" s="1" t="s">
        <v>74</v>
      </c>
      <c r="BC34" s="1" t="s">
        <v>74</v>
      </c>
      <c r="BD34" s="1">
        <v>765.0</v>
      </c>
      <c r="BE34" s="1" t="s">
        <v>453</v>
      </c>
      <c r="BF34" s="2" t="str">
        <f>HYPERLINK("http://dx.doi.org/10.3389/fphar.2020.00765","http://dx.doi.org/10.3389/fphar.2020.00765")</f>
        <v>http://dx.doi.org/10.3389/fphar.2020.00765</v>
      </c>
      <c r="BG34" s="1" t="s">
        <v>74</v>
      </c>
      <c r="BH34" s="1" t="s">
        <v>74</v>
      </c>
      <c r="BI34" s="1" t="s">
        <v>74</v>
      </c>
      <c r="BJ34" s="1" t="s">
        <v>74</v>
      </c>
      <c r="BK34" s="1" t="s">
        <v>74</v>
      </c>
      <c r="BL34" s="1" t="s">
        <v>74</v>
      </c>
      <c r="BM34" s="1" t="s">
        <v>74</v>
      </c>
      <c r="BN34" s="1">
        <v>3.2581783E7</v>
      </c>
      <c r="BO34" s="1" t="s">
        <v>74</v>
      </c>
      <c r="BP34" s="1" t="s">
        <v>74</v>
      </c>
      <c r="BQ34" s="1" t="s">
        <v>74</v>
      </c>
      <c r="BR34" s="1" t="s">
        <v>74</v>
      </c>
      <c r="BS34" s="1" t="s">
        <v>454</v>
      </c>
      <c r="BT34" s="1" t="str">
        <f>HYPERLINK("https%3A%2F%2Fwww.webofscience.com%2Fwos%2Fwoscc%2Ffull-record%2FWOS:000543514900001","View Full Record in Web of Science")</f>
        <v>View Full Record in Web of Science</v>
      </c>
    </row>
    <row r="35" ht="12.75" customHeight="1">
      <c r="A35" s="1" t="s">
        <v>72</v>
      </c>
      <c r="B35" s="1" t="s">
        <v>455</v>
      </c>
      <c r="C35" s="1" t="s">
        <v>74</v>
      </c>
      <c r="D35" s="1" t="s">
        <v>74</v>
      </c>
      <c r="E35" s="1" t="s">
        <v>74</v>
      </c>
      <c r="F35" s="1" t="s">
        <v>456</v>
      </c>
      <c r="G35" s="1" t="s">
        <v>74</v>
      </c>
      <c r="H35" s="1" t="s">
        <v>74</v>
      </c>
      <c r="I35" s="1" t="s">
        <v>457</v>
      </c>
      <c r="J35" s="1" t="s">
        <v>458</v>
      </c>
      <c r="K35" s="1" t="s">
        <v>74</v>
      </c>
      <c r="L35" s="1" t="s">
        <v>74</v>
      </c>
      <c r="M35" s="1" t="s">
        <v>74</v>
      </c>
      <c r="N35" s="1" t="s">
        <v>74</v>
      </c>
      <c r="O35" s="1" t="s">
        <v>74</v>
      </c>
      <c r="P35" s="1" t="s">
        <v>74</v>
      </c>
      <c r="Q35" s="1" t="s">
        <v>74</v>
      </c>
      <c r="R35" s="1" t="s">
        <v>74</v>
      </c>
      <c r="S35" s="1" t="s">
        <v>74</v>
      </c>
      <c r="T35" s="1" t="s">
        <v>74</v>
      </c>
      <c r="U35" s="1" t="s">
        <v>74</v>
      </c>
      <c r="V35" s="1" t="s">
        <v>459</v>
      </c>
      <c r="W35" s="1" t="s">
        <v>74</v>
      </c>
      <c r="X35" s="1" t="s">
        <v>74</v>
      </c>
      <c r="Y35" s="1" t="s">
        <v>74</v>
      </c>
      <c r="Z35" s="1" t="s">
        <v>74</v>
      </c>
      <c r="AA35" s="1" t="s">
        <v>460</v>
      </c>
      <c r="AB35" s="1" t="s">
        <v>461</v>
      </c>
      <c r="AC35" s="1" t="s">
        <v>74</v>
      </c>
      <c r="AD35" s="1" t="s">
        <v>74</v>
      </c>
      <c r="AE35" s="1" t="s">
        <v>74</v>
      </c>
      <c r="AF35" s="1" t="s">
        <v>74</v>
      </c>
      <c r="AG35" s="1" t="s">
        <v>74</v>
      </c>
      <c r="AH35" s="1" t="s">
        <v>74</v>
      </c>
      <c r="AI35" s="1" t="s">
        <v>74</v>
      </c>
      <c r="AJ35" s="1" t="s">
        <v>74</v>
      </c>
      <c r="AK35" s="1" t="s">
        <v>74</v>
      </c>
      <c r="AL35" s="1" t="s">
        <v>74</v>
      </c>
      <c r="AM35" s="1" t="s">
        <v>74</v>
      </c>
      <c r="AN35" s="1" t="s">
        <v>74</v>
      </c>
      <c r="AO35" s="1" t="s">
        <v>462</v>
      </c>
      <c r="AP35" s="1" t="s">
        <v>74</v>
      </c>
      <c r="AQ35" s="1" t="s">
        <v>74</v>
      </c>
      <c r="AR35" s="1" t="s">
        <v>74</v>
      </c>
      <c r="AS35" s="1" t="s">
        <v>74</v>
      </c>
      <c r="AT35" s="1" t="s">
        <v>74</v>
      </c>
      <c r="AU35" s="1">
        <v>2021.0</v>
      </c>
      <c r="AV35" s="1">
        <v>13.0</v>
      </c>
      <c r="AW35" s="1" t="s">
        <v>74</v>
      </c>
      <c r="AX35" s="1" t="s">
        <v>74</v>
      </c>
      <c r="AY35" s="1" t="s">
        <v>74</v>
      </c>
      <c r="AZ35" s="1" t="s">
        <v>74</v>
      </c>
      <c r="BA35" s="1" t="s">
        <v>74</v>
      </c>
      <c r="BB35" s="1">
        <v>555.0</v>
      </c>
      <c r="BC35" s="1">
        <v>565.0</v>
      </c>
      <c r="BD35" s="1" t="s">
        <v>74</v>
      </c>
      <c r="BE35" s="1" t="s">
        <v>463</v>
      </c>
      <c r="BF35" s="2" t="str">
        <f>HYPERLINK("http://dx.doi.org/10.2147/CLEP.S308220","http://dx.doi.org/10.2147/CLEP.S308220")</f>
        <v>http://dx.doi.org/10.2147/CLEP.S308220</v>
      </c>
      <c r="BG35" s="1" t="s">
        <v>74</v>
      </c>
      <c r="BH35" s="1" t="s">
        <v>74</v>
      </c>
      <c r="BI35" s="1" t="s">
        <v>74</v>
      </c>
      <c r="BJ35" s="1" t="s">
        <v>74</v>
      </c>
      <c r="BK35" s="1" t="s">
        <v>74</v>
      </c>
      <c r="BL35" s="1" t="s">
        <v>74</v>
      </c>
      <c r="BM35" s="1" t="s">
        <v>74</v>
      </c>
      <c r="BN35" s="1">
        <v>3.4285589E7</v>
      </c>
      <c r="BO35" s="1" t="s">
        <v>74</v>
      </c>
      <c r="BP35" s="1" t="s">
        <v>74</v>
      </c>
      <c r="BQ35" s="1" t="s">
        <v>74</v>
      </c>
      <c r="BR35" s="1" t="s">
        <v>74</v>
      </c>
      <c r="BS35" s="1" t="s">
        <v>464</v>
      </c>
      <c r="BT35" s="1" t="str">
        <f>HYPERLINK("https%3A%2F%2Fwww.webofscience.com%2Fwos%2Fwoscc%2Ffull-record%2FWOS:000672678500001","View Full Record in Web of Science")</f>
        <v>View Full Record in Web of Science</v>
      </c>
    </row>
    <row r="36" ht="12.75" customHeight="1">
      <c r="A36" s="1" t="s">
        <v>72</v>
      </c>
      <c r="B36" s="1" t="s">
        <v>465</v>
      </c>
      <c r="C36" s="1" t="s">
        <v>74</v>
      </c>
      <c r="D36" s="1" t="s">
        <v>74</v>
      </c>
      <c r="E36" s="1" t="s">
        <v>74</v>
      </c>
      <c r="F36" s="1" t="s">
        <v>466</v>
      </c>
      <c r="G36" s="1" t="s">
        <v>74</v>
      </c>
      <c r="H36" s="1" t="s">
        <v>74</v>
      </c>
      <c r="I36" s="1" t="s">
        <v>467</v>
      </c>
      <c r="J36" s="1" t="s">
        <v>406</v>
      </c>
      <c r="K36" s="1" t="s">
        <v>74</v>
      </c>
      <c r="L36" s="1" t="s">
        <v>74</v>
      </c>
      <c r="M36" s="1" t="s">
        <v>74</v>
      </c>
      <c r="N36" s="1" t="s">
        <v>74</v>
      </c>
      <c r="O36" s="1" t="s">
        <v>74</v>
      </c>
      <c r="P36" s="1" t="s">
        <v>74</v>
      </c>
      <c r="Q36" s="1" t="s">
        <v>74</v>
      </c>
      <c r="R36" s="1" t="s">
        <v>74</v>
      </c>
      <c r="S36" s="1" t="s">
        <v>74</v>
      </c>
      <c r="T36" s="1" t="s">
        <v>74</v>
      </c>
      <c r="U36" s="1" t="s">
        <v>74</v>
      </c>
      <c r="V36" s="1" t="s">
        <v>468</v>
      </c>
      <c r="W36" s="1" t="s">
        <v>74</v>
      </c>
      <c r="X36" s="1" t="s">
        <v>74</v>
      </c>
      <c r="Y36" s="1" t="s">
        <v>74</v>
      </c>
      <c r="Z36" s="1" t="s">
        <v>74</v>
      </c>
      <c r="AA36" s="1" t="s">
        <v>469</v>
      </c>
      <c r="AB36" s="1" t="s">
        <v>470</v>
      </c>
      <c r="AC36" s="1" t="s">
        <v>74</v>
      </c>
      <c r="AD36" s="1" t="s">
        <v>74</v>
      </c>
      <c r="AE36" s="1" t="s">
        <v>74</v>
      </c>
      <c r="AF36" s="1" t="s">
        <v>74</v>
      </c>
      <c r="AG36" s="1" t="s">
        <v>74</v>
      </c>
      <c r="AH36" s="1" t="s">
        <v>74</v>
      </c>
      <c r="AI36" s="1" t="s">
        <v>74</v>
      </c>
      <c r="AJ36" s="1" t="s">
        <v>74</v>
      </c>
      <c r="AK36" s="1" t="s">
        <v>74</v>
      </c>
      <c r="AL36" s="1" t="s">
        <v>74</v>
      </c>
      <c r="AM36" s="1" t="s">
        <v>74</v>
      </c>
      <c r="AN36" s="1" t="s">
        <v>74</v>
      </c>
      <c r="AO36" s="1" t="s">
        <v>410</v>
      </c>
      <c r="AP36" s="1" t="s">
        <v>74</v>
      </c>
      <c r="AQ36" s="1" t="s">
        <v>74</v>
      </c>
      <c r="AR36" s="1" t="s">
        <v>74</v>
      </c>
      <c r="AS36" s="1" t="s">
        <v>74</v>
      </c>
      <c r="AT36" s="1" t="s">
        <v>471</v>
      </c>
      <c r="AU36" s="1">
        <v>2019.0</v>
      </c>
      <c r="AV36" s="1">
        <v>9.0</v>
      </c>
      <c r="AW36" s="1" t="s">
        <v>74</v>
      </c>
      <c r="AX36" s="1" t="s">
        <v>74</v>
      </c>
      <c r="AY36" s="1" t="s">
        <v>74</v>
      </c>
      <c r="AZ36" s="1" t="s">
        <v>74</v>
      </c>
      <c r="BA36" s="1" t="s">
        <v>74</v>
      </c>
      <c r="BB36" s="1" t="s">
        <v>74</v>
      </c>
      <c r="BC36" s="1" t="s">
        <v>74</v>
      </c>
      <c r="BD36" s="1">
        <v>4008.0</v>
      </c>
      <c r="BE36" s="1" t="s">
        <v>472</v>
      </c>
      <c r="BF36" s="2" t="str">
        <f>HYPERLINK("http://dx.doi.org/10.1038/s41598-019-39312-0","http://dx.doi.org/10.1038/s41598-019-39312-0")</f>
        <v>http://dx.doi.org/10.1038/s41598-019-39312-0</v>
      </c>
      <c r="BG36" s="1" t="s">
        <v>74</v>
      </c>
      <c r="BH36" s="1" t="s">
        <v>74</v>
      </c>
      <c r="BI36" s="1" t="s">
        <v>74</v>
      </c>
      <c r="BJ36" s="1" t="s">
        <v>74</v>
      </c>
      <c r="BK36" s="1" t="s">
        <v>74</v>
      </c>
      <c r="BL36" s="1" t="s">
        <v>74</v>
      </c>
      <c r="BM36" s="1" t="s">
        <v>74</v>
      </c>
      <c r="BN36" s="1">
        <v>3.0850621E7</v>
      </c>
      <c r="BO36" s="1" t="s">
        <v>74</v>
      </c>
      <c r="BP36" s="1" t="s">
        <v>74</v>
      </c>
      <c r="BQ36" s="1" t="s">
        <v>74</v>
      </c>
      <c r="BR36" s="1" t="s">
        <v>74</v>
      </c>
      <c r="BS36" s="1" t="s">
        <v>473</v>
      </c>
      <c r="BT36" s="1" t="str">
        <f>HYPERLINK("https%3A%2F%2Fwww.webofscience.com%2Fwos%2Fwoscc%2Ffull-record%2FWOS:000460627700096","View Full Record in Web of Science")</f>
        <v>View Full Record in Web of Science</v>
      </c>
    </row>
    <row r="37" ht="12.75" customHeight="1">
      <c r="A37" s="1" t="s">
        <v>72</v>
      </c>
      <c r="B37" s="1" t="s">
        <v>474</v>
      </c>
      <c r="C37" s="1" t="s">
        <v>74</v>
      </c>
      <c r="D37" s="1" t="s">
        <v>74</v>
      </c>
      <c r="E37" s="1" t="s">
        <v>74</v>
      </c>
      <c r="F37" s="1" t="s">
        <v>475</v>
      </c>
      <c r="G37" s="1" t="s">
        <v>74</v>
      </c>
      <c r="H37" s="1" t="s">
        <v>476</v>
      </c>
      <c r="I37" s="1" t="s">
        <v>477</v>
      </c>
      <c r="J37" s="1" t="s">
        <v>478</v>
      </c>
      <c r="K37" s="1" t="s">
        <v>74</v>
      </c>
      <c r="L37" s="1" t="s">
        <v>74</v>
      </c>
      <c r="M37" s="1" t="s">
        <v>74</v>
      </c>
      <c r="N37" s="1" t="s">
        <v>74</v>
      </c>
      <c r="O37" s="1" t="s">
        <v>74</v>
      </c>
      <c r="P37" s="1" t="s">
        <v>74</v>
      </c>
      <c r="Q37" s="1" t="s">
        <v>74</v>
      </c>
      <c r="R37" s="1" t="s">
        <v>74</v>
      </c>
      <c r="S37" s="1" t="s">
        <v>74</v>
      </c>
      <c r="T37" s="1" t="s">
        <v>74</v>
      </c>
      <c r="U37" s="1" t="s">
        <v>74</v>
      </c>
      <c r="V37" s="1" t="s">
        <v>479</v>
      </c>
      <c r="W37" s="1" t="s">
        <v>74</v>
      </c>
      <c r="X37" s="1" t="s">
        <v>74</v>
      </c>
      <c r="Y37" s="1" t="s">
        <v>74</v>
      </c>
      <c r="Z37" s="1" t="s">
        <v>74</v>
      </c>
      <c r="AA37" s="1" t="s">
        <v>480</v>
      </c>
      <c r="AB37" s="1" t="s">
        <v>481</v>
      </c>
      <c r="AC37" s="1" t="s">
        <v>74</v>
      </c>
      <c r="AD37" s="1" t="s">
        <v>74</v>
      </c>
      <c r="AE37" s="1" t="s">
        <v>74</v>
      </c>
      <c r="AF37" s="1" t="s">
        <v>74</v>
      </c>
      <c r="AG37" s="1" t="s">
        <v>74</v>
      </c>
      <c r="AH37" s="1" t="s">
        <v>74</v>
      </c>
      <c r="AI37" s="1" t="s">
        <v>74</v>
      </c>
      <c r="AJ37" s="1" t="s">
        <v>74</v>
      </c>
      <c r="AK37" s="1" t="s">
        <v>74</v>
      </c>
      <c r="AL37" s="1" t="s">
        <v>74</v>
      </c>
      <c r="AM37" s="1" t="s">
        <v>74</v>
      </c>
      <c r="AN37" s="1" t="s">
        <v>74</v>
      </c>
      <c r="AO37" s="1" t="s">
        <v>482</v>
      </c>
      <c r="AP37" s="1" t="s">
        <v>483</v>
      </c>
      <c r="AQ37" s="1" t="s">
        <v>74</v>
      </c>
      <c r="AR37" s="1" t="s">
        <v>74</v>
      </c>
      <c r="AS37" s="1" t="s">
        <v>74</v>
      </c>
      <c r="AT37" s="1" t="s">
        <v>484</v>
      </c>
      <c r="AU37" s="1">
        <v>2019.0</v>
      </c>
      <c r="AV37" s="1">
        <v>36.0</v>
      </c>
      <c r="AW37" s="1">
        <v>1.0</v>
      </c>
      <c r="AX37" s="1" t="s">
        <v>74</v>
      </c>
      <c r="AY37" s="1" t="s">
        <v>74</v>
      </c>
      <c r="AZ37" s="1" t="s">
        <v>74</v>
      </c>
      <c r="BA37" s="1" t="s">
        <v>74</v>
      </c>
      <c r="BB37" s="1">
        <v>149.0</v>
      </c>
      <c r="BC37" s="1">
        <v>158.0</v>
      </c>
      <c r="BD37" s="1" t="s">
        <v>74</v>
      </c>
      <c r="BE37" s="1" t="s">
        <v>485</v>
      </c>
      <c r="BF37" s="2" t="str">
        <f>HYPERLINK("http://dx.doi.org/10.20960/nh.1942","http://dx.doi.org/10.20960/nh.1942")</f>
        <v>http://dx.doi.org/10.20960/nh.1942</v>
      </c>
      <c r="BG37" s="1" t="s">
        <v>74</v>
      </c>
      <c r="BH37" s="1" t="s">
        <v>74</v>
      </c>
      <c r="BI37" s="1" t="s">
        <v>74</v>
      </c>
      <c r="BJ37" s="1" t="s">
        <v>74</v>
      </c>
      <c r="BK37" s="1" t="s">
        <v>74</v>
      </c>
      <c r="BL37" s="1" t="s">
        <v>74</v>
      </c>
      <c r="BM37" s="1" t="s">
        <v>74</v>
      </c>
      <c r="BN37" s="1">
        <v>3.0834756E7</v>
      </c>
      <c r="BO37" s="1" t="s">
        <v>74</v>
      </c>
      <c r="BP37" s="1" t="s">
        <v>74</v>
      </c>
      <c r="BQ37" s="1" t="s">
        <v>74</v>
      </c>
      <c r="BR37" s="1" t="s">
        <v>74</v>
      </c>
      <c r="BS37" s="1" t="s">
        <v>486</v>
      </c>
      <c r="BT37" s="1" t="str">
        <f>HYPERLINK("https%3A%2F%2Fwww.webofscience.com%2Fwos%2Fwoscc%2Ffull-record%2FWOS:000459699300024","View Full Record in Web of Science")</f>
        <v>View Full Record in Web of Science</v>
      </c>
    </row>
    <row r="38" ht="12.75" customHeight="1">
      <c r="A38" s="1" t="s">
        <v>72</v>
      </c>
      <c r="B38" s="1" t="s">
        <v>487</v>
      </c>
      <c r="C38" s="1" t="s">
        <v>74</v>
      </c>
      <c r="D38" s="1" t="s">
        <v>74</v>
      </c>
      <c r="E38" s="1" t="s">
        <v>74</v>
      </c>
      <c r="F38" s="1" t="s">
        <v>488</v>
      </c>
      <c r="G38" s="1" t="s">
        <v>74</v>
      </c>
      <c r="H38" s="1" t="s">
        <v>74</v>
      </c>
      <c r="I38" s="1" t="s">
        <v>489</v>
      </c>
      <c r="J38" s="1" t="s">
        <v>490</v>
      </c>
      <c r="K38" s="1" t="s">
        <v>74</v>
      </c>
      <c r="L38" s="1" t="s">
        <v>74</v>
      </c>
      <c r="M38" s="1" t="s">
        <v>74</v>
      </c>
      <c r="N38" s="1" t="s">
        <v>74</v>
      </c>
      <c r="O38" s="1" t="s">
        <v>74</v>
      </c>
      <c r="P38" s="1" t="s">
        <v>74</v>
      </c>
      <c r="Q38" s="1" t="s">
        <v>74</v>
      </c>
      <c r="R38" s="1" t="s">
        <v>74</v>
      </c>
      <c r="S38" s="1" t="s">
        <v>74</v>
      </c>
      <c r="T38" s="1" t="s">
        <v>74</v>
      </c>
      <c r="U38" s="1" t="s">
        <v>74</v>
      </c>
      <c r="V38" s="1" t="s">
        <v>74</v>
      </c>
      <c r="W38" s="1" t="s">
        <v>74</v>
      </c>
      <c r="X38" s="1" t="s">
        <v>74</v>
      </c>
      <c r="Y38" s="1" t="s">
        <v>74</v>
      </c>
      <c r="Z38" s="1" t="s">
        <v>74</v>
      </c>
      <c r="AA38" s="1" t="s">
        <v>491</v>
      </c>
      <c r="AB38" s="1" t="s">
        <v>492</v>
      </c>
      <c r="AC38" s="1" t="s">
        <v>74</v>
      </c>
      <c r="AD38" s="1" t="s">
        <v>74</v>
      </c>
      <c r="AE38" s="1" t="s">
        <v>74</v>
      </c>
      <c r="AF38" s="1" t="s">
        <v>74</v>
      </c>
      <c r="AG38" s="1" t="s">
        <v>74</v>
      </c>
      <c r="AH38" s="1" t="s">
        <v>74</v>
      </c>
      <c r="AI38" s="1" t="s">
        <v>74</v>
      </c>
      <c r="AJ38" s="1" t="s">
        <v>74</v>
      </c>
      <c r="AK38" s="1" t="s">
        <v>74</v>
      </c>
      <c r="AL38" s="1" t="s">
        <v>74</v>
      </c>
      <c r="AM38" s="1" t="s">
        <v>74</v>
      </c>
      <c r="AN38" s="1" t="s">
        <v>74</v>
      </c>
      <c r="AO38" s="1" t="s">
        <v>493</v>
      </c>
      <c r="AP38" s="1" t="s">
        <v>494</v>
      </c>
      <c r="AQ38" s="1" t="s">
        <v>74</v>
      </c>
      <c r="AR38" s="1" t="s">
        <v>74</v>
      </c>
      <c r="AS38" s="1" t="s">
        <v>74</v>
      </c>
      <c r="AT38" s="1" t="s">
        <v>495</v>
      </c>
      <c r="AU38" s="1">
        <v>2019.0</v>
      </c>
      <c r="AV38" s="1">
        <v>33.0</v>
      </c>
      <c r="AW38" s="1" t="s">
        <v>74</v>
      </c>
      <c r="AX38" s="1" t="s">
        <v>74</v>
      </c>
      <c r="AY38" s="1">
        <v>3.0</v>
      </c>
      <c r="AZ38" s="1" t="s">
        <v>496</v>
      </c>
      <c r="BA38" s="1" t="s">
        <v>497</v>
      </c>
      <c r="BB38" s="1">
        <v>18.0</v>
      </c>
      <c r="BC38" s="1">
        <v>19.0</v>
      </c>
      <c r="BD38" s="1" t="s">
        <v>74</v>
      </c>
      <c r="BE38" s="1" t="s">
        <v>74</v>
      </c>
      <c r="BF38" s="1" t="s">
        <v>74</v>
      </c>
      <c r="BG38" s="1" t="s">
        <v>74</v>
      </c>
      <c r="BH38" s="1" t="s">
        <v>74</v>
      </c>
      <c r="BI38" s="1" t="s">
        <v>74</v>
      </c>
      <c r="BJ38" s="1" t="s">
        <v>74</v>
      </c>
      <c r="BK38" s="1" t="s">
        <v>74</v>
      </c>
      <c r="BL38" s="1" t="s">
        <v>74</v>
      </c>
      <c r="BM38" s="1" t="s">
        <v>74</v>
      </c>
      <c r="BN38" s="1" t="s">
        <v>74</v>
      </c>
      <c r="BO38" s="1" t="s">
        <v>74</v>
      </c>
      <c r="BP38" s="1" t="s">
        <v>74</v>
      </c>
      <c r="BQ38" s="1" t="s">
        <v>74</v>
      </c>
      <c r="BR38" s="1" t="s">
        <v>74</v>
      </c>
      <c r="BS38" s="1" t="s">
        <v>498</v>
      </c>
      <c r="BT38" s="1" t="str">
        <f>HYPERLINK("https%3A%2F%2Fwww.webofscience.com%2Fwos%2Fwoscc%2Ffull-record%2FWOS:000465603500026","View Full Record in Web of Science")</f>
        <v>View Full Record in Web of Science</v>
      </c>
    </row>
    <row r="39" ht="12.75" customHeight="1">
      <c r="A39" s="1" t="s">
        <v>72</v>
      </c>
      <c r="B39" s="1" t="s">
        <v>499</v>
      </c>
      <c r="C39" s="1" t="s">
        <v>74</v>
      </c>
      <c r="D39" s="1" t="s">
        <v>74</v>
      </c>
      <c r="E39" s="1" t="s">
        <v>74</v>
      </c>
      <c r="F39" s="1" t="s">
        <v>500</v>
      </c>
      <c r="G39" s="1" t="s">
        <v>74</v>
      </c>
      <c r="H39" s="1" t="s">
        <v>74</v>
      </c>
      <c r="I39" s="1" t="s">
        <v>501</v>
      </c>
      <c r="J39" s="1" t="s">
        <v>502</v>
      </c>
      <c r="K39" s="1" t="s">
        <v>74</v>
      </c>
      <c r="L39" s="1" t="s">
        <v>74</v>
      </c>
      <c r="M39" s="1" t="s">
        <v>74</v>
      </c>
      <c r="N39" s="1" t="s">
        <v>74</v>
      </c>
      <c r="O39" s="1" t="s">
        <v>74</v>
      </c>
      <c r="P39" s="1" t="s">
        <v>74</v>
      </c>
      <c r="Q39" s="1" t="s">
        <v>74</v>
      </c>
      <c r="R39" s="1" t="s">
        <v>74</v>
      </c>
      <c r="S39" s="1" t="s">
        <v>74</v>
      </c>
      <c r="T39" s="1" t="s">
        <v>74</v>
      </c>
      <c r="U39" s="1" t="s">
        <v>74</v>
      </c>
      <c r="V39" s="1" t="s">
        <v>503</v>
      </c>
      <c r="W39" s="1" t="s">
        <v>74</v>
      </c>
      <c r="X39" s="1" t="s">
        <v>74</v>
      </c>
      <c r="Y39" s="1" t="s">
        <v>74</v>
      </c>
      <c r="Z39" s="1" t="s">
        <v>74</v>
      </c>
      <c r="AA39" s="1" t="s">
        <v>504</v>
      </c>
      <c r="AB39" s="1" t="s">
        <v>505</v>
      </c>
      <c r="AC39" s="1" t="s">
        <v>74</v>
      </c>
      <c r="AD39" s="1" t="s">
        <v>74</v>
      </c>
      <c r="AE39" s="1" t="s">
        <v>74</v>
      </c>
      <c r="AF39" s="1" t="s">
        <v>74</v>
      </c>
      <c r="AG39" s="1" t="s">
        <v>74</v>
      </c>
      <c r="AH39" s="1" t="s">
        <v>74</v>
      </c>
      <c r="AI39" s="1" t="s">
        <v>74</v>
      </c>
      <c r="AJ39" s="1" t="s">
        <v>74</v>
      </c>
      <c r="AK39" s="1" t="s">
        <v>74</v>
      </c>
      <c r="AL39" s="1" t="s">
        <v>74</v>
      </c>
      <c r="AM39" s="1" t="s">
        <v>74</v>
      </c>
      <c r="AN39" s="1" t="s">
        <v>74</v>
      </c>
      <c r="AO39" s="1" t="s">
        <v>506</v>
      </c>
      <c r="AP39" s="1" t="s">
        <v>507</v>
      </c>
      <c r="AQ39" s="1" t="s">
        <v>74</v>
      </c>
      <c r="AR39" s="1" t="s">
        <v>74</v>
      </c>
      <c r="AS39" s="1" t="s">
        <v>74</v>
      </c>
      <c r="AT39" s="1" t="s">
        <v>495</v>
      </c>
      <c r="AU39" s="1">
        <v>2022.0</v>
      </c>
      <c r="AV39" s="1">
        <v>17.0</v>
      </c>
      <c r="AW39" s="1">
        <v>4.0</v>
      </c>
      <c r="AX39" s="1" t="s">
        <v>74</v>
      </c>
      <c r="AY39" s="1" t="s">
        <v>74</v>
      </c>
      <c r="AZ39" s="1" t="s">
        <v>74</v>
      </c>
      <c r="BA39" s="1" t="s">
        <v>74</v>
      </c>
      <c r="BB39" s="1" t="s">
        <v>74</v>
      </c>
      <c r="BC39" s="1" t="s">
        <v>74</v>
      </c>
      <c r="BD39" s="1" t="s">
        <v>508</v>
      </c>
      <c r="BE39" s="1" t="s">
        <v>509</v>
      </c>
      <c r="BF39" s="2" t="str">
        <f>HYPERLINK("http://dx.doi.org/10.1111/ijpo.12869","http://dx.doi.org/10.1111/ijpo.12869")</f>
        <v>http://dx.doi.org/10.1111/ijpo.12869</v>
      </c>
      <c r="BG39" s="1" t="s">
        <v>74</v>
      </c>
      <c r="BH39" s="1" t="s">
        <v>510</v>
      </c>
      <c r="BI39" s="1" t="s">
        <v>74</v>
      </c>
      <c r="BJ39" s="1" t="s">
        <v>74</v>
      </c>
      <c r="BK39" s="1" t="s">
        <v>74</v>
      </c>
      <c r="BL39" s="1" t="s">
        <v>74</v>
      </c>
      <c r="BM39" s="1" t="s">
        <v>74</v>
      </c>
      <c r="BN39" s="1">
        <v>3.4734674E7</v>
      </c>
      <c r="BO39" s="1" t="s">
        <v>74</v>
      </c>
      <c r="BP39" s="1" t="s">
        <v>74</v>
      </c>
      <c r="BQ39" s="1" t="s">
        <v>74</v>
      </c>
      <c r="BR39" s="1" t="s">
        <v>74</v>
      </c>
      <c r="BS39" s="1" t="s">
        <v>511</v>
      </c>
      <c r="BT39" s="1" t="str">
        <f>HYPERLINK("https%3A%2F%2Fwww.webofscience.com%2Fwos%2Fwoscc%2Ffull-record%2FWOS:000714343600001","View Full Record in Web of Science")</f>
        <v>View Full Record in Web of Science</v>
      </c>
    </row>
    <row r="40" ht="12.75" customHeight="1">
      <c r="A40" s="1" t="s">
        <v>72</v>
      </c>
      <c r="B40" s="1" t="s">
        <v>512</v>
      </c>
      <c r="C40" s="1" t="s">
        <v>74</v>
      </c>
      <c r="D40" s="1" t="s">
        <v>74</v>
      </c>
      <c r="E40" s="1" t="s">
        <v>74</v>
      </c>
      <c r="F40" s="1" t="s">
        <v>513</v>
      </c>
      <c r="G40" s="1" t="s">
        <v>74</v>
      </c>
      <c r="H40" s="1" t="s">
        <v>74</v>
      </c>
      <c r="I40" s="1" t="s">
        <v>514</v>
      </c>
      <c r="J40" s="1" t="s">
        <v>515</v>
      </c>
      <c r="K40" s="1" t="s">
        <v>74</v>
      </c>
      <c r="L40" s="1" t="s">
        <v>74</v>
      </c>
      <c r="M40" s="1" t="s">
        <v>74</v>
      </c>
      <c r="N40" s="1" t="s">
        <v>74</v>
      </c>
      <c r="O40" s="1" t="s">
        <v>74</v>
      </c>
      <c r="P40" s="1" t="s">
        <v>74</v>
      </c>
      <c r="Q40" s="1" t="s">
        <v>74</v>
      </c>
      <c r="R40" s="1" t="s">
        <v>74</v>
      </c>
      <c r="S40" s="1" t="s">
        <v>74</v>
      </c>
      <c r="T40" s="1" t="s">
        <v>74</v>
      </c>
      <c r="U40" s="1" t="s">
        <v>74</v>
      </c>
      <c r="V40" s="1" t="s">
        <v>516</v>
      </c>
      <c r="W40" s="1" t="s">
        <v>74</v>
      </c>
      <c r="X40" s="1" t="s">
        <v>74</v>
      </c>
      <c r="Y40" s="1" t="s">
        <v>74</v>
      </c>
      <c r="Z40" s="1" t="s">
        <v>74</v>
      </c>
      <c r="AA40" s="1" t="s">
        <v>517</v>
      </c>
      <c r="AB40" s="1" t="s">
        <v>518</v>
      </c>
      <c r="AC40" s="1" t="s">
        <v>74</v>
      </c>
      <c r="AD40" s="1" t="s">
        <v>74</v>
      </c>
      <c r="AE40" s="1" t="s">
        <v>74</v>
      </c>
      <c r="AF40" s="1" t="s">
        <v>74</v>
      </c>
      <c r="AG40" s="1" t="s">
        <v>74</v>
      </c>
      <c r="AH40" s="1" t="s">
        <v>74</v>
      </c>
      <c r="AI40" s="1" t="s">
        <v>74</v>
      </c>
      <c r="AJ40" s="1" t="s">
        <v>74</v>
      </c>
      <c r="AK40" s="1" t="s">
        <v>74</v>
      </c>
      <c r="AL40" s="1" t="s">
        <v>74</v>
      </c>
      <c r="AM40" s="1" t="s">
        <v>74</v>
      </c>
      <c r="AN40" s="1" t="s">
        <v>74</v>
      </c>
      <c r="AO40" s="1" t="s">
        <v>519</v>
      </c>
      <c r="AP40" s="1" t="s">
        <v>520</v>
      </c>
      <c r="AQ40" s="1" t="s">
        <v>74</v>
      </c>
      <c r="AR40" s="1" t="s">
        <v>74</v>
      </c>
      <c r="AS40" s="1" t="s">
        <v>74</v>
      </c>
      <c r="AT40" s="1" t="s">
        <v>188</v>
      </c>
      <c r="AU40" s="1">
        <v>2019.0</v>
      </c>
      <c r="AV40" s="1">
        <v>22.0</v>
      </c>
      <c r="AW40" s="1">
        <v>11.0</v>
      </c>
      <c r="AX40" s="1" t="s">
        <v>74</v>
      </c>
      <c r="AY40" s="1" t="s">
        <v>74</v>
      </c>
      <c r="AZ40" s="1" t="s">
        <v>74</v>
      </c>
      <c r="BA40" s="1" t="s">
        <v>74</v>
      </c>
      <c r="BB40" s="1">
        <v>2012.0</v>
      </c>
      <c r="BC40" s="1">
        <v>2021.0</v>
      </c>
      <c r="BD40" s="1" t="s">
        <v>74</v>
      </c>
      <c r="BE40" s="1" t="s">
        <v>521</v>
      </c>
      <c r="BF40" s="2" t="str">
        <f>HYPERLINK("http://dx.doi.org/10.1017/S1368980018003889","http://dx.doi.org/10.1017/S1368980018003889")</f>
        <v>http://dx.doi.org/10.1017/S1368980018003889</v>
      </c>
      <c r="BG40" s="1" t="s">
        <v>74</v>
      </c>
      <c r="BH40" s="1" t="s">
        <v>74</v>
      </c>
      <c r="BI40" s="1" t="s">
        <v>74</v>
      </c>
      <c r="BJ40" s="1" t="s">
        <v>74</v>
      </c>
      <c r="BK40" s="1" t="s">
        <v>74</v>
      </c>
      <c r="BL40" s="1" t="s">
        <v>74</v>
      </c>
      <c r="BM40" s="1" t="s">
        <v>74</v>
      </c>
      <c r="BN40" s="1">
        <v>3.076197E7</v>
      </c>
      <c r="BO40" s="1" t="s">
        <v>74</v>
      </c>
      <c r="BP40" s="1" t="s">
        <v>74</v>
      </c>
      <c r="BQ40" s="1" t="s">
        <v>74</v>
      </c>
      <c r="BR40" s="1" t="s">
        <v>74</v>
      </c>
      <c r="BS40" s="1" t="s">
        <v>522</v>
      </c>
      <c r="BT40" s="1" t="str">
        <f>HYPERLINK("https%3A%2F%2Fwww.webofscience.com%2Fwos%2Fwoscc%2Ffull-record%2FWOS:000475687200011","View Full Record in Web of Science")</f>
        <v>View Full Record in Web of Science</v>
      </c>
    </row>
    <row r="41" ht="12.75" customHeight="1">
      <c r="A41" s="1" t="s">
        <v>72</v>
      </c>
      <c r="B41" s="1" t="s">
        <v>523</v>
      </c>
      <c r="C41" s="1" t="s">
        <v>74</v>
      </c>
      <c r="D41" s="1" t="s">
        <v>74</v>
      </c>
      <c r="E41" s="1" t="s">
        <v>74</v>
      </c>
      <c r="F41" s="1" t="s">
        <v>524</v>
      </c>
      <c r="G41" s="1" t="s">
        <v>74</v>
      </c>
      <c r="H41" s="1" t="s">
        <v>74</v>
      </c>
      <c r="I41" s="1" t="s">
        <v>525</v>
      </c>
      <c r="J41" s="1" t="s">
        <v>526</v>
      </c>
      <c r="K41" s="1" t="s">
        <v>74</v>
      </c>
      <c r="L41" s="1" t="s">
        <v>74</v>
      </c>
      <c r="M41" s="1" t="s">
        <v>74</v>
      </c>
      <c r="N41" s="1" t="s">
        <v>74</v>
      </c>
      <c r="O41" s="1" t="s">
        <v>74</v>
      </c>
      <c r="P41" s="1" t="s">
        <v>74</v>
      </c>
      <c r="Q41" s="1" t="s">
        <v>74</v>
      </c>
      <c r="R41" s="1" t="s">
        <v>74</v>
      </c>
      <c r="S41" s="1" t="s">
        <v>74</v>
      </c>
      <c r="T41" s="1" t="s">
        <v>74</v>
      </c>
      <c r="U41" s="1" t="s">
        <v>74</v>
      </c>
      <c r="V41" s="1" t="s">
        <v>527</v>
      </c>
      <c r="W41" s="1" t="s">
        <v>74</v>
      </c>
      <c r="X41" s="1" t="s">
        <v>74</v>
      </c>
      <c r="Y41" s="1" t="s">
        <v>74</v>
      </c>
      <c r="Z41" s="1" t="s">
        <v>74</v>
      </c>
      <c r="AA41" s="1" t="s">
        <v>528</v>
      </c>
      <c r="AB41" s="1" t="s">
        <v>529</v>
      </c>
      <c r="AC41" s="1" t="s">
        <v>74</v>
      </c>
      <c r="AD41" s="1" t="s">
        <v>74</v>
      </c>
      <c r="AE41" s="1" t="s">
        <v>74</v>
      </c>
      <c r="AF41" s="1" t="s">
        <v>74</v>
      </c>
      <c r="AG41" s="1" t="s">
        <v>74</v>
      </c>
      <c r="AH41" s="1" t="s">
        <v>74</v>
      </c>
      <c r="AI41" s="1" t="s">
        <v>74</v>
      </c>
      <c r="AJ41" s="1" t="s">
        <v>74</v>
      </c>
      <c r="AK41" s="1" t="s">
        <v>74</v>
      </c>
      <c r="AL41" s="1" t="s">
        <v>74</v>
      </c>
      <c r="AM41" s="1" t="s">
        <v>74</v>
      </c>
      <c r="AN41" s="1" t="s">
        <v>74</v>
      </c>
      <c r="AO41" s="1" t="s">
        <v>530</v>
      </c>
      <c r="AP41" s="1" t="s">
        <v>531</v>
      </c>
      <c r="AQ41" s="1" t="s">
        <v>74</v>
      </c>
      <c r="AR41" s="1" t="s">
        <v>74</v>
      </c>
      <c r="AS41" s="1" t="s">
        <v>74</v>
      </c>
      <c r="AT41" s="1" t="s">
        <v>532</v>
      </c>
      <c r="AU41" s="1">
        <v>2019.0</v>
      </c>
      <c r="AV41" s="1">
        <v>197.0</v>
      </c>
      <c r="AW41" s="1" t="s">
        <v>74</v>
      </c>
      <c r="AX41" s="1" t="s">
        <v>74</v>
      </c>
      <c r="AY41" s="1" t="s">
        <v>74</v>
      </c>
      <c r="AZ41" s="1" t="s">
        <v>74</v>
      </c>
      <c r="BA41" s="1" t="s">
        <v>74</v>
      </c>
      <c r="BB41" s="1">
        <v>439.0</v>
      </c>
      <c r="BC41" s="1">
        <v>449.0</v>
      </c>
      <c r="BD41" s="1" t="s">
        <v>74</v>
      </c>
      <c r="BE41" s="1" t="s">
        <v>533</v>
      </c>
      <c r="BF41" s="2" t="str">
        <f>HYPERLINK("http://dx.doi.org/10.1016/j.neuroimage.2019.05.002","http://dx.doi.org/10.1016/j.neuroimage.2019.05.002")</f>
        <v>http://dx.doi.org/10.1016/j.neuroimage.2019.05.002</v>
      </c>
      <c r="BG41" s="1" t="s">
        <v>74</v>
      </c>
      <c r="BH41" s="1" t="s">
        <v>74</v>
      </c>
      <c r="BI41" s="1" t="s">
        <v>74</v>
      </c>
      <c r="BJ41" s="1" t="s">
        <v>74</v>
      </c>
      <c r="BK41" s="1" t="s">
        <v>74</v>
      </c>
      <c r="BL41" s="1" t="s">
        <v>74</v>
      </c>
      <c r="BM41" s="1" t="s">
        <v>74</v>
      </c>
      <c r="BN41" s="1">
        <v>3.1059796E7</v>
      </c>
      <c r="BO41" s="1" t="s">
        <v>74</v>
      </c>
      <c r="BP41" s="1" t="s">
        <v>74</v>
      </c>
      <c r="BQ41" s="1" t="s">
        <v>74</v>
      </c>
      <c r="BR41" s="1" t="s">
        <v>74</v>
      </c>
      <c r="BS41" s="1" t="s">
        <v>534</v>
      </c>
      <c r="BT41" s="1" t="str">
        <f>HYPERLINK("https%3A%2F%2Fwww.webofscience.com%2Fwos%2Fwoscc%2Ffull-record%2FWOS:000472161500040","View Full Record in Web of Science")</f>
        <v>View Full Record in Web of Science</v>
      </c>
    </row>
    <row r="42" ht="12.75" customHeight="1">
      <c r="A42" s="1" t="s">
        <v>72</v>
      </c>
      <c r="B42" s="1" t="s">
        <v>535</v>
      </c>
      <c r="C42" s="1" t="s">
        <v>74</v>
      </c>
      <c r="D42" s="1" t="s">
        <v>74</v>
      </c>
      <c r="E42" s="1" t="s">
        <v>74</v>
      </c>
      <c r="F42" s="1" t="s">
        <v>536</v>
      </c>
      <c r="G42" s="1" t="s">
        <v>74</v>
      </c>
      <c r="H42" s="1" t="s">
        <v>74</v>
      </c>
      <c r="I42" s="1" t="s">
        <v>537</v>
      </c>
      <c r="J42" s="1" t="s">
        <v>538</v>
      </c>
      <c r="K42" s="1" t="s">
        <v>74</v>
      </c>
      <c r="L42" s="1" t="s">
        <v>74</v>
      </c>
      <c r="M42" s="1" t="s">
        <v>74</v>
      </c>
      <c r="N42" s="1" t="s">
        <v>74</v>
      </c>
      <c r="O42" s="1" t="s">
        <v>74</v>
      </c>
      <c r="P42" s="1" t="s">
        <v>74</v>
      </c>
      <c r="Q42" s="1" t="s">
        <v>74</v>
      </c>
      <c r="R42" s="1" t="s">
        <v>74</v>
      </c>
      <c r="S42" s="1" t="s">
        <v>74</v>
      </c>
      <c r="T42" s="1" t="s">
        <v>74</v>
      </c>
      <c r="U42" s="1" t="s">
        <v>74</v>
      </c>
      <c r="V42" s="1" t="s">
        <v>539</v>
      </c>
      <c r="W42" s="1" t="s">
        <v>74</v>
      </c>
      <c r="X42" s="1" t="s">
        <v>74</v>
      </c>
      <c r="Y42" s="1" t="s">
        <v>74</v>
      </c>
      <c r="Z42" s="1" t="s">
        <v>74</v>
      </c>
      <c r="AA42" s="1" t="s">
        <v>540</v>
      </c>
      <c r="AB42" s="1" t="s">
        <v>541</v>
      </c>
      <c r="AC42" s="1" t="s">
        <v>74</v>
      </c>
      <c r="AD42" s="1" t="s">
        <v>74</v>
      </c>
      <c r="AE42" s="1" t="s">
        <v>74</v>
      </c>
      <c r="AF42" s="1" t="s">
        <v>74</v>
      </c>
      <c r="AG42" s="1" t="s">
        <v>74</v>
      </c>
      <c r="AH42" s="1" t="s">
        <v>74</v>
      </c>
      <c r="AI42" s="1" t="s">
        <v>74</v>
      </c>
      <c r="AJ42" s="1" t="s">
        <v>74</v>
      </c>
      <c r="AK42" s="1" t="s">
        <v>74</v>
      </c>
      <c r="AL42" s="1" t="s">
        <v>74</v>
      </c>
      <c r="AM42" s="1" t="s">
        <v>74</v>
      </c>
      <c r="AN42" s="1" t="s">
        <v>74</v>
      </c>
      <c r="AO42" s="1" t="s">
        <v>542</v>
      </c>
      <c r="AP42" s="1" t="s">
        <v>543</v>
      </c>
      <c r="AQ42" s="1" t="s">
        <v>74</v>
      </c>
      <c r="AR42" s="1" t="s">
        <v>74</v>
      </c>
      <c r="AS42" s="1" t="s">
        <v>74</v>
      </c>
      <c r="AT42" s="1" t="s">
        <v>544</v>
      </c>
      <c r="AU42" s="1">
        <v>2024.0</v>
      </c>
      <c r="AV42" s="1">
        <v>45.0</v>
      </c>
      <c r="AW42" s="1">
        <v>5.0</v>
      </c>
      <c r="AX42" s="1" t="s">
        <v>74</v>
      </c>
      <c r="AY42" s="1" t="s">
        <v>74</v>
      </c>
      <c r="AZ42" s="1" t="s">
        <v>74</v>
      </c>
      <c r="BA42" s="1" t="s">
        <v>74</v>
      </c>
      <c r="BB42" s="1">
        <v>888.0</v>
      </c>
      <c r="BC42" s="1">
        <v>901.0</v>
      </c>
      <c r="BD42" s="1" t="s">
        <v>74</v>
      </c>
      <c r="BE42" s="1" t="s">
        <v>545</v>
      </c>
      <c r="BF42" s="2" t="str">
        <f>HYPERLINK("http://dx.doi.org/10.1080/09593330.2022.2130104","http://dx.doi.org/10.1080/09593330.2022.2130104")</f>
        <v>http://dx.doi.org/10.1080/09593330.2022.2130104</v>
      </c>
      <c r="BG42" s="1" t="s">
        <v>74</v>
      </c>
      <c r="BH42" s="1" t="s">
        <v>546</v>
      </c>
      <c r="BI42" s="1" t="s">
        <v>74</v>
      </c>
      <c r="BJ42" s="1" t="s">
        <v>74</v>
      </c>
      <c r="BK42" s="1" t="s">
        <v>74</v>
      </c>
      <c r="BL42" s="1" t="s">
        <v>74</v>
      </c>
      <c r="BM42" s="1" t="s">
        <v>74</v>
      </c>
      <c r="BN42" s="1">
        <v>3.6174186E7</v>
      </c>
      <c r="BO42" s="1" t="s">
        <v>74</v>
      </c>
      <c r="BP42" s="1" t="s">
        <v>74</v>
      </c>
      <c r="BQ42" s="1" t="s">
        <v>74</v>
      </c>
      <c r="BR42" s="1" t="s">
        <v>74</v>
      </c>
      <c r="BS42" s="1" t="s">
        <v>547</v>
      </c>
      <c r="BT42" s="1" t="str">
        <f>HYPERLINK("https%3A%2F%2Fwww.webofscience.com%2Fwos%2Fwoscc%2Ffull-record%2FWOS:000865357300001","View Full Record in Web of Science")</f>
        <v>View Full Record in Web of Science</v>
      </c>
    </row>
    <row r="43" ht="12.75" customHeight="1">
      <c r="A43" s="1" t="s">
        <v>72</v>
      </c>
      <c r="B43" s="1" t="s">
        <v>548</v>
      </c>
      <c r="C43" s="1" t="s">
        <v>74</v>
      </c>
      <c r="D43" s="1" t="s">
        <v>74</v>
      </c>
      <c r="E43" s="1" t="s">
        <v>74</v>
      </c>
      <c r="F43" s="1" t="s">
        <v>549</v>
      </c>
      <c r="G43" s="1" t="s">
        <v>74</v>
      </c>
      <c r="H43" s="1" t="s">
        <v>74</v>
      </c>
      <c r="I43" s="1" t="s">
        <v>550</v>
      </c>
      <c r="J43" s="1" t="s">
        <v>551</v>
      </c>
      <c r="K43" s="1" t="s">
        <v>74</v>
      </c>
      <c r="L43" s="1" t="s">
        <v>74</v>
      </c>
      <c r="M43" s="1" t="s">
        <v>74</v>
      </c>
      <c r="N43" s="1" t="s">
        <v>74</v>
      </c>
      <c r="O43" s="1" t="s">
        <v>74</v>
      </c>
      <c r="P43" s="1" t="s">
        <v>74</v>
      </c>
      <c r="Q43" s="1" t="s">
        <v>74</v>
      </c>
      <c r="R43" s="1" t="s">
        <v>74</v>
      </c>
      <c r="S43" s="1" t="s">
        <v>74</v>
      </c>
      <c r="T43" s="1" t="s">
        <v>74</v>
      </c>
      <c r="U43" s="1" t="s">
        <v>74</v>
      </c>
      <c r="V43" s="1" t="s">
        <v>552</v>
      </c>
      <c r="W43" s="1" t="s">
        <v>74</v>
      </c>
      <c r="X43" s="1" t="s">
        <v>74</v>
      </c>
      <c r="Y43" s="1" t="s">
        <v>74</v>
      </c>
      <c r="Z43" s="1" t="s">
        <v>74</v>
      </c>
      <c r="AA43" s="1" t="s">
        <v>553</v>
      </c>
      <c r="AB43" s="1" t="s">
        <v>554</v>
      </c>
      <c r="AC43" s="1" t="s">
        <v>74</v>
      </c>
      <c r="AD43" s="1" t="s">
        <v>74</v>
      </c>
      <c r="AE43" s="1" t="s">
        <v>74</v>
      </c>
      <c r="AF43" s="1" t="s">
        <v>74</v>
      </c>
      <c r="AG43" s="1" t="s">
        <v>74</v>
      </c>
      <c r="AH43" s="1" t="s">
        <v>74</v>
      </c>
      <c r="AI43" s="1" t="s">
        <v>74</v>
      </c>
      <c r="AJ43" s="1" t="s">
        <v>74</v>
      </c>
      <c r="AK43" s="1" t="s">
        <v>74</v>
      </c>
      <c r="AL43" s="1" t="s">
        <v>74</v>
      </c>
      <c r="AM43" s="1" t="s">
        <v>74</v>
      </c>
      <c r="AN43" s="1" t="s">
        <v>74</v>
      </c>
      <c r="AO43" s="1" t="s">
        <v>555</v>
      </c>
      <c r="AP43" s="1" t="s">
        <v>74</v>
      </c>
      <c r="AQ43" s="1" t="s">
        <v>74</v>
      </c>
      <c r="AR43" s="1" t="s">
        <v>74</v>
      </c>
      <c r="AS43" s="1" t="s">
        <v>74</v>
      </c>
      <c r="AT43" s="1" t="s">
        <v>74</v>
      </c>
      <c r="AU43" s="1">
        <v>2024.0</v>
      </c>
      <c r="AV43" s="1">
        <v>14.0</v>
      </c>
      <c r="AW43" s="1">
        <v>3.0</v>
      </c>
      <c r="AX43" s="1" t="s">
        <v>74</v>
      </c>
      <c r="AY43" s="1" t="s">
        <v>74</v>
      </c>
      <c r="AZ43" s="1" t="s">
        <v>74</v>
      </c>
      <c r="BA43" s="1" t="s">
        <v>74</v>
      </c>
      <c r="BB43" s="1">
        <v>238.0</v>
      </c>
      <c r="BC43" s="1">
        <v>247.0</v>
      </c>
      <c r="BD43" s="1" t="s">
        <v>74</v>
      </c>
      <c r="BE43" s="1" t="s">
        <v>556</v>
      </c>
      <c r="BF43" s="2" t="str">
        <f>HYPERLINK("http://dx.doi.org/10.34172/hpp.42935","http://dx.doi.org/10.34172/hpp.42935")</f>
        <v>http://dx.doi.org/10.34172/hpp.42935</v>
      </c>
      <c r="BG43" s="1" t="s">
        <v>74</v>
      </c>
      <c r="BH43" s="1" t="s">
        <v>74</v>
      </c>
      <c r="BI43" s="1" t="s">
        <v>74</v>
      </c>
      <c r="BJ43" s="1" t="s">
        <v>74</v>
      </c>
      <c r="BK43" s="1" t="s">
        <v>74</v>
      </c>
      <c r="BL43" s="1" t="s">
        <v>74</v>
      </c>
      <c r="BM43" s="1" t="s">
        <v>74</v>
      </c>
      <c r="BN43" s="1">
        <v>3.9633625E7</v>
      </c>
      <c r="BO43" s="1" t="s">
        <v>74</v>
      </c>
      <c r="BP43" s="1" t="s">
        <v>74</v>
      </c>
      <c r="BQ43" s="1" t="s">
        <v>74</v>
      </c>
      <c r="BR43" s="1" t="s">
        <v>74</v>
      </c>
      <c r="BS43" s="1" t="s">
        <v>557</v>
      </c>
      <c r="BT43" s="1" t="str">
        <f>HYPERLINK("https%3A%2F%2Fwww.webofscience.com%2Fwos%2Fwoscc%2Ffull-record%2FWOS:001352069600003","View Full Record in Web of Science")</f>
        <v>View Full Record in Web of Science</v>
      </c>
    </row>
    <row r="44" ht="12.75" customHeight="1">
      <c r="A44" s="1" t="s">
        <v>72</v>
      </c>
      <c r="B44" s="1" t="s">
        <v>558</v>
      </c>
      <c r="C44" s="1" t="s">
        <v>74</v>
      </c>
      <c r="D44" s="1" t="s">
        <v>74</v>
      </c>
      <c r="E44" s="1" t="s">
        <v>74</v>
      </c>
      <c r="F44" s="1" t="s">
        <v>559</v>
      </c>
      <c r="G44" s="1" t="s">
        <v>74</v>
      </c>
      <c r="H44" s="1" t="s">
        <v>74</v>
      </c>
      <c r="I44" s="1" t="s">
        <v>560</v>
      </c>
      <c r="J44" s="1" t="s">
        <v>561</v>
      </c>
      <c r="K44" s="1" t="s">
        <v>74</v>
      </c>
      <c r="L44" s="1" t="s">
        <v>74</v>
      </c>
      <c r="M44" s="1" t="s">
        <v>74</v>
      </c>
      <c r="N44" s="1" t="s">
        <v>74</v>
      </c>
      <c r="O44" s="1" t="s">
        <v>74</v>
      </c>
      <c r="P44" s="1" t="s">
        <v>74</v>
      </c>
      <c r="Q44" s="1" t="s">
        <v>74</v>
      </c>
      <c r="R44" s="1" t="s">
        <v>74</v>
      </c>
      <c r="S44" s="1" t="s">
        <v>74</v>
      </c>
      <c r="T44" s="1" t="s">
        <v>74</v>
      </c>
      <c r="U44" s="1" t="s">
        <v>74</v>
      </c>
      <c r="V44" s="1" t="s">
        <v>562</v>
      </c>
      <c r="W44" s="1" t="s">
        <v>74</v>
      </c>
      <c r="X44" s="1" t="s">
        <v>74</v>
      </c>
      <c r="Y44" s="1" t="s">
        <v>74</v>
      </c>
      <c r="Z44" s="1" t="s">
        <v>74</v>
      </c>
      <c r="AA44" s="1" t="s">
        <v>563</v>
      </c>
      <c r="AB44" s="1" t="s">
        <v>564</v>
      </c>
      <c r="AC44" s="1" t="s">
        <v>74</v>
      </c>
      <c r="AD44" s="1" t="s">
        <v>74</v>
      </c>
      <c r="AE44" s="1" t="s">
        <v>74</v>
      </c>
      <c r="AF44" s="1" t="s">
        <v>74</v>
      </c>
      <c r="AG44" s="1" t="s">
        <v>74</v>
      </c>
      <c r="AH44" s="1" t="s">
        <v>74</v>
      </c>
      <c r="AI44" s="1" t="s">
        <v>74</v>
      </c>
      <c r="AJ44" s="1" t="s">
        <v>74</v>
      </c>
      <c r="AK44" s="1" t="s">
        <v>74</v>
      </c>
      <c r="AL44" s="1" t="s">
        <v>74</v>
      </c>
      <c r="AM44" s="1" t="s">
        <v>74</v>
      </c>
      <c r="AN44" s="1" t="s">
        <v>74</v>
      </c>
      <c r="AO44" s="1" t="s">
        <v>565</v>
      </c>
      <c r="AP44" s="1" t="s">
        <v>566</v>
      </c>
      <c r="AQ44" s="1" t="s">
        <v>74</v>
      </c>
      <c r="AR44" s="1" t="s">
        <v>74</v>
      </c>
      <c r="AS44" s="1" t="s">
        <v>74</v>
      </c>
      <c r="AT44" s="1" t="s">
        <v>567</v>
      </c>
      <c r="AU44" s="1">
        <v>2024.0</v>
      </c>
      <c r="AV44" s="1">
        <v>39.0</v>
      </c>
      <c r="AW44" s="1">
        <v>1.0</v>
      </c>
      <c r="AX44" s="1" t="s">
        <v>74</v>
      </c>
      <c r="AY44" s="1" t="s">
        <v>74</v>
      </c>
      <c r="AZ44" s="1" t="s">
        <v>74</v>
      </c>
      <c r="BA44" s="1" t="s">
        <v>74</v>
      </c>
      <c r="BB44" s="1">
        <v>6.0</v>
      </c>
      <c r="BC44" s="1">
        <v>16.0</v>
      </c>
      <c r="BD44" s="1" t="s">
        <v>74</v>
      </c>
      <c r="BE44" s="1" t="s">
        <v>568</v>
      </c>
      <c r="BF44" s="2" t="str">
        <f>HYPERLINK("http://dx.doi.org/10.1002/mds.29614","http://dx.doi.org/10.1002/mds.29614")</f>
        <v>http://dx.doi.org/10.1002/mds.29614</v>
      </c>
      <c r="BG44" s="1" t="s">
        <v>74</v>
      </c>
      <c r="BH44" s="1" t="s">
        <v>300</v>
      </c>
      <c r="BI44" s="1" t="s">
        <v>74</v>
      </c>
      <c r="BJ44" s="1" t="s">
        <v>74</v>
      </c>
      <c r="BK44" s="1" t="s">
        <v>74</v>
      </c>
      <c r="BL44" s="1" t="s">
        <v>74</v>
      </c>
      <c r="BM44" s="1" t="s">
        <v>74</v>
      </c>
      <c r="BN44" s="1">
        <v>3.7921246E7</v>
      </c>
      <c r="BO44" s="1" t="s">
        <v>74</v>
      </c>
      <c r="BP44" s="1" t="s">
        <v>74</v>
      </c>
      <c r="BQ44" s="1" t="s">
        <v>74</v>
      </c>
      <c r="BR44" s="1" t="s">
        <v>74</v>
      </c>
      <c r="BS44" s="1" t="s">
        <v>569</v>
      </c>
      <c r="BT44" s="1" t="str">
        <f>HYPERLINK("https%3A%2F%2Fwww.webofscience.com%2Fwos%2Fwoscc%2Ffull-record%2FWOS:001096374400001","View Full Record in Web of Science")</f>
        <v>View Full Record in Web of Science</v>
      </c>
    </row>
    <row r="45" ht="12.75" customHeight="1">
      <c r="A45" s="1" t="s">
        <v>72</v>
      </c>
      <c r="B45" s="1" t="s">
        <v>570</v>
      </c>
      <c r="C45" s="1" t="s">
        <v>74</v>
      </c>
      <c r="D45" s="1" t="s">
        <v>74</v>
      </c>
      <c r="E45" s="1" t="s">
        <v>74</v>
      </c>
      <c r="F45" s="1" t="s">
        <v>571</v>
      </c>
      <c r="G45" s="1" t="s">
        <v>74</v>
      </c>
      <c r="H45" s="1" t="s">
        <v>74</v>
      </c>
      <c r="I45" s="1" t="s">
        <v>572</v>
      </c>
      <c r="J45" s="1" t="s">
        <v>573</v>
      </c>
      <c r="K45" s="1" t="s">
        <v>74</v>
      </c>
      <c r="L45" s="1" t="s">
        <v>74</v>
      </c>
      <c r="M45" s="1" t="s">
        <v>74</v>
      </c>
      <c r="N45" s="1" t="s">
        <v>74</v>
      </c>
      <c r="O45" s="1" t="s">
        <v>74</v>
      </c>
      <c r="P45" s="1" t="s">
        <v>74</v>
      </c>
      <c r="Q45" s="1" t="s">
        <v>74</v>
      </c>
      <c r="R45" s="1" t="s">
        <v>74</v>
      </c>
      <c r="S45" s="1" t="s">
        <v>74</v>
      </c>
      <c r="T45" s="1" t="s">
        <v>74</v>
      </c>
      <c r="U45" s="1" t="s">
        <v>74</v>
      </c>
      <c r="V45" s="1" t="s">
        <v>574</v>
      </c>
      <c r="W45" s="1" t="s">
        <v>74</v>
      </c>
      <c r="X45" s="1" t="s">
        <v>74</v>
      </c>
      <c r="Y45" s="1" t="s">
        <v>74</v>
      </c>
      <c r="Z45" s="1" t="s">
        <v>74</v>
      </c>
      <c r="AA45" s="1" t="s">
        <v>575</v>
      </c>
      <c r="AB45" s="1" t="s">
        <v>576</v>
      </c>
      <c r="AC45" s="1" t="s">
        <v>74</v>
      </c>
      <c r="AD45" s="1" t="s">
        <v>74</v>
      </c>
      <c r="AE45" s="1" t="s">
        <v>74</v>
      </c>
      <c r="AF45" s="1" t="s">
        <v>74</v>
      </c>
      <c r="AG45" s="1" t="s">
        <v>74</v>
      </c>
      <c r="AH45" s="1" t="s">
        <v>74</v>
      </c>
      <c r="AI45" s="1" t="s">
        <v>74</v>
      </c>
      <c r="AJ45" s="1" t="s">
        <v>74</v>
      </c>
      <c r="AK45" s="1" t="s">
        <v>74</v>
      </c>
      <c r="AL45" s="1" t="s">
        <v>74</v>
      </c>
      <c r="AM45" s="1" t="s">
        <v>74</v>
      </c>
      <c r="AN45" s="1" t="s">
        <v>74</v>
      </c>
      <c r="AO45" s="1" t="s">
        <v>577</v>
      </c>
      <c r="AP45" s="1" t="s">
        <v>578</v>
      </c>
      <c r="AQ45" s="1" t="s">
        <v>74</v>
      </c>
      <c r="AR45" s="1" t="s">
        <v>74</v>
      </c>
      <c r="AS45" s="1" t="s">
        <v>74</v>
      </c>
      <c r="AT45" s="1" t="s">
        <v>567</v>
      </c>
      <c r="AU45" s="1">
        <v>2022.0</v>
      </c>
      <c r="AV45" s="1">
        <v>37.0</v>
      </c>
      <c r="AW45" s="1">
        <v>1.0</v>
      </c>
      <c r="AX45" s="1" t="s">
        <v>74</v>
      </c>
      <c r="AY45" s="1" t="s">
        <v>74</v>
      </c>
      <c r="AZ45" s="1" t="s">
        <v>74</v>
      </c>
      <c r="BA45" s="1" t="s">
        <v>74</v>
      </c>
      <c r="BB45" s="1">
        <v>11.0</v>
      </c>
      <c r="BC45" s="1">
        <v>23.0</v>
      </c>
      <c r="BD45" s="1" t="s">
        <v>74</v>
      </c>
      <c r="BE45" s="1" t="s">
        <v>579</v>
      </c>
      <c r="BF45" s="2" t="str">
        <f>HYPERLINK("http://dx.doi.org/10.1007/s10654-021-00829-2","http://dx.doi.org/10.1007/s10654-021-00829-2")</f>
        <v>http://dx.doi.org/10.1007/s10654-021-00829-2</v>
      </c>
      <c r="BG45" s="1" t="s">
        <v>74</v>
      </c>
      <c r="BH45" s="1" t="s">
        <v>580</v>
      </c>
      <c r="BI45" s="1" t="s">
        <v>74</v>
      </c>
      <c r="BJ45" s="1" t="s">
        <v>74</v>
      </c>
      <c r="BK45" s="1" t="s">
        <v>74</v>
      </c>
      <c r="BL45" s="1" t="s">
        <v>74</v>
      </c>
      <c r="BM45" s="1" t="s">
        <v>74</v>
      </c>
      <c r="BN45" s="1">
        <v>3.4978668E7</v>
      </c>
      <c r="BO45" s="1" t="s">
        <v>74</v>
      </c>
      <c r="BP45" s="1" t="s">
        <v>74</v>
      </c>
      <c r="BQ45" s="1" t="s">
        <v>74</v>
      </c>
      <c r="BR45" s="1" t="s">
        <v>74</v>
      </c>
      <c r="BS45" s="1" t="s">
        <v>581</v>
      </c>
      <c r="BT45" s="1" t="str">
        <f>HYPERLINK("https%3A%2F%2Fwww.webofscience.com%2Fwos%2Fwoscc%2Ffull-record%2FWOS:000737784100001","View Full Record in Web of Science")</f>
        <v>View Full Record in Web of Science</v>
      </c>
    </row>
    <row r="46" ht="12.75" customHeight="1">
      <c r="A46" s="1" t="s">
        <v>72</v>
      </c>
      <c r="B46" s="1" t="s">
        <v>582</v>
      </c>
      <c r="C46" s="1" t="s">
        <v>74</v>
      </c>
      <c r="D46" s="1" t="s">
        <v>74</v>
      </c>
      <c r="E46" s="1" t="s">
        <v>74</v>
      </c>
      <c r="F46" s="1" t="s">
        <v>583</v>
      </c>
      <c r="G46" s="1" t="s">
        <v>74</v>
      </c>
      <c r="H46" s="1" t="s">
        <v>74</v>
      </c>
      <c r="I46" s="1" t="s">
        <v>584</v>
      </c>
      <c r="J46" s="1" t="s">
        <v>585</v>
      </c>
      <c r="K46" s="1" t="s">
        <v>74</v>
      </c>
      <c r="L46" s="1" t="s">
        <v>74</v>
      </c>
      <c r="M46" s="1" t="s">
        <v>74</v>
      </c>
      <c r="N46" s="1" t="s">
        <v>74</v>
      </c>
      <c r="O46" s="1" t="s">
        <v>74</v>
      </c>
      <c r="P46" s="1" t="s">
        <v>74</v>
      </c>
      <c r="Q46" s="1" t="s">
        <v>74</v>
      </c>
      <c r="R46" s="1" t="s">
        <v>74</v>
      </c>
      <c r="S46" s="1" t="s">
        <v>74</v>
      </c>
      <c r="T46" s="1" t="s">
        <v>74</v>
      </c>
      <c r="U46" s="1" t="s">
        <v>74</v>
      </c>
      <c r="V46" s="1" t="s">
        <v>586</v>
      </c>
      <c r="W46" s="1" t="s">
        <v>74</v>
      </c>
      <c r="X46" s="1" t="s">
        <v>74</v>
      </c>
      <c r="Y46" s="1" t="s">
        <v>74</v>
      </c>
      <c r="Z46" s="1" t="s">
        <v>74</v>
      </c>
      <c r="AA46" s="1" t="s">
        <v>587</v>
      </c>
      <c r="AB46" s="1" t="s">
        <v>588</v>
      </c>
      <c r="AC46" s="1" t="s">
        <v>74</v>
      </c>
      <c r="AD46" s="1" t="s">
        <v>74</v>
      </c>
      <c r="AE46" s="1" t="s">
        <v>74</v>
      </c>
      <c r="AF46" s="1" t="s">
        <v>74</v>
      </c>
      <c r="AG46" s="1" t="s">
        <v>74</v>
      </c>
      <c r="AH46" s="1" t="s">
        <v>74</v>
      </c>
      <c r="AI46" s="1" t="s">
        <v>74</v>
      </c>
      <c r="AJ46" s="1" t="s">
        <v>74</v>
      </c>
      <c r="AK46" s="1" t="s">
        <v>74</v>
      </c>
      <c r="AL46" s="1" t="s">
        <v>74</v>
      </c>
      <c r="AM46" s="1" t="s">
        <v>74</v>
      </c>
      <c r="AN46" s="1" t="s">
        <v>74</v>
      </c>
      <c r="AO46" s="1" t="s">
        <v>589</v>
      </c>
      <c r="AP46" s="1" t="s">
        <v>590</v>
      </c>
      <c r="AQ46" s="1" t="s">
        <v>74</v>
      </c>
      <c r="AR46" s="1" t="s">
        <v>74</v>
      </c>
      <c r="AS46" s="1" t="s">
        <v>74</v>
      </c>
      <c r="AT46" s="1" t="s">
        <v>200</v>
      </c>
      <c r="AU46" s="1">
        <v>2022.0</v>
      </c>
      <c r="AV46" s="1">
        <v>58.0</v>
      </c>
      <c r="AW46" s="1">
        <v>3.0</v>
      </c>
      <c r="AX46" s="1" t="s">
        <v>74</v>
      </c>
      <c r="AY46" s="1" t="s">
        <v>74</v>
      </c>
      <c r="AZ46" s="1" t="s">
        <v>74</v>
      </c>
      <c r="BA46" s="1" t="s">
        <v>74</v>
      </c>
      <c r="BB46" s="1">
        <v>680.0</v>
      </c>
      <c r="BC46" s="1">
        <v>684.0</v>
      </c>
      <c r="BD46" s="1" t="s">
        <v>74</v>
      </c>
      <c r="BE46" s="1" t="s">
        <v>591</v>
      </c>
      <c r="BF46" s="2" t="str">
        <f>HYPERLINK("http://dx.doi.org/10.7589/JWD-D-21-00135","http://dx.doi.org/10.7589/JWD-D-21-00135")</f>
        <v>http://dx.doi.org/10.7589/JWD-D-21-00135</v>
      </c>
      <c r="BG46" s="1" t="s">
        <v>74</v>
      </c>
      <c r="BH46" s="1" t="s">
        <v>74</v>
      </c>
      <c r="BI46" s="1" t="s">
        <v>74</v>
      </c>
      <c r="BJ46" s="1" t="s">
        <v>74</v>
      </c>
      <c r="BK46" s="1" t="s">
        <v>74</v>
      </c>
      <c r="BL46" s="1" t="s">
        <v>74</v>
      </c>
      <c r="BM46" s="1" t="s">
        <v>74</v>
      </c>
      <c r="BN46" s="1">
        <v>3.55123E7</v>
      </c>
      <c r="BO46" s="1" t="s">
        <v>74</v>
      </c>
      <c r="BP46" s="1" t="s">
        <v>74</v>
      </c>
      <c r="BQ46" s="1" t="s">
        <v>74</v>
      </c>
      <c r="BR46" s="1" t="s">
        <v>74</v>
      </c>
      <c r="BS46" s="1" t="s">
        <v>592</v>
      </c>
      <c r="BT46" s="1" t="str">
        <f>HYPERLINK("https%3A%2F%2Fwww.webofscience.com%2Fwos%2Fwoscc%2Ffull-record%2FWOS:000831988400025","View Full Record in Web of Science")</f>
        <v>View Full Record in Web of Science</v>
      </c>
    </row>
    <row r="47" ht="12.75" customHeight="1">
      <c r="A47" s="1" t="s">
        <v>72</v>
      </c>
      <c r="B47" s="1" t="s">
        <v>593</v>
      </c>
      <c r="C47" s="1" t="s">
        <v>74</v>
      </c>
      <c r="D47" s="1" t="s">
        <v>74</v>
      </c>
      <c r="E47" s="1" t="s">
        <v>74</v>
      </c>
      <c r="F47" s="1" t="s">
        <v>594</v>
      </c>
      <c r="G47" s="1" t="s">
        <v>74</v>
      </c>
      <c r="H47" s="1" t="s">
        <v>74</v>
      </c>
      <c r="I47" s="1" t="s">
        <v>595</v>
      </c>
      <c r="J47" s="1" t="s">
        <v>596</v>
      </c>
      <c r="K47" s="1" t="s">
        <v>74</v>
      </c>
      <c r="L47" s="1" t="s">
        <v>74</v>
      </c>
      <c r="M47" s="1" t="s">
        <v>74</v>
      </c>
      <c r="N47" s="1" t="s">
        <v>74</v>
      </c>
      <c r="O47" s="1" t="s">
        <v>74</v>
      </c>
      <c r="P47" s="1" t="s">
        <v>74</v>
      </c>
      <c r="Q47" s="1" t="s">
        <v>74</v>
      </c>
      <c r="R47" s="1" t="s">
        <v>74</v>
      </c>
      <c r="S47" s="1" t="s">
        <v>74</v>
      </c>
      <c r="T47" s="1" t="s">
        <v>74</v>
      </c>
      <c r="U47" s="1" t="s">
        <v>74</v>
      </c>
      <c r="V47" s="1" t="s">
        <v>597</v>
      </c>
      <c r="W47" s="1" t="s">
        <v>74</v>
      </c>
      <c r="X47" s="1" t="s">
        <v>74</v>
      </c>
      <c r="Y47" s="1" t="s">
        <v>74</v>
      </c>
      <c r="Z47" s="1" t="s">
        <v>74</v>
      </c>
      <c r="AA47" s="1" t="s">
        <v>598</v>
      </c>
      <c r="AB47" s="1" t="s">
        <v>599</v>
      </c>
      <c r="AC47" s="1" t="s">
        <v>74</v>
      </c>
      <c r="AD47" s="1" t="s">
        <v>74</v>
      </c>
      <c r="AE47" s="1" t="s">
        <v>74</v>
      </c>
      <c r="AF47" s="1" t="s">
        <v>74</v>
      </c>
      <c r="AG47" s="1" t="s">
        <v>74</v>
      </c>
      <c r="AH47" s="1" t="s">
        <v>74</v>
      </c>
      <c r="AI47" s="1" t="s">
        <v>74</v>
      </c>
      <c r="AJ47" s="1" t="s">
        <v>74</v>
      </c>
      <c r="AK47" s="1" t="s">
        <v>74</v>
      </c>
      <c r="AL47" s="1" t="s">
        <v>74</v>
      </c>
      <c r="AM47" s="1" t="s">
        <v>74</v>
      </c>
      <c r="AN47" s="1" t="s">
        <v>74</v>
      </c>
      <c r="AO47" s="1" t="s">
        <v>600</v>
      </c>
      <c r="AP47" s="1" t="s">
        <v>601</v>
      </c>
      <c r="AQ47" s="1" t="s">
        <v>74</v>
      </c>
      <c r="AR47" s="1" t="s">
        <v>74</v>
      </c>
      <c r="AS47" s="1" t="s">
        <v>74</v>
      </c>
      <c r="AT47" s="1" t="s">
        <v>602</v>
      </c>
      <c r="AU47" s="1">
        <v>2022.0</v>
      </c>
      <c r="AV47" s="1">
        <v>940.0</v>
      </c>
      <c r="AW47" s="1">
        <v>2.0</v>
      </c>
      <c r="AX47" s="1" t="s">
        <v>74</v>
      </c>
      <c r="AY47" s="1" t="s">
        <v>74</v>
      </c>
      <c r="AZ47" s="1" t="s">
        <v>74</v>
      </c>
      <c r="BA47" s="1" t="s">
        <v>74</v>
      </c>
      <c r="BB47" s="1" t="s">
        <v>74</v>
      </c>
      <c r="BC47" s="1" t="s">
        <v>74</v>
      </c>
      <c r="BD47" s="1">
        <v>161.0</v>
      </c>
      <c r="BE47" s="1" t="s">
        <v>603</v>
      </c>
      <c r="BF47" s="2" t="str">
        <f>HYPERLINK("http://dx.doi.org/10.3847/1538-4357/ac9cd3","http://dx.doi.org/10.3847/1538-4357/ac9cd3")</f>
        <v>http://dx.doi.org/10.3847/1538-4357/ac9cd3</v>
      </c>
      <c r="BG47" s="1" t="s">
        <v>74</v>
      </c>
      <c r="BH47" s="1" t="s">
        <v>74</v>
      </c>
      <c r="BI47" s="1" t="s">
        <v>74</v>
      </c>
      <c r="BJ47" s="1" t="s">
        <v>74</v>
      </c>
      <c r="BK47" s="1" t="s">
        <v>74</v>
      </c>
      <c r="BL47" s="1" t="s">
        <v>74</v>
      </c>
      <c r="BM47" s="1" t="s">
        <v>74</v>
      </c>
      <c r="BN47" s="1" t="s">
        <v>74</v>
      </c>
      <c r="BO47" s="1" t="s">
        <v>74</v>
      </c>
      <c r="BP47" s="1" t="s">
        <v>74</v>
      </c>
      <c r="BQ47" s="1" t="s">
        <v>74</v>
      </c>
      <c r="BR47" s="1" t="s">
        <v>74</v>
      </c>
      <c r="BS47" s="1" t="s">
        <v>604</v>
      </c>
      <c r="BT47" s="1" t="str">
        <f>HYPERLINK("https%3A%2F%2Fwww.webofscience.com%2Fwos%2Fwoscc%2Ffull-record%2FWOS:000892898000001","View Full Record in Web of Science")</f>
        <v>View Full Record in Web of Science</v>
      </c>
    </row>
    <row r="48" ht="12.75" customHeight="1">
      <c r="A48" s="1" t="s">
        <v>72</v>
      </c>
      <c r="B48" s="1" t="s">
        <v>605</v>
      </c>
      <c r="C48" s="1" t="s">
        <v>74</v>
      </c>
      <c r="D48" s="1" t="s">
        <v>74</v>
      </c>
      <c r="E48" s="1" t="s">
        <v>74</v>
      </c>
      <c r="F48" s="1" t="s">
        <v>606</v>
      </c>
      <c r="G48" s="1" t="s">
        <v>74</v>
      </c>
      <c r="H48" s="1" t="s">
        <v>74</v>
      </c>
      <c r="I48" s="1" t="s">
        <v>607</v>
      </c>
      <c r="J48" s="1" t="s">
        <v>244</v>
      </c>
      <c r="K48" s="1" t="s">
        <v>74</v>
      </c>
      <c r="L48" s="1" t="s">
        <v>74</v>
      </c>
      <c r="M48" s="1" t="s">
        <v>74</v>
      </c>
      <c r="N48" s="1" t="s">
        <v>74</v>
      </c>
      <c r="O48" s="1" t="s">
        <v>74</v>
      </c>
      <c r="P48" s="1" t="s">
        <v>74</v>
      </c>
      <c r="Q48" s="1" t="s">
        <v>74</v>
      </c>
      <c r="R48" s="1" t="s">
        <v>74</v>
      </c>
      <c r="S48" s="1" t="s">
        <v>74</v>
      </c>
      <c r="T48" s="1" t="s">
        <v>74</v>
      </c>
      <c r="U48" s="1" t="s">
        <v>74</v>
      </c>
      <c r="V48" s="1" t="s">
        <v>608</v>
      </c>
      <c r="W48" s="1" t="s">
        <v>74</v>
      </c>
      <c r="X48" s="1" t="s">
        <v>74</v>
      </c>
      <c r="Y48" s="1" t="s">
        <v>74</v>
      </c>
      <c r="Z48" s="1" t="s">
        <v>74</v>
      </c>
      <c r="AA48" s="1" t="s">
        <v>609</v>
      </c>
      <c r="AB48" s="1" t="s">
        <v>610</v>
      </c>
      <c r="AC48" s="1" t="s">
        <v>74</v>
      </c>
      <c r="AD48" s="1" t="s">
        <v>74</v>
      </c>
      <c r="AE48" s="1" t="s">
        <v>74</v>
      </c>
      <c r="AF48" s="1" t="s">
        <v>74</v>
      </c>
      <c r="AG48" s="1" t="s">
        <v>74</v>
      </c>
      <c r="AH48" s="1" t="s">
        <v>74</v>
      </c>
      <c r="AI48" s="1" t="s">
        <v>74</v>
      </c>
      <c r="AJ48" s="1" t="s">
        <v>74</v>
      </c>
      <c r="AK48" s="1" t="s">
        <v>74</v>
      </c>
      <c r="AL48" s="1" t="s">
        <v>74</v>
      </c>
      <c r="AM48" s="1" t="s">
        <v>74</v>
      </c>
      <c r="AN48" s="1" t="s">
        <v>74</v>
      </c>
      <c r="AO48" s="1" t="s">
        <v>248</v>
      </c>
      <c r="AP48" s="1" t="s">
        <v>249</v>
      </c>
      <c r="AQ48" s="1" t="s">
        <v>74</v>
      </c>
      <c r="AR48" s="1" t="s">
        <v>74</v>
      </c>
      <c r="AS48" s="1" t="s">
        <v>74</v>
      </c>
      <c r="AT48" s="1" t="s">
        <v>319</v>
      </c>
      <c r="AU48" s="1">
        <v>2020.0</v>
      </c>
      <c r="AV48" s="1">
        <v>902.0</v>
      </c>
      <c r="AW48" s="1">
        <v>2.0</v>
      </c>
      <c r="AX48" s="1" t="s">
        <v>74</v>
      </c>
      <c r="AY48" s="1" t="s">
        <v>74</v>
      </c>
      <c r="AZ48" s="1" t="s">
        <v>74</v>
      </c>
      <c r="BA48" s="1" t="s">
        <v>74</v>
      </c>
      <c r="BB48" s="1" t="s">
        <v>74</v>
      </c>
      <c r="BC48" s="1" t="s">
        <v>74</v>
      </c>
      <c r="BD48" s="1" t="s">
        <v>611</v>
      </c>
      <c r="BE48" s="1" t="s">
        <v>612</v>
      </c>
      <c r="BF48" s="2" t="str">
        <f>HYPERLINK("http://dx.doi.org/10.3847/2041-8213/abbcce","http://dx.doi.org/10.3847/2041-8213/abbcce")</f>
        <v>http://dx.doi.org/10.3847/2041-8213/abbcce</v>
      </c>
      <c r="BG48" s="1" t="s">
        <v>74</v>
      </c>
      <c r="BH48" s="1" t="s">
        <v>74</v>
      </c>
      <c r="BI48" s="1" t="s">
        <v>74</v>
      </c>
      <c r="BJ48" s="1" t="s">
        <v>74</v>
      </c>
      <c r="BK48" s="1" t="s">
        <v>74</v>
      </c>
      <c r="BL48" s="1" t="s">
        <v>74</v>
      </c>
      <c r="BM48" s="1" t="s">
        <v>74</v>
      </c>
      <c r="BN48" s="1" t="s">
        <v>74</v>
      </c>
      <c r="BO48" s="1" t="s">
        <v>74</v>
      </c>
      <c r="BP48" s="1" t="s">
        <v>74</v>
      </c>
      <c r="BQ48" s="1" t="s">
        <v>74</v>
      </c>
      <c r="BR48" s="1" t="s">
        <v>74</v>
      </c>
      <c r="BS48" s="1" t="s">
        <v>613</v>
      </c>
      <c r="BT48" s="1" t="str">
        <f>HYPERLINK("https%3A%2F%2Fwww.webofscience.com%2Fwos%2Fwoscc%2Ffull-record%2FWOS:000579641500001","View Full Record in Web of Science")</f>
        <v>View Full Record in Web of Science</v>
      </c>
    </row>
    <row r="49" ht="12.75" customHeight="1">
      <c r="A49" s="1" t="s">
        <v>72</v>
      </c>
      <c r="B49" s="1" t="s">
        <v>614</v>
      </c>
      <c r="C49" s="1" t="s">
        <v>74</v>
      </c>
      <c r="D49" s="1" t="s">
        <v>74</v>
      </c>
      <c r="E49" s="1" t="s">
        <v>74</v>
      </c>
      <c r="F49" s="1" t="s">
        <v>615</v>
      </c>
      <c r="G49" s="1" t="s">
        <v>74</v>
      </c>
      <c r="H49" s="1" t="s">
        <v>74</v>
      </c>
      <c r="I49" s="1" t="s">
        <v>616</v>
      </c>
      <c r="J49" s="1" t="s">
        <v>395</v>
      </c>
      <c r="K49" s="1" t="s">
        <v>74</v>
      </c>
      <c r="L49" s="1" t="s">
        <v>74</v>
      </c>
      <c r="M49" s="1" t="s">
        <v>74</v>
      </c>
      <c r="N49" s="1" t="s">
        <v>74</v>
      </c>
      <c r="O49" s="1" t="s">
        <v>74</v>
      </c>
      <c r="P49" s="1" t="s">
        <v>74</v>
      </c>
      <c r="Q49" s="1" t="s">
        <v>74</v>
      </c>
      <c r="R49" s="1" t="s">
        <v>74</v>
      </c>
      <c r="S49" s="1" t="s">
        <v>74</v>
      </c>
      <c r="T49" s="1" t="s">
        <v>74</v>
      </c>
      <c r="U49" s="1" t="s">
        <v>74</v>
      </c>
      <c r="V49" s="1" t="s">
        <v>617</v>
      </c>
      <c r="W49" s="1" t="s">
        <v>74</v>
      </c>
      <c r="X49" s="1" t="s">
        <v>74</v>
      </c>
      <c r="Y49" s="1" t="s">
        <v>74</v>
      </c>
      <c r="Z49" s="1" t="s">
        <v>74</v>
      </c>
      <c r="AA49" s="1" t="s">
        <v>618</v>
      </c>
      <c r="AB49" s="1" t="s">
        <v>619</v>
      </c>
      <c r="AC49" s="1" t="s">
        <v>74</v>
      </c>
      <c r="AD49" s="1" t="s">
        <v>74</v>
      </c>
      <c r="AE49" s="1" t="s">
        <v>74</v>
      </c>
      <c r="AF49" s="1" t="s">
        <v>74</v>
      </c>
      <c r="AG49" s="1" t="s">
        <v>74</v>
      </c>
      <c r="AH49" s="1" t="s">
        <v>74</v>
      </c>
      <c r="AI49" s="1" t="s">
        <v>74</v>
      </c>
      <c r="AJ49" s="1" t="s">
        <v>74</v>
      </c>
      <c r="AK49" s="1" t="s">
        <v>74</v>
      </c>
      <c r="AL49" s="1" t="s">
        <v>74</v>
      </c>
      <c r="AM49" s="1" t="s">
        <v>74</v>
      </c>
      <c r="AN49" s="1" t="s">
        <v>74</v>
      </c>
      <c r="AO49" s="1" t="s">
        <v>399</v>
      </c>
      <c r="AP49" s="1" t="s">
        <v>400</v>
      </c>
      <c r="AQ49" s="1" t="s">
        <v>74</v>
      </c>
      <c r="AR49" s="1" t="s">
        <v>74</v>
      </c>
      <c r="AS49" s="1" t="s">
        <v>74</v>
      </c>
      <c r="AT49" s="1" t="s">
        <v>130</v>
      </c>
      <c r="AU49" s="1">
        <v>2020.0</v>
      </c>
      <c r="AV49" s="1">
        <v>498.0</v>
      </c>
      <c r="AW49" s="1">
        <v>3.0</v>
      </c>
      <c r="AX49" s="1" t="s">
        <v>74</v>
      </c>
      <c r="AY49" s="1" t="s">
        <v>74</v>
      </c>
      <c r="AZ49" s="1" t="s">
        <v>74</v>
      </c>
      <c r="BA49" s="1" t="s">
        <v>74</v>
      </c>
      <c r="BB49" s="1">
        <v>4396.0</v>
      </c>
      <c r="BC49" s="1">
        <v>4403.0</v>
      </c>
      <c r="BD49" s="1" t="s">
        <v>74</v>
      </c>
      <c r="BE49" s="1" t="s">
        <v>620</v>
      </c>
      <c r="BF49" s="2" t="str">
        <f>HYPERLINK("http://dx.doi.org/10.1093/mnras/staa2653","http://dx.doi.org/10.1093/mnras/staa2653")</f>
        <v>http://dx.doi.org/10.1093/mnras/staa2653</v>
      </c>
      <c r="BG49" s="1" t="s">
        <v>74</v>
      </c>
      <c r="BH49" s="1" t="s">
        <v>74</v>
      </c>
      <c r="BI49" s="1" t="s">
        <v>74</v>
      </c>
      <c r="BJ49" s="1" t="s">
        <v>74</v>
      </c>
      <c r="BK49" s="1" t="s">
        <v>74</v>
      </c>
      <c r="BL49" s="1" t="s">
        <v>74</v>
      </c>
      <c r="BM49" s="1" t="s">
        <v>74</v>
      </c>
      <c r="BN49" s="1">
        <v>3.3204043E7</v>
      </c>
      <c r="BO49" s="1" t="s">
        <v>74</v>
      </c>
      <c r="BP49" s="1" t="s">
        <v>74</v>
      </c>
      <c r="BQ49" s="1" t="s">
        <v>74</v>
      </c>
      <c r="BR49" s="1" t="s">
        <v>74</v>
      </c>
      <c r="BS49" s="1" t="s">
        <v>621</v>
      </c>
      <c r="BT49" s="1" t="str">
        <f>HYPERLINK("https%3A%2F%2Fwww.webofscience.com%2Fwos%2Fwoscc%2Ffull-record%2FWOS:000587752500101","View Full Record in Web of Science")</f>
        <v>View Full Record in Web of Science</v>
      </c>
    </row>
    <row r="50" ht="12.75" customHeight="1">
      <c r="A50" s="1" t="s">
        <v>72</v>
      </c>
      <c r="B50" s="1" t="s">
        <v>622</v>
      </c>
      <c r="C50" s="1" t="s">
        <v>74</v>
      </c>
      <c r="D50" s="1" t="s">
        <v>74</v>
      </c>
      <c r="E50" s="1" t="s">
        <v>74</v>
      </c>
      <c r="F50" s="1" t="s">
        <v>623</v>
      </c>
      <c r="G50" s="1" t="s">
        <v>74</v>
      </c>
      <c r="H50" s="1" t="s">
        <v>74</v>
      </c>
      <c r="I50" s="1" t="s">
        <v>624</v>
      </c>
      <c r="J50" s="1" t="s">
        <v>406</v>
      </c>
      <c r="K50" s="1" t="s">
        <v>74</v>
      </c>
      <c r="L50" s="1" t="s">
        <v>74</v>
      </c>
      <c r="M50" s="1" t="s">
        <v>74</v>
      </c>
      <c r="N50" s="1" t="s">
        <v>74</v>
      </c>
      <c r="O50" s="1" t="s">
        <v>74</v>
      </c>
      <c r="P50" s="1" t="s">
        <v>74</v>
      </c>
      <c r="Q50" s="1" t="s">
        <v>74</v>
      </c>
      <c r="R50" s="1" t="s">
        <v>74</v>
      </c>
      <c r="S50" s="1" t="s">
        <v>74</v>
      </c>
      <c r="T50" s="1" t="s">
        <v>74</v>
      </c>
      <c r="U50" s="1" t="s">
        <v>74</v>
      </c>
      <c r="V50" s="1" t="s">
        <v>625</v>
      </c>
      <c r="W50" s="1" t="s">
        <v>74</v>
      </c>
      <c r="X50" s="1" t="s">
        <v>74</v>
      </c>
      <c r="Y50" s="1" t="s">
        <v>74</v>
      </c>
      <c r="Z50" s="1" t="s">
        <v>74</v>
      </c>
      <c r="AA50" s="1" t="s">
        <v>626</v>
      </c>
      <c r="AB50" s="1" t="s">
        <v>627</v>
      </c>
      <c r="AC50" s="1" t="s">
        <v>74</v>
      </c>
      <c r="AD50" s="1" t="s">
        <v>74</v>
      </c>
      <c r="AE50" s="1" t="s">
        <v>74</v>
      </c>
      <c r="AF50" s="1" t="s">
        <v>74</v>
      </c>
      <c r="AG50" s="1" t="s">
        <v>74</v>
      </c>
      <c r="AH50" s="1" t="s">
        <v>74</v>
      </c>
      <c r="AI50" s="1" t="s">
        <v>74</v>
      </c>
      <c r="AJ50" s="1" t="s">
        <v>74</v>
      </c>
      <c r="AK50" s="1" t="s">
        <v>74</v>
      </c>
      <c r="AL50" s="1" t="s">
        <v>74</v>
      </c>
      <c r="AM50" s="1" t="s">
        <v>74</v>
      </c>
      <c r="AN50" s="1" t="s">
        <v>74</v>
      </c>
      <c r="AO50" s="1" t="s">
        <v>410</v>
      </c>
      <c r="AP50" s="1" t="s">
        <v>74</v>
      </c>
      <c r="AQ50" s="1" t="s">
        <v>74</v>
      </c>
      <c r="AR50" s="1" t="s">
        <v>74</v>
      </c>
      <c r="AS50" s="1" t="s">
        <v>74</v>
      </c>
      <c r="AT50" s="1" t="s">
        <v>628</v>
      </c>
      <c r="AU50" s="1">
        <v>2019.0</v>
      </c>
      <c r="AV50" s="1">
        <v>9.0</v>
      </c>
      <c r="AW50" s="1" t="s">
        <v>74</v>
      </c>
      <c r="AX50" s="1" t="s">
        <v>74</v>
      </c>
      <c r="AY50" s="1" t="s">
        <v>74</v>
      </c>
      <c r="AZ50" s="1" t="s">
        <v>74</v>
      </c>
      <c r="BA50" s="1" t="s">
        <v>74</v>
      </c>
      <c r="BB50" s="1" t="s">
        <v>74</v>
      </c>
      <c r="BC50" s="1" t="s">
        <v>74</v>
      </c>
      <c r="BD50" s="1">
        <v>8130.0</v>
      </c>
      <c r="BE50" s="1" t="s">
        <v>629</v>
      </c>
      <c r="BF50" s="2" t="str">
        <f>HYPERLINK("http://dx.doi.org/10.1038/s41598-019-44516-5","http://dx.doi.org/10.1038/s41598-019-44516-5")</f>
        <v>http://dx.doi.org/10.1038/s41598-019-44516-5</v>
      </c>
      <c r="BG50" s="1" t="s">
        <v>74</v>
      </c>
      <c r="BH50" s="1" t="s">
        <v>74</v>
      </c>
      <c r="BI50" s="1" t="s">
        <v>74</v>
      </c>
      <c r="BJ50" s="1" t="s">
        <v>74</v>
      </c>
      <c r="BK50" s="1" t="s">
        <v>74</v>
      </c>
      <c r="BL50" s="1" t="s">
        <v>74</v>
      </c>
      <c r="BM50" s="1" t="s">
        <v>74</v>
      </c>
      <c r="BN50" s="1">
        <v>3.1148573E7</v>
      </c>
      <c r="BO50" s="1" t="s">
        <v>74</v>
      </c>
      <c r="BP50" s="1" t="s">
        <v>74</v>
      </c>
      <c r="BQ50" s="1" t="s">
        <v>74</v>
      </c>
      <c r="BR50" s="1" t="s">
        <v>74</v>
      </c>
      <c r="BS50" s="1" t="s">
        <v>630</v>
      </c>
      <c r="BT50" s="1" t="str">
        <f>HYPERLINK("https%3A%2F%2Fwww.webofscience.com%2Fwos%2Fwoscc%2Ffull-record%2FWOS:000469752800008","View Full Record in Web of Science")</f>
        <v>View Full Record in Web of Science</v>
      </c>
    </row>
    <row r="51" ht="12.75" customHeight="1">
      <c r="A51" s="1" t="s">
        <v>72</v>
      </c>
      <c r="B51" s="1" t="s">
        <v>631</v>
      </c>
      <c r="C51" s="1" t="s">
        <v>74</v>
      </c>
      <c r="D51" s="1" t="s">
        <v>74</v>
      </c>
      <c r="E51" s="1" t="s">
        <v>74</v>
      </c>
      <c r="F51" s="1" t="s">
        <v>631</v>
      </c>
      <c r="G51" s="1" t="s">
        <v>74</v>
      </c>
      <c r="H51" s="1" t="s">
        <v>74</v>
      </c>
      <c r="I51" s="1" t="s">
        <v>632</v>
      </c>
      <c r="J51" s="1" t="s">
        <v>633</v>
      </c>
      <c r="K51" s="1" t="s">
        <v>74</v>
      </c>
      <c r="L51" s="1" t="s">
        <v>74</v>
      </c>
      <c r="M51" s="1" t="s">
        <v>74</v>
      </c>
      <c r="N51" s="1" t="s">
        <v>74</v>
      </c>
      <c r="O51" s="1" t="s">
        <v>74</v>
      </c>
      <c r="P51" s="1" t="s">
        <v>74</v>
      </c>
      <c r="Q51" s="1" t="s">
        <v>74</v>
      </c>
      <c r="R51" s="1" t="s">
        <v>74</v>
      </c>
      <c r="S51" s="1" t="s">
        <v>74</v>
      </c>
      <c r="T51" s="1" t="s">
        <v>74</v>
      </c>
      <c r="U51" s="1" t="s">
        <v>74</v>
      </c>
      <c r="V51" s="1" t="s">
        <v>634</v>
      </c>
      <c r="W51" s="1" t="s">
        <v>74</v>
      </c>
      <c r="X51" s="1" t="s">
        <v>74</v>
      </c>
      <c r="Y51" s="1" t="s">
        <v>74</v>
      </c>
      <c r="Z51" s="1" t="s">
        <v>74</v>
      </c>
      <c r="AA51" s="1" t="s">
        <v>635</v>
      </c>
      <c r="AB51" s="1" t="s">
        <v>636</v>
      </c>
      <c r="AC51" s="1" t="s">
        <v>74</v>
      </c>
      <c r="AD51" s="1" t="s">
        <v>74</v>
      </c>
      <c r="AE51" s="1" t="s">
        <v>74</v>
      </c>
      <c r="AF51" s="1" t="s">
        <v>74</v>
      </c>
      <c r="AG51" s="1" t="s">
        <v>74</v>
      </c>
      <c r="AH51" s="1" t="s">
        <v>74</v>
      </c>
      <c r="AI51" s="1" t="s">
        <v>74</v>
      </c>
      <c r="AJ51" s="1" t="s">
        <v>74</v>
      </c>
      <c r="AK51" s="1" t="s">
        <v>74</v>
      </c>
      <c r="AL51" s="1" t="s">
        <v>74</v>
      </c>
      <c r="AM51" s="1" t="s">
        <v>74</v>
      </c>
      <c r="AN51" s="1" t="s">
        <v>74</v>
      </c>
      <c r="AO51" s="1" t="s">
        <v>637</v>
      </c>
      <c r="AP51" s="1" t="s">
        <v>74</v>
      </c>
      <c r="AQ51" s="1" t="s">
        <v>74</v>
      </c>
      <c r="AR51" s="1" t="s">
        <v>74</v>
      </c>
      <c r="AS51" s="1" t="s">
        <v>74</v>
      </c>
      <c r="AT51" s="1" t="s">
        <v>74</v>
      </c>
      <c r="AU51" s="1">
        <v>1999.0</v>
      </c>
      <c r="AV51" s="1">
        <v>32.0</v>
      </c>
      <c r="AW51" s="1">
        <v>1.0</v>
      </c>
      <c r="AX51" s="1" t="s">
        <v>74</v>
      </c>
      <c r="AY51" s="1" t="s">
        <v>74</v>
      </c>
      <c r="AZ51" s="1" t="s">
        <v>74</v>
      </c>
      <c r="BA51" s="1" t="s">
        <v>74</v>
      </c>
      <c r="BB51" s="1">
        <v>35.0</v>
      </c>
      <c r="BC51" s="1">
        <v>60.0</v>
      </c>
      <c r="BD51" s="1" t="s">
        <v>74</v>
      </c>
      <c r="BE51" s="1" t="s">
        <v>74</v>
      </c>
      <c r="BF51" s="1" t="s">
        <v>74</v>
      </c>
      <c r="BG51" s="1" t="s">
        <v>74</v>
      </c>
      <c r="BH51" s="1" t="s">
        <v>74</v>
      </c>
      <c r="BI51" s="1" t="s">
        <v>74</v>
      </c>
      <c r="BJ51" s="1" t="s">
        <v>74</v>
      </c>
      <c r="BK51" s="1" t="s">
        <v>74</v>
      </c>
      <c r="BL51" s="1" t="s">
        <v>74</v>
      </c>
      <c r="BM51" s="1" t="s">
        <v>74</v>
      </c>
      <c r="BN51" s="1">
        <v>1.053034E7</v>
      </c>
      <c r="BO51" s="1" t="s">
        <v>74</v>
      </c>
      <c r="BP51" s="1" t="s">
        <v>74</v>
      </c>
      <c r="BQ51" s="1" t="s">
        <v>74</v>
      </c>
      <c r="BR51" s="1" t="s">
        <v>74</v>
      </c>
      <c r="BS51" s="1" t="s">
        <v>638</v>
      </c>
      <c r="BT51" s="1" t="str">
        <f>HYPERLINK("https%3A%2F%2Fwww.webofscience.com%2Fwos%2Fwoscc%2Ffull-record%2FWOS:000082279600008","View Full Record in Web of Science")</f>
        <v>View Full Record in Web of Science</v>
      </c>
    </row>
    <row r="52" ht="12.75" customHeight="1">
      <c r="A52" s="1" t="s">
        <v>72</v>
      </c>
      <c r="B52" s="1" t="s">
        <v>639</v>
      </c>
      <c r="C52" s="1" t="s">
        <v>74</v>
      </c>
      <c r="D52" s="1" t="s">
        <v>74</v>
      </c>
      <c r="E52" s="1" t="s">
        <v>74</v>
      </c>
      <c r="F52" s="1" t="s">
        <v>640</v>
      </c>
      <c r="G52" s="1" t="s">
        <v>74</v>
      </c>
      <c r="H52" s="1" t="s">
        <v>74</v>
      </c>
      <c r="I52" s="1" t="s">
        <v>641</v>
      </c>
      <c r="J52" s="1" t="s">
        <v>439</v>
      </c>
      <c r="K52" s="1" t="s">
        <v>74</v>
      </c>
      <c r="L52" s="1" t="s">
        <v>74</v>
      </c>
      <c r="M52" s="1" t="s">
        <v>74</v>
      </c>
      <c r="N52" s="1" t="s">
        <v>74</v>
      </c>
      <c r="O52" s="1" t="s">
        <v>74</v>
      </c>
      <c r="P52" s="1" t="s">
        <v>74</v>
      </c>
      <c r="Q52" s="1" t="s">
        <v>74</v>
      </c>
      <c r="R52" s="1" t="s">
        <v>74</v>
      </c>
      <c r="S52" s="1" t="s">
        <v>74</v>
      </c>
      <c r="T52" s="1" t="s">
        <v>74</v>
      </c>
      <c r="U52" s="1" t="s">
        <v>74</v>
      </c>
      <c r="V52" s="1" t="s">
        <v>642</v>
      </c>
      <c r="W52" s="1" t="s">
        <v>74</v>
      </c>
      <c r="X52" s="1" t="s">
        <v>74</v>
      </c>
      <c r="Y52" s="1" t="s">
        <v>74</v>
      </c>
      <c r="Z52" s="1" t="s">
        <v>74</v>
      </c>
      <c r="AA52" s="1" t="s">
        <v>643</v>
      </c>
      <c r="AB52" s="1" t="s">
        <v>644</v>
      </c>
      <c r="AC52" s="1" t="s">
        <v>74</v>
      </c>
      <c r="AD52" s="1" t="s">
        <v>74</v>
      </c>
      <c r="AE52" s="1" t="s">
        <v>74</v>
      </c>
      <c r="AF52" s="1" t="s">
        <v>74</v>
      </c>
      <c r="AG52" s="1" t="s">
        <v>74</v>
      </c>
      <c r="AH52" s="1" t="s">
        <v>74</v>
      </c>
      <c r="AI52" s="1" t="s">
        <v>74</v>
      </c>
      <c r="AJ52" s="1" t="s">
        <v>74</v>
      </c>
      <c r="AK52" s="1" t="s">
        <v>74</v>
      </c>
      <c r="AL52" s="1" t="s">
        <v>74</v>
      </c>
      <c r="AM52" s="1" t="s">
        <v>74</v>
      </c>
      <c r="AN52" s="1" t="s">
        <v>74</v>
      </c>
      <c r="AO52" s="1" t="s">
        <v>74</v>
      </c>
      <c r="AP52" s="1" t="s">
        <v>443</v>
      </c>
      <c r="AQ52" s="1" t="s">
        <v>74</v>
      </c>
      <c r="AR52" s="1" t="s">
        <v>74</v>
      </c>
      <c r="AS52" s="1" t="s">
        <v>74</v>
      </c>
      <c r="AT52" s="1" t="s">
        <v>319</v>
      </c>
      <c r="AU52" s="1">
        <v>2022.0</v>
      </c>
      <c r="AV52" s="1">
        <v>19.0</v>
      </c>
      <c r="AW52" s="1">
        <v>19.0</v>
      </c>
      <c r="AX52" s="1" t="s">
        <v>74</v>
      </c>
      <c r="AY52" s="1" t="s">
        <v>74</v>
      </c>
      <c r="AZ52" s="1" t="s">
        <v>74</v>
      </c>
      <c r="BA52" s="1" t="s">
        <v>74</v>
      </c>
      <c r="BB52" s="1" t="s">
        <v>74</v>
      </c>
      <c r="BC52" s="1" t="s">
        <v>74</v>
      </c>
      <c r="BD52" s="1">
        <v>12811.0</v>
      </c>
      <c r="BE52" s="1" t="s">
        <v>645</v>
      </c>
      <c r="BF52" s="2" t="str">
        <f>HYPERLINK("http://dx.doi.org/10.3390/ijerph191912811","http://dx.doi.org/10.3390/ijerph191912811")</f>
        <v>http://dx.doi.org/10.3390/ijerph191912811</v>
      </c>
      <c r="BG52" s="1" t="s">
        <v>74</v>
      </c>
      <c r="BH52" s="1" t="s">
        <v>74</v>
      </c>
      <c r="BI52" s="1" t="s">
        <v>74</v>
      </c>
      <c r="BJ52" s="1" t="s">
        <v>74</v>
      </c>
      <c r="BK52" s="1" t="s">
        <v>74</v>
      </c>
      <c r="BL52" s="1" t="s">
        <v>74</v>
      </c>
      <c r="BM52" s="1" t="s">
        <v>74</v>
      </c>
      <c r="BN52" s="1">
        <v>3.6232117E7</v>
      </c>
      <c r="BO52" s="1" t="s">
        <v>74</v>
      </c>
      <c r="BP52" s="1" t="s">
        <v>74</v>
      </c>
      <c r="BQ52" s="1" t="s">
        <v>74</v>
      </c>
      <c r="BR52" s="1" t="s">
        <v>74</v>
      </c>
      <c r="BS52" s="1" t="s">
        <v>646</v>
      </c>
      <c r="BT52" s="1" t="str">
        <f>HYPERLINK("https%3A%2F%2Fwww.webofscience.com%2Fwos%2Fwoscc%2Ffull-record%2FWOS:000866857900001","View Full Record in Web of Science")</f>
        <v>View Full Record in Web of Science</v>
      </c>
    </row>
    <row r="53" ht="12.75" customHeight="1">
      <c r="A53" s="1" t="s">
        <v>72</v>
      </c>
      <c r="B53" s="1" t="s">
        <v>647</v>
      </c>
      <c r="C53" s="1" t="s">
        <v>74</v>
      </c>
      <c r="D53" s="1" t="s">
        <v>74</v>
      </c>
      <c r="E53" s="1" t="s">
        <v>74</v>
      </c>
      <c r="F53" s="1" t="s">
        <v>648</v>
      </c>
      <c r="G53" s="1" t="s">
        <v>74</v>
      </c>
      <c r="H53" s="1" t="s">
        <v>74</v>
      </c>
      <c r="I53" s="1" t="s">
        <v>649</v>
      </c>
      <c r="J53" s="1" t="s">
        <v>650</v>
      </c>
      <c r="K53" s="1" t="s">
        <v>74</v>
      </c>
      <c r="L53" s="1" t="s">
        <v>74</v>
      </c>
      <c r="M53" s="1" t="s">
        <v>74</v>
      </c>
      <c r="N53" s="1" t="s">
        <v>74</v>
      </c>
      <c r="O53" s="1" t="s">
        <v>74</v>
      </c>
      <c r="P53" s="1" t="s">
        <v>74</v>
      </c>
      <c r="Q53" s="1" t="s">
        <v>74</v>
      </c>
      <c r="R53" s="1" t="s">
        <v>74</v>
      </c>
      <c r="S53" s="1" t="s">
        <v>74</v>
      </c>
      <c r="T53" s="1" t="s">
        <v>74</v>
      </c>
      <c r="U53" s="1" t="s">
        <v>74</v>
      </c>
      <c r="V53" s="1" t="s">
        <v>651</v>
      </c>
      <c r="W53" s="1" t="s">
        <v>74</v>
      </c>
      <c r="X53" s="1" t="s">
        <v>74</v>
      </c>
      <c r="Y53" s="1" t="s">
        <v>74</v>
      </c>
      <c r="Z53" s="1" t="s">
        <v>74</v>
      </c>
      <c r="AA53" s="1" t="s">
        <v>652</v>
      </c>
      <c r="AB53" s="1" t="s">
        <v>653</v>
      </c>
      <c r="AC53" s="1" t="s">
        <v>74</v>
      </c>
      <c r="AD53" s="1" t="s">
        <v>74</v>
      </c>
      <c r="AE53" s="1" t="s">
        <v>74</v>
      </c>
      <c r="AF53" s="1" t="s">
        <v>74</v>
      </c>
      <c r="AG53" s="1" t="s">
        <v>74</v>
      </c>
      <c r="AH53" s="1" t="s">
        <v>74</v>
      </c>
      <c r="AI53" s="1" t="s">
        <v>74</v>
      </c>
      <c r="AJ53" s="1" t="s">
        <v>74</v>
      </c>
      <c r="AK53" s="1" t="s">
        <v>74</v>
      </c>
      <c r="AL53" s="1" t="s">
        <v>74</v>
      </c>
      <c r="AM53" s="1" t="s">
        <v>74</v>
      </c>
      <c r="AN53" s="1" t="s">
        <v>74</v>
      </c>
      <c r="AO53" s="1" t="s">
        <v>74</v>
      </c>
      <c r="AP53" s="1" t="s">
        <v>654</v>
      </c>
      <c r="AQ53" s="1" t="s">
        <v>74</v>
      </c>
      <c r="AR53" s="1" t="s">
        <v>74</v>
      </c>
      <c r="AS53" s="1" t="s">
        <v>74</v>
      </c>
      <c r="AT53" s="1" t="s">
        <v>655</v>
      </c>
      <c r="AU53" s="1">
        <v>2024.0</v>
      </c>
      <c r="AV53" s="1">
        <v>10.0</v>
      </c>
      <c r="AW53" s="1">
        <v>1.0</v>
      </c>
      <c r="AX53" s="1" t="s">
        <v>74</v>
      </c>
      <c r="AY53" s="1" t="s">
        <v>74</v>
      </c>
      <c r="AZ53" s="1" t="s">
        <v>74</v>
      </c>
      <c r="BA53" s="1" t="s">
        <v>74</v>
      </c>
      <c r="BB53" s="1" t="s">
        <v>74</v>
      </c>
      <c r="BC53" s="1" t="s">
        <v>74</v>
      </c>
      <c r="BD53" s="1">
        <v>15.0</v>
      </c>
      <c r="BE53" s="1" t="s">
        <v>656</v>
      </c>
      <c r="BF53" s="2" t="str">
        <f>HYPERLINK("http://dx.doi.org/10.1038/s41531-024-00630-4","http://dx.doi.org/10.1038/s41531-024-00630-4")</f>
        <v>http://dx.doi.org/10.1038/s41531-024-00630-4</v>
      </c>
      <c r="BG53" s="1" t="s">
        <v>74</v>
      </c>
      <c r="BH53" s="1" t="s">
        <v>74</v>
      </c>
      <c r="BI53" s="1" t="s">
        <v>74</v>
      </c>
      <c r="BJ53" s="1" t="s">
        <v>74</v>
      </c>
      <c r="BK53" s="1" t="s">
        <v>74</v>
      </c>
      <c r="BL53" s="1" t="s">
        <v>74</v>
      </c>
      <c r="BM53" s="1" t="s">
        <v>74</v>
      </c>
      <c r="BN53" s="1">
        <v>3.8195756E7</v>
      </c>
      <c r="BO53" s="1" t="s">
        <v>74</v>
      </c>
      <c r="BP53" s="1" t="s">
        <v>74</v>
      </c>
      <c r="BQ53" s="1" t="s">
        <v>74</v>
      </c>
      <c r="BR53" s="1" t="s">
        <v>74</v>
      </c>
      <c r="BS53" s="1" t="s">
        <v>657</v>
      </c>
      <c r="BT53" s="1" t="str">
        <f>HYPERLINK("https%3A%2F%2Fwww.webofscience.com%2Fwos%2Fwoscc%2Ffull-record%2FWOS:001139057800003","View Full Record in Web of Science")</f>
        <v>View Full Record in Web of Science</v>
      </c>
    </row>
    <row r="54" ht="12.75" customHeight="1">
      <c r="A54" s="1" t="s">
        <v>72</v>
      </c>
      <c r="B54" s="1" t="s">
        <v>658</v>
      </c>
      <c r="C54" s="1" t="s">
        <v>74</v>
      </c>
      <c r="D54" s="1" t="s">
        <v>74</v>
      </c>
      <c r="E54" s="1" t="s">
        <v>74</v>
      </c>
      <c r="F54" s="1" t="s">
        <v>659</v>
      </c>
      <c r="G54" s="1" t="s">
        <v>74</v>
      </c>
      <c r="H54" s="1" t="s">
        <v>74</v>
      </c>
      <c r="I54" s="1" t="s">
        <v>660</v>
      </c>
      <c r="J54" s="1" t="s">
        <v>661</v>
      </c>
      <c r="K54" s="1" t="s">
        <v>74</v>
      </c>
      <c r="L54" s="1" t="s">
        <v>74</v>
      </c>
      <c r="M54" s="1" t="s">
        <v>74</v>
      </c>
      <c r="N54" s="1" t="s">
        <v>74</v>
      </c>
      <c r="O54" s="1" t="s">
        <v>74</v>
      </c>
      <c r="P54" s="1" t="s">
        <v>74</v>
      </c>
      <c r="Q54" s="1" t="s">
        <v>74</v>
      </c>
      <c r="R54" s="1" t="s">
        <v>74</v>
      </c>
      <c r="S54" s="1" t="s">
        <v>74</v>
      </c>
      <c r="T54" s="1" t="s">
        <v>74</v>
      </c>
      <c r="U54" s="1" t="s">
        <v>74</v>
      </c>
      <c r="V54" s="1" t="s">
        <v>662</v>
      </c>
      <c r="W54" s="1" t="s">
        <v>74</v>
      </c>
      <c r="X54" s="1" t="s">
        <v>74</v>
      </c>
      <c r="Y54" s="1" t="s">
        <v>74</v>
      </c>
      <c r="Z54" s="1" t="s">
        <v>74</v>
      </c>
      <c r="AA54" s="1" t="s">
        <v>663</v>
      </c>
      <c r="AB54" s="1" t="s">
        <v>664</v>
      </c>
      <c r="AC54" s="1" t="s">
        <v>74</v>
      </c>
      <c r="AD54" s="1" t="s">
        <v>74</v>
      </c>
      <c r="AE54" s="1" t="s">
        <v>74</v>
      </c>
      <c r="AF54" s="1" t="s">
        <v>74</v>
      </c>
      <c r="AG54" s="1" t="s">
        <v>74</v>
      </c>
      <c r="AH54" s="1" t="s">
        <v>74</v>
      </c>
      <c r="AI54" s="1" t="s">
        <v>74</v>
      </c>
      <c r="AJ54" s="1" t="s">
        <v>74</v>
      </c>
      <c r="AK54" s="1" t="s">
        <v>74</v>
      </c>
      <c r="AL54" s="1" t="s">
        <v>74</v>
      </c>
      <c r="AM54" s="1" t="s">
        <v>74</v>
      </c>
      <c r="AN54" s="1" t="s">
        <v>74</v>
      </c>
      <c r="AO54" s="1" t="s">
        <v>665</v>
      </c>
      <c r="AP54" s="1" t="s">
        <v>74</v>
      </c>
      <c r="AQ54" s="1" t="s">
        <v>74</v>
      </c>
      <c r="AR54" s="1" t="s">
        <v>74</v>
      </c>
      <c r="AS54" s="1" t="s">
        <v>74</v>
      </c>
      <c r="AT54" s="1" t="s">
        <v>666</v>
      </c>
      <c r="AU54" s="1">
        <v>2024.0</v>
      </c>
      <c r="AV54" s="1">
        <v>19.0</v>
      </c>
      <c r="AW54" s="1">
        <v>6.0</v>
      </c>
      <c r="AX54" s="1" t="s">
        <v>74</v>
      </c>
      <c r="AY54" s="1" t="s">
        <v>74</v>
      </c>
      <c r="AZ54" s="1" t="s">
        <v>74</v>
      </c>
      <c r="BA54" s="1" t="s">
        <v>74</v>
      </c>
      <c r="BB54" s="1" t="s">
        <v>74</v>
      </c>
      <c r="BC54" s="1" t="s">
        <v>74</v>
      </c>
      <c r="BD54" s="1" t="s">
        <v>667</v>
      </c>
      <c r="BE54" s="1" t="s">
        <v>668</v>
      </c>
      <c r="BF54" s="2" t="str">
        <f>HYPERLINK("http://dx.doi.org/10.1371/journal.pone.0304272","http://dx.doi.org/10.1371/journal.pone.0304272")</f>
        <v>http://dx.doi.org/10.1371/journal.pone.0304272</v>
      </c>
      <c r="BG54" s="1" t="s">
        <v>74</v>
      </c>
      <c r="BH54" s="1" t="s">
        <v>74</v>
      </c>
      <c r="BI54" s="1" t="s">
        <v>74</v>
      </c>
      <c r="BJ54" s="1" t="s">
        <v>74</v>
      </c>
      <c r="BK54" s="1" t="s">
        <v>74</v>
      </c>
      <c r="BL54" s="1" t="s">
        <v>74</v>
      </c>
      <c r="BM54" s="1" t="s">
        <v>74</v>
      </c>
      <c r="BN54" s="1">
        <v>3.884321E7</v>
      </c>
      <c r="BO54" s="1" t="s">
        <v>74</v>
      </c>
      <c r="BP54" s="1" t="s">
        <v>74</v>
      </c>
      <c r="BQ54" s="1" t="s">
        <v>74</v>
      </c>
      <c r="BR54" s="1" t="s">
        <v>74</v>
      </c>
      <c r="BS54" s="1" t="s">
        <v>669</v>
      </c>
      <c r="BT54" s="1" t="str">
        <f>HYPERLINK("https%3A%2F%2Fwww.webofscience.com%2Fwos%2Fwoscc%2Ffull-record%2FWOS:001241954400047","View Full Record in Web of Science")</f>
        <v>View Full Record in Web of Science</v>
      </c>
    </row>
    <row r="55" ht="12.75" customHeight="1">
      <c r="A55" s="1" t="s">
        <v>72</v>
      </c>
      <c r="B55" s="1" t="s">
        <v>670</v>
      </c>
      <c r="C55" s="1" t="s">
        <v>74</v>
      </c>
      <c r="D55" s="1" t="s">
        <v>74</v>
      </c>
      <c r="E55" s="1" t="s">
        <v>74</v>
      </c>
      <c r="F55" s="1" t="s">
        <v>671</v>
      </c>
      <c r="G55" s="1" t="s">
        <v>74</v>
      </c>
      <c r="H55" s="1" t="s">
        <v>74</v>
      </c>
      <c r="I55" s="1" t="s">
        <v>672</v>
      </c>
      <c r="J55" s="1" t="s">
        <v>395</v>
      </c>
      <c r="K55" s="1" t="s">
        <v>74</v>
      </c>
      <c r="L55" s="1" t="s">
        <v>74</v>
      </c>
      <c r="M55" s="1" t="s">
        <v>74</v>
      </c>
      <c r="N55" s="1" t="s">
        <v>74</v>
      </c>
      <c r="O55" s="1" t="s">
        <v>74</v>
      </c>
      <c r="P55" s="1" t="s">
        <v>74</v>
      </c>
      <c r="Q55" s="1" t="s">
        <v>74</v>
      </c>
      <c r="R55" s="1" t="s">
        <v>74</v>
      </c>
      <c r="S55" s="1" t="s">
        <v>74</v>
      </c>
      <c r="T55" s="1" t="s">
        <v>74</v>
      </c>
      <c r="U55" s="1" t="s">
        <v>74</v>
      </c>
      <c r="V55" s="1" t="s">
        <v>673</v>
      </c>
      <c r="W55" s="1" t="s">
        <v>74</v>
      </c>
      <c r="X55" s="1" t="s">
        <v>74</v>
      </c>
      <c r="Y55" s="1" t="s">
        <v>74</v>
      </c>
      <c r="Z55" s="1" t="s">
        <v>74</v>
      </c>
      <c r="AA55" s="1" t="s">
        <v>674</v>
      </c>
      <c r="AB55" s="1" t="s">
        <v>675</v>
      </c>
      <c r="AC55" s="1" t="s">
        <v>74</v>
      </c>
      <c r="AD55" s="1" t="s">
        <v>74</v>
      </c>
      <c r="AE55" s="1" t="s">
        <v>74</v>
      </c>
      <c r="AF55" s="1" t="s">
        <v>74</v>
      </c>
      <c r="AG55" s="1" t="s">
        <v>74</v>
      </c>
      <c r="AH55" s="1" t="s">
        <v>74</v>
      </c>
      <c r="AI55" s="1" t="s">
        <v>74</v>
      </c>
      <c r="AJ55" s="1" t="s">
        <v>74</v>
      </c>
      <c r="AK55" s="1" t="s">
        <v>74</v>
      </c>
      <c r="AL55" s="1" t="s">
        <v>74</v>
      </c>
      <c r="AM55" s="1" t="s">
        <v>74</v>
      </c>
      <c r="AN55" s="1" t="s">
        <v>74</v>
      </c>
      <c r="AO55" s="1" t="s">
        <v>399</v>
      </c>
      <c r="AP55" s="1" t="s">
        <v>400</v>
      </c>
      <c r="AQ55" s="1" t="s">
        <v>74</v>
      </c>
      <c r="AR55" s="1" t="s">
        <v>74</v>
      </c>
      <c r="AS55" s="1" t="s">
        <v>74</v>
      </c>
      <c r="AT55" s="1" t="s">
        <v>130</v>
      </c>
      <c r="AU55" s="1">
        <v>2023.0</v>
      </c>
      <c r="AV55" s="1">
        <v>526.0</v>
      </c>
      <c r="AW55" s="1">
        <v>1.0</v>
      </c>
      <c r="AX55" s="1" t="s">
        <v>74</v>
      </c>
      <c r="AY55" s="1" t="s">
        <v>74</v>
      </c>
      <c r="AZ55" s="1" t="s">
        <v>74</v>
      </c>
      <c r="BA55" s="1" t="s">
        <v>74</v>
      </c>
      <c r="BB55" s="1" t="s">
        <v>676</v>
      </c>
      <c r="BC55" s="1" t="s">
        <v>677</v>
      </c>
      <c r="BD55" s="1" t="s">
        <v>74</v>
      </c>
      <c r="BE55" s="1" t="s">
        <v>678</v>
      </c>
      <c r="BF55" s="2" t="str">
        <f>HYPERLINK("http://dx.doi.org/10.1093/mnrasl/slad130","http://dx.doi.org/10.1093/mnrasl/slad130")</f>
        <v>http://dx.doi.org/10.1093/mnrasl/slad130</v>
      </c>
      <c r="BG55" s="1" t="s">
        <v>74</v>
      </c>
      <c r="BH55" s="1" t="s">
        <v>679</v>
      </c>
      <c r="BI55" s="1" t="s">
        <v>74</v>
      </c>
      <c r="BJ55" s="1" t="s">
        <v>74</v>
      </c>
      <c r="BK55" s="1" t="s">
        <v>74</v>
      </c>
      <c r="BL55" s="1" t="s">
        <v>74</v>
      </c>
      <c r="BM55" s="1" t="s">
        <v>74</v>
      </c>
      <c r="BN55" s="1" t="s">
        <v>74</v>
      </c>
      <c r="BO55" s="1" t="s">
        <v>74</v>
      </c>
      <c r="BP55" s="1" t="s">
        <v>74</v>
      </c>
      <c r="BQ55" s="1" t="s">
        <v>74</v>
      </c>
      <c r="BR55" s="1" t="s">
        <v>74</v>
      </c>
      <c r="BS55" s="1" t="s">
        <v>680</v>
      </c>
      <c r="BT55" s="1" t="str">
        <f>HYPERLINK("https%3A%2F%2Fwww.webofscience.com%2Fwos%2Fwoscc%2Ffull-record%2FWOS:001152583500023","View Full Record in Web of Science")</f>
        <v>View Full Record in Web of Science</v>
      </c>
    </row>
    <row r="56" ht="12.75" customHeight="1">
      <c r="A56" s="1" t="s">
        <v>72</v>
      </c>
      <c r="B56" s="1" t="s">
        <v>681</v>
      </c>
      <c r="C56" s="1" t="s">
        <v>74</v>
      </c>
      <c r="D56" s="1" t="s">
        <v>74</v>
      </c>
      <c r="E56" s="1" t="s">
        <v>74</v>
      </c>
      <c r="F56" s="1" t="s">
        <v>682</v>
      </c>
      <c r="G56" s="1" t="s">
        <v>74</v>
      </c>
      <c r="H56" s="1" t="s">
        <v>74</v>
      </c>
      <c r="I56" s="1" t="s">
        <v>683</v>
      </c>
      <c r="J56" s="1" t="s">
        <v>684</v>
      </c>
      <c r="K56" s="1" t="s">
        <v>74</v>
      </c>
      <c r="L56" s="1" t="s">
        <v>74</v>
      </c>
      <c r="M56" s="1" t="s">
        <v>74</v>
      </c>
      <c r="N56" s="1" t="s">
        <v>74</v>
      </c>
      <c r="O56" s="1" t="s">
        <v>74</v>
      </c>
      <c r="P56" s="1" t="s">
        <v>74</v>
      </c>
      <c r="Q56" s="1" t="s">
        <v>74</v>
      </c>
      <c r="R56" s="1" t="s">
        <v>74</v>
      </c>
      <c r="S56" s="1" t="s">
        <v>74</v>
      </c>
      <c r="T56" s="1" t="s">
        <v>74</v>
      </c>
      <c r="U56" s="1" t="s">
        <v>74</v>
      </c>
      <c r="V56" s="1" t="s">
        <v>685</v>
      </c>
      <c r="W56" s="1" t="s">
        <v>74</v>
      </c>
      <c r="X56" s="1" t="s">
        <v>74</v>
      </c>
      <c r="Y56" s="1" t="s">
        <v>74</v>
      </c>
      <c r="Z56" s="1" t="s">
        <v>74</v>
      </c>
      <c r="AA56" s="1" t="s">
        <v>686</v>
      </c>
      <c r="AB56" s="1" t="s">
        <v>687</v>
      </c>
      <c r="AC56" s="1" t="s">
        <v>74</v>
      </c>
      <c r="AD56" s="1" t="s">
        <v>74</v>
      </c>
      <c r="AE56" s="1" t="s">
        <v>74</v>
      </c>
      <c r="AF56" s="1" t="s">
        <v>74</v>
      </c>
      <c r="AG56" s="1" t="s">
        <v>74</v>
      </c>
      <c r="AH56" s="1" t="s">
        <v>74</v>
      </c>
      <c r="AI56" s="1" t="s">
        <v>74</v>
      </c>
      <c r="AJ56" s="1" t="s">
        <v>74</v>
      </c>
      <c r="AK56" s="1" t="s">
        <v>74</v>
      </c>
      <c r="AL56" s="1" t="s">
        <v>74</v>
      </c>
      <c r="AM56" s="1" t="s">
        <v>74</v>
      </c>
      <c r="AN56" s="1" t="s">
        <v>74</v>
      </c>
      <c r="AO56" s="1" t="s">
        <v>688</v>
      </c>
      <c r="AP56" s="1" t="s">
        <v>689</v>
      </c>
      <c r="AQ56" s="1" t="s">
        <v>74</v>
      </c>
      <c r="AR56" s="1" t="s">
        <v>74</v>
      </c>
      <c r="AS56" s="1" t="s">
        <v>74</v>
      </c>
      <c r="AT56" s="1" t="s">
        <v>275</v>
      </c>
      <c r="AU56" s="1">
        <v>2021.0</v>
      </c>
      <c r="AV56" s="1">
        <v>161.0</v>
      </c>
      <c r="AW56" s="1">
        <v>3.0</v>
      </c>
      <c r="AX56" s="1" t="s">
        <v>74</v>
      </c>
      <c r="AY56" s="1" t="s">
        <v>74</v>
      </c>
      <c r="AZ56" s="1" t="s">
        <v>74</v>
      </c>
      <c r="BA56" s="1" t="s">
        <v>74</v>
      </c>
      <c r="BB56" s="1" t="s">
        <v>74</v>
      </c>
      <c r="BC56" s="1" t="s">
        <v>74</v>
      </c>
      <c r="BD56" s="1">
        <v>141.0</v>
      </c>
      <c r="BE56" s="1" t="s">
        <v>690</v>
      </c>
      <c r="BF56" s="2" t="str">
        <f>HYPERLINK("http://dx.doi.org/10.3847/1538-3881/abd5c1","http://dx.doi.org/10.3847/1538-3881/abd5c1")</f>
        <v>http://dx.doi.org/10.3847/1538-3881/abd5c1</v>
      </c>
      <c r="BG56" s="1" t="s">
        <v>74</v>
      </c>
      <c r="BH56" s="1" t="s">
        <v>74</v>
      </c>
      <c r="BI56" s="1" t="s">
        <v>74</v>
      </c>
      <c r="BJ56" s="1" t="s">
        <v>74</v>
      </c>
      <c r="BK56" s="1" t="s">
        <v>74</v>
      </c>
      <c r="BL56" s="1" t="s">
        <v>74</v>
      </c>
      <c r="BM56" s="1" t="s">
        <v>74</v>
      </c>
      <c r="BN56" s="1" t="s">
        <v>74</v>
      </c>
      <c r="BO56" s="1" t="s">
        <v>74</v>
      </c>
      <c r="BP56" s="1" t="s">
        <v>74</v>
      </c>
      <c r="BQ56" s="1" t="s">
        <v>74</v>
      </c>
      <c r="BR56" s="1" t="s">
        <v>74</v>
      </c>
      <c r="BS56" s="1" t="s">
        <v>691</v>
      </c>
      <c r="BT56" s="1" t="str">
        <f>HYPERLINK("https%3A%2F%2Fwww.webofscience.com%2Fwos%2Fwoscc%2Ffull-record%2FWOS:000620974000001","View Full Record in Web of Science")</f>
        <v>View Full Record in Web of Science</v>
      </c>
    </row>
    <row r="57" ht="12.75" customHeight="1">
      <c r="A57" s="1" t="s">
        <v>72</v>
      </c>
      <c r="B57" s="1" t="s">
        <v>692</v>
      </c>
      <c r="C57" s="1" t="s">
        <v>74</v>
      </c>
      <c r="D57" s="1" t="s">
        <v>74</v>
      </c>
      <c r="E57" s="1" t="s">
        <v>74</v>
      </c>
      <c r="F57" s="1" t="s">
        <v>693</v>
      </c>
      <c r="G57" s="1" t="s">
        <v>74</v>
      </c>
      <c r="H57" s="1" t="s">
        <v>74</v>
      </c>
      <c r="I57" s="1" t="s">
        <v>694</v>
      </c>
      <c r="J57" s="1" t="s">
        <v>395</v>
      </c>
      <c r="K57" s="1" t="s">
        <v>74</v>
      </c>
      <c r="L57" s="1" t="s">
        <v>74</v>
      </c>
      <c r="M57" s="1" t="s">
        <v>74</v>
      </c>
      <c r="N57" s="1" t="s">
        <v>74</v>
      </c>
      <c r="O57" s="1" t="s">
        <v>74</v>
      </c>
      <c r="P57" s="1" t="s">
        <v>74</v>
      </c>
      <c r="Q57" s="1" t="s">
        <v>74</v>
      </c>
      <c r="R57" s="1" t="s">
        <v>74</v>
      </c>
      <c r="S57" s="1" t="s">
        <v>74</v>
      </c>
      <c r="T57" s="1" t="s">
        <v>74</v>
      </c>
      <c r="U57" s="1" t="s">
        <v>74</v>
      </c>
      <c r="V57" s="1" t="s">
        <v>695</v>
      </c>
      <c r="W57" s="1" t="s">
        <v>74</v>
      </c>
      <c r="X57" s="1" t="s">
        <v>74</v>
      </c>
      <c r="Y57" s="1" t="s">
        <v>74</v>
      </c>
      <c r="Z57" s="1" t="s">
        <v>74</v>
      </c>
      <c r="AA57" s="1" t="s">
        <v>696</v>
      </c>
      <c r="AB57" s="1" t="s">
        <v>697</v>
      </c>
      <c r="AC57" s="1" t="s">
        <v>74</v>
      </c>
      <c r="AD57" s="1" t="s">
        <v>74</v>
      </c>
      <c r="AE57" s="1" t="s">
        <v>74</v>
      </c>
      <c r="AF57" s="1" t="s">
        <v>74</v>
      </c>
      <c r="AG57" s="1" t="s">
        <v>74</v>
      </c>
      <c r="AH57" s="1" t="s">
        <v>74</v>
      </c>
      <c r="AI57" s="1" t="s">
        <v>74</v>
      </c>
      <c r="AJ57" s="1" t="s">
        <v>74</v>
      </c>
      <c r="AK57" s="1" t="s">
        <v>74</v>
      </c>
      <c r="AL57" s="1" t="s">
        <v>74</v>
      </c>
      <c r="AM57" s="1" t="s">
        <v>74</v>
      </c>
      <c r="AN57" s="1" t="s">
        <v>74</v>
      </c>
      <c r="AO57" s="1" t="s">
        <v>399</v>
      </c>
      <c r="AP57" s="1" t="s">
        <v>400</v>
      </c>
      <c r="AQ57" s="1" t="s">
        <v>74</v>
      </c>
      <c r="AR57" s="1" t="s">
        <v>74</v>
      </c>
      <c r="AS57" s="1" t="s">
        <v>74</v>
      </c>
      <c r="AT57" s="1" t="s">
        <v>119</v>
      </c>
      <c r="AU57" s="1">
        <v>2021.0</v>
      </c>
      <c r="AV57" s="1">
        <v>501.0</v>
      </c>
      <c r="AW57" s="1">
        <v>2.0</v>
      </c>
      <c r="AX57" s="1" t="s">
        <v>74</v>
      </c>
      <c r="AY57" s="1" t="s">
        <v>74</v>
      </c>
      <c r="AZ57" s="1" t="s">
        <v>74</v>
      </c>
      <c r="BA57" s="1" t="s">
        <v>74</v>
      </c>
      <c r="BB57" s="1">
        <v>2305.0</v>
      </c>
      <c r="BC57" s="1">
        <v>2315.0</v>
      </c>
      <c r="BD57" s="1" t="s">
        <v>74</v>
      </c>
      <c r="BE57" s="1" t="s">
        <v>698</v>
      </c>
      <c r="BF57" s="2" t="str">
        <f>HYPERLINK("http://dx.doi.org/10.1093/mnras/staa3674","http://dx.doi.org/10.1093/mnras/staa3674")</f>
        <v>http://dx.doi.org/10.1093/mnras/staa3674</v>
      </c>
      <c r="BG57" s="1" t="s">
        <v>74</v>
      </c>
      <c r="BH57" s="1" t="s">
        <v>368</v>
      </c>
      <c r="BI57" s="1" t="s">
        <v>74</v>
      </c>
      <c r="BJ57" s="1" t="s">
        <v>74</v>
      </c>
      <c r="BK57" s="1" t="s">
        <v>74</v>
      </c>
      <c r="BL57" s="1" t="s">
        <v>74</v>
      </c>
      <c r="BM57" s="1" t="s">
        <v>74</v>
      </c>
      <c r="BN57" s="1" t="s">
        <v>74</v>
      </c>
      <c r="BO57" s="1" t="s">
        <v>74</v>
      </c>
      <c r="BP57" s="1" t="s">
        <v>74</v>
      </c>
      <c r="BQ57" s="1" t="s">
        <v>74</v>
      </c>
      <c r="BR57" s="1" t="s">
        <v>74</v>
      </c>
      <c r="BS57" s="1" t="s">
        <v>699</v>
      </c>
      <c r="BT57" s="1" t="str">
        <f>HYPERLINK("https%3A%2F%2Fwww.webofscience.com%2Fwos%2Fwoscc%2Ffull-record%2FWOS:000608475600050","View Full Record in Web of Science")</f>
        <v>View Full Record in Web of Science</v>
      </c>
    </row>
    <row r="58" ht="12.75" customHeight="1">
      <c r="A58" s="1" t="s">
        <v>72</v>
      </c>
      <c r="B58" s="1" t="s">
        <v>700</v>
      </c>
      <c r="C58" s="1" t="s">
        <v>74</v>
      </c>
      <c r="D58" s="1" t="s">
        <v>74</v>
      </c>
      <c r="E58" s="1" t="s">
        <v>74</v>
      </c>
      <c r="F58" s="1" t="s">
        <v>701</v>
      </c>
      <c r="G58" s="1" t="s">
        <v>74</v>
      </c>
      <c r="H58" s="1" t="s">
        <v>74</v>
      </c>
      <c r="I58" s="1" t="s">
        <v>702</v>
      </c>
      <c r="J58" s="1" t="s">
        <v>703</v>
      </c>
      <c r="K58" s="1" t="s">
        <v>74</v>
      </c>
      <c r="L58" s="1" t="s">
        <v>74</v>
      </c>
      <c r="M58" s="1" t="s">
        <v>74</v>
      </c>
      <c r="N58" s="1" t="s">
        <v>74</v>
      </c>
      <c r="O58" s="1" t="s">
        <v>74</v>
      </c>
      <c r="P58" s="1" t="s">
        <v>74</v>
      </c>
      <c r="Q58" s="1" t="s">
        <v>74</v>
      </c>
      <c r="R58" s="1" t="s">
        <v>74</v>
      </c>
      <c r="S58" s="1" t="s">
        <v>74</v>
      </c>
      <c r="T58" s="1" t="s">
        <v>74</v>
      </c>
      <c r="U58" s="1" t="s">
        <v>74</v>
      </c>
      <c r="V58" s="1" t="s">
        <v>704</v>
      </c>
      <c r="W58" s="1" t="s">
        <v>74</v>
      </c>
      <c r="X58" s="1" t="s">
        <v>74</v>
      </c>
      <c r="Y58" s="1" t="s">
        <v>74</v>
      </c>
      <c r="Z58" s="1" t="s">
        <v>74</v>
      </c>
      <c r="AA58" s="1" t="s">
        <v>705</v>
      </c>
      <c r="AB58" s="1" t="s">
        <v>706</v>
      </c>
      <c r="AC58" s="1" t="s">
        <v>74</v>
      </c>
      <c r="AD58" s="1" t="s">
        <v>74</v>
      </c>
      <c r="AE58" s="1" t="s">
        <v>74</v>
      </c>
      <c r="AF58" s="1" t="s">
        <v>74</v>
      </c>
      <c r="AG58" s="1" t="s">
        <v>74</v>
      </c>
      <c r="AH58" s="1" t="s">
        <v>74</v>
      </c>
      <c r="AI58" s="1" t="s">
        <v>74</v>
      </c>
      <c r="AJ58" s="1" t="s">
        <v>74</v>
      </c>
      <c r="AK58" s="1" t="s">
        <v>74</v>
      </c>
      <c r="AL58" s="1" t="s">
        <v>74</v>
      </c>
      <c r="AM58" s="1" t="s">
        <v>74</v>
      </c>
      <c r="AN58" s="1" t="s">
        <v>74</v>
      </c>
      <c r="AO58" s="1" t="s">
        <v>707</v>
      </c>
      <c r="AP58" s="1" t="s">
        <v>708</v>
      </c>
      <c r="AQ58" s="1" t="s">
        <v>74</v>
      </c>
      <c r="AR58" s="1" t="s">
        <v>74</v>
      </c>
      <c r="AS58" s="1" t="s">
        <v>74</v>
      </c>
      <c r="AT58" s="1" t="s">
        <v>567</v>
      </c>
      <c r="AU58" s="1">
        <v>2022.0</v>
      </c>
      <c r="AV58" s="1">
        <v>29.0</v>
      </c>
      <c r="AW58" s="1">
        <v>1.0</v>
      </c>
      <c r="AX58" s="1" t="s">
        <v>74</v>
      </c>
      <c r="AY58" s="1" t="s">
        <v>74</v>
      </c>
      <c r="AZ58" s="1" t="s">
        <v>74</v>
      </c>
      <c r="BA58" s="1" t="s">
        <v>74</v>
      </c>
      <c r="BB58" s="1">
        <v>16.0</v>
      </c>
      <c r="BC58" s="1">
        <v>28.0</v>
      </c>
      <c r="BD58" s="1" t="s">
        <v>74</v>
      </c>
      <c r="BE58" s="1" t="s">
        <v>709</v>
      </c>
      <c r="BF58" s="2" t="str">
        <f>HYPERLINK("http://dx.doi.org/10.1101/lm.053413.121","http://dx.doi.org/10.1101/lm.053413.121")</f>
        <v>http://dx.doi.org/10.1101/lm.053413.121</v>
      </c>
      <c r="BG58" s="1" t="s">
        <v>74</v>
      </c>
      <c r="BH58" s="1" t="s">
        <v>74</v>
      </c>
      <c r="BI58" s="1" t="s">
        <v>74</v>
      </c>
      <c r="BJ58" s="1" t="s">
        <v>74</v>
      </c>
      <c r="BK58" s="1" t="s">
        <v>74</v>
      </c>
      <c r="BL58" s="1" t="s">
        <v>74</v>
      </c>
      <c r="BM58" s="1" t="s">
        <v>74</v>
      </c>
      <c r="BN58" s="1">
        <v>3.49118E7</v>
      </c>
      <c r="BO58" s="1" t="s">
        <v>74</v>
      </c>
      <c r="BP58" s="1" t="s">
        <v>74</v>
      </c>
      <c r="BQ58" s="1" t="s">
        <v>74</v>
      </c>
      <c r="BR58" s="1" t="s">
        <v>74</v>
      </c>
      <c r="BS58" s="1" t="s">
        <v>710</v>
      </c>
      <c r="BT58" s="1" t="str">
        <f>HYPERLINK("https%3A%2F%2Fwww.webofscience.com%2Fwos%2Fwoscc%2Ffull-record%2FWOS:000731863300003","View Full Record in Web of Science")</f>
        <v>View Full Record in Web of Science</v>
      </c>
    </row>
    <row r="59" ht="12.75" customHeight="1">
      <c r="A59" s="1" t="s">
        <v>72</v>
      </c>
      <c r="B59" s="1" t="s">
        <v>711</v>
      </c>
      <c r="C59" s="1" t="s">
        <v>74</v>
      </c>
      <c r="D59" s="1" t="s">
        <v>74</v>
      </c>
      <c r="E59" s="1" t="s">
        <v>74</v>
      </c>
      <c r="F59" s="1" t="s">
        <v>712</v>
      </c>
      <c r="G59" s="1" t="s">
        <v>74</v>
      </c>
      <c r="H59" s="1" t="s">
        <v>74</v>
      </c>
      <c r="I59" s="1" t="s">
        <v>713</v>
      </c>
      <c r="J59" s="1" t="s">
        <v>395</v>
      </c>
      <c r="K59" s="1" t="s">
        <v>74</v>
      </c>
      <c r="L59" s="1" t="s">
        <v>74</v>
      </c>
      <c r="M59" s="1" t="s">
        <v>74</v>
      </c>
      <c r="N59" s="1" t="s">
        <v>74</v>
      </c>
      <c r="O59" s="1" t="s">
        <v>74</v>
      </c>
      <c r="P59" s="1" t="s">
        <v>74</v>
      </c>
      <c r="Q59" s="1" t="s">
        <v>74</v>
      </c>
      <c r="R59" s="1" t="s">
        <v>74</v>
      </c>
      <c r="S59" s="1" t="s">
        <v>74</v>
      </c>
      <c r="T59" s="1" t="s">
        <v>74</v>
      </c>
      <c r="U59" s="1" t="s">
        <v>74</v>
      </c>
      <c r="V59" s="1" t="s">
        <v>714</v>
      </c>
      <c r="W59" s="1" t="s">
        <v>74</v>
      </c>
      <c r="X59" s="1" t="s">
        <v>74</v>
      </c>
      <c r="Y59" s="1" t="s">
        <v>74</v>
      </c>
      <c r="Z59" s="1" t="s">
        <v>74</v>
      </c>
      <c r="AA59" s="1" t="s">
        <v>715</v>
      </c>
      <c r="AB59" s="1" t="s">
        <v>716</v>
      </c>
      <c r="AC59" s="1" t="s">
        <v>74</v>
      </c>
      <c r="AD59" s="1" t="s">
        <v>74</v>
      </c>
      <c r="AE59" s="1" t="s">
        <v>74</v>
      </c>
      <c r="AF59" s="1" t="s">
        <v>74</v>
      </c>
      <c r="AG59" s="1" t="s">
        <v>74</v>
      </c>
      <c r="AH59" s="1" t="s">
        <v>74</v>
      </c>
      <c r="AI59" s="1" t="s">
        <v>74</v>
      </c>
      <c r="AJ59" s="1" t="s">
        <v>74</v>
      </c>
      <c r="AK59" s="1" t="s">
        <v>74</v>
      </c>
      <c r="AL59" s="1" t="s">
        <v>74</v>
      </c>
      <c r="AM59" s="1" t="s">
        <v>74</v>
      </c>
      <c r="AN59" s="1" t="s">
        <v>74</v>
      </c>
      <c r="AO59" s="1" t="s">
        <v>399</v>
      </c>
      <c r="AP59" s="1" t="s">
        <v>400</v>
      </c>
      <c r="AQ59" s="1" t="s">
        <v>74</v>
      </c>
      <c r="AR59" s="1" t="s">
        <v>74</v>
      </c>
      <c r="AS59" s="1" t="s">
        <v>74</v>
      </c>
      <c r="AT59" s="1" t="s">
        <v>119</v>
      </c>
      <c r="AU59" s="1">
        <v>2021.0</v>
      </c>
      <c r="AV59" s="1">
        <v>501.0</v>
      </c>
      <c r="AW59" s="1">
        <v>2.0</v>
      </c>
      <c r="AX59" s="1" t="s">
        <v>74</v>
      </c>
      <c r="AY59" s="1" t="s">
        <v>74</v>
      </c>
      <c r="AZ59" s="1" t="s">
        <v>74</v>
      </c>
      <c r="BA59" s="1" t="s">
        <v>74</v>
      </c>
      <c r="BB59" s="1">
        <v>2934.0</v>
      </c>
      <c r="BC59" s="1">
        <v>2953.0</v>
      </c>
      <c r="BD59" s="1" t="s">
        <v>74</v>
      </c>
      <c r="BE59" s="1" t="s">
        <v>717</v>
      </c>
      <c r="BF59" s="2" t="str">
        <f>HYPERLINK("http://dx.doi.org/10.1093/mnras/staa3787","http://dx.doi.org/10.1093/mnras/staa3787")</f>
        <v>http://dx.doi.org/10.1093/mnras/staa3787</v>
      </c>
      <c r="BG59" s="1" t="s">
        <v>74</v>
      </c>
      <c r="BH59" s="1" t="s">
        <v>368</v>
      </c>
      <c r="BI59" s="1" t="s">
        <v>74</v>
      </c>
      <c r="BJ59" s="1" t="s">
        <v>74</v>
      </c>
      <c r="BK59" s="1" t="s">
        <v>74</v>
      </c>
      <c r="BL59" s="1" t="s">
        <v>74</v>
      </c>
      <c r="BM59" s="1" t="s">
        <v>74</v>
      </c>
      <c r="BN59" s="1" t="s">
        <v>74</v>
      </c>
      <c r="BO59" s="1" t="s">
        <v>74</v>
      </c>
      <c r="BP59" s="1" t="s">
        <v>74</v>
      </c>
      <c r="BQ59" s="1" t="s">
        <v>74</v>
      </c>
      <c r="BR59" s="1" t="s">
        <v>74</v>
      </c>
      <c r="BS59" s="1" t="s">
        <v>718</v>
      </c>
      <c r="BT59" s="1" t="str">
        <f>HYPERLINK("https%3A%2F%2Fwww.webofscience.com%2Fwos%2Fwoscc%2Ffull-record%2FWOS:000608475600097","View Full Record in Web of Science")</f>
        <v>View Full Record in Web of Science</v>
      </c>
    </row>
    <row r="60" ht="12.75" customHeight="1">
      <c r="A60" s="1" t="s">
        <v>72</v>
      </c>
      <c r="B60" s="1" t="s">
        <v>719</v>
      </c>
      <c r="C60" s="1" t="s">
        <v>74</v>
      </c>
      <c r="D60" s="1" t="s">
        <v>74</v>
      </c>
      <c r="E60" s="1" t="s">
        <v>74</v>
      </c>
      <c r="F60" s="1" t="s">
        <v>720</v>
      </c>
      <c r="G60" s="1" t="s">
        <v>74</v>
      </c>
      <c r="H60" s="1" t="s">
        <v>74</v>
      </c>
      <c r="I60" s="1" t="s">
        <v>721</v>
      </c>
      <c r="J60" s="1" t="s">
        <v>722</v>
      </c>
      <c r="K60" s="1" t="s">
        <v>74</v>
      </c>
      <c r="L60" s="1" t="s">
        <v>74</v>
      </c>
      <c r="M60" s="1" t="s">
        <v>74</v>
      </c>
      <c r="N60" s="1" t="s">
        <v>74</v>
      </c>
      <c r="O60" s="1" t="s">
        <v>74</v>
      </c>
      <c r="P60" s="1" t="s">
        <v>74</v>
      </c>
      <c r="Q60" s="1" t="s">
        <v>74</v>
      </c>
      <c r="R60" s="1" t="s">
        <v>74</v>
      </c>
      <c r="S60" s="1" t="s">
        <v>74</v>
      </c>
      <c r="T60" s="1" t="s">
        <v>74</v>
      </c>
      <c r="U60" s="1" t="s">
        <v>74</v>
      </c>
      <c r="V60" s="1" t="s">
        <v>723</v>
      </c>
      <c r="W60" s="1" t="s">
        <v>74</v>
      </c>
      <c r="X60" s="1" t="s">
        <v>74</v>
      </c>
      <c r="Y60" s="1" t="s">
        <v>74</v>
      </c>
      <c r="Z60" s="1" t="s">
        <v>74</v>
      </c>
      <c r="AA60" s="1" t="s">
        <v>724</v>
      </c>
      <c r="AB60" s="1" t="s">
        <v>725</v>
      </c>
      <c r="AC60" s="1" t="s">
        <v>74</v>
      </c>
      <c r="AD60" s="1" t="s">
        <v>74</v>
      </c>
      <c r="AE60" s="1" t="s">
        <v>74</v>
      </c>
      <c r="AF60" s="1" t="s">
        <v>74</v>
      </c>
      <c r="AG60" s="1" t="s">
        <v>74</v>
      </c>
      <c r="AH60" s="1" t="s">
        <v>74</v>
      </c>
      <c r="AI60" s="1" t="s">
        <v>74</v>
      </c>
      <c r="AJ60" s="1" t="s">
        <v>74</v>
      </c>
      <c r="AK60" s="1" t="s">
        <v>74</v>
      </c>
      <c r="AL60" s="1" t="s">
        <v>74</v>
      </c>
      <c r="AM60" s="1" t="s">
        <v>74</v>
      </c>
      <c r="AN60" s="1" t="s">
        <v>74</v>
      </c>
      <c r="AO60" s="1" t="s">
        <v>726</v>
      </c>
      <c r="AP60" s="1" t="s">
        <v>727</v>
      </c>
      <c r="AQ60" s="1" t="s">
        <v>74</v>
      </c>
      <c r="AR60" s="1" t="s">
        <v>74</v>
      </c>
      <c r="AS60" s="1" t="s">
        <v>74</v>
      </c>
      <c r="AT60" s="1" t="s">
        <v>188</v>
      </c>
      <c r="AU60" s="1">
        <v>2020.0</v>
      </c>
      <c r="AV60" s="1">
        <v>143.0</v>
      </c>
      <c r="AW60" s="1" t="s">
        <v>74</v>
      </c>
      <c r="AX60" s="1" t="s">
        <v>74</v>
      </c>
      <c r="AY60" s="1" t="s">
        <v>74</v>
      </c>
      <c r="AZ60" s="1" t="s">
        <v>74</v>
      </c>
      <c r="BA60" s="1" t="s">
        <v>74</v>
      </c>
      <c r="BB60" s="1" t="s">
        <v>74</v>
      </c>
      <c r="BC60" s="1" t="s">
        <v>74</v>
      </c>
      <c r="BD60" s="1">
        <v>105584.0</v>
      </c>
      <c r="BE60" s="1" t="s">
        <v>728</v>
      </c>
      <c r="BF60" s="2" t="str">
        <f>HYPERLINK("http://dx.doi.org/10.1016/j.bandc.2020.105584","http://dx.doi.org/10.1016/j.bandc.2020.105584")</f>
        <v>http://dx.doi.org/10.1016/j.bandc.2020.105584</v>
      </c>
      <c r="BG60" s="1" t="s">
        <v>74</v>
      </c>
      <c r="BH60" s="1" t="s">
        <v>74</v>
      </c>
      <c r="BI60" s="1" t="s">
        <v>74</v>
      </c>
      <c r="BJ60" s="1" t="s">
        <v>74</v>
      </c>
      <c r="BK60" s="1" t="s">
        <v>74</v>
      </c>
      <c r="BL60" s="1" t="s">
        <v>74</v>
      </c>
      <c r="BM60" s="1" t="s">
        <v>74</v>
      </c>
      <c r="BN60" s="1">
        <v>3.248546E7</v>
      </c>
      <c r="BO60" s="1" t="s">
        <v>74</v>
      </c>
      <c r="BP60" s="1" t="s">
        <v>74</v>
      </c>
      <c r="BQ60" s="1" t="s">
        <v>74</v>
      </c>
      <c r="BR60" s="1" t="s">
        <v>74</v>
      </c>
      <c r="BS60" s="1" t="s">
        <v>729</v>
      </c>
      <c r="BT60" s="1" t="str">
        <f>HYPERLINK("https%3A%2F%2Fwww.webofscience.com%2Fwos%2Fwoscc%2Ffull-record%2FWOS:000553442700001","View Full Record in Web of Science")</f>
        <v>View Full Record in Web of Science</v>
      </c>
    </row>
    <row r="61" ht="12.75" customHeight="1">
      <c r="A61" s="1" t="s">
        <v>72</v>
      </c>
      <c r="B61" s="1" t="s">
        <v>730</v>
      </c>
      <c r="C61" s="1" t="s">
        <v>74</v>
      </c>
      <c r="D61" s="1" t="s">
        <v>74</v>
      </c>
      <c r="E61" s="1" t="s">
        <v>74</v>
      </c>
      <c r="F61" s="1" t="s">
        <v>731</v>
      </c>
      <c r="G61" s="1" t="s">
        <v>74</v>
      </c>
      <c r="H61" s="1" t="s">
        <v>74</v>
      </c>
      <c r="I61" s="1" t="s">
        <v>732</v>
      </c>
      <c r="J61" s="1" t="s">
        <v>733</v>
      </c>
      <c r="K61" s="1" t="s">
        <v>74</v>
      </c>
      <c r="L61" s="1" t="s">
        <v>74</v>
      </c>
      <c r="M61" s="1" t="s">
        <v>74</v>
      </c>
      <c r="N61" s="1" t="s">
        <v>74</v>
      </c>
      <c r="O61" s="1" t="s">
        <v>74</v>
      </c>
      <c r="P61" s="1" t="s">
        <v>74</v>
      </c>
      <c r="Q61" s="1" t="s">
        <v>74</v>
      </c>
      <c r="R61" s="1" t="s">
        <v>74</v>
      </c>
      <c r="S61" s="1" t="s">
        <v>74</v>
      </c>
      <c r="T61" s="1" t="s">
        <v>74</v>
      </c>
      <c r="U61" s="1" t="s">
        <v>74</v>
      </c>
      <c r="V61" s="1" t="s">
        <v>734</v>
      </c>
      <c r="W61" s="1" t="s">
        <v>74</v>
      </c>
      <c r="X61" s="1" t="s">
        <v>74</v>
      </c>
      <c r="Y61" s="1" t="s">
        <v>74</v>
      </c>
      <c r="Z61" s="1" t="s">
        <v>74</v>
      </c>
      <c r="AA61" s="1" t="s">
        <v>735</v>
      </c>
      <c r="AB61" s="1" t="s">
        <v>736</v>
      </c>
      <c r="AC61" s="1" t="s">
        <v>74</v>
      </c>
      <c r="AD61" s="1" t="s">
        <v>74</v>
      </c>
      <c r="AE61" s="1" t="s">
        <v>74</v>
      </c>
      <c r="AF61" s="1" t="s">
        <v>74</v>
      </c>
      <c r="AG61" s="1" t="s">
        <v>74</v>
      </c>
      <c r="AH61" s="1" t="s">
        <v>74</v>
      </c>
      <c r="AI61" s="1" t="s">
        <v>74</v>
      </c>
      <c r="AJ61" s="1" t="s">
        <v>74</v>
      </c>
      <c r="AK61" s="1" t="s">
        <v>74</v>
      </c>
      <c r="AL61" s="1" t="s">
        <v>74</v>
      </c>
      <c r="AM61" s="1" t="s">
        <v>74</v>
      </c>
      <c r="AN61" s="1" t="s">
        <v>74</v>
      </c>
      <c r="AO61" s="1" t="s">
        <v>737</v>
      </c>
      <c r="AP61" s="1" t="s">
        <v>738</v>
      </c>
      <c r="AQ61" s="1" t="s">
        <v>74</v>
      </c>
      <c r="AR61" s="1" t="s">
        <v>74</v>
      </c>
      <c r="AS61" s="1" t="s">
        <v>74</v>
      </c>
      <c r="AT61" s="1" t="s">
        <v>739</v>
      </c>
      <c r="AU61" s="1">
        <v>2022.0</v>
      </c>
      <c r="AV61" s="1">
        <v>289.0</v>
      </c>
      <c r="AW61" s="1">
        <v>1982.0</v>
      </c>
      <c r="AX61" s="1" t="s">
        <v>74</v>
      </c>
      <c r="AY61" s="1" t="s">
        <v>74</v>
      </c>
      <c r="AZ61" s="1" t="s">
        <v>74</v>
      </c>
      <c r="BA61" s="1" t="s">
        <v>74</v>
      </c>
      <c r="BB61" s="1" t="s">
        <v>74</v>
      </c>
      <c r="BC61" s="1" t="s">
        <v>74</v>
      </c>
      <c r="BD61" s="1">
        <v>2.0220978E7</v>
      </c>
      <c r="BE61" s="1" t="s">
        <v>740</v>
      </c>
      <c r="BF61" s="2" t="str">
        <f>HYPERLINK("http://dx.doi.org/10.1098/rspb.2022.0978","http://dx.doi.org/10.1098/rspb.2022.0978")</f>
        <v>http://dx.doi.org/10.1098/rspb.2022.0978</v>
      </c>
      <c r="BG61" s="1" t="s">
        <v>74</v>
      </c>
      <c r="BH61" s="1" t="s">
        <v>74</v>
      </c>
      <c r="BI61" s="1" t="s">
        <v>74</v>
      </c>
      <c r="BJ61" s="1" t="s">
        <v>74</v>
      </c>
      <c r="BK61" s="1" t="s">
        <v>74</v>
      </c>
      <c r="BL61" s="1" t="s">
        <v>74</v>
      </c>
      <c r="BM61" s="1" t="s">
        <v>74</v>
      </c>
      <c r="BN61" s="1">
        <v>3.6069015E7</v>
      </c>
      <c r="BO61" s="1" t="s">
        <v>74</v>
      </c>
      <c r="BP61" s="1" t="s">
        <v>74</v>
      </c>
      <c r="BQ61" s="1" t="s">
        <v>74</v>
      </c>
      <c r="BR61" s="1" t="s">
        <v>74</v>
      </c>
      <c r="BS61" s="1" t="s">
        <v>741</v>
      </c>
      <c r="BT61" s="1" t="str">
        <f>HYPERLINK("https%3A%2F%2Fwww.webofscience.com%2Fwos%2Fwoscc%2Ffull-record%2FWOS:000876457100005","View Full Record in Web of Science")</f>
        <v>View Full Record in Web of Science</v>
      </c>
    </row>
    <row r="62" ht="12.75" customHeight="1">
      <c r="A62" s="1" t="s">
        <v>72</v>
      </c>
      <c r="B62" s="1" t="s">
        <v>742</v>
      </c>
      <c r="C62" s="1" t="s">
        <v>74</v>
      </c>
      <c r="D62" s="1" t="s">
        <v>74</v>
      </c>
      <c r="E62" s="1" t="s">
        <v>74</v>
      </c>
      <c r="F62" s="1" t="s">
        <v>743</v>
      </c>
      <c r="G62" s="1" t="s">
        <v>74</v>
      </c>
      <c r="H62" s="1" t="s">
        <v>74</v>
      </c>
      <c r="I62" s="1" t="s">
        <v>744</v>
      </c>
      <c r="J62" s="1" t="s">
        <v>269</v>
      </c>
      <c r="K62" s="1" t="s">
        <v>74</v>
      </c>
      <c r="L62" s="1" t="s">
        <v>74</v>
      </c>
      <c r="M62" s="1" t="s">
        <v>74</v>
      </c>
      <c r="N62" s="1" t="s">
        <v>74</v>
      </c>
      <c r="O62" s="1" t="s">
        <v>74</v>
      </c>
      <c r="P62" s="1" t="s">
        <v>74</v>
      </c>
      <c r="Q62" s="1" t="s">
        <v>74</v>
      </c>
      <c r="R62" s="1" t="s">
        <v>74</v>
      </c>
      <c r="S62" s="1" t="s">
        <v>74</v>
      </c>
      <c r="T62" s="1" t="s">
        <v>74</v>
      </c>
      <c r="U62" s="1" t="s">
        <v>74</v>
      </c>
      <c r="V62" s="1" t="s">
        <v>745</v>
      </c>
      <c r="W62" s="1" t="s">
        <v>74</v>
      </c>
      <c r="X62" s="1" t="s">
        <v>74</v>
      </c>
      <c r="Y62" s="1" t="s">
        <v>74</v>
      </c>
      <c r="Z62" s="1" t="s">
        <v>74</v>
      </c>
      <c r="AA62" s="1" t="s">
        <v>746</v>
      </c>
      <c r="AB62" s="1" t="s">
        <v>747</v>
      </c>
      <c r="AC62" s="1" t="s">
        <v>74</v>
      </c>
      <c r="AD62" s="1" t="s">
        <v>74</v>
      </c>
      <c r="AE62" s="1" t="s">
        <v>74</v>
      </c>
      <c r="AF62" s="1" t="s">
        <v>74</v>
      </c>
      <c r="AG62" s="1" t="s">
        <v>74</v>
      </c>
      <c r="AH62" s="1" t="s">
        <v>74</v>
      </c>
      <c r="AI62" s="1" t="s">
        <v>74</v>
      </c>
      <c r="AJ62" s="1" t="s">
        <v>74</v>
      </c>
      <c r="AK62" s="1" t="s">
        <v>74</v>
      </c>
      <c r="AL62" s="1" t="s">
        <v>74</v>
      </c>
      <c r="AM62" s="1" t="s">
        <v>74</v>
      </c>
      <c r="AN62" s="1" t="s">
        <v>74</v>
      </c>
      <c r="AO62" s="1" t="s">
        <v>273</v>
      </c>
      <c r="AP62" s="1" t="s">
        <v>274</v>
      </c>
      <c r="AQ62" s="1" t="s">
        <v>74</v>
      </c>
      <c r="AR62" s="1" t="s">
        <v>74</v>
      </c>
      <c r="AS62" s="1" t="s">
        <v>74</v>
      </c>
      <c r="AT62" s="1" t="s">
        <v>226</v>
      </c>
      <c r="AU62" s="1">
        <v>2022.0</v>
      </c>
      <c r="AV62" s="1">
        <v>56.0</v>
      </c>
      <c r="AW62" s="1">
        <v>12.0</v>
      </c>
      <c r="AX62" s="1" t="s">
        <v>74</v>
      </c>
      <c r="AY62" s="1" t="s">
        <v>74</v>
      </c>
      <c r="AZ62" s="1" t="s">
        <v>74</v>
      </c>
      <c r="BA62" s="1" t="s">
        <v>74</v>
      </c>
      <c r="BB62" s="1">
        <v>667.0</v>
      </c>
      <c r="BC62" s="1">
        <v>675.0</v>
      </c>
      <c r="BD62" s="1" t="s">
        <v>74</v>
      </c>
      <c r="BE62" s="1" t="s">
        <v>748</v>
      </c>
      <c r="BF62" s="2" t="str">
        <f>HYPERLINK("http://dx.doi.org/10.1136/bjsports-2021-104994","http://dx.doi.org/10.1136/bjsports-2021-104994")</f>
        <v>http://dx.doi.org/10.1136/bjsports-2021-104994</v>
      </c>
      <c r="BG62" s="1" t="s">
        <v>74</v>
      </c>
      <c r="BH62" s="1" t="s">
        <v>749</v>
      </c>
      <c r="BI62" s="1" t="s">
        <v>74</v>
      </c>
      <c r="BJ62" s="1" t="s">
        <v>74</v>
      </c>
      <c r="BK62" s="1" t="s">
        <v>74</v>
      </c>
      <c r="BL62" s="1" t="s">
        <v>74</v>
      </c>
      <c r="BM62" s="1" t="s">
        <v>74</v>
      </c>
      <c r="BN62" s="1">
        <v>3.5168957E7</v>
      </c>
      <c r="BO62" s="1" t="s">
        <v>74</v>
      </c>
      <c r="BP62" s="1" t="s">
        <v>74</v>
      </c>
      <c r="BQ62" s="1" t="s">
        <v>74</v>
      </c>
      <c r="BR62" s="1" t="s">
        <v>74</v>
      </c>
      <c r="BS62" s="1" t="s">
        <v>750</v>
      </c>
      <c r="BT62" s="1" t="str">
        <f>HYPERLINK("https%3A%2F%2Fwww.webofscience.com%2Fwos%2Fwoscc%2Ffull-record%2FWOS:000756893700001","View Full Record in Web of Science")</f>
        <v>View Full Record in Web of Science</v>
      </c>
    </row>
    <row r="63" ht="12.75" customHeight="1">
      <c r="A63" s="1" t="s">
        <v>72</v>
      </c>
      <c r="B63" s="1" t="s">
        <v>751</v>
      </c>
      <c r="C63" s="1" t="s">
        <v>74</v>
      </c>
      <c r="D63" s="1" t="s">
        <v>74</v>
      </c>
      <c r="E63" s="1" t="s">
        <v>74</v>
      </c>
      <c r="F63" s="1" t="s">
        <v>752</v>
      </c>
      <c r="G63" s="1" t="s">
        <v>74</v>
      </c>
      <c r="H63" s="1" t="s">
        <v>74</v>
      </c>
      <c r="I63" s="1" t="s">
        <v>753</v>
      </c>
      <c r="J63" s="1" t="s">
        <v>684</v>
      </c>
      <c r="K63" s="1" t="s">
        <v>74</v>
      </c>
      <c r="L63" s="1" t="s">
        <v>74</v>
      </c>
      <c r="M63" s="1" t="s">
        <v>74</v>
      </c>
      <c r="N63" s="1" t="s">
        <v>74</v>
      </c>
      <c r="O63" s="1" t="s">
        <v>74</v>
      </c>
      <c r="P63" s="1" t="s">
        <v>74</v>
      </c>
      <c r="Q63" s="1" t="s">
        <v>74</v>
      </c>
      <c r="R63" s="1" t="s">
        <v>74</v>
      </c>
      <c r="S63" s="1" t="s">
        <v>74</v>
      </c>
      <c r="T63" s="1" t="s">
        <v>74</v>
      </c>
      <c r="U63" s="1" t="s">
        <v>74</v>
      </c>
      <c r="V63" s="1" t="s">
        <v>754</v>
      </c>
      <c r="W63" s="1" t="s">
        <v>74</v>
      </c>
      <c r="X63" s="1" t="s">
        <v>74</v>
      </c>
      <c r="Y63" s="1" t="s">
        <v>74</v>
      </c>
      <c r="Z63" s="1" t="s">
        <v>74</v>
      </c>
      <c r="AA63" s="1" t="s">
        <v>755</v>
      </c>
      <c r="AB63" s="1" t="s">
        <v>756</v>
      </c>
      <c r="AC63" s="1" t="s">
        <v>74</v>
      </c>
      <c r="AD63" s="1" t="s">
        <v>74</v>
      </c>
      <c r="AE63" s="1" t="s">
        <v>74</v>
      </c>
      <c r="AF63" s="1" t="s">
        <v>74</v>
      </c>
      <c r="AG63" s="1" t="s">
        <v>74</v>
      </c>
      <c r="AH63" s="1" t="s">
        <v>74</v>
      </c>
      <c r="AI63" s="1" t="s">
        <v>74</v>
      </c>
      <c r="AJ63" s="1" t="s">
        <v>74</v>
      </c>
      <c r="AK63" s="1" t="s">
        <v>74</v>
      </c>
      <c r="AL63" s="1" t="s">
        <v>74</v>
      </c>
      <c r="AM63" s="1" t="s">
        <v>74</v>
      </c>
      <c r="AN63" s="1" t="s">
        <v>74</v>
      </c>
      <c r="AO63" s="1" t="s">
        <v>688</v>
      </c>
      <c r="AP63" s="1" t="s">
        <v>689</v>
      </c>
      <c r="AQ63" s="1" t="s">
        <v>74</v>
      </c>
      <c r="AR63" s="1" t="s">
        <v>74</v>
      </c>
      <c r="AS63" s="1" t="s">
        <v>74</v>
      </c>
      <c r="AT63" s="1" t="s">
        <v>757</v>
      </c>
      <c r="AU63" s="1">
        <v>2021.0</v>
      </c>
      <c r="AV63" s="1">
        <v>161.0</v>
      </c>
      <c r="AW63" s="1">
        <v>5.0</v>
      </c>
      <c r="AX63" s="1" t="s">
        <v>74</v>
      </c>
      <c r="AY63" s="1" t="s">
        <v>74</v>
      </c>
      <c r="AZ63" s="1" t="s">
        <v>74</v>
      </c>
      <c r="BA63" s="1" t="s">
        <v>74</v>
      </c>
      <c r="BB63" s="1" t="s">
        <v>74</v>
      </c>
      <c r="BC63" s="1" t="s">
        <v>74</v>
      </c>
      <c r="BD63" s="1">
        <v>238.0</v>
      </c>
      <c r="BE63" s="1" t="s">
        <v>758</v>
      </c>
      <c r="BF63" s="2" t="str">
        <f>HYPERLINK("http://dx.doi.org/10.3847/1538-3881/abeb1d","http://dx.doi.org/10.3847/1538-3881/abeb1d")</f>
        <v>http://dx.doi.org/10.3847/1538-3881/abeb1d</v>
      </c>
      <c r="BG63" s="1" t="s">
        <v>74</v>
      </c>
      <c r="BH63" s="1" t="s">
        <v>74</v>
      </c>
      <c r="BI63" s="1" t="s">
        <v>74</v>
      </c>
      <c r="BJ63" s="1" t="s">
        <v>74</v>
      </c>
      <c r="BK63" s="1" t="s">
        <v>74</v>
      </c>
      <c r="BL63" s="1" t="s">
        <v>74</v>
      </c>
      <c r="BM63" s="1" t="s">
        <v>74</v>
      </c>
      <c r="BN63" s="1" t="s">
        <v>74</v>
      </c>
      <c r="BO63" s="1" t="s">
        <v>74</v>
      </c>
      <c r="BP63" s="1" t="s">
        <v>74</v>
      </c>
      <c r="BQ63" s="1" t="s">
        <v>74</v>
      </c>
      <c r="BR63" s="1" t="s">
        <v>74</v>
      </c>
      <c r="BS63" s="1" t="s">
        <v>759</v>
      </c>
      <c r="BT63" s="1" t="str">
        <f>HYPERLINK("https%3A%2F%2Fwww.webofscience.com%2Fwos%2Fwoscc%2Ffull-record%2FWOS:000645145000001","View Full Record in Web of Science")</f>
        <v>View Full Record in Web of Science</v>
      </c>
    </row>
    <row r="64" ht="12.75" customHeight="1">
      <c r="A64" s="1" t="s">
        <v>72</v>
      </c>
      <c r="B64" s="1" t="s">
        <v>760</v>
      </c>
      <c r="C64" s="1" t="s">
        <v>74</v>
      </c>
      <c r="D64" s="1" t="s">
        <v>74</v>
      </c>
      <c r="E64" s="1" t="s">
        <v>74</v>
      </c>
      <c r="F64" s="1" t="s">
        <v>761</v>
      </c>
      <c r="G64" s="1" t="s">
        <v>74</v>
      </c>
      <c r="H64" s="1" t="s">
        <v>74</v>
      </c>
      <c r="I64" s="1" t="s">
        <v>762</v>
      </c>
      <c r="J64" s="1" t="s">
        <v>763</v>
      </c>
      <c r="K64" s="1" t="s">
        <v>74</v>
      </c>
      <c r="L64" s="1" t="s">
        <v>74</v>
      </c>
      <c r="M64" s="1" t="s">
        <v>74</v>
      </c>
      <c r="N64" s="1" t="s">
        <v>74</v>
      </c>
      <c r="O64" s="1" t="s">
        <v>74</v>
      </c>
      <c r="P64" s="1" t="s">
        <v>74</v>
      </c>
      <c r="Q64" s="1" t="s">
        <v>74</v>
      </c>
      <c r="R64" s="1" t="s">
        <v>74</v>
      </c>
      <c r="S64" s="1" t="s">
        <v>74</v>
      </c>
      <c r="T64" s="1" t="s">
        <v>74</v>
      </c>
      <c r="U64" s="1" t="s">
        <v>74</v>
      </c>
      <c r="V64" s="1" t="s">
        <v>74</v>
      </c>
      <c r="W64" s="1" t="s">
        <v>74</v>
      </c>
      <c r="X64" s="1" t="s">
        <v>74</v>
      </c>
      <c r="Y64" s="1" t="s">
        <v>74</v>
      </c>
      <c r="Z64" s="1" t="s">
        <v>74</v>
      </c>
      <c r="AA64" s="1" t="s">
        <v>764</v>
      </c>
      <c r="AB64" s="1" t="s">
        <v>765</v>
      </c>
      <c r="AC64" s="1" t="s">
        <v>74</v>
      </c>
      <c r="AD64" s="1" t="s">
        <v>74</v>
      </c>
      <c r="AE64" s="1" t="s">
        <v>74</v>
      </c>
      <c r="AF64" s="1" t="s">
        <v>74</v>
      </c>
      <c r="AG64" s="1" t="s">
        <v>74</v>
      </c>
      <c r="AH64" s="1" t="s">
        <v>74</v>
      </c>
      <c r="AI64" s="1" t="s">
        <v>74</v>
      </c>
      <c r="AJ64" s="1" t="s">
        <v>74</v>
      </c>
      <c r="AK64" s="1" t="s">
        <v>74</v>
      </c>
      <c r="AL64" s="1" t="s">
        <v>74</v>
      </c>
      <c r="AM64" s="1" t="s">
        <v>74</v>
      </c>
      <c r="AN64" s="1" t="s">
        <v>74</v>
      </c>
      <c r="AO64" s="1" t="s">
        <v>766</v>
      </c>
      <c r="AP64" s="1" t="s">
        <v>74</v>
      </c>
      <c r="AQ64" s="1" t="s">
        <v>74</v>
      </c>
      <c r="AR64" s="1" t="s">
        <v>74</v>
      </c>
      <c r="AS64" s="1" t="s">
        <v>74</v>
      </c>
      <c r="AT64" s="1" t="s">
        <v>119</v>
      </c>
      <c r="AU64" s="1">
        <v>2024.0</v>
      </c>
      <c r="AV64" s="1">
        <v>9.0</v>
      </c>
      <c r="AW64" s="1">
        <v>2.0</v>
      </c>
      <c r="AX64" s="1" t="s">
        <v>74</v>
      </c>
      <c r="AY64" s="1" t="s">
        <v>74</v>
      </c>
      <c r="AZ64" s="1" t="s">
        <v>74</v>
      </c>
      <c r="BA64" s="1" t="s">
        <v>74</v>
      </c>
      <c r="BB64" s="1" t="s">
        <v>74</v>
      </c>
      <c r="BC64" s="1" t="s">
        <v>74</v>
      </c>
      <c r="BD64" s="1" t="s">
        <v>767</v>
      </c>
      <c r="BE64" s="1" t="s">
        <v>768</v>
      </c>
      <c r="BF64" s="2" t="str">
        <f>HYPERLINK("http://dx.doi.org/10.1136/bmjgh-2023-014722","http://dx.doi.org/10.1136/bmjgh-2023-014722")</f>
        <v>http://dx.doi.org/10.1136/bmjgh-2023-014722</v>
      </c>
      <c r="BG64" s="1" t="s">
        <v>74</v>
      </c>
      <c r="BH64" s="1" t="s">
        <v>74</v>
      </c>
      <c r="BI64" s="1" t="s">
        <v>74</v>
      </c>
      <c r="BJ64" s="1" t="s">
        <v>74</v>
      </c>
      <c r="BK64" s="1" t="s">
        <v>74</v>
      </c>
      <c r="BL64" s="1" t="s">
        <v>74</v>
      </c>
      <c r="BM64" s="1" t="s">
        <v>74</v>
      </c>
      <c r="BN64" s="1">
        <v>3.8382977E7</v>
      </c>
      <c r="BO64" s="1" t="s">
        <v>74</v>
      </c>
      <c r="BP64" s="1" t="s">
        <v>74</v>
      </c>
      <c r="BQ64" s="1" t="s">
        <v>74</v>
      </c>
      <c r="BR64" s="1" t="s">
        <v>74</v>
      </c>
      <c r="BS64" s="1" t="s">
        <v>769</v>
      </c>
      <c r="BT64" s="1" t="str">
        <f>HYPERLINK("https%3A%2F%2Fwww.webofscience.com%2Fwos%2Fwoscc%2Ffull-record%2FWOS:001173826100003","View Full Record in Web of Science")</f>
        <v>View Full Record in Web of Science</v>
      </c>
    </row>
    <row r="65" ht="12.75" customHeight="1">
      <c r="A65" s="1" t="s">
        <v>72</v>
      </c>
      <c r="B65" s="1" t="s">
        <v>770</v>
      </c>
      <c r="C65" s="1" t="s">
        <v>74</v>
      </c>
      <c r="D65" s="1" t="s">
        <v>74</v>
      </c>
      <c r="E65" s="1" t="s">
        <v>74</v>
      </c>
      <c r="F65" s="1" t="s">
        <v>771</v>
      </c>
      <c r="G65" s="1" t="s">
        <v>74</v>
      </c>
      <c r="H65" s="1" t="s">
        <v>74</v>
      </c>
      <c r="I65" s="1" t="s">
        <v>772</v>
      </c>
      <c r="J65" s="1" t="s">
        <v>773</v>
      </c>
      <c r="K65" s="1" t="s">
        <v>74</v>
      </c>
      <c r="L65" s="1" t="s">
        <v>74</v>
      </c>
      <c r="M65" s="1" t="s">
        <v>74</v>
      </c>
      <c r="N65" s="1" t="s">
        <v>74</v>
      </c>
      <c r="O65" s="1" t="s">
        <v>74</v>
      </c>
      <c r="P65" s="1" t="s">
        <v>74</v>
      </c>
      <c r="Q65" s="1" t="s">
        <v>74</v>
      </c>
      <c r="R65" s="1" t="s">
        <v>74</v>
      </c>
      <c r="S65" s="1" t="s">
        <v>74</v>
      </c>
      <c r="T65" s="1" t="s">
        <v>74</v>
      </c>
      <c r="U65" s="1" t="s">
        <v>74</v>
      </c>
      <c r="V65" s="1" t="s">
        <v>774</v>
      </c>
      <c r="W65" s="1" t="s">
        <v>74</v>
      </c>
      <c r="X65" s="1" t="s">
        <v>74</v>
      </c>
      <c r="Y65" s="1" t="s">
        <v>74</v>
      </c>
      <c r="Z65" s="1" t="s">
        <v>74</v>
      </c>
      <c r="AA65" s="1" t="s">
        <v>775</v>
      </c>
      <c r="AB65" s="1" t="s">
        <v>776</v>
      </c>
      <c r="AC65" s="1" t="s">
        <v>74</v>
      </c>
      <c r="AD65" s="1" t="s">
        <v>74</v>
      </c>
      <c r="AE65" s="1" t="s">
        <v>74</v>
      </c>
      <c r="AF65" s="1" t="s">
        <v>74</v>
      </c>
      <c r="AG65" s="1" t="s">
        <v>74</v>
      </c>
      <c r="AH65" s="1" t="s">
        <v>74</v>
      </c>
      <c r="AI65" s="1" t="s">
        <v>74</v>
      </c>
      <c r="AJ65" s="1" t="s">
        <v>74</v>
      </c>
      <c r="AK65" s="1" t="s">
        <v>74</v>
      </c>
      <c r="AL65" s="1" t="s">
        <v>74</v>
      </c>
      <c r="AM65" s="1" t="s">
        <v>74</v>
      </c>
      <c r="AN65" s="1" t="s">
        <v>74</v>
      </c>
      <c r="AO65" s="1" t="s">
        <v>74</v>
      </c>
      <c r="AP65" s="1" t="s">
        <v>777</v>
      </c>
      <c r="AQ65" s="1" t="s">
        <v>74</v>
      </c>
      <c r="AR65" s="1" t="s">
        <v>74</v>
      </c>
      <c r="AS65" s="1" t="s">
        <v>74</v>
      </c>
      <c r="AT65" s="1" t="s">
        <v>130</v>
      </c>
      <c r="AU65" s="1">
        <v>2021.0</v>
      </c>
      <c r="AV65" s="1">
        <v>11.0</v>
      </c>
      <c r="AW65" s="1">
        <v>21.0</v>
      </c>
      <c r="AX65" s="1" t="s">
        <v>74</v>
      </c>
      <c r="AY65" s="1" t="s">
        <v>74</v>
      </c>
      <c r="AZ65" s="1" t="s">
        <v>74</v>
      </c>
      <c r="BA65" s="1" t="s">
        <v>74</v>
      </c>
      <c r="BB65" s="1" t="s">
        <v>74</v>
      </c>
      <c r="BC65" s="1" t="s">
        <v>74</v>
      </c>
      <c r="BD65" s="1">
        <v>10205.0</v>
      </c>
      <c r="BE65" s="1" t="s">
        <v>778</v>
      </c>
      <c r="BF65" s="2" t="str">
        <f>HYPERLINK("http://dx.doi.org/10.3390/app112110205","http://dx.doi.org/10.3390/app112110205")</f>
        <v>http://dx.doi.org/10.3390/app112110205</v>
      </c>
      <c r="BG65" s="1" t="s">
        <v>74</v>
      </c>
      <c r="BH65" s="1" t="s">
        <v>74</v>
      </c>
      <c r="BI65" s="1" t="s">
        <v>74</v>
      </c>
      <c r="BJ65" s="1" t="s">
        <v>74</v>
      </c>
      <c r="BK65" s="1" t="s">
        <v>74</v>
      </c>
      <c r="BL65" s="1" t="s">
        <v>74</v>
      </c>
      <c r="BM65" s="1" t="s">
        <v>74</v>
      </c>
      <c r="BN65" s="1" t="s">
        <v>74</v>
      </c>
      <c r="BO65" s="1" t="s">
        <v>74</v>
      </c>
      <c r="BP65" s="1" t="s">
        <v>74</v>
      </c>
      <c r="BQ65" s="1" t="s">
        <v>74</v>
      </c>
      <c r="BR65" s="1" t="s">
        <v>74</v>
      </c>
      <c r="BS65" s="1" t="s">
        <v>779</v>
      </c>
      <c r="BT65" s="1" t="str">
        <f>HYPERLINK("https%3A%2F%2Fwww.webofscience.com%2Fwos%2Fwoscc%2Ffull-record%2FWOS:000719513100001","View Full Record in Web of Science")</f>
        <v>View Full Record in Web of Science</v>
      </c>
    </row>
    <row r="66" ht="12.75" customHeight="1">
      <c r="A66" s="1" t="s">
        <v>72</v>
      </c>
      <c r="B66" s="1" t="s">
        <v>780</v>
      </c>
      <c r="C66" s="1" t="s">
        <v>74</v>
      </c>
      <c r="D66" s="1" t="s">
        <v>74</v>
      </c>
      <c r="E66" s="1" t="s">
        <v>74</v>
      </c>
      <c r="F66" s="1" t="s">
        <v>781</v>
      </c>
      <c r="G66" s="1" t="s">
        <v>74</v>
      </c>
      <c r="H66" s="1" t="s">
        <v>74</v>
      </c>
      <c r="I66" s="1" t="s">
        <v>782</v>
      </c>
      <c r="J66" s="1" t="s">
        <v>783</v>
      </c>
      <c r="K66" s="1" t="s">
        <v>74</v>
      </c>
      <c r="L66" s="1" t="s">
        <v>74</v>
      </c>
      <c r="M66" s="1" t="s">
        <v>74</v>
      </c>
      <c r="N66" s="1" t="s">
        <v>74</v>
      </c>
      <c r="O66" s="1" t="s">
        <v>74</v>
      </c>
      <c r="P66" s="1" t="s">
        <v>74</v>
      </c>
      <c r="Q66" s="1" t="s">
        <v>74</v>
      </c>
      <c r="R66" s="1" t="s">
        <v>74</v>
      </c>
      <c r="S66" s="1" t="s">
        <v>74</v>
      </c>
      <c r="T66" s="1" t="s">
        <v>74</v>
      </c>
      <c r="U66" s="1" t="s">
        <v>74</v>
      </c>
      <c r="V66" s="1" t="s">
        <v>784</v>
      </c>
      <c r="W66" s="1" t="s">
        <v>74</v>
      </c>
      <c r="X66" s="1" t="s">
        <v>74</v>
      </c>
      <c r="Y66" s="1" t="s">
        <v>74</v>
      </c>
      <c r="Z66" s="1" t="s">
        <v>74</v>
      </c>
      <c r="AA66" s="1" t="s">
        <v>785</v>
      </c>
      <c r="AB66" s="1" t="s">
        <v>786</v>
      </c>
      <c r="AC66" s="1" t="s">
        <v>74</v>
      </c>
      <c r="AD66" s="1" t="s">
        <v>74</v>
      </c>
      <c r="AE66" s="1" t="s">
        <v>74</v>
      </c>
      <c r="AF66" s="1" t="s">
        <v>74</v>
      </c>
      <c r="AG66" s="1" t="s">
        <v>74</v>
      </c>
      <c r="AH66" s="1" t="s">
        <v>74</v>
      </c>
      <c r="AI66" s="1" t="s">
        <v>74</v>
      </c>
      <c r="AJ66" s="1" t="s">
        <v>74</v>
      </c>
      <c r="AK66" s="1" t="s">
        <v>74</v>
      </c>
      <c r="AL66" s="1" t="s">
        <v>74</v>
      </c>
      <c r="AM66" s="1" t="s">
        <v>74</v>
      </c>
      <c r="AN66" s="1" t="s">
        <v>74</v>
      </c>
      <c r="AO66" s="1" t="s">
        <v>787</v>
      </c>
      <c r="AP66" s="1" t="s">
        <v>788</v>
      </c>
      <c r="AQ66" s="1" t="s">
        <v>74</v>
      </c>
      <c r="AR66" s="1" t="s">
        <v>74</v>
      </c>
      <c r="AS66" s="1" t="s">
        <v>74</v>
      </c>
      <c r="AT66" s="1" t="s">
        <v>789</v>
      </c>
      <c r="AU66" s="1">
        <v>2023.0</v>
      </c>
      <c r="AV66" s="1">
        <v>128.0</v>
      </c>
      <c r="AW66" s="1">
        <v>16.0</v>
      </c>
      <c r="AX66" s="1" t="s">
        <v>74</v>
      </c>
      <c r="AY66" s="1" t="s">
        <v>74</v>
      </c>
      <c r="AZ66" s="1" t="s">
        <v>74</v>
      </c>
      <c r="BA66" s="1" t="s">
        <v>74</v>
      </c>
      <c r="BB66" s="1" t="s">
        <v>74</v>
      </c>
      <c r="BC66" s="1" t="s">
        <v>74</v>
      </c>
      <c r="BD66" s="1" t="s">
        <v>790</v>
      </c>
      <c r="BE66" s="1" t="s">
        <v>791</v>
      </c>
      <c r="BF66" s="2" t="str">
        <f>HYPERLINK("http://dx.doi.org/10.1029/2022JD038138","http://dx.doi.org/10.1029/2022JD038138")</f>
        <v>http://dx.doi.org/10.1029/2022JD038138</v>
      </c>
      <c r="BG66" s="1" t="s">
        <v>74</v>
      </c>
      <c r="BH66" s="1" t="s">
        <v>74</v>
      </c>
      <c r="BI66" s="1" t="s">
        <v>74</v>
      </c>
      <c r="BJ66" s="1" t="s">
        <v>74</v>
      </c>
      <c r="BK66" s="1" t="s">
        <v>74</v>
      </c>
      <c r="BL66" s="1" t="s">
        <v>74</v>
      </c>
      <c r="BM66" s="1" t="s">
        <v>74</v>
      </c>
      <c r="BN66" s="1" t="s">
        <v>74</v>
      </c>
      <c r="BO66" s="1" t="s">
        <v>74</v>
      </c>
      <c r="BP66" s="1" t="s">
        <v>74</v>
      </c>
      <c r="BQ66" s="1" t="s">
        <v>74</v>
      </c>
      <c r="BR66" s="1" t="s">
        <v>74</v>
      </c>
      <c r="BS66" s="1" t="s">
        <v>792</v>
      </c>
      <c r="BT66" s="1" t="str">
        <f>HYPERLINK("https%3A%2F%2Fwww.webofscience.com%2Fwos%2Fwoscc%2Ffull-record%2FWOS:001191616100001","View Full Record in Web of Science")</f>
        <v>View Full Record in Web of Science</v>
      </c>
    </row>
    <row r="67" ht="12.75" customHeight="1">
      <c r="A67" s="1" t="s">
        <v>72</v>
      </c>
      <c r="B67" s="1" t="s">
        <v>793</v>
      </c>
      <c r="C67" s="1" t="s">
        <v>74</v>
      </c>
      <c r="D67" s="1" t="s">
        <v>74</v>
      </c>
      <c r="E67" s="1" t="s">
        <v>74</v>
      </c>
      <c r="F67" s="1" t="s">
        <v>794</v>
      </c>
      <c r="G67" s="1" t="s">
        <v>74</v>
      </c>
      <c r="H67" s="1" t="s">
        <v>74</v>
      </c>
      <c r="I67" s="1" t="s">
        <v>795</v>
      </c>
      <c r="J67" s="1" t="s">
        <v>149</v>
      </c>
      <c r="K67" s="1" t="s">
        <v>74</v>
      </c>
      <c r="L67" s="1" t="s">
        <v>74</v>
      </c>
      <c r="M67" s="1" t="s">
        <v>74</v>
      </c>
      <c r="N67" s="1" t="s">
        <v>74</v>
      </c>
      <c r="O67" s="1" t="s">
        <v>74</v>
      </c>
      <c r="P67" s="1" t="s">
        <v>74</v>
      </c>
      <c r="Q67" s="1" t="s">
        <v>74</v>
      </c>
      <c r="R67" s="1" t="s">
        <v>74</v>
      </c>
      <c r="S67" s="1" t="s">
        <v>74</v>
      </c>
      <c r="T67" s="1" t="s">
        <v>74</v>
      </c>
      <c r="U67" s="1" t="s">
        <v>74</v>
      </c>
      <c r="V67" s="1" t="s">
        <v>796</v>
      </c>
      <c r="W67" s="1" t="s">
        <v>74</v>
      </c>
      <c r="X67" s="1" t="s">
        <v>74</v>
      </c>
      <c r="Y67" s="1" t="s">
        <v>74</v>
      </c>
      <c r="Z67" s="1" t="s">
        <v>74</v>
      </c>
      <c r="AA67" s="1" t="s">
        <v>797</v>
      </c>
      <c r="AB67" s="1" t="s">
        <v>798</v>
      </c>
      <c r="AC67" s="1" t="s">
        <v>74</v>
      </c>
      <c r="AD67" s="1" t="s">
        <v>74</v>
      </c>
      <c r="AE67" s="1" t="s">
        <v>74</v>
      </c>
      <c r="AF67" s="1" t="s">
        <v>74</v>
      </c>
      <c r="AG67" s="1" t="s">
        <v>74</v>
      </c>
      <c r="AH67" s="1" t="s">
        <v>74</v>
      </c>
      <c r="AI67" s="1" t="s">
        <v>74</v>
      </c>
      <c r="AJ67" s="1" t="s">
        <v>74</v>
      </c>
      <c r="AK67" s="1" t="s">
        <v>74</v>
      </c>
      <c r="AL67" s="1" t="s">
        <v>74</v>
      </c>
      <c r="AM67" s="1" t="s">
        <v>74</v>
      </c>
      <c r="AN67" s="1" t="s">
        <v>74</v>
      </c>
      <c r="AO67" s="1" t="s">
        <v>153</v>
      </c>
      <c r="AP67" s="1" t="s">
        <v>74</v>
      </c>
      <c r="AQ67" s="1" t="s">
        <v>74</v>
      </c>
      <c r="AR67" s="1" t="s">
        <v>74</v>
      </c>
      <c r="AS67" s="1" t="s">
        <v>74</v>
      </c>
      <c r="AT67" s="1" t="s">
        <v>799</v>
      </c>
      <c r="AU67" s="1">
        <v>2020.0</v>
      </c>
      <c r="AV67" s="1">
        <v>11.0</v>
      </c>
      <c r="AW67" s="1">
        <v>1.0</v>
      </c>
      <c r="AX67" s="1" t="s">
        <v>74</v>
      </c>
      <c r="AY67" s="1" t="s">
        <v>74</v>
      </c>
      <c r="AZ67" s="1" t="s">
        <v>74</v>
      </c>
      <c r="BA67" s="1" t="s">
        <v>74</v>
      </c>
      <c r="BB67" s="1" t="s">
        <v>74</v>
      </c>
      <c r="BC67" s="1" t="s">
        <v>74</v>
      </c>
      <c r="BD67" s="1">
        <v>1073.0</v>
      </c>
      <c r="BE67" s="1" t="s">
        <v>800</v>
      </c>
      <c r="BF67" s="2" t="str">
        <f>HYPERLINK("http://dx.doi.org/10.1038/s41467-019-14063-8","http://dx.doi.org/10.1038/s41467-019-14063-8")</f>
        <v>http://dx.doi.org/10.1038/s41467-019-14063-8</v>
      </c>
      <c r="BG67" s="1" t="s">
        <v>74</v>
      </c>
      <c r="BH67" s="1" t="s">
        <v>74</v>
      </c>
      <c r="BI67" s="1" t="s">
        <v>74</v>
      </c>
      <c r="BJ67" s="1" t="s">
        <v>74</v>
      </c>
      <c r="BK67" s="1" t="s">
        <v>74</v>
      </c>
      <c r="BL67" s="1" t="s">
        <v>74</v>
      </c>
      <c r="BM67" s="1" t="s">
        <v>74</v>
      </c>
      <c r="BN67" s="1">
        <v>3.210301E7</v>
      </c>
      <c r="BO67" s="1" t="s">
        <v>74</v>
      </c>
      <c r="BP67" s="1" t="s">
        <v>74</v>
      </c>
      <c r="BQ67" s="1" t="s">
        <v>74</v>
      </c>
      <c r="BR67" s="1" t="s">
        <v>74</v>
      </c>
      <c r="BS67" s="1" t="s">
        <v>801</v>
      </c>
      <c r="BT67" s="1" t="str">
        <f>HYPERLINK("https%3A%2F%2Fwww.webofscience.com%2Fwos%2Fwoscc%2Ffull-record%2FWOS:000564293100005","View Full Record in Web of Science")</f>
        <v>View Full Record in Web of Science</v>
      </c>
    </row>
    <row r="68" ht="12.75" customHeight="1">
      <c r="A68" s="1" t="s">
        <v>72</v>
      </c>
      <c r="B68" s="1" t="s">
        <v>802</v>
      </c>
      <c r="C68" s="1" t="s">
        <v>74</v>
      </c>
      <c r="D68" s="1" t="s">
        <v>74</v>
      </c>
      <c r="E68" s="1" t="s">
        <v>74</v>
      </c>
      <c r="F68" s="1" t="s">
        <v>803</v>
      </c>
      <c r="G68" s="1" t="s">
        <v>74</v>
      </c>
      <c r="H68" s="1" t="s">
        <v>74</v>
      </c>
      <c r="I68" s="1" t="s">
        <v>804</v>
      </c>
      <c r="J68" s="1" t="s">
        <v>395</v>
      </c>
      <c r="K68" s="1" t="s">
        <v>74</v>
      </c>
      <c r="L68" s="1" t="s">
        <v>74</v>
      </c>
      <c r="M68" s="1" t="s">
        <v>74</v>
      </c>
      <c r="N68" s="1" t="s">
        <v>74</v>
      </c>
      <c r="O68" s="1" t="s">
        <v>74</v>
      </c>
      <c r="P68" s="1" t="s">
        <v>74</v>
      </c>
      <c r="Q68" s="1" t="s">
        <v>74</v>
      </c>
      <c r="R68" s="1" t="s">
        <v>74</v>
      </c>
      <c r="S68" s="1" t="s">
        <v>74</v>
      </c>
      <c r="T68" s="1" t="s">
        <v>74</v>
      </c>
      <c r="U68" s="1" t="s">
        <v>74</v>
      </c>
      <c r="V68" s="1" t="s">
        <v>805</v>
      </c>
      <c r="W68" s="1" t="s">
        <v>74</v>
      </c>
      <c r="X68" s="1" t="s">
        <v>74</v>
      </c>
      <c r="Y68" s="1" t="s">
        <v>74</v>
      </c>
      <c r="Z68" s="1" t="s">
        <v>74</v>
      </c>
      <c r="AA68" s="1" t="s">
        <v>806</v>
      </c>
      <c r="AB68" s="1" t="s">
        <v>807</v>
      </c>
      <c r="AC68" s="1" t="s">
        <v>74</v>
      </c>
      <c r="AD68" s="1" t="s">
        <v>74</v>
      </c>
      <c r="AE68" s="1" t="s">
        <v>74</v>
      </c>
      <c r="AF68" s="1" t="s">
        <v>74</v>
      </c>
      <c r="AG68" s="1" t="s">
        <v>74</v>
      </c>
      <c r="AH68" s="1" t="s">
        <v>74</v>
      </c>
      <c r="AI68" s="1" t="s">
        <v>74</v>
      </c>
      <c r="AJ68" s="1" t="s">
        <v>74</v>
      </c>
      <c r="AK68" s="1" t="s">
        <v>74</v>
      </c>
      <c r="AL68" s="1" t="s">
        <v>74</v>
      </c>
      <c r="AM68" s="1" t="s">
        <v>74</v>
      </c>
      <c r="AN68" s="1" t="s">
        <v>74</v>
      </c>
      <c r="AO68" s="1" t="s">
        <v>399</v>
      </c>
      <c r="AP68" s="1" t="s">
        <v>400</v>
      </c>
      <c r="AQ68" s="1" t="s">
        <v>74</v>
      </c>
      <c r="AR68" s="1" t="s">
        <v>74</v>
      </c>
      <c r="AS68" s="1" t="s">
        <v>74</v>
      </c>
      <c r="AT68" s="1" t="s">
        <v>188</v>
      </c>
      <c r="AU68" s="1">
        <v>2020.0</v>
      </c>
      <c r="AV68" s="1">
        <v>496.0</v>
      </c>
      <c r="AW68" s="1">
        <v>4.0</v>
      </c>
      <c r="AX68" s="1" t="s">
        <v>74</v>
      </c>
      <c r="AY68" s="1" t="s">
        <v>74</v>
      </c>
      <c r="AZ68" s="1" t="s">
        <v>74</v>
      </c>
      <c r="BA68" s="1" t="s">
        <v>74</v>
      </c>
      <c r="BB68" s="1">
        <v>5089.0</v>
      </c>
      <c r="BC68" s="1">
        <v>5100.0</v>
      </c>
      <c r="BD68" s="1" t="s">
        <v>74</v>
      </c>
      <c r="BE68" s="1" t="s">
        <v>808</v>
      </c>
      <c r="BF68" s="2" t="str">
        <f>HYPERLINK("http://dx.doi.org/10.1093/mnras/staa1886","http://dx.doi.org/10.1093/mnras/staa1886")</f>
        <v>http://dx.doi.org/10.1093/mnras/staa1886</v>
      </c>
      <c r="BG68" s="1" t="s">
        <v>74</v>
      </c>
      <c r="BH68" s="1" t="s">
        <v>74</v>
      </c>
      <c r="BI68" s="1" t="s">
        <v>74</v>
      </c>
      <c r="BJ68" s="1" t="s">
        <v>74</v>
      </c>
      <c r="BK68" s="1" t="s">
        <v>74</v>
      </c>
      <c r="BL68" s="1" t="s">
        <v>74</v>
      </c>
      <c r="BM68" s="1" t="s">
        <v>74</v>
      </c>
      <c r="BN68" s="1" t="s">
        <v>74</v>
      </c>
      <c r="BO68" s="1" t="s">
        <v>74</v>
      </c>
      <c r="BP68" s="1" t="s">
        <v>74</v>
      </c>
      <c r="BQ68" s="1" t="s">
        <v>74</v>
      </c>
      <c r="BR68" s="1" t="s">
        <v>74</v>
      </c>
      <c r="BS68" s="1" t="s">
        <v>809</v>
      </c>
      <c r="BT68" s="1" t="str">
        <f>HYPERLINK("https%3A%2F%2Fwww.webofscience.com%2Fwos%2Fwoscc%2Ffull-record%2FWOS:000574923200075","View Full Record in Web of Science")</f>
        <v>View Full Record in Web of Science</v>
      </c>
    </row>
    <row r="69" ht="12.75" customHeight="1">
      <c r="A69" s="1" t="s">
        <v>72</v>
      </c>
      <c r="B69" s="1" t="s">
        <v>810</v>
      </c>
      <c r="C69" s="1" t="s">
        <v>74</v>
      </c>
      <c r="D69" s="1" t="s">
        <v>74</v>
      </c>
      <c r="E69" s="1" t="s">
        <v>74</v>
      </c>
      <c r="F69" s="1" t="s">
        <v>811</v>
      </c>
      <c r="G69" s="1" t="s">
        <v>74</v>
      </c>
      <c r="H69" s="1" t="s">
        <v>74</v>
      </c>
      <c r="I69" s="1" t="s">
        <v>812</v>
      </c>
      <c r="J69" s="1" t="s">
        <v>813</v>
      </c>
      <c r="K69" s="1" t="s">
        <v>74</v>
      </c>
      <c r="L69" s="1" t="s">
        <v>74</v>
      </c>
      <c r="M69" s="1" t="s">
        <v>74</v>
      </c>
      <c r="N69" s="1" t="s">
        <v>74</v>
      </c>
      <c r="O69" s="1" t="s">
        <v>74</v>
      </c>
      <c r="P69" s="1" t="s">
        <v>74</v>
      </c>
      <c r="Q69" s="1" t="s">
        <v>74</v>
      </c>
      <c r="R69" s="1" t="s">
        <v>74</v>
      </c>
      <c r="S69" s="1" t="s">
        <v>74</v>
      </c>
      <c r="T69" s="1" t="s">
        <v>74</v>
      </c>
      <c r="U69" s="1" t="s">
        <v>74</v>
      </c>
      <c r="V69" s="1" t="s">
        <v>814</v>
      </c>
      <c r="W69" s="1" t="s">
        <v>74</v>
      </c>
      <c r="X69" s="1" t="s">
        <v>74</v>
      </c>
      <c r="Y69" s="1" t="s">
        <v>74</v>
      </c>
      <c r="Z69" s="1" t="s">
        <v>74</v>
      </c>
      <c r="AA69" s="1" t="s">
        <v>815</v>
      </c>
      <c r="AB69" s="1" t="s">
        <v>816</v>
      </c>
      <c r="AC69" s="1" t="s">
        <v>74</v>
      </c>
      <c r="AD69" s="1" t="s">
        <v>74</v>
      </c>
      <c r="AE69" s="1" t="s">
        <v>74</v>
      </c>
      <c r="AF69" s="1" t="s">
        <v>74</v>
      </c>
      <c r="AG69" s="1" t="s">
        <v>74</v>
      </c>
      <c r="AH69" s="1" t="s">
        <v>74</v>
      </c>
      <c r="AI69" s="1" t="s">
        <v>74</v>
      </c>
      <c r="AJ69" s="1" t="s">
        <v>74</v>
      </c>
      <c r="AK69" s="1" t="s">
        <v>74</v>
      </c>
      <c r="AL69" s="1" t="s">
        <v>74</v>
      </c>
      <c r="AM69" s="1" t="s">
        <v>74</v>
      </c>
      <c r="AN69" s="1" t="s">
        <v>74</v>
      </c>
      <c r="AO69" s="1" t="s">
        <v>817</v>
      </c>
      <c r="AP69" s="1" t="s">
        <v>818</v>
      </c>
      <c r="AQ69" s="1" t="s">
        <v>74</v>
      </c>
      <c r="AR69" s="1" t="s">
        <v>74</v>
      </c>
      <c r="AS69" s="1" t="s">
        <v>74</v>
      </c>
      <c r="AT69" s="1" t="s">
        <v>819</v>
      </c>
      <c r="AU69" s="1">
        <v>2020.0</v>
      </c>
      <c r="AV69" s="1">
        <v>633.0</v>
      </c>
      <c r="AW69" s="1" t="s">
        <v>74</v>
      </c>
      <c r="AX69" s="1" t="s">
        <v>74</v>
      </c>
      <c r="AY69" s="1" t="s">
        <v>74</v>
      </c>
      <c r="AZ69" s="1" t="s">
        <v>74</v>
      </c>
      <c r="BA69" s="1" t="s">
        <v>74</v>
      </c>
      <c r="BB69" s="1" t="s">
        <v>74</v>
      </c>
      <c r="BC69" s="1" t="s">
        <v>74</v>
      </c>
      <c r="BD69" s="1" t="s">
        <v>820</v>
      </c>
      <c r="BE69" s="1" t="s">
        <v>821</v>
      </c>
      <c r="BF69" s="2" t="str">
        <f>HYPERLINK("http://dx.doi.org/10.1051/0004-6361/201936946","http://dx.doi.org/10.1051/0004-6361/201936946")</f>
        <v>http://dx.doi.org/10.1051/0004-6361/201936946</v>
      </c>
      <c r="BG69" s="1" t="s">
        <v>74</v>
      </c>
      <c r="BH69" s="1" t="s">
        <v>74</v>
      </c>
      <c r="BI69" s="1" t="s">
        <v>74</v>
      </c>
      <c r="BJ69" s="1" t="s">
        <v>74</v>
      </c>
      <c r="BK69" s="1" t="s">
        <v>74</v>
      </c>
      <c r="BL69" s="1" t="s">
        <v>74</v>
      </c>
      <c r="BM69" s="1" t="s">
        <v>74</v>
      </c>
      <c r="BN69" s="1" t="s">
        <v>74</v>
      </c>
      <c r="BO69" s="1" t="s">
        <v>74</v>
      </c>
      <c r="BP69" s="1" t="s">
        <v>74</v>
      </c>
      <c r="BQ69" s="1" t="s">
        <v>74</v>
      </c>
      <c r="BR69" s="1" t="s">
        <v>74</v>
      </c>
      <c r="BS69" s="1" t="s">
        <v>822</v>
      </c>
      <c r="BT69" s="1" t="str">
        <f>HYPERLINK("https%3A%2F%2Fwww.webofscience.com%2Fwos%2Fwoscc%2Ffull-record%2FWOS:000507376600001","View Full Record in Web of Science")</f>
        <v>View Full Record in Web of Science</v>
      </c>
    </row>
    <row r="70" ht="12.75" customHeight="1">
      <c r="A70" s="1" t="s">
        <v>72</v>
      </c>
      <c r="B70" s="1" t="s">
        <v>823</v>
      </c>
      <c r="C70" s="1" t="s">
        <v>74</v>
      </c>
      <c r="D70" s="1" t="s">
        <v>74</v>
      </c>
      <c r="E70" s="1" t="s">
        <v>74</v>
      </c>
      <c r="F70" s="1" t="s">
        <v>824</v>
      </c>
      <c r="G70" s="1" t="s">
        <v>74</v>
      </c>
      <c r="H70" s="1" t="s">
        <v>74</v>
      </c>
      <c r="I70" s="1" t="s">
        <v>825</v>
      </c>
      <c r="J70" s="1" t="s">
        <v>305</v>
      </c>
      <c r="K70" s="1" t="s">
        <v>74</v>
      </c>
      <c r="L70" s="1" t="s">
        <v>74</v>
      </c>
      <c r="M70" s="1" t="s">
        <v>74</v>
      </c>
      <c r="N70" s="1" t="s">
        <v>74</v>
      </c>
      <c r="O70" s="1" t="s">
        <v>74</v>
      </c>
      <c r="P70" s="1" t="s">
        <v>74</v>
      </c>
      <c r="Q70" s="1" t="s">
        <v>74</v>
      </c>
      <c r="R70" s="1" t="s">
        <v>74</v>
      </c>
      <c r="S70" s="1" t="s">
        <v>74</v>
      </c>
      <c r="T70" s="1" t="s">
        <v>74</v>
      </c>
      <c r="U70" s="1" t="s">
        <v>74</v>
      </c>
      <c r="V70" s="1" t="s">
        <v>826</v>
      </c>
      <c r="W70" s="1" t="s">
        <v>74</v>
      </c>
      <c r="X70" s="1" t="s">
        <v>74</v>
      </c>
      <c r="Y70" s="1" t="s">
        <v>74</v>
      </c>
      <c r="Z70" s="1" t="s">
        <v>74</v>
      </c>
      <c r="AA70" s="1" t="s">
        <v>827</v>
      </c>
      <c r="AB70" s="1" t="s">
        <v>74</v>
      </c>
      <c r="AC70" s="1" t="s">
        <v>74</v>
      </c>
      <c r="AD70" s="1" t="s">
        <v>74</v>
      </c>
      <c r="AE70" s="1" t="s">
        <v>74</v>
      </c>
      <c r="AF70" s="1" t="s">
        <v>74</v>
      </c>
      <c r="AG70" s="1" t="s">
        <v>74</v>
      </c>
      <c r="AH70" s="1" t="s">
        <v>74</v>
      </c>
      <c r="AI70" s="1" t="s">
        <v>74</v>
      </c>
      <c r="AJ70" s="1" t="s">
        <v>74</v>
      </c>
      <c r="AK70" s="1" t="s">
        <v>74</v>
      </c>
      <c r="AL70" s="1" t="s">
        <v>74</v>
      </c>
      <c r="AM70" s="1" t="s">
        <v>74</v>
      </c>
      <c r="AN70" s="1" t="s">
        <v>74</v>
      </c>
      <c r="AO70" s="1" t="s">
        <v>308</v>
      </c>
      <c r="AP70" s="1" t="s">
        <v>309</v>
      </c>
      <c r="AQ70" s="1" t="s">
        <v>74</v>
      </c>
      <c r="AR70" s="1" t="s">
        <v>74</v>
      </c>
      <c r="AS70" s="1" t="s">
        <v>74</v>
      </c>
      <c r="AT70" s="1" t="s">
        <v>130</v>
      </c>
      <c r="AU70" s="1">
        <v>2023.0</v>
      </c>
      <c r="AV70" s="1">
        <v>151.0</v>
      </c>
      <c r="AW70" s="1">
        <v>11.0</v>
      </c>
      <c r="AX70" s="1" t="s">
        <v>74</v>
      </c>
      <c r="AY70" s="1" t="s">
        <v>74</v>
      </c>
      <c r="AZ70" s="1" t="s">
        <v>74</v>
      </c>
      <c r="BA70" s="1" t="s">
        <v>74</v>
      </c>
      <c r="BB70" s="1">
        <v>1464.0</v>
      </c>
      <c r="BC70" s="1">
        <v>1470.0</v>
      </c>
      <c r="BD70" s="1" t="s">
        <v>74</v>
      </c>
      <c r="BE70" s="1" t="s">
        <v>74</v>
      </c>
      <c r="BF70" s="1" t="s">
        <v>74</v>
      </c>
      <c r="BG70" s="1" t="s">
        <v>74</v>
      </c>
      <c r="BH70" s="1" t="s">
        <v>74</v>
      </c>
      <c r="BI70" s="1" t="s">
        <v>74</v>
      </c>
      <c r="BJ70" s="1" t="s">
        <v>74</v>
      </c>
      <c r="BK70" s="1" t="s">
        <v>74</v>
      </c>
      <c r="BL70" s="1" t="s">
        <v>74</v>
      </c>
      <c r="BM70" s="1" t="s">
        <v>74</v>
      </c>
      <c r="BN70" s="1">
        <v>3.9270113E7</v>
      </c>
      <c r="BO70" s="1" t="s">
        <v>74</v>
      </c>
      <c r="BP70" s="1" t="s">
        <v>74</v>
      </c>
      <c r="BQ70" s="1" t="s">
        <v>74</v>
      </c>
      <c r="BR70" s="1" t="s">
        <v>74</v>
      </c>
      <c r="BS70" s="1" t="s">
        <v>828</v>
      </c>
      <c r="BT70" s="1" t="str">
        <f>HYPERLINK("https%3A%2F%2Fwww.webofscience.com%2Fwos%2Fwoscc%2Ffull-record%2FWOS:001259479300005","View Full Record in Web of Science")</f>
        <v>View Full Record in Web of Science</v>
      </c>
    </row>
    <row r="71" ht="12.75" customHeight="1">
      <c r="A71" s="1" t="s">
        <v>72</v>
      </c>
      <c r="B71" s="1" t="s">
        <v>829</v>
      </c>
      <c r="C71" s="1" t="s">
        <v>74</v>
      </c>
      <c r="D71" s="1" t="s">
        <v>74</v>
      </c>
      <c r="E71" s="1" t="s">
        <v>74</v>
      </c>
      <c r="F71" s="1" t="s">
        <v>830</v>
      </c>
      <c r="G71" s="1" t="s">
        <v>74</v>
      </c>
      <c r="H71" s="1" t="s">
        <v>74</v>
      </c>
      <c r="I71" s="1" t="s">
        <v>831</v>
      </c>
      <c r="J71" s="1" t="s">
        <v>813</v>
      </c>
      <c r="K71" s="1" t="s">
        <v>74</v>
      </c>
      <c r="L71" s="1" t="s">
        <v>74</v>
      </c>
      <c r="M71" s="1" t="s">
        <v>74</v>
      </c>
      <c r="N71" s="1" t="s">
        <v>74</v>
      </c>
      <c r="O71" s="1" t="s">
        <v>74</v>
      </c>
      <c r="P71" s="1" t="s">
        <v>74</v>
      </c>
      <c r="Q71" s="1" t="s">
        <v>74</v>
      </c>
      <c r="R71" s="1" t="s">
        <v>74</v>
      </c>
      <c r="S71" s="1" t="s">
        <v>74</v>
      </c>
      <c r="T71" s="1" t="s">
        <v>74</v>
      </c>
      <c r="U71" s="1" t="s">
        <v>74</v>
      </c>
      <c r="V71" s="1" t="s">
        <v>832</v>
      </c>
      <c r="W71" s="1" t="s">
        <v>74</v>
      </c>
      <c r="X71" s="1" t="s">
        <v>74</v>
      </c>
      <c r="Y71" s="1" t="s">
        <v>74</v>
      </c>
      <c r="Z71" s="1" t="s">
        <v>74</v>
      </c>
      <c r="AA71" s="1" t="s">
        <v>833</v>
      </c>
      <c r="AB71" s="1" t="s">
        <v>834</v>
      </c>
      <c r="AC71" s="1" t="s">
        <v>74</v>
      </c>
      <c r="AD71" s="1" t="s">
        <v>74</v>
      </c>
      <c r="AE71" s="1" t="s">
        <v>74</v>
      </c>
      <c r="AF71" s="1" t="s">
        <v>74</v>
      </c>
      <c r="AG71" s="1" t="s">
        <v>74</v>
      </c>
      <c r="AH71" s="1" t="s">
        <v>74</v>
      </c>
      <c r="AI71" s="1" t="s">
        <v>74</v>
      </c>
      <c r="AJ71" s="1" t="s">
        <v>74</v>
      </c>
      <c r="AK71" s="1" t="s">
        <v>74</v>
      </c>
      <c r="AL71" s="1" t="s">
        <v>74</v>
      </c>
      <c r="AM71" s="1" t="s">
        <v>74</v>
      </c>
      <c r="AN71" s="1" t="s">
        <v>74</v>
      </c>
      <c r="AO71" s="1" t="s">
        <v>817</v>
      </c>
      <c r="AP71" s="1" t="s">
        <v>818</v>
      </c>
      <c r="AQ71" s="1" t="s">
        <v>74</v>
      </c>
      <c r="AR71" s="1" t="s">
        <v>74</v>
      </c>
      <c r="AS71" s="1" t="s">
        <v>74</v>
      </c>
      <c r="AT71" s="1" t="s">
        <v>835</v>
      </c>
      <c r="AU71" s="1">
        <v>2022.0</v>
      </c>
      <c r="AV71" s="1">
        <v>664.0</v>
      </c>
      <c r="AW71" s="1" t="s">
        <v>74</v>
      </c>
      <c r="AX71" s="1" t="s">
        <v>74</v>
      </c>
      <c r="AY71" s="1" t="s">
        <v>74</v>
      </c>
      <c r="AZ71" s="1" t="s">
        <v>74</v>
      </c>
      <c r="BA71" s="1" t="s">
        <v>74</v>
      </c>
      <c r="BB71" s="1" t="s">
        <v>74</v>
      </c>
      <c r="BC71" s="1" t="s">
        <v>74</v>
      </c>
      <c r="BD71" s="1" t="s">
        <v>836</v>
      </c>
      <c r="BE71" s="1" t="s">
        <v>837</v>
      </c>
      <c r="BF71" s="2" t="str">
        <f>HYPERLINK("http://dx.doi.org/10.1051/0004-6361/202243505","http://dx.doi.org/10.1051/0004-6361/202243505")</f>
        <v>http://dx.doi.org/10.1051/0004-6361/202243505</v>
      </c>
      <c r="BG71" s="1" t="s">
        <v>74</v>
      </c>
      <c r="BH71" s="1" t="s">
        <v>74</v>
      </c>
      <c r="BI71" s="1" t="s">
        <v>74</v>
      </c>
      <c r="BJ71" s="1" t="s">
        <v>74</v>
      </c>
      <c r="BK71" s="1" t="s">
        <v>74</v>
      </c>
      <c r="BL71" s="1" t="s">
        <v>74</v>
      </c>
      <c r="BM71" s="1" t="s">
        <v>74</v>
      </c>
      <c r="BN71" s="1" t="s">
        <v>74</v>
      </c>
      <c r="BO71" s="1" t="s">
        <v>74</v>
      </c>
      <c r="BP71" s="1" t="s">
        <v>74</v>
      </c>
      <c r="BQ71" s="1" t="s">
        <v>74</v>
      </c>
      <c r="BR71" s="1" t="s">
        <v>74</v>
      </c>
      <c r="BS71" s="1" t="s">
        <v>838</v>
      </c>
      <c r="BT71" s="1" t="str">
        <f>HYPERLINK("https%3A%2F%2Fwww.webofscience.com%2Fwos%2Fwoscc%2Ffull-record%2FWOS:000843723700005","View Full Record in Web of Science")</f>
        <v>View Full Record in Web of Science</v>
      </c>
    </row>
    <row r="72" ht="12.75" customHeight="1">
      <c r="A72" s="1" t="s">
        <v>72</v>
      </c>
      <c r="B72" s="1" t="s">
        <v>839</v>
      </c>
      <c r="C72" s="1" t="s">
        <v>74</v>
      </c>
      <c r="D72" s="1" t="s">
        <v>74</v>
      </c>
      <c r="E72" s="1" t="s">
        <v>74</v>
      </c>
      <c r="F72" s="1" t="s">
        <v>840</v>
      </c>
      <c r="G72" s="1" t="s">
        <v>74</v>
      </c>
      <c r="H72" s="1" t="s">
        <v>74</v>
      </c>
      <c r="I72" s="1" t="s">
        <v>841</v>
      </c>
      <c r="J72" s="1" t="s">
        <v>842</v>
      </c>
      <c r="K72" s="1" t="s">
        <v>74</v>
      </c>
      <c r="L72" s="1" t="s">
        <v>74</v>
      </c>
      <c r="M72" s="1" t="s">
        <v>74</v>
      </c>
      <c r="N72" s="1" t="s">
        <v>74</v>
      </c>
      <c r="O72" s="1" t="s">
        <v>74</v>
      </c>
      <c r="P72" s="1" t="s">
        <v>74</v>
      </c>
      <c r="Q72" s="1" t="s">
        <v>74</v>
      </c>
      <c r="R72" s="1" t="s">
        <v>74</v>
      </c>
      <c r="S72" s="1" t="s">
        <v>74</v>
      </c>
      <c r="T72" s="1" t="s">
        <v>74</v>
      </c>
      <c r="U72" s="1" t="s">
        <v>74</v>
      </c>
      <c r="V72" s="1" t="s">
        <v>843</v>
      </c>
      <c r="W72" s="1" t="s">
        <v>74</v>
      </c>
      <c r="X72" s="1" t="s">
        <v>74</v>
      </c>
      <c r="Y72" s="1" t="s">
        <v>74</v>
      </c>
      <c r="Z72" s="1" t="s">
        <v>74</v>
      </c>
      <c r="AA72" s="1" t="s">
        <v>844</v>
      </c>
      <c r="AB72" s="1" t="s">
        <v>845</v>
      </c>
      <c r="AC72" s="1" t="s">
        <v>74</v>
      </c>
      <c r="AD72" s="1" t="s">
        <v>74</v>
      </c>
      <c r="AE72" s="1" t="s">
        <v>74</v>
      </c>
      <c r="AF72" s="1" t="s">
        <v>74</v>
      </c>
      <c r="AG72" s="1" t="s">
        <v>74</v>
      </c>
      <c r="AH72" s="1" t="s">
        <v>74</v>
      </c>
      <c r="AI72" s="1" t="s">
        <v>74</v>
      </c>
      <c r="AJ72" s="1" t="s">
        <v>74</v>
      </c>
      <c r="AK72" s="1" t="s">
        <v>74</v>
      </c>
      <c r="AL72" s="1" t="s">
        <v>74</v>
      </c>
      <c r="AM72" s="1" t="s">
        <v>74</v>
      </c>
      <c r="AN72" s="1" t="s">
        <v>74</v>
      </c>
      <c r="AO72" s="1" t="s">
        <v>846</v>
      </c>
      <c r="AP72" s="1" t="s">
        <v>847</v>
      </c>
      <c r="AQ72" s="1" t="s">
        <v>74</v>
      </c>
      <c r="AR72" s="1" t="s">
        <v>74</v>
      </c>
      <c r="AS72" s="1" t="s">
        <v>74</v>
      </c>
      <c r="AT72" s="1" t="s">
        <v>848</v>
      </c>
      <c r="AU72" s="1">
        <v>2025.0</v>
      </c>
      <c r="AV72" s="1">
        <v>227.0</v>
      </c>
      <c r="AW72" s="1" t="s">
        <v>74</v>
      </c>
      <c r="AX72" s="1" t="s">
        <v>74</v>
      </c>
      <c r="AY72" s="1" t="s">
        <v>74</v>
      </c>
      <c r="AZ72" s="1" t="s">
        <v>74</v>
      </c>
      <c r="BA72" s="1" t="s">
        <v>74</v>
      </c>
      <c r="BB72" s="1">
        <v>521.0</v>
      </c>
      <c r="BC72" s="1">
        <v>535.0</v>
      </c>
      <c r="BD72" s="1" t="s">
        <v>74</v>
      </c>
      <c r="BE72" s="1" t="s">
        <v>849</v>
      </c>
      <c r="BF72" s="2" t="str">
        <f>HYPERLINK("http://dx.doi.org/10.1016/j.freeradbiomed.2024.12.001","http://dx.doi.org/10.1016/j.freeradbiomed.2024.12.001")</f>
        <v>http://dx.doi.org/10.1016/j.freeradbiomed.2024.12.001</v>
      </c>
      <c r="BG72" s="1" t="s">
        <v>74</v>
      </c>
      <c r="BH72" s="1" t="s">
        <v>850</v>
      </c>
      <c r="BI72" s="1" t="s">
        <v>74</v>
      </c>
      <c r="BJ72" s="1" t="s">
        <v>74</v>
      </c>
      <c r="BK72" s="1" t="s">
        <v>74</v>
      </c>
      <c r="BL72" s="1" t="s">
        <v>74</v>
      </c>
      <c r="BM72" s="1" t="s">
        <v>74</v>
      </c>
      <c r="BN72" s="1">
        <v>3.966269E7</v>
      </c>
      <c r="BO72" s="1" t="s">
        <v>74</v>
      </c>
      <c r="BP72" s="1" t="s">
        <v>74</v>
      </c>
      <c r="BQ72" s="1" t="s">
        <v>74</v>
      </c>
      <c r="BR72" s="1" t="s">
        <v>74</v>
      </c>
      <c r="BS72" s="1" t="s">
        <v>851</v>
      </c>
      <c r="BT72" s="1" t="str">
        <f>HYPERLINK("https%3A%2F%2Fwww.webofscience.com%2Fwos%2Fwoscc%2Ffull-record%2FWOS:001392131300001","View Full Record in Web of Science")</f>
        <v>View Full Record in Web of Science</v>
      </c>
    </row>
    <row r="73" ht="12.75" customHeight="1">
      <c r="A73" s="1" t="s">
        <v>72</v>
      </c>
      <c r="B73" s="1" t="s">
        <v>852</v>
      </c>
      <c r="C73" s="1" t="s">
        <v>74</v>
      </c>
      <c r="D73" s="1" t="s">
        <v>74</v>
      </c>
      <c r="E73" s="1" t="s">
        <v>74</v>
      </c>
      <c r="F73" s="1" t="s">
        <v>853</v>
      </c>
      <c r="G73" s="1" t="s">
        <v>74</v>
      </c>
      <c r="H73" s="1" t="s">
        <v>74</v>
      </c>
      <c r="I73" s="1" t="s">
        <v>854</v>
      </c>
      <c r="J73" s="1" t="s">
        <v>855</v>
      </c>
      <c r="K73" s="1" t="s">
        <v>74</v>
      </c>
      <c r="L73" s="1" t="s">
        <v>74</v>
      </c>
      <c r="M73" s="1" t="s">
        <v>74</v>
      </c>
      <c r="N73" s="1" t="s">
        <v>74</v>
      </c>
      <c r="O73" s="1" t="s">
        <v>74</v>
      </c>
      <c r="P73" s="1" t="s">
        <v>74</v>
      </c>
      <c r="Q73" s="1" t="s">
        <v>74</v>
      </c>
      <c r="R73" s="1" t="s">
        <v>74</v>
      </c>
      <c r="S73" s="1" t="s">
        <v>74</v>
      </c>
      <c r="T73" s="1" t="s">
        <v>74</v>
      </c>
      <c r="U73" s="1" t="s">
        <v>74</v>
      </c>
      <c r="V73" s="1" t="s">
        <v>856</v>
      </c>
      <c r="W73" s="1" t="s">
        <v>74</v>
      </c>
      <c r="X73" s="1" t="s">
        <v>74</v>
      </c>
      <c r="Y73" s="1" t="s">
        <v>74</v>
      </c>
      <c r="Z73" s="1" t="s">
        <v>74</v>
      </c>
      <c r="AA73" s="1" t="s">
        <v>857</v>
      </c>
      <c r="AB73" s="1" t="s">
        <v>858</v>
      </c>
      <c r="AC73" s="1" t="s">
        <v>74</v>
      </c>
      <c r="AD73" s="1" t="s">
        <v>74</v>
      </c>
      <c r="AE73" s="1" t="s">
        <v>74</v>
      </c>
      <c r="AF73" s="1" t="s">
        <v>74</v>
      </c>
      <c r="AG73" s="1" t="s">
        <v>74</v>
      </c>
      <c r="AH73" s="1" t="s">
        <v>74</v>
      </c>
      <c r="AI73" s="1" t="s">
        <v>74</v>
      </c>
      <c r="AJ73" s="1" t="s">
        <v>74</v>
      </c>
      <c r="AK73" s="1" t="s">
        <v>74</v>
      </c>
      <c r="AL73" s="1" t="s">
        <v>74</v>
      </c>
      <c r="AM73" s="1" t="s">
        <v>74</v>
      </c>
      <c r="AN73" s="1" t="s">
        <v>74</v>
      </c>
      <c r="AO73" s="1" t="s">
        <v>859</v>
      </c>
      <c r="AP73" s="1" t="s">
        <v>860</v>
      </c>
      <c r="AQ73" s="1" t="s">
        <v>74</v>
      </c>
      <c r="AR73" s="1" t="s">
        <v>74</v>
      </c>
      <c r="AS73" s="1" t="s">
        <v>74</v>
      </c>
      <c r="AT73" s="1" t="s">
        <v>861</v>
      </c>
      <c r="AU73" s="1">
        <v>2023.0</v>
      </c>
      <c r="AV73" s="1" t="s">
        <v>74</v>
      </c>
      <c r="AW73" s="1" t="s">
        <v>74</v>
      </c>
      <c r="AX73" s="1" t="s">
        <v>74</v>
      </c>
      <c r="AY73" s="1" t="s">
        <v>74</v>
      </c>
      <c r="AZ73" s="1" t="s">
        <v>74</v>
      </c>
      <c r="BA73" s="1" t="s">
        <v>74</v>
      </c>
      <c r="BB73" s="1" t="s">
        <v>74</v>
      </c>
      <c r="BC73" s="1" t="s">
        <v>74</v>
      </c>
      <c r="BD73" s="1" t="s">
        <v>74</v>
      </c>
      <c r="BE73" s="1" t="s">
        <v>862</v>
      </c>
      <c r="BF73" s="2" t="str">
        <f>HYPERLINK("http://dx.doi.org/10.1007/s11101-023-09892-x","http://dx.doi.org/10.1007/s11101-023-09892-x")</f>
        <v>http://dx.doi.org/10.1007/s11101-023-09892-x</v>
      </c>
      <c r="BG73" s="1" t="s">
        <v>74</v>
      </c>
      <c r="BH73" s="1" t="s">
        <v>863</v>
      </c>
      <c r="BI73" s="1" t="s">
        <v>74</v>
      </c>
      <c r="BJ73" s="1" t="s">
        <v>74</v>
      </c>
      <c r="BK73" s="1" t="s">
        <v>74</v>
      </c>
      <c r="BL73" s="1" t="s">
        <v>74</v>
      </c>
      <c r="BM73" s="1" t="s">
        <v>74</v>
      </c>
      <c r="BN73" s="1" t="s">
        <v>74</v>
      </c>
      <c r="BO73" s="1" t="s">
        <v>74</v>
      </c>
      <c r="BP73" s="1" t="s">
        <v>74</v>
      </c>
      <c r="BQ73" s="1" t="s">
        <v>74</v>
      </c>
      <c r="BR73" s="1" t="s">
        <v>74</v>
      </c>
      <c r="BS73" s="1" t="s">
        <v>864</v>
      </c>
      <c r="BT73" s="1" t="str">
        <f>HYPERLINK("https%3A%2F%2Fwww.webofscience.com%2Fwos%2Fwoscc%2Ffull-record%2FWOS:001152359000001","View Full Record in Web of Science")</f>
        <v>View Full Record in Web of Science</v>
      </c>
    </row>
    <row r="74" ht="12.75" customHeight="1">
      <c r="A74" s="1" t="s">
        <v>72</v>
      </c>
      <c r="B74" s="1" t="s">
        <v>865</v>
      </c>
      <c r="C74" s="1" t="s">
        <v>74</v>
      </c>
      <c r="D74" s="1" t="s">
        <v>74</v>
      </c>
      <c r="E74" s="1" t="s">
        <v>74</v>
      </c>
      <c r="F74" s="1" t="s">
        <v>866</v>
      </c>
      <c r="G74" s="1" t="s">
        <v>74</v>
      </c>
      <c r="H74" s="1" t="s">
        <v>74</v>
      </c>
      <c r="I74" s="1" t="s">
        <v>867</v>
      </c>
      <c r="J74" s="1" t="s">
        <v>868</v>
      </c>
      <c r="K74" s="1" t="s">
        <v>74</v>
      </c>
      <c r="L74" s="1" t="s">
        <v>74</v>
      </c>
      <c r="M74" s="1" t="s">
        <v>74</v>
      </c>
      <c r="N74" s="1" t="s">
        <v>74</v>
      </c>
      <c r="O74" s="1" t="s">
        <v>74</v>
      </c>
      <c r="P74" s="1" t="s">
        <v>74</v>
      </c>
      <c r="Q74" s="1" t="s">
        <v>74</v>
      </c>
      <c r="R74" s="1" t="s">
        <v>74</v>
      </c>
      <c r="S74" s="1" t="s">
        <v>74</v>
      </c>
      <c r="T74" s="1" t="s">
        <v>74</v>
      </c>
      <c r="U74" s="1" t="s">
        <v>74</v>
      </c>
      <c r="V74" s="1" t="s">
        <v>869</v>
      </c>
      <c r="W74" s="1" t="s">
        <v>74</v>
      </c>
      <c r="X74" s="1" t="s">
        <v>74</v>
      </c>
      <c r="Y74" s="1" t="s">
        <v>74</v>
      </c>
      <c r="Z74" s="1" t="s">
        <v>74</v>
      </c>
      <c r="AA74" s="1" t="s">
        <v>870</v>
      </c>
      <c r="AB74" s="1" t="s">
        <v>871</v>
      </c>
      <c r="AC74" s="1" t="s">
        <v>74</v>
      </c>
      <c r="AD74" s="1" t="s">
        <v>74</v>
      </c>
      <c r="AE74" s="1" t="s">
        <v>74</v>
      </c>
      <c r="AF74" s="1" t="s">
        <v>74</v>
      </c>
      <c r="AG74" s="1" t="s">
        <v>74</v>
      </c>
      <c r="AH74" s="1" t="s">
        <v>74</v>
      </c>
      <c r="AI74" s="1" t="s">
        <v>74</v>
      </c>
      <c r="AJ74" s="1" t="s">
        <v>74</v>
      </c>
      <c r="AK74" s="1" t="s">
        <v>74</v>
      </c>
      <c r="AL74" s="1" t="s">
        <v>74</v>
      </c>
      <c r="AM74" s="1" t="s">
        <v>74</v>
      </c>
      <c r="AN74" s="1" t="s">
        <v>74</v>
      </c>
      <c r="AO74" s="1" t="s">
        <v>872</v>
      </c>
      <c r="AP74" s="1" t="s">
        <v>873</v>
      </c>
      <c r="AQ74" s="1" t="s">
        <v>74</v>
      </c>
      <c r="AR74" s="1" t="s">
        <v>74</v>
      </c>
      <c r="AS74" s="1" t="s">
        <v>74</v>
      </c>
      <c r="AT74" s="1" t="s">
        <v>188</v>
      </c>
      <c r="AU74" s="1">
        <v>2022.0</v>
      </c>
      <c r="AV74" s="1">
        <v>182.0</v>
      </c>
      <c r="AW74" s="1">
        <v>8.0</v>
      </c>
      <c r="AX74" s="1" t="s">
        <v>74</v>
      </c>
      <c r="AY74" s="1" t="s">
        <v>74</v>
      </c>
      <c r="AZ74" s="1" t="s">
        <v>74</v>
      </c>
      <c r="BA74" s="1" t="s">
        <v>74</v>
      </c>
      <c r="BB74" s="1">
        <v>840.0</v>
      </c>
      <c r="BC74" s="1">
        <v>848.0</v>
      </c>
      <c r="BD74" s="1" t="s">
        <v>74</v>
      </c>
      <c r="BE74" s="1" t="s">
        <v>874</v>
      </c>
      <c r="BF74" s="2" t="str">
        <f>HYPERLINK("http://dx.doi.org/10.1001/jamainternmed.2022.2488","http://dx.doi.org/10.1001/jamainternmed.2022.2488")</f>
        <v>http://dx.doi.org/10.1001/jamainternmed.2022.2488</v>
      </c>
      <c r="BG74" s="1" t="s">
        <v>74</v>
      </c>
      <c r="BH74" s="1" t="s">
        <v>875</v>
      </c>
      <c r="BI74" s="1" t="s">
        <v>74</v>
      </c>
      <c r="BJ74" s="1" t="s">
        <v>74</v>
      </c>
      <c r="BK74" s="1" t="s">
        <v>74</v>
      </c>
      <c r="BL74" s="1" t="s">
        <v>74</v>
      </c>
      <c r="BM74" s="1" t="s">
        <v>74</v>
      </c>
      <c r="BN74" s="1">
        <v>3.5788615E7</v>
      </c>
      <c r="BO74" s="1" t="s">
        <v>74</v>
      </c>
      <c r="BP74" s="1" t="s">
        <v>74</v>
      </c>
      <c r="BQ74" s="1" t="s">
        <v>74</v>
      </c>
      <c r="BR74" s="1" t="s">
        <v>74</v>
      </c>
      <c r="BS74" s="1" t="s">
        <v>876</v>
      </c>
      <c r="BT74" s="1" t="str">
        <f>HYPERLINK("https%3A%2F%2Fwww.webofscience.com%2Fwos%2Fwoscc%2Ffull-record%2FWOS:000822042400003","View Full Record in Web of Science")</f>
        <v>View Full Record in Web of Science</v>
      </c>
    </row>
    <row r="75" ht="12.75" customHeight="1">
      <c r="A75" s="1" t="s">
        <v>72</v>
      </c>
      <c r="B75" s="1" t="s">
        <v>877</v>
      </c>
      <c r="C75" s="1" t="s">
        <v>74</v>
      </c>
      <c r="D75" s="1" t="s">
        <v>74</v>
      </c>
      <c r="E75" s="1" t="s">
        <v>74</v>
      </c>
      <c r="F75" s="1" t="s">
        <v>878</v>
      </c>
      <c r="G75" s="1" t="s">
        <v>74</v>
      </c>
      <c r="H75" s="1" t="s">
        <v>74</v>
      </c>
      <c r="I75" s="1" t="s">
        <v>879</v>
      </c>
      <c r="J75" s="1" t="s">
        <v>880</v>
      </c>
      <c r="K75" s="1" t="s">
        <v>74</v>
      </c>
      <c r="L75" s="1" t="s">
        <v>74</v>
      </c>
      <c r="M75" s="1" t="s">
        <v>74</v>
      </c>
      <c r="N75" s="1" t="s">
        <v>74</v>
      </c>
      <c r="O75" s="1" t="s">
        <v>74</v>
      </c>
      <c r="P75" s="1" t="s">
        <v>74</v>
      </c>
      <c r="Q75" s="1" t="s">
        <v>74</v>
      </c>
      <c r="R75" s="1" t="s">
        <v>74</v>
      </c>
      <c r="S75" s="1" t="s">
        <v>74</v>
      </c>
      <c r="T75" s="1" t="s">
        <v>74</v>
      </c>
      <c r="U75" s="1" t="s">
        <v>74</v>
      </c>
      <c r="V75" s="1" t="s">
        <v>881</v>
      </c>
      <c r="W75" s="1" t="s">
        <v>74</v>
      </c>
      <c r="X75" s="1" t="s">
        <v>74</v>
      </c>
      <c r="Y75" s="1" t="s">
        <v>74</v>
      </c>
      <c r="Z75" s="1" t="s">
        <v>74</v>
      </c>
      <c r="AA75" s="1" t="s">
        <v>882</v>
      </c>
      <c r="AB75" s="1" t="s">
        <v>883</v>
      </c>
      <c r="AC75" s="1" t="s">
        <v>74</v>
      </c>
      <c r="AD75" s="1" t="s">
        <v>74</v>
      </c>
      <c r="AE75" s="1" t="s">
        <v>74</v>
      </c>
      <c r="AF75" s="1" t="s">
        <v>74</v>
      </c>
      <c r="AG75" s="1" t="s">
        <v>74</v>
      </c>
      <c r="AH75" s="1" t="s">
        <v>74</v>
      </c>
      <c r="AI75" s="1" t="s">
        <v>74</v>
      </c>
      <c r="AJ75" s="1" t="s">
        <v>74</v>
      </c>
      <c r="AK75" s="1" t="s">
        <v>74</v>
      </c>
      <c r="AL75" s="1" t="s">
        <v>74</v>
      </c>
      <c r="AM75" s="1" t="s">
        <v>74</v>
      </c>
      <c r="AN75" s="1" t="s">
        <v>74</v>
      </c>
      <c r="AO75" s="1" t="s">
        <v>74</v>
      </c>
      <c r="AP75" s="1" t="s">
        <v>884</v>
      </c>
      <c r="AQ75" s="1" t="s">
        <v>74</v>
      </c>
      <c r="AR75" s="1" t="s">
        <v>74</v>
      </c>
      <c r="AS75" s="1" t="s">
        <v>74</v>
      </c>
      <c r="AT75" s="1" t="s">
        <v>885</v>
      </c>
      <c r="AU75" s="1">
        <v>2022.0</v>
      </c>
      <c r="AV75" s="1">
        <v>10.0</v>
      </c>
      <c r="AW75" s="1" t="s">
        <v>74</v>
      </c>
      <c r="AX75" s="1" t="s">
        <v>74</v>
      </c>
      <c r="AY75" s="1" t="s">
        <v>74</v>
      </c>
      <c r="AZ75" s="1" t="s">
        <v>74</v>
      </c>
      <c r="BA75" s="1" t="s">
        <v>74</v>
      </c>
      <c r="BB75" s="1" t="s">
        <v>74</v>
      </c>
      <c r="BC75" s="1" t="s">
        <v>74</v>
      </c>
      <c r="BD75" s="1">
        <v>917970.0</v>
      </c>
      <c r="BE75" s="1" t="s">
        <v>886</v>
      </c>
      <c r="BF75" s="2" t="str">
        <f>HYPERLINK("http://dx.doi.org/10.3389/fpubh.2022.917970","http://dx.doi.org/10.3389/fpubh.2022.917970")</f>
        <v>http://dx.doi.org/10.3389/fpubh.2022.917970</v>
      </c>
      <c r="BG75" s="1" t="s">
        <v>74</v>
      </c>
      <c r="BH75" s="1" t="s">
        <v>74</v>
      </c>
      <c r="BI75" s="1" t="s">
        <v>74</v>
      </c>
      <c r="BJ75" s="1" t="s">
        <v>74</v>
      </c>
      <c r="BK75" s="1" t="s">
        <v>74</v>
      </c>
      <c r="BL75" s="1" t="s">
        <v>74</v>
      </c>
      <c r="BM75" s="1" t="s">
        <v>74</v>
      </c>
      <c r="BN75" s="1">
        <v>3.6033774E7</v>
      </c>
      <c r="BO75" s="1" t="s">
        <v>74</v>
      </c>
      <c r="BP75" s="1" t="s">
        <v>74</v>
      </c>
      <c r="BQ75" s="1" t="s">
        <v>74</v>
      </c>
      <c r="BR75" s="1" t="s">
        <v>74</v>
      </c>
      <c r="BS75" s="1" t="s">
        <v>887</v>
      </c>
      <c r="BT75" s="1" t="str">
        <f>HYPERLINK("https%3A%2F%2Fwww.webofscience.com%2Fwos%2Fwoscc%2Ffull-record%2FWOS:000848273500001","View Full Record in Web of Science")</f>
        <v>View Full Record in Web of Science</v>
      </c>
    </row>
    <row r="76" ht="12.75" customHeight="1">
      <c r="A76" s="1" t="s">
        <v>72</v>
      </c>
      <c r="B76" s="1" t="s">
        <v>888</v>
      </c>
      <c r="C76" s="1" t="s">
        <v>74</v>
      </c>
      <c r="D76" s="1" t="s">
        <v>74</v>
      </c>
      <c r="E76" s="1" t="s">
        <v>74</v>
      </c>
      <c r="F76" s="1" t="s">
        <v>889</v>
      </c>
      <c r="G76" s="1" t="s">
        <v>74</v>
      </c>
      <c r="H76" s="1" t="s">
        <v>890</v>
      </c>
      <c r="I76" s="1" t="s">
        <v>891</v>
      </c>
      <c r="J76" s="1" t="s">
        <v>892</v>
      </c>
      <c r="K76" s="1" t="s">
        <v>74</v>
      </c>
      <c r="L76" s="1" t="s">
        <v>74</v>
      </c>
      <c r="M76" s="1" t="s">
        <v>74</v>
      </c>
      <c r="N76" s="1" t="s">
        <v>74</v>
      </c>
      <c r="O76" s="1" t="s">
        <v>74</v>
      </c>
      <c r="P76" s="1" t="s">
        <v>74</v>
      </c>
      <c r="Q76" s="1" t="s">
        <v>74</v>
      </c>
      <c r="R76" s="1" t="s">
        <v>74</v>
      </c>
      <c r="S76" s="1" t="s">
        <v>74</v>
      </c>
      <c r="T76" s="1" t="s">
        <v>74</v>
      </c>
      <c r="U76" s="1" t="s">
        <v>74</v>
      </c>
      <c r="V76" s="1" t="s">
        <v>893</v>
      </c>
      <c r="W76" s="1" t="s">
        <v>74</v>
      </c>
      <c r="X76" s="1" t="s">
        <v>74</v>
      </c>
      <c r="Y76" s="1" t="s">
        <v>74</v>
      </c>
      <c r="Z76" s="1" t="s">
        <v>74</v>
      </c>
      <c r="AA76" s="1" t="s">
        <v>894</v>
      </c>
      <c r="AB76" s="1" t="s">
        <v>895</v>
      </c>
      <c r="AC76" s="1" t="s">
        <v>74</v>
      </c>
      <c r="AD76" s="1" t="s">
        <v>74</v>
      </c>
      <c r="AE76" s="1" t="s">
        <v>74</v>
      </c>
      <c r="AF76" s="1" t="s">
        <v>74</v>
      </c>
      <c r="AG76" s="1" t="s">
        <v>74</v>
      </c>
      <c r="AH76" s="1" t="s">
        <v>74</v>
      </c>
      <c r="AI76" s="1" t="s">
        <v>74</v>
      </c>
      <c r="AJ76" s="1" t="s">
        <v>74</v>
      </c>
      <c r="AK76" s="1" t="s">
        <v>74</v>
      </c>
      <c r="AL76" s="1" t="s">
        <v>74</v>
      </c>
      <c r="AM76" s="1" t="s">
        <v>74</v>
      </c>
      <c r="AN76" s="1" t="s">
        <v>74</v>
      </c>
      <c r="AO76" s="1" t="s">
        <v>896</v>
      </c>
      <c r="AP76" s="1" t="s">
        <v>897</v>
      </c>
      <c r="AQ76" s="1" t="s">
        <v>74</v>
      </c>
      <c r="AR76" s="1" t="s">
        <v>74</v>
      </c>
      <c r="AS76" s="1" t="s">
        <v>74</v>
      </c>
      <c r="AT76" s="1" t="s">
        <v>898</v>
      </c>
      <c r="AU76" s="1">
        <v>2019.0</v>
      </c>
      <c r="AV76" s="1">
        <v>37.0</v>
      </c>
      <c r="AW76" s="1">
        <v>22.0</v>
      </c>
      <c r="AX76" s="1" t="s">
        <v>74</v>
      </c>
      <c r="AY76" s="1" t="s">
        <v>74</v>
      </c>
      <c r="AZ76" s="1" t="s">
        <v>74</v>
      </c>
      <c r="BA76" s="1" t="s">
        <v>74</v>
      </c>
      <c r="BB76" s="1">
        <v>2549.0</v>
      </c>
      <c r="BC76" s="1">
        <v>2559.0</v>
      </c>
      <c r="BD76" s="1" t="s">
        <v>74</v>
      </c>
      <c r="BE76" s="1" t="s">
        <v>899</v>
      </c>
      <c r="BF76" s="2" t="str">
        <f>HYPERLINK("http://dx.doi.org/10.1080/02640414.2019.1647738","http://dx.doi.org/10.1080/02640414.2019.1647738")</f>
        <v>http://dx.doi.org/10.1080/02640414.2019.1647738</v>
      </c>
      <c r="BG76" s="1" t="s">
        <v>74</v>
      </c>
      <c r="BH76" s="1" t="s">
        <v>900</v>
      </c>
      <c r="BI76" s="1" t="s">
        <v>74</v>
      </c>
      <c r="BJ76" s="1" t="s">
        <v>74</v>
      </c>
      <c r="BK76" s="1" t="s">
        <v>74</v>
      </c>
      <c r="BL76" s="1" t="s">
        <v>74</v>
      </c>
      <c r="BM76" s="1" t="s">
        <v>74</v>
      </c>
      <c r="BN76" s="1">
        <v>3.1366283E7</v>
      </c>
      <c r="BO76" s="1" t="s">
        <v>74</v>
      </c>
      <c r="BP76" s="1" t="s">
        <v>74</v>
      </c>
      <c r="BQ76" s="1" t="s">
        <v>74</v>
      </c>
      <c r="BR76" s="1" t="s">
        <v>74</v>
      </c>
      <c r="BS76" s="1" t="s">
        <v>901</v>
      </c>
      <c r="BT76" s="1" t="str">
        <f>HYPERLINK("https%3A%2F%2Fwww.webofscience.com%2Fwos%2Fwoscc%2Ffull-record%2FWOS:000479836800001","View Full Record in Web of Science")</f>
        <v>View Full Record in Web of Science</v>
      </c>
    </row>
    <row r="77" ht="12.75" customHeight="1">
      <c r="A77" s="1" t="s">
        <v>72</v>
      </c>
      <c r="B77" s="1" t="s">
        <v>902</v>
      </c>
      <c r="C77" s="1" t="s">
        <v>74</v>
      </c>
      <c r="D77" s="1" t="s">
        <v>74</v>
      </c>
      <c r="E77" s="1" t="s">
        <v>74</v>
      </c>
      <c r="F77" s="1" t="s">
        <v>903</v>
      </c>
      <c r="G77" s="1" t="s">
        <v>74</v>
      </c>
      <c r="H77" s="1" t="s">
        <v>74</v>
      </c>
      <c r="I77" s="1" t="s">
        <v>904</v>
      </c>
      <c r="J77" s="1" t="s">
        <v>596</v>
      </c>
      <c r="K77" s="1" t="s">
        <v>74</v>
      </c>
      <c r="L77" s="1" t="s">
        <v>74</v>
      </c>
      <c r="M77" s="1" t="s">
        <v>74</v>
      </c>
      <c r="N77" s="1" t="s">
        <v>74</v>
      </c>
      <c r="O77" s="1" t="s">
        <v>74</v>
      </c>
      <c r="P77" s="1" t="s">
        <v>74</v>
      </c>
      <c r="Q77" s="1" t="s">
        <v>74</v>
      </c>
      <c r="R77" s="1" t="s">
        <v>74</v>
      </c>
      <c r="S77" s="1" t="s">
        <v>74</v>
      </c>
      <c r="T77" s="1" t="s">
        <v>74</v>
      </c>
      <c r="U77" s="1" t="s">
        <v>74</v>
      </c>
      <c r="V77" s="1" t="s">
        <v>905</v>
      </c>
      <c r="W77" s="1" t="s">
        <v>74</v>
      </c>
      <c r="X77" s="1" t="s">
        <v>74</v>
      </c>
      <c r="Y77" s="1" t="s">
        <v>74</v>
      </c>
      <c r="Z77" s="1" t="s">
        <v>74</v>
      </c>
      <c r="AA77" s="1" t="s">
        <v>906</v>
      </c>
      <c r="AB77" s="1" t="s">
        <v>907</v>
      </c>
      <c r="AC77" s="1" t="s">
        <v>74</v>
      </c>
      <c r="AD77" s="1" t="s">
        <v>74</v>
      </c>
      <c r="AE77" s="1" t="s">
        <v>74</v>
      </c>
      <c r="AF77" s="1" t="s">
        <v>74</v>
      </c>
      <c r="AG77" s="1" t="s">
        <v>74</v>
      </c>
      <c r="AH77" s="1" t="s">
        <v>74</v>
      </c>
      <c r="AI77" s="1" t="s">
        <v>74</v>
      </c>
      <c r="AJ77" s="1" t="s">
        <v>74</v>
      </c>
      <c r="AK77" s="1" t="s">
        <v>74</v>
      </c>
      <c r="AL77" s="1" t="s">
        <v>74</v>
      </c>
      <c r="AM77" s="1" t="s">
        <v>74</v>
      </c>
      <c r="AN77" s="1" t="s">
        <v>74</v>
      </c>
      <c r="AO77" s="1" t="s">
        <v>600</v>
      </c>
      <c r="AP77" s="1" t="s">
        <v>601</v>
      </c>
      <c r="AQ77" s="1" t="s">
        <v>74</v>
      </c>
      <c r="AR77" s="1" t="s">
        <v>74</v>
      </c>
      <c r="AS77" s="1" t="s">
        <v>74</v>
      </c>
      <c r="AT77" s="1" t="s">
        <v>848</v>
      </c>
      <c r="AU77" s="1">
        <v>2024.0</v>
      </c>
      <c r="AV77" s="1">
        <v>962.0</v>
      </c>
      <c r="AW77" s="1">
        <v>2.0</v>
      </c>
      <c r="AX77" s="1" t="s">
        <v>74</v>
      </c>
      <c r="AY77" s="1" t="s">
        <v>74</v>
      </c>
      <c r="AZ77" s="1" t="s">
        <v>74</v>
      </c>
      <c r="BA77" s="1" t="s">
        <v>74</v>
      </c>
      <c r="BB77" s="1" t="s">
        <v>74</v>
      </c>
      <c r="BC77" s="1" t="s">
        <v>74</v>
      </c>
      <c r="BD77" s="1">
        <v>154.0</v>
      </c>
      <c r="BE77" s="1" t="s">
        <v>908</v>
      </c>
      <c r="BF77" s="2" t="str">
        <f>HYPERLINK("http://dx.doi.org/10.3847/1538-4357/ad036a","http://dx.doi.org/10.3847/1538-4357/ad036a")</f>
        <v>http://dx.doi.org/10.3847/1538-4357/ad036a</v>
      </c>
      <c r="BG77" s="1" t="s">
        <v>74</v>
      </c>
      <c r="BH77" s="1" t="s">
        <v>74</v>
      </c>
      <c r="BI77" s="1" t="s">
        <v>74</v>
      </c>
      <c r="BJ77" s="1" t="s">
        <v>74</v>
      </c>
      <c r="BK77" s="1" t="s">
        <v>74</v>
      </c>
      <c r="BL77" s="1" t="s">
        <v>74</v>
      </c>
      <c r="BM77" s="1" t="s">
        <v>74</v>
      </c>
      <c r="BN77" s="1" t="s">
        <v>74</v>
      </c>
      <c r="BO77" s="1" t="s">
        <v>74</v>
      </c>
      <c r="BP77" s="1" t="s">
        <v>74</v>
      </c>
      <c r="BQ77" s="1" t="s">
        <v>74</v>
      </c>
      <c r="BR77" s="1" t="s">
        <v>74</v>
      </c>
      <c r="BS77" s="1" t="s">
        <v>909</v>
      </c>
      <c r="BT77" s="1" t="str">
        <f>HYPERLINK("https%3A%2F%2Fwww.webofscience.com%2Fwos%2Fwoscc%2Ffull-record%2FWOS:001162941800001","View Full Record in Web of Science")</f>
        <v>View Full Record in Web of Science</v>
      </c>
    </row>
    <row r="78" ht="12.75" customHeight="1">
      <c r="A78" s="1" t="s">
        <v>72</v>
      </c>
      <c r="B78" s="1" t="s">
        <v>910</v>
      </c>
      <c r="C78" s="1" t="s">
        <v>74</v>
      </c>
      <c r="D78" s="1" t="s">
        <v>74</v>
      </c>
      <c r="E78" s="1" t="s">
        <v>74</v>
      </c>
      <c r="F78" s="1" t="s">
        <v>911</v>
      </c>
      <c r="G78" s="1" t="s">
        <v>74</v>
      </c>
      <c r="H78" s="1" t="s">
        <v>912</v>
      </c>
      <c r="I78" s="1" t="s">
        <v>913</v>
      </c>
      <c r="J78" s="1" t="s">
        <v>914</v>
      </c>
      <c r="K78" s="1" t="s">
        <v>74</v>
      </c>
      <c r="L78" s="1" t="s">
        <v>74</v>
      </c>
      <c r="M78" s="1" t="s">
        <v>74</v>
      </c>
      <c r="N78" s="1" t="s">
        <v>74</v>
      </c>
      <c r="O78" s="1" t="s">
        <v>74</v>
      </c>
      <c r="P78" s="1" t="s">
        <v>74</v>
      </c>
      <c r="Q78" s="1" t="s">
        <v>74</v>
      </c>
      <c r="R78" s="1" t="s">
        <v>74</v>
      </c>
      <c r="S78" s="1" t="s">
        <v>74</v>
      </c>
      <c r="T78" s="1" t="s">
        <v>74</v>
      </c>
      <c r="U78" s="1" t="s">
        <v>74</v>
      </c>
      <c r="V78" s="1" t="s">
        <v>74</v>
      </c>
      <c r="W78" s="1" t="s">
        <v>74</v>
      </c>
      <c r="X78" s="1" t="s">
        <v>74</v>
      </c>
      <c r="Y78" s="1" t="s">
        <v>74</v>
      </c>
      <c r="Z78" s="1" t="s">
        <v>74</v>
      </c>
      <c r="AA78" s="1" t="s">
        <v>915</v>
      </c>
      <c r="AB78" s="1" t="s">
        <v>916</v>
      </c>
      <c r="AC78" s="1" t="s">
        <v>74</v>
      </c>
      <c r="AD78" s="1" t="s">
        <v>74</v>
      </c>
      <c r="AE78" s="1" t="s">
        <v>74</v>
      </c>
      <c r="AF78" s="1" t="s">
        <v>74</v>
      </c>
      <c r="AG78" s="1" t="s">
        <v>74</v>
      </c>
      <c r="AH78" s="1" t="s">
        <v>74</v>
      </c>
      <c r="AI78" s="1" t="s">
        <v>74</v>
      </c>
      <c r="AJ78" s="1" t="s">
        <v>74</v>
      </c>
      <c r="AK78" s="1" t="s">
        <v>74</v>
      </c>
      <c r="AL78" s="1" t="s">
        <v>74</v>
      </c>
      <c r="AM78" s="1" t="s">
        <v>74</v>
      </c>
      <c r="AN78" s="1" t="s">
        <v>74</v>
      </c>
      <c r="AO78" s="1" t="s">
        <v>917</v>
      </c>
      <c r="AP78" s="1" t="s">
        <v>918</v>
      </c>
      <c r="AQ78" s="1" t="s">
        <v>74</v>
      </c>
      <c r="AR78" s="1" t="s">
        <v>74</v>
      </c>
      <c r="AS78" s="1" t="s">
        <v>74</v>
      </c>
      <c r="AT78" s="1" t="s">
        <v>226</v>
      </c>
      <c r="AU78" s="1">
        <v>2020.0</v>
      </c>
      <c r="AV78" s="1">
        <v>49.0</v>
      </c>
      <c r="AW78" s="1">
        <v>3.0</v>
      </c>
      <c r="AX78" s="1" t="s">
        <v>74</v>
      </c>
      <c r="AY78" s="1" t="s">
        <v>74</v>
      </c>
      <c r="AZ78" s="1" t="s">
        <v>74</v>
      </c>
      <c r="BA78" s="1" t="s">
        <v>74</v>
      </c>
      <c r="BB78" s="1">
        <v>760.0</v>
      </c>
      <c r="BC78" s="1" t="s">
        <v>919</v>
      </c>
      <c r="BD78" s="1" t="s">
        <v>74</v>
      </c>
      <c r="BE78" s="1" t="s">
        <v>920</v>
      </c>
      <c r="BF78" s="2" t="str">
        <f>HYPERLINK("http://dx.doi.org/10.1093/ije/dyaa003","http://dx.doi.org/10.1093/ije/dyaa003")</f>
        <v>http://dx.doi.org/10.1093/ije/dyaa003</v>
      </c>
      <c r="BG78" s="1" t="s">
        <v>74</v>
      </c>
      <c r="BH78" s="1" t="s">
        <v>74</v>
      </c>
      <c r="BI78" s="1" t="s">
        <v>74</v>
      </c>
      <c r="BJ78" s="1" t="s">
        <v>74</v>
      </c>
      <c r="BK78" s="1" t="s">
        <v>74</v>
      </c>
      <c r="BL78" s="1" t="s">
        <v>74</v>
      </c>
      <c r="BM78" s="1" t="s">
        <v>74</v>
      </c>
      <c r="BN78" s="1">
        <v>3.2176288E7</v>
      </c>
      <c r="BO78" s="1" t="s">
        <v>74</v>
      </c>
      <c r="BP78" s="1" t="s">
        <v>74</v>
      </c>
      <c r="BQ78" s="1" t="s">
        <v>74</v>
      </c>
      <c r="BR78" s="1" t="s">
        <v>74</v>
      </c>
      <c r="BS78" s="1" t="s">
        <v>921</v>
      </c>
      <c r="BT78" s="1" t="str">
        <f>HYPERLINK("https%3A%2F%2Fwww.webofscience.com%2Fwos%2Fwoscc%2Ffull-record%2FWOS:000593364900010","View Full Record in Web of Science")</f>
        <v>View Full Record in Web of Science</v>
      </c>
    </row>
    <row r="79" ht="12.75" customHeight="1">
      <c r="A79" s="1" t="s">
        <v>72</v>
      </c>
      <c r="B79" s="1" t="s">
        <v>922</v>
      </c>
      <c r="C79" s="1" t="s">
        <v>74</v>
      </c>
      <c r="D79" s="1" t="s">
        <v>74</v>
      </c>
      <c r="E79" s="1" t="s">
        <v>74</v>
      </c>
      <c r="F79" s="1" t="s">
        <v>923</v>
      </c>
      <c r="G79" s="1" t="s">
        <v>74</v>
      </c>
      <c r="H79" s="1" t="s">
        <v>324</v>
      </c>
      <c r="I79" s="1" t="s">
        <v>924</v>
      </c>
      <c r="J79" s="1" t="s">
        <v>439</v>
      </c>
      <c r="K79" s="1" t="s">
        <v>74</v>
      </c>
      <c r="L79" s="1" t="s">
        <v>74</v>
      </c>
      <c r="M79" s="1" t="s">
        <v>74</v>
      </c>
      <c r="N79" s="1" t="s">
        <v>74</v>
      </c>
      <c r="O79" s="1" t="s">
        <v>74</v>
      </c>
      <c r="P79" s="1" t="s">
        <v>74</v>
      </c>
      <c r="Q79" s="1" t="s">
        <v>74</v>
      </c>
      <c r="R79" s="1" t="s">
        <v>74</v>
      </c>
      <c r="S79" s="1" t="s">
        <v>74</v>
      </c>
      <c r="T79" s="1" t="s">
        <v>74</v>
      </c>
      <c r="U79" s="1" t="s">
        <v>74</v>
      </c>
      <c r="V79" s="1" t="s">
        <v>925</v>
      </c>
      <c r="W79" s="1" t="s">
        <v>74</v>
      </c>
      <c r="X79" s="1" t="s">
        <v>74</v>
      </c>
      <c r="Y79" s="1" t="s">
        <v>74</v>
      </c>
      <c r="Z79" s="1" t="s">
        <v>74</v>
      </c>
      <c r="AA79" s="1" t="s">
        <v>926</v>
      </c>
      <c r="AB79" s="1" t="s">
        <v>927</v>
      </c>
      <c r="AC79" s="1" t="s">
        <v>74</v>
      </c>
      <c r="AD79" s="1" t="s">
        <v>74</v>
      </c>
      <c r="AE79" s="1" t="s">
        <v>74</v>
      </c>
      <c r="AF79" s="1" t="s">
        <v>74</v>
      </c>
      <c r="AG79" s="1" t="s">
        <v>74</v>
      </c>
      <c r="AH79" s="1" t="s">
        <v>74</v>
      </c>
      <c r="AI79" s="1" t="s">
        <v>74</v>
      </c>
      <c r="AJ79" s="1" t="s">
        <v>74</v>
      </c>
      <c r="AK79" s="1" t="s">
        <v>74</v>
      </c>
      <c r="AL79" s="1" t="s">
        <v>74</v>
      </c>
      <c r="AM79" s="1" t="s">
        <v>74</v>
      </c>
      <c r="AN79" s="1" t="s">
        <v>74</v>
      </c>
      <c r="AO79" s="1" t="s">
        <v>74</v>
      </c>
      <c r="AP79" s="1" t="s">
        <v>443</v>
      </c>
      <c r="AQ79" s="1" t="s">
        <v>74</v>
      </c>
      <c r="AR79" s="1" t="s">
        <v>74</v>
      </c>
      <c r="AS79" s="1" t="s">
        <v>74</v>
      </c>
      <c r="AT79" s="1" t="s">
        <v>188</v>
      </c>
      <c r="AU79" s="1">
        <v>2020.0</v>
      </c>
      <c r="AV79" s="1">
        <v>17.0</v>
      </c>
      <c r="AW79" s="1">
        <v>15.0</v>
      </c>
      <c r="AX79" s="1" t="s">
        <v>74</v>
      </c>
      <c r="AY79" s="1" t="s">
        <v>74</v>
      </c>
      <c r="AZ79" s="1" t="s">
        <v>74</v>
      </c>
      <c r="BA79" s="1" t="s">
        <v>74</v>
      </c>
      <c r="BB79" s="1" t="s">
        <v>74</v>
      </c>
      <c r="BC79" s="1" t="s">
        <v>74</v>
      </c>
      <c r="BD79" s="1">
        <v>5587.0</v>
      </c>
      <c r="BE79" s="1" t="s">
        <v>928</v>
      </c>
      <c r="BF79" s="2" t="str">
        <f>HYPERLINK("http://dx.doi.org/10.3390/ijerph17155587","http://dx.doi.org/10.3390/ijerph17155587")</f>
        <v>http://dx.doi.org/10.3390/ijerph17155587</v>
      </c>
      <c r="BG79" s="1" t="s">
        <v>74</v>
      </c>
      <c r="BH79" s="1" t="s">
        <v>74</v>
      </c>
      <c r="BI79" s="1" t="s">
        <v>74</v>
      </c>
      <c r="BJ79" s="1" t="s">
        <v>74</v>
      </c>
      <c r="BK79" s="1" t="s">
        <v>74</v>
      </c>
      <c r="BL79" s="1" t="s">
        <v>74</v>
      </c>
      <c r="BM79" s="1" t="s">
        <v>74</v>
      </c>
      <c r="BN79" s="1">
        <v>3.275633E7</v>
      </c>
      <c r="BO79" s="1" t="s">
        <v>74</v>
      </c>
      <c r="BP79" s="1" t="s">
        <v>74</v>
      </c>
      <c r="BQ79" s="1" t="s">
        <v>74</v>
      </c>
      <c r="BR79" s="1" t="s">
        <v>74</v>
      </c>
      <c r="BS79" s="1" t="s">
        <v>929</v>
      </c>
      <c r="BT79" s="1" t="str">
        <f>HYPERLINK("https%3A%2F%2Fwww.webofscience.com%2Fwos%2Fwoscc%2Ffull-record%2FWOS:000567711000001","View Full Record in Web of Science")</f>
        <v>View Full Record in Web of Science</v>
      </c>
    </row>
    <row r="80" ht="12.75" customHeight="1">
      <c r="A80" s="1" t="s">
        <v>72</v>
      </c>
      <c r="B80" s="1" t="s">
        <v>930</v>
      </c>
      <c r="C80" s="1" t="s">
        <v>74</v>
      </c>
      <c r="D80" s="1" t="s">
        <v>74</v>
      </c>
      <c r="E80" s="1" t="s">
        <v>74</v>
      </c>
      <c r="F80" s="1" t="s">
        <v>931</v>
      </c>
      <c r="G80" s="1" t="s">
        <v>74</v>
      </c>
      <c r="H80" s="1" t="s">
        <v>74</v>
      </c>
      <c r="I80" s="1" t="s">
        <v>932</v>
      </c>
      <c r="J80" s="1" t="s">
        <v>933</v>
      </c>
      <c r="K80" s="1" t="s">
        <v>74</v>
      </c>
      <c r="L80" s="1" t="s">
        <v>74</v>
      </c>
      <c r="M80" s="1" t="s">
        <v>74</v>
      </c>
      <c r="N80" s="1" t="s">
        <v>74</v>
      </c>
      <c r="O80" s="1" t="s">
        <v>74</v>
      </c>
      <c r="P80" s="1" t="s">
        <v>74</v>
      </c>
      <c r="Q80" s="1" t="s">
        <v>74</v>
      </c>
      <c r="R80" s="1" t="s">
        <v>74</v>
      </c>
      <c r="S80" s="1" t="s">
        <v>74</v>
      </c>
      <c r="T80" s="1" t="s">
        <v>74</v>
      </c>
      <c r="U80" s="1" t="s">
        <v>74</v>
      </c>
      <c r="V80" s="1" t="s">
        <v>934</v>
      </c>
      <c r="W80" s="1" t="s">
        <v>74</v>
      </c>
      <c r="X80" s="1" t="s">
        <v>74</v>
      </c>
      <c r="Y80" s="1" t="s">
        <v>74</v>
      </c>
      <c r="Z80" s="1" t="s">
        <v>74</v>
      </c>
      <c r="AA80" s="1" t="s">
        <v>935</v>
      </c>
      <c r="AB80" s="1" t="s">
        <v>936</v>
      </c>
      <c r="AC80" s="1" t="s">
        <v>74</v>
      </c>
      <c r="AD80" s="1" t="s">
        <v>74</v>
      </c>
      <c r="AE80" s="1" t="s">
        <v>74</v>
      </c>
      <c r="AF80" s="1" t="s">
        <v>74</v>
      </c>
      <c r="AG80" s="1" t="s">
        <v>74</v>
      </c>
      <c r="AH80" s="1" t="s">
        <v>74</v>
      </c>
      <c r="AI80" s="1" t="s">
        <v>74</v>
      </c>
      <c r="AJ80" s="1" t="s">
        <v>74</v>
      </c>
      <c r="AK80" s="1" t="s">
        <v>74</v>
      </c>
      <c r="AL80" s="1" t="s">
        <v>74</v>
      </c>
      <c r="AM80" s="1" t="s">
        <v>74</v>
      </c>
      <c r="AN80" s="1" t="s">
        <v>74</v>
      </c>
      <c r="AO80" s="1" t="s">
        <v>937</v>
      </c>
      <c r="AP80" s="1" t="s">
        <v>938</v>
      </c>
      <c r="AQ80" s="1" t="s">
        <v>74</v>
      </c>
      <c r="AR80" s="1" t="s">
        <v>74</v>
      </c>
      <c r="AS80" s="1" t="s">
        <v>74</v>
      </c>
      <c r="AT80" s="1" t="s">
        <v>275</v>
      </c>
      <c r="AU80" s="1">
        <v>2025.0</v>
      </c>
      <c r="AV80" s="1">
        <v>369.0</v>
      </c>
      <c r="AW80" s="1" t="s">
        <v>74</v>
      </c>
      <c r="AX80" s="1" t="s">
        <v>74</v>
      </c>
      <c r="AY80" s="1" t="s">
        <v>74</v>
      </c>
      <c r="AZ80" s="1" t="s">
        <v>74</v>
      </c>
      <c r="BA80" s="1" t="s">
        <v>74</v>
      </c>
      <c r="BB80" s="1" t="s">
        <v>74</v>
      </c>
      <c r="BC80" s="1" t="s">
        <v>74</v>
      </c>
      <c r="BD80" s="1">
        <v>117815.0</v>
      </c>
      <c r="BE80" s="1" t="s">
        <v>939</v>
      </c>
      <c r="BF80" s="2" t="str">
        <f>HYPERLINK("http://dx.doi.org/10.1016/j.socscimed.2025.117815","http://dx.doi.org/10.1016/j.socscimed.2025.117815")</f>
        <v>http://dx.doi.org/10.1016/j.socscimed.2025.117815</v>
      </c>
      <c r="BG80" s="1" t="s">
        <v>74</v>
      </c>
      <c r="BH80" s="1" t="s">
        <v>940</v>
      </c>
      <c r="BI80" s="1" t="s">
        <v>74</v>
      </c>
      <c r="BJ80" s="1" t="s">
        <v>74</v>
      </c>
      <c r="BK80" s="1" t="s">
        <v>74</v>
      </c>
      <c r="BL80" s="1" t="s">
        <v>74</v>
      </c>
      <c r="BM80" s="1" t="s">
        <v>74</v>
      </c>
      <c r="BN80" s="1">
        <v>3.9951871E7</v>
      </c>
      <c r="BO80" s="1" t="s">
        <v>74</v>
      </c>
      <c r="BP80" s="1" t="s">
        <v>74</v>
      </c>
      <c r="BQ80" s="1" t="s">
        <v>74</v>
      </c>
      <c r="BR80" s="1" t="s">
        <v>74</v>
      </c>
      <c r="BS80" s="1" t="s">
        <v>941</v>
      </c>
      <c r="BT80" s="1" t="str">
        <f>HYPERLINK("https%3A%2F%2Fwww.webofscience.com%2Fwos%2Fwoscc%2Ffull-record%2FWOS:001429018200001","View Full Record in Web of Science")</f>
        <v>View Full Record in Web of Science</v>
      </c>
    </row>
    <row r="81" ht="12.75" customHeight="1">
      <c r="A81" s="1" t="s">
        <v>72</v>
      </c>
      <c r="B81" s="1" t="s">
        <v>942</v>
      </c>
      <c r="C81" s="1" t="s">
        <v>74</v>
      </c>
      <c r="D81" s="1" t="s">
        <v>74</v>
      </c>
      <c r="E81" s="1" t="s">
        <v>74</v>
      </c>
      <c r="F81" s="1" t="s">
        <v>943</v>
      </c>
      <c r="G81" s="1" t="s">
        <v>74</v>
      </c>
      <c r="H81" s="1" t="s">
        <v>324</v>
      </c>
      <c r="I81" s="1" t="s">
        <v>944</v>
      </c>
      <c r="J81" s="1" t="s">
        <v>945</v>
      </c>
      <c r="K81" s="1" t="s">
        <v>74</v>
      </c>
      <c r="L81" s="1" t="s">
        <v>74</v>
      </c>
      <c r="M81" s="1" t="s">
        <v>74</v>
      </c>
      <c r="N81" s="1" t="s">
        <v>74</v>
      </c>
      <c r="O81" s="1" t="s">
        <v>74</v>
      </c>
      <c r="P81" s="1" t="s">
        <v>74</v>
      </c>
      <c r="Q81" s="1" t="s">
        <v>74</v>
      </c>
      <c r="R81" s="1" t="s">
        <v>74</v>
      </c>
      <c r="S81" s="1" t="s">
        <v>74</v>
      </c>
      <c r="T81" s="1" t="s">
        <v>74</v>
      </c>
      <c r="U81" s="1" t="s">
        <v>74</v>
      </c>
      <c r="V81" s="1" t="s">
        <v>946</v>
      </c>
      <c r="W81" s="1" t="s">
        <v>74</v>
      </c>
      <c r="X81" s="1" t="s">
        <v>74</v>
      </c>
      <c r="Y81" s="1" t="s">
        <v>74</v>
      </c>
      <c r="Z81" s="1" t="s">
        <v>74</v>
      </c>
      <c r="AA81" s="1" t="s">
        <v>947</v>
      </c>
      <c r="AB81" s="1" t="s">
        <v>948</v>
      </c>
      <c r="AC81" s="1" t="s">
        <v>74</v>
      </c>
      <c r="AD81" s="1" t="s">
        <v>74</v>
      </c>
      <c r="AE81" s="1" t="s">
        <v>74</v>
      </c>
      <c r="AF81" s="1" t="s">
        <v>74</v>
      </c>
      <c r="AG81" s="1" t="s">
        <v>74</v>
      </c>
      <c r="AH81" s="1" t="s">
        <v>74</v>
      </c>
      <c r="AI81" s="1" t="s">
        <v>74</v>
      </c>
      <c r="AJ81" s="1" t="s">
        <v>74</v>
      </c>
      <c r="AK81" s="1" t="s">
        <v>74</v>
      </c>
      <c r="AL81" s="1" t="s">
        <v>74</v>
      </c>
      <c r="AM81" s="1" t="s">
        <v>74</v>
      </c>
      <c r="AN81" s="1" t="s">
        <v>74</v>
      </c>
      <c r="AO81" s="1" t="s">
        <v>949</v>
      </c>
      <c r="AP81" s="1" t="s">
        <v>74</v>
      </c>
      <c r="AQ81" s="1" t="s">
        <v>74</v>
      </c>
      <c r="AR81" s="1" t="s">
        <v>74</v>
      </c>
      <c r="AS81" s="1" t="s">
        <v>74</v>
      </c>
      <c r="AT81" s="1" t="s">
        <v>950</v>
      </c>
      <c r="AU81" s="1">
        <v>2024.0</v>
      </c>
      <c r="AV81" s="1">
        <v>11.0</v>
      </c>
      <c r="AW81" s="1" t="s">
        <v>74</v>
      </c>
      <c r="AX81" s="1" t="s">
        <v>74</v>
      </c>
      <c r="AY81" s="1" t="s">
        <v>74</v>
      </c>
      <c r="AZ81" s="1" t="s">
        <v>74</v>
      </c>
      <c r="BA81" s="1" t="s">
        <v>74</v>
      </c>
      <c r="BB81" s="1" t="s">
        <v>74</v>
      </c>
      <c r="BC81" s="1" t="s">
        <v>74</v>
      </c>
      <c r="BD81" s="1">
        <v>1380315.0</v>
      </c>
      <c r="BE81" s="1" t="s">
        <v>951</v>
      </c>
      <c r="BF81" s="2" t="str">
        <f>HYPERLINK("http://dx.doi.org/10.3389/fnut.2024.1380315","http://dx.doi.org/10.3389/fnut.2024.1380315")</f>
        <v>http://dx.doi.org/10.3389/fnut.2024.1380315</v>
      </c>
      <c r="BG81" s="1" t="s">
        <v>74</v>
      </c>
      <c r="BH81" s="1" t="s">
        <v>74</v>
      </c>
      <c r="BI81" s="1" t="s">
        <v>74</v>
      </c>
      <c r="BJ81" s="1" t="s">
        <v>74</v>
      </c>
      <c r="BK81" s="1" t="s">
        <v>74</v>
      </c>
      <c r="BL81" s="1" t="s">
        <v>74</v>
      </c>
      <c r="BM81" s="1" t="s">
        <v>74</v>
      </c>
      <c r="BN81" s="1">
        <v>3.8549747E7</v>
      </c>
      <c r="BO81" s="1" t="s">
        <v>74</v>
      </c>
      <c r="BP81" s="1" t="s">
        <v>74</v>
      </c>
      <c r="BQ81" s="1" t="s">
        <v>74</v>
      </c>
      <c r="BR81" s="1" t="s">
        <v>74</v>
      </c>
      <c r="BS81" s="1" t="s">
        <v>952</v>
      </c>
      <c r="BT81" s="1" t="str">
        <f>HYPERLINK("https%3A%2F%2Fwww.webofscience.com%2Fwos%2Fwoscc%2Ffull-record%2FWOS:001192160300001","View Full Record in Web of Science")</f>
        <v>View Full Record in Web of Science</v>
      </c>
    </row>
    <row r="82" ht="12.75" customHeight="1">
      <c r="A82" s="1" t="s">
        <v>72</v>
      </c>
      <c r="B82" s="1" t="s">
        <v>953</v>
      </c>
      <c r="C82" s="1" t="s">
        <v>74</v>
      </c>
      <c r="D82" s="1" t="s">
        <v>74</v>
      </c>
      <c r="E82" s="1" t="s">
        <v>74</v>
      </c>
      <c r="F82" s="1" t="s">
        <v>954</v>
      </c>
      <c r="G82" s="1" t="s">
        <v>74</v>
      </c>
      <c r="H82" s="1" t="s">
        <v>74</v>
      </c>
      <c r="I82" s="1" t="s">
        <v>955</v>
      </c>
      <c r="J82" s="1" t="s">
        <v>956</v>
      </c>
      <c r="K82" s="1" t="s">
        <v>74</v>
      </c>
      <c r="L82" s="1" t="s">
        <v>74</v>
      </c>
      <c r="M82" s="1" t="s">
        <v>74</v>
      </c>
      <c r="N82" s="1" t="s">
        <v>74</v>
      </c>
      <c r="O82" s="1" t="s">
        <v>74</v>
      </c>
      <c r="P82" s="1" t="s">
        <v>74</v>
      </c>
      <c r="Q82" s="1" t="s">
        <v>74</v>
      </c>
      <c r="R82" s="1" t="s">
        <v>74</v>
      </c>
      <c r="S82" s="1" t="s">
        <v>74</v>
      </c>
      <c r="T82" s="1" t="s">
        <v>74</v>
      </c>
      <c r="U82" s="1" t="s">
        <v>74</v>
      </c>
      <c r="V82" s="1" t="s">
        <v>957</v>
      </c>
      <c r="W82" s="1" t="s">
        <v>74</v>
      </c>
      <c r="X82" s="1" t="s">
        <v>74</v>
      </c>
      <c r="Y82" s="1" t="s">
        <v>74</v>
      </c>
      <c r="Z82" s="1" t="s">
        <v>74</v>
      </c>
      <c r="AA82" s="1" t="s">
        <v>958</v>
      </c>
      <c r="AB82" s="1" t="s">
        <v>959</v>
      </c>
      <c r="AC82" s="1" t="s">
        <v>74</v>
      </c>
      <c r="AD82" s="1" t="s">
        <v>74</v>
      </c>
      <c r="AE82" s="1" t="s">
        <v>74</v>
      </c>
      <c r="AF82" s="1" t="s">
        <v>74</v>
      </c>
      <c r="AG82" s="1" t="s">
        <v>74</v>
      </c>
      <c r="AH82" s="1" t="s">
        <v>74</v>
      </c>
      <c r="AI82" s="1" t="s">
        <v>74</v>
      </c>
      <c r="AJ82" s="1" t="s">
        <v>74</v>
      </c>
      <c r="AK82" s="1" t="s">
        <v>74</v>
      </c>
      <c r="AL82" s="1" t="s">
        <v>74</v>
      </c>
      <c r="AM82" s="1" t="s">
        <v>74</v>
      </c>
      <c r="AN82" s="1" t="s">
        <v>74</v>
      </c>
      <c r="AO82" s="1" t="s">
        <v>74</v>
      </c>
      <c r="AP82" s="1" t="s">
        <v>960</v>
      </c>
      <c r="AQ82" s="1" t="s">
        <v>74</v>
      </c>
      <c r="AR82" s="1" t="s">
        <v>74</v>
      </c>
      <c r="AS82" s="1" t="s">
        <v>74</v>
      </c>
      <c r="AT82" s="1" t="s">
        <v>602</v>
      </c>
      <c r="AU82" s="1">
        <v>2021.0</v>
      </c>
      <c r="AV82" s="1">
        <v>17.0</v>
      </c>
      <c r="AW82" s="1">
        <v>1.0</v>
      </c>
      <c r="AX82" s="1" t="s">
        <v>74</v>
      </c>
      <c r="AY82" s="1" t="s">
        <v>74</v>
      </c>
      <c r="AZ82" s="1" t="s">
        <v>74</v>
      </c>
      <c r="BA82" s="1" t="s">
        <v>74</v>
      </c>
      <c r="BB82" s="1" t="s">
        <v>74</v>
      </c>
      <c r="BC82" s="1" t="s">
        <v>74</v>
      </c>
      <c r="BD82" s="1">
        <v>18.0</v>
      </c>
      <c r="BE82" s="1" t="s">
        <v>961</v>
      </c>
      <c r="BF82" s="2" t="str">
        <f>HYPERLINK("http://dx.doi.org/10.1186/s12992-021-00664-w","http://dx.doi.org/10.1186/s12992-021-00664-w")</f>
        <v>http://dx.doi.org/10.1186/s12992-021-00664-w</v>
      </c>
      <c r="BG82" s="1" t="s">
        <v>74</v>
      </c>
      <c r="BH82" s="1" t="s">
        <v>74</v>
      </c>
      <c r="BI82" s="1" t="s">
        <v>74</v>
      </c>
      <c r="BJ82" s="1" t="s">
        <v>74</v>
      </c>
      <c r="BK82" s="1" t="s">
        <v>74</v>
      </c>
      <c r="BL82" s="1" t="s">
        <v>74</v>
      </c>
      <c r="BM82" s="1" t="s">
        <v>74</v>
      </c>
      <c r="BN82" s="1">
        <v>3.3522937E7</v>
      </c>
      <c r="BO82" s="1" t="s">
        <v>74</v>
      </c>
      <c r="BP82" s="1" t="s">
        <v>74</v>
      </c>
      <c r="BQ82" s="1" t="s">
        <v>74</v>
      </c>
      <c r="BR82" s="1" t="s">
        <v>74</v>
      </c>
      <c r="BS82" s="1" t="s">
        <v>962</v>
      </c>
      <c r="BT82" s="1" t="str">
        <f>HYPERLINK("https%3A%2F%2Fwww.webofscience.com%2Fwos%2Fwoscc%2Ffull-record%2FWOS:000613711600001","View Full Record in Web of Science")</f>
        <v>View Full Record in Web of Science</v>
      </c>
    </row>
    <row r="83" ht="12.75" customHeight="1">
      <c r="A83" s="1" t="s">
        <v>72</v>
      </c>
      <c r="B83" s="1" t="s">
        <v>963</v>
      </c>
      <c r="C83" s="1" t="s">
        <v>74</v>
      </c>
      <c r="D83" s="1" t="s">
        <v>74</v>
      </c>
      <c r="E83" s="1" t="s">
        <v>74</v>
      </c>
      <c r="F83" s="1" t="s">
        <v>963</v>
      </c>
      <c r="G83" s="1" t="s">
        <v>74</v>
      </c>
      <c r="H83" s="1" t="s">
        <v>964</v>
      </c>
      <c r="I83" s="1" t="s">
        <v>965</v>
      </c>
      <c r="J83" s="1" t="s">
        <v>966</v>
      </c>
      <c r="K83" s="1" t="s">
        <v>74</v>
      </c>
      <c r="L83" s="1" t="s">
        <v>74</v>
      </c>
      <c r="M83" s="1" t="s">
        <v>74</v>
      </c>
      <c r="N83" s="1" t="s">
        <v>74</v>
      </c>
      <c r="O83" s="1" t="s">
        <v>74</v>
      </c>
      <c r="P83" s="1" t="s">
        <v>74</v>
      </c>
      <c r="Q83" s="1" t="s">
        <v>74</v>
      </c>
      <c r="R83" s="1" t="s">
        <v>74</v>
      </c>
      <c r="S83" s="1" t="s">
        <v>74</v>
      </c>
      <c r="T83" s="1" t="s">
        <v>74</v>
      </c>
      <c r="U83" s="1" t="s">
        <v>74</v>
      </c>
      <c r="V83" s="1" t="s">
        <v>967</v>
      </c>
      <c r="W83" s="1" t="s">
        <v>74</v>
      </c>
      <c r="X83" s="1" t="s">
        <v>74</v>
      </c>
      <c r="Y83" s="1" t="s">
        <v>74</v>
      </c>
      <c r="Z83" s="1" t="s">
        <v>74</v>
      </c>
      <c r="AA83" s="1" t="s">
        <v>968</v>
      </c>
      <c r="AB83" s="1" t="s">
        <v>969</v>
      </c>
      <c r="AC83" s="1" t="s">
        <v>74</v>
      </c>
      <c r="AD83" s="1" t="s">
        <v>74</v>
      </c>
      <c r="AE83" s="1" t="s">
        <v>74</v>
      </c>
      <c r="AF83" s="1" t="s">
        <v>74</v>
      </c>
      <c r="AG83" s="1" t="s">
        <v>74</v>
      </c>
      <c r="AH83" s="1" t="s">
        <v>74</v>
      </c>
      <c r="AI83" s="1" t="s">
        <v>74</v>
      </c>
      <c r="AJ83" s="1" t="s">
        <v>74</v>
      </c>
      <c r="AK83" s="1" t="s">
        <v>74</v>
      </c>
      <c r="AL83" s="1" t="s">
        <v>74</v>
      </c>
      <c r="AM83" s="1" t="s">
        <v>74</v>
      </c>
      <c r="AN83" s="1" t="s">
        <v>74</v>
      </c>
      <c r="AO83" s="1" t="s">
        <v>970</v>
      </c>
      <c r="AP83" s="1" t="s">
        <v>74</v>
      </c>
      <c r="AQ83" s="1" t="s">
        <v>74</v>
      </c>
      <c r="AR83" s="1" t="s">
        <v>74</v>
      </c>
      <c r="AS83" s="1" t="s">
        <v>74</v>
      </c>
      <c r="AT83" s="1" t="s">
        <v>188</v>
      </c>
      <c r="AU83" s="1">
        <v>1998.0</v>
      </c>
      <c r="AV83" s="1">
        <v>12.0</v>
      </c>
      <c r="AW83" s="1">
        <v>2.0</v>
      </c>
      <c r="AX83" s="1" t="s">
        <v>74</v>
      </c>
      <c r="AY83" s="1" t="s">
        <v>74</v>
      </c>
      <c r="AZ83" s="1" t="s">
        <v>74</v>
      </c>
      <c r="BA83" s="1" t="s">
        <v>74</v>
      </c>
      <c r="BB83" s="1">
        <v>315.0</v>
      </c>
      <c r="BC83" s="1">
        <v>335.0</v>
      </c>
      <c r="BD83" s="1" t="s">
        <v>74</v>
      </c>
      <c r="BE83" s="1" t="s">
        <v>74</v>
      </c>
      <c r="BF83" s="1" t="s">
        <v>74</v>
      </c>
      <c r="BG83" s="1" t="s">
        <v>74</v>
      </c>
      <c r="BH83" s="1" t="s">
        <v>74</v>
      </c>
      <c r="BI83" s="1" t="s">
        <v>74</v>
      </c>
      <c r="BJ83" s="1" t="s">
        <v>74</v>
      </c>
      <c r="BK83" s="1" t="s">
        <v>74</v>
      </c>
      <c r="BL83" s="1" t="s">
        <v>74</v>
      </c>
      <c r="BM83" s="1" t="s">
        <v>74</v>
      </c>
      <c r="BN83" s="1">
        <v>9727780.0</v>
      </c>
      <c r="BO83" s="1" t="s">
        <v>74</v>
      </c>
      <c r="BP83" s="1" t="s">
        <v>74</v>
      </c>
      <c r="BQ83" s="1" t="s">
        <v>74</v>
      </c>
      <c r="BR83" s="1" t="s">
        <v>74</v>
      </c>
      <c r="BS83" s="1" t="s">
        <v>971</v>
      </c>
      <c r="BT83" s="1" t="str">
        <f>HYPERLINK("https%3A%2F%2Fwww.webofscience.com%2Fwos%2Fwoscc%2Ffull-record%2FWOS:000075510900011","View Full Record in Web of Science")</f>
        <v>View Full Record in Web of Science</v>
      </c>
    </row>
    <row r="84" ht="12.75" customHeight="1">
      <c r="A84" s="1" t="s">
        <v>72</v>
      </c>
      <c r="B84" s="1" t="s">
        <v>972</v>
      </c>
      <c r="C84" s="1" t="s">
        <v>74</v>
      </c>
      <c r="D84" s="1" t="s">
        <v>74</v>
      </c>
      <c r="E84" s="1" t="s">
        <v>74</v>
      </c>
      <c r="F84" s="1" t="s">
        <v>973</v>
      </c>
      <c r="G84" s="1" t="s">
        <v>74</v>
      </c>
      <c r="H84" s="1" t="s">
        <v>74</v>
      </c>
      <c r="I84" s="1" t="s">
        <v>974</v>
      </c>
      <c r="J84" s="1" t="s">
        <v>314</v>
      </c>
      <c r="K84" s="1" t="s">
        <v>74</v>
      </c>
      <c r="L84" s="1" t="s">
        <v>74</v>
      </c>
      <c r="M84" s="1" t="s">
        <v>74</v>
      </c>
      <c r="N84" s="1" t="s">
        <v>74</v>
      </c>
      <c r="O84" s="1" t="s">
        <v>74</v>
      </c>
      <c r="P84" s="1" t="s">
        <v>74</v>
      </c>
      <c r="Q84" s="1" t="s">
        <v>74</v>
      </c>
      <c r="R84" s="1" t="s">
        <v>74</v>
      </c>
      <c r="S84" s="1" t="s">
        <v>74</v>
      </c>
      <c r="T84" s="1" t="s">
        <v>74</v>
      </c>
      <c r="U84" s="1" t="s">
        <v>74</v>
      </c>
      <c r="V84" s="1" t="s">
        <v>975</v>
      </c>
      <c r="W84" s="1" t="s">
        <v>74</v>
      </c>
      <c r="X84" s="1" t="s">
        <v>74</v>
      </c>
      <c r="Y84" s="1" t="s">
        <v>74</v>
      </c>
      <c r="Z84" s="1" t="s">
        <v>74</v>
      </c>
      <c r="AA84" s="1" t="s">
        <v>976</v>
      </c>
      <c r="AB84" s="1" t="s">
        <v>977</v>
      </c>
      <c r="AC84" s="1" t="s">
        <v>74</v>
      </c>
      <c r="AD84" s="1" t="s">
        <v>74</v>
      </c>
      <c r="AE84" s="1" t="s">
        <v>74</v>
      </c>
      <c r="AF84" s="1" t="s">
        <v>74</v>
      </c>
      <c r="AG84" s="1" t="s">
        <v>74</v>
      </c>
      <c r="AH84" s="1" t="s">
        <v>74</v>
      </c>
      <c r="AI84" s="1" t="s">
        <v>74</v>
      </c>
      <c r="AJ84" s="1" t="s">
        <v>74</v>
      </c>
      <c r="AK84" s="1" t="s">
        <v>74</v>
      </c>
      <c r="AL84" s="1" t="s">
        <v>74</v>
      </c>
      <c r="AM84" s="1" t="s">
        <v>74</v>
      </c>
      <c r="AN84" s="1" t="s">
        <v>74</v>
      </c>
      <c r="AO84" s="1" t="s">
        <v>318</v>
      </c>
      <c r="AP84" s="1" t="s">
        <v>74</v>
      </c>
      <c r="AQ84" s="1" t="s">
        <v>74</v>
      </c>
      <c r="AR84" s="1" t="s">
        <v>74</v>
      </c>
      <c r="AS84" s="1" t="s">
        <v>74</v>
      </c>
      <c r="AT84" s="1" t="s">
        <v>978</v>
      </c>
      <c r="AU84" s="1">
        <v>2022.0</v>
      </c>
      <c r="AV84" s="1">
        <v>17.0</v>
      </c>
      <c r="AW84" s="1">
        <v>4.0</v>
      </c>
      <c r="AX84" s="1" t="s">
        <v>74</v>
      </c>
      <c r="AY84" s="1" t="s">
        <v>74</v>
      </c>
      <c r="AZ84" s="1" t="s">
        <v>74</v>
      </c>
      <c r="BA84" s="1" t="s">
        <v>74</v>
      </c>
      <c r="BB84" s="1" t="s">
        <v>74</v>
      </c>
      <c r="BC84" s="1" t="s">
        <v>74</v>
      </c>
      <c r="BD84" s="1">
        <v>44042.0</v>
      </c>
      <c r="BE84" s="1" t="s">
        <v>979</v>
      </c>
      <c r="BF84" s="2" t="str">
        <f>HYPERLINK("http://dx.doi.org/10.1088/1748-9326/ac5df0","http://dx.doi.org/10.1088/1748-9326/ac5df0")</f>
        <v>http://dx.doi.org/10.1088/1748-9326/ac5df0</v>
      </c>
      <c r="BG84" s="1" t="s">
        <v>74</v>
      </c>
      <c r="BH84" s="1" t="s">
        <v>74</v>
      </c>
      <c r="BI84" s="1" t="s">
        <v>74</v>
      </c>
      <c r="BJ84" s="1" t="s">
        <v>74</v>
      </c>
      <c r="BK84" s="1" t="s">
        <v>74</v>
      </c>
      <c r="BL84" s="1" t="s">
        <v>74</v>
      </c>
      <c r="BM84" s="1" t="s">
        <v>74</v>
      </c>
      <c r="BN84" s="1" t="s">
        <v>74</v>
      </c>
      <c r="BO84" s="1" t="s">
        <v>74</v>
      </c>
      <c r="BP84" s="1" t="s">
        <v>74</v>
      </c>
      <c r="BQ84" s="1" t="s">
        <v>74</v>
      </c>
      <c r="BR84" s="1" t="s">
        <v>74</v>
      </c>
      <c r="BS84" s="1" t="s">
        <v>980</v>
      </c>
      <c r="BT84" s="1" t="str">
        <f>HYPERLINK("https%3A%2F%2Fwww.webofscience.com%2Fwos%2Fwoscc%2Ffull-record%2FWOS:000772645600001","View Full Record in Web of Science")</f>
        <v>View Full Record in Web of Science</v>
      </c>
    </row>
    <row r="85" ht="12.75" customHeight="1">
      <c r="A85" s="1" t="s">
        <v>72</v>
      </c>
      <c r="B85" s="1" t="s">
        <v>981</v>
      </c>
      <c r="C85" s="1" t="s">
        <v>74</v>
      </c>
      <c r="D85" s="1" t="s">
        <v>74</v>
      </c>
      <c r="E85" s="1" t="s">
        <v>74</v>
      </c>
      <c r="F85" s="1" t="s">
        <v>982</v>
      </c>
      <c r="G85" s="1" t="s">
        <v>74</v>
      </c>
      <c r="H85" s="1" t="s">
        <v>74</v>
      </c>
      <c r="I85" s="1" t="s">
        <v>983</v>
      </c>
      <c r="J85" s="1" t="s">
        <v>966</v>
      </c>
      <c r="K85" s="1" t="s">
        <v>74</v>
      </c>
      <c r="L85" s="1" t="s">
        <v>74</v>
      </c>
      <c r="M85" s="1" t="s">
        <v>74</v>
      </c>
      <c r="N85" s="1" t="s">
        <v>74</v>
      </c>
      <c r="O85" s="1" t="s">
        <v>74</v>
      </c>
      <c r="P85" s="1" t="s">
        <v>74</v>
      </c>
      <c r="Q85" s="1" t="s">
        <v>74</v>
      </c>
      <c r="R85" s="1" t="s">
        <v>74</v>
      </c>
      <c r="S85" s="1" t="s">
        <v>74</v>
      </c>
      <c r="T85" s="1" t="s">
        <v>74</v>
      </c>
      <c r="U85" s="1" t="s">
        <v>74</v>
      </c>
      <c r="V85" s="1" t="s">
        <v>984</v>
      </c>
      <c r="W85" s="1" t="s">
        <v>74</v>
      </c>
      <c r="X85" s="1" t="s">
        <v>74</v>
      </c>
      <c r="Y85" s="1" t="s">
        <v>74</v>
      </c>
      <c r="Z85" s="1" t="s">
        <v>74</v>
      </c>
      <c r="AA85" s="1" t="s">
        <v>985</v>
      </c>
      <c r="AB85" s="1" t="s">
        <v>986</v>
      </c>
      <c r="AC85" s="1" t="s">
        <v>74</v>
      </c>
      <c r="AD85" s="1" t="s">
        <v>74</v>
      </c>
      <c r="AE85" s="1" t="s">
        <v>74</v>
      </c>
      <c r="AF85" s="1" t="s">
        <v>74</v>
      </c>
      <c r="AG85" s="1" t="s">
        <v>74</v>
      </c>
      <c r="AH85" s="1" t="s">
        <v>74</v>
      </c>
      <c r="AI85" s="1" t="s">
        <v>74</v>
      </c>
      <c r="AJ85" s="1" t="s">
        <v>74</v>
      </c>
      <c r="AK85" s="1" t="s">
        <v>74</v>
      </c>
      <c r="AL85" s="1" t="s">
        <v>74</v>
      </c>
      <c r="AM85" s="1" t="s">
        <v>74</v>
      </c>
      <c r="AN85" s="1" t="s">
        <v>74</v>
      </c>
      <c r="AO85" s="1" t="s">
        <v>970</v>
      </c>
      <c r="AP85" s="1" t="s">
        <v>987</v>
      </c>
      <c r="AQ85" s="1" t="s">
        <v>74</v>
      </c>
      <c r="AR85" s="1" t="s">
        <v>74</v>
      </c>
      <c r="AS85" s="1" t="s">
        <v>74</v>
      </c>
      <c r="AT85" s="1" t="s">
        <v>567</v>
      </c>
      <c r="AU85" s="1">
        <v>2017.0</v>
      </c>
      <c r="AV85" s="1">
        <v>49.0</v>
      </c>
      <c r="AW85" s="1">
        <v>1.0</v>
      </c>
      <c r="AX85" s="1" t="s">
        <v>74</v>
      </c>
      <c r="AY85" s="1" t="s">
        <v>74</v>
      </c>
      <c r="AZ85" s="1" t="s">
        <v>74</v>
      </c>
      <c r="BA85" s="1" t="s">
        <v>74</v>
      </c>
      <c r="BB85" s="1" t="s">
        <v>74</v>
      </c>
      <c r="BC85" s="1" t="s">
        <v>74</v>
      </c>
      <c r="BD85" s="1">
        <v>1601605.0</v>
      </c>
      <c r="BE85" s="1" t="s">
        <v>988</v>
      </c>
      <c r="BF85" s="2" t="str">
        <f>HYPERLINK("http://dx.doi.org/10.1183/13993003.01605-2016","http://dx.doi.org/10.1183/13993003.01605-2016")</f>
        <v>http://dx.doi.org/10.1183/13993003.01605-2016</v>
      </c>
      <c r="BG85" s="1" t="s">
        <v>74</v>
      </c>
      <c r="BH85" s="1" t="s">
        <v>74</v>
      </c>
      <c r="BI85" s="1" t="s">
        <v>74</v>
      </c>
      <c r="BJ85" s="1" t="s">
        <v>74</v>
      </c>
      <c r="BK85" s="1" t="s">
        <v>74</v>
      </c>
      <c r="BL85" s="1" t="s">
        <v>74</v>
      </c>
      <c r="BM85" s="1" t="s">
        <v>74</v>
      </c>
      <c r="BN85" s="1">
        <v>2.8077477E7</v>
      </c>
      <c r="BO85" s="1" t="s">
        <v>74</v>
      </c>
      <c r="BP85" s="1" t="s">
        <v>74</v>
      </c>
      <c r="BQ85" s="1" t="s">
        <v>74</v>
      </c>
      <c r="BR85" s="1" t="s">
        <v>74</v>
      </c>
      <c r="BS85" s="1" t="s">
        <v>989</v>
      </c>
      <c r="BT85" s="1" t="str">
        <f>HYPERLINK("https%3A%2F%2Fwww.webofscience.com%2Fwos%2Fwoscc%2Ffull-record%2FWOS:000397423500035","View Full Record in Web of Science")</f>
        <v>View Full Record in Web of Science</v>
      </c>
    </row>
    <row r="86" ht="12.75" customHeight="1">
      <c r="A86" s="1" t="s">
        <v>72</v>
      </c>
      <c r="B86" s="1" t="s">
        <v>990</v>
      </c>
      <c r="C86" s="1" t="s">
        <v>74</v>
      </c>
      <c r="D86" s="1" t="s">
        <v>74</v>
      </c>
      <c r="E86" s="1" t="s">
        <v>74</v>
      </c>
      <c r="F86" s="1" t="s">
        <v>991</v>
      </c>
      <c r="G86" s="1" t="s">
        <v>74</v>
      </c>
      <c r="H86" s="1" t="s">
        <v>74</v>
      </c>
      <c r="I86" s="1" t="s">
        <v>992</v>
      </c>
      <c r="J86" s="1" t="s">
        <v>813</v>
      </c>
      <c r="K86" s="1" t="s">
        <v>74</v>
      </c>
      <c r="L86" s="1" t="s">
        <v>74</v>
      </c>
      <c r="M86" s="1" t="s">
        <v>74</v>
      </c>
      <c r="N86" s="1" t="s">
        <v>74</v>
      </c>
      <c r="O86" s="1" t="s">
        <v>74</v>
      </c>
      <c r="P86" s="1" t="s">
        <v>74</v>
      </c>
      <c r="Q86" s="1" t="s">
        <v>74</v>
      </c>
      <c r="R86" s="1" t="s">
        <v>74</v>
      </c>
      <c r="S86" s="1" t="s">
        <v>74</v>
      </c>
      <c r="T86" s="1" t="s">
        <v>74</v>
      </c>
      <c r="U86" s="1" t="s">
        <v>74</v>
      </c>
      <c r="V86" s="1" t="s">
        <v>993</v>
      </c>
      <c r="W86" s="1" t="s">
        <v>74</v>
      </c>
      <c r="X86" s="1" t="s">
        <v>74</v>
      </c>
      <c r="Y86" s="1" t="s">
        <v>74</v>
      </c>
      <c r="Z86" s="1" t="s">
        <v>74</v>
      </c>
      <c r="AA86" s="1" t="s">
        <v>994</v>
      </c>
      <c r="AB86" s="1" t="s">
        <v>995</v>
      </c>
      <c r="AC86" s="1" t="s">
        <v>74</v>
      </c>
      <c r="AD86" s="1" t="s">
        <v>74</v>
      </c>
      <c r="AE86" s="1" t="s">
        <v>74</v>
      </c>
      <c r="AF86" s="1" t="s">
        <v>74</v>
      </c>
      <c r="AG86" s="1" t="s">
        <v>74</v>
      </c>
      <c r="AH86" s="1" t="s">
        <v>74</v>
      </c>
      <c r="AI86" s="1" t="s">
        <v>74</v>
      </c>
      <c r="AJ86" s="1" t="s">
        <v>74</v>
      </c>
      <c r="AK86" s="1" t="s">
        <v>74</v>
      </c>
      <c r="AL86" s="1" t="s">
        <v>74</v>
      </c>
      <c r="AM86" s="1" t="s">
        <v>74</v>
      </c>
      <c r="AN86" s="1" t="s">
        <v>74</v>
      </c>
      <c r="AO86" s="1" t="s">
        <v>817</v>
      </c>
      <c r="AP86" s="1" t="s">
        <v>818</v>
      </c>
      <c r="AQ86" s="1" t="s">
        <v>74</v>
      </c>
      <c r="AR86" s="1" t="s">
        <v>74</v>
      </c>
      <c r="AS86" s="1" t="s">
        <v>74</v>
      </c>
      <c r="AT86" s="1" t="s">
        <v>996</v>
      </c>
      <c r="AU86" s="1">
        <v>2020.0</v>
      </c>
      <c r="AV86" s="1">
        <v>633.0</v>
      </c>
      <c r="AW86" s="1" t="s">
        <v>74</v>
      </c>
      <c r="AX86" s="1" t="s">
        <v>74</v>
      </c>
      <c r="AY86" s="1" t="s">
        <v>74</v>
      </c>
      <c r="AZ86" s="1" t="s">
        <v>74</v>
      </c>
      <c r="BA86" s="1" t="s">
        <v>74</v>
      </c>
      <c r="BB86" s="1" t="s">
        <v>74</v>
      </c>
      <c r="BC86" s="1" t="s">
        <v>74</v>
      </c>
      <c r="BD86" s="1" t="s">
        <v>997</v>
      </c>
      <c r="BE86" s="1" t="s">
        <v>998</v>
      </c>
      <c r="BF86" s="2" t="str">
        <f>HYPERLINK("http://dx.doi.org/10.1051/0004-6361/201936891","http://dx.doi.org/10.1051/0004-6361/201936891")</f>
        <v>http://dx.doi.org/10.1051/0004-6361/201936891</v>
      </c>
      <c r="BG86" s="1" t="s">
        <v>74</v>
      </c>
      <c r="BH86" s="1" t="s">
        <v>74</v>
      </c>
      <c r="BI86" s="1" t="s">
        <v>74</v>
      </c>
      <c r="BJ86" s="1" t="s">
        <v>74</v>
      </c>
      <c r="BK86" s="1" t="s">
        <v>74</v>
      </c>
      <c r="BL86" s="1" t="s">
        <v>74</v>
      </c>
      <c r="BM86" s="1" t="s">
        <v>74</v>
      </c>
      <c r="BN86" s="1" t="s">
        <v>74</v>
      </c>
      <c r="BO86" s="1" t="s">
        <v>74</v>
      </c>
      <c r="BP86" s="1" t="s">
        <v>74</v>
      </c>
      <c r="BQ86" s="1" t="s">
        <v>74</v>
      </c>
      <c r="BR86" s="1" t="s">
        <v>74</v>
      </c>
      <c r="BS86" s="1" t="s">
        <v>999</v>
      </c>
      <c r="BT86" s="1" t="str">
        <f>HYPERLINK("https%3A%2F%2Fwww.webofscience.com%2Fwos%2Fwoscc%2Ffull-record%2FWOS:000508936600001","View Full Record in Web of Science")</f>
        <v>View Full Record in Web of Science</v>
      </c>
    </row>
    <row r="87" ht="12.75" customHeight="1">
      <c r="A87" s="1" t="s">
        <v>72</v>
      </c>
      <c r="B87" s="1" t="s">
        <v>1000</v>
      </c>
      <c r="C87" s="1" t="s">
        <v>74</v>
      </c>
      <c r="D87" s="1" t="s">
        <v>74</v>
      </c>
      <c r="E87" s="1" t="s">
        <v>74</v>
      </c>
      <c r="F87" s="1" t="s">
        <v>1001</v>
      </c>
      <c r="G87" s="1" t="s">
        <v>74</v>
      </c>
      <c r="H87" s="1" t="s">
        <v>1002</v>
      </c>
      <c r="I87" s="1" t="s">
        <v>1003</v>
      </c>
      <c r="J87" s="1" t="s">
        <v>1004</v>
      </c>
      <c r="K87" s="1" t="s">
        <v>74</v>
      </c>
      <c r="L87" s="1" t="s">
        <v>74</v>
      </c>
      <c r="M87" s="1" t="s">
        <v>74</v>
      </c>
      <c r="N87" s="1" t="s">
        <v>74</v>
      </c>
      <c r="O87" s="1" t="s">
        <v>74</v>
      </c>
      <c r="P87" s="1" t="s">
        <v>74</v>
      </c>
      <c r="Q87" s="1" t="s">
        <v>74</v>
      </c>
      <c r="R87" s="1" t="s">
        <v>74</v>
      </c>
      <c r="S87" s="1" t="s">
        <v>74</v>
      </c>
      <c r="T87" s="1" t="s">
        <v>74</v>
      </c>
      <c r="U87" s="1" t="s">
        <v>74</v>
      </c>
      <c r="V87" s="1" t="s">
        <v>74</v>
      </c>
      <c r="W87" s="1" t="s">
        <v>74</v>
      </c>
      <c r="X87" s="1" t="s">
        <v>74</v>
      </c>
      <c r="Y87" s="1" t="s">
        <v>74</v>
      </c>
      <c r="Z87" s="1" t="s">
        <v>74</v>
      </c>
      <c r="AA87" s="1" t="s">
        <v>1005</v>
      </c>
      <c r="AB87" s="1" t="s">
        <v>1006</v>
      </c>
      <c r="AC87" s="1" t="s">
        <v>74</v>
      </c>
      <c r="AD87" s="1" t="s">
        <v>74</v>
      </c>
      <c r="AE87" s="1" t="s">
        <v>74</v>
      </c>
      <c r="AF87" s="1" t="s">
        <v>74</v>
      </c>
      <c r="AG87" s="1" t="s">
        <v>74</v>
      </c>
      <c r="AH87" s="1" t="s">
        <v>74</v>
      </c>
      <c r="AI87" s="1" t="s">
        <v>74</v>
      </c>
      <c r="AJ87" s="1" t="s">
        <v>74</v>
      </c>
      <c r="AK87" s="1" t="s">
        <v>74</v>
      </c>
      <c r="AL87" s="1" t="s">
        <v>74</v>
      </c>
      <c r="AM87" s="1" t="s">
        <v>74</v>
      </c>
      <c r="AN87" s="1" t="s">
        <v>74</v>
      </c>
      <c r="AO87" s="1" t="s">
        <v>1007</v>
      </c>
      <c r="AP87" s="1" t="s">
        <v>1008</v>
      </c>
      <c r="AQ87" s="1" t="s">
        <v>74</v>
      </c>
      <c r="AR87" s="1" t="s">
        <v>74</v>
      </c>
      <c r="AS87" s="1" t="s">
        <v>74</v>
      </c>
      <c r="AT87" s="1" t="s">
        <v>495</v>
      </c>
      <c r="AU87" s="1">
        <v>2010.0</v>
      </c>
      <c r="AV87" s="1">
        <v>35.0</v>
      </c>
      <c r="AW87" s="1">
        <v>4.0</v>
      </c>
      <c r="AX87" s="1" t="s">
        <v>74</v>
      </c>
      <c r="AY87" s="1" t="s">
        <v>74</v>
      </c>
      <c r="AZ87" s="1" t="s">
        <v>74</v>
      </c>
      <c r="BA87" s="1" t="s">
        <v>74</v>
      </c>
      <c r="BB87" s="1">
        <v>505.0</v>
      </c>
      <c r="BC87" s="1">
        <v>507.0</v>
      </c>
      <c r="BD87" s="1" t="s">
        <v>74</v>
      </c>
      <c r="BE87" s="1" t="s">
        <v>1009</v>
      </c>
      <c r="BF87" s="2" t="str">
        <f>HYPERLINK("http://dx.doi.org/10.1002/uog.7630","http://dx.doi.org/10.1002/uog.7630")</f>
        <v>http://dx.doi.org/10.1002/uog.7630</v>
      </c>
      <c r="BG87" s="1" t="s">
        <v>74</v>
      </c>
      <c r="BH87" s="1" t="s">
        <v>74</v>
      </c>
      <c r="BI87" s="1" t="s">
        <v>74</v>
      </c>
      <c r="BJ87" s="1" t="s">
        <v>74</v>
      </c>
      <c r="BK87" s="1" t="s">
        <v>74</v>
      </c>
      <c r="BL87" s="1" t="s">
        <v>74</v>
      </c>
      <c r="BM87" s="1" t="s">
        <v>74</v>
      </c>
      <c r="BN87" s="1" t="s">
        <v>74</v>
      </c>
      <c r="BO87" s="1" t="s">
        <v>74</v>
      </c>
      <c r="BP87" s="1" t="s">
        <v>74</v>
      </c>
      <c r="BQ87" s="1" t="s">
        <v>74</v>
      </c>
      <c r="BR87" s="1" t="s">
        <v>74</v>
      </c>
      <c r="BS87" s="1" t="s">
        <v>1010</v>
      </c>
      <c r="BT87" s="1" t="str">
        <f>HYPERLINK("https%3A%2F%2Fwww.webofscience.com%2Fwos%2Fwoscc%2Ffull-record%2FWOS:000277353500023","View Full Record in Web of Science")</f>
        <v>View Full Record in Web of Science</v>
      </c>
    </row>
    <row r="88" ht="12.75" customHeight="1">
      <c r="A88" s="1" t="s">
        <v>72</v>
      </c>
      <c r="B88" s="1" t="s">
        <v>1011</v>
      </c>
      <c r="C88" s="1" t="s">
        <v>74</v>
      </c>
      <c r="D88" s="1" t="s">
        <v>74</v>
      </c>
      <c r="E88" s="1" t="s">
        <v>74</v>
      </c>
      <c r="F88" s="1" t="s">
        <v>1012</v>
      </c>
      <c r="G88" s="1" t="s">
        <v>74</v>
      </c>
      <c r="H88" s="1" t="s">
        <v>74</v>
      </c>
      <c r="I88" s="1" t="s">
        <v>1013</v>
      </c>
      <c r="J88" s="1" t="s">
        <v>1014</v>
      </c>
      <c r="K88" s="1" t="s">
        <v>74</v>
      </c>
      <c r="L88" s="1" t="s">
        <v>74</v>
      </c>
      <c r="M88" s="1" t="s">
        <v>74</v>
      </c>
      <c r="N88" s="1" t="s">
        <v>74</v>
      </c>
      <c r="O88" s="1" t="s">
        <v>74</v>
      </c>
      <c r="P88" s="1" t="s">
        <v>74</v>
      </c>
      <c r="Q88" s="1" t="s">
        <v>74</v>
      </c>
      <c r="R88" s="1" t="s">
        <v>74</v>
      </c>
      <c r="S88" s="1" t="s">
        <v>74</v>
      </c>
      <c r="T88" s="1" t="s">
        <v>74</v>
      </c>
      <c r="U88" s="1" t="s">
        <v>74</v>
      </c>
      <c r="V88" s="1" t="s">
        <v>1015</v>
      </c>
      <c r="W88" s="1" t="s">
        <v>74</v>
      </c>
      <c r="X88" s="1" t="s">
        <v>74</v>
      </c>
      <c r="Y88" s="1" t="s">
        <v>74</v>
      </c>
      <c r="Z88" s="1" t="s">
        <v>74</v>
      </c>
      <c r="AA88" s="1" t="s">
        <v>1016</v>
      </c>
      <c r="AB88" s="1" t="s">
        <v>1017</v>
      </c>
      <c r="AC88" s="1" t="s">
        <v>74</v>
      </c>
      <c r="AD88" s="1" t="s">
        <v>74</v>
      </c>
      <c r="AE88" s="1" t="s">
        <v>74</v>
      </c>
      <c r="AF88" s="1" t="s">
        <v>74</v>
      </c>
      <c r="AG88" s="1" t="s">
        <v>74</v>
      </c>
      <c r="AH88" s="1" t="s">
        <v>74</v>
      </c>
      <c r="AI88" s="1" t="s">
        <v>74</v>
      </c>
      <c r="AJ88" s="1" t="s">
        <v>74</v>
      </c>
      <c r="AK88" s="1" t="s">
        <v>74</v>
      </c>
      <c r="AL88" s="1" t="s">
        <v>74</v>
      </c>
      <c r="AM88" s="1" t="s">
        <v>74</v>
      </c>
      <c r="AN88" s="1" t="s">
        <v>74</v>
      </c>
      <c r="AO88" s="1" t="s">
        <v>1018</v>
      </c>
      <c r="AP88" s="1" t="s">
        <v>1019</v>
      </c>
      <c r="AQ88" s="1" t="s">
        <v>74</v>
      </c>
      <c r="AR88" s="1" t="s">
        <v>74</v>
      </c>
      <c r="AS88" s="1" t="s">
        <v>74</v>
      </c>
      <c r="AT88" s="1" t="s">
        <v>757</v>
      </c>
      <c r="AU88" s="1">
        <v>2022.0</v>
      </c>
      <c r="AV88" s="1">
        <v>137.0</v>
      </c>
      <c r="AW88" s="1" t="s">
        <v>74</v>
      </c>
      <c r="AX88" s="1" t="s">
        <v>74</v>
      </c>
      <c r="AY88" s="1" t="s">
        <v>74</v>
      </c>
      <c r="AZ88" s="1" t="s">
        <v>74</v>
      </c>
      <c r="BA88" s="1" t="s">
        <v>74</v>
      </c>
      <c r="BB88" s="1" t="s">
        <v>74</v>
      </c>
      <c r="BC88" s="1" t="s">
        <v>74</v>
      </c>
      <c r="BD88" s="1">
        <v>107772.0</v>
      </c>
      <c r="BE88" s="1" t="s">
        <v>1020</v>
      </c>
      <c r="BF88" s="2" t="str">
        <f>HYPERLINK("http://dx.doi.org/10.1016/j.ijepes.2021.107772","http://dx.doi.org/10.1016/j.ijepes.2021.107772")</f>
        <v>http://dx.doi.org/10.1016/j.ijepes.2021.107772</v>
      </c>
      <c r="BG88" s="1" t="s">
        <v>74</v>
      </c>
      <c r="BH88" s="1" t="s">
        <v>74</v>
      </c>
      <c r="BI88" s="1" t="s">
        <v>74</v>
      </c>
      <c r="BJ88" s="1" t="s">
        <v>74</v>
      </c>
      <c r="BK88" s="1" t="s">
        <v>74</v>
      </c>
      <c r="BL88" s="1" t="s">
        <v>74</v>
      </c>
      <c r="BM88" s="1" t="s">
        <v>74</v>
      </c>
      <c r="BN88" s="1" t="s">
        <v>74</v>
      </c>
      <c r="BO88" s="1" t="s">
        <v>74</v>
      </c>
      <c r="BP88" s="1" t="s">
        <v>74</v>
      </c>
      <c r="BQ88" s="1" t="s">
        <v>74</v>
      </c>
      <c r="BR88" s="1" t="s">
        <v>74</v>
      </c>
      <c r="BS88" s="1" t="s">
        <v>1021</v>
      </c>
      <c r="BT88" s="1" t="str">
        <f>HYPERLINK("https%3A%2F%2Fwww.webofscience.com%2Fwos%2Fwoscc%2Ffull-record%2FWOS:000805127900006","View Full Record in Web of Science")</f>
        <v>View Full Record in Web of Science</v>
      </c>
    </row>
    <row r="89" ht="12.75" customHeight="1">
      <c r="A89" s="1" t="s">
        <v>72</v>
      </c>
      <c r="B89" s="1" t="s">
        <v>1022</v>
      </c>
      <c r="C89" s="1" t="s">
        <v>74</v>
      </c>
      <c r="D89" s="1" t="s">
        <v>74</v>
      </c>
      <c r="E89" s="1" t="s">
        <v>74</v>
      </c>
      <c r="F89" s="1" t="s">
        <v>1023</v>
      </c>
      <c r="G89" s="1" t="s">
        <v>74</v>
      </c>
      <c r="H89" s="1" t="s">
        <v>74</v>
      </c>
      <c r="I89" s="1" t="s">
        <v>1024</v>
      </c>
      <c r="J89" s="1" t="s">
        <v>417</v>
      </c>
      <c r="K89" s="1" t="s">
        <v>74</v>
      </c>
      <c r="L89" s="1" t="s">
        <v>74</v>
      </c>
      <c r="M89" s="1" t="s">
        <v>74</v>
      </c>
      <c r="N89" s="1" t="s">
        <v>74</v>
      </c>
      <c r="O89" s="1" t="s">
        <v>74</v>
      </c>
      <c r="P89" s="1" t="s">
        <v>74</v>
      </c>
      <c r="Q89" s="1" t="s">
        <v>74</v>
      </c>
      <c r="R89" s="1" t="s">
        <v>74</v>
      </c>
      <c r="S89" s="1" t="s">
        <v>74</v>
      </c>
      <c r="T89" s="1" t="s">
        <v>74</v>
      </c>
      <c r="U89" s="1" t="s">
        <v>74</v>
      </c>
      <c r="V89" s="1" t="s">
        <v>1025</v>
      </c>
      <c r="W89" s="1" t="s">
        <v>74</v>
      </c>
      <c r="X89" s="1" t="s">
        <v>74</v>
      </c>
      <c r="Y89" s="1" t="s">
        <v>74</v>
      </c>
      <c r="Z89" s="1" t="s">
        <v>74</v>
      </c>
      <c r="AA89" s="1" t="s">
        <v>1026</v>
      </c>
      <c r="AB89" s="1" t="s">
        <v>1027</v>
      </c>
      <c r="AC89" s="1" t="s">
        <v>74</v>
      </c>
      <c r="AD89" s="1" t="s">
        <v>74</v>
      </c>
      <c r="AE89" s="1" t="s">
        <v>74</v>
      </c>
      <c r="AF89" s="1" t="s">
        <v>74</v>
      </c>
      <c r="AG89" s="1" t="s">
        <v>74</v>
      </c>
      <c r="AH89" s="1" t="s">
        <v>74</v>
      </c>
      <c r="AI89" s="1" t="s">
        <v>74</v>
      </c>
      <c r="AJ89" s="1" t="s">
        <v>74</v>
      </c>
      <c r="AK89" s="1" t="s">
        <v>74</v>
      </c>
      <c r="AL89" s="1" t="s">
        <v>74</v>
      </c>
      <c r="AM89" s="1" t="s">
        <v>74</v>
      </c>
      <c r="AN89" s="1" t="s">
        <v>74</v>
      </c>
      <c r="AO89" s="1" t="s">
        <v>74</v>
      </c>
      <c r="AP89" s="1" t="s">
        <v>421</v>
      </c>
      <c r="AQ89" s="1" t="s">
        <v>74</v>
      </c>
      <c r="AR89" s="1" t="s">
        <v>74</v>
      </c>
      <c r="AS89" s="1" t="s">
        <v>74</v>
      </c>
      <c r="AT89" s="1" t="s">
        <v>1028</v>
      </c>
      <c r="AU89" s="1">
        <v>2022.0</v>
      </c>
      <c r="AV89" s="1">
        <v>22.0</v>
      </c>
      <c r="AW89" s="1">
        <v>1.0</v>
      </c>
      <c r="AX89" s="1" t="s">
        <v>74</v>
      </c>
      <c r="AY89" s="1" t="s">
        <v>74</v>
      </c>
      <c r="AZ89" s="1" t="s">
        <v>74</v>
      </c>
      <c r="BA89" s="1" t="s">
        <v>74</v>
      </c>
      <c r="BB89" s="1" t="s">
        <v>74</v>
      </c>
      <c r="BC89" s="1" t="s">
        <v>74</v>
      </c>
      <c r="BD89" s="1">
        <v>669.0</v>
      </c>
      <c r="BE89" s="1" t="s">
        <v>1029</v>
      </c>
      <c r="BF89" s="2" t="str">
        <f>HYPERLINK("http://dx.doi.org/10.1186/s12889-022-13117-9","http://dx.doi.org/10.1186/s12889-022-13117-9")</f>
        <v>http://dx.doi.org/10.1186/s12889-022-13117-9</v>
      </c>
      <c r="BG89" s="1" t="s">
        <v>74</v>
      </c>
      <c r="BH89" s="1" t="s">
        <v>74</v>
      </c>
      <c r="BI89" s="1" t="s">
        <v>74</v>
      </c>
      <c r="BJ89" s="1" t="s">
        <v>74</v>
      </c>
      <c r="BK89" s="1" t="s">
        <v>74</v>
      </c>
      <c r="BL89" s="1" t="s">
        <v>74</v>
      </c>
      <c r="BM89" s="1" t="s">
        <v>74</v>
      </c>
      <c r="BN89" s="1">
        <v>3.5387627E7</v>
      </c>
      <c r="BO89" s="1" t="s">
        <v>74</v>
      </c>
      <c r="BP89" s="1" t="s">
        <v>74</v>
      </c>
      <c r="BQ89" s="1" t="s">
        <v>74</v>
      </c>
      <c r="BR89" s="1" t="s">
        <v>74</v>
      </c>
      <c r="BS89" s="1" t="s">
        <v>1030</v>
      </c>
      <c r="BT89" s="1" t="str">
        <f>HYPERLINK("https%3A%2F%2Fwww.webofscience.com%2Fwos%2Fwoscc%2Ffull-record%2FWOS:000778981000009","View Full Record in Web of Science")</f>
        <v>View Full Record in Web of Science</v>
      </c>
    </row>
    <row r="90" ht="12.75" customHeight="1">
      <c r="A90" s="1" t="s">
        <v>72</v>
      </c>
      <c r="B90" s="1" t="s">
        <v>1031</v>
      </c>
      <c r="C90" s="1" t="s">
        <v>74</v>
      </c>
      <c r="D90" s="1" t="s">
        <v>74</v>
      </c>
      <c r="E90" s="1" t="s">
        <v>74</v>
      </c>
      <c r="F90" s="1" t="s">
        <v>1032</v>
      </c>
      <c r="G90" s="1" t="s">
        <v>74</v>
      </c>
      <c r="H90" s="1" t="s">
        <v>74</v>
      </c>
      <c r="I90" s="1" t="s">
        <v>1033</v>
      </c>
      <c r="J90" s="1" t="s">
        <v>1034</v>
      </c>
      <c r="K90" s="1" t="s">
        <v>74</v>
      </c>
      <c r="L90" s="1" t="s">
        <v>74</v>
      </c>
      <c r="M90" s="1" t="s">
        <v>74</v>
      </c>
      <c r="N90" s="1" t="s">
        <v>74</v>
      </c>
      <c r="O90" s="1" t="s">
        <v>74</v>
      </c>
      <c r="P90" s="1" t="s">
        <v>74</v>
      </c>
      <c r="Q90" s="1" t="s">
        <v>74</v>
      </c>
      <c r="R90" s="1" t="s">
        <v>74</v>
      </c>
      <c r="S90" s="1" t="s">
        <v>74</v>
      </c>
      <c r="T90" s="1" t="s">
        <v>74</v>
      </c>
      <c r="U90" s="1" t="s">
        <v>74</v>
      </c>
      <c r="V90" s="1" t="s">
        <v>1035</v>
      </c>
      <c r="W90" s="1" t="s">
        <v>74</v>
      </c>
      <c r="X90" s="1" t="s">
        <v>74</v>
      </c>
      <c r="Y90" s="1" t="s">
        <v>74</v>
      </c>
      <c r="Z90" s="1" t="s">
        <v>74</v>
      </c>
      <c r="AA90" s="1" t="s">
        <v>1036</v>
      </c>
      <c r="AB90" s="1" t="s">
        <v>1037</v>
      </c>
      <c r="AC90" s="1" t="s">
        <v>74</v>
      </c>
      <c r="AD90" s="1" t="s">
        <v>74</v>
      </c>
      <c r="AE90" s="1" t="s">
        <v>74</v>
      </c>
      <c r="AF90" s="1" t="s">
        <v>74</v>
      </c>
      <c r="AG90" s="1" t="s">
        <v>74</v>
      </c>
      <c r="AH90" s="1" t="s">
        <v>74</v>
      </c>
      <c r="AI90" s="1" t="s">
        <v>74</v>
      </c>
      <c r="AJ90" s="1" t="s">
        <v>74</v>
      </c>
      <c r="AK90" s="1" t="s">
        <v>74</v>
      </c>
      <c r="AL90" s="1" t="s">
        <v>74</v>
      </c>
      <c r="AM90" s="1" t="s">
        <v>74</v>
      </c>
      <c r="AN90" s="1" t="s">
        <v>74</v>
      </c>
      <c r="AO90" s="1" t="s">
        <v>1038</v>
      </c>
      <c r="AP90" s="1" t="s">
        <v>1039</v>
      </c>
      <c r="AQ90" s="1" t="s">
        <v>74</v>
      </c>
      <c r="AR90" s="1" t="s">
        <v>74</v>
      </c>
      <c r="AS90" s="1" t="s">
        <v>74</v>
      </c>
      <c r="AT90" s="1" t="s">
        <v>1040</v>
      </c>
      <c r="AU90" s="1">
        <v>2017.0</v>
      </c>
      <c r="AV90" s="1">
        <v>10.0</v>
      </c>
      <c r="AW90" s="1">
        <v>8.0</v>
      </c>
      <c r="AX90" s="1" t="s">
        <v>74</v>
      </c>
      <c r="AY90" s="1" t="s">
        <v>74</v>
      </c>
      <c r="AZ90" s="1" t="s">
        <v>74</v>
      </c>
      <c r="BA90" s="1" t="s">
        <v>74</v>
      </c>
      <c r="BB90" s="1">
        <v>2851.0</v>
      </c>
      <c r="BC90" s="1">
        <v>2880.0</v>
      </c>
      <c r="BD90" s="1" t="s">
        <v>74</v>
      </c>
      <c r="BE90" s="1" t="s">
        <v>1041</v>
      </c>
      <c r="BF90" s="2" t="str">
        <f>HYPERLINK("http://dx.doi.org/10.5194/amt-10-2851-2017","http://dx.doi.org/10.5194/amt-10-2851-2017")</f>
        <v>http://dx.doi.org/10.5194/amt-10-2851-2017</v>
      </c>
      <c r="BG90" s="1" t="s">
        <v>74</v>
      </c>
      <c r="BH90" s="1" t="s">
        <v>74</v>
      </c>
      <c r="BI90" s="1" t="s">
        <v>74</v>
      </c>
      <c r="BJ90" s="1" t="s">
        <v>74</v>
      </c>
      <c r="BK90" s="1" t="s">
        <v>74</v>
      </c>
      <c r="BL90" s="1" t="s">
        <v>74</v>
      </c>
      <c r="BM90" s="1" t="s">
        <v>74</v>
      </c>
      <c r="BN90" s="1" t="s">
        <v>74</v>
      </c>
      <c r="BO90" s="1" t="s">
        <v>74</v>
      </c>
      <c r="BP90" s="1" t="s">
        <v>74</v>
      </c>
      <c r="BQ90" s="1" t="s">
        <v>74</v>
      </c>
      <c r="BR90" s="1" t="s">
        <v>74</v>
      </c>
      <c r="BS90" s="1" t="s">
        <v>1042</v>
      </c>
      <c r="BT90" s="1" t="str">
        <f>HYPERLINK("https%3A%2F%2Fwww.webofscience.com%2Fwos%2Fwoscc%2Ffull-record%2FWOS:000407671900001","View Full Record in Web of Science")</f>
        <v>View Full Record in Web of Science</v>
      </c>
    </row>
    <row r="91" ht="12.75" customHeight="1">
      <c r="A91" s="1" t="s">
        <v>72</v>
      </c>
      <c r="B91" s="1" t="s">
        <v>1043</v>
      </c>
      <c r="C91" s="1" t="s">
        <v>74</v>
      </c>
      <c r="D91" s="1" t="s">
        <v>74</v>
      </c>
      <c r="E91" s="1" t="s">
        <v>74</v>
      </c>
      <c r="F91" s="1" t="s">
        <v>1044</v>
      </c>
      <c r="G91" s="1" t="s">
        <v>74</v>
      </c>
      <c r="H91" s="1" t="s">
        <v>74</v>
      </c>
      <c r="I91" s="1" t="s">
        <v>1045</v>
      </c>
      <c r="J91" s="1" t="s">
        <v>1046</v>
      </c>
      <c r="K91" s="1" t="s">
        <v>74</v>
      </c>
      <c r="L91" s="1" t="s">
        <v>74</v>
      </c>
      <c r="M91" s="1" t="s">
        <v>74</v>
      </c>
      <c r="N91" s="1" t="s">
        <v>74</v>
      </c>
      <c r="O91" s="1" t="s">
        <v>74</v>
      </c>
      <c r="P91" s="1" t="s">
        <v>74</v>
      </c>
      <c r="Q91" s="1" t="s">
        <v>74</v>
      </c>
      <c r="R91" s="1" t="s">
        <v>74</v>
      </c>
      <c r="S91" s="1" t="s">
        <v>74</v>
      </c>
      <c r="T91" s="1" t="s">
        <v>74</v>
      </c>
      <c r="U91" s="1" t="s">
        <v>74</v>
      </c>
      <c r="V91" s="1" t="s">
        <v>1047</v>
      </c>
      <c r="W91" s="1" t="s">
        <v>74</v>
      </c>
      <c r="X91" s="1" t="s">
        <v>74</v>
      </c>
      <c r="Y91" s="1" t="s">
        <v>74</v>
      </c>
      <c r="Z91" s="1" t="s">
        <v>74</v>
      </c>
      <c r="AA91" s="1" t="s">
        <v>1048</v>
      </c>
      <c r="AB91" s="1" t="s">
        <v>1049</v>
      </c>
      <c r="AC91" s="1" t="s">
        <v>74</v>
      </c>
      <c r="AD91" s="1" t="s">
        <v>74</v>
      </c>
      <c r="AE91" s="1" t="s">
        <v>74</v>
      </c>
      <c r="AF91" s="1" t="s">
        <v>74</v>
      </c>
      <c r="AG91" s="1" t="s">
        <v>74</v>
      </c>
      <c r="AH91" s="1" t="s">
        <v>74</v>
      </c>
      <c r="AI91" s="1" t="s">
        <v>74</v>
      </c>
      <c r="AJ91" s="1" t="s">
        <v>74</v>
      </c>
      <c r="AK91" s="1" t="s">
        <v>74</v>
      </c>
      <c r="AL91" s="1" t="s">
        <v>74</v>
      </c>
      <c r="AM91" s="1" t="s">
        <v>74</v>
      </c>
      <c r="AN91" s="1" t="s">
        <v>74</v>
      </c>
      <c r="AO91" s="1" t="s">
        <v>1050</v>
      </c>
      <c r="AP91" s="1" t="s">
        <v>1051</v>
      </c>
      <c r="AQ91" s="1" t="s">
        <v>74</v>
      </c>
      <c r="AR91" s="1" t="s">
        <v>74</v>
      </c>
      <c r="AS91" s="1" t="s">
        <v>74</v>
      </c>
      <c r="AT91" s="1" t="s">
        <v>188</v>
      </c>
      <c r="AU91" s="1">
        <v>2023.0</v>
      </c>
      <c r="AV91" s="1">
        <v>18.0</v>
      </c>
      <c r="AW91" s="1">
        <v>2.0</v>
      </c>
      <c r="AX91" s="1" t="s">
        <v>74</v>
      </c>
      <c r="AY91" s="1" t="s">
        <v>74</v>
      </c>
      <c r="AZ91" s="1" t="s">
        <v>74</v>
      </c>
      <c r="BA91" s="1" t="s">
        <v>74</v>
      </c>
      <c r="BB91" s="1">
        <v>495.0</v>
      </c>
      <c r="BC91" s="1">
        <v>526.0</v>
      </c>
      <c r="BD91" s="1" t="s">
        <v>74</v>
      </c>
      <c r="BE91" s="1" t="s">
        <v>1052</v>
      </c>
      <c r="BF91" s="2" t="str">
        <f>HYPERLINK("http://dx.doi.org/10.1007/s11409-023-09338-x","http://dx.doi.org/10.1007/s11409-023-09338-x")</f>
        <v>http://dx.doi.org/10.1007/s11409-023-09338-x</v>
      </c>
      <c r="BG91" s="1" t="s">
        <v>74</v>
      </c>
      <c r="BH91" s="1" t="s">
        <v>1053</v>
      </c>
      <c r="BI91" s="1" t="s">
        <v>74</v>
      </c>
      <c r="BJ91" s="1" t="s">
        <v>74</v>
      </c>
      <c r="BK91" s="1" t="s">
        <v>74</v>
      </c>
      <c r="BL91" s="1" t="s">
        <v>74</v>
      </c>
      <c r="BM91" s="1" t="s">
        <v>74</v>
      </c>
      <c r="BN91" s="1" t="s">
        <v>74</v>
      </c>
      <c r="BO91" s="1" t="s">
        <v>74</v>
      </c>
      <c r="BP91" s="1" t="s">
        <v>74</v>
      </c>
      <c r="BQ91" s="1" t="s">
        <v>74</v>
      </c>
      <c r="BR91" s="1" t="s">
        <v>74</v>
      </c>
      <c r="BS91" s="1" t="s">
        <v>1054</v>
      </c>
      <c r="BT91" s="1" t="str">
        <f>HYPERLINK("https%3A%2F%2Fwww.webofscience.com%2Fwos%2Fwoscc%2Ffull-record%2FWOS:000945803800001","View Full Record in Web of Science")</f>
        <v>View Full Record in Web of Science</v>
      </c>
    </row>
    <row r="92" ht="12.75" customHeight="1">
      <c r="A92" s="1" t="s">
        <v>72</v>
      </c>
      <c r="B92" s="1" t="s">
        <v>1055</v>
      </c>
      <c r="C92" s="1" t="s">
        <v>74</v>
      </c>
      <c r="D92" s="1" t="s">
        <v>74</v>
      </c>
      <c r="E92" s="1" t="s">
        <v>74</v>
      </c>
      <c r="F92" s="1" t="s">
        <v>1056</v>
      </c>
      <c r="G92" s="1" t="s">
        <v>74</v>
      </c>
      <c r="H92" s="1" t="s">
        <v>74</v>
      </c>
      <c r="I92" s="1" t="s">
        <v>1057</v>
      </c>
      <c r="J92" s="1" t="s">
        <v>1058</v>
      </c>
      <c r="K92" s="1" t="s">
        <v>74</v>
      </c>
      <c r="L92" s="1" t="s">
        <v>74</v>
      </c>
      <c r="M92" s="1" t="s">
        <v>74</v>
      </c>
      <c r="N92" s="1" t="s">
        <v>74</v>
      </c>
      <c r="O92" s="1" t="s">
        <v>74</v>
      </c>
      <c r="P92" s="1" t="s">
        <v>74</v>
      </c>
      <c r="Q92" s="1" t="s">
        <v>74</v>
      </c>
      <c r="R92" s="1" t="s">
        <v>74</v>
      </c>
      <c r="S92" s="1" t="s">
        <v>74</v>
      </c>
      <c r="T92" s="1" t="s">
        <v>74</v>
      </c>
      <c r="U92" s="1" t="s">
        <v>74</v>
      </c>
      <c r="V92" s="1" t="s">
        <v>1059</v>
      </c>
      <c r="W92" s="1" t="s">
        <v>74</v>
      </c>
      <c r="X92" s="1" t="s">
        <v>74</v>
      </c>
      <c r="Y92" s="1" t="s">
        <v>74</v>
      </c>
      <c r="Z92" s="1" t="s">
        <v>74</v>
      </c>
      <c r="AA92" s="1" t="s">
        <v>1060</v>
      </c>
      <c r="AB92" s="1" t="s">
        <v>1061</v>
      </c>
      <c r="AC92" s="1" t="s">
        <v>74</v>
      </c>
      <c r="AD92" s="1" t="s">
        <v>74</v>
      </c>
      <c r="AE92" s="1" t="s">
        <v>74</v>
      </c>
      <c r="AF92" s="1" t="s">
        <v>74</v>
      </c>
      <c r="AG92" s="1" t="s">
        <v>74</v>
      </c>
      <c r="AH92" s="1" t="s">
        <v>74</v>
      </c>
      <c r="AI92" s="1" t="s">
        <v>74</v>
      </c>
      <c r="AJ92" s="1" t="s">
        <v>74</v>
      </c>
      <c r="AK92" s="1" t="s">
        <v>74</v>
      </c>
      <c r="AL92" s="1" t="s">
        <v>74</v>
      </c>
      <c r="AM92" s="1" t="s">
        <v>74</v>
      </c>
      <c r="AN92" s="1" t="s">
        <v>74</v>
      </c>
      <c r="AO92" s="1" t="s">
        <v>1062</v>
      </c>
      <c r="AP92" s="1" t="s">
        <v>1063</v>
      </c>
      <c r="AQ92" s="1" t="s">
        <v>74</v>
      </c>
      <c r="AR92" s="1" t="s">
        <v>74</v>
      </c>
      <c r="AS92" s="1" t="s">
        <v>74</v>
      </c>
      <c r="AT92" s="1" t="s">
        <v>130</v>
      </c>
      <c r="AU92" s="1">
        <v>2020.0</v>
      </c>
      <c r="AV92" s="1">
        <v>140.0</v>
      </c>
      <c r="AW92" s="1">
        <v>5.0</v>
      </c>
      <c r="AX92" s="1" t="s">
        <v>74</v>
      </c>
      <c r="AY92" s="1" t="s">
        <v>74</v>
      </c>
      <c r="AZ92" s="1" t="s">
        <v>74</v>
      </c>
      <c r="BA92" s="1" t="s">
        <v>74</v>
      </c>
      <c r="BB92" s="1">
        <v>737.0</v>
      </c>
      <c r="BC92" s="1">
        <v>764.0</v>
      </c>
      <c r="BD92" s="1" t="s">
        <v>74</v>
      </c>
      <c r="BE92" s="1" t="s">
        <v>1064</v>
      </c>
      <c r="BF92" s="2" t="str">
        <f>HYPERLINK("http://dx.doi.org/10.1007/s00401-020-02183-1","http://dx.doi.org/10.1007/s00401-020-02183-1")</f>
        <v>http://dx.doi.org/10.1007/s00401-020-02183-1</v>
      </c>
      <c r="BG92" s="1" t="s">
        <v>74</v>
      </c>
      <c r="BH92" s="1" t="s">
        <v>1065</v>
      </c>
      <c r="BI92" s="1" t="s">
        <v>74</v>
      </c>
      <c r="BJ92" s="1" t="s">
        <v>74</v>
      </c>
      <c r="BK92" s="1" t="s">
        <v>74</v>
      </c>
      <c r="BL92" s="1" t="s">
        <v>74</v>
      </c>
      <c r="BM92" s="1" t="s">
        <v>74</v>
      </c>
      <c r="BN92" s="1">
        <v>3.2642868E7</v>
      </c>
      <c r="BO92" s="1" t="s">
        <v>74</v>
      </c>
      <c r="BP92" s="1" t="s">
        <v>74</v>
      </c>
      <c r="BQ92" s="1" t="s">
        <v>74</v>
      </c>
      <c r="BR92" s="1" t="s">
        <v>74</v>
      </c>
      <c r="BS92" s="1" t="s">
        <v>1066</v>
      </c>
      <c r="BT92" s="1" t="str">
        <f>HYPERLINK("https%3A%2F%2Fwww.webofscience.com%2Fwos%2Fwoscc%2Ffull-record%2FWOS:000546557000001","View Full Record in Web of Science")</f>
        <v>View Full Record in Web of Science</v>
      </c>
    </row>
    <row r="93" ht="12.75" customHeight="1">
      <c r="A93" s="1" t="s">
        <v>72</v>
      </c>
      <c r="B93" s="1" t="s">
        <v>1067</v>
      </c>
      <c r="C93" s="1" t="s">
        <v>74</v>
      </c>
      <c r="D93" s="1" t="s">
        <v>74</v>
      </c>
      <c r="E93" s="1" t="s">
        <v>74</v>
      </c>
      <c r="F93" s="1" t="s">
        <v>1068</v>
      </c>
      <c r="G93" s="1" t="s">
        <v>74</v>
      </c>
      <c r="H93" s="1" t="s">
        <v>74</v>
      </c>
      <c r="I93" s="1" t="s">
        <v>1069</v>
      </c>
      <c r="J93" s="1" t="s">
        <v>77</v>
      </c>
      <c r="K93" s="1" t="s">
        <v>74</v>
      </c>
      <c r="L93" s="1" t="s">
        <v>74</v>
      </c>
      <c r="M93" s="1" t="s">
        <v>74</v>
      </c>
      <c r="N93" s="1" t="s">
        <v>74</v>
      </c>
      <c r="O93" s="1" t="s">
        <v>74</v>
      </c>
      <c r="P93" s="1" t="s">
        <v>74</v>
      </c>
      <c r="Q93" s="1" t="s">
        <v>74</v>
      </c>
      <c r="R93" s="1" t="s">
        <v>74</v>
      </c>
      <c r="S93" s="1" t="s">
        <v>74</v>
      </c>
      <c r="T93" s="1" t="s">
        <v>74</v>
      </c>
      <c r="U93" s="1" t="s">
        <v>74</v>
      </c>
      <c r="V93" s="1" t="s">
        <v>1070</v>
      </c>
      <c r="W93" s="1" t="s">
        <v>74</v>
      </c>
      <c r="X93" s="1" t="s">
        <v>74</v>
      </c>
      <c r="Y93" s="1" t="s">
        <v>74</v>
      </c>
      <c r="Z93" s="1" t="s">
        <v>74</v>
      </c>
      <c r="AA93" s="1" t="s">
        <v>1071</v>
      </c>
      <c r="AB93" s="1" t="s">
        <v>1072</v>
      </c>
      <c r="AC93" s="1" t="s">
        <v>74</v>
      </c>
      <c r="AD93" s="1" t="s">
        <v>74</v>
      </c>
      <c r="AE93" s="1" t="s">
        <v>74</v>
      </c>
      <c r="AF93" s="1" t="s">
        <v>74</v>
      </c>
      <c r="AG93" s="1" t="s">
        <v>74</v>
      </c>
      <c r="AH93" s="1" t="s">
        <v>74</v>
      </c>
      <c r="AI93" s="1" t="s">
        <v>74</v>
      </c>
      <c r="AJ93" s="1" t="s">
        <v>74</v>
      </c>
      <c r="AK93" s="1" t="s">
        <v>74</v>
      </c>
      <c r="AL93" s="1" t="s">
        <v>74</v>
      </c>
      <c r="AM93" s="1" t="s">
        <v>74</v>
      </c>
      <c r="AN93" s="1" t="s">
        <v>74</v>
      </c>
      <c r="AO93" s="1" t="s">
        <v>81</v>
      </c>
      <c r="AP93" s="1" t="s">
        <v>82</v>
      </c>
      <c r="AQ93" s="1" t="s">
        <v>74</v>
      </c>
      <c r="AR93" s="1" t="s">
        <v>74</v>
      </c>
      <c r="AS93" s="1" t="s">
        <v>74</v>
      </c>
      <c r="AT93" s="1" t="s">
        <v>130</v>
      </c>
      <c r="AU93" s="1">
        <v>2020.0</v>
      </c>
      <c r="AV93" s="1">
        <v>30.0</v>
      </c>
      <c r="AW93" s="1">
        <v>11.0</v>
      </c>
      <c r="AX93" s="1" t="s">
        <v>74</v>
      </c>
      <c r="AY93" s="1" t="s">
        <v>74</v>
      </c>
      <c r="AZ93" s="1" t="s">
        <v>74</v>
      </c>
      <c r="BA93" s="1" t="s">
        <v>74</v>
      </c>
      <c r="BB93" s="1">
        <v>6051.0</v>
      </c>
      <c r="BC93" s="1">
        <v>6068.0</v>
      </c>
      <c r="BD93" s="1" t="s">
        <v>74</v>
      </c>
      <c r="BE93" s="1" t="s">
        <v>1073</v>
      </c>
      <c r="BF93" s="2" t="str">
        <f>HYPERLINK("http://dx.doi.org/10.1093/cercor/bhaa178","http://dx.doi.org/10.1093/cercor/bhaa178")</f>
        <v>http://dx.doi.org/10.1093/cercor/bhaa178</v>
      </c>
      <c r="BG93" s="1" t="s">
        <v>74</v>
      </c>
      <c r="BH93" s="1" t="s">
        <v>74</v>
      </c>
      <c r="BI93" s="1" t="s">
        <v>74</v>
      </c>
      <c r="BJ93" s="1" t="s">
        <v>74</v>
      </c>
      <c r="BK93" s="1" t="s">
        <v>74</v>
      </c>
      <c r="BL93" s="1" t="s">
        <v>74</v>
      </c>
      <c r="BM93" s="1" t="s">
        <v>74</v>
      </c>
      <c r="BN93" s="1">
        <v>3.2577713E7</v>
      </c>
      <c r="BO93" s="1" t="s">
        <v>74</v>
      </c>
      <c r="BP93" s="1" t="s">
        <v>74</v>
      </c>
      <c r="BQ93" s="1" t="s">
        <v>74</v>
      </c>
      <c r="BR93" s="1" t="s">
        <v>74</v>
      </c>
      <c r="BS93" s="1" t="s">
        <v>1074</v>
      </c>
      <c r="BT93" s="1" t="str">
        <f>HYPERLINK("https%3A%2F%2Fwww.webofscience.com%2Fwos%2Fwoscc%2Ffull-record%2FWOS:000582709400031","View Full Record in Web of Science")</f>
        <v>View Full Record in Web of Science</v>
      </c>
    </row>
    <row r="94" ht="12.75" customHeight="1">
      <c r="A94" s="1" t="s">
        <v>72</v>
      </c>
      <c r="B94" s="1" t="s">
        <v>1075</v>
      </c>
      <c r="C94" s="1" t="s">
        <v>74</v>
      </c>
      <c r="D94" s="1" t="s">
        <v>74</v>
      </c>
      <c r="E94" s="1" t="s">
        <v>74</v>
      </c>
      <c r="F94" s="1" t="s">
        <v>1076</v>
      </c>
      <c r="G94" s="1" t="s">
        <v>74</v>
      </c>
      <c r="H94" s="1" t="s">
        <v>74</v>
      </c>
      <c r="I94" s="1" t="s">
        <v>1077</v>
      </c>
      <c r="J94" s="1" t="s">
        <v>182</v>
      </c>
      <c r="K94" s="1" t="s">
        <v>74</v>
      </c>
      <c r="L94" s="1" t="s">
        <v>74</v>
      </c>
      <c r="M94" s="1" t="s">
        <v>74</v>
      </c>
      <c r="N94" s="1" t="s">
        <v>74</v>
      </c>
      <c r="O94" s="1" t="s">
        <v>74</v>
      </c>
      <c r="P94" s="1" t="s">
        <v>74</v>
      </c>
      <c r="Q94" s="1" t="s">
        <v>74</v>
      </c>
      <c r="R94" s="1" t="s">
        <v>74</v>
      </c>
      <c r="S94" s="1" t="s">
        <v>74</v>
      </c>
      <c r="T94" s="1" t="s">
        <v>74</v>
      </c>
      <c r="U94" s="1" t="s">
        <v>74</v>
      </c>
      <c r="V94" s="1" t="s">
        <v>1078</v>
      </c>
      <c r="W94" s="1" t="s">
        <v>74</v>
      </c>
      <c r="X94" s="1" t="s">
        <v>74</v>
      </c>
      <c r="Y94" s="1" t="s">
        <v>74</v>
      </c>
      <c r="Z94" s="1" t="s">
        <v>74</v>
      </c>
      <c r="AA94" s="1" t="s">
        <v>1079</v>
      </c>
      <c r="AB94" s="1" t="s">
        <v>1080</v>
      </c>
      <c r="AC94" s="1" t="s">
        <v>74</v>
      </c>
      <c r="AD94" s="1" t="s">
        <v>74</v>
      </c>
      <c r="AE94" s="1" t="s">
        <v>74</v>
      </c>
      <c r="AF94" s="1" t="s">
        <v>74</v>
      </c>
      <c r="AG94" s="1" t="s">
        <v>74</v>
      </c>
      <c r="AH94" s="1" t="s">
        <v>74</v>
      </c>
      <c r="AI94" s="1" t="s">
        <v>74</v>
      </c>
      <c r="AJ94" s="1" t="s">
        <v>74</v>
      </c>
      <c r="AK94" s="1" t="s">
        <v>74</v>
      </c>
      <c r="AL94" s="1" t="s">
        <v>74</v>
      </c>
      <c r="AM94" s="1" t="s">
        <v>74</v>
      </c>
      <c r="AN94" s="1" t="s">
        <v>74</v>
      </c>
      <c r="AO94" s="1" t="s">
        <v>186</v>
      </c>
      <c r="AP94" s="1" t="s">
        <v>187</v>
      </c>
      <c r="AQ94" s="1" t="s">
        <v>74</v>
      </c>
      <c r="AR94" s="1" t="s">
        <v>74</v>
      </c>
      <c r="AS94" s="1" t="s">
        <v>74</v>
      </c>
      <c r="AT94" s="1" t="s">
        <v>1081</v>
      </c>
      <c r="AU94" s="1">
        <v>2025.0</v>
      </c>
      <c r="AV94" s="1" t="s">
        <v>74</v>
      </c>
      <c r="AW94" s="1" t="s">
        <v>74</v>
      </c>
      <c r="AX94" s="1" t="s">
        <v>74</v>
      </c>
      <c r="AY94" s="1" t="s">
        <v>74</v>
      </c>
      <c r="AZ94" s="1" t="s">
        <v>74</v>
      </c>
      <c r="BA94" s="1" t="s">
        <v>74</v>
      </c>
      <c r="BB94" s="1" t="s">
        <v>74</v>
      </c>
      <c r="BC94" s="1" t="s">
        <v>74</v>
      </c>
      <c r="BD94" s="1" t="s">
        <v>74</v>
      </c>
      <c r="BE94" s="1" t="s">
        <v>1082</v>
      </c>
      <c r="BF94" s="2" t="str">
        <f>HYPERLINK("http://dx.doi.org/10.1123/jpah.2024-0436","http://dx.doi.org/10.1123/jpah.2024-0436")</f>
        <v>http://dx.doi.org/10.1123/jpah.2024-0436</v>
      </c>
      <c r="BG94" s="1" t="s">
        <v>74</v>
      </c>
      <c r="BH94" s="1" t="s">
        <v>434</v>
      </c>
      <c r="BI94" s="1" t="s">
        <v>74</v>
      </c>
      <c r="BJ94" s="1" t="s">
        <v>74</v>
      </c>
      <c r="BK94" s="1" t="s">
        <v>74</v>
      </c>
      <c r="BL94" s="1" t="s">
        <v>74</v>
      </c>
      <c r="BM94" s="1" t="s">
        <v>74</v>
      </c>
      <c r="BN94" s="1">
        <v>3.9798552E7</v>
      </c>
      <c r="BO94" s="1" t="s">
        <v>74</v>
      </c>
      <c r="BP94" s="1" t="s">
        <v>74</v>
      </c>
      <c r="BQ94" s="1" t="s">
        <v>74</v>
      </c>
      <c r="BR94" s="1" t="s">
        <v>74</v>
      </c>
      <c r="BS94" s="1" t="s">
        <v>1083</v>
      </c>
      <c r="BT94" s="1" t="str">
        <f>HYPERLINK("https%3A%2F%2Fwww.webofscience.com%2Fwos%2Fwoscc%2Ffull-record%2FWOS:001397341400001","View Full Record in Web of Science")</f>
        <v>View Full Record in Web of Science</v>
      </c>
    </row>
    <row r="95" ht="12.75" customHeight="1">
      <c r="A95" s="1" t="s">
        <v>72</v>
      </c>
      <c r="B95" s="1" t="s">
        <v>1084</v>
      </c>
      <c r="C95" s="1" t="s">
        <v>74</v>
      </c>
      <c r="D95" s="1" t="s">
        <v>74</v>
      </c>
      <c r="E95" s="1" t="s">
        <v>74</v>
      </c>
      <c r="F95" s="1" t="s">
        <v>1085</v>
      </c>
      <c r="G95" s="1" t="s">
        <v>74</v>
      </c>
      <c r="H95" s="1" t="s">
        <v>74</v>
      </c>
      <c r="I95" s="1" t="s">
        <v>1086</v>
      </c>
      <c r="J95" s="1" t="s">
        <v>1087</v>
      </c>
      <c r="K95" s="1" t="s">
        <v>74</v>
      </c>
      <c r="L95" s="1" t="s">
        <v>74</v>
      </c>
      <c r="M95" s="1" t="s">
        <v>74</v>
      </c>
      <c r="N95" s="1" t="s">
        <v>74</v>
      </c>
      <c r="O95" s="1" t="s">
        <v>74</v>
      </c>
      <c r="P95" s="1" t="s">
        <v>74</v>
      </c>
      <c r="Q95" s="1" t="s">
        <v>74</v>
      </c>
      <c r="R95" s="1" t="s">
        <v>74</v>
      </c>
      <c r="S95" s="1" t="s">
        <v>74</v>
      </c>
      <c r="T95" s="1" t="s">
        <v>74</v>
      </c>
      <c r="U95" s="1" t="s">
        <v>74</v>
      </c>
      <c r="V95" s="1" t="s">
        <v>1088</v>
      </c>
      <c r="W95" s="1" t="s">
        <v>74</v>
      </c>
      <c r="X95" s="1" t="s">
        <v>74</v>
      </c>
      <c r="Y95" s="1" t="s">
        <v>74</v>
      </c>
      <c r="Z95" s="1" t="s">
        <v>74</v>
      </c>
      <c r="AA95" s="1" t="s">
        <v>1089</v>
      </c>
      <c r="AB95" s="1" t="s">
        <v>1090</v>
      </c>
      <c r="AC95" s="1" t="s">
        <v>74</v>
      </c>
      <c r="AD95" s="1" t="s">
        <v>74</v>
      </c>
      <c r="AE95" s="1" t="s">
        <v>74</v>
      </c>
      <c r="AF95" s="1" t="s">
        <v>74</v>
      </c>
      <c r="AG95" s="1" t="s">
        <v>74</v>
      </c>
      <c r="AH95" s="1" t="s">
        <v>74</v>
      </c>
      <c r="AI95" s="1" t="s">
        <v>74</v>
      </c>
      <c r="AJ95" s="1" t="s">
        <v>74</v>
      </c>
      <c r="AK95" s="1" t="s">
        <v>74</v>
      </c>
      <c r="AL95" s="1" t="s">
        <v>74</v>
      </c>
      <c r="AM95" s="1" t="s">
        <v>74</v>
      </c>
      <c r="AN95" s="1" t="s">
        <v>74</v>
      </c>
      <c r="AO95" s="1" t="s">
        <v>1091</v>
      </c>
      <c r="AP95" s="1" t="s">
        <v>1092</v>
      </c>
      <c r="AQ95" s="1" t="s">
        <v>74</v>
      </c>
      <c r="AR95" s="1" t="s">
        <v>74</v>
      </c>
      <c r="AS95" s="1" t="s">
        <v>74</v>
      </c>
      <c r="AT95" s="1" t="s">
        <v>1093</v>
      </c>
      <c r="AU95" s="1">
        <v>2022.0</v>
      </c>
      <c r="AV95" s="1">
        <v>110.0</v>
      </c>
      <c r="AW95" s="1">
        <v>10.0</v>
      </c>
      <c r="AX95" s="1" t="s">
        <v>74</v>
      </c>
      <c r="AY95" s="1" t="s">
        <v>74</v>
      </c>
      <c r="AZ95" s="1" t="s">
        <v>74</v>
      </c>
      <c r="BA95" s="1" t="s">
        <v>74</v>
      </c>
      <c r="BB95" s="1">
        <v>1656.0</v>
      </c>
      <c r="BC95" s="1" t="s">
        <v>919</v>
      </c>
      <c r="BD95" s="1" t="s">
        <v>74</v>
      </c>
      <c r="BE95" s="1" t="s">
        <v>1094</v>
      </c>
      <c r="BF95" s="2" t="str">
        <f>HYPERLINK("http://dx.doi.org/10.1016/j.neuron.2022.02.010","http://dx.doi.org/10.1016/j.neuron.2022.02.010")</f>
        <v>http://dx.doi.org/10.1016/j.neuron.2022.02.010</v>
      </c>
      <c r="BG95" s="1" t="s">
        <v>74</v>
      </c>
      <c r="BH95" s="1" t="s">
        <v>1095</v>
      </c>
      <c r="BI95" s="1" t="s">
        <v>74</v>
      </c>
      <c r="BJ95" s="1" t="s">
        <v>74</v>
      </c>
      <c r="BK95" s="1" t="s">
        <v>74</v>
      </c>
      <c r="BL95" s="1" t="s">
        <v>74</v>
      </c>
      <c r="BM95" s="1" t="s">
        <v>74</v>
      </c>
      <c r="BN95" s="1">
        <v>3.5276083E7</v>
      </c>
      <c r="BO95" s="1" t="s">
        <v>74</v>
      </c>
      <c r="BP95" s="1" t="s">
        <v>74</v>
      </c>
      <c r="BQ95" s="1" t="s">
        <v>74</v>
      </c>
      <c r="BR95" s="1" t="s">
        <v>74</v>
      </c>
      <c r="BS95" s="1" t="s">
        <v>1096</v>
      </c>
      <c r="BT95" s="1" t="str">
        <f>HYPERLINK("https%3A%2F%2Fwww.webofscience.com%2Fwos%2Fwoscc%2Ffull-record%2FWOS:000806724800010","View Full Record in Web of Science")</f>
        <v>View Full Record in Web of Science</v>
      </c>
    </row>
    <row r="96" ht="12.75" customHeight="1">
      <c r="A96" s="1" t="s">
        <v>72</v>
      </c>
      <c r="B96" s="1" t="s">
        <v>1097</v>
      </c>
      <c r="C96" s="1" t="s">
        <v>74</v>
      </c>
      <c r="D96" s="1" t="s">
        <v>74</v>
      </c>
      <c r="E96" s="1" t="s">
        <v>74</v>
      </c>
      <c r="F96" s="1" t="s">
        <v>1098</v>
      </c>
      <c r="G96" s="1" t="s">
        <v>74</v>
      </c>
      <c r="H96" s="1" t="s">
        <v>74</v>
      </c>
      <c r="I96" s="1" t="s">
        <v>1099</v>
      </c>
      <c r="J96" s="1" t="s">
        <v>1100</v>
      </c>
      <c r="K96" s="1" t="s">
        <v>74</v>
      </c>
      <c r="L96" s="1" t="s">
        <v>74</v>
      </c>
      <c r="M96" s="1" t="s">
        <v>74</v>
      </c>
      <c r="N96" s="1" t="s">
        <v>74</v>
      </c>
      <c r="O96" s="1" t="s">
        <v>74</v>
      </c>
      <c r="P96" s="1" t="s">
        <v>74</v>
      </c>
      <c r="Q96" s="1" t="s">
        <v>74</v>
      </c>
      <c r="R96" s="1" t="s">
        <v>74</v>
      </c>
      <c r="S96" s="1" t="s">
        <v>74</v>
      </c>
      <c r="T96" s="1" t="s">
        <v>74</v>
      </c>
      <c r="U96" s="1" t="s">
        <v>74</v>
      </c>
      <c r="V96" s="1" t="s">
        <v>1101</v>
      </c>
      <c r="W96" s="1" t="s">
        <v>74</v>
      </c>
      <c r="X96" s="1" t="s">
        <v>74</v>
      </c>
      <c r="Y96" s="1" t="s">
        <v>74</v>
      </c>
      <c r="Z96" s="1" t="s">
        <v>74</v>
      </c>
      <c r="AA96" s="1" t="s">
        <v>1102</v>
      </c>
      <c r="AB96" s="1" t="s">
        <v>1103</v>
      </c>
      <c r="AC96" s="1" t="s">
        <v>74</v>
      </c>
      <c r="AD96" s="1" t="s">
        <v>74</v>
      </c>
      <c r="AE96" s="1" t="s">
        <v>74</v>
      </c>
      <c r="AF96" s="1" t="s">
        <v>74</v>
      </c>
      <c r="AG96" s="1" t="s">
        <v>74</v>
      </c>
      <c r="AH96" s="1" t="s">
        <v>74</v>
      </c>
      <c r="AI96" s="1" t="s">
        <v>74</v>
      </c>
      <c r="AJ96" s="1" t="s">
        <v>74</v>
      </c>
      <c r="AK96" s="1" t="s">
        <v>74</v>
      </c>
      <c r="AL96" s="1" t="s">
        <v>74</v>
      </c>
      <c r="AM96" s="1" t="s">
        <v>74</v>
      </c>
      <c r="AN96" s="1" t="s">
        <v>74</v>
      </c>
      <c r="AO96" s="1" t="s">
        <v>1104</v>
      </c>
      <c r="AP96" s="1" t="s">
        <v>1105</v>
      </c>
      <c r="AQ96" s="1" t="s">
        <v>74</v>
      </c>
      <c r="AR96" s="1" t="s">
        <v>74</v>
      </c>
      <c r="AS96" s="1" t="s">
        <v>74</v>
      </c>
      <c r="AT96" s="1" t="s">
        <v>1106</v>
      </c>
      <c r="AU96" s="1">
        <v>2017.0</v>
      </c>
      <c r="AV96" s="1">
        <v>28.0</v>
      </c>
      <c r="AW96" s="1">
        <v>6.0</v>
      </c>
      <c r="AX96" s="1" t="s">
        <v>74</v>
      </c>
      <c r="AY96" s="1" t="s">
        <v>74</v>
      </c>
      <c r="AZ96" s="1" t="s">
        <v>74</v>
      </c>
      <c r="BA96" s="1" t="s">
        <v>74</v>
      </c>
      <c r="BB96" s="1" t="s">
        <v>74</v>
      </c>
      <c r="BC96" s="1" t="s">
        <v>74</v>
      </c>
      <c r="BD96" s="1">
        <v>65709.0</v>
      </c>
      <c r="BE96" s="1" t="s">
        <v>1107</v>
      </c>
      <c r="BF96" s="2" t="str">
        <f>HYPERLINK("http://dx.doi.org/10.1088/1361-6528/aa5118","http://dx.doi.org/10.1088/1361-6528/aa5118")</f>
        <v>http://dx.doi.org/10.1088/1361-6528/aa5118</v>
      </c>
      <c r="BG96" s="1" t="s">
        <v>74</v>
      </c>
      <c r="BH96" s="1" t="s">
        <v>74</v>
      </c>
      <c r="BI96" s="1" t="s">
        <v>74</v>
      </c>
      <c r="BJ96" s="1" t="s">
        <v>74</v>
      </c>
      <c r="BK96" s="1" t="s">
        <v>74</v>
      </c>
      <c r="BL96" s="1" t="s">
        <v>74</v>
      </c>
      <c r="BM96" s="1" t="s">
        <v>74</v>
      </c>
      <c r="BN96" s="1">
        <v>2.8067207E7</v>
      </c>
      <c r="BO96" s="1" t="s">
        <v>74</v>
      </c>
      <c r="BP96" s="1" t="s">
        <v>74</v>
      </c>
      <c r="BQ96" s="1" t="s">
        <v>74</v>
      </c>
      <c r="BR96" s="1" t="s">
        <v>74</v>
      </c>
      <c r="BS96" s="1" t="s">
        <v>1108</v>
      </c>
      <c r="BT96" s="1" t="str">
        <f>HYPERLINK("https%3A%2F%2Fwww.webofscience.com%2Fwos%2Fwoscc%2Ffull-record%2FWOS:000412983200002","View Full Record in Web of Science")</f>
        <v>View Full Record in Web of Science</v>
      </c>
    </row>
    <row r="97" ht="12.75" customHeight="1">
      <c r="A97" s="1" t="s">
        <v>72</v>
      </c>
      <c r="B97" s="1" t="s">
        <v>1109</v>
      </c>
      <c r="C97" s="1" t="s">
        <v>74</v>
      </c>
      <c r="D97" s="1" t="s">
        <v>74</v>
      </c>
      <c r="E97" s="1" t="s">
        <v>74</v>
      </c>
      <c r="F97" s="1" t="s">
        <v>1110</v>
      </c>
      <c r="G97" s="1" t="s">
        <v>74</v>
      </c>
      <c r="H97" s="1" t="s">
        <v>74</v>
      </c>
      <c r="I97" s="1" t="s">
        <v>1111</v>
      </c>
      <c r="J97" s="1" t="s">
        <v>1112</v>
      </c>
      <c r="K97" s="1" t="s">
        <v>74</v>
      </c>
      <c r="L97" s="1" t="s">
        <v>74</v>
      </c>
      <c r="M97" s="1" t="s">
        <v>74</v>
      </c>
      <c r="N97" s="1" t="s">
        <v>74</v>
      </c>
      <c r="O97" s="1" t="s">
        <v>74</v>
      </c>
      <c r="P97" s="1" t="s">
        <v>74</v>
      </c>
      <c r="Q97" s="1" t="s">
        <v>74</v>
      </c>
      <c r="R97" s="1" t="s">
        <v>74</v>
      </c>
      <c r="S97" s="1" t="s">
        <v>74</v>
      </c>
      <c r="T97" s="1" t="s">
        <v>74</v>
      </c>
      <c r="U97" s="1" t="s">
        <v>74</v>
      </c>
      <c r="V97" s="1" t="s">
        <v>1113</v>
      </c>
      <c r="W97" s="1" t="s">
        <v>74</v>
      </c>
      <c r="X97" s="1" t="s">
        <v>74</v>
      </c>
      <c r="Y97" s="1" t="s">
        <v>74</v>
      </c>
      <c r="Z97" s="1" t="s">
        <v>74</v>
      </c>
      <c r="AA97" s="1" t="s">
        <v>1114</v>
      </c>
      <c r="AB97" s="1" t="s">
        <v>74</v>
      </c>
      <c r="AC97" s="1" t="s">
        <v>74</v>
      </c>
      <c r="AD97" s="1" t="s">
        <v>74</v>
      </c>
      <c r="AE97" s="1" t="s">
        <v>74</v>
      </c>
      <c r="AF97" s="1" t="s">
        <v>74</v>
      </c>
      <c r="AG97" s="1" t="s">
        <v>74</v>
      </c>
      <c r="AH97" s="1" t="s">
        <v>74</v>
      </c>
      <c r="AI97" s="1" t="s">
        <v>74</v>
      </c>
      <c r="AJ97" s="1" t="s">
        <v>74</v>
      </c>
      <c r="AK97" s="1" t="s">
        <v>74</v>
      </c>
      <c r="AL97" s="1" t="s">
        <v>74</v>
      </c>
      <c r="AM97" s="1" t="s">
        <v>74</v>
      </c>
      <c r="AN97" s="1" t="s">
        <v>74</v>
      </c>
      <c r="AO97" s="1" t="s">
        <v>74</v>
      </c>
      <c r="AP97" s="1" t="s">
        <v>1115</v>
      </c>
      <c r="AQ97" s="1" t="s">
        <v>74</v>
      </c>
      <c r="AR97" s="1" t="s">
        <v>74</v>
      </c>
      <c r="AS97" s="1" t="s">
        <v>74</v>
      </c>
      <c r="AT97" s="1" t="s">
        <v>1116</v>
      </c>
      <c r="AU97" s="1">
        <v>2024.0</v>
      </c>
      <c r="AV97" s="1">
        <v>21.0</v>
      </c>
      <c r="AW97" s="1">
        <v>1.0</v>
      </c>
      <c r="AX97" s="1" t="s">
        <v>74</v>
      </c>
      <c r="AY97" s="1" t="s">
        <v>74</v>
      </c>
      <c r="AZ97" s="1" t="s">
        <v>74</v>
      </c>
      <c r="BA97" s="1" t="s">
        <v>74</v>
      </c>
      <c r="BB97" s="1" t="s">
        <v>74</v>
      </c>
      <c r="BC97" s="1" t="s">
        <v>74</v>
      </c>
      <c r="BD97" s="1">
        <v>68.0</v>
      </c>
      <c r="BE97" s="1" t="s">
        <v>1117</v>
      </c>
      <c r="BF97" s="2" t="str">
        <f>HYPERLINK("http://dx.doi.org/10.1186/s12966-024-01615-5","http://dx.doi.org/10.1186/s12966-024-01615-5")</f>
        <v>http://dx.doi.org/10.1186/s12966-024-01615-5</v>
      </c>
      <c r="BG97" s="1" t="s">
        <v>74</v>
      </c>
      <c r="BH97" s="1" t="s">
        <v>74</v>
      </c>
      <c r="BI97" s="1" t="s">
        <v>74</v>
      </c>
      <c r="BJ97" s="1" t="s">
        <v>74</v>
      </c>
      <c r="BK97" s="1" t="s">
        <v>74</v>
      </c>
      <c r="BL97" s="1" t="s">
        <v>74</v>
      </c>
      <c r="BM97" s="1" t="s">
        <v>74</v>
      </c>
      <c r="BN97" s="1">
        <v>3.8961452E7</v>
      </c>
      <c r="BO97" s="1" t="s">
        <v>74</v>
      </c>
      <c r="BP97" s="1" t="s">
        <v>74</v>
      </c>
      <c r="BQ97" s="1" t="s">
        <v>74</v>
      </c>
      <c r="BR97" s="1" t="s">
        <v>74</v>
      </c>
      <c r="BS97" s="1" t="s">
        <v>1118</v>
      </c>
      <c r="BT97" s="1" t="str">
        <f>HYPERLINK("https%3A%2F%2Fwww.webofscience.com%2Fwos%2Fwoscc%2Ffull-record%2FWOS:001261588000003","View Full Record in Web of Science")</f>
        <v>View Full Record in Web of Science</v>
      </c>
    </row>
    <row r="98" ht="12.75" customHeight="1">
      <c r="A98" s="1" t="s">
        <v>72</v>
      </c>
      <c r="B98" s="1" t="s">
        <v>1119</v>
      </c>
      <c r="C98" s="1" t="s">
        <v>74</v>
      </c>
      <c r="D98" s="1" t="s">
        <v>74</v>
      </c>
      <c r="E98" s="1" t="s">
        <v>74</v>
      </c>
      <c r="F98" s="1" t="s">
        <v>1120</v>
      </c>
      <c r="G98" s="1" t="s">
        <v>74</v>
      </c>
      <c r="H98" s="1" t="s">
        <v>74</v>
      </c>
      <c r="I98" s="1" t="s">
        <v>1121</v>
      </c>
      <c r="J98" s="1" t="s">
        <v>573</v>
      </c>
      <c r="K98" s="1" t="s">
        <v>74</v>
      </c>
      <c r="L98" s="1" t="s">
        <v>74</v>
      </c>
      <c r="M98" s="1" t="s">
        <v>74</v>
      </c>
      <c r="N98" s="1" t="s">
        <v>74</v>
      </c>
      <c r="O98" s="1" t="s">
        <v>74</v>
      </c>
      <c r="P98" s="1" t="s">
        <v>74</v>
      </c>
      <c r="Q98" s="1" t="s">
        <v>74</v>
      </c>
      <c r="R98" s="1" t="s">
        <v>74</v>
      </c>
      <c r="S98" s="1" t="s">
        <v>74</v>
      </c>
      <c r="T98" s="1" t="s">
        <v>74</v>
      </c>
      <c r="U98" s="1" t="s">
        <v>74</v>
      </c>
      <c r="V98" s="1" t="s">
        <v>1122</v>
      </c>
      <c r="W98" s="1" t="s">
        <v>74</v>
      </c>
      <c r="X98" s="1" t="s">
        <v>74</v>
      </c>
      <c r="Y98" s="1" t="s">
        <v>74</v>
      </c>
      <c r="Z98" s="1" t="s">
        <v>74</v>
      </c>
      <c r="AA98" s="1" t="s">
        <v>1123</v>
      </c>
      <c r="AB98" s="1" t="s">
        <v>1124</v>
      </c>
      <c r="AC98" s="1" t="s">
        <v>74</v>
      </c>
      <c r="AD98" s="1" t="s">
        <v>74</v>
      </c>
      <c r="AE98" s="1" t="s">
        <v>74</v>
      </c>
      <c r="AF98" s="1" t="s">
        <v>74</v>
      </c>
      <c r="AG98" s="1" t="s">
        <v>74</v>
      </c>
      <c r="AH98" s="1" t="s">
        <v>74</v>
      </c>
      <c r="AI98" s="1" t="s">
        <v>74</v>
      </c>
      <c r="AJ98" s="1" t="s">
        <v>74</v>
      </c>
      <c r="AK98" s="1" t="s">
        <v>74</v>
      </c>
      <c r="AL98" s="1" t="s">
        <v>74</v>
      </c>
      <c r="AM98" s="1" t="s">
        <v>74</v>
      </c>
      <c r="AN98" s="1" t="s">
        <v>74</v>
      </c>
      <c r="AO98" s="1" t="s">
        <v>577</v>
      </c>
      <c r="AP98" s="1" t="s">
        <v>578</v>
      </c>
      <c r="AQ98" s="1" t="s">
        <v>74</v>
      </c>
      <c r="AR98" s="1" t="s">
        <v>74</v>
      </c>
      <c r="AS98" s="1" t="s">
        <v>74</v>
      </c>
      <c r="AT98" s="1" t="s">
        <v>275</v>
      </c>
      <c r="AU98" s="1">
        <v>2021.0</v>
      </c>
      <c r="AV98" s="1">
        <v>36.0</v>
      </c>
      <c r="AW98" s="1">
        <v>3.0</v>
      </c>
      <c r="AX98" s="1" t="s">
        <v>74</v>
      </c>
      <c r="AY98" s="1" t="s">
        <v>74</v>
      </c>
      <c r="AZ98" s="1" t="s">
        <v>74</v>
      </c>
      <c r="BA98" s="1" t="s">
        <v>74</v>
      </c>
      <c r="BB98" s="1">
        <v>275.0</v>
      </c>
      <c r="BC98" s="1">
        <v>285.0</v>
      </c>
      <c r="BD98" s="1" t="s">
        <v>74</v>
      </c>
      <c r="BE98" s="1" t="s">
        <v>1125</v>
      </c>
      <c r="BF98" s="2" t="str">
        <f>HYPERLINK("http://dx.doi.org/10.1007/s10654-020-00707-3","http://dx.doi.org/10.1007/s10654-020-00707-3")</f>
        <v>http://dx.doi.org/10.1007/s10654-020-00707-3</v>
      </c>
      <c r="BG98" s="1" t="s">
        <v>74</v>
      </c>
      <c r="BH98" s="1" t="s">
        <v>368</v>
      </c>
      <c r="BI98" s="1" t="s">
        <v>74</v>
      </c>
      <c r="BJ98" s="1" t="s">
        <v>74</v>
      </c>
      <c r="BK98" s="1" t="s">
        <v>74</v>
      </c>
      <c r="BL98" s="1" t="s">
        <v>74</v>
      </c>
      <c r="BM98" s="1" t="s">
        <v>74</v>
      </c>
      <c r="BN98" s="1">
        <v>3.3428024E7</v>
      </c>
      <c r="BO98" s="1" t="s">
        <v>74</v>
      </c>
      <c r="BP98" s="1" t="s">
        <v>74</v>
      </c>
      <c r="BQ98" s="1" t="s">
        <v>74</v>
      </c>
      <c r="BR98" s="1" t="s">
        <v>74</v>
      </c>
      <c r="BS98" s="1" t="s">
        <v>1126</v>
      </c>
      <c r="BT98" s="1" t="str">
        <f>HYPERLINK("https%3A%2F%2Fwww.webofscience.com%2Fwos%2Fwoscc%2Ffull-record%2FWOS:000607017400002","View Full Record in Web of Science")</f>
        <v>View Full Record in Web of Science</v>
      </c>
    </row>
    <row r="99" ht="12.75" customHeight="1">
      <c r="A99" s="1" t="s">
        <v>72</v>
      </c>
      <c r="B99" s="1" t="s">
        <v>1127</v>
      </c>
      <c r="C99" s="1" t="s">
        <v>74</v>
      </c>
      <c r="D99" s="1" t="s">
        <v>74</v>
      </c>
      <c r="E99" s="1" t="s">
        <v>74</v>
      </c>
      <c r="F99" s="1" t="s">
        <v>1128</v>
      </c>
      <c r="G99" s="1" t="s">
        <v>74</v>
      </c>
      <c r="H99" s="1" t="s">
        <v>74</v>
      </c>
      <c r="I99" s="1" t="s">
        <v>1129</v>
      </c>
      <c r="J99" s="1" t="s">
        <v>596</v>
      </c>
      <c r="K99" s="1" t="s">
        <v>74</v>
      </c>
      <c r="L99" s="1" t="s">
        <v>74</v>
      </c>
      <c r="M99" s="1" t="s">
        <v>74</v>
      </c>
      <c r="N99" s="1" t="s">
        <v>74</v>
      </c>
      <c r="O99" s="1" t="s">
        <v>74</v>
      </c>
      <c r="P99" s="1" t="s">
        <v>74</v>
      </c>
      <c r="Q99" s="1" t="s">
        <v>74</v>
      </c>
      <c r="R99" s="1" t="s">
        <v>74</v>
      </c>
      <c r="S99" s="1" t="s">
        <v>74</v>
      </c>
      <c r="T99" s="1" t="s">
        <v>74</v>
      </c>
      <c r="U99" s="1" t="s">
        <v>74</v>
      </c>
      <c r="V99" s="1" t="s">
        <v>1130</v>
      </c>
      <c r="W99" s="1" t="s">
        <v>74</v>
      </c>
      <c r="X99" s="1" t="s">
        <v>74</v>
      </c>
      <c r="Y99" s="1" t="s">
        <v>74</v>
      </c>
      <c r="Z99" s="1" t="s">
        <v>74</v>
      </c>
      <c r="AA99" s="1" t="s">
        <v>1131</v>
      </c>
      <c r="AB99" s="1" t="s">
        <v>1132</v>
      </c>
      <c r="AC99" s="1" t="s">
        <v>74</v>
      </c>
      <c r="AD99" s="1" t="s">
        <v>74</v>
      </c>
      <c r="AE99" s="1" t="s">
        <v>74</v>
      </c>
      <c r="AF99" s="1" t="s">
        <v>74</v>
      </c>
      <c r="AG99" s="1" t="s">
        <v>74</v>
      </c>
      <c r="AH99" s="1" t="s">
        <v>74</v>
      </c>
      <c r="AI99" s="1" t="s">
        <v>74</v>
      </c>
      <c r="AJ99" s="1" t="s">
        <v>74</v>
      </c>
      <c r="AK99" s="1" t="s">
        <v>74</v>
      </c>
      <c r="AL99" s="1" t="s">
        <v>74</v>
      </c>
      <c r="AM99" s="1" t="s">
        <v>74</v>
      </c>
      <c r="AN99" s="1" t="s">
        <v>74</v>
      </c>
      <c r="AO99" s="1" t="s">
        <v>600</v>
      </c>
      <c r="AP99" s="1" t="s">
        <v>601</v>
      </c>
      <c r="AQ99" s="1" t="s">
        <v>74</v>
      </c>
      <c r="AR99" s="1" t="s">
        <v>74</v>
      </c>
      <c r="AS99" s="1" t="s">
        <v>74</v>
      </c>
      <c r="AT99" s="1" t="s">
        <v>344</v>
      </c>
      <c r="AU99" s="1">
        <v>2021.0</v>
      </c>
      <c r="AV99" s="1">
        <v>919.0</v>
      </c>
      <c r="AW99" s="1">
        <v>1.0</v>
      </c>
      <c r="AX99" s="1" t="s">
        <v>74</v>
      </c>
      <c r="AY99" s="1" t="s">
        <v>74</v>
      </c>
      <c r="AZ99" s="1" t="s">
        <v>74</v>
      </c>
      <c r="BA99" s="1" t="s">
        <v>74</v>
      </c>
      <c r="BB99" s="1" t="s">
        <v>74</v>
      </c>
      <c r="BC99" s="1" t="s">
        <v>74</v>
      </c>
      <c r="BD99" s="1">
        <v>42.0</v>
      </c>
      <c r="BE99" s="1" t="s">
        <v>1133</v>
      </c>
      <c r="BF99" s="2" t="str">
        <f>HYPERLINK("http://dx.doi.org/10.3847/1538-4357/ac1067","http://dx.doi.org/10.3847/1538-4357/ac1067")</f>
        <v>http://dx.doi.org/10.3847/1538-4357/ac1067</v>
      </c>
      <c r="BG99" s="1" t="s">
        <v>74</v>
      </c>
      <c r="BH99" s="1" t="s">
        <v>74</v>
      </c>
      <c r="BI99" s="1" t="s">
        <v>74</v>
      </c>
      <c r="BJ99" s="1" t="s">
        <v>74</v>
      </c>
      <c r="BK99" s="1" t="s">
        <v>74</v>
      </c>
      <c r="BL99" s="1" t="s">
        <v>74</v>
      </c>
      <c r="BM99" s="1" t="s">
        <v>74</v>
      </c>
      <c r="BN99" s="1" t="s">
        <v>74</v>
      </c>
      <c r="BO99" s="1" t="s">
        <v>74</v>
      </c>
      <c r="BP99" s="1" t="s">
        <v>74</v>
      </c>
      <c r="BQ99" s="1" t="s">
        <v>74</v>
      </c>
      <c r="BR99" s="1" t="s">
        <v>74</v>
      </c>
      <c r="BS99" s="1" t="s">
        <v>1134</v>
      </c>
      <c r="BT99" s="1" t="str">
        <f>HYPERLINK("https%3A%2F%2Fwww.webofscience.com%2Fwos%2Fwoscc%2Ffull-record%2FWOS:000697838800001","View Full Record in Web of Science")</f>
        <v>View Full Record in Web of Science</v>
      </c>
    </row>
    <row r="100" ht="12.75" customHeight="1">
      <c r="A100" s="1" t="s">
        <v>72</v>
      </c>
      <c r="B100" s="1" t="s">
        <v>1135</v>
      </c>
      <c r="C100" s="1" t="s">
        <v>74</v>
      </c>
      <c r="D100" s="1" t="s">
        <v>74</v>
      </c>
      <c r="E100" s="1" t="s">
        <v>74</v>
      </c>
      <c r="F100" s="1" t="s">
        <v>1136</v>
      </c>
      <c r="G100" s="1" t="s">
        <v>74</v>
      </c>
      <c r="H100" s="1" t="s">
        <v>74</v>
      </c>
      <c r="I100" s="1" t="s">
        <v>1137</v>
      </c>
      <c r="J100" s="1" t="s">
        <v>1138</v>
      </c>
      <c r="K100" s="1" t="s">
        <v>74</v>
      </c>
      <c r="L100" s="1" t="s">
        <v>74</v>
      </c>
      <c r="M100" s="1" t="s">
        <v>74</v>
      </c>
      <c r="N100" s="1" t="s">
        <v>74</v>
      </c>
      <c r="O100" s="1" t="s">
        <v>74</v>
      </c>
      <c r="P100" s="1" t="s">
        <v>74</v>
      </c>
      <c r="Q100" s="1" t="s">
        <v>74</v>
      </c>
      <c r="R100" s="1" t="s">
        <v>74</v>
      </c>
      <c r="S100" s="1" t="s">
        <v>74</v>
      </c>
      <c r="T100" s="1" t="s">
        <v>74</v>
      </c>
      <c r="U100" s="1" t="s">
        <v>74</v>
      </c>
      <c r="V100" s="1" t="s">
        <v>74</v>
      </c>
      <c r="W100" s="1" t="s">
        <v>74</v>
      </c>
      <c r="X100" s="1" t="s">
        <v>74</v>
      </c>
      <c r="Y100" s="1" t="s">
        <v>74</v>
      </c>
      <c r="Z100" s="1" t="s">
        <v>74</v>
      </c>
      <c r="AA100" s="1" t="s">
        <v>1139</v>
      </c>
      <c r="AB100" s="1" t="s">
        <v>1140</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1141</v>
      </c>
      <c r="AP100" s="1" t="s">
        <v>1142</v>
      </c>
      <c r="AQ100" s="1" t="s">
        <v>74</v>
      </c>
      <c r="AR100" s="1" t="s">
        <v>74</v>
      </c>
      <c r="AS100" s="1" t="s">
        <v>74</v>
      </c>
      <c r="AT100" s="1" t="s">
        <v>757</v>
      </c>
      <c r="AU100" s="1">
        <v>2020.0</v>
      </c>
      <c r="AV100" s="1">
        <v>37.0</v>
      </c>
      <c r="AW100" s="1">
        <v>5.0</v>
      </c>
      <c r="AX100" s="1" t="s">
        <v>74</v>
      </c>
      <c r="AY100" s="1" t="s">
        <v>74</v>
      </c>
      <c r="AZ100" s="1" t="s">
        <v>496</v>
      </c>
      <c r="BA100" s="1" t="s">
        <v>74</v>
      </c>
      <c r="BB100" s="1">
        <v>421.0</v>
      </c>
      <c r="BC100" s="1">
        <v>422.0</v>
      </c>
      <c r="BD100" s="1" t="s">
        <v>74</v>
      </c>
      <c r="BE100" s="1" t="s">
        <v>1143</v>
      </c>
      <c r="BF100" s="2" t="str">
        <f>HYPERLINK("http://dx.doi.org/10.1007/s00376-020-2001-7","http://dx.doi.org/10.1007/s00376-020-2001-7")</f>
        <v>http://dx.doi.org/10.1007/s00376-020-2001-7</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1144</v>
      </c>
      <c r="BT100" s="1" t="str">
        <f>HYPERLINK("https%3A%2F%2Fwww.webofscience.com%2Fwos%2Fwoscc%2Ffull-record%2FWOS:000526544900001","View Full Record in Web of Science")</f>
        <v>View Full Record in Web of Science</v>
      </c>
    </row>
    <row r="101" ht="12.75" customHeight="1">
      <c r="A101" s="1" t="s">
        <v>72</v>
      </c>
      <c r="B101" s="1" t="s">
        <v>1145</v>
      </c>
      <c r="C101" s="1" t="s">
        <v>74</v>
      </c>
      <c r="D101" s="1" t="s">
        <v>74</v>
      </c>
      <c r="E101" s="1" t="s">
        <v>74</v>
      </c>
      <c r="F101" s="1" t="s">
        <v>1146</v>
      </c>
      <c r="G101" s="1" t="s">
        <v>74</v>
      </c>
      <c r="H101" s="1" t="s">
        <v>74</v>
      </c>
      <c r="I101" s="1" t="s">
        <v>1147</v>
      </c>
      <c r="J101" s="1" t="s">
        <v>1148</v>
      </c>
      <c r="K101" s="1" t="s">
        <v>74</v>
      </c>
      <c r="L101" s="1" t="s">
        <v>74</v>
      </c>
      <c r="M101" s="1" t="s">
        <v>74</v>
      </c>
      <c r="N101" s="1" t="s">
        <v>74</v>
      </c>
      <c r="O101" s="1" t="s">
        <v>74</v>
      </c>
      <c r="P101" s="1" t="s">
        <v>74</v>
      </c>
      <c r="Q101" s="1" t="s">
        <v>74</v>
      </c>
      <c r="R101" s="1" t="s">
        <v>74</v>
      </c>
      <c r="S101" s="1" t="s">
        <v>74</v>
      </c>
      <c r="T101" s="1" t="s">
        <v>74</v>
      </c>
      <c r="U101" s="1" t="s">
        <v>74</v>
      </c>
      <c r="V101" s="1" t="s">
        <v>1149</v>
      </c>
      <c r="W101" s="1" t="s">
        <v>74</v>
      </c>
      <c r="X101" s="1" t="s">
        <v>74</v>
      </c>
      <c r="Y101" s="1" t="s">
        <v>74</v>
      </c>
      <c r="Z101" s="1" t="s">
        <v>74</v>
      </c>
      <c r="AA101" s="1" t="s">
        <v>1150</v>
      </c>
      <c r="AB101" s="1" t="s">
        <v>1151</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1152</v>
      </c>
      <c r="AP101" s="1" t="s">
        <v>1153</v>
      </c>
      <c r="AQ101" s="1" t="s">
        <v>74</v>
      </c>
      <c r="AR101" s="1" t="s">
        <v>74</v>
      </c>
      <c r="AS101" s="1" t="s">
        <v>74</v>
      </c>
      <c r="AT101" s="1" t="s">
        <v>119</v>
      </c>
      <c r="AU101" s="1">
        <v>2024.0</v>
      </c>
      <c r="AV101" s="1">
        <v>20.0</v>
      </c>
      <c r="AW101" s="1">
        <v>2.0</v>
      </c>
      <c r="AX101" s="1" t="s">
        <v>74</v>
      </c>
      <c r="AY101" s="1" t="s">
        <v>74</v>
      </c>
      <c r="AZ101" s="1" t="s">
        <v>74</v>
      </c>
      <c r="BA101" s="1" t="s">
        <v>74</v>
      </c>
      <c r="BB101" s="1">
        <v>925.0</v>
      </c>
      <c r="BC101" s="1">
        <v>940.0</v>
      </c>
      <c r="BD101" s="1" t="s">
        <v>74</v>
      </c>
      <c r="BE101" s="1" t="s">
        <v>1154</v>
      </c>
      <c r="BF101" s="2" t="str">
        <f>HYPERLINK("http://dx.doi.org/10.1002/alz.13472","http://dx.doi.org/10.1002/alz.13472")</f>
        <v>http://dx.doi.org/10.1002/alz.13472</v>
      </c>
      <c r="BG101" s="1" t="s">
        <v>74</v>
      </c>
      <c r="BH101" s="1" t="s">
        <v>863</v>
      </c>
      <c r="BI101" s="1" t="s">
        <v>74</v>
      </c>
      <c r="BJ101" s="1" t="s">
        <v>74</v>
      </c>
      <c r="BK101" s="1" t="s">
        <v>74</v>
      </c>
      <c r="BL101" s="1" t="s">
        <v>74</v>
      </c>
      <c r="BM101" s="1" t="s">
        <v>74</v>
      </c>
      <c r="BN101" s="1">
        <v>3.782347E7</v>
      </c>
      <c r="BO101" s="1" t="s">
        <v>74</v>
      </c>
      <c r="BP101" s="1" t="s">
        <v>74</v>
      </c>
      <c r="BQ101" s="1" t="s">
        <v>74</v>
      </c>
      <c r="BR101" s="1" t="s">
        <v>74</v>
      </c>
      <c r="BS101" s="1" t="s">
        <v>1155</v>
      </c>
      <c r="BT101" s="1" t="str">
        <f>HYPERLINK("https%3A%2F%2Fwww.webofscience.com%2Fwos%2Fwoscc%2Ffull-record%2FWOS:001082121200001","View Full Record in Web of Science")</f>
        <v>View Full Record in Web of Science</v>
      </c>
    </row>
    <row r="102" ht="12.75" customHeight="1">
      <c r="A102" s="1" t="s">
        <v>72</v>
      </c>
      <c r="B102" s="1" t="s">
        <v>1156</v>
      </c>
      <c r="C102" s="1" t="s">
        <v>74</v>
      </c>
      <c r="D102" s="1" t="s">
        <v>74</v>
      </c>
      <c r="E102" s="1" t="s">
        <v>74</v>
      </c>
      <c r="F102" s="1" t="s">
        <v>1157</v>
      </c>
      <c r="G102" s="1" t="s">
        <v>74</v>
      </c>
      <c r="H102" s="1" t="s">
        <v>74</v>
      </c>
      <c r="I102" s="1" t="s">
        <v>1158</v>
      </c>
      <c r="J102" s="1" t="s">
        <v>1159</v>
      </c>
      <c r="K102" s="1" t="s">
        <v>74</v>
      </c>
      <c r="L102" s="1" t="s">
        <v>74</v>
      </c>
      <c r="M102" s="1" t="s">
        <v>74</v>
      </c>
      <c r="N102" s="1" t="s">
        <v>74</v>
      </c>
      <c r="O102" s="1" t="s">
        <v>74</v>
      </c>
      <c r="P102" s="1" t="s">
        <v>74</v>
      </c>
      <c r="Q102" s="1" t="s">
        <v>74</v>
      </c>
      <c r="R102" s="1" t="s">
        <v>74</v>
      </c>
      <c r="S102" s="1" t="s">
        <v>74</v>
      </c>
      <c r="T102" s="1" t="s">
        <v>74</v>
      </c>
      <c r="U102" s="1" t="s">
        <v>74</v>
      </c>
      <c r="V102" s="1" t="s">
        <v>1160</v>
      </c>
      <c r="W102" s="1" t="s">
        <v>74</v>
      </c>
      <c r="X102" s="1" t="s">
        <v>74</v>
      </c>
      <c r="Y102" s="1" t="s">
        <v>74</v>
      </c>
      <c r="Z102" s="1" t="s">
        <v>74</v>
      </c>
      <c r="AA102" s="1" t="s">
        <v>1161</v>
      </c>
      <c r="AB102" s="1" t="s">
        <v>1162</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1163</v>
      </c>
      <c r="AP102" s="1" t="s">
        <v>1164</v>
      </c>
      <c r="AQ102" s="1" t="s">
        <v>74</v>
      </c>
      <c r="AR102" s="1" t="s">
        <v>74</v>
      </c>
      <c r="AS102" s="1" t="s">
        <v>74</v>
      </c>
      <c r="AT102" s="1" t="s">
        <v>1165</v>
      </c>
      <c r="AU102" s="1">
        <v>2025.0</v>
      </c>
      <c r="AV102" s="1">
        <v>429.0</v>
      </c>
      <c r="AW102" s="1" t="s">
        <v>74</v>
      </c>
      <c r="AX102" s="1" t="s">
        <v>74</v>
      </c>
      <c r="AY102" s="1" t="s">
        <v>74</v>
      </c>
      <c r="AZ102" s="1" t="s">
        <v>74</v>
      </c>
      <c r="BA102" s="1" t="s">
        <v>74</v>
      </c>
      <c r="BB102" s="1" t="s">
        <v>74</v>
      </c>
      <c r="BC102" s="1" t="s">
        <v>74</v>
      </c>
      <c r="BD102" s="1">
        <v>116403.0</v>
      </c>
      <c r="BE102" s="1" t="s">
        <v>1166</v>
      </c>
      <c r="BF102" s="2" t="str">
        <f>HYPERLINK("http://dx.doi.org/10.1016/j.icarus.2024.116403","http://dx.doi.org/10.1016/j.icarus.2024.116403")</f>
        <v>http://dx.doi.org/10.1016/j.icarus.2024.116403</v>
      </c>
      <c r="BG102" s="1" t="s">
        <v>74</v>
      </c>
      <c r="BH102" s="1" t="s">
        <v>850</v>
      </c>
      <c r="BI102" s="1" t="s">
        <v>74</v>
      </c>
      <c r="BJ102" s="1" t="s">
        <v>74</v>
      </c>
      <c r="BK102" s="1" t="s">
        <v>74</v>
      </c>
      <c r="BL102" s="1" t="s">
        <v>74</v>
      </c>
      <c r="BM102" s="1" t="s">
        <v>74</v>
      </c>
      <c r="BN102" s="1" t="s">
        <v>74</v>
      </c>
      <c r="BO102" s="1" t="s">
        <v>74</v>
      </c>
      <c r="BP102" s="1" t="s">
        <v>74</v>
      </c>
      <c r="BQ102" s="1" t="s">
        <v>74</v>
      </c>
      <c r="BR102" s="1" t="s">
        <v>74</v>
      </c>
      <c r="BS102" s="1" t="s">
        <v>1167</v>
      </c>
      <c r="BT102" s="1" t="str">
        <f>HYPERLINK("https%3A%2F%2Fwww.webofscience.com%2Fwos%2Fwoscc%2Ffull-record%2FWOS:001386406200001","View Full Record in Web of Science")</f>
        <v>View Full Record in Web of Science</v>
      </c>
    </row>
    <row r="103" ht="12.75" customHeight="1">
      <c r="A103" s="1" t="s">
        <v>72</v>
      </c>
      <c r="B103" s="1" t="s">
        <v>1168</v>
      </c>
      <c r="C103" s="1" t="s">
        <v>74</v>
      </c>
      <c r="D103" s="1" t="s">
        <v>74</v>
      </c>
      <c r="E103" s="1" t="s">
        <v>74</v>
      </c>
      <c r="F103" s="1" t="s">
        <v>1169</v>
      </c>
      <c r="G103" s="1" t="s">
        <v>74</v>
      </c>
      <c r="H103" s="1" t="s">
        <v>74</v>
      </c>
      <c r="I103" s="1" t="s">
        <v>1170</v>
      </c>
      <c r="J103" s="1" t="s">
        <v>684</v>
      </c>
      <c r="K103" s="1" t="s">
        <v>74</v>
      </c>
      <c r="L103" s="1" t="s">
        <v>74</v>
      </c>
      <c r="M103" s="1" t="s">
        <v>74</v>
      </c>
      <c r="N103" s="1" t="s">
        <v>74</v>
      </c>
      <c r="O103" s="1" t="s">
        <v>74</v>
      </c>
      <c r="P103" s="1" t="s">
        <v>74</v>
      </c>
      <c r="Q103" s="1" t="s">
        <v>74</v>
      </c>
      <c r="R103" s="1" t="s">
        <v>74</v>
      </c>
      <c r="S103" s="1" t="s">
        <v>74</v>
      </c>
      <c r="T103" s="1" t="s">
        <v>74</v>
      </c>
      <c r="U103" s="1" t="s">
        <v>74</v>
      </c>
      <c r="V103" s="1" t="s">
        <v>1171</v>
      </c>
      <c r="W103" s="1" t="s">
        <v>74</v>
      </c>
      <c r="X103" s="1" t="s">
        <v>74</v>
      </c>
      <c r="Y103" s="1" t="s">
        <v>74</v>
      </c>
      <c r="Z103" s="1" t="s">
        <v>74</v>
      </c>
      <c r="AA103" s="1" t="s">
        <v>1172</v>
      </c>
      <c r="AB103" s="1" t="s">
        <v>1173</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688</v>
      </c>
      <c r="AP103" s="1" t="s">
        <v>689</v>
      </c>
      <c r="AQ103" s="1" t="s">
        <v>74</v>
      </c>
      <c r="AR103" s="1" t="s">
        <v>74</v>
      </c>
      <c r="AS103" s="1" t="s">
        <v>74</v>
      </c>
      <c r="AT103" s="1" t="s">
        <v>757</v>
      </c>
      <c r="AU103" s="1">
        <v>2021.0</v>
      </c>
      <c r="AV103" s="1">
        <v>161.0</v>
      </c>
      <c r="AW103" s="1">
        <v>5.0</v>
      </c>
      <c r="AX103" s="1" t="s">
        <v>74</v>
      </c>
      <c r="AY103" s="1" t="s">
        <v>74</v>
      </c>
      <c r="AZ103" s="1" t="s">
        <v>74</v>
      </c>
      <c r="BA103" s="1" t="s">
        <v>74</v>
      </c>
      <c r="BB103" s="1" t="s">
        <v>74</v>
      </c>
      <c r="BC103" s="1" t="s">
        <v>74</v>
      </c>
      <c r="BD103" s="1">
        <v>242.0</v>
      </c>
      <c r="BE103" s="1" t="s">
        <v>1174</v>
      </c>
      <c r="BF103" s="2" t="str">
        <f>HYPERLINK("http://dx.doi.org/10.3847/1538-3881/abe9bc","http://dx.doi.org/10.3847/1538-3881/abe9bc")</f>
        <v>http://dx.doi.org/10.3847/1538-3881/abe9bc</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1175</v>
      </c>
      <c r="BT103" s="1" t="str">
        <f>HYPERLINK("https%3A%2F%2Fwww.webofscience.com%2Fwos%2Fwoscc%2Ffull-record%2FWOS:000645164000001","View Full Record in Web of Science")</f>
        <v>View Full Record in Web of Science</v>
      </c>
    </row>
    <row r="104" ht="12.75" customHeight="1">
      <c r="A104" s="1" t="s">
        <v>72</v>
      </c>
      <c r="B104" s="1" t="s">
        <v>1176</v>
      </c>
      <c r="C104" s="1" t="s">
        <v>74</v>
      </c>
      <c r="D104" s="1" t="s">
        <v>74</v>
      </c>
      <c r="E104" s="1" t="s">
        <v>74</v>
      </c>
      <c r="F104" s="1" t="s">
        <v>1176</v>
      </c>
      <c r="G104" s="1" t="s">
        <v>74</v>
      </c>
      <c r="H104" s="1" t="s">
        <v>1177</v>
      </c>
      <c r="I104" s="1" t="s">
        <v>1178</v>
      </c>
      <c r="J104" s="1" t="s">
        <v>1179</v>
      </c>
      <c r="K104" s="1" t="s">
        <v>74</v>
      </c>
      <c r="L104" s="1" t="s">
        <v>74</v>
      </c>
      <c r="M104" s="1" t="s">
        <v>74</v>
      </c>
      <c r="N104" s="1" t="s">
        <v>74</v>
      </c>
      <c r="O104" s="1" t="s">
        <v>74</v>
      </c>
      <c r="P104" s="1" t="s">
        <v>74</v>
      </c>
      <c r="Q104" s="1" t="s">
        <v>74</v>
      </c>
      <c r="R104" s="1" t="s">
        <v>74</v>
      </c>
      <c r="S104" s="1" t="s">
        <v>74</v>
      </c>
      <c r="T104" s="1" t="s">
        <v>74</v>
      </c>
      <c r="U104" s="1" t="s">
        <v>74</v>
      </c>
      <c r="V104" s="1" t="s">
        <v>1180</v>
      </c>
      <c r="W104" s="1" t="s">
        <v>74</v>
      </c>
      <c r="X104" s="1" t="s">
        <v>74</v>
      </c>
      <c r="Y104" s="1" t="s">
        <v>74</v>
      </c>
      <c r="Z104" s="1" t="s">
        <v>74</v>
      </c>
      <c r="AA104" s="1" t="s">
        <v>1181</v>
      </c>
      <c r="AB104" s="1" t="s">
        <v>1182</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1183</v>
      </c>
      <c r="AP104" s="1" t="s">
        <v>74</v>
      </c>
      <c r="AQ104" s="1" t="s">
        <v>74</v>
      </c>
      <c r="AR104" s="1" t="s">
        <v>74</v>
      </c>
      <c r="AS104" s="1" t="s">
        <v>74</v>
      </c>
      <c r="AT104" s="1" t="s">
        <v>1184</v>
      </c>
      <c r="AU104" s="1">
        <v>1998.0</v>
      </c>
      <c r="AV104" s="1">
        <v>351.0</v>
      </c>
      <c r="AW104" s="1">
        <v>9111.0</v>
      </c>
      <c r="AX104" s="1" t="s">
        <v>74</v>
      </c>
      <c r="AY104" s="1" t="s">
        <v>74</v>
      </c>
      <c r="AZ104" s="1" t="s">
        <v>74</v>
      </c>
      <c r="BA104" s="1" t="s">
        <v>74</v>
      </c>
      <c r="BB104" s="1">
        <v>1225.0</v>
      </c>
      <c r="BC104" s="1">
        <v>1232.0</v>
      </c>
      <c r="BD104" s="1" t="s">
        <v>74</v>
      </c>
      <c r="BE104" s="1" t="s">
        <v>1185</v>
      </c>
      <c r="BF104" s="2" t="str">
        <f>HYPERLINK("http://dx.doi.org/10.1016/S0140-6736(97)07302-9","http://dx.doi.org/10.1016/S0140-6736(97)07302-9")</f>
        <v>http://dx.doi.org/10.1016/S0140-6736(97)07302-9</v>
      </c>
      <c r="BG104" s="1" t="s">
        <v>74</v>
      </c>
      <c r="BH104" s="1" t="s">
        <v>74</v>
      </c>
      <c r="BI104" s="1" t="s">
        <v>74</v>
      </c>
      <c r="BJ104" s="1" t="s">
        <v>74</v>
      </c>
      <c r="BK104" s="1" t="s">
        <v>74</v>
      </c>
      <c r="BL104" s="1" t="s">
        <v>74</v>
      </c>
      <c r="BM104" s="1" t="s">
        <v>74</v>
      </c>
      <c r="BN104" s="1">
        <v>9643741.0</v>
      </c>
      <c r="BO104" s="1" t="s">
        <v>74</v>
      </c>
      <c r="BP104" s="1" t="s">
        <v>74</v>
      </c>
      <c r="BQ104" s="1" t="s">
        <v>74</v>
      </c>
      <c r="BR104" s="1" t="s">
        <v>74</v>
      </c>
      <c r="BS104" s="1" t="s">
        <v>1186</v>
      </c>
      <c r="BT104" s="1" t="str">
        <f>HYPERLINK("https%3A%2F%2Fwww.webofscience.com%2Fwos%2Fwoscc%2Ffull-record%2FWOS:000073283600007","View Full Record in Web of Science")</f>
        <v>View Full Record in Web of Science</v>
      </c>
    </row>
    <row r="105" ht="12.75" customHeight="1">
      <c r="A105" s="1" t="s">
        <v>72</v>
      </c>
      <c r="B105" s="1" t="s">
        <v>1187</v>
      </c>
      <c r="C105" s="1" t="s">
        <v>74</v>
      </c>
      <c r="D105" s="1" t="s">
        <v>74</v>
      </c>
      <c r="E105" s="1" t="s">
        <v>74</v>
      </c>
      <c r="F105" s="1" t="s">
        <v>1188</v>
      </c>
      <c r="G105" s="1" t="s">
        <v>74</v>
      </c>
      <c r="H105" s="1" t="s">
        <v>74</v>
      </c>
      <c r="I105" s="1" t="s">
        <v>1189</v>
      </c>
      <c r="J105" s="1" t="s">
        <v>395</v>
      </c>
      <c r="K105" s="1" t="s">
        <v>74</v>
      </c>
      <c r="L105" s="1" t="s">
        <v>74</v>
      </c>
      <c r="M105" s="1" t="s">
        <v>74</v>
      </c>
      <c r="N105" s="1" t="s">
        <v>74</v>
      </c>
      <c r="O105" s="1" t="s">
        <v>74</v>
      </c>
      <c r="P105" s="1" t="s">
        <v>74</v>
      </c>
      <c r="Q105" s="1" t="s">
        <v>74</v>
      </c>
      <c r="R105" s="1" t="s">
        <v>74</v>
      </c>
      <c r="S105" s="1" t="s">
        <v>74</v>
      </c>
      <c r="T105" s="1" t="s">
        <v>74</v>
      </c>
      <c r="U105" s="1" t="s">
        <v>74</v>
      </c>
      <c r="V105" s="1" t="s">
        <v>1190</v>
      </c>
      <c r="W105" s="1" t="s">
        <v>74</v>
      </c>
      <c r="X105" s="1" t="s">
        <v>74</v>
      </c>
      <c r="Y105" s="1" t="s">
        <v>74</v>
      </c>
      <c r="Z105" s="1" t="s">
        <v>74</v>
      </c>
      <c r="AA105" s="1" t="s">
        <v>1191</v>
      </c>
      <c r="AB105" s="1" t="s">
        <v>1192</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399</v>
      </c>
      <c r="AP105" s="1" t="s">
        <v>400</v>
      </c>
      <c r="AQ105" s="1" t="s">
        <v>74</v>
      </c>
      <c r="AR105" s="1" t="s">
        <v>74</v>
      </c>
      <c r="AS105" s="1" t="s">
        <v>74</v>
      </c>
      <c r="AT105" s="1" t="s">
        <v>1193</v>
      </c>
      <c r="AU105" s="1">
        <v>2023.0</v>
      </c>
      <c r="AV105" s="1">
        <v>522.0</v>
      </c>
      <c r="AW105" s="1">
        <v>4.0</v>
      </c>
      <c r="AX105" s="1" t="s">
        <v>74</v>
      </c>
      <c r="AY105" s="1" t="s">
        <v>74</v>
      </c>
      <c r="AZ105" s="1" t="s">
        <v>74</v>
      </c>
      <c r="BA105" s="1" t="s">
        <v>74</v>
      </c>
      <c r="BB105" s="1">
        <v>6150.0</v>
      </c>
      <c r="BC105" s="1">
        <v>6169.0</v>
      </c>
      <c r="BD105" s="1" t="s">
        <v>74</v>
      </c>
      <c r="BE105" s="1" t="s">
        <v>1194</v>
      </c>
      <c r="BF105" s="2" t="str">
        <f>HYPERLINK("http://dx.doi.org/10.1093/mnras/stad1221","http://dx.doi.org/10.1093/mnras/stad1221")</f>
        <v>http://dx.doi.org/10.1093/mnras/stad1221</v>
      </c>
      <c r="BG105" s="1" t="s">
        <v>74</v>
      </c>
      <c r="BH105" s="1" t="s">
        <v>1195</v>
      </c>
      <c r="BI105" s="1" t="s">
        <v>74</v>
      </c>
      <c r="BJ105" s="1" t="s">
        <v>74</v>
      </c>
      <c r="BK105" s="1" t="s">
        <v>74</v>
      </c>
      <c r="BL105" s="1" t="s">
        <v>74</v>
      </c>
      <c r="BM105" s="1" t="s">
        <v>74</v>
      </c>
      <c r="BN105" s="1" t="s">
        <v>74</v>
      </c>
      <c r="BO105" s="1" t="s">
        <v>74</v>
      </c>
      <c r="BP105" s="1" t="s">
        <v>74</v>
      </c>
      <c r="BQ105" s="1" t="s">
        <v>74</v>
      </c>
      <c r="BR105" s="1" t="s">
        <v>74</v>
      </c>
      <c r="BS105" s="1" t="s">
        <v>1196</v>
      </c>
      <c r="BT105" s="1" t="str">
        <f>HYPERLINK("https%3A%2F%2Fwww.webofscience.com%2Fwos%2Fwoscc%2Ffull-record%2FWOS:000994685100031","View Full Record in Web of Science")</f>
        <v>View Full Record in Web of Science</v>
      </c>
    </row>
    <row r="106" ht="12.75" customHeight="1">
      <c r="A106" s="1" t="s">
        <v>72</v>
      </c>
      <c r="B106" s="1" t="s">
        <v>1197</v>
      </c>
      <c r="C106" s="1" t="s">
        <v>74</v>
      </c>
      <c r="D106" s="1" t="s">
        <v>74</v>
      </c>
      <c r="E106" s="1" t="s">
        <v>74</v>
      </c>
      <c r="F106" s="1" t="s">
        <v>1197</v>
      </c>
      <c r="G106" s="1" t="s">
        <v>74</v>
      </c>
      <c r="H106" s="1" t="s">
        <v>74</v>
      </c>
      <c r="I106" s="1" t="s">
        <v>1198</v>
      </c>
      <c r="J106" s="1" t="s">
        <v>1199</v>
      </c>
      <c r="K106" s="1" t="s">
        <v>74</v>
      </c>
      <c r="L106" s="1" t="s">
        <v>74</v>
      </c>
      <c r="M106" s="1" t="s">
        <v>74</v>
      </c>
      <c r="N106" s="1" t="s">
        <v>74</v>
      </c>
      <c r="O106" s="1" t="s">
        <v>74</v>
      </c>
      <c r="P106" s="1" t="s">
        <v>74</v>
      </c>
      <c r="Q106" s="1" t="s">
        <v>74</v>
      </c>
      <c r="R106" s="1" t="s">
        <v>74</v>
      </c>
      <c r="S106" s="1" t="s">
        <v>74</v>
      </c>
      <c r="T106" s="1" t="s">
        <v>74</v>
      </c>
      <c r="U106" s="1" t="s">
        <v>74</v>
      </c>
      <c r="V106" s="1" t="s">
        <v>1200</v>
      </c>
      <c r="W106" s="1" t="s">
        <v>74</v>
      </c>
      <c r="X106" s="1" t="s">
        <v>74</v>
      </c>
      <c r="Y106" s="1" t="s">
        <v>74</v>
      </c>
      <c r="Z106" s="1" t="s">
        <v>74</v>
      </c>
      <c r="AA106" s="1" t="s">
        <v>1201</v>
      </c>
      <c r="AB106" s="1" t="s">
        <v>1202</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1203</v>
      </c>
      <c r="AP106" s="1" t="s">
        <v>1204</v>
      </c>
      <c r="AQ106" s="1" t="s">
        <v>74</v>
      </c>
      <c r="AR106" s="1" t="s">
        <v>74</v>
      </c>
      <c r="AS106" s="1" t="s">
        <v>74</v>
      </c>
      <c r="AT106" s="1" t="s">
        <v>567</v>
      </c>
      <c r="AU106" s="1">
        <v>1999.0</v>
      </c>
      <c r="AV106" s="1">
        <v>103.0</v>
      </c>
      <c r="AW106" s="1">
        <v>1.0</v>
      </c>
      <c r="AX106" s="1">
        <v>1.0</v>
      </c>
      <c r="AY106" s="1" t="s">
        <v>74</v>
      </c>
      <c r="AZ106" s="1" t="s">
        <v>74</v>
      </c>
      <c r="BA106" s="1" t="s">
        <v>74</v>
      </c>
      <c r="BB106" s="1">
        <v>125.0</v>
      </c>
      <c r="BC106" s="1">
        <v>138.0</v>
      </c>
      <c r="BD106" s="1" t="s">
        <v>74</v>
      </c>
      <c r="BE106" s="1" t="s">
        <v>1205</v>
      </c>
      <c r="BF106" s="2" t="str">
        <f>HYPERLINK("http://dx.doi.org/10.1016/S0091-6749(99)70536-1","http://dx.doi.org/10.1016/S0091-6749(99)70536-1")</f>
        <v>http://dx.doi.org/10.1016/S0091-6749(99)70536-1</v>
      </c>
      <c r="BG106" s="1" t="s">
        <v>74</v>
      </c>
      <c r="BH106" s="1" t="s">
        <v>74</v>
      </c>
      <c r="BI106" s="1" t="s">
        <v>74</v>
      </c>
      <c r="BJ106" s="1" t="s">
        <v>74</v>
      </c>
      <c r="BK106" s="1" t="s">
        <v>74</v>
      </c>
      <c r="BL106" s="1" t="s">
        <v>74</v>
      </c>
      <c r="BM106" s="1" t="s">
        <v>74</v>
      </c>
      <c r="BN106" s="1">
        <v>9893196.0</v>
      </c>
      <c r="BO106" s="1" t="s">
        <v>74</v>
      </c>
      <c r="BP106" s="1" t="s">
        <v>74</v>
      </c>
      <c r="BQ106" s="1" t="s">
        <v>74</v>
      </c>
      <c r="BR106" s="1" t="s">
        <v>74</v>
      </c>
      <c r="BS106" s="1" t="s">
        <v>1206</v>
      </c>
      <c r="BT106" s="1" t="str">
        <f>HYPERLINK("https%3A%2F%2Fwww.webofscience.com%2Fwos%2Fwoscc%2Ffull-record%2FWOS:000078112300020","View Full Record in Web of Science")</f>
        <v>View Full Record in Web of Science</v>
      </c>
    </row>
    <row r="107" ht="12.75" customHeight="1">
      <c r="A107" s="1" t="s">
        <v>72</v>
      </c>
      <c r="B107" s="1" t="s">
        <v>1207</v>
      </c>
      <c r="C107" s="1" t="s">
        <v>74</v>
      </c>
      <c r="D107" s="1" t="s">
        <v>74</v>
      </c>
      <c r="E107" s="1" t="s">
        <v>74</v>
      </c>
      <c r="F107" s="1" t="s">
        <v>1208</v>
      </c>
      <c r="G107" s="1" t="s">
        <v>74</v>
      </c>
      <c r="H107" s="1" t="s">
        <v>74</v>
      </c>
      <c r="I107" s="1" t="s">
        <v>1209</v>
      </c>
      <c r="J107" s="1" t="s">
        <v>149</v>
      </c>
      <c r="K107" s="1" t="s">
        <v>74</v>
      </c>
      <c r="L107" s="1" t="s">
        <v>74</v>
      </c>
      <c r="M107" s="1" t="s">
        <v>74</v>
      </c>
      <c r="N107" s="1" t="s">
        <v>74</v>
      </c>
      <c r="O107" s="1" t="s">
        <v>74</v>
      </c>
      <c r="P107" s="1" t="s">
        <v>74</v>
      </c>
      <c r="Q107" s="1" t="s">
        <v>74</v>
      </c>
      <c r="R107" s="1" t="s">
        <v>74</v>
      </c>
      <c r="S107" s="1" t="s">
        <v>74</v>
      </c>
      <c r="T107" s="1" t="s">
        <v>74</v>
      </c>
      <c r="U107" s="1" t="s">
        <v>74</v>
      </c>
      <c r="V107" s="1" t="s">
        <v>1210</v>
      </c>
      <c r="W107" s="1" t="s">
        <v>74</v>
      </c>
      <c r="X107" s="1" t="s">
        <v>74</v>
      </c>
      <c r="Y107" s="1" t="s">
        <v>74</v>
      </c>
      <c r="Z107" s="1" t="s">
        <v>74</v>
      </c>
      <c r="AA107" s="1" t="s">
        <v>1211</v>
      </c>
      <c r="AB107" s="1" t="s">
        <v>1212</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74</v>
      </c>
      <c r="AP107" s="1" t="s">
        <v>153</v>
      </c>
      <c r="AQ107" s="1" t="s">
        <v>74</v>
      </c>
      <c r="AR107" s="1" t="s">
        <v>74</v>
      </c>
      <c r="AS107" s="1" t="s">
        <v>74</v>
      </c>
      <c r="AT107" s="1" t="s">
        <v>1213</v>
      </c>
      <c r="AU107" s="1">
        <v>2022.0</v>
      </c>
      <c r="AV107" s="1">
        <v>13.0</v>
      </c>
      <c r="AW107" s="1">
        <v>1.0</v>
      </c>
      <c r="AX107" s="1" t="s">
        <v>74</v>
      </c>
      <c r="AY107" s="1" t="s">
        <v>74</v>
      </c>
      <c r="AZ107" s="1" t="s">
        <v>74</v>
      </c>
      <c r="BA107" s="1" t="s">
        <v>74</v>
      </c>
      <c r="BB107" s="1" t="s">
        <v>74</v>
      </c>
      <c r="BC107" s="1" t="s">
        <v>74</v>
      </c>
      <c r="BD107" s="1">
        <v>3800.0</v>
      </c>
      <c r="BE107" s="1" t="s">
        <v>1214</v>
      </c>
      <c r="BF107" s="2" t="str">
        <f>HYPERLINK("http://dx.doi.org/10.1038/s41467-022-31558-z","http://dx.doi.org/10.1038/s41467-022-31558-z")</f>
        <v>http://dx.doi.org/10.1038/s41467-022-31558-z</v>
      </c>
      <c r="BG107" s="1" t="s">
        <v>74</v>
      </c>
      <c r="BH107" s="1" t="s">
        <v>74</v>
      </c>
      <c r="BI107" s="1" t="s">
        <v>74</v>
      </c>
      <c r="BJ107" s="1" t="s">
        <v>74</v>
      </c>
      <c r="BK107" s="1" t="s">
        <v>74</v>
      </c>
      <c r="BL107" s="1" t="s">
        <v>74</v>
      </c>
      <c r="BM107" s="1" t="s">
        <v>74</v>
      </c>
      <c r="BN107" s="1">
        <v>3.577838E7</v>
      </c>
      <c r="BO107" s="1" t="s">
        <v>74</v>
      </c>
      <c r="BP107" s="1" t="s">
        <v>74</v>
      </c>
      <c r="BQ107" s="1" t="s">
        <v>74</v>
      </c>
      <c r="BR107" s="1" t="s">
        <v>74</v>
      </c>
      <c r="BS107" s="1" t="s">
        <v>1215</v>
      </c>
      <c r="BT107" s="1" t="str">
        <f>HYPERLINK("https%3A%2F%2Fwww.webofscience.com%2Fwos%2Fwoscc%2Ffull-record%2FWOS:000819790100027","View Full Record in Web of Science")</f>
        <v>View Full Record in Web of Science</v>
      </c>
    </row>
    <row r="108" ht="12.75" customHeight="1">
      <c r="A108" s="1" t="s">
        <v>72</v>
      </c>
      <c r="B108" s="1" t="s">
        <v>1216</v>
      </c>
      <c r="C108" s="1" t="s">
        <v>74</v>
      </c>
      <c r="D108" s="1" t="s">
        <v>74</v>
      </c>
      <c r="E108" s="1" t="s">
        <v>74</v>
      </c>
      <c r="F108" s="1" t="s">
        <v>1217</v>
      </c>
      <c r="G108" s="1" t="s">
        <v>74</v>
      </c>
      <c r="H108" s="1" t="s">
        <v>74</v>
      </c>
      <c r="I108" s="1" t="s">
        <v>1218</v>
      </c>
      <c r="J108" s="1" t="s">
        <v>1219</v>
      </c>
      <c r="K108" s="1" t="s">
        <v>74</v>
      </c>
      <c r="L108" s="1" t="s">
        <v>74</v>
      </c>
      <c r="M108" s="1" t="s">
        <v>74</v>
      </c>
      <c r="N108" s="1" t="s">
        <v>74</v>
      </c>
      <c r="O108" s="1" t="s">
        <v>74</v>
      </c>
      <c r="P108" s="1" t="s">
        <v>74</v>
      </c>
      <c r="Q108" s="1" t="s">
        <v>74</v>
      </c>
      <c r="R108" s="1" t="s">
        <v>74</v>
      </c>
      <c r="S108" s="1" t="s">
        <v>74</v>
      </c>
      <c r="T108" s="1" t="s">
        <v>74</v>
      </c>
      <c r="U108" s="1" t="s">
        <v>74</v>
      </c>
      <c r="V108" s="1" t="s">
        <v>1220</v>
      </c>
      <c r="W108" s="1" t="s">
        <v>74</v>
      </c>
      <c r="X108" s="1" t="s">
        <v>74</v>
      </c>
      <c r="Y108" s="1" t="s">
        <v>74</v>
      </c>
      <c r="Z108" s="1" t="s">
        <v>74</v>
      </c>
      <c r="AA108" s="1" t="s">
        <v>1221</v>
      </c>
      <c r="AB108" s="1" t="s">
        <v>1222</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1223</v>
      </c>
      <c r="AP108" s="1" t="s">
        <v>1224</v>
      </c>
      <c r="AQ108" s="1" t="s">
        <v>74</v>
      </c>
      <c r="AR108" s="1" t="s">
        <v>74</v>
      </c>
      <c r="AS108" s="1" t="s">
        <v>74</v>
      </c>
      <c r="AT108" s="1" t="s">
        <v>1225</v>
      </c>
      <c r="AU108" s="1">
        <v>2023.0</v>
      </c>
      <c r="AV108" s="1">
        <v>23.0</v>
      </c>
      <c r="AW108" s="1">
        <v>5.0</v>
      </c>
      <c r="AX108" s="1" t="s">
        <v>74</v>
      </c>
      <c r="AY108" s="1" t="s">
        <v>74</v>
      </c>
      <c r="AZ108" s="1" t="s">
        <v>74</v>
      </c>
      <c r="BA108" s="1" t="s">
        <v>74</v>
      </c>
      <c r="BB108" s="1">
        <v>818.0</v>
      </c>
      <c r="BC108" s="1">
        <v>828.0</v>
      </c>
      <c r="BD108" s="1" t="s">
        <v>74</v>
      </c>
      <c r="BE108" s="1" t="s">
        <v>1226</v>
      </c>
      <c r="BF108" s="2" t="str">
        <f>HYPERLINK("http://dx.doi.org/10.1080/17461391.2022.2049884","http://dx.doi.org/10.1080/17461391.2022.2049884")</f>
        <v>http://dx.doi.org/10.1080/17461391.2022.2049884</v>
      </c>
      <c r="BG108" s="1" t="s">
        <v>74</v>
      </c>
      <c r="BH108" s="1" t="s">
        <v>1227</v>
      </c>
      <c r="BI108" s="1" t="s">
        <v>74</v>
      </c>
      <c r="BJ108" s="1" t="s">
        <v>74</v>
      </c>
      <c r="BK108" s="1" t="s">
        <v>74</v>
      </c>
      <c r="BL108" s="1" t="s">
        <v>74</v>
      </c>
      <c r="BM108" s="1" t="s">
        <v>74</v>
      </c>
      <c r="BN108" s="1">
        <v>3.5249452E7</v>
      </c>
      <c r="BO108" s="1" t="s">
        <v>74</v>
      </c>
      <c r="BP108" s="1" t="s">
        <v>74</v>
      </c>
      <c r="BQ108" s="1" t="s">
        <v>74</v>
      </c>
      <c r="BR108" s="1" t="s">
        <v>74</v>
      </c>
      <c r="BS108" s="1" t="s">
        <v>1228</v>
      </c>
      <c r="BT108" s="1" t="str">
        <f>HYPERLINK("https%3A%2F%2Fwww.webofscience.com%2Fwos%2Fwoscc%2Ffull-record%2FWOS:000789830500001","View Full Record in Web of Science")</f>
        <v>View Full Record in Web of Science</v>
      </c>
    </row>
    <row r="109" ht="12.75" customHeight="1">
      <c r="A109" s="1" t="s">
        <v>72</v>
      </c>
      <c r="B109" s="1" t="s">
        <v>1229</v>
      </c>
      <c r="C109" s="1" t="s">
        <v>74</v>
      </c>
      <c r="D109" s="1" t="s">
        <v>74</v>
      </c>
      <c r="E109" s="1" t="s">
        <v>74</v>
      </c>
      <c r="F109" s="1" t="s">
        <v>1230</v>
      </c>
      <c r="G109" s="1" t="s">
        <v>74</v>
      </c>
      <c r="H109" s="1" t="s">
        <v>74</v>
      </c>
      <c r="I109" s="1" t="s">
        <v>1231</v>
      </c>
      <c r="J109" s="1" t="s">
        <v>1232</v>
      </c>
      <c r="K109" s="1" t="s">
        <v>74</v>
      </c>
      <c r="L109" s="1" t="s">
        <v>74</v>
      </c>
      <c r="M109" s="1" t="s">
        <v>74</v>
      </c>
      <c r="N109" s="1" t="s">
        <v>74</v>
      </c>
      <c r="O109" s="1" t="s">
        <v>74</v>
      </c>
      <c r="P109" s="1" t="s">
        <v>74</v>
      </c>
      <c r="Q109" s="1" t="s">
        <v>74</v>
      </c>
      <c r="R109" s="1" t="s">
        <v>74</v>
      </c>
      <c r="S109" s="1" t="s">
        <v>74</v>
      </c>
      <c r="T109" s="1" t="s">
        <v>74</v>
      </c>
      <c r="U109" s="1" t="s">
        <v>74</v>
      </c>
      <c r="V109" s="1" t="s">
        <v>1233</v>
      </c>
      <c r="W109" s="1" t="s">
        <v>74</v>
      </c>
      <c r="X109" s="1" t="s">
        <v>74</v>
      </c>
      <c r="Y109" s="1" t="s">
        <v>74</v>
      </c>
      <c r="Z109" s="1" t="s">
        <v>74</v>
      </c>
      <c r="AA109" s="1" t="s">
        <v>1234</v>
      </c>
      <c r="AB109" s="1" t="s">
        <v>74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1235</v>
      </c>
      <c r="AP109" s="1" t="s">
        <v>1236</v>
      </c>
      <c r="AQ109" s="1" t="s">
        <v>74</v>
      </c>
      <c r="AR109" s="1" t="s">
        <v>74</v>
      </c>
      <c r="AS109" s="1" t="s">
        <v>74</v>
      </c>
      <c r="AT109" s="1" t="s">
        <v>1237</v>
      </c>
      <c r="AU109" s="1">
        <v>2025.0</v>
      </c>
      <c r="AV109" s="1">
        <v>9.0</v>
      </c>
      <c r="AW109" s="1">
        <v>7.0</v>
      </c>
      <c r="AX109" s="1" t="s">
        <v>74</v>
      </c>
      <c r="AY109" s="1" t="s">
        <v>74</v>
      </c>
      <c r="AZ109" s="1" t="s">
        <v>74</v>
      </c>
      <c r="BA109" s="1" t="s">
        <v>74</v>
      </c>
      <c r="BB109" s="1">
        <v>1742.0</v>
      </c>
      <c r="BC109" s="1">
        <v>1761.0</v>
      </c>
      <c r="BD109" s="1" t="s">
        <v>74</v>
      </c>
      <c r="BE109" s="1" t="s">
        <v>1238</v>
      </c>
      <c r="BF109" s="2" t="str">
        <f>HYPERLINK("http://dx.doi.org/10.1182/bloodadvances.2024015371","http://dx.doi.org/10.1182/bloodadvances.2024015371")</f>
        <v>http://dx.doi.org/10.1182/bloodadvances.2024015371</v>
      </c>
      <c r="BG109" s="1" t="s">
        <v>74</v>
      </c>
      <c r="BH109" s="1" t="s">
        <v>1239</v>
      </c>
      <c r="BI109" s="1" t="s">
        <v>74</v>
      </c>
      <c r="BJ109" s="1" t="s">
        <v>74</v>
      </c>
      <c r="BK109" s="1" t="s">
        <v>74</v>
      </c>
      <c r="BL109" s="1" t="s">
        <v>74</v>
      </c>
      <c r="BM109" s="1" t="s">
        <v>74</v>
      </c>
      <c r="BN109" s="1">
        <v>4.0198201E7</v>
      </c>
      <c r="BO109" s="1" t="s">
        <v>74</v>
      </c>
      <c r="BP109" s="1" t="s">
        <v>74</v>
      </c>
      <c r="BQ109" s="1" t="s">
        <v>74</v>
      </c>
      <c r="BR109" s="1" t="s">
        <v>74</v>
      </c>
      <c r="BS109" s="1" t="s">
        <v>1240</v>
      </c>
      <c r="BT109" s="1" t="str">
        <f>HYPERLINK("https%3A%2F%2Fwww.webofscience.com%2Fwos%2Fwoscc%2Ffull-record%2FWOS:001466154700001","View Full Record in Web of Science")</f>
        <v>View Full Record in Web of Science</v>
      </c>
    </row>
    <row r="110" ht="12.75" customHeight="1">
      <c r="A110" s="1" t="s">
        <v>72</v>
      </c>
      <c r="B110" s="1" t="s">
        <v>1241</v>
      </c>
      <c r="C110" s="1" t="s">
        <v>74</v>
      </c>
      <c r="D110" s="1" t="s">
        <v>74</v>
      </c>
      <c r="E110" s="1" t="s">
        <v>74</v>
      </c>
      <c r="F110" s="1" t="s">
        <v>1242</v>
      </c>
      <c r="G110" s="1" t="s">
        <v>74</v>
      </c>
      <c r="H110" s="1" t="s">
        <v>74</v>
      </c>
      <c r="I110" s="1" t="s">
        <v>1243</v>
      </c>
      <c r="J110" s="1" t="s">
        <v>1244</v>
      </c>
      <c r="K110" s="1" t="s">
        <v>74</v>
      </c>
      <c r="L110" s="1" t="s">
        <v>74</v>
      </c>
      <c r="M110" s="1" t="s">
        <v>74</v>
      </c>
      <c r="N110" s="1" t="s">
        <v>74</v>
      </c>
      <c r="O110" s="1" t="s">
        <v>74</v>
      </c>
      <c r="P110" s="1" t="s">
        <v>74</v>
      </c>
      <c r="Q110" s="1" t="s">
        <v>74</v>
      </c>
      <c r="R110" s="1" t="s">
        <v>74</v>
      </c>
      <c r="S110" s="1" t="s">
        <v>74</v>
      </c>
      <c r="T110" s="1" t="s">
        <v>74</v>
      </c>
      <c r="U110" s="1" t="s">
        <v>74</v>
      </c>
      <c r="V110" s="1" t="s">
        <v>1245</v>
      </c>
      <c r="W110" s="1" t="s">
        <v>74</v>
      </c>
      <c r="X110" s="1" t="s">
        <v>74</v>
      </c>
      <c r="Y110" s="1" t="s">
        <v>74</v>
      </c>
      <c r="Z110" s="1" t="s">
        <v>74</v>
      </c>
      <c r="AA110" s="1" t="s">
        <v>1246</v>
      </c>
      <c r="AB110" s="1" t="s">
        <v>1247</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1248</v>
      </c>
      <c r="AP110" s="1" t="s">
        <v>1249</v>
      </c>
      <c r="AQ110" s="1" t="s">
        <v>74</v>
      </c>
      <c r="AR110" s="1" t="s">
        <v>74</v>
      </c>
      <c r="AS110" s="1" t="s">
        <v>74</v>
      </c>
      <c r="AT110" s="1" t="s">
        <v>226</v>
      </c>
      <c r="AU110" s="1">
        <v>2024.0</v>
      </c>
      <c r="AV110" s="1">
        <v>259.0</v>
      </c>
      <c r="AW110" s="1" t="s">
        <v>74</v>
      </c>
      <c r="AX110" s="1" t="s">
        <v>74</v>
      </c>
      <c r="AY110" s="1" t="s">
        <v>74</v>
      </c>
      <c r="AZ110" s="1" t="s">
        <v>74</v>
      </c>
      <c r="BA110" s="1" t="s">
        <v>74</v>
      </c>
      <c r="BB110" s="1" t="s">
        <v>74</v>
      </c>
      <c r="BC110" s="1" t="s">
        <v>74</v>
      </c>
      <c r="BD110" s="1">
        <v>106253.0</v>
      </c>
      <c r="BE110" s="1" t="s">
        <v>1250</v>
      </c>
      <c r="BF110" s="2" t="str">
        <f>HYPERLINK("http://dx.doi.org/10.1016/j.jastp.2024.106253","http://dx.doi.org/10.1016/j.jastp.2024.106253")</f>
        <v>http://dx.doi.org/10.1016/j.jastp.2024.106253</v>
      </c>
      <c r="BG110" s="1" t="s">
        <v>74</v>
      </c>
      <c r="BH110" s="1" t="s">
        <v>1251</v>
      </c>
      <c r="BI110" s="1" t="s">
        <v>74</v>
      </c>
      <c r="BJ110" s="1" t="s">
        <v>74</v>
      </c>
      <c r="BK110" s="1" t="s">
        <v>74</v>
      </c>
      <c r="BL110" s="1" t="s">
        <v>74</v>
      </c>
      <c r="BM110" s="1" t="s">
        <v>74</v>
      </c>
      <c r="BN110" s="1" t="s">
        <v>74</v>
      </c>
      <c r="BO110" s="1" t="s">
        <v>74</v>
      </c>
      <c r="BP110" s="1" t="s">
        <v>74</v>
      </c>
      <c r="BQ110" s="1" t="s">
        <v>74</v>
      </c>
      <c r="BR110" s="1" t="s">
        <v>74</v>
      </c>
      <c r="BS110" s="1" t="s">
        <v>1252</v>
      </c>
      <c r="BT110" s="1" t="str">
        <f>HYPERLINK("https%3A%2F%2Fwww.webofscience.com%2Fwos%2Fwoscc%2Ffull-record%2FWOS:001245223300001","View Full Record in Web of Science")</f>
        <v>View Full Record in Web of Science</v>
      </c>
    </row>
    <row r="111" ht="12.75" customHeight="1">
      <c r="A111" s="1" t="s">
        <v>72</v>
      </c>
      <c r="B111" s="1" t="s">
        <v>1253</v>
      </c>
      <c r="C111" s="1" t="s">
        <v>74</v>
      </c>
      <c r="D111" s="1" t="s">
        <v>74</v>
      </c>
      <c r="E111" s="1" t="s">
        <v>74</v>
      </c>
      <c r="F111" s="1" t="s">
        <v>1254</v>
      </c>
      <c r="G111" s="1" t="s">
        <v>74</v>
      </c>
      <c r="H111" s="1" t="s">
        <v>74</v>
      </c>
      <c r="I111" s="1" t="s">
        <v>1255</v>
      </c>
      <c r="J111" s="1" t="s">
        <v>269</v>
      </c>
      <c r="K111" s="1" t="s">
        <v>74</v>
      </c>
      <c r="L111" s="1" t="s">
        <v>74</v>
      </c>
      <c r="M111" s="1" t="s">
        <v>74</v>
      </c>
      <c r="N111" s="1" t="s">
        <v>74</v>
      </c>
      <c r="O111" s="1" t="s">
        <v>74</v>
      </c>
      <c r="P111" s="1" t="s">
        <v>74</v>
      </c>
      <c r="Q111" s="1" t="s">
        <v>74</v>
      </c>
      <c r="R111" s="1" t="s">
        <v>74</v>
      </c>
      <c r="S111" s="1" t="s">
        <v>74</v>
      </c>
      <c r="T111" s="1" t="s">
        <v>74</v>
      </c>
      <c r="U111" s="1" t="s">
        <v>74</v>
      </c>
      <c r="V111" s="1" t="s">
        <v>1256</v>
      </c>
      <c r="W111" s="1" t="s">
        <v>74</v>
      </c>
      <c r="X111" s="1" t="s">
        <v>74</v>
      </c>
      <c r="Y111" s="1" t="s">
        <v>74</v>
      </c>
      <c r="Z111" s="1" t="s">
        <v>74</v>
      </c>
      <c r="AA111" s="1" t="s">
        <v>1257</v>
      </c>
      <c r="AB111" s="1" t="s">
        <v>1258</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273</v>
      </c>
      <c r="AP111" s="1" t="s">
        <v>274</v>
      </c>
      <c r="AQ111" s="1" t="s">
        <v>74</v>
      </c>
      <c r="AR111" s="1" t="s">
        <v>74</v>
      </c>
      <c r="AS111" s="1" t="s">
        <v>74</v>
      </c>
      <c r="AT111" s="1" t="s">
        <v>495</v>
      </c>
      <c r="AU111" s="1">
        <v>2024.0</v>
      </c>
      <c r="AV111" s="1">
        <v>58.0</v>
      </c>
      <c r="AW111" s="1">
        <v>7.0</v>
      </c>
      <c r="AX111" s="1" t="s">
        <v>74</v>
      </c>
      <c r="AY111" s="1" t="s">
        <v>74</v>
      </c>
      <c r="AZ111" s="1" t="s">
        <v>74</v>
      </c>
      <c r="BA111" s="1" t="s">
        <v>74</v>
      </c>
      <c r="BB111" s="1" t="s">
        <v>74</v>
      </c>
      <c r="BC111" s="1" t="s">
        <v>74</v>
      </c>
      <c r="BD111" s="1" t="s">
        <v>74</v>
      </c>
      <c r="BE111" s="1" t="s">
        <v>1259</v>
      </c>
      <c r="BF111" s="2" t="str">
        <f>HYPERLINK("http://dx.doi.org/10.1136/bjsports-2023-107612","http://dx.doi.org/10.1136/bjsports-2023-107612")</f>
        <v>http://dx.doi.org/10.1136/bjsports-2023-107612</v>
      </c>
      <c r="BG111" s="1" t="s">
        <v>74</v>
      </c>
      <c r="BH111" s="1" t="s">
        <v>1260</v>
      </c>
      <c r="BI111" s="1" t="s">
        <v>74</v>
      </c>
      <c r="BJ111" s="1" t="s">
        <v>74</v>
      </c>
      <c r="BK111" s="1" t="s">
        <v>74</v>
      </c>
      <c r="BL111" s="1" t="s">
        <v>74</v>
      </c>
      <c r="BM111" s="1" t="s">
        <v>74</v>
      </c>
      <c r="BN111" s="1">
        <v>3.830228E7</v>
      </c>
      <c r="BO111" s="1" t="s">
        <v>74</v>
      </c>
      <c r="BP111" s="1" t="s">
        <v>74</v>
      </c>
      <c r="BQ111" s="1" t="s">
        <v>74</v>
      </c>
      <c r="BR111" s="1" t="s">
        <v>74</v>
      </c>
      <c r="BS111" s="1" t="s">
        <v>1261</v>
      </c>
      <c r="BT111" s="1" t="str">
        <f>HYPERLINK("https%3A%2F%2Fwww.webofscience.com%2Fwos%2Fwoscc%2Ffull-record%2FWOS:001156540900001","View Full Record in Web of Science")</f>
        <v>View Full Record in Web of Science</v>
      </c>
    </row>
    <row r="112" ht="12.75" customHeight="1">
      <c r="A112" s="1" t="s">
        <v>72</v>
      </c>
      <c r="B112" s="1" t="s">
        <v>1262</v>
      </c>
      <c r="C112" s="1" t="s">
        <v>74</v>
      </c>
      <c r="D112" s="1" t="s">
        <v>74</v>
      </c>
      <c r="E112" s="1" t="s">
        <v>74</v>
      </c>
      <c r="F112" s="1" t="s">
        <v>1263</v>
      </c>
      <c r="G112" s="1" t="s">
        <v>74</v>
      </c>
      <c r="H112" s="1" t="s">
        <v>74</v>
      </c>
      <c r="I112" s="1" t="s">
        <v>1264</v>
      </c>
      <c r="J112" s="1" t="s">
        <v>1265</v>
      </c>
      <c r="K112" s="1" t="s">
        <v>74</v>
      </c>
      <c r="L112" s="1" t="s">
        <v>74</v>
      </c>
      <c r="M112" s="1" t="s">
        <v>74</v>
      </c>
      <c r="N112" s="1" t="s">
        <v>74</v>
      </c>
      <c r="O112" s="1" t="s">
        <v>74</v>
      </c>
      <c r="P112" s="1" t="s">
        <v>74</v>
      </c>
      <c r="Q112" s="1" t="s">
        <v>74</v>
      </c>
      <c r="R112" s="1" t="s">
        <v>74</v>
      </c>
      <c r="S112" s="1" t="s">
        <v>74</v>
      </c>
      <c r="T112" s="1" t="s">
        <v>74</v>
      </c>
      <c r="U112" s="1" t="s">
        <v>74</v>
      </c>
      <c r="V112" s="1" t="s">
        <v>1266</v>
      </c>
      <c r="W112" s="1" t="s">
        <v>74</v>
      </c>
      <c r="X112" s="1" t="s">
        <v>74</v>
      </c>
      <c r="Y112" s="1" t="s">
        <v>74</v>
      </c>
      <c r="Z112" s="1" t="s">
        <v>74</v>
      </c>
      <c r="AA112" s="1" t="s">
        <v>1267</v>
      </c>
      <c r="AB112" s="1" t="s">
        <v>1268</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1269</v>
      </c>
      <c r="AP112" s="1" t="s">
        <v>1270</v>
      </c>
      <c r="AQ112" s="1" t="s">
        <v>74</v>
      </c>
      <c r="AR112" s="1" t="s">
        <v>74</v>
      </c>
      <c r="AS112" s="1" t="s">
        <v>74</v>
      </c>
      <c r="AT112" s="1" t="s">
        <v>1271</v>
      </c>
      <c r="AU112" s="1">
        <v>2022.0</v>
      </c>
      <c r="AV112" s="1">
        <v>145.0</v>
      </c>
      <c r="AW112" s="1">
        <v>3.0</v>
      </c>
      <c r="AX112" s="1" t="s">
        <v>74</v>
      </c>
      <c r="AY112" s="1" t="s">
        <v>74</v>
      </c>
      <c r="AZ112" s="1" t="s">
        <v>74</v>
      </c>
      <c r="BA112" s="1" t="s">
        <v>74</v>
      </c>
      <c r="BB112" s="1">
        <v>1052.0</v>
      </c>
      <c r="BC112" s="1">
        <v>1068.0</v>
      </c>
      <c r="BD112" s="1" t="s">
        <v>74</v>
      </c>
      <c r="BE112" s="1" t="s">
        <v>1272</v>
      </c>
      <c r="BF112" s="2" t="str">
        <f>HYPERLINK("http://dx.doi.org/10.1093/brain/awab345","http://dx.doi.org/10.1093/brain/awab345")</f>
        <v>http://dx.doi.org/10.1093/brain/awab345</v>
      </c>
      <c r="BG112" s="1" t="s">
        <v>74</v>
      </c>
      <c r="BH112" s="1" t="s">
        <v>85</v>
      </c>
      <c r="BI112" s="1" t="s">
        <v>74</v>
      </c>
      <c r="BJ112" s="1" t="s">
        <v>74</v>
      </c>
      <c r="BK112" s="1" t="s">
        <v>74</v>
      </c>
      <c r="BL112" s="1" t="s">
        <v>74</v>
      </c>
      <c r="BM112" s="1" t="s">
        <v>74</v>
      </c>
      <c r="BN112" s="1">
        <v>3.4529034E7</v>
      </c>
      <c r="BO112" s="1" t="s">
        <v>74</v>
      </c>
      <c r="BP112" s="1" t="s">
        <v>74</v>
      </c>
      <c r="BQ112" s="1" t="s">
        <v>74</v>
      </c>
      <c r="BR112" s="1" t="s">
        <v>74</v>
      </c>
      <c r="BS112" s="1" t="s">
        <v>1273</v>
      </c>
      <c r="BT112" s="1" t="str">
        <f>HYPERLINK("https%3A%2F%2Fwww.webofscience.com%2Fwos%2Fwoscc%2Ffull-record%2FWOS:000768342100001","View Full Record in Web of Science")</f>
        <v>View Full Record in Web of Science</v>
      </c>
    </row>
    <row r="113" ht="12.75" customHeight="1">
      <c r="A113" s="1" t="s">
        <v>72</v>
      </c>
      <c r="B113" s="1" t="s">
        <v>1274</v>
      </c>
      <c r="C113" s="1" t="s">
        <v>74</v>
      </c>
      <c r="D113" s="1" t="s">
        <v>74</v>
      </c>
      <c r="E113" s="1" t="s">
        <v>74</v>
      </c>
      <c r="F113" s="1" t="s">
        <v>1275</v>
      </c>
      <c r="G113" s="1" t="s">
        <v>74</v>
      </c>
      <c r="H113" s="1" t="s">
        <v>74</v>
      </c>
      <c r="I113" s="1" t="s">
        <v>1276</v>
      </c>
      <c r="J113" s="1" t="s">
        <v>149</v>
      </c>
      <c r="K113" s="1" t="s">
        <v>74</v>
      </c>
      <c r="L113" s="1" t="s">
        <v>74</v>
      </c>
      <c r="M113" s="1" t="s">
        <v>74</v>
      </c>
      <c r="N113" s="1" t="s">
        <v>74</v>
      </c>
      <c r="O113" s="1" t="s">
        <v>74</v>
      </c>
      <c r="P113" s="1" t="s">
        <v>74</v>
      </c>
      <c r="Q113" s="1" t="s">
        <v>74</v>
      </c>
      <c r="R113" s="1" t="s">
        <v>74</v>
      </c>
      <c r="S113" s="1" t="s">
        <v>74</v>
      </c>
      <c r="T113" s="1" t="s">
        <v>74</v>
      </c>
      <c r="U113" s="1" t="s">
        <v>74</v>
      </c>
      <c r="V113" s="1" t="s">
        <v>1277</v>
      </c>
      <c r="W113" s="1" t="s">
        <v>74</v>
      </c>
      <c r="X113" s="1" t="s">
        <v>74</v>
      </c>
      <c r="Y113" s="1" t="s">
        <v>74</v>
      </c>
      <c r="Z113" s="1" t="s">
        <v>74</v>
      </c>
      <c r="AA113" s="1" t="s">
        <v>1278</v>
      </c>
      <c r="AB113" s="1" t="s">
        <v>1279</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74</v>
      </c>
      <c r="AP113" s="1" t="s">
        <v>153</v>
      </c>
      <c r="AQ113" s="1" t="s">
        <v>74</v>
      </c>
      <c r="AR113" s="1" t="s">
        <v>74</v>
      </c>
      <c r="AS113" s="1" t="s">
        <v>74</v>
      </c>
      <c r="AT113" s="1" t="s">
        <v>411</v>
      </c>
      <c r="AU113" s="1">
        <v>2022.0</v>
      </c>
      <c r="AV113" s="1">
        <v>13.0</v>
      </c>
      <c r="AW113" s="1">
        <v>1.0</v>
      </c>
      <c r="AX113" s="1" t="s">
        <v>74</v>
      </c>
      <c r="AY113" s="1" t="s">
        <v>74</v>
      </c>
      <c r="AZ113" s="1" t="s">
        <v>74</v>
      </c>
      <c r="BA113" s="1" t="s">
        <v>74</v>
      </c>
      <c r="BB113" s="1" t="s">
        <v>74</v>
      </c>
      <c r="BC113" s="1" t="s">
        <v>74</v>
      </c>
      <c r="BD113" s="1">
        <v>984.0</v>
      </c>
      <c r="BE113" s="1" t="s">
        <v>1280</v>
      </c>
      <c r="BF113" s="2" t="str">
        <f>HYPERLINK("http://dx.doi.org/10.1038/s41467-022-28560-w","http://dx.doi.org/10.1038/s41467-022-28560-w")</f>
        <v>http://dx.doi.org/10.1038/s41467-022-28560-w</v>
      </c>
      <c r="BG113" s="1" t="s">
        <v>74</v>
      </c>
      <c r="BH113" s="1" t="s">
        <v>74</v>
      </c>
      <c r="BI113" s="1" t="s">
        <v>74</v>
      </c>
      <c r="BJ113" s="1" t="s">
        <v>74</v>
      </c>
      <c r="BK113" s="1" t="s">
        <v>74</v>
      </c>
      <c r="BL113" s="1" t="s">
        <v>74</v>
      </c>
      <c r="BM113" s="1" t="s">
        <v>74</v>
      </c>
      <c r="BN113" s="1">
        <v>3.519404E7</v>
      </c>
      <c r="BO113" s="1" t="s">
        <v>74</v>
      </c>
      <c r="BP113" s="1" t="s">
        <v>74</v>
      </c>
      <c r="BQ113" s="1" t="s">
        <v>74</v>
      </c>
      <c r="BR113" s="1" t="s">
        <v>74</v>
      </c>
      <c r="BS113" s="1" t="s">
        <v>1281</v>
      </c>
      <c r="BT113" s="1" t="str">
        <f>HYPERLINK("https%3A%2F%2Fwww.webofscience.com%2Fwos%2Fwoscc%2Ffull-record%2FWOS:000759803800008","View Full Record in Web of Science")</f>
        <v>View Full Record in Web of Science</v>
      </c>
    </row>
    <row r="114" ht="12.75" customHeight="1">
      <c r="A114" s="1" t="s">
        <v>72</v>
      </c>
      <c r="B114" s="1" t="s">
        <v>1282</v>
      </c>
      <c r="C114" s="1" t="s">
        <v>74</v>
      </c>
      <c r="D114" s="1" t="s">
        <v>74</v>
      </c>
      <c r="E114" s="1" t="s">
        <v>74</v>
      </c>
      <c r="F114" s="1" t="s">
        <v>1283</v>
      </c>
      <c r="G114" s="1" t="s">
        <v>74</v>
      </c>
      <c r="H114" s="1" t="s">
        <v>74</v>
      </c>
      <c r="I114" s="1" t="s">
        <v>1284</v>
      </c>
      <c r="J114" s="1" t="s">
        <v>1285</v>
      </c>
      <c r="K114" s="1" t="s">
        <v>74</v>
      </c>
      <c r="L114" s="1" t="s">
        <v>74</v>
      </c>
      <c r="M114" s="1" t="s">
        <v>74</v>
      </c>
      <c r="N114" s="1" t="s">
        <v>74</v>
      </c>
      <c r="O114" s="1" t="s">
        <v>74</v>
      </c>
      <c r="P114" s="1" t="s">
        <v>74</v>
      </c>
      <c r="Q114" s="1" t="s">
        <v>74</v>
      </c>
      <c r="R114" s="1" t="s">
        <v>74</v>
      </c>
      <c r="S114" s="1" t="s">
        <v>74</v>
      </c>
      <c r="T114" s="1" t="s">
        <v>74</v>
      </c>
      <c r="U114" s="1" t="s">
        <v>74</v>
      </c>
      <c r="V114" s="1" t="s">
        <v>74</v>
      </c>
      <c r="W114" s="1" t="s">
        <v>74</v>
      </c>
      <c r="X114" s="1" t="s">
        <v>74</v>
      </c>
      <c r="Y114" s="1" t="s">
        <v>74</v>
      </c>
      <c r="Z114" s="1" t="s">
        <v>74</v>
      </c>
      <c r="AA114" s="1" t="s">
        <v>1286</v>
      </c>
      <c r="AB114" s="1" t="s">
        <v>1287</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1288</v>
      </c>
      <c r="AP114" s="1" t="s">
        <v>1289</v>
      </c>
      <c r="AQ114" s="1" t="s">
        <v>74</v>
      </c>
      <c r="AR114" s="1" t="s">
        <v>74</v>
      </c>
      <c r="AS114" s="1" t="s">
        <v>74</v>
      </c>
      <c r="AT114" s="1" t="s">
        <v>344</v>
      </c>
      <c r="AU114" s="1">
        <v>2023.0</v>
      </c>
      <c r="AV114" s="1">
        <v>14.0</v>
      </c>
      <c r="AW114" s="1">
        <v>7.0</v>
      </c>
      <c r="AX114" s="1" t="s">
        <v>74</v>
      </c>
      <c r="AY114" s="1" t="s">
        <v>74</v>
      </c>
      <c r="AZ114" s="1" t="s">
        <v>74</v>
      </c>
      <c r="BA114" s="1" t="s">
        <v>74</v>
      </c>
      <c r="BB114" s="1" t="s">
        <v>74</v>
      </c>
      <c r="BC114" s="1" t="s">
        <v>74</v>
      </c>
      <c r="BD114" s="1">
        <v>101565.0</v>
      </c>
      <c r="BE114" s="1" t="s">
        <v>1290</v>
      </c>
      <c r="BF114" s="2" t="str">
        <f>HYPERLINK("http://dx.doi.org/10.1016/j.jgo.2023.101565","http://dx.doi.org/10.1016/j.jgo.2023.101565")</f>
        <v>http://dx.doi.org/10.1016/j.jgo.2023.101565</v>
      </c>
      <c r="BG114" s="1" t="s">
        <v>74</v>
      </c>
      <c r="BH114" s="1" t="s">
        <v>679</v>
      </c>
      <c r="BI114" s="1" t="s">
        <v>74</v>
      </c>
      <c r="BJ114" s="1" t="s">
        <v>74</v>
      </c>
      <c r="BK114" s="1" t="s">
        <v>74</v>
      </c>
      <c r="BL114" s="1" t="s">
        <v>74</v>
      </c>
      <c r="BM114" s="1" t="s">
        <v>74</v>
      </c>
      <c r="BN114" s="1">
        <v>3.7419788E7</v>
      </c>
      <c r="BO114" s="1" t="s">
        <v>74</v>
      </c>
      <c r="BP114" s="1" t="s">
        <v>74</v>
      </c>
      <c r="BQ114" s="1" t="s">
        <v>74</v>
      </c>
      <c r="BR114" s="1" t="s">
        <v>74</v>
      </c>
      <c r="BS114" s="1" t="s">
        <v>1291</v>
      </c>
      <c r="BT114" s="1" t="str">
        <f>HYPERLINK("https%3A%2F%2Fwww.webofscience.com%2Fwos%2Fwoscc%2Ffull-record%2FWOS:001073697500001","View Full Record in Web of Science")</f>
        <v>View Full Record in Web of Science</v>
      </c>
    </row>
    <row r="115" ht="12.75" customHeight="1">
      <c r="A115" s="1" t="s">
        <v>72</v>
      </c>
      <c r="B115" s="1" t="s">
        <v>1292</v>
      </c>
      <c r="C115" s="1" t="s">
        <v>74</v>
      </c>
      <c r="D115" s="1" t="s">
        <v>74</v>
      </c>
      <c r="E115" s="1" t="s">
        <v>74</v>
      </c>
      <c r="F115" s="1" t="s">
        <v>1293</v>
      </c>
      <c r="G115" s="1" t="s">
        <v>74</v>
      </c>
      <c r="H115" s="1" t="s">
        <v>74</v>
      </c>
      <c r="I115" s="1" t="s">
        <v>1294</v>
      </c>
      <c r="J115" s="1" t="s">
        <v>1295</v>
      </c>
      <c r="K115" s="1" t="s">
        <v>74</v>
      </c>
      <c r="L115" s="1" t="s">
        <v>74</v>
      </c>
      <c r="M115" s="1" t="s">
        <v>74</v>
      </c>
      <c r="N115" s="1" t="s">
        <v>74</v>
      </c>
      <c r="O115" s="1" t="s">
        <v>74</v>
      </c>
      <c r="P115" s="1" t="s">
        <v>74</v>
      </c>
      <c r="Q115" s="1" t="s">
        <v>74</v>
      </c>
      <c r="R115" s="1" t="s">
        <v>74</v>
      </c>
      <c r="S115" s="1" t="s">
        <v>74</v>
      </c>
      <c r="T115" s="1" t="s">
        <v>74</v>
      </c>
      <c r="U115" s="1" t="s">
        <v>74</v>
      </c>
      <c r="V115" s="1" t="s">
        <v>1296</v>
      </c>
      <c r="W115" s="1" t="s">
        <v>74</v>
      </c>
      <c r="X115" s="1" t="s">
        <v>74</v>
      </c>
      <c r="Y115" s="1" t="s">
        <v>74</v>
      </c>
      <c r="Z115" s="1" t="s">
        <v>74</v>
      </c>
      <c r="AA115" s="1" t="s">
        <v>1297</v>
      </c>
      <c r="AB115" s="1" t="s">
        <v>1298</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74</v>
      </c>
      <c r="AP115" s="1" t="s">
        <v>1299</v>
      </c>
      <c r="AQ115" s="1" t="s">
        <v>74</v>
      </c>
      <c r="AR115" s="1" t="s">
        <v>74</v>
      </c>
      <c r="AS115" s="1" t="s">
        <v>74</v>
      </c>
      <c r="AT115" s="1" t="s">
        <v>1300</v>
      </c>
      <c r="AU115" s="1">
        <v>2021.0</v>
      </c>
      <c r="AV115" s="1">
        <v>20.0</v>
      </c>
      <c r="AW115" s="1">
        <v>1.0</v>
      </c>
      <c r="AX115" s="1" t="s">
        <v>74</v>
      </c>
      <c r="AY115" s="1" t="s">
        <v>74</v>
      </c>
      <c r="AZ115" s="1" t="s">
        <v>74</v>
      </c>
      <c r="BA115" s="1" t="s">
        <v>74</v>
      </c>
      <c r="BB115" s="1" t="s">
        <v>74</v>
      </c>
      <c r="BC115" s="1" t="s">
        <v>74</v>
      </c>
      <c r="BD115" s="1">
        <v>190.0</v>
      </c>
      <c r="BE115" s="1" t="s">
        <v>1301</v>
      </c>
      <c r="BF115" s="2" t="str">
        <f>HYPERLINK("http://dx.doi.org/10.1186/s12939-021-01524-0","http://dx.doi.org/10.1186/s12939-021-01524-0")</f>
        <v>http://dx.doi.org/10.1186/s12939-021-01524-0</v>
      </c>
      <c r="BG115" s="1" t="s">
        <v>74</v>
      </c>
      <c r="BH115" s="1" t="s">
        <v>74</v>
      </c>
      <c r="BI115" s="1" t="s">
        <v>74</v>
      </c>
      <c r="BJ115" s="1" t="s">
        <v>74</v>
      </c>
      <c r="BK115" s="1" t="s">
        <v>74</v>
      </c>
      <c r="BL115" s="1" t="s">
        <v>74</v>
      </c>
      <c r="BM115" s="1" t="s">
        <v>74</v>
      </c>
      <c r="BN115" s="1">
        <v>3.4446008E7</v>
      </c>
      <c r="BO115" s="1" t="s">
        <v>74</v>
      </c>
      <c r="BP115" s="1" t="s">
        <v>74</v>
      </c>
      <c r="BQ115" s="1" t="s">
        <v>74</v>
      </c>
      <c r="BR115" s="1" t="s">
        <v>74</v>
      </c>
      <c r="BS115" s="1" t="s">
        <v>1302</v>
      </c>
      <c r="BT115" s="1" t="str">
        <f>HYPERLINK("https%3A%2F%2Fwww.webofscience.com%2Fwos%2Fwoscc%2Ffull-record%2FWOS:000690964400001","View Full Record in Web of Science")</f>
        <v>View Full Record in Web of Science</v>
      </c>
    </row>
    <row r="116" ht="12.75" customHeight="1">
      <c r="A116" s="1" t="s">
        <v>72</v>
      </c>
      <c r="B116" s="1" t="s">
        <v>1303</v>
      </c>
      <c r="C116" s="1" t="s">
        <v>74</v>
      </c>
      <c r="D116" s="1" t="s">
        <v>74</v>
      </c>
      <c r="E116" s="1" t="s">
        <v>74</v>
      </c>
      <c r="F116" s="1" t="s">
        <v>1304</v>
      </c>
      <c r="G116" s="1" t="s">
        <v>74</v>
      </c>
      <c r="H116" s="1" t="s">
        <v>74</v>
      </c>
      <c r="I116" s="1" t="s">
        <v>1305</v>
      </c>
      <c r="J116" s="1" t="s">
        <v>172</v>
      </c>
      <c r="K116" s="1" t="s">
        <v>74</v>
      </c>
      <c r="L116" s="1" t="s">
        <v>74</v>
      </c>
      <c r="M116" s="1" t="s">
        <v>74</v>
      </c>
      <c r="N116" s="1" t="s">
        <v>74</v>
      </c>
      <c r="O116" s="1" t="s">
        <v>74</v>
      </c>
      <c r="P116" s="1" t="s">
        <v>74</v>
      </c>
      <c r="Q116" s="1" t="s">
        <v>74</v>
      </c>
      <c r="R116" s="1" t="s">
        <v>74</v>
      </c>
      <c r="S116" s="1" t="s">
        <v>74</v>
      </c>
      <c r="T116" s="1" t="s">
        <v>74</v>
      </c>
      <c r="U116" s="1" t="s">
        <v>74</v>
      </c>
      <c r="V116" s="1" t="s">
        <v>1306</v>
      </c>
      <c r="W116" s="1" t="s">
        <v>74</v>
      </c>
      <c r="X116" s="1" t="s">
        <v>74</v>
      </c>
      <c r="Y116" s="1" t="s">
        <v>74</v>
      </c>
      <c r="Z116" s="1" t="s">
        <v>74</v>
      </c>
      <c r="AA116" s="1" t="s">
        <v>1307</v>
      </c>
      <c r="AB116" s="1" t="s">
        <v>1308</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74</v>
      </c>
      <c r="AP116" s="1" t="s">
        <v>175</v>
      </c>
      <c r="AQ116" s="1" t="s">
        <v>74</v>
      </c>
      <c r="AR116" s="1" t="s">
        <v>74</v>
      </c>
      <c r="AS116" s="1" t="s">
        <v>74</v>
      </c>
      <c r="AT116" s="1" t="s">
        <v>1309</v>
      </c>
      <c r="AU116" s="1">
        <v>2020.0</v>
      </c>
      <c r="AV116" s="1">
        <v>10.0</v>
      </c>
      <c r="AW116" s="1" t="s">
        <v>74</v>
      </c>
      <c r="AX116" s="1" t="s">
        <v>74</v>
      </c>
      <c r="AY116" s="1" t="s">
        <v>74</v>
      </c>
      <c r="AZ116" s="1" t="s">
        <v>74</v>
      </c>
      <c r="BA116" s="1" t="s">
        <v>74</v>
      </c>
      <c r="BB116" s="1" t="s">
        <v>74</v>
      </c>
      <c r="BC116" s="1" t="s">
        <v>74</v>
      </c>
      <c r="BD116" s="1">
        <v>1593.0</v>
      </c>
      <c r="BE116" s="1" t="s">
        <v>1310</v>
      </c>
      <c r="BF116" s="2" t="str">
        <f>HYPERLINK("http://dx.doi.org/10.3389/fphar.2019.01593","http://dx.doi.org/10.3389/fphar.2019.01593")</f>
        <v>http://dx.doi.org/10.3389/fphar.2019.01593</v>
      </c>
      <c r="BG116" s="1" t="s">
        <v>74</v>
      </c>
      <c r="BH116" s="1" t="s">
        <v>74</v>
      </c>
      <c r="BI116" s="1" t="s">
        <v>74</v>
      </c>
      <c r="BJ116" s="1" t="s">
        <v>74</v>
      </c>
      <c r="BK116" s="1" t="s">
        <v>74</v>
      </c>
      <c r="BL116" s="1" t="s">
        <v>74</v>
      </c>
      <c r="BM116" s="1" t="s">
        <v>74</v>
      </c>
      <c r="BN116" s="1">
        <v>3.211666E7</v>
      </c>
      <c r="BO116" s="1" t="s">
        <v>74</v>
      </c>
      <c r="BP116" s="1" t="s">
        <v>74</v>
      </c>
      <c r="BQ116" s="1" t="s">
        <v>74</v>
      </c>
      <c r="BR116" s="1" t="s">
        <v>74</v>
      </c>
      <c r="BS116" s="1" t="s">
        <v>1311</v>
      </c>
      <c r="BT116" s="1" t="str">
        <f>HYPERLINK("https%3A%2F%2Fwww.webofscience.com%2Fwos%2Fwoscc%2Ffull-record%2FWOS:000517466000001","View Full Record in Web of Science")</f>
        <v>View Full Record in Web of Science</v>
      </c>
    </row>
    <row r="117" ht="12.75" customHeight="1">
      <c r="A117" s="1" t="s">
        <v>72</v>
      </c>
      <c r="B117" s="1" t="s">
        <v>1312</v>
      </c>
      <c r="C117" s="1" t="s">
        <v>74</v>
      </c>
      <c r="D117" s="1" t="s">
        <v>74</v>
      </c>
      <c r="E117" s="1" t="s">
        <v>74</v>
      </c>
      <c r="F117" s="1" t="s">
        <v>1313</v>
      </c>
      <c r="G117" s="1" t="s">
        <v>74</v>
      </c>
      <c r="H117" s="1" t="s">
        <v>74</v>
      </c>
      <c r="I117" s="1" t="s">
        <v>1314</v>
      </c>
      <c r="J117" s="1" t="s">
        <v>395</v>
      </c>
      <c r="K117" s="1" t="s">
        <v>74</v>
      </c>
      <c r="L117" s="1" t="s">
        <v>74</v>
      </c>
      <c r="M117" s="1" t="s">
        <v>74</v>
      </c>
      <c r="N117" s="1" t="s">
        <v>74</v>
      </c>
      <c r="O117" s="1" t="s">
        <v>74</v>
      </c>
      <c r="P117" s="1" t="s">
        <v>74</v>
      </c>
      <c r="Q117" s="1" t="s">
        <v>74</v>
      </c>
      <c r="R117" s="1" t="s">
        <v>74</v>
      </c>
      <c r="S117" s="1" t="s">
        <v>74</v>
      </c>
      <c r="T117" s="1" t="s">
        <v>74</v>
      </c>
      <c r="U117" s="1" t="s">
        <v>74</v>
      </c>
      <c r="V117" s="1" t="s">
        <v>1315</v>
      </c>
      <c r="W117" s="1" t="s">
        <v>74</v>
      </c>
      <c r="X117" s="1" t="s">
        <v>74</v>
      </c>
      <c r="Y117" s="1" t="s">
        <v>74</v>
      </c>
      <c r="Z117" s="1" t="s">
        <v>74</v>
      </c>
      <c r="AA117" s="1" t="s">
        <v>1316</v>
      </c>
      <c r="AB117" s="1" t="s">
        <v>1317</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399</v>
      </c>
      <c r="AP117" s="1" t="s">
        <v>400</v>
      </c>
      <c r="AQ117" s="1" t="s">
        <v>74</v>
      </c>
      <c r="AR117" s="1" t="s">
        <v>74</v>
      </c>
      <c r="AS117" s="1" t="s">
        <v>74</v>
      </c>
      <c r="AT117" s="1" t="s">
        <v>1318</v>
      </c>
      <c r="AU117" s="1">
        <v>2024.0</v>
      </c>
      <c r="AV117" s="1">
        <v>529.0</v>
      </c>
      <c r="AW117" s="1">
        <v>3.0</v>
      </c>
      <c r="AX117" s="1" t="s">
        <v>74</v>
      </c>
      <c r="AY117" s="1" t="s">
        <v>74</v>
      </c>
      <c r="AZ117" s="1" t="s">
        <v>74</v>
      </c>
      <c r="BA117" s="1" t="s">
        <v>74</v>
      </c>
      <c r="BB117" s="1">
        <v>2946.0</v>
      </c>
      <c r="BC117" s="1">
        <v>2966.0</v>
      </c>
      <c r="BD117" s="1" t="s">
        <v>74</v>
      </c>
      <c r="BE117" s="1" t="s">
        <v>1319</v>
      </c>
      <c r="BF117" s="2" t="str">
        <f>HYPERLINK("http://dx.doi.org/10.1093/mnras/stae280","http://dx.doi.org/10.1093/mnras/stae280")</f>
        <v>http://dx.doi.org/10.1093/mnras/stae280</v>
      </c>
      <c r="BG117" s="1" t="s">
        <v>74</v>
      </c>
      <c r="BH117" s="1" t="s">
        <v>228</v>
      </c>
      <c r="BI117" s="1" t="s">
        <v>74</v>
      </c>
      <c r="BJ117" s="1" t="s">
        <v>74</v>
      </c>
      <c r="BK117" s="1" t="s">
        <v>74</v>
      </c>
      <c r="BL117" s="1" t="s">
        <v>74</v>
      </c>
      <c r="BM117" s="1" t="s">
        <v>74</v>
      </c>
      <c r="BN117" s="1" t="s">
        <v>74</v>
      </c>
      <c r="BO117" s="1" t="s">
        <v>74</v>
      </c>
      <c r="BP117" s="1" t="s">
        <v>74</v>
      </c>
      <c r="BQ117" s="1" t="s">
        <v>74</v>
      </c>
      <c r="BR117" s="1" t="s">
        <v>74</v>
      </c>
      <c r="BS117" s="1" t="s">
        <v>1320</v>
      </c>
      <c r="BT117" s="1" t="str">
        <f>HYPERLINK("https%3A%2F%2Fwww.webofscience.com%2Fwos%2Fwoscc%2Ffull-record%2FWOS:001189423300014","View Full Record in Web of Science")</f>
        <v>View Full Record in Web of Science</v>
      </c>
    </row>
    <row r="118" ht="12.75" customHeight="1">
      <c r="A118" s="1" t="s">
        <v>72</v>
      </c>
      <c r="B118" s="1" t="s">
        <v>1321</v>
      </c>
      <c r="C118" s="1" t="s">
        <v>74</v>
      </c>
      <c r="D118" s="1" t="s">
        <v>74</v>
      </c>
      <c r="E118" s="1" t="s">
        <v>74</v>
      </c>
      <c r="F118" s="1" t="s">
        <v>1322</v>
      </c>
      <c r="G118" s="1" t="s">
        <v>74</v>
      </c>
      <c r="H118" s="1" t="s">
        <v>1323</v>
      </c>
      <c r="I118" s="1" t="s">
        <v>1324</v>
      </c>
      <c r="J118" s="1" t="s">
        <v>561</v>
      </c>
      <c r="K118" s="1" t="s">
        <v>74</v>
      </c>
      <c r="L118" s="1" t="s">
        <v>74</v>
      </c>
      <c r="M118" s="1" t="s">
        <v>74</v>
      </c>
      <c r="N118" s="1" t="s">
        <v>74</v>
      </c>
      <c r="O118" s="1" t="s">
        <v>74</v>
      </c>
      <c r="P118" s="1" t="s">
        <v>74</v>
      </c>
      <c r="Q118" s="1" t="s">
        <v>74</v>
      </c>
      <c r="R118" s="1" t="s">
        <v>74</v>
      </c>
      <c r="S118" s="1" t="s">
        <v>74</v>
      </c>
      <c r="T118" s="1" t="s">
        <v>74</v>
      </c>
      <c r="U118" s="1" t="s">
        <v>74</v>
      </c>
      <c r="V118" s="1" t="s">
        <v>1325</v>
      </c>
      <c r="W118" s="1" t="s">
        <v>74</v>
      </c>
      <c r="X118" s="1" t="s">
        <v>74</v>
      </c>
      <c r="Y118" s="1" t="s">
        <v>74</v>
      </c>
      <c r="Z118" s="1" t="s">
        <v>74</v>
      </c>
      <c r="AA118" s="1" t="s">
        <v>1326</v>
      </c>
      <c r="AB118" s="1" t="s">
        <v>1327</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565</v>
      </c>
      <c r="AP118" s="1" t="s">
        <v>566</v>
      </c>
      <c r="AQ118" s="1" t="s">
        <v>74</v>
      </c>
      <c r="AR118" s="1" t="s">
        <v>74</v>
      </c>
      <c r="AS118" s="1" t="s">
        <v>74</v>
      </c>
      <c r="AT118" s="1" t="s">
        <v>567</v>
      </c>
      <c r="AU118" s="1">
        <v>2022.0</v>
      </c>
      <c r="AV118" s="1">
        <v>37.0</v>
      </c>
      <c r="AW118" s="1">
        <v>1.0</v>
      </c>
      <c r="AX118" s="1" t="s">
        <v>74</v>
      </c>
      <c r="AY118" s="1" t="s">
        <v>74</v>
      </c>
      <c r="AZ118" s="1" t="s">
        <v>74</v>
      </c>
      <c r="BA118" s="1" t="s">
        <v>74</v>
      </c>
      <c r="BB118" s="1">
        <v>182.0</v>
      </c>
      <c r="BC118" s="1">
        <v>189.0</v>
      </c>
      <c r="BD118" s="1" t="s">
        <v>74</v>
      </c>
      <c r="BE118" s="1" t="s">
        <v>1328</v>
      </c>
      <c r="BF118" s="2" t="str">
        <f>HYPERLINK("http://dx.doi.org/10.1002/mds.28773","http://dx.doi.org/10.1002/mds.28773")</f>
        <v>http://dx.doi.org/10.1002/mds.28773</v>
      </c>
      <c r="BG118" s="1" t="s">
        <v>74</v>
      </c>
      <c r="BH118" s="1" t="s">
        <v>1329</v>
      </c>
      <c r="BI118" s="1" t="s">
        <v>74</v>
      </c>
      <c r="BJ118" s="1" t="s">
        <v>74</v>
      </c>
      <c r="BK118" s="1" t="s">
        <v>74</v>
      </c>
      <c r="BL118" s="1" t="s">
        <v>74</v>
      </c>
      <c r="BM118" s="1" t="s">
        <v>74</v>
      </c>
      <c r="BN118" s="1">
        <v>3.443156E7</v>
      </c>
      <c r="BO118" s="1" t="s">
        <v>74</v>
      </c>
      <c r="BP118" s="1" t="s">
        <v>74</v>
      </c>
      <c r="BQ118" s="1" t="s">
        <v>74</v>
      </c>
      <c r="BR118" s="1" t="s">
        <v>74</v>
      </c>
      <c r="BS118" s="1" t="s">
        <v>1330</v>
      </c>
      <c r="BT118" s="1" t="str">
        <f>HYPERLINK("https%3A%2F%2Fwww.webofscience.com%2Fwos%2Fwoscc%2Ffull-record%2FWOS:000688138600001","View Full Record in Web of Science")</f>
        <v>View Full Record in Web of Science</v>
      </c>
    </row>
    <row r="119" ht="12.75" customHeight="1">
      <c r="A119" s="1" t="s">
        <v>72</v>
      </c>
      <c r="B119" s="1" t="s">
        <v>1331</v>
      </c>
      <c r="C119" s="1" t="s">
        <v>74</v>
      </c>
      <c r="D119" s="1" t="s">
        <v>74</v>
      </c>
      <c r="E119" s="1" t="s">
        <v>74</v>
      </c>
      <c r="F119" s="1" t="s">
        <v>1332</v>
      </c>
      <c r="G119" s="1" t="s">
        <v>74</v>
      </c>
      <c r="H119" s="1" t="s">
        <v>74</v>
      </c>
      <c r="I119" s="1" t="s">
        <v>1333</v>
      </c>
      <c r="J119" s="1" t="s">
        <v>1334</v>
      </c>
      <c r="K119" s="1" t="s">
        <v>74</v>
      </c>
      <c r="L119" s="1" t="s">
        <v>74</v>
      </c>
      <c r="M119" s="1" t="s">
        <v>74</v>
      </c>
      <c r="N119" s="1" t="s">
        <v>74</v>
      </c>
      <c r="O119" s="1" t="s">
        <v>74</v>
      </c>
      <c r="P119" s="1" t="s">
        <v>74</v>
      </c>
      <c r="Q119" s="1" t="s">
        <v>74</v>
      </c>
      <c r="R119" s="1" t="s">
        <v>74</v>
      </c>
      <c r="S119" s="1" t="s">
        <v>74</v>
      </c>
      <c r="T119" s="1" t="s">
        <v>74</v>
      </c>
      <c r="U119" s="1" t="s">
        <v>74</v>
      </c>
      <c r="V119" s="1" t="s">
        <v>1335</v>
      </c>
      <c r="W119" s="1" t="s">
        <v>74</v>
      </c>
      <c r="X119" s="1" t="s">
        <v>74</v>
      </c>
      <c r="Y119" s="1" t="s">
        <v>74</v>
      </c>
      <c r="Z119" s="1" t="s">
        <v>74</v>
      </c>
      <c r="AA119" s="1" t="s">
        <v>1336</v>
      </c>
      <c r="AB119" s="1" t="s">
        <v>1337</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1338</v>
      </c>
      <c r="AP119" s="1" t="s">
        <v>1339</v>
      </c>
      <c r="AQ119" s="1" t="s">
        <v>74</v>
      </c>
      <c r="AR119" s="1" t="s">
        <v>74</v>
      </c>
      <c r="AS119" s="1" t="s">
        <v>74</v>
      </c>
      <c r="AT119" s="1" t="s">
        <v>1340</v>
      </c>
      <c r="AU119" s="1">
        <v>2021.0</v>
      </c>
      <c r="AV119" s="1">
        <v>41.0</v>
      </c>
      <c r="AW119" s="1">
        <v>19.0</v>
      </c>
      <c r="AX119" s="1" t="s">
        <v>74</v>
      </c>
      <c r="AY119" s="1" t="s">
        <v>74</v>
      </c>
      <c r="AZ119" s="1" t="s">
        <v>74</v>
      </c>
      <c r="BA119" s="1" t="s">
        <v>74</v>
      </c>
      <c r="BB119" s="1">
        <v>4276.0</v>
      </c>
      <c r="BC119" s="1">
        <v>4292.0</v>
      </c>
      <c r="BD119" s="1" t="s">
        <v>74</v>
      </c>
      <c r="BE119" s="1" t="s">
        <v>1341</v>
      </c>
      <c r="BF119" s="2" t="str">
        <f>HYPERLINK("http://dx.doi.org/10.1523/JNEUROSCI.2578-20.2021","http://dx.doi.org/10.1523/JNEUROSCI.2578-20.2021")</f>
        <v>http://dx.doi.org/10.1523/JNEUROSCI.2578-20.2021</v>
      </c>
      <c r="BG119" s="1" t="s">
        <v>74</v>
      </c>
      <c r="BH119" s="1" t="s">
        <v>74</v>
      </c>
      <c r="BI119" s="1" t="s">
        <v>74</v>
      </c>
      <c r="BJ119" s="1" t="s">
        <v>74</v>
      </c>
      <c r="BK119" s="1" t="s">
        <v>74</v>
      </c>
      <c r="BL119" s="1" t="s">
        <v>74</v>
      </c>
      <c r="BM119" s="1" t="s">
        <v>74</v>
      </c>
      <c r="BN119" s="1">
        <v>3.3827935E7</v>
      </c>
      <c r="BO119" s="1" t="s">
        <v>74</v>
      </c>
      <c r="BP119" s="1" t="s">
        <v>74</v>
      </c>
      <c r="BQ119" s="1" t="s">
        <v>74</v>
      </c>
      <c r="BR119" s="1" t="s">
        <v>74</v>
      </c>
      <c r="BS119" s="1" t="s">
        <v>1342</v>
      </c>
      <c r="BT119" s="1" t="str">
        <f>HYPERLINK("https%3A%2F%2Fwww.webofscience.com%2Fwos%2Fwoscc%2Ffull-record%2FWOS:000651383800011","View Full Record in Web of Science")</f>
        <v>View Full Record in Web of Science</v>
      </c>
    </row>
    <row r="120" ht="12.75" customHeight="1">
      <c r="A120" s="1" t="s">
        <v>72</v>
      </c>
      <c r="B120" s="1" t="s">
        <v>1343</v>
      </c>
      <c r="C120" s="1" t="s">
        <v>74</v>
      </c>
      <c r="D120" s="1" t="s">
        <v>74</v>
      </c>
      <c r="E120" s="1" t="s">
        <v>74</v>
      </c>
      <c r="F120" s="1" t="s">
        <v>1344</v>
      </c>
      <c r="G120" s="1" t="s">
        <v>74</v>
      </c>
      <c r="H120" s="1" t="s">
        <v>74</v>
      </c>
      <c r="I120" s="1" t="s">
        <v>1345</v>
      </c>
      <c r="J120" s="1" t="s">
        <v>77</v>
      </c>
      <c r="K120" s="1" t="s">
        <v>74</v>
      </c>
      <c r="L120" s="1" t="s">
        <v>74</v>
      </c>
      <c r="M120" s="1" t="s">
        <v>74</v>
      </c>
      <c r="N120" s="1" t="s">
        <v>74</v>
      </c>
      <c r="O120" s="1" t="s">
        <v>74</v>
      </c>
      <c r="P120" s="1" t="s">
        <v>74</v>
      </c>
      <c r="Q120" s="1" t="s">
        <v>74</v>
      </c>
      <c r="R120" s="1" t="s">
        <v>74</v>
      </c>
      <c r="S120" s="1" t="s">
        <v>74</v>
      </c>
      <c r="T120" s="1" t="s">
        <v>74</v>
      </c>
      <c r="U120" s="1" t="s">
        <v>74</v>
      </c>
      <c r="V120" s="1" t="s">
        <v>1346</v>
      </c>
      <c r="W120" s="1" t="s">
        <v>74</v>
      </c>
      <c r="X120" s="1" t="s">
        <v>74</v>
      </c>
      <c r="Y120" s="1" t="s">
        <v>74</v>
      </c>
      <c r="Z120" s="1" t="s">
        <v>74</v>
      </c>
      <c r="AA120" s="1" t="s">
        <v>1347</v>
      </c>
      <c r="AB120" s="1" t="s">
        <v>1348</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81</v>
      </c>
      <c r="AP120" s="1" t="s">
        <v>82</v>
      </c>
      <c r="AQ120" s="1" t="s">
        <v>74</v>
      </c>
      <c r="AR120" s="1" t="s">
        <v>74</v>
      </c>
      <c r="AS120" s="1" t="s">
        <v>74</v>
      </c>
      <c r="AT120" s="1" t="s">
        <v>1349</v>
      </c>
      <c r="AU120" s="1">
        <v>2022.0</v>
      </c>
      <c r="AV120" s="1">
        <v>32.0</v>
      </c>
      <c r="AW120" s="1">
        <v>16.0</v>
      </c>
      <c r="AX120" s="1" t="s">
        <v>74</v>
      </c>
      <c r="AY120" s="1" t="s">
        <v>74</v>
      </c>
      <c r="AZ120" s="1" t="s">
        <v>74</v>
      </c>
      <c r="BA120" s="1" t="s">
        <v>74</v>
      </c>
      <c r="BB120" s="1">
        <v>3377.0</v>
      </c>
      <c r="BC120" s="1">
        <v>3391.0</v>
      </c>
      <c r="BD120" s="1" t="s">
        <v>74</v>
      </c>
      <c r="BE120" s="1" t="s">
        <v>1350</v>
      </c>
      <c r="BF120" s="2" t="str">
        <f>HYPERLINK("http://dx.doi.org/10.1093/cercor/bhab421","http://dx.doi.org/10.1093/cercor/bhab421")</f>
        <v>http://dx.doi.org/10.1093/cercor/bhab421</v>
      </c>
      <c r="BG120" s="1" t="s">
        <v>74</v>
      </c>
      <c r="BH120" s="1" t="s">
        <v>1351</v>
      </c>
      <c r="BI120" s="1" t="s">
        <v>74</v>
      </c>
      <c r="BJ120" s="1" t="s">
        <v>74</v>
      </c>
      <c r="BK120" s="1" t="s">
        <v>74</v>
      </c>
      <c r="BL120" s="1" t="s">
        <v>74</v>
      </c>
      <c r="BM120" s="1" t="s">
        <v>74</v>
      </c>
      <c r="BN120" s="1">
        <v>3.487569E7</v>
      </c>
      <c r="BO120" s="1" t="s">
        <v>74</v>
      </c>
      <c r="BP120" s="1" t="s">
        <v>74</v>
      </c>
      <c r="BQ120" s="1" t="s">
        <v>74</v>
      </c>
      <c r="BR120" s="1" t="s">
        <v>74</v>
      </c>
      <c r="BS120" s="1" t="s">
        <v>1352</v>
      </c>
      <c r="BT120" s="1" t="str">
        <f>HYPERLINK("https%3A%2F%2Fwww.webofscience.com%2Fwos%2Fwoscc%2Ffull-record%2FWOS:000789256400001","View Full Record in Web of Science")</f>
        <v>View Full Record in Web of Science</v>
      </c>
    </row>
    <row r="121" ht="12.75" customHeight="1">
      <c r="A121" s="1" t="s">
        <v>72</v>
      </c>
      <c r="B121" s="1" t="s">
        <v>1353</v>
      </c>
      <c r="C121" s="1" t="s">
        <v>74</v>
      </c>
      <c r="D121" s="1" t="s">
        <v>74</v>
      </c>
      <c r="E121" s="1" t="s">
        <v>74</v>
      </c>
      <c r="F121" s="1" t="s">
        <v>1354</v>
      </c>
      <c r="G121" s="1" t="s">
        <v>74</v>
      </c>
      <c r="H121" s="1" t="s">
        <v>74</v>
      </c>
      <c r="I121" s="1" t="s">
        <v>1355</v>
      </c>
      <c r="J121" s="1" t="s">
        <v>1356</v>
      </c>
      <c r="K121" s="1" t="s">
        <v>74</v>
      </c>
      <c r="L121" s="1" t="s">
        <v>74</v>
      </c>
      <c r="M121" s="1" t="s">
        <v>74</v>
      </c>
      <c r="N121" s="1" t="s">
        <v>74</v>
      </c>
      <c r="O121" s="1" t="s">
        <v>74</v>
      </c>
      <c r="P121" s="1" t="s">
        <v>74</v>
      </c>
      <c r="Q121" s="1" t="s">
        <v>74</v>
      </c>
      <c r="R121" s="1" t="s">
        <v>74</v>
      </c>
      <c r="S121" s="1" t="s">
        <v>74</v>
      </c>
      <c r="T121" s="1" t="s">
        <v>74</v>
      </c>
      <c r="U121" s="1" t="s">
        <v>74</v>
      </c>
      <c r="V121" s="1" t="s">
        <v>1357</v>
      </c>
      <c r="W121" s="1" t="s">
        <v>74</v>
      </c>
      <c r="X121" s="1" t="s">
        <v>74</v>
      </c>
      <c r="Y121" s="1" t="s">
        <v>74</v>
      </c>
      <c r="Z121" s="1" t="s">
        <v>74</v>
      </c>
      <c r="AA121" s="1" t="s">
        <v>1358</v>
      </c>
      <c r="AB121" s="1" t="s">
        <v>1359</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1360</v>
      </c>
      <c r="AP121" s="1" t="s">
        <v>1361</v>
      </c>
      <c r="AQ121" s="1" t="s">
        <v>74</v>
      </c>
      <c r="AR121" s="1" t="s">
        <v>74</v>
      </c>
      <c r="AS121" s="1" t="s">
        <v>74</v>
      </c>
      <c r="AT121" s="1" t="s">
        <v>188</v>
      </c>
      <c r="AU121" s="1">
        <v>2018.0</v>
      </c>
      <c r="AV121" s="1">
        <v>53.0</v>
      </c>
      <c r="AW121" s="1" t="s">
        <v>74</v>
      </c>
      <c r="AX121" s="1" t="s">
        <v>74</v>
      </c>
      <c r="AY121" s="1" t="s">
        <v>74</v>
      </c>
      <c r="AZ121" s="1" t="s">
        <v>74</v>
      </c>
      <c r="BA121" s="1" t="s">
        <v>74</v>
      </c>
      <c r="BB121" s="1">
        <v>10.0</v>
      </c>
      <c r="BC121" s="1">
        <v>20.0</v>
      </c>
      <c r="BD121" s="1" t="s">
        <v>74</v>
      </c>
      <c r="BE121" s="1" t="s">
        <v>1362</v>
      </c>
      <c r="BF121" s="2" t="str">
        <f>HYPERLINK("http://dx.doi.org/10.1016/j.parkreldis.2018.05.021","http://dx.doi.org/10.1016/j.parkreldis.2018.05.021")</f>
        <v>http://dx.doi.org/10.1016/j.parkreldis.2018.05.021</v>
      </c>
      <c r="BG121" s="1" t="s">
        <v>74</v>
      </c>
      <c r="BH121" s="1" t="s">
        <v>74</v>
      </c>
      <c r="BI121" s="1" t="s">
        <v>74</v>
      </c>
      <c r="BJ121" s="1" t="s">
        <v>74</v>
      </c>
      <c r="BK121" s="1" t="s">
        <v>74</v>
      </c>
      <c r="BL121" s="1" t="s">
        <v>74</v>
      </c>
      <c r="BM121" s="1" t="s">
        <v>74</v>
      </c>
      <c r="BN121" s="1">
        <v>2.9853295E7</v>
      </c>
      <c r="BO121" s="1" t="s">
        <v>74</v>
      </c>
      <c r="BP121" s="1" t="s">
        <v>74</v>
      </c>
      <c r="BQ121" s="1" t="s">
        <v>74</v>
      </c>
      <c r="BR121" s="1" t="s">
        <v>74</v>
      </c>
      <c r="BS121" s="1" t="s">
        <v>1363</v>
      </c>
      <c r="BT121" s="1" t="str">
        <f>HYPERLINK("https%3A%2F%2Fwww.webofscience.com%2Fwos%2Fwoscc%2Ffull-record%2FWOS:000445980300003","View Full Record in Web of Science")</f>
        <v>View Full Record in Web of Science</v>
      </c>
    </row>
    <row r="122" ht="12.75" customHeight="1">
      <c r="A122" s="1" t="s">
        <v>72</v>
      </c>
      <c r="B122" s="1" t="s">
        <v>1364</v>
      </c>
      <c r="C122" s="1" t="s">
        <v>74</v>
      </c>
      <c r="D122" s="1" t="s">
        <v>74</v>
      </c>
      <c r="E122" s="1" t="s">
        <v>74</v>
      </c>
      <c r="F122" s="1" t="s">
        <v>1365</v>
      </c>
      <c r="G122" s="1" t="s">
        <v>74</v>
      </c>
      <c r="H122" s="1" t="s">
        <v>1366</v>
      </c>
      <c r="I122" s="1" t="s">
        <v>1367</v>
      </c>
      <c r="J122" s="1" t="s">
        <v>1368</v>
      </c>
      <c r="K122" s="1" t="s">
        <v>74</v>
      </c>
      <c r="L122" s="1" t="s">
        <v>74</v>
      </c>
      <c r="M122" s="1" t="s">
        <v>74</v>
      </c>
      <c r="N122" s="1" t="s">
        <v>74</v>
      </c>
      <c r="O122" s="1" t="s">
        <v>74</v>
      </c>
      <c r="P122" s="1" t="s">
        <v>74</v>
      </c>
      <c r="Q122" s="1" t="s">
        <v>74</v>
      </c>
      <c r="R122" s="1" t="s">
        <v>74</v>
      </c>
      <c r="S122" s="1" t="s">
        <v>74</v>
      </c>
      <c r="T122" s="1" t="s">
        <v>74</v>
      </c>
      <c r="U122" s="1" t="s">
        <v>74</v>
      </c>
      <c r="V122" s="1" t="s">
        <v>1369</v>
      </c>
      <c r="W122" s="1" t="s">
        <v>74</v>
      </c>
      <c r="X122" s="1" t="s">
        <v>74</v>
      </c>
      <c r="Y122" s="1" t="s">
        <v>74</v>
      </c>
      <c r="Z122" s="1" t="s">
        <v>74</v>
      </c>
      <c r="AA122" s="1" t="s">
        <v>1370</v>
      </c>
      <c r="AB122" s="1" t="s">
        <v>1371</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1372</v>
      </c>
      <c r="AP122" s="1" t="s">
        <v>1373</v>
      </c>
      <c r="AQ122" s="1" t="s">
        <v>74</v>
      </c>
      <c r="AR122" s="1" t="s">
        <v>74</v>
      </c>
      <c r="AS122" s="1" t="s">
        <v>74</v>
      </c>
      <c r="AT122" s="1" t="s">
        <v>74</v>
      </c>
      <c r="AU122" s="1">
        <v>2022.0</v>
      </c>
      <c r="AV122" s="1">
        <v>12.0</v>
      </c>
      <c r="AW122" s="1" t="s">
        <v>74</v>
      </c>
      <c r="AX122" s="1" t="s">
        <v>74</v>
      </c>
      <c r="AY122" s="1" t="s">
        <v>74</v>
      </c>
      <c r="AZ122" s="1" t="s">
        <v>74</v>
      </c>
      <c r="BA122" s="1" t="s">
        <v>74</v>
      </c>
      <c r="BB122" s="1" t="s">
        <v>74</v>
      </c>
      <c r="BC122" s="1" t="s">
        <v>74</v>
      </c>
      <c r="BD122" s="1">
        <v>4027.0</v>
      </c>
      <c r="BE122" s="1" t="s">
        <v>1374</v>
      </c>
      <c r="BF122" s="2" t="str">
        <f>HYPERLINK("http://dx.doi.org/10.7189/jogh.12.04027","http://dx.doi.org/10.7189/jogh.12.04027")</f>
        <v>http://dx.doi.org/10.7189/jogh.12.04027</v>
      </c>
      <c r="BG122" s="1" t="s">
        <v>74</v>
      </c>
      <c r="BH122" s="1" t="s">
        <v>74</v>
      </c>
      <c r="BI122" s="1" t="s">
        <v>74</v>
      </c>
      <c r="BJ122" s="1" t="s">
        <v>74</v>
      </c>
      <c r="BK122" s="1" t="s">
        <v>74</v>
      </c>
      <c r="BL122" s="1" t="s">
        <v>74</v>
      </c>
      <c r="BM122" s="1" t="s">
        <v>74</v>
      </c>
      <c r="BN122" s="1">
        <v>3.5392582E7</v>
      </c>
      <c r="BO122" s="1" t="s">
        <v>74</v>
      </c>
      <c r="BP122" s="1" t="s">
        <v>74</v>
      </c>
      <c r="BQ122" s="1" t="s">
        <v>74</v>
      </c>
      <c r="BR122" s="1" t="s">
        <v>74</v>
      </c>
      <c r="BS122" s="1" t="s">
        <v>1375</v>
      </c>
      <c r="BT122" s="1" t="str">
        <f>HYPERLINK("https%3A%2F%2Fwww.webofscience.com%2Fwos%2Fwoscc%2Ffull-record%2FWOS:000782103300001","View Full Record in Web of Science")</f>
        <v>View Full Record in Web of Science</v>
      </c>
    </row>
    <row r="123" ht="12.75" customHeight="1">
      <c r="A123" s="1" t="s">
        <v>72</v>
      </c>
      <c r="B123" s="1" t="s">
        <v>1376</v>
      </c>
      <c r="C123" s="1" t="s">
        <v>74</v>
      </c>
      <c r="D123" s="1" t="s">
        <v>74</v>
      </c>
      <c r="E123" s="1" t="s">
        <v>74</v>
      </c>
      <c r="F123" s="1" t="s">
        <v>1377</v>
      </c>
      <c r="G123" s="1" t="s">
        <v>74</v>
      </c>
      <c r="H123" s="1" t="s">
        <v>74</v>
      </c>
      <c r="I123" s="1" t="s">
        <v>1378</v>
      </c>
      <c r="J123" s="1" t="s">
        <v>596</v>
      </c>
      <c r="K123" s="1" t="s">
        <v>74</v>
      </c>
      <c r="L123" s="1" t="s">
        <v>74</v>
      </c>
      <c r="M123" s="1" t="s">
        <v>74</v>
      </c>
      <c r="N123" s="1" t="s">
        <v>74</v>
      </c>
      <c r="O123" s="1" t="s">
        <v>74</v>
      </c>
      <c r="P123" s="1" t="s">
        <v>74</v>
      </c>
      <c r="Q123" s="1" t="s">
        <v>74</v>
      </c>
      <c r="R123" s="1" t="s">
        <v>74</v>
      </c>
      <c r="S123" s="1" t="s">
        <v>74</v>
      </c>
      <c r="T123" s="1" t="s">
        <v>74</v>
      </c>
      <c r="U123" s="1" t="s">
        <v>74</v>
      </c>
      <c r="V123" s="1" t="s">
        <v>1379</v>
      </c>
      <c r="W123" s="1" t="s">
        <v>74</v>
      </c>
      <c r="X123" s="1" t="s">
        <v>74</v>
      </c>
      <c r="Y123" s="1" t="s">
        <v>74</v>
      </c>
      <c r="Z123" s="1" t="s">
        <v>74</v>
      </c>
      <c r="AA123" s="1" t="s">
        <v>1380</v>
      </c>
      <c r="AB123" s="1" t="s">
        <v>1381</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600</v>
      </c>
      <c r="AP123" s="1" t="s">
        <v>601</v>
      </c>
      <c r="AQ123" s="1" t="s">
        <v>74</v>
      </c>
      <c r="AR123" s="1" t="s">
        <v>74</v>
      </c>
      <c r="AS123" s="1" t="s">
        <v>74</v>
      </c>
      <c r="AT123" s="1" t="s">
        <v>298</v>
      </c>
      <c r="AU123" s="1">
        <v>2021.0</v>
      </c>
      <c r="AV123" s="1">
        <v>923.0</v>
      </c>
      <c r="AW123" s="1">
        <v>2.0</v>
      </c>
      <c r="AX123" s="1" t="s">
        <v>74</v>
      </c>
      <c r="AY123" s="1" t="s">
        <v>74</v>
      </c>
      <c r="AZ123" s="1" t="s">
        <v>74</v>
      </c>
      <c r="BA123" s="1" t="s">
        <v>74</v>
      </c>
      <c r="BB123" s="1" t="s">
        <v>74</v>
      </c>
      <c r="BC123" s="1" t="s">
        <v>74</v>
      </c>
      <c r="BD123" s="1">
        <v>270.0</v>
      </c>
      <c r="BE123" s="1" t="s">
        <v>1382</v>
      </c>
      <c r="BF123" s="2" t="str">
        <f>HYPERLINK("http://dx.doi.org/10.3847/1538-4357/ac31b9","http://dx.doi.org/10.3847/1538-4357/ac31b9")</f>
        <v>http://dx.doi.org/10.3847/1538-4357/ac31b9</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1383</v>
      </c>
      <c r="BT123" s="1" t="str">
        <f>HYPERLINK("https%3A%2F%2Fwww.webofscience.com%2Fwos%2Fwoscc%2Ffull-record%2FWOS:000735170900001","View Full Record in Web of Science")</f>
        <v>View Full Record in Web of Science</v>
      </c>
    </row>
    <row r="124" ht="12.75" customHeight="1">
      <c r="A124" s="1" t="s">
        <v>72</v>
      </c>
      <c r="B124" s="1" t="s">
        <v>1384</v>
      </c>
      <c r="C124" s="1" t="s">
        <v>74</v>
      </c>
      <c r="D124" s="1" t="s">
        <v>74</v>
      </c>
      <c r="E124" s="1" t="s">
        <v>74</v>
      </c>
      <c r="F124" s="1" t="s">
        <v>1385</v>
      </c>
      <c r="G124" s="1" t="s">
        <v>74</v>
      </c>
      <c r="H124" s="1" t="s">
        <v>74</v>
      </c>
      <c r="I124" s="1" t="s">
        <v>1386</v>
      </c>
      <c r="J124" s="1" t="s">
        <v>1387</v>
      </c>
      <c r="K124" s="1" t="s">
        <v>74</v>
      </c>
      <c r="L124" s="1" t="s">
        <v>74</v>
      </c>
      <c r="M124" s="1" t="s">
        <v>74</v>
      </c>
      <c r="N124" s="1" t="s">
        <v>74</v>
      </c>
      <c r="O124" s="1" t="s">
        <v>74</v>
      </c>
      <c r="P124" s="1" t="s">
        <v>74</v>
      </c>
      <c r="Q124" s="1" t="s">
        <v>74</v>
      </c>
      <c r="R124" s="1" t="s">
        <v>74</v>
      </c>
      <c r="S124" s="1" t="s">
        <v>74</v>
      </c>
      <c r="T124" s="1" t="s">
        <v>74</v>
      </c>
      <c r="U124" s="1" t="s">
        <v>74</v>
      </c>
      <c r="V124" s="1" t="s">
        <v>1388</v>
      </c>
      <c r="W124" s="1" t="s">
        <v>74</v>
      </c>
      <c r="X124" s="1" t="s">
        <v>74</v>
      </c>
      <c r="Y124" s="1" t="s">
        <v>74</v>
      </c>
      <c r="Z124" s="1" t="s">
        <v>74</v>
      </c>
      <c r="AA124" s="1" t="s">
        <v>1389</v>
      </c>
      <c r="AB124" s="1" t="s">
        <v>1390</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1391</v>
      </c>
      <c r="AP124" s="1" t="s">
        <v>1392</v>
      </c>
      <c r="AQ124" s="1" t="s">
        <v>74</v>
      </c>
      <c r="AR124" s="1" t="s">
        <v>74</v>
      </c>
      <c r="AS124" s="1" t="s">
        <v>74</v>
      </c>
      <c r="AT124" s="1" t="s">
        <v>1393</v>
      </c>
      <c r="AU124" s="1">
        <v>2021.0</v>
      </c>
      <c r="AV124" s="1">
        <v>138.0</v>
      </c>
      <c r="AW124" s="1">
        <v>1.0</v>
      </c>
      <c r="AX124" s="1" t="s">
        <v>74</v>
      </c>
      <c r="AY124" s="1" t="s">
        <v>74</v>
      </c>
      <c r="AZ124" s="1" t="s">
        <v>74</v>
      </c>
      <c r="BA124" s="1" t="s">
        <v>74</v>
      </c>
      <c r="BB124" s="1" t="s">
        <v>74</v>
      </c>
      <c r="BC124" s="1" t="s">
        <v>74</v>
      </c>
      <c r="BD124" s="1" t="s">
        <v>74</v>
      </c>
      <c r="BE124" s="1" t="s">
        <v>1394</v>
      </c>
      <c r="BF124" s="2" t="str">
        <f>HYPERLINK("http://dx.doi.org/10.1093/ornithology/ukaa064","http://dx.doi.org/10.1093/ornithology/ukaa064")</f>
        <v>http://dx.doi.org/10.1093/ornithology/ukaa064</v>
      </c>
      <c r="BG124" s="1" t="s">
        <v>74</v>
      </c>
      <c r="BH124" s="1" t="s">
        <v>368</v>
      </c>
      <c r="BI124" s="1" t="s">
        <v>74</v>
      </c>
      <c r="BJ124" s="1" t="s">
        <v>74</v>
      </c>
      <c r="BK124" s="1" t="s">
        <v>74</v>
      </c>
      <c r="BL124" s="1" t="s">
        <v>74</v>
      </c>
      <c r="BM124" s="1" t="s">
        <v>74</v>
      </c>
      <c r="BN124" s="1" t="s">
        <v>74</v>
      </c>
      <c r="BO124" s="1" t="s">
        <v>74</v>
      </c>
      <c r="BP124" s="1" t="s">
        <v>74</v>
      </c>
      <c r="BQ124" s="1" t="s">
        <v>74</v>
      </c>
      <c r="BR124" s="1" t="s">
        <v>74</v>
      </c>
      <c r="BS124" s="1" t="s">
        <v>1395</v>
      </c>
      <c r="BT124" s="1" t="str">
        <f>HYPERLINK("https%3A%2F%2Fwww.webofscience.com%2Fwos%2Fwoscc%2Ffull-record%2FWOS:000647777800001","View Full Record in Web of Science")</f>
        <v>View Full Record in Web of Science</v>
      </c>
    </row>
    <row r="125" ht="12.75" customHeight="1">
      <c r="A125" s="1" t="s">
        <v>72</v>
      </c>
      <c r="B125" s="1" t="s">
        <v>1396</v>
      </c>
      <c r="C125" s="1" t="s">
        <v>74</v>
      </c>
      <c r="D125" s="1" t="s">
        <v>74</v>
      </c>
      <c r="E125" s="1" t="s">
        <v>74</v>
      </c>
      <c r="F125" s="1" t="s">
        <v>1397</v>
      </c>
      <c r="G125" s="1" t="s">
        <v>74</v>
      </c>
      <c r="H125" s="1" t="s">
        <v>74</v>
      </c>
      <c r="I125" s="1" t="s">
        <v>1398</v>
      </c>
      <c r="J125" s="1" t="s">
        <v>1399</v>
      </c>
      <c r="K125" s="1" t="s">
        <v>74</v>
      </c>
      <c r="L125" s="1" t="s">
        <v>74</v>
      </c>
      <c r="M125" s="1" t="s">
        <v>74</v>
      </c>
      <c r="N125" s="1" t="s">
        <v>74</v>
      </c>
      <c r="O125" s="1" t="s">
        <v>74</v>
      </c>
      <c r="P125" s="1" t="s">
        <v>74</v>
      </c>
      <c r="Q125" s="1" t="s">
        <v>74</v>
      </c>
      <c r="R125" s="1" t="s">
        <v>74</v>
      </c>
      <c r="S125" s="1" t="s">
        <v>74</v>
      </c>
      <c r="T125" s="1" t="s">
        <v>74</v>
      </c>
      <c r="U125" s="1" t="s">
        <v>74</v>
      </c>
      <c r="V125" s="1" t="s">
        <v>1400</v>
      </c>
      <c r="W125" s="1" t="s">
        <v>74</v>
      </c>
      <c r="X125" s="1" t="s">
        <v>74</v>
      </c>
      <c r="Y125" s="1" t="s">
        <v>74</v>
      </c>
      <c r="Z125" s="1" t="s">
        <v>74</v>
      </c>
      <c r="AA125" s="1" t="s">
        <v>1401</v>
      </c>
      <c r="AB125" s="1" t="s">
        <v>1402</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74</v>
      </c>
      <c r="AP125" s="1" t="s">
        <v>1403</v>
      </c>
      <c r="AQ125" s="1" t="s">
        <v>74</v>
      </c>
      <c r="AR125" s="1" t="s">
        <v>74</v>
      </c>
      <c r="AS125" s="1" t="s">
        <v>74</v>
      </c>
      <c r="AT125" s="1" t="s">
        <v>74</v>
      </c>
      <c r="AU125" s="1">
        <v>2016.0</v>
      </c>
      <c r="AV125" s="1">
        <v>11.0</v>
      </c>
      <c r="AW125" s="1" t="s">
        <v>74</v>
      </c>
      <c r="AX125" s="1" t="s">
        <v>74</v>
      </c>
      <c r="AY125" s="1" t="s">
        <v>74</v>
      </c>
      <c r="AZ125" s="1" t="s">
        <v>74</v>
      </c>
      <c r="BA125" s="1" t="s">
        <v>74</v>
      </c>
      <c r="BB125" s="1">
        <v>1797.0</v>
      </c>
      <c r="BC125" s="1">
        <v>1804.0</v>
      </c>
      <c r="BD125" s="1" t="s">
        <v>74</v>
      </c>
      <c r="BE125" s="1" t="s">
        <v>1404</v>
      </c>
      <c r="BF125" s="2" t="str">
        <f>HYPERLINK("http://dx.doi.org/10.2147/CIA.S121313","http://dx.doi.org/10.2147/CIA.S121313")</f>
        <v>http://dx.doi.org/10.2147/CIA.S121313</v>
      </c>
      <c r="BG125" s="1" t="s">
        <v>74</v>
      </c>
      <c r="BH125" s="1" t="s">
        <v>74</v>
      </c>
      <c r="BI125" s="1" t="s">
        <v>74</v>
      </c>
      <c r="BJ125" s="1" t="s">
        <v>74</v>
      </c>
      <c r="BK125" s="1" t="s">
        <v>74</v>
      </c>
      <c r="BL125" s="1" t="s">
        <v>74</v>
      </c>
      <c r="BM125" s="1" t="s">
        <v>74</v>
      </c>
      <c r="BN125" s="1">
        <v>2.8008239E7</v>
      </c>
      <c r="BO125" s="1" t="s">
        <v>74</v>
      </c>
      <c r="BP125" s="1" t="s">
        <v>74</v>
      </c>
      <c r="BQ125" s="1" t="s">
        <v>74</v>
      </c>
      <c r="BR125" s="1" t="s">
        <v>74</v>
      </c>
      <c r="BS125" s="1" t="s">
        <v>1405</v>
      </c>
      <c r="BT125" s="1" t="str">
        <f>HYPERLINK("https%3A%2F%2Fwww.webofscience.com%2Fwos%2Fwoscc%2Ffull-record%2FWOS:000389798200001","View Full Record in Web of Science")</f>
        <v>View Full Record in Web of Science</v>
      </c>
    </row>
    <row r="126" ht="12.75" customHeight="1">
      <c r="A126" s="1" t="s">
        <v>72</v>
      </c>
      <c r="B126" s="1" t="s">
        <v>1406</v>
      </c>
      <c r="C126" s="1" t="s">
        <v>74</v>
      </c>
      <c r="D126" s="1" t="s">
        <v>74</v>
      </c>
      <c r="E126" s="1" t="s">
        <v>74</v>
      </c>
      <c r="F126" s="1" t="s">
        <v>1407</v>
      </c>
      <c r="G126" s="1" t="s">
        <v>74</v>
      </c>
      <c r="H126" s="1" t="s">
        <v>74</v>
      </c>
      <c r="I126" s="1" t="s">
        <v>1408</v>
      </c>
      <c r="J126" s="1" t="s">
        <v>395</v>
      </c>
      <c r="K126" s="1" t="s">
        <v>74</v>
      </c>
      <c r="L126" s="1" t="s">
        <v>74</v>
      </c>
      <c r="M126" s="1" t="s">
        <v>74</v>
      </c>
      <c r="N126" s="1" t="s">
        <v>74</v>
      </c>
      <c r="O126" s="1" t="s">
        <v>74</v>
      </c>
      <c r="P126" s="1" t="s">
        <v>74</v>
      </c>
      <c r="Q126" s="1" t="s">
        <v>74</v>
      </c>
      <c r="R126" s="1" t="s">
        <v>74</v>
      </c>
      <c r="S126" s="1" t="s">
        <v>74</v>
      </c>
      <c r="T126" s="1" t="s">
        <v>74</v>
      </c>
      <c r="U126" s="1" t="s">
        <v>74</v>
      </c>
      <c r="V126" s="1" t="s">
        <v>1409</v>
      </c>
      <c r="W126" s="1" t="s">
        <v>74</v>
      </c>
      <c r="X126" s="1" t="s">
        <v>74</v>
      </c>
      <c r="Y126" s="1" t="s">
        <v>74</v>
      </c>
      <c r="Z126" s="1" t="s">
        <v>74</v>
      </c>
      <c r="AA126" s="1" t="s">
        <v>1410</v>
      </c>
      <c r="AB126" s="1" t="s">
        <v>1411</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399</v>
      </c>
      <c r="AP126" s="1" t="s">
        <v>400</v>
      </c>
      <c r="AQ126" s="1" t="s">
        <v>74</v>
      </c>
      <c r="AR126" s="1" t="s">
        <v>74</v>
      </c>
      <c r="AS126" s="1" t="s">
        <v>74</v>
      </c>
      <c r="AT126" s="1" t="s">
        <v>275</v>
      </c>
      <c r="AU126" s="1">
        <v>2019.0</v>
      </c>
      <c r="AV126" s="1">
        <v>483.0</v>
      </c>
      <c r="AW126" s="1">
        <v>3.0</v>
      </c>
      <c r="AX126" s="1" t="s">
        <v>74</v>
      </c>
      <c r="AY126" s="1" t="s">
        <v>74</v>
      </c>
      <c r="AZ126" s="1" t="s">
        <v>74</v>
      </c>
      <c r="BA126" s="1" t="s">
        <v>74</v>
      </c>
      <c r="BB126" s="1">
        <v>3278.0</v>
      </c>
      <c r="BC126" s="1">
        <v>3287.0</v>
      </c>
      <c r="BD126" s="1" t="s">
        <v>74</v>
      </c>
      <c r="BE126" s="1" t="s">
        <v>1412</v>
      </c>
      <c r="BF126" s="2" t="str">
        <f>HYPERLINK("http://dx.doi.org/10.1093/mnras/sty3269","http://dx.doi.org/10.1093/mnras/sty3269")</f>
        <v>http://dx.doi.org/10.1093/mnras/sty3269</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1413</v>
      </c>
      <c r="BT126" s="1" t="str">
        <f>HYPERLINK("https%3A%2F%2Fwww.webofscience.com%2Fwos%2Fwoscc%2Ffull-record%2FWOS:000462280000025","View Full Record in Web of Science")</f>
        <v>View Full Record in Web of Science</v>
      </c>
    </row>
    <row r="127" ht="12.75" customHeight="1">
      <c r="A127" s="1" t="s">
        <v>72</v>
      </c>
      <c r="B127" s="1" t="s">
        <v>1414</v>
      </c>
      <c r="C127" s="1" t="s">
        <v>74</v>
      </c>
      <c r="D127" s="1" t="s">
        <v>74</v>
      </c>
      <c r="E127" s="1" t="s">
        <v>74</v>
      </c>
      <c r="F127" s="1" t="s">
        <v>1415</v>
      </c>
      <c r="G127" s="1" t="s">
        <v>74</v>
      </c>
      <c r="H127" s="1" t="s">
        <v>74</v>
      </c>
      <c r="I127" s="1" t="s">
        <v>1416</v>
      </c>
      <c r="J127" s="1" t="s">
        <v>813</v>
      </c>
      <c r="K127" s="1" t="s">
        <v>74</v>
      </c>
      <c r="L127" s="1" t="s">
        <v>74</v>
      </c>
      <c r="M127" s="1" t="s">
        <v>74</v>
      </c>
      <c r="N127" s="1" t="s">
        <v>74</v>
      </c>
      <c r="O127" s="1" t="s">
        <v>74</v>
      </c>
      <c r="P127" s="1" t="s">
        <v>74</v>
      </c>
      <c r="Q127" s="1" t="s">
        <v>74</v>
      </c>
      <c r="R127" s="1" t="s">
        <v>74</v>
      </c>
      <c r="S127" s="1" t="s">
        <v>74</v>
      </c>
      <c r="T127" s="1" t="s">
        <v>74</v>
      </c>
      <c r="U127" s="1" t="s">
        <v>74</v>
      </c>
      <c r="V127" s="1" t="s">
        <v>1417</v>
      </c>
      <c r="W127" s="1" t="s">
        <v>74</v>
      </c>
      <c r="X127" s="1" t="s">
        <v>74</v>
      </c>
      <c r="Y127" s="1" t="s">
        <v>74</v>
      </c>
      <c r="Z127" s="1" t="s">
        <v>74</v>
      </c>
      <c r="AA127" s="1" t="s">
        <v>1418</v>
      </c>
      <c r="AB127" s="1" t="s">
        <v>1419</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817</v>
      </c>
      <c r="AP127" s="1" t="s">
        <v>818</v>
      </c>
      <c r="AQ127" s="1" t="s">
        <v>74</v>
      </c>
      <c r="AR127" s="1" t="s">
        <v>74</v>
      </c>
      <c r="AS127" s="1" t="s">
        <v>74</v>
      </c>
      <c r="AT127" s="1" t="s">
        <v>1420</v>
      </c>
      <c r="AU127" s="1">
        <v>2024.0</v>
      </c>
      <c r="AV127" s="1">
        <v>687.0</v>
      </c>
      <c r="AW127" s="1" t="s">
        <v>74</v>
      </c>
      <c r="AX127" s="1" t="s">
        <v>74</v>
      </c>
      <c r="AY127" s="1" t="s">
        <v>74</v>
      </c>
      <c r="AZ127" s="1" t="s">
        <v>74</v>
      </c>
      <c r="BA127" s="1" t="s">
        <v>74</v>
      </c>
      <c r="BB127" s="1" t="s">
        <v>74</v>
      </c>
      <c r="BC127" s="1" t="s">
        <v>74</v>
      </c>
      <c r="BD127" s="1" t="s">
        <v>1421</v>
      </c>
      <c r="BE127" s="1" t="s">
        <v>1422</v>
      </c>
      <c r="BF127" s="2" t="str">
        <f>HYPERLINK("http://dx.doi.org/10.1051/0004-6361/202449683","http://dx.doi.org/10.1051/0004-6361/202449683")</f>
        <v>http://dx.doi.org/10.1051/0004-6361/202449683</v>
      </c>
      <c r="BG127" s="1" t="s">
        <v>74</v>
      </c>
      <c r="BH127" s="1" t="s">
        <v>74</v>
      </c>
      <c r="BI127" s="1" t="s">
        <v>74</v>
      </c>
      <c r="BJ127" s="1" t="s">
        <v>74</v>
      </c>
      <c r="BK127" s="1" t="s">
        <v>74</v>
      </c>
      <c r="BL127" s="1" t="s">
        <v>74</v>
      </c>
      <c r="BM127" s="1" t="s">
        <v>74</v>
      </c>
      <c r="BN127" s="1" t="s">
        <v>74</v>
      </c>
      <c r="BO127" s="1" t="s">
        <v>74</v>
      </c>
      <c r="BP127" s="1" t="s">
        <v>74</v>
      </c>
      <c r="BQ127" s="1" t="s">
        <v>74</v>
      </c>
      <c r="BR127" s="1" t="s">
        <v>74</v>
      </c>
      <c r="BS127" s="1" t="s">
        <v>1423</v>
      </c>
      <c r="BT127" s="1" t="str">
        <f>HYPERLINK("https%3A%2F%2Fwww.webofscience.com%2Fwos%2Fwoscc%2Ffull-record%2FWOS:001278251300003","View Full Record in Web of Science")</f>
        <v>View Full Record in Web of Science</v>
      </c>
    </row>
    <row r="128" ht="12.75" customHeight="1">
      <c r="A128" s="1" t="s">
        <v>72</v>
      </c>
      <c r="B128" s="1" t="s">
        <v>1424</v>
      </c>
      <c r="C128" s="1" t="s">
        <v>74</v>
      </c>
      <c r="D128" s="1" t="s">
        <v>74</v>
      </c>
      <c r="E128" s="1" t="s">
        <v>74</v>
      </c>
      <c r="F128" s="1" t="s">
        <v>1425</v>
      </c>
      <c r="G128" s="1" t="s">
        <v>74</v>
      </c>
      <c r="H128" s="1" t="s">
        <v>74</v>
      </c>
      <c r="I128" s="1" t="s">
        <v>1426</v>
      </c>
      <c r="J128" s="1" t="s">
        <v>395</v>
      </c>
      <c r="K128" s="1" t="s">
        <v>74</v>
      </c>
      <c r="L128" s="1" t="s">
        <v>74</v>
      </c>
      <c r="M128" s="1" t="s">
        <v>74</v>
      </c>
      <c r="N128" s="1" t="s">
        <v>74</v>
      </c>
      <c r="O128" s="1" t="s">
        <v>74</v>
      </c>
      <c r="P128" s="1" t="s">
        <v>74</v>
      </c>
      <c r="Q128" s="1" t="s">
        <v>74</v>
      </c>
      <c r="R128" s="1" t="s">
        <v>74</v>
      </c>
      <c r="S128" s="1" t="s">
        <v>74</v>
      </c>
      <c r="T128" s="1" t="s">
        <v>74</v>
      </c>
      <c r="U128" s="1" t="s">
        <v>74</v>
      </c>
      <c r="V128" s="1" t="s">
        <v>1427</v>
      </c>
      <c r="W128" s="1" t="s">
        <v>74</v>
      </c>
      <c r="X128" s="1" t="s">
        <v>74</v>
      </c>
      <c r="Y128" s="1" t="s">
        <v>74</v>
      </c>
      <c r="Z128" s="1" t="s">
        <v>74</v>
      </c>
      <c r="AA128" s="1" t="s">
        <v>1428</v>
      </c>
      <c r="AB128" s="1" t="s">
        <v>1429</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399</v>
      </c>
      <c r="AP128" s="1" t="s">
        <v>400</v>
      </c>
      <c r="AQ128" s="1" t="s">
        <v>74</v>
      </c>
      <c r="AR128" s="1" t="s">
        <v>74</v>
      </c>
      <c r="AS128" s="1" t="s">
        <v>74</v>
      </c>
      <c r="AT128" s="1" t="s">
        <v>119</v>
      </c>
      <c r="AU128" s="1">
        <v>2023.0</v>
      </c>
      <c r="AV128" s="1">
        <v>518.0</v>
      </c>
      <c r="AW128" s="1">
        <v>4.0</v>
      </c>
      <c r="AX128" s="1" t="s">
        <v>74</v>
      </c>
      <c r="AY128" s="1" t="s">
        <v>74</v>
      </c>
      <c r="AZ128" s="1" t="s">
        <v>74</v>
      </c>
      <c r="BA128" s="1" t="s">
        <v>74</v>
      </c>
      <c r="BB128" s="1">
        <v>5620.0</v>
      </c>
      <c r="BC128" s="1">
        <v>5642.0</v>
      </c>
      <c r="BD128" s="1" t="s">
        <v>74</v>
      </c>
      <c r="BE128" s="1" t="s">
        <v>1430</v>
      </c>
      <c r="BF128" s="2" t="str">
        <f>HYPERLINK("http://dx.doi.org/10.1093/mnras/stac3478","http://dx.doi.org/10.1093/mnras/stac3478")</f>
        <v>http://dx.doi.org/10.1093/mnras/stac3478</v>
      </c>
      <c r="BG128" s="1" t="s">
        <v>74</v>
      </c>
      <c r="BH128" s="1" t="s">
        <v>1431</v>
      </c>
      <c r="BI128" s="1" t="s">
        <v>74</v>
      </c>
      <c r="BJ128" s="1" t="s">
        <v>74</v>
      </c>
      <c r="BK128" s="1" t="s">
        <v>74</v>
      </c>
      <c r="BL128" s="1" t="s">
        <v>74</v>
      </c>
      <c r="BM128" s="1" t="s">
        <v>74</v>
      </c>
      <c r="BN128" s="1" t="s">
        <v>74</v>
      </c>
      <c r="BO128" s="1" t="s">
        <v>74</v>
      </c>
      <c r="BP128" s="1" t="s">
        <v>74</v>
      </c>
      <c r="BQ128" s="1" t="s">
        <v>74</v>
      </c>
      <c r="BR128" s="1" t="s">
        <v>74</v>
      </c>
      <c r="BS128" s="1" t="s">
        <v>1432</v>
      </c>
      <c r="BT128" s="1" t="str">
        <f>HYPERLINK("https%3A%2F%2Fwww.webofscience.com%2Fwos%2Fwoscc%2Ffull-record%2FWOS:000928531300025","View Full Record in Web of Science")</f>
        <v>View Full Record in Web of Science</v>
      </c>
    </row>
    <row r="129" ht="12.75" customHeight="1">
      <c r="A129" s="1" t="s">
        <v>72</v>
      </c>
      <c r="B129" s="1" t="s">
        <v>1433</v>
      </c>
      <c r="C129" s="1" t="s">
        <v>74</v>
      </c>
      <c r="D129" s="1" t="s">
        <v>74</v>
      </c>
      <c r="E129" s="1" t="s">
        <v>74</v>
      </c>
      <c r="F129" s="1" t="s">
        <v>1434</v>
      </c>
      <c r="G129" s="1" t="s">
        <v>74</v>
      </c>
      <c r="H129" s="1" t="s">
        <v>74</v>
      </c>
      <c r="I129" s="1" t="s">
        <v>1435</v>
      </c>
      <c r="J129" s="1" t="s">
        <v>395</v>
      </c>
      <c r="K129" s="1" t="s">
        <v>74</v>
      </c>
      <c r="L129" s="1" t="s">
        <v>74</v>
      </c>
      <c r="M129" s="1" t="s">
        <v>74</v>
      </c>
      <c r="N129" s="1" t="s">
        <v>74</v>
      </c>
      <c r="O129" s="1" t="s">
        <v>74</v>
      </c>
      <c r="P129" s="1" t="s">
        <v>74</v>
      </c>
      <c r="Q129" s="1" t="s">
        <v>74</v>
      </c>
      <c r="R129" s="1" t="s">
        <v>74</v>
      </c>
      <c r="S129" s="1" t="s">
        <v>74</v>
      </c>
      <c r="T129" s="1" t="s">
        <v>74</v>
      </c>
      <c r="U129" s="1" t="s">
        <v>74</v>
      </c>
      <c r="V129" s="1" t="s">
        <v>1436</v>
      </c>
      <c r="W129" s="1" t="s">
        <v>74</v>
      </c>
      <c r="X129" s="1" t="s">
        <v>74</v>
      </c>
      <c r="Y129" s="1" t="s">
        <v>74</v>
      </c>
      <c r="Z129" s="1" t="s">
        <v>74</v>
      </c>
      <c r="AA129" s="1" t="s">
        <v>1437</v>
      </c>
      <c r="AB129" s="1" t="s">
        <v>1438</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399</v>
      </c>
      <c r="AP129" s="1" t="s">
        <v>400</v>
      </c>
      <c r="AQ129" s="1" t="s">
        <v>74</v>
      </c>
      <c r="AR129" s="1" t="s">
        <v>74</v>
      </c>
      <c r="AS129" s="1" t="s">
        <v>74</v>
      </c>
      <c r="AT129" s="1" t="s">
        <v>119</v>
      </c>
      <c r="AU129" s="1">
        <v>2022.0</v>
      </c>
      <c r="AV129" s="1">
        <v>510.0</v>
      </c>
      <c r="AW129" s="1">
        <v>1.0</v>
      </c>
      <c r="AX129" s="1" t="s">
        <v>74</v>
      </c>
      <c r="AY129" s="1" t="s">
        <v>74</v>
      </c>
      <c r="AZ129" s="1" t="s">
        <v>74</v>
      </c>
      <c r="BA129" s="1" t="s">
        <v>74</v>
      </c>
      <c r="BB129" s="1">
        <v>205.0</v>
      </c>
      <c r="BC129" s="1">
        <v>215.0</v>
      </c>
      <c r="BD129" s="1" t="s">
        <v>74</v>
      </c>
      <c r="BE129" s="1" t="s">
        <v>1439</v>
      </c>
      <c r="BF129" s="2" t="str">
        <f>HYPERLINK("http://dx.doi.org/10.1093/mnras/stab3474","http://dx.doi.org/10.1093/mnras/stab3474")</f>
        <v>http://dx.doi.org/10.1093/mnras/stab3474</v>
      </c>
      <c r="BG129" s="1" t="s">
        <v>74</v>
      </c>
      <c r="BH129" s="1" t="s">
        <v>1351</v>
      </c>
      <c r="BI129" s="1" t="s">
        <v>74</v>
      </c>
      <c r="BJ129" s="1" t="s">
        <v>74</v>
      </c>
      <c r="BK129" s="1" t="s">
        <v>74</v>
      </c>
      <c r="BL129" s="1" t="s">
        <v>74</v>
      </c>
      <c r="BM129" s="1" t="s">
        <v>74</v>
      </c>
      <c r="BN129" s="1" t="s">
        <v>74</v>
      </c>
      <c r="BO129" s="1" t="s">
        <v>74</v>
      </c>
      <c r="BP129" s="1" t="s">
        <v>74</v>
      </c>
      <c r="BQ129" s="1" t="s">
        <v>74</v>
      </c>
      <c r="BR129" s="1" t="s">
        <v>74</v>
      </c>
      <c r="BS129" s="1" t="s">
        <v>1440</v>
      </c>
      <c r="BT129" s="1" t="str">
        <f>HYPERLINK("https%3A%2F%2Fwww.webofscience.com%2Fwos%2Fwoscc%2Ffull-record%2FWOS:000736094100014","View Full Record in Web of Science")</f>
        <v>View Full Record in Web of Science</v>
      </c>
    </row>
    <row r="130" ht="12.75" customHeight="1">
      <c r="A130" s="1" t="s">
        <v>72</v>
      </c>
      <c r="B130" s="1" t="s">
        <v>1441</v>
      </c>
      <c r="C130" s="1" t="s">
        <v>74</v>
      </c>
      <c r="D130" s="1" t="s">
        <v>74</v>
      </c>
      <c r="E130" s="1" t="s">
        <v>74</v>
      </c>
      <c r="F130" s="1" t="s">
        <v>1442</v>
      </c>
      <c r="G130" s="1" t="s">
        <v>74</v>
      </c>
      <c r="H130" s="1" t="s">
        <v>74</v>
      </c>
      <c r="I130" s="1" t="s">
        <v>1443</v>
      </c>
      <c r="J130" s="1" t="s">
        <v>1444</v>
      </c>
      <c r="K130" s="1" t="s">
        <v>74</v>
      </c>
      <c r="L130" s="1" t="s">
        <v>74</v>
      </c>
      <c r="M130" s="1" t="s">
        <v>74</v>
      </c>
      <c r="N130" s="1" t="s">
        <v>74</v>
      </c>
      <c r="O130" s="1" t="s">
        <v>74</v>
      </c>
      <c r="P130" s="1" t="s">
        <v>74</v>
      </c>
      <c r="Q130" s="1" t="s">
        <v>74</v>
      </c>
      <c r="R130" s="1" t="s">
        <v>74</v>
      </c>
      <c r="S130" s="1" t="s">
        <v>74</v>
      </c>
      <c r="T130" s="1" t="s">
        <v>74</v>
      </c>
      <c r="U130" s="1" t="s">
        <v>74</v>
      </c>
      <c r="V130" s="1" t="s">
        <v>1445</v>
      </c>
      <c r="W130" s="1" t="s">
        <v>74</v>
      </c>
      <c r="X130" s="1" t="s">
        <v>74</v>
      </c>
      <c r="Y130" s="1" t="s">
        <v>74</v>
      </c>
      <c r="Z130" s="1" t="s">
        <v>74</v>
      </c>
      <c r="AA130" s="1" t="s">
        <v>1446</v>
      </c>
      <c r="AB130" s="1" t="s">
        <v>1447</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74</v>
      </c>
      <c r="AP130" s="1" t="s">
        <v>1448</v>
      </c>
      <c r="AQ130" s="1" t="s">
        <v>74</v>
      </c>
      <c r="AR130" s="1" t="s">
        <v>74</v>
      </c>
      <c r="AS130" s="1" t="s">
        <v>74</v>
      </c>
      <c r="AT130" s="1" t="s">
        <v>213</v>
      </c>
      <c r="AU130" s="1">
        <v>2022.0</v>
      </c>
      <c r="AV130" s="1">
        <v>22.0</v>
      </c>
      <c r="AW130" s="1">
        <v>1.0</v>
      </c>
      <c r="AX130" s="1" t="s">
        <v>74</v>
      </c>
      <c r="AY130" s="1" t="s">
        <v>74</v>
      </c>
      <c r="AZ130" s="1" t="s">
        <v>74</v>
      </c>
      <c r="BA130" s="1" t="s">
        <v>74</v>
      </c>
      <c r="BB130" s="1" t="s">
        <v>74</v>
      </c>
      <c r="BC130" s="1" t="s">
        <v>74</v>
      </c>
      <c r="BD130" s="1">
        <v>510.0</v>
      </c>
      <c r="BE130" s="1" t="s">
        <v>1449</v>
      </c>
      <c r="BF130" s="2" t="str">
        <f>HYPERLINK("http://dx.doi.org/10.1186/s12887-022-03577-8","http://dx.doi.org/10.1186/s12887-022-03577-8")</f>
        <v>http://dx.doi.org/10.1186/s12887-022-03577-8</v>
      </c>
      <c r="BG130" s="1" t="s">
        <v>74</v>
      </c>
      <c r="BH130" s="1" t="s">
        <v>74</v>
      </c>
      <c r="BI130" s="1" t="s">
        <v>74</v>
      </c>
      <c r="BJ130" s="1" t="s">
        <v>74</v>
      </c>
      <c r="BK130" s="1" t="s">
        <v>74</v>
      </c>
      <c r="BL130" s="1" t="s">
        <v>74</v>
      </c>
      <c r="BM130" s="1" t="s">
        <v>74</v>
      </c>
      <c r="BN130" s="1">
        <v>3.6042429E7</v>
      </c>
      <c r="BO130" s="1" t="s">
        <v>74</v>
      </c>
      <c r="BP130" s="1" t="s">
        <v>74</v>
      </c>
      <c r="BQ130" s="1" t="s">
        <v>74</v>
      </c>
      <c r="BR130" s="1" t="s">
        <v>74</v>
      </c>
      <c r="BS130" s="1" t="s">
        <v>1450</v>
      </c>
      <c r="BT130" s="1" t="str">
        <f>HYPERLINK("https%3A%2F%2Fwww.webofscience.com%2Fwos%2Fwoscc%2Ffull-record%2FWOS:000847692400004","View Full Record in Web of Science")</f>
        <v>View Full Record in Web of Science</v>
      </c>
    </row>
    <row r="131" ht="12.75" customHeight="1">
      <c r="A131" s="1" t="s">
        <v>72</v>
      </c>
      <c r="B131" s="1" t="s">
        <v>1451</v>
      </c>
      <c r="C131" s="1" t="s">
        <v>74</v>
      </c>
      <c r="D131" s="1" t="s">
        <v>74</v>
      </c>
      <c r="E131" s="1" t="s">
        <v>74</v>
      </c>
      <c r="F131" s="1" t="s">
        <v>1452</v>
      </c>
      <c r="G131" s="1" t="s">
        <v>74</v>
      </c>
      <c r="H131" s="1" t="s">
        <v>74</v>
      </c>
      <c r="I131" s="1" t="s">
        <v>1453</v>
      </c>
      <c r="J131" s="1" t="s">
        <v>1454</v>
      </c>
      <c r="K131" s="1" t="s">
        <v>74</v>
      </c>
      <c r="L131" s="1" t="s">
        <v>74</v>
      </c>
      <c r="M131" s="1" t="s">
        <v>74</v>
      </c>
      <c r="N131" s="1" t="s">
        <v>74</v>
      </c>
      <c r="O131" s="1" t="s">
        <v>74</v>
      </c>
      <c r="P131" s="1" t="s">
        <v>74</v>
      </c>
      <c r="Q131" s="1" t="s">
        <v>74</v>
      </c>
      <c r="R131" s="1" t="s">
        <v>74</v>
      </c>
      <c r="S131" s="1" t="s">
        <v>74</v>
      </c>
      <c r="T131" s="1" t="s">
        <v>74</v>
      </c>
      <c r="U131" s="1" t="s">
        <v>74</v>
      </c>
      <c r="V131" s="1" t="s">
        <v>1455</v>
      </c>
      <c r="W131" s="1" t="s">
        <v>74</v>
      </c>
      <c r="X131" s="1" t="s">
        <v>74</v>
      </c>
      <c r="Y131" s="1" t="s">
        <v>74</v>
      </c>
      <c r="Z131" s="1" t="s">
        <v>74</v>
      </c>
      <c r="AA131" s="1" t="s">
        <v>1456</v>
      </c>
      <c r="AB131" s="1" t="s">
        <v>1457</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1458</v>
      </c>
      <c r="AP131" s="1" t="s">
        <v>1459</v>
      </c>
      <c r="AQ131" s="1" t="s">
        <v>74</v>
      </c>
      <c r="AR131" s="1" t="s">
        <v>74</v>
      </c>
      <c r="AS131" s="1" t="s">
        <v>74</v>
      </c>
      <c r="AT131" s="1" t="s">
        <v>1213</v>
      </c>
      <c r="AU131" s="1">
        <v>2022.0</v>
      </c>
      <c r="AV131" s="1">
        <v>92.0</v>
      </c>
      <c r="AW131" s="1">
        <v>1.0</v>
      </c>
      <c r="AX131" s="1" t="s">
        <v>74</v>
      </c>
      <c r="AY131" s="1" t="s">
        <v>74</v>
      </c>
      <c r="AZ131" s="1" t="s">
        <v>74</v>
      </c>
      <c r="BA131" s="1" t="s">
        <v>74</v>
      </c>
      <c r="BB131" s="1">
        <v>54.0</v>
      </c>
      <c r="BC131" s="1">
        <v>67.0</v>
      </c>
      <c r="BD131" s="1" t="s">
        <v>74</v>
      </c>
      <c r="BE131" s="1" t="s">
        <v>1460</v>
      </c>
      <c r="BF131" s="2" t="str">
        <f>HYPERLINK("http://dx.doi.org/10.1016/j.biopsych.2022.02.955","http://dx.doi.org/10.1016/j.biopsych.2022.02.955")</f>
        <v>http://dx.doi.org/10.1016/j.biopsych.2022.02.955</v>
      </c>
      <c r="BG131" s="1" t="s">
        <v>74</v>
      </c>
      <c r="BH131" s="1" t="s">
        <v>1461</v>
      </c>
      <c r="BI131" s="1" t="s">
        <v>74</v>
      </c>
      <c r="BJ131" s="1" t="s">
        <v>74</v>
      </c>
      <c r="BK131" s="1" t="s">
        <v>74</v>
      </c>
      <c r="BL131" s="1" t="s">
        <v>74</v>
      </c>
      <c r="BM131" s="1" t="s">
        <v>74</v>
      </c>
      <c r="BN131" s="1">
        <v>3.5491275E7</v>
      </c>
      <c r="BO131" s="1" t="s">
        <v>74</v>
      </c>
      <c r="BP131" s="1" t="s">
        <v>74</v>
      </c>
      <c r="BQ131" s="1" t="s">
        <v>74</v>
      </c>
      <c r="BR131" s="1" t="s">
        <v>74</v>
      </c>
      <c r="BS131" s="1" t="s">
        <v>1462</v>
      </c>
      <c r="BT131" s="1" t="str">
        <f>HYPERLINK("https%3A%2F%2Fwww.webofscience.com%2Fwos%2Fwoscc%2Ffull-record%2FWOS:000833423000009","View Full Record in Web of Science")</f>
        <v>View Full Record in Web of Science</v>
      </c>
    </row>
    <row r="132" ht="12.75" customHeight="1">
      <c r="A132" s="1" t="s">
        <v>72</v>
      </c>
      <c r="B132" s="1" t="s">
        <v>1463</v>
      </c>
      <c r="C132" s="1" t="s">
        <v>74</v>
      </c>
      <c r="D132" s="1" t="s">
        <v>74</v>
      </c>
      <c r="E132" s="1" t="s">
        <v>74</v>
      </c>
      <c r="F132" s="1" t="s">
        <v>1464</v>
      </c>
      <c r="G132" s="1" t="s">
        <v>74</v>
      </c>
      <c r="H132" s="1" t="s">
        <v>74</v>
      </c>
      <c r="I132" s="1" t="s">
        <v>1465</v>
      </c>
      <c r="J132" s="1" t="s">
        <v>813</v>
      </c>
      <c r="K132" s="1" t="s">
        <v>74</v>
      </c>
      <c r="L132" s="1" t="s">
        <v>74</v>
      </c>
      <c r="M132" s="1" t="s">
        <v>74</v>
      </c>
      <c r="N132" s="1" t="s">
        <v>74</v>
      </c>
      <c r="O132" s="1" t="s">
        <v>74</v>
      </c>
      <c r="P132" s="1" t="s">
        <v>74</v>
      </c>
      <c r="Q132" s="1" t="s">
        <v>74</v>
      </c>
      <c r="R132" s="1" t="s">
        <v>74</v>
      </c>
      <c r="S132" s="1" t="s">
        <v>74</v>
      </c>
      <c r="T132" s="1" t="s">
        <v>74</v>
      </c>
      <c r="U132" s="1" t="s">
        <v>74</v>
      </c>
      <c r="V132" s="1" t="s">
        <v>1466</v>
      </c>
      <c r="W132" s="1" t="s">
        <v>74</v>
      </c>
      <c r="X132" s="1" t="s">
        <v>74</v>
      </c>
      <c r="Y132" s="1" t="s">
        <v>74</v>
      </c>
      <c r="Z132" s="1" t="s">
        <v>74</v>
      </c>
      <c r="AA132" s="1" t="s">
        <v>1467</v>
      </c>
      <c r="AB132" s="1" t="s">
        <v>1468</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817</v>
      </c>
      <c r="AP132" s="1" t="s">
        <v>818</v>
      </c>
      <c r="AQ132" s="1" t="s">
        <v>74</v>
      </c>
      <c r="AR132" s="1" t="s">
        <v>74</v>
      </c>
      <c r="AS132" s="1" t="s">
        <v>74</v>
      </c>
      <c r="AT132" s="1" t="s">
        <v>1469</v>
      </c>
      <c r="AU132" s="1">
        <v>2023.0</v>
      </c>
      <c r="AV132" s="1">
        <v>673.0</v>
      </c>
      <c r="AW132" s="1" t="s">
        <v>74</v>
      </c>
      <c r="AX132" s="1" t="s">
        <v>74</v>
      </c>
      <c r="AY132" s="1" t="s">
        <v>74</v>
      </c>
      <c r="AZ132" s="1" t="s">
        <v>74</v>
      </c>
      <c r="BA132" s="1" t="s">
        <v>74</v>
      </c>
      <c r="BB132" s="1" t="s">
        <v>74</v>
      </c>
      <c r="BC132" s="1" t="s">
        <v>74</v>
      </c>
      <c r="BD132" s="1" t="s">
        <v>1470</v>
      </c>
      <c r="BE132" s="1" t="s">
        <v>1471</v>
      </c>
      <c r="BF132" s="2" t="str">
        <f>HYPERLINK("http://dx.doi.org/10.1051/0004-6361/202245637","http://dx.doi.org/10.1051/0004-6361/202245637")</f>
        <v>http://dx.doi.org/10.1051/0004-6361/202245637</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1472</v>
      </c>
      <c r="BT132" s="1" t="str">
        <f>HYPERLINK("https%3A%2F%2Fwww.webofscience.com%2Fwos%2Fwoscc%2Ffull-record%2FWOS:000999205500004","View Full Record in Web of Science")</f>
        <v>View Full Record in Web of Science</v>
      </c>
    </row>
    <row r="133" ht="12.75" customHeight="1">
      <c r="A133" s="1" t="s">
        <v>72</v>
      </c>
      <c r="B133" s="1" t="s">
        <v>1473</v>
      </c>
      <c r="C133" s="1" t="s">
        <v>74</v>
      </c>
      <c r="D133" s="1" t="s">
        <v>74</v>
      </c>
      <c r="E133" s="1" t="s">
        <v>74</v>
      </c>
      <c r="F133" s="1" t="s">
        <v>1474</v>
      </c>
      <c r="G133" s="1" t="s">
        <v>74</v>
      </c>
      <c r="H133" s="1" t="s">
        <v>74</v>
      </c>
      <c r="I133" s="1" t="s">
        <v>1475</v>
      </c>
      <c r="J133" s="1" t="s">
        <v>182</v>
      </c>
      <c r="K133" s="1" t="s">
        <v>74</v>
      </c>
      <c r="L133" s="1" t="s">
        <v>74</v>
      </c>
      <c r="M133" s="1" t="s">
        <v>74</v>
      </c>
      <c r="N133" s="1" t="s">
        <v>74</v>
      </c>
      <c r="O133" s="1" t="s">
        <v>74</v>
      </c>
      <c r="P133" s="1" t="s">
        <v>74</v>
      </c>
      <c r="Q133" s="1" t="s">
        <v>74</v>
      </c>
      <c r="R133" s="1" t="s">
        <v>74</v>
      </c>
      <c r="S133" s="1" t="s">
        <v>74</v>
      </c>
      <c r="T133" s="1" t="s">
        <v>74</v>
      </c>
      <c r="U133" s="1" t="s">
        <v>74</v>
      </c>
      <c r="V133" s="1" t="s">
        <v>1476</v>
      </c>
      <c r="W133" s="1" t="s">
        <v>74</v>
      </c>
      <c r="X133" s="1" t="s">
        <v>74</v>
      </c>
      <c r="Y133" s="1" t="s">
        <v>74</v>
      </c>
      <c r="Z133" s="1" t="s">
        <v>74</v>
      </c>
      <c r="AA133" s="1" t="s">
        <v>1477</v>
      </c>
      <c r="AB133" s="1" t="s">
        <v>1478</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186</v>
      </c>
      <c r="AP133" s="1" t="s">
        <v>187</v>
      </c>
      <c r="AQ133" s="1" t="s">
        <v>74</v>
      </c>
      <c r="AR133" s="1" t="s">
        <v>74</v>
      </c>
      <c r="AS133" s="1" t="s">
        <v>74</v>
      </c>
      <c r="AT133" s="1" t="s">
        <v>188</v>
      </c>
      <c r="AU133" s="1">
        <v>2023.0</v>
      </c>
      <c r="AV133" s="1">
        <v>20.0</v>
      </c>
      <c r="AW133" s="1">
        <v>8.0</v>
      </c>
      <c r="AX133" s="1" t="s">
        <v>74</v>
      </c>
      <c r="AY133" s="1" t="s">
        <v>74</v>
      </c>
      <c r="AZ133" s="1" t="s">
        <v>74</v>
      </c>
      <c r="BA133" s="1" t="s">
        <v>74</v>
      </c>
      <c r="BB133" s="1">
        <v>716.0</v>
      </c>
      <c r="BC133" s="1">
        <v>726.0</v>
      </c>
      <c r="BD133" s="1" t="s">
        <v>74</v>
      </c>
      <c r="BE133" s="1" t="s">
        <v>1479</v>
      </c>
      <c r="BF133" s="2" t="str">
        <f>HYPERLINK("http://dx.doi.org/10.1123/jpah.2022-0305","http://dx.doi.org/10.1123/jpah.2022-0305")</f>
        <v>http://dx.doi.org/10.1123/jpah.2022-0305</v>
      </c>
      <c r="BG133" s="1" t="s">
        <v>74</v>
      </c>
      <c r="BH133" s="1" t="s">
        <v>1195</v>
      </c>
      <c r="BI133" s="1" t="s">
        <v>74</v>
      </c>
      <c r="BJ133" s="1" t="s">
        <v>74</v>
      </c>
      <c r="BK133" s="1" t="s">
        <v>74</v>
      </c>
      <c r="BL133" s="1" t="s">
        <v>74</v>
      </c>
      <c r="BM133" s="1" t="s">
        <v>74</v>
      </c>
      <c r="BN133" s="1">
        <v>3.7160287E7</v>
      </c>
      <c r="BO133" s="1" t="s">
        <v>74</v>
      </c>
      <c r="BP133" s="1" t="s">
        <v>74</v>
      </c>
      <c r="BQ133" s="1" t="s">
        <v>74</v>
      </c>
      <c r="BR133" s="1" t="s">
        <v>74</v>
      </c>
      <c r="BS133" s="1" t="s">
        <v>1480</v>
      </c>
      <c r="BT133" s="1" t="str">
        <f>HYPERLINK("https%3A%2F%2Fwww.webofscience.com%2Fwos%2Fwoscc%2Ffull-record%2FWOS:000991226500001","View Full Record in Web of Science")</f>
        <v>View Full Record in Web of Science</v>
      </c>
    </row>
    <row r="134" ht="12.75" customHeight="1">
      <c r="A134" s="1" t="s">
        <v>72</v>
      </c>
      <c r="B134" s="1" t="s">
        <v>1481</v>
      </c>
      <c r="C134" s="1" t="s">
        <v>74</v>
      </c>
      <c r="D134" s="1" t="s">
        <v>74</v>
      </c>
      <c r="E134" s="1" t="s">
        <v>74</v>
      </c>
      <c r="F134" s="1" t="s">
        <v>1482</v>
      </c>
      <c r="G134" s="1" t="s">
        <v>74</v>
      </c>
      <c r="H134" s="1" t="s">
        <v>74</v>
      </c>
      <c r="I134" s="1" t="s">
        <v>1483</v>
      </c>
      <c r="J134" s="1" t="s">
        <v>1484</v>
      </c>
      <c r="K134" s="1" t="s">
        <v>74</v>
      </c>
      <c r="L134" s="1" t="s">
        <v>74</v>
      </c>
      <c r="M134" s="1" t="s">
        <v>74</v>
      </c>
      <c r="N134" s="1" t="s">
        <v>74</v>
      </c>
      <c r="O134" s="1" t="s">
        <v>74</v>
      </c>
      <c r="P134" s="1" t="s">
        <v>74</v>
      </c>
      <c r="Q134" s="1" t="s">
        <v>74</v>
      </c>
      <c r="R134" s="1" t="s">
        <v>74</v>
      </c>
      <c r="S134" s="1" t="s">
        <v>74</v>
      </c>
      <c r="T134" s="1" t="s">
        <v>74</v>
      </c>
      <c r="U134" s="1" t="s">
        <v>74</v>
      </c>
      <c r="V134" s="1" t="s">
        <v>1485</v>
      </c>
      <c r="W134" s="1" t="s">
        <v>74</v>
      </c>
      <c r="X134" s="1" t="s">
        <v>74</v>
      </c>
      <c r="Y134" s="1" t="s">
        <v>74</v>
      </c>
      <c r="Z134" s="1" t="s">
        <v>74</v>
      </c>
      <c r="AA134" s="1" t="s">
        <v>1486</v>
      </c>
      <c r="AB134" s="1" t="s">
        <v>1487</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1488</v>
      </c>
      <c r="AP134" s="1" t="s">
        <v>1489</v>
      </c>
      <c r="AQ134" s="1" t="s">
        <v>74</v>
      </c>
      <c r="AR134" s="1" t="s">
        <v>74</v>
      </c>
      <c r="AS134" s="1" t="s">
        <v>74</v>
      </c>
      <c r="AT134" s="1" t="s">
        <v>1490</v>
      </c>
      <c r="AU134" s="1">
        <v>2022.0</v>
      </c>
      <c r="AV134" s="1">
        <v>146.0</v>
      </c>
      <c r="AW134" s="1">
        <v>7.0</v>
      </c>
      <c r="AX134" s="1" t="s">
        <v>74</v>
      </c>
      <c r="AY134" s="1" t="s">
        <v>74</v>
      </c>
      <c r="AZ134" s="1" t="s">
        <v>74</v>
      </c>
      <c r="BA134" s="1" t="s">
        <v>74</v>
      </c>
      <c r="BB134" s="1">
        <v>523.0</v>
      </c>
      <c r="BC134" s="1">
        <v>534.0</v>
      </c>
      <c r="BD134" s="1" t="s">
        <v>74</v>
      </c>
      <c r="BE134" s="1" t="s">
        <v>1491</v>
      </c>
      <c r="BF134" s="2" t="str">
        <f>HYPERLINK("http://dx.doi.org/10.1161/CIRCULATIONAHA.121.058162","http://dx.doi.org/10.1161/CIRCULATIONAHA.121.058162")</f>
        <v>http://dx.doi.org/10.1161/CIRCULATIONAHA.121.058162</v>
      </c>
      <c r="BG134" s="1" t="s">
        <v>74</v>
      </c>
      <c r="BH134" s="1" t="s">
        <v>74</v>
      </c>
      <c r="BI134" s="1" t="s">
        <v>74</v>
      </c>
      <c r="BJ134" s="1" t="s">
        <v>74</v>
      </c>
      <c r="BK134" s="1" t="s">
        <v>74</v>
      </c>
      <c r="BL134" s="1" t="s">
        <v>74</v>
      </c>
      <c r="BM134" s="1" t="s">
        <v>74</v>
      </c>
      <c r="BN134" s="1">
        <v>3.5876019E7</v>
      </c>
      <c r="BO134" s="1" t="s">
        <v>74</v>
      </c>
      <c r="BP134" s="1" t="s">
        <v>74</v>
      </c>
      <c r="BQ134" s="1" t="s">
        <v>74</v>
      </c>
      <c r="BR134" s="1" t="s">
        <v>74</v>
      </c>
      <c r="BS134" s="1" t="s">
        <v>1492</v>
      </c>
      <c r="BT134" s="1" t="str">
        <f>HYPERLINK("https%3A%2F%2Fwww.webofscience.com%2Fwos%2Fwoscc%2Ffull-record%2FWOS:000843014700007","View Full Record in Web of Science")</f>
        <v>View Full Record in Web of Science</v>
      </c>
    </row>
    <row r="135" ht="12.75" customHeight="1">
      <c r="A135" s="1" t="s">
        <v>72</v>
      </c>
      <c r="B135" s="1" t="s">
        <v>1493</v>
      </c>
      <c r="C135" s="1" t="s">
        <v>74</v>
      </c>
      <c r="D135" s="1" t="s">
        <v>74</v>
      </c>
      <c r="E135" s="1" t="s">
        <v>74</v>
      </c>
      <c r="F135" s="1" t="s">
        <v>1494</v>
      </c>
      <c r="G135" s="1" t="s">
        <v>74</v>
      </c>
      <c r="H135" s="1" t="s">
        <v>74</v>
      </c>
      <c r="I135" s="1" t="s">
        <v>1495</v>
      </c>
      <c r="J135" s="1" t="s">
        <v>439</v>
      </c>
      <c r="K135" s="1" t="s">
        <v>74</v>
      </c>
      <c r="L135" s="1" t="s">
        <v>74</v>
      </c>
      <c r="M135" s="1" t="s">
        <v>74</v>
      </c>
      <c r="N135" s="1" t="s">
        <v>74</v>
      </c>
      <c r="O135" s="1" t="s">
        <v>74</v>
      </c>
      <c r="P135" s="1" t="s">
        <v>74</v>
      </c>
      <c r="Q135" s="1" t="s">
        <v>74</v>
      </c>
      <c r="R135" s="1" t="s">
        <v>74</v>
      </c>
      <c r="S135" s="1" t="s">
        <v>74</v>
      </c>
      <c r="T135" s="1" t="s">
        <v>74</v>
      </c>
      <c r="U135" s="1" t="s">
        <v>74</v>
      </c>
      <c r="V135" s="1" t="s">
        <v>1496</v>
      </c>
      <c r="W135" s="1" t="s">
        <v>74</v>
      </c>
      <c r="X135" s="1" t="s">
        <v>74</v>
      </c>
      <c r="Y135" s="1" t="s">
        <v>74</v>
      </c>
      <c r="Z135" s="1" t="s">
        <v>74</v>
      </c>
      <c r="AA135" s="1" t="s">
        <v>1497</v>
      </c>
      <c r="AB135" s="1" t="s">
        <v>1498</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74</v>
      </c>
      <c r="AP135" s="1" t="s">
        <v>443</v>
      </c>
      <c r="AQ135" s="1" t="s">
        <v>74</v>
      </c>
      <c r="AR135" s="1" t="s">
        <v>74</v>
      </c>
      <c r="AS135" s="1" t="s">
        <v>74</v>
      </c>
      <c r="AT135" s="1" t="s">
        <v>344</v>
      </c>
      <c r="AU135" s="1">
        <v>2020.0</v>
      </c>
      <c r="AV135" s="1">
        <v>17.0</v>
      </c>
      <c r="AW135" s="1">
        <v>18.0</v>
      </c>
      <c r="AX135" s="1" t="s">
        <v>74</v>
      </c>
      <c r="AY135" s="1" t="s">
        <v>74</v>
      </c>
      <c r="AZ135" s="1" t="s">
        <v>74</v>
      </c>
      <c r="BA135" s="1" t="s">
        <v>74</v>
      </c>
      <c r="BB135" s="1" t="s">
        <v>74</v>
      </c>
      <c r="BC135" s="1" t="s">
        <v>74</v>
      </c>
      <c r="BD135" s="1">
        <v>6858.0</v>
      </c>
      <c r="BE135" s="1" t="s">
        <v>1499</v>
      </c>
      <c r="BF135" s="2" t="str">
        <f>HYPERLINK("http://dx.doi.org/10.3390/ijerph17186858","http://dx.doi.org/10.3390/ijerph17186858")</f>
        <v>http://dx.doi.org/10.3390/ijerph17186858</v>
      </c>
      <c r="BG135" s="1" t="s">
        <v>74</v>
      </c>
      <c r="BH135" s="1" t="s">
        <v>74</v>
      </c>
      <c r="BI135" s="1" t="s">
        <v>74</v>
      </c>
      <c r="BJ135" s="1" t="s">
        <v>74</v>
      </c>
      <c r="BK135" s="1" t="s">
        <v>74</v>
      </c>
      <c r="BL135" s="1" t="s">
        <v>74</v>
      </c>
      <c r="BM135" s="1" t="s">
        <v>74</v>
      </c>
      <c r="BN135" s="1">
        <v>3.2961771E7</v>
      </c>
      <c r="BO135" s="1" t="s">
        <v>74</v>
      </c>
      <c r="BP135" s="1" t="s">
        <v>74</v>
      </c>
      <c r="BQ135" s="1" t="s">
        <v>74</v>
      </c>
      <c r="BR135" s="1" t="s">
        <v>74</v>
      </c>
      <c r="BS135" s="1" t="s">
        <v>1500</v>
      </c>
      <c r="BT135" s="1" t="str">
        <f>HYPERLINK("https%3A%2F%2Fwww.webofscience.com%2Fwos%2Fwoscc%2Ffull-record%2FWOS:000580026900001","View Full Record in Web of Science")</f>
        <v>View Full Record in Web of Science</v>
      </c>
    </row>
    <row r="136" ht="12.75" customHeight="1">
      <c r="A136" s="1" t="s">
        <v>72</v>
      </c>
      <c r="B136" s="1" t="s">
        <v>1501</v>
      </c>
      <c r="C136" s="1" t="s">
        <v>74</v>
      </c>
      <c r="D136" s="1" t="s">
        <v>74</v>
      </c>
      <c r="E136" s="1" t="s">
        <v>74</v>
      </c>
      <c r="F136" s="1" t="s">
        <v>1502</v>
      </c>
      <c r="G136" s="1" t="s">
        <v>74</v>
      </c>
      <c r="H136" s="1" t="s">
        <v>74</v>
      </c>
      <c r="I136" s="1" t="s">
        <v>1503</v>
      </c>
      <c r="J136" s="1" t="s">
        <v>1504</v>
      </c>
      <c r="K136" s="1" t="s">
        <v>74</v>
      </c>
      <c r="L136" s="1" t="s">
        <v>74</v>
      </c>
      <c r="M136" s="1" t="s">
        <v>74</v>
      </c>
      <c r="N136" s="1" t="s">
        <v>74</v>
      </c>
      <c r="O136" s="1" t="s">
        <v>74</v>
      </c>
      <c r="P136" s="1" t="s">
        <v>74</v>
      </c>
      <c r="Q136" s="1" t="s">
        <v>74</v>
      </c>
      <c r="R136" s="1" t="s">
        <v>74</v>
      </c>
      <c r="S136" s="1" t="s">
        <v>74</v>
      </c>
      <c r="T136" s="1" t="s">
        <v>74</v>
      </c>
      <c r="U136" s="1" t="s">
        <v>74</v>
      </c>
      <c r="V136" s="1" t="s">
        <v>1505</v>
      </c>
      <c r="W136" s="1" t="s">
        <v>74</v>
      </c>
      <c r="X136" s="1" t="s">
        <v>74</v>
      </c>
      <c r="Y136" s="1" t="s">
        <v>74</v>
      </c>
      <c r="Z136" s="1" t="s">
        <v>74</v>
      </c>
      <c r="AA136" s="1" t="s">
        <v>1506</v>
      </c>
      <c r="AB136" s="1" t="s">
        <v>1507</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1508</v>
      </c>
      <c r="AP136" s="1" t="s">
        <v>1509</v>
      </c>
      <c r="AQ136" s="1" t="s">
        <v>74</v>
      </c>
      <c r="AR136" s="1" t="s">
        <v>74</v>
      </c>
      <c r="AS136" s="1" t="s">
        <v>74</v>
      </c>
      <c r="AT136" s="1" t="s">
        <v>1510</v>
      </c>
      <c r="AU136" s="1">
        <v>2023.0</v>
      </c>
      <c r="AV136" s="1">
        <v>23.0</v>
      </c>
      <c r="AW136" s="1">
        <v>14.0</v>
      </c>
      <c r="AX136" s="1" t="s">
        <v>74</v>
      </c>
      <c r="AY136" s="1" t="s">
        <v>74</v>
      </c>
      <c r="AZ136" s="1" t="s">
        <v>74</v>
      </c>
      <c r="BA136" s="1" t="s">
        <v>74</v>
      </c>
      <c r="BB136" s="1">
        <v>8103.0</v>
      </c>
      <c r="BC136" s="1">
        <v>8118.0</v>
      </c>
      <c r="BD136" s="1" t="s">
        <v>74</v>
      </c>
      <c r="BE136" s="1" t="s">
        <v>1511</v>
      </c>
      <c r="BF136" s="2" t="str">
        <f>HYPERLINK("http://dx.doi.org/10.5194/acp-23-8103-2023","http://dx.doi.org/10.5194/acp-23-8103-2023")</f>
        <v>http://dx.doi.org/10.5194/acp-23-8103-2023</v>
      </c>
      <c r="BG136" s="1" t="s">
        <v>74</v>
      </c>
      <c r="BH136" s="1" t="s">
        <v>74</v>
      </c>
      <c r="BI136" s="1" t="s">
        <v>74</v>
      </c>
      <c r="BJ136" s="1" t="s">
        <v>74</v>
      </c>
      <c r="BK136" s="1" t="s">
        <v>74</v>
      </c>
      <c r="BL136" s="1" t="s">
        <v>74</v>
      </c>
      <c r="BM136" s="1" t="s">
        <v>74</v>
      </c>
      <c r="BN136" s="1" t="s">
        <v>74</v>
      </c>
      <c r="BO136" s="1" t="s">
        <v>74</v>
      </c>
      <c r="BP136" s="1" t="s">
        <v>74</v>
      </c>
      <c r="BQ136" s="1" t="s">
        <v>74</v>
      </c>
      <c r="BR136" s="1" t="s">
        <v>74</v>
      </c>
      <c r="BS136" s="1" t="s">
        <v>1512</v>
      </c>
      <c r="BT136" s="1" t="str">
        <f>HYPERLINK("https%3A%2F%2Fwww.webofscience.com%2Fwos%2Fwoscc%2Ffull-record%2FWOS:001032496900001","View Full Record in Web of Science")</f>
        <v>View Full Record in Web of Science</v>
      </c>
    </row>
    <row r="137" ht="12.75" customHeight="1">
      <c r="A137" s="1" t="s">
        <v>72</v>
      </c>
      <c r="B137" s="1" t="s">
        <v>1513</v>
      </c>
      <c r="C137" s="1" t="s">
        <v>74</v>
      </c>
      <c r="D137" s="1" t="s">
        <v>74</v>
      </c>
      <c r="E137" s="1" t="s">
        <v>74</v>
      </c>
      <c r="F137" s="1" t="s">
        <v>1514</v>
      </c>
      <c r="G137" s="1" t="s">
        <v>74</v>
      </c>
      <c r="H137" s="1" t="s">
        <v>74</v>
      </c>
      <c r="I137" s="1" t="s">
        <v>1515</v>
      </c>
      <c r="J137" s="1" t="s">
        <v>1516</v>
      </c>
      <c r="K137" s="1" t="s">
        <v>74</v>
      </c>
      <c r="L137" s="1" t="s">
        <v>74</v>
      </c>
      <c r="M137" s="1" t="s">
        <v>74</v>
      </c>
      <c r="N137" s="1" t="s">
        <v>74</v>
      </c>
      <c r="O137" s="1" t="s">
        <v>74</v>
      </c>
      <c r="P137" s="1" t="s">
        <v>74</v>
      </c>
      <c r="Q137" s="1" t="s">
        <v>74</v>
      </c>
      <c r="R137" s="1" t="s">
        <v>74</v>
      </c>
      <c r="S137" s="1" t="s">
        <v>74</v>
      </c>
      <c r="T137" s="1" t="s">
        <v>74</v>
      </c>
      <c r="U137" s="1" t="s">
        <v>74</v>
      </c>
      <c r="V137" s="1" t="s">
        <v>1517</v>
      </c>
      <c r="W137" s="1" t="s">
        <v>74</v>
      </c>
      <c r="X137" s="1" t="s">
        <v>74</v>
      </c>
      <c r="Y137" s="1" t="s">
        <v>74</v>
      </c>
      <c r="Z137" s="1" t="s">
        <v>74</v>
      </c>
      <c r="AA137" s="1" t="s">
        <v>1518</v>
      </c>
      <c r="AB137" s="1" t="s">
        <v>1519</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1520</v>
      </c>
      <c r="AP137" s="1" t="s">
        <v>74</v>
      </c>
      <c r="AQ137" s="1" t="s">
        <v>74</v>
      </c>
      <c r="AR137" s="1" t="s">
        <v>74</v>
      </c>
      <c r="AS137" s="1" t="s">
        <v>74</v>
      </c>
      <c r="AT137" s="1" t="s">
        <v>74</v>
      </c>
      <c r="AU137" s="1">
        <v>2011.0</v>
      </c>
      <c r="AV137" s="1">
        <v>12.0</v>
      </c>
      <c r="AW137" s="1">
        <v>3.0</v>
      </c>
      <c r="AX137" s="1" t="s">
        <v>74</v>
      </c>
      <c r="AY137" s="1" t="s">
        <v>74</v>
      </c>
      <c r="AZ137" s="1" t="s">
        <v>74</v>
      </c>
      <c r="BA137" s="1" t="s">
        <v>74</v>
      </c>
      <c r="BB137" s="1">
        <v>273.0</v>
      </c>
      <c r="BC137" s="1">
        <v>293.0</v>
      </c>
      <c r="BD137" s="1" t="s">
        <v>1521</v>
      </c>
      <c r="BE137" s="1" t="s">
        <v>1522</v>
      </c>
      <c r="BF137" s="2" t="str">
        <f>HYPERLINK("http://dx.doi.org/10.1080/1461670X.2010.512502","http://dx.doi.org/10.1080/1461670X.2010.512502")</f>
        <v>http://dx.doi.org/10.1080/1461670X.2010.512502</v>
      </c>
      <c r="BG137" s="1" t="s">
        <v>74</v>
      </c>
      <c r="BH137" s="1" t="s">
        <v>74</v>
      </c>
      <c r="BI137" s="1" t="s">
        <v>74</v>
      </c>
      <c r="BJ137" s="1" t="s">
        <v>74</v>
      </c>
      <c r="BK137" s="1" t="s">
        <v>74</v>
      </c>
      <c r="BL137" s="1" t="s">
        <v>74</v>
      </c>
      <c r="BM137" s="1" t="s">
        <v>74</v>
      </c>
      <c r="BN137" s="1" t="s">
        <v>74</v>
      </c>
      <c r="BO137" s="1" t="s">
        <v>74</v>
      </c>
      <c r="BP137" s="1" t="s">
        <v>74</v>
      </c>
      <c r="BQ137" s="1" t="s">
        <v>74</v>
      </c>
      <c r="BR137" s="1" t="s">
        <v>74</v>
      </c>
      <c r="BS137" s="1" t="s">
        <v>1523</v>
      </c>
      <c r="BT137" s="1" t="str">
        <f>HYPERLINK("https%3A%2F%2Fwww.webofscience.com%2Fwos%2Fwoscc%2Ffull-record%2FWOS:000290675700001","View Full Record in Web of Science")</f>
        <v>View Full Record in Web of Science</v>
      </c>
    </row>
    <row r="138" ht="12.75" customHeight="1">
      <c r="A138" s="1" t="s">
        <v>72</v>
      </c>
      <c r="B138" s="1" t="s">
        <v>1524</v>
      </c>
      <c r="C138" s="1" t="s">
        <v>74</v>
      </c>
      <c r="D138" s="1" t="s">
        <v>74</v>
      </c>
      <c r="E138" s="1" t="s">
        <v>74</v>
      </c>
      <c r="F138" s="1" t="s">
        <v>1525</v>
      </c>
      <c r="G138" s="1" t="s">
        <v>74</v>
      </c>
      <c r="H138" s="1" t="s">
        <v>74</v>
      </c>
      <c r="I138" s="1" t="s">
        <v>1526</v>
      </c>
      <c r="J138" s="1" t="s">
        <v>1527</v>
      </c>
      <c r="K138" s="1" t="s">
        <v>74</v>
      </c>
      <c r="L138" s="1" t="s">
        <v>74</v>
      </c>
      <c r="M138" s="1" t="s">
        <v>74</v>
      </c>
      <c r="N138" s="1" t="s">
        <v>74</v>
      </c>
      <c r="O138" s="1" t="s">
        <v>74</v>
      </c>
      <c r="P138" s="1" t="s">
        <v>74</v>
      </c>
      <c r="Q138" s="1" t="s">
        <v>74</v>
      </c>
      <c r="R138" s="1" t="s">
        <v>74</v>
      </c>
      <c r="S138" s="1" t="s">
        <v>74</v>
      </c>
      <c r="T138" s="1" t="s">
        <v>74</v>
      </c>
      <c r="U138" s="1" t="s">
        <v>74</v>
      </c>
      <c r="V138" s="1" t="s">
        <v>1528</v>
      </c>
      <c r="W138" s="1" t="s">
        <v>74</v>
      </c>
      <c r="X138" s="1" t="s">
        <v>74</v>
      </c>
      <c r="Y138" s="1" t="s">
        <v>74</v>
      </c>
      <c r="Z138" s="1" t="s">
        <v>74</v>
      </c>
      <c r="AA138" s="1" t="s">
        <v>1529</v>
      </c>
      <c r="AB138" s="1" t="s">
        <v>1530</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1531</v>
      </c>
      <c r="AP138" s="1" t="s">
        <v>1532</v>
      </c>
      <c r="AQ138" s="1" t="s">
        <v>74</v>
      </c>
      <c r="AR138" s="1" t="s">
        <v>74</v>
      </c>
      <c r="AS138" s="1" t="s">
        <v>74</v>
      </c>
      <c r="AT138" s="1" t="s">
        <v>757</v>
      </c>
      <c r="AU138" s="1">
        <v>2024.0</v>
      </c>
      <c r="AV138" s="1">
        <v>15.0</v>
      </c>
      <c r="AW138" s="1">
        <v>3.0</v>
      </c>
      <c r="AX138" s="1" t="s">
        <v>74</v>
      </c>
      <c r="AY138" s="1" t="s">
        <v>74</v>
      </c>
      <c r="AZ138" s="1" t="s">
        <v>74</v>
      </c>
      <c r="BA138" s="1" t="s">
        <v>74</v>
      </c>
      <c r="BB138" s="1">
        <v>2459.0</v>
      </c>
      <c r="BC138" s="1">
        <v>2479.0</v>
      </c>
      <c r="BD138" s="1" t="s">
        <v>74</v>
      </c>
      <c r="BE138" s="1" t="s">
        <v>1533</v>
      </c>
      <c r="BF138" s="2" t="str">
        <f>HYPERLINK("http://dx.doi.org/10.1109/TSG.2023.3326063","http://dx.doi.org/10.1109/TSG.2023.3326063")</f>
        <v>http://dx.doi.org/10.1109/TSG.2023.3326063</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1534</v>
      </c>
      <c r="BT138" s="1" t="str">
        <f>HYPERLINK("https%3A%2F%2Fwww.webofscience.com%2Fwos%2Fwoscc%2Ffull-record%2FWOS:001216877100021","View Full Record in Web of Science")</f>
        <v>View Full Record in Web of Science</v>
      </c>
    </row>
    <row r="139" ht="12.75" customHeight="1">
      <c r="A139" s="1" t="s">
        <v>72</v>
      </c>
      <c r="B139" s="1" t="s">
        <v>1535</v>
      </c>
      <c r="C139" s="1" t="s">
        <v>74</v>
      </c>
      <c r="D139" s="1" t="s">
        <v>74</v>
      </c>
      <c r="E139" s="1" t="s">
        <v>74</v>
      </c>
      <c r="F139" s="1" t="s">
        <v>1536</v>
      </c>
      <c r="G139" s="1" t="s">
        <v>74</v>
      </c>
      <c r="H139" s="1" t="s">
        <v>74</v>
      </c>
      <c r="I139" s="1" t="s">
        <v>1537</v>
      </c>
      <c r="J139" s="1" t="s">
        <v>1538</v>
      </c>
      <c r="K139" s="1" t="s">
        <v>74</v>
      </c>
      <c r="L139" s="1" t="s">
        <v>74</v>
      </c>
      <c r="M139" s="1" t="s">
        <v>74</v>
      </c>
      <c r="N139" s="1" t="s">
        <v>74</v>
      </c>
      <c r="O139" s="1" t="s">
        <v>74</v>
      </c>
      <c r="P139" s="1" t="s">
        <v>74</v>
      </c>
      <c r="Q139" s="1" t="s">
        <v>74</v>
      </c>
      <c r="R139" s="1" t="s">
        <v>74</v>
      </c>
      <c r="S139" s="1" t="s">
        <v>74</v>
      </c>
      <c r="T139" s="1" t="s">
        <v>74</v>
      </c>
      <c r="U139" s="1" t="s">
        <v>74</v>
      </c>
      <c r="V139" s="1" t="s">
        <v>1539</v>
      </c>
      <c r="W139" s="1" t="s">
        <v>74</v>
      </c>
      <c r="X139" s="1" t="s">
        <v>74</v>
      </c>
      <c r="Y139" s="1" t="s">
        <v>74</v>
      </c>
      <c r="Z139" s="1" t="s">
        <v>74</v>
      </c>
      <c r="AA139" s="1" t="s">
        <v>1540</v>
      </c>
      <c r="AB139" s="1" t="s">
        <v>1541</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1542</v>
      </c>
      <c r="AP139" s="1" t="s">
        <v>1543</v>
      </c>
      <c r="AQ139" s="1" t="s">
        <v>74</v>
      </c>
      <c r="AR139" s="1" t="s">
        <v>74</v>
      </c>
      <c r="AS139" s="1" t="s">
        <v>74</v>
      </c>
      <c r="AT139" s="1" t="s">
        <v>319</v>
      </c>
      <c r="AU139" s="1">
        <v>2023.0</v>
      </c>
      <c r="AV139" s="1">
        <v>25.0</v>
      </c>
      <c r="AW139" s="1" t="s">
        <v>74</v>
      </c>
      <c r="AX139" s="1" t="s">
        <v>74</v>
      </c>
      <c r="AY139" s="1" t="s">
        <v>74</v>
      </c>
      <c r="AZ139" s="1" t="s">
        <v>74</v>
      </c>
      <c r="BA139" s="1" t="s">
        <v>74</v>
      </c>
      <c r="BB139" s="1" t="s">
        <v>74</v>
      </c>
      <c r="BC139" s="1" t="s">
        <v>74</v>
      </c>
      <c r="BD139" s="1">
        <v>100561.0</v>
      </c>
      <c r="BE139" s="1" t="s">
        <v>1544</v>
      </c>
      <c r="BF139" s="2" t="str">
        <f>HYPERLINK("http://dx.doi.org/10.1016/j.mhpa.2023.100561","http://dx.doi.org/10.1016/j.mhpa.2023.100561")</f>
        <v>http://dx.doi.org/10.1016/j.mhpa.2023.100561</v>
      </c>
      <c r="BG139" s="1" t="s">
        <v>74</v>
      </c>
      <c r="BH139" s="1" t="s">
        <v>300</v>
      </c>
      <c r="BI139" s="1" t="s">
        <v>74</v>
      </c>
      <c r="BJ139" s="1" t="s">
        <v>74</v>
      </c>
      <c r="BK139" s="1" t="s">
        <v>74</v>
      </c>
      <c r="BL139" s="1" t="s">
        <v>74</v>
      </c>
      <c r="BM139" s="1" t="s">
        <v>74</v>
      </c>
      <c r="BN139" s="1" t="s">
        <v>74</v>
      </c>
      <c r="BO139" s="1" t="s">
        <v>74</v>
      </c>
      <c r="BP139" s="1" t="s">
        <v>74</v>
      </c>
      <c r="BQ139" s="1" t="s">
        <v>74</v>
      </c>
      <c r="BR139" s="1" t="s">
        <v>74</v>
      </c>
      <c r="BS139" s="1" t="s">
        <v>1545</v>
      </c>
      <c r="BT139" s="1" t="str">
        <f>HYPERLINK("https%3A%2F%2Fwww.webofscience.com%2Fwos%2Fwoscc%2Ffull-record%2FWOS:001115346200001","View Full Record in Web of Science")</f>
        <v>View Full Record in Web of Science</v>
      </c>
    </row>
    <row r="140" ht="12.75" customHeight="1">
      <c r="A140" s="1" t="s">
        <v>72</v>
      </c>
      <c r="B140" s="1" t="s">
        <v>1546</v>
      </c>
      <c r="C140" s="1" t="s">
        <v>74</v>
      </c>
      <c r="D140" s="1" t="s">
        <v>74</v>
      </c>
      <c r="E140" s="1" t="s">
        <v>74</v>
      </c>
      <c r="F140" s="1" t="s">
        <v>1547</v>
      </c>
      <c r="G140" s="1" t="s">
        <v>74</v>
      </c>
      <c r="H140" s="1" t="s">
        <v>74</v>
      </c>
      <c r="I140" s="1" t="s">
        <v>1548</v>
      </c>
      <c r="J140" s="1" t="s">
        <v>1549</v>
      </c>
      <c r="K140" s="1" t="s">
        <v>74</v>
      </c>
      <c r="L140" s="1" t="s">
        <v>74</v>
      </c>
      <c r="M140" s="1" t="s">
        <v>74</v>
      </c>
      <c r="N140" s="1" t="s">
        <v>74</v>
      </c>
      <c r="O140" s="1" t="s">
        <v>74</v>
      </c>
      <c r="P140" s="1" t="s">
        <v>74</v>
      </c>
      <c r="Q140" s="1" t="s">
        <v>74</v>
      </c>
      <c r="R140" s="1" t="s">
        <v>74</v>
      </c>
      <c r="S140" s="1" t="s">
        <v>74</v>
      </c>
      <c r="T140" s="1" t="s">
        <v>74</v>
      </c>
      <c r="U140" s="1" t="s">
        <v>74</v>
      </c>
      <c r="V140" s="1" t="s">
        <v>1550</v>
      </c>
      <c r="W140" s="1" t="s">
        <v>74</v>
      </c>
      <c r="X140" s="1" t="s">
        <v>74</v>
      </c>
      <c r="Y140" s="1" t="s">
        <v>74</v>
      </c>
      <c r="Z140" s="1" t="s">
        <v>74</v>
      </c>
      <c r="AA140" s="1" t="s">
        <v>1551</v>
      </c>
      <c r="AB140" s="1" t="s">
        <v>1552</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1553</v>
      </c>
      <c r="AP140" s="1" t="s">
        <v>1554</v>
      </c>
      <c r="AQ140" s="1" t="s">
        <v>74</v>
      </c>
      <c r="AR140" s="1" t="s">
        <v>74</v>
      </c>
      <c r="AS140" s="1" t="s">
        <v>74</v>
      </c>
      <c r="AT140" s="1" t="s">
        <v>757</v>
      </c>
      <c r="AU140" s="1">
        <v>2021.0</v>
      </c>
      <c r="AV140" s="1">
        <v>63.0</v>
      </c>
      <c r="AW140" s="1" t="s">
        <v>74</v>
      </c>
      <c r="AX140" s="1" t="s">
        <v>74</v>
      </c>
      <c r="AY140" s="1" t="s">
        <v>74</v>
      </c>
      <c r="AZ140" s="1" t="s">
        <v>74</v>
      </c>
      <c r="BA140" s="1" t="s">
        <v>74</v>
      </c>
      <c r="BB140" s="1" t="s">
        <v>74</v>
      </c>
      <c r="BC140" s="1" t="s">
        <v>74</v>
      </c>
      <c r="BD140" s="1">
        <v>101557.0</v>
      </c>
      <c r="BE140" s="1" t="s">
        <v>1555</v>
      </c>
      <c r="BF140" s="2" t="str">
        <f>HYPERLINK("http://dx.doi.org/10.1016/j.infbeh.2021.101557","http://dx.doi.org/10.1016/j.infbeh.2021.101557")</f>
        <v>http://dx.doi.org/10.1016/j.infbeh.2021.101557</v>
      </c>
      <c r="BG140" s="1" t="s">
        <v>74</v>
      </c>
      <c r="BH140" s="1" t="s">
        <v>215</v>
      </c>
      <c r="BI140" s="1" t="s">
        <v>74</v>
      </c>
      <c r="BJ140" s="1" t="s">
        <v>74</v>
      </c>
      <c r="BK140" s="1" t="s">
        <v>74</v>
      </c>
      <c r="BL140" s="1" t="s">
        <v>74</v>
      </c>
      <c r="BM140" s="1" t="s">
        <v>74</v>
      </c>
      <c r="BN140" s="1">
        <v>3.3878597E7</v>
      </c>
      <c r="BO140" s="1" t="s">
        <v>74</v>
      </c>
      <c r="BP140" s="1" t="s">
        <v>74</v>
      </c>
      <c r="BQ140" s="1" t="s">
        <v>74</v>
      </c>
      <c r="BR140" s="1" t="s">
        <v>74</v>
      </c>
      <c r="BS140" s="1" t="s">
        <v>1556</v>
      </c>
      <c r="BT140" s="1" t="str">
        <f>HYPERLINK("https%3A%2F%2Fwww.webofscience.com%2Fwos%2Fwoscc%2Ffull-record%2FWOS:000656697800007","View Full Record in Web of Science")</f>
        <v>View Full Record in Web of Science</v>
      </c>
    </row>
    <row r="141" ht="12.75" customHeight="1">
      <c r="A141" s="1" t="s">
        <v>72</v>
      </c>
      <c r="B141" s="1" t="s">
        <v>1557</v>
      </c>
      <c r="C141" s="1" t="s">
        <v>74</v>
      </c>
      <c r="D141" s="1" t="s">
        <v>74</v>
      </c>
      <c r="E141" s="1" t="s">
        <v>74</v>
      </c>
      <c r="F141" s="1" t="s">
        <v>1558</v>
      </c>
      <c r="G141" s="1" t="s">
        <v>74</v>
      </c>
      <c r="H141" s="1" t="s">
        <v>74</v>
      </c>
      <c r="I141" s="1" t="s">
        <v>1559</v>
      </c>
      <c r="J141" s="1" t="s">
        <v>1560</v>
      </c>
      <c r="K141" s="1" t="s">
        <v>74</v>
      </c>
      <c r="L141" s="1" t="s">
        <v>74</v>
      </c>
      <c r="M141" s="1" t="s">
        <v>74</v>
      </c>
      <c r="N141" s="1" t="s">
        <v>74</v>
      </c>
      <c r="O141" s="1" t="s">
        <v>74</v>
      </c>
      <c r="P141" s="1" t="s">
        <v>74</v>
      </c>
      <c r="Q141" s="1" t="s">
        <v>74</v>
      </c>
      <c r="R141" s="1" t="s">
        <v>74</v>
      </c>
      <c r="S141" s="1" t="s">
        <v>74</v>
      </c>
      <c r="T141" s="1" t="s">
        <v>74</v>
      </c>
      <c r="U141" s="1" t="s">
        <v>74</v>
      </c>
      <c r="V141" s="1" t="s">
        <v>1561</v>
      </c>
      <c r="W141" s="1" t="s">
        <v>74</v>
      </c>
      <c r="X141" s="1" t="s">
        <v>74</v>
      </c>
      <c r="Y141" s="1" t="s">
        <v>74</v>
      </c>
      <c r="Z141" s="1" t="s">
        <v>74</v>
      </c>
      <c r="AA141" s="1" t="s">
        <v>1562</v>
      </c>
      <c r="AB141" s="1" t="s">
        <v>1563</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1564</v>
      </c>
      <c r="AP141" s="1" t="s">
        <v>1565</v>
      </c>
      <c r="AQ141" s="1" t="s">
        <v>74</v>
      </c>
      <c r="AR141" s="1" t="s">
        <v>74</v>
      </c>
      <c r="AS141" s="1" t="s">
        <v>74</v>
      </c>
      <c r="AT141" s="1" t="s">
        <v>567</v>
      </c>
      <c r="AU141" s="1">
        <v>2024.0</v>
      </c>
      <c r="AV141" s="1">
        <v>30.0</v>
      </c>
      <c r="AW141" s="1">
        <v>1.0</v>
      </c>
      <c r="AX141" s="1" t="s">
        <v>74</v>
      </c>
      <c r="AY141" s="1" t="s">
        <v>74</v>
      </c>
      <c r="AZ141" s="1" t="s">
        <v>74</v>
      </c>
      <c r="BA141" s="1" t="s">
        <v>74</v>
      </c>
      <c r="BB141" s="1" t="s">
        <v>74</v>
      </c>
      <c r="BC141" s="1" t="s">
        <v>74</v>
      </c>
      <c r="BD141" s="1" t="s">
        <v>1566</v>
      </c>
      <c r="BE141" s="1" t="s">
        <v>1567</v>
      </c>
      <c r="BF141" s="2" t="str">
        <f>HYPERLINK("http://dx.doi.org/10.1111/gcb.17131","http://dx.doi.org/10.1111/gcb.17131")</f>
        <v>http://dx.doi.org/10.1111/gcb.17131</v>
      </c>
      <c r="BG141" s="1" t="s">
        <v>74</v>
      </c>
      <c r="BH141" s="1" t="s">
        <v>74</v>
      </c>
      <c r="BI141" s="1" t="s">
        <v>74</v>
      </c>
      <c r="BJ141" s="1" t="s">
        <v>74</v>
      </c>
      <c r="BK141" s="1" t="s">
        <v>74</v>
      </c>
      <c r="BL141" s="1" t="s">
        <v>74</v>
      </c>
      <c r="BM141" s="1" t="s">
        <v>74</v>
      </c>
      <c r="BN141" s="1">
        <v>3.8273508E7</v>
      </c>
      <c r="BO141" s="1" t="s">
        <v>74</v>
      </c>
      <c r="BP141" s="1" t="s">
        <v>74</v>
      </c>
      <c r="BQ141" s="1" t="s">
        <v>74</v>
      </c>
      <c r="BR141" s="1" t="s">
        <v>74</v>
      </c>
      <c r="BS141" s="1" t="s">
        <v>1568</v>
      </c>
      <c r="BT141" s="1" t="str">
        <f>HYPERLINK("https%3A%2F%2Fwww.webofscience.com%2Fwos%2Fwoscc%2Ffull-record%2FWOS:001145943100001","View Full Record in Web of Science")</f>
        <v>View Full Record in Web of Science</v>
      </c>
    </row>
    <row r="142" ht="12.75" customHeight="1">
      <c r="A142" s="1" t="s">
        <v>72</v>
      </c>
      <c r="B142" s="1" t="s">
        <v>1569</v>
      </c>
      <c r="C142" s="1" t="s">
        <v>74</v>
      </c>
      <c r="D142" s="1" t="s">
        <v>74</v>
      </c>
      <c r="E142" s="1" t="s">
        <v>74</v>
      </c>
      <c r="F142" s="1" t="s">
        <v>1570</v>
      </c>
      <c r="G142" s="1" t="s">
        <v>74</v>
      </c>
      <c r="H142" s="1" t="s">
        <v>74</v>
      </c>
      <c r="I142" s="1" t="s">
        <v>1571</v>
      </c>
      <c r="J142" s="1" t="s">
        <v>1572</v>
      </c>
      <c r="K142" s="1" t="s">
        <v>74</v>
      </c>
      <c r="L142" s="1" t="s">
        <v>74</v>
      </c>
      <c r="M142" s="1" t="s">
        <v>74</v>
      </c>
      <c r="N142" s="1" t="s">
        <v>74</v>
      </c>
      <c r="O142" s="1" t="s">
        <v>74</v>
      </c>
      <c r="P142" s="1" t="s">
        <v>74</v>
      </c>
      <c r="Q142" s="1" t="s">
        <v>74</v>
      </c>
      <c r="R142" s="1" t="s">
        <v>74</v>
      </c>
      <c r="S142" s="1" t="s">
        <v>74</v>
      </c>
      <c r="T142" s="1" t="s">
        <v>74</v>
      </c>
      <c r="U142" s="1" t="s">
        <v>74</v>
      </c>
      <c r="V142" s="1" t="s">
        <v>1573</v>
      </c>
      <c r="W142" s="1" t="s">
        <v>74</v>
      </c>
      <c r="X142" s="1" t="s">
        <v>74</v>
      </c>
      <c r="Y142" s="1" t="s">
        <v>74</v>
      </c>
      <c r="Z142" s="1" t="s">
        <v>74</v>
      </c>
      <c r="AA142" s="1" t="s">
        <v>1574</v>
      </c>
      <c r="AB142" s="1" t="s">
        <v>1575</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1576</v>
      </c>
      <c r="AP142" s="1" t="s">
        <v>1577</v>
      </c>
      <c r="AQ142" s="1" t="s">
        <v>74</v>
      </c>
      <c r="AR142" s="1" t="s">
        <v>74</v>
      </c>
      <c r="AS142" s="1" t="s">
        <v>74</v>
      </c>
      <c r="AT142" s="1" t="s">
        <v>495</v>
      </c>
      <c r="AU142" s="1">
        <v>2022.0</v>
      </c>
      <c r="AV142" s="1">
        <v>62.0</v>
      </c>
      <c r="AW142" s="1">
        <v>4.0</v>
      </c>
      <c r="AX142" s="1" t="s">
        <v>74</v>
      </c>
      <c r="AY142" s="1" t="s">
        <v>74</v>
      </c>
      <c r="AZ142" s="1" t="s">
        <v>74</v>
      </c>
      <c r="BA142" s="1" t="s">
        <v>74</v>
      </c>
      <c r="BB142" s="1">
        <v>635.0</v>
      </c>
      <c r="BC142" s="1">
        <v>645.0</v>
      </c>
      <c r="BD142" s="1" t="s">
        <v>74</v>
      </c>
      <c r="BE142" s="1" t="s">
        <v>1578</v>
      </c>
      <c r="BF142" s="2" t="str">
        <f>HYPERLINK("http://dx.doi.org/10.1016/j.amepre.2021.09.006","http://dx.doi.org/10.1016/j.amepre.2021.09.006")</f>
        <v>http://dx.doi.org/10.1016/j.amepre.2021.09.006</v>
      </c>
      <c r="BG142" s="1" t="s">
        <v>74</v>
      </c>
      <c r="BH142" s="1" t="s">
        <v>85</v>
      </c>
      <c r="BI142" s="1" t="s">
        <v>74</v>
      </c>
      <c r="BJ142" s="1" t="s">
        <v>74</v>
      </c>
      <c r="BK142" s="1" t="s">
        <v>74</v>
      </c>
      <c r="BL142" s="1" t="s">
        <v>74</v>
      </c>
      <c r="BM142" s="1" t="s">
        <v>74</v>
      </c>
      <c r="BN142" s="1">
        <v>3.481004E7</v>
      </c>
      <c r="BO142" s="1" t="s">
        <v>74</v>
      </c>
      <c r="BP142" s="1" t="s">
        <v>74</v>
      </c>
      <c r="BQ142" s="1" t="s">
        <v>74</v>
      </c>
      <c r="BR142" s="1" t="s">
        <v>74</v>
      </c>
      <c r="BS142" s="1" t="s">
        <v>1579</v>
      </c>
      <c r="BT142" s="1" t="str">
        <f>HYPERLINK("https%3A%2F%2Fwww.webofscience.com%2Fwos%2Fwoscc%2Ffull-record%2FWOS:000860543500024","View Full Record in Web of Science")</f>
        <v>View Full Record in Web of Science</v>
      </c>
    </row>
    <row r="143" ht="12.75" customHeight="1">
      <c r="A143" s="1" t="s">
        <v>72</v>
      </c>
      <c r="B143" s="1" t="s">
        <v>1580</v>
      </c>
      <c r="C143" s="1" t="s">
        <v>74</v>
      </c>
      <c r="D143" s="1" t="s">
        <v>74</v>
      </c>
      <c r="E143" s="1" t="s">
        <v>74</v>
      </c>
      <c r="F143" s="1" t="s">
        <v>1581</v>
      </c>
      <c r="G143" s="1" t="s">
        <v>74</v>
      </c>
      <c r="H143" s="1" t="s">
        <v>74</v>
      </c>
      <c r="I143" s="1" t="s">
        <v>1582</v>
      </c>
      <c r="J143" s="1" t="s">
        <v>1583</v>
      </c>
      <c r="K143" s="1" t="s">
        <v>74</v>
      </c>
      <c r="L143" s="1" t="s">
        <v>74</v>
      </c>
      <c r="M143" s="1" t="s">
        <v>74</v>
      </c>
      <c r="N143" s="1" t="s">
        <v>74</v>
      </c>
      <c r="O143" s="1" t="s">
        <v>74</v>
      </c>
      <c r="P143" s="1" t="s">
        <v>74</v>
      </c>
      <c r="Q143" s="1" t="s">
        <v>74</v>
      </c>
      <c r="R143" s="1" t="s">
        <v>74</v>
      </c>
      <c r="S143" s="1" t="s">
        <v>74</v>
      </c>
      <c r="T143" s="1" t="s">
        <v>74</v>
      </c>
      <c r="U143" s="1" t="s">
        <v>74</v>
      </c>
      <c r="V143" s="1" t="s">
        <v>1584</v>
      </c>
      <c r="W143" s="1" t="s">
        <v>74</v>
      </c>
      <c r="X143" s="1" t="s">
        <v>74</v>
      </c>
      <c r="Y143" s="1" t="s">
        <v>74</v>
      </c>
      <c r="Z143" s="1" t="s">
        <v>74</v>
      </c>
      <c r="AA143" s="1" t="s">
        <v>1585</v>
      </c>
      <c r="AB143" s="1" t="s">
        <v>1586</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1587</v>
      </c>
      <c r="AP143" s="1" t="s">
        <v>1588</v>
      </c>
      <c r="AQ143" s="1" t="s">
        <v>74</v>
      </c>
      <c r="AR143" s="1" t="s">
        <v>74</v>
      </c>
      <c r="AS143" s="1" t="s">
        <v>74</v>
      </c>
      <c r="AT143" s="1" t="s">
        <v>344</v>
      </c>
      <c r="AU143" s="1">
        <v>2023.0</v>
      </c>
      <c r="AV143" s="1">
        <v>32.0</v>
      </c>
      <c r="AW143" s="1">
        <v>5.0</v>
      </c>
      <c r="AX143" s="1" t="s">
        <v>74</v>
      </c>
      <c r="AY143" s="1" t="s">
        <v>74</v>
      </c>
      <c r="AZ143" s="1" t="s">
        <v>74</v>
      </c>
      <c r="BA143" s="1" t="s">
        <v>74</v>
      </c>
      <c r="BB143" s="1" t="s">
        <v>74</v>
      </c>
      <c r="BC143" s="1" t="s">
        <v>74</v>
      </c>
      <c r="BD143" s="1" t="s">
        <v>74</v>
      </c>
      <c r="BE143" s="1" t="s">
        <v>1589</v>
      </c>
      <c r="BF143" s="2" t="str">
        <f>HYPERLINK("http://dx.doi.org/10.1002/icd.2443","http://dx.doi.org/10.1002/icd.2443")</f>
        <v>http://dx.doi.org/10.1002/icd.2443</v>
      </c>
      <c r="BG143" s="1" t="s">
        <v>74</v>
      </c>
      <c r="BH143" s="1" t="s">
        <v>1590</v>
      </c>
      <c r="BI143" s="1" t="s">
        <v>74</v>
      </c>
      <c r="BJ143" s="1" t="s">
        <v>74</v>
      </c>
      <c r="BK143" s="1" t="s">
        <v>74</v>
      </c>
      <c r="BL143" s="1" t="s">
        <v>74</v>
      </c>
      <c r="BM143" s="1" t="s">
        <v>74</v>
      </c>
      <c r="BN143" s="1" t="s">
        <v>74</v>
      </c>
      <c r="BO143" s="1" t="s">
        <v>74</v>
      </c>
      <c r="BP143" s="1" t="s">
        <v>74</v>
      </c>
      <c r="BQ143" s="1" t="s">
        <v>74</v>
      </c>
      <c r="BR143" s="1" t="s">
        <v>74</v>
      </c>
      <c r="BS143" s="1" t="s">
        <v>1591</v>
      </c>
      <c r="BT143" s="1" t="str">
        <f>HYPERLINK("https%3A%2F%2Fwww.webofscience.com%2Fwos%2Fwoscc%2Ffull-record%2FWOS:001024174100001","View Full Record in Web of Science")</f>
        <v>View Full Record in Web of Science</v>
      </c>
    </row>
    <row r="144" ht="12.75" customHeight="1">
      <c r="A144" s="1" t="s">
        <v>72</v>
      </c>
      <c r="B144" s="1" t="s">
        <v>1592</v>
      </c>
      <c r="C144" s="1" t="s">
        <v>74</v>
      </c>
      <c r="D144" s="1" t="s">
        <v>74</v>
      </c>
      <c r="E144" s="1" t="s">
        <v>74</v>
      </c>
      <c r="F144" s="1" t="s">
        <v>1593</v>
      </c>
      <c r="G144" s="1" t="s">
        <v>74</v>
      </c>
      <c r="H144" s="1" t="s">
        <v>74</v>
      </c>
      <c r="I144" s="1" t="s">
        <v>1594</v>
      </c>
      <c r="J144" s="1" t="s">
        <v>406</v>
      </c>
      <c r="K144" s="1" t="s">
        <v>74</v>
      </c>
      <c r="L144" s="1" t="s">
        <v>74</v>
      </c>
      <c r="M144" s="1" t="s">
        <v>74</v>
      </c>
      <c r="N144" s="1" t="s">
        <v>74</v>
      </c>
      <c r="O144" s="1" t="s">
        <v>74</v>
      </c>
      <c r="P144" s="1" t="s">
        <v>74</v>
      </c>
      <c r="Q144" s="1" t="s">
        <v>74</v>
      </c>
      <c r="R144" s="1" t="s">
        <v>74</v>
      </c>
      <c r="S144" s="1" t="s">
        <v>74</v>
      </c>
      <c r="T144" s="1" t="s">
        <v>74</v>
      </c>
      <c r="U144" s="1" t="s">
        <v>74</v>
      </c>
      <c r="V144" s="1" t="s">
        <v>1595</v>
      </c>
      <c r="W144" s="1" t="s">
        <v>74</v>
      </c>
      <c r="X144" s="1" t="s">
        <v>74</v>
      </c>
      <c r="Y144" s="1" t="s">
        <v>74</v>
      </c>
      <c r="Z144" s="1" t="s">
        <v>74</v>
      </c>
      <c r="AA144" s="1" t="s">
        <v>1596</v>
      </c>
      <c r="AB144" s="1" t="s">
        <v>1597</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410</v>
      </c>
      <c r="AP144" s="1" t="s">
        <v>74</v>
      </c>
      <c r="AQ144" s="1" t="s">
        <v>74</v>
      </c>
      <c r="AR144" s="1" t="s">
        <v>74</v>
      </c>
      <c r="AS144" s="1" t="s">
        <v>74</v>
      </c>
      <c r="AT144" s="1" t="s">
        <v>1598</v>
      </c>
      <c r="AU144" s="1">
        <v>2022.0</v>
      </c>
      <c r="AV144" s="1">
        <v>12.0</v>
      </c>
      <c r="AW144" s="1">
        <v>1.0</v>
      </c>
      <c r="AX144" s="1" t="s">
        <v>74</v>
      </c>
      <c r="AY144" s="1" t="s">
        <v>74</v>
      </c>
      <c r="AZ144" s="1" t="s">
        <v>74</v>
      </c>
      <c r="BA144" s="1" t="s">
        <v>74</v>
      </c>
      <c r="BB144" s="1" t="s">
        <v>74</v>
      </c>
      <c r="BC144" s="1" t="s">
        <v>74</v>
      </c>
      <c r="BD144" s="1">
        <v>11382.0</v>
      </c>
      <c r="BE144" s="1" t="s">
        <v>1599</v>
      </c>
      <c r="BF144" s="2" t="str">
        <f>HYPERLINK("http://dx.doi.org/10.1038/s41598-022-15504-z","http://dx.doi.org/10.1038/s41598-022-15504-z")</f>
        <v>http://dx.doi.org/10.1038/s41598-022-15504-z</v>
      </c>
      <c r="BG144" s="1" t="s">
        <v>74</v>
      </c>
      <c r="BH144" s="1" t="s">
        <v>74</v>
      </c>
      <c r="BI144" s="1" t="s">
        <v>74</v>
      </c>
      <c r="BJ144" s="1" t="s">
        <v>74</v>
      </c>
      <c r="BK144" s="1" t="s">
        <v>74</v>
      </c>
      <c r="BL144" s="1" t="s">
        <v>74</v>
      </c>
      <c r="BM144" s="1" t="s">
        <v>74</v>
      </c>
      <c r="BN144" s="1">
        <v>3.5790777E7</v>
      </c>
      <c r="BO144" s="1" t="s">
        <v>74</v>
      </c>
      <c r="BP144" s="1" t="s">
        <v>74</v>
      </c>
      <c r="BQ144" s="1" t="s">
        <v>74</v>
      </c>
      <c r="BR144" s="1" t="s">
        <v>74</v>
      </c>
      <c r="BS144" s="1" t="s">
        <v>1600</v>
      </c>
      <c r="BT144" s="1" t="str">
        <f>HYPERLINK("https%3A%2F%2Fwww.webofscience.com%2Fwos%2Fwoscc%2Ffull-record%2FWOS:000821221500060","View Full Record in Web of Science")</f>
        <v>View Full Record in Web of Science</v>
      </c>
    </row>
    <row r="145" ht="12.75" customHeight="1">
      <c r="A145" s="1" t="s">
        <v>72</v>
      </c>
      <c r="B145" s="1" t="s">
        <v>1601</v>
      </c>
      <c r="C145" s="1" t="s">
        <v>74</v>
      </c>
      <c r="D145" s="1" t="s">
        <v>74</v>
      </c>
      <c r="E145" s="1" t="s">
        <v>74</v>
      </c>
      <c r="F145" s="1" t="s">
        <v>1602</v>
      </c>
      <c r="G145" s="1" t="s">
        <v>74</v>
      </c>
      <c r="H145" s="1" t="s">
        <v>74</v>
      </c>
      <c r="I145" s="1" t="s">
        <v>1603</v>
      </c>
      <c r="J145" s="1" t="s">
        <v>1604</v>
      </c>
      <c r="K145" s="1" t="s">
        <v>74</v>
      </c>
      <c r="L145" s="1" t="s">
        <v>74</v>
      </c>
      <c r="M145" s="1" t="s">
        <v>74</v>
      </c>
      <c r="N145" s="1" t="s">
        <v>74</v>
      </c>
      <c r="O145" s="1" t="s">
        <v>74</v>
      </c>
      <c r="P145" s="1" t="s">
        <v>74</v>
      </c>
      <c r="Q145" s="1" t="s">
        <v>74</v>
      </c>
      <c r="R145" s="1" t="s">
        <v>74</v>
      </c>
      <c r="S145" s="1" t="s">
        <v>74</v>
      </c>
      <c r="T145" s="1" t="s">
        <v>74</v>
      </c>
      <c r="U145" s="1" t="s">
        <v>74</v>
      </c>
      <c r="V145" s="1" t="s">
        <v>1605</v>
      </c>
      <c r="W145" s="1" t="s">
        <v>74</v>
      </c>
      <c r="X145" s="1" t="s">
        <v>74</v>
      </c>
      <c r="Y145" s="1" t="s">
        <v>74</v>
      </c>
      <c r="Z145" s="1" t="s">
        <v>74</v>
      </c>
      <c r="AA145" s="1" t="s">
        <v>1606</v>
      </c>
      <c r="AB145" s="1" t="s">
        <v>1607</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1608</v>
      </c>
      <c r="AP145" s="1" t="s">
        <v>1609</v>
      </c>
      <c r="AQ145" s="1" t="s">
        <v>74</v>
      </c>
      <c r="AR145" s="1" t="s">
        <v>74</v>
      </c>
      <c r="AS145" s="1" t="s">
        <v>74</v>
      </c>
      <c r="AT145" s="1" t="s">
        <v>130</v>
      </c>
      <c r="AU145" s="1">
        <v>2021.0</v>
      </c>
      <c r="AV145" s="1">
        <v>45.0</v>
      </c>
      <c r="AW145" s="1">
        <v>6.0</v>
      </c>
      <c r="AX145" s="1" t="s">
        <v>74</v>
      </c>
      <c r="AY145" s="1" t="s">
        <v>74</v>
      </c>
      <c r="AZ145" s="1" t="s">
        <v>74</v>
      </c>
      <c r="BA145" s="1" t="s">
        <v>74</v>
      </c>
      <c r="BB145" s="1">
        <v>545.0</v>
      </c>
      <c r="BC145" s="1">
        <v>552.0</v>
      </c>
      <c r="BD145" s="1">
        <v>1.650254211020128E15</v>
      </c>
      <c r="BE145" s="1" t="s">
        <v>1610</v>
      </c>
      <c r="BF145" s="2" t="str">
        <f>HYPERLINK("http://dx.doi.org/10.1177/01650254211020128","http://dx.doi.org/10.1177/01650254211020128")</f>
        <v>http://dx.doi.org/10.1177/01650254211020128</v>
      </c>
      <c r="BG145" s="1" t="s">
        <v>74</v>
      </c>
      <c r="BH145" s="1" t="s">
        <v>1611</v>
      </c>
      <c r="BI145" s="1" t="s">
        <v>74</v>
      </c>
      <c r="BJ145" s="1" t="s">
        <v>74</v>
      </c>
      <c r="BK145" s="1" t="s">
        <v>74</v>
      </c>
      <c r="BL145" s="1" t="s">
        <v>74</v>
      </c>
      <c r="BM145" s="1" t="s">
        <v>74</v>
      </c>
      <c r="BN145" s="1" t="s">
        <v>74</v>
      </c>
      <c r="BO145" s="1" t="s">
        <v>74</v>
      </c>
      <c r="BP145" s="1" t="s">
        <v>74</v>
      </c>
      <c r="BQ145" s="1" t="s">
        <v>74</v>
      </c>
      <c r="BR145" s="1" t="s">
        <v>74</v>
      </c>
      <c r="BS145" s="1" t="s">
        <v>1612</v>
      </c>
      <c r="BT145" s="1" t="str">
        <f>HYPERLINK("https%3A%2F%2Fwww.webofscience.com%2Fwos%2Fwoscc%2Ffull-record%2FWOS:000675777200001","View Full Record in Web of Science")</f>
        <v>View Full Record in Web of Science</v>
      </c>
    </row>
    <row r="146" ht="12.75" customHeight="1">
      <c r="A146" s="1" t="s">
        <v>72</v>
      </c>
      <c r="B146" s="1" t="s">
        <v>1613</v>
      </c>
      <c r="C146" s="1" t="s">
        <v>74</v>
      </c>
      <c r="D146" s="1" t="s">
        <v>74</v>
      </c>
      <c r="E146" s="1" t="s">
        <v>74</v>
      </c>
      <c r="F146" s="1" t="s">
        <v>1614</v>
      </c>
      <c r="G146" s="1" t="s">
        <v>74</v>
      </c>
      <c r="H146" s="1" t="s">
        <v>74</v>
      </c>
      <c r="I146" s="1" t="s">
        <v>1615</v>
      </c>
      <c r="J146" s="1" t="s">
        <v>596</v>
      </c>
      <c r="K146" s="1" t="s">
        <v>74</v>
      </c>
      <c r="L146" s="1" t="s">
        <v>74</v>
      </c>
      <c r="M146" s="1" t="s">
        <v>74</v>
      </c>
      <c r="N146" s="1" t="s">
        <v>74</v>
      </c>
      <c r="O146" s="1" t="s">
        <v>74</v>
      </c>
      <c r="P146" s="1" t="s">
        <v>74</v>
      </c>
      <c r="Q146" s="1" t="s">
        <v>74</v>
      </c>
      <c r="R146" s="1" t="s">
        <v>74</v>
      </c>
      <c r="S146" s="1" t="s">
        <v>74</v>
      </c>
      <c r="T146" s="1" t="s">
        <v>74</v>
      </c>
      <c r="U146" s="1" t="s">
        <v>74</v>
      </c>
      <c r="V146" s="1" t="s">
        <v>1616</v>
      </c>
      <c r="W146" s="1" t="s">
        <v>74</v>
      </c>
      <c r="X146" s="1" t="s">
        <v>74</v>
      </c>
      <c r="Y146" s="1" t="s">
        <v>74</v>
      </c>
      <c r="Z146" s="1" t="s">
        <v>74</v>
      </c>
      <c r="AA146" s="1" t="s">
        <v>1617</v>
      </c>
      <c r="AB146" s="1" t="s">
        <v>1618</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600</v>
      </c>
      <c r="AP146" s="1" t="s">
        <v>601</v>
      </c>
      <c r="AQ146" s="1" t="s">
        <v>74</v>
      </c>
      <c r="AR146" s="1" t="s">
        <v>74</v>
      </c>
      <c r="AS146" s="1" t="s">
        <v>74</v>
      </c>
      <c r="AT146" s="1" t="s">
        <v>1619</v>
      </c>
      <c r="AU146" s="1">
        <v>2022.0</v>
      </c>
      <c r="AV146" s="1">
        <v>932.0</v>
      </c>
      <c r="AW146" s="1">
        <v>2.0</v>
      </c>
      <c r="AX146" s="1" t="s">
        <v>74</v>
      </c>
      <c r="AY146" s="1" t="s">
        <v>74</v>
      </c>
      <c r="AZ146" s="1" t="s">
        <v>74</v>
      </c>
      <c r="BA146" s="1" t="s">
        <v>74</v>
      </c>
      <c r="BB146" s="1" t="s">
        <v>74</v>
      </c>
      <c r="BC146" s="1" t="s">
        <v>74</v>
      </c>
      <c r="BD146" s="1">
        <v>114.0</v>
      </c>
      <c r="BE146" s="1" t="s">
        <v>1620</v>
      </c>
      <c r="BF146" s="2" t="str">
        <f>HYPERLINK("http://dx.doi.org/10.3847/1538-4357/ac6c02","http://dx.doi.org/10.3847/1538-4357/ac6c02")</f>
        <v>http://dx.doi.org/10.3847/1538-4357/ac6c02</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1621</v>
      </c>
      <c r="BT146" s="1" t="str">
        <f>HYPERLINK("https%3A%2F%2Fwww.webofscience.com%2Fwos%2Fwoscc%2Ffull-record%2FWOS:000814376100001","View Full Record in Web of Science")</f>
        <v>View Full Record in Web of Science</v>
      </c>
    </row>
    <row r="147" ht="12.75" customHeight="1">
      <c r="A147" s="1" t="s">
        <v>72</v>
      </c>
      <c r="B147" s="1" t="s">
        <v>1622</v>
      </c>
      <c r="C147" s="1" t="s">
        <v>74</v>
      </c>
      <c r="D147" s="1" t="s">
        <v>74</v>
      </c>
      <c r="E147" s="1" t="s">
        <v>74</v>
      </c>
      <c r="F147" s="1" t="s">
        <v>1623</v>
      </c>
      <c r="G147" s="1" t="s">
        <v>74</v>
      </c>
      <c r="H147" s="1" t="s">
        <v>74</v>
      </c>
      <c r="I147" s="1" t="s">
        <v>1624</v>
      </c>
      <c r="J147" s="1" t="s">
        <v>813</v>
      </c>
      <c r="K147" s="1" t="s">
        <v>74</v>
      </c>
      <c r="L147" s="1" t="s">
        <v>74</v>
      </c>
      <c r="M147" s="1" t="s">
        <v>74</v>
      </c>
      <c r="N147" s="1" t="s">
        <v>74</v>
      </c>
      <c r="O147" s="1" t="s">
        <v>74</v>
      </c>
      <c r="P147" s="1" t="s">
        <v>74</v>
      </c>
      <c r="Q147" s="1" t="s">
        <v>74</v>
      </c>
      <c r="R147" s="1" t="s">
        <v>74</v>
      </c>
      <c r="S147" s="1" t="s">
        <v>74</v>
      </c>
      <c r="T147" s="1" t="s">
        <v>74</v>
      </c>
      <c r="U147" s="1" t="s">
        <v>74</v>
      </c>
      <c r="V147" s="1" t="s">
        <v>1625</v>
      </c>
      <c r="W147" s="1" t="s">
        <v>74</v>
      </c>
      <c r="X147" s="1" t="s">
        <v>74</v>
      </c>
      <c r="Y147" s="1" t="s">
        <v>74</v>
      </c>
      <c r="Z147" s="1" t="s">
        <v>74</v>
      </c>
      <c r="AA147" s="1" t="s">
        <v>1626</v>
      </c>
      <c r="AB147" s="1" t="s">
        <v>1627</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817</v>
      </c>
      <c r="AP147" s="1" t="s">
        <v>818</v>
      </c>
      <c r="AQ147" s="1" t="s">
        <v>74</v>
      </c>
      <c r="AR147" s="1" t="s">
        <v>74</v>
      </c>
      <c r="AS147" s="1" t="s">
        <v>74</v>
      </c>
      <c r="AT147" s="1" t="s">
        <v>1628</v>
      </c>
      <c r="AU147" s="1">
        <v>2021.0</v>
      </c>
      <c r="AV147" s="1">
        <v>654.0</v>
      </c>
      <c r="AW147" s="1" t="s">
        <v>74</v>
      </c>
      <c r="AX147" s="1" t="s">
        <v>74</v>
      </c>
      <c r="AY147" s="1" t="s">
        <v>74</v>
      </c>
      <c r="AZ147" s="1" t="s">
        <v>74</v>
      </c>
      <c r="BA147" s="1" t="s">
        <v>74</v>
      </c>
      <c r="BB147" s="1" t="s">
        <v>74</v>
      </c>
      <c r="BC147" s="1" t="s">
        <v>74</v>
      </c>
      <c r="BD147" s="1" t="s">
        <v>1629</v>
      </c>
      <c r="BE147" s="1" t="s">
        <v>1630</v>
      </c>
      <c r="BF147" s="2" t="str">
        <f>HYPERLINK("http://dx.doi.org/10.1051/0004-6361/202140783","http://dx.doi.org/10.1051/0004-6361/202140783")</f>
        <v>http://dx.doi.org/10.1051/0004-6361/202140783</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1631</v>
      </c>
      <c r="BT147" s="1" t="str">
        <f>HYPERLINK("https%3A%2F%2Fwww.webofscience.com%2Fwos%2Fwoscc%2Ffull-record%2FWOS:000704438200001","View Full Record in Web of Science")</f>
        <v>View Full Record in Web of Science</v>
      </c>
    </row>
    <row r="148" ht="12.75" customHeight="1">
      <c r="A148" s="1" t="s">
        <v>72</v>
      </c>
      <c r="B148" s="1" t="s">
        <v>1632</v>
      </c>
      <c r="C148" s="1" t="s">
        <v>74</v>
      </c>
      <c r="D148" s="1" t="s">
        <v>74</v>
      </c>
      <c r="E148" s="1" t="s">
        <v>74</v>
      </c>
      <c r="F148" s="1" t="s">
        <v>1633</v>
      </c>
      <c r="G148" s="1" t="s">
        <v>74</v>
      </c>
      <c r="H148" s="1" t="s">
        <v>74</v>
      </c>
      <c r="I148" s="1" t="s">
        <v>1634</v>
      </c>
      <c r="J148" s="1" t="s">
        <v>1635</v>
      </c>
      <c r="K148" s="1" t="s">
        <v>74</v>
      </c>
      <c r="L148" s="1" t="s">
        <v>74</v>
      </c>
      <c r="M148" s="1" t="s">
        <v>74</v>
      </c>
      <c r="N148" s="1" t="s">
        <v>74</v>
      </c>
      <c r="O148" s="1" t="s">
        <v>74</v>
      </c>
      <c r="P148" s="1" t="s">
        <v>74</v>
      </c>
      <c r="Q148" s="1" t="s">
        <v>74</v>
      </c>
      <c r="R148" s="1" t="s">
        <v>74</v>
      </c>
      <c r="S148" s="1" t="s">
        <v>74</v>
      </c>
      <c r="T148" s="1" t="s">
        <v>74</v>
      </c>
      <c r="U148" s="1" t="s">
        <v>74</v>
      </c>
      <c r="V148" s="1" t="s">
        <v>1636</v>
      </c>
      <c r="W148" s="1" t="s">
        <v>74</v>
      </c>
      <c r="X148" s="1" t="s">
        <v>74</v>
      </c>
      <c r="Y148" s="1" t="s">
        <v>74</v>
      </c>
      <c r="Z148" s="1" t="s">
        <v>74</v>
      </c>
      <c r="AA148" s="1" t="s">
        <v>1637</v>
      </c>
      <c r="AB148" s="1" t="s">
        <v>1638</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1639</v>
      </c>
      <c r="AP148" s="1" t="s">
        <v>1640</v>
      </c>
      <c r="AQ148" s="1" t="s">
        <v>74</v>
      </c>
      <c r="AR148" s="1" t="s">
        <v>74</v>
      </c>
      <c r="AS148" s="1" t="s">
        <v>74</v>
      </c>
      <c r="AT148" s="1" t="s">
        <v>319</v>
      </c>
      <c r="AU148" s="1">
        <v>2023.0</v>
      </c>
      <c r="AV148" s="1">
        <v>213.0</v>
      </c>
      <c r="AW148" s="1" t="s">
        <v>74</v>
      </c>
      <c r="AX148" s="1" t="s">
        <v>74</v>
      </c>
      <c r="AY148" s="1" t="s">
        <v>74</v>
      </c>
      <c r="AZ148" s="1" t="s">
        <v>74</v>
      </c>
      <c r="BA148" s="1" t="s">
        <v>74</v>
      </c>
      <c r="BB148" s="1" t="s">
        <v>74</v>
      </c>
      <c r="BC148" s="1" t="s">
        <v>74</v>
      </c>
      <c r="BD148" s="1">
        <v>112312.0</v>
      </c>
      <c r="BE148" s="1" t="s">
        <v>1641</v>
      </c>
      <c r="BF148" s="2" t="str">
        <f>HYPERLINK("http://dx.doi.org/10.1016/j.paid.2023.112312","http://dx.doi.org/10.1016/j.paid.2023.112312")</f>
        <v>http://dx.doi.org/10.1016/j.paid.2023.112312</v>
      </c>
      <c r="BG148" s="1" t="s">
        <v>74</v>
      </c>
      <c r="BH148" s="1" t="s">
        <v>202</v>
      </c>
      <c r="BI148" s="1" t="s">
        <v>74</v>
      </c>
      <c r="BJ148" s="1" t="s">
        <v>74</v>
      </c>
      <c r="BK148" s="1" t="s">
        <v>74</v>
      </c>
      <c r="BL148" s="1" t="s">
        <v>74</v>
      </c>
      <c r="BM148" s="1" t="s">
        <v>74</v>
      </c>
      <c r="BN148" s="1" t="s">
        <v>74</v>
      </c>
      <c r="BO148" s="1" t="s">
        <v>74</v>
      </c>
      <c r="BP148" s="1" t="s">
        <v>74</v>
      </c>
      <c r="BQ148" s="1" t="s">
        <v>74</v>
      </c>
      <c r="BR148" s="1" t="s">
        <v>74</v>
      </c>
      <c r="BS148" s="1" t="s">
        <v>1642</v>
      </c>
      <c r="BT148" s="1" t="str">
        <f>HYPERLINK("https%3A%2F%2Fwww.webofscience.com%2Fwos%2Fwoscc%2Ffull-record%2FWOS:001026280800001","View Full Record in Web of Science")</f>
        <v>View Full Record in Web of Science</v>
      </c>
    </row>
    <row r="149" ht="12.75" customHeight="1">
      <c r="A149" s="1" t="s">
        <v>72</v>
      </c>
      <c r="B149" s="1" t="s">
        <v>1643</v>
      </c>
      <c r="C149" s="1" t="s">
        <v>74</v>
      </c>
      <c r="D149" s="1" t="s">
        <v>74</v>
      </c>
      <c r="E149" s="1" t="s">
        <v>74</v>
      </c>
      <c r="F149" s="1" t="s">
        <v>1644</v>
      </c>
      <c r="G149" s="1" t="s">
        <v>74</v>
      </c>
      <c r="H149" s="1" t="s">
        <v>74</v>
      </c>
      <c r="I149" s="1" t="s">
        <v>1645</v>
      </c>
      <c r="J149" s="1" t="s">
        <v>439</v>
      </c>
      <c r="K149" s="1" t="s">
        <v>74</v>
      </c>
      <c r="L149" s="1" t="s">
        <v>74</v>
      </c>
      <c r="M149" s="1" t="s">
        <v>74</v>
      </c>
      <c r="N149" s="1" t="s">
        <v>74</v>
      </c>
      <c r="O149" s="1" t="s">
        <v>74</v>
      </c>
      <c r="P149" s="1" t="s">
        <v>74</v>
      </c>
      <c r="Q149" s="1" t="s">
        <v>74</v>
      </c>
      <c r="R149" s="1" t="s">
        <v>74</v>
      </c>
      <c r="S149" s="1" t="s">
        <v>74</v>
      </c>
      <c r="T149" s="1" t="s">
        <v>74</v>
      </c>
      <c r="U149" s="1" t="s">
        <v>74</v>
      </c>
      <c r="V149" s="1" t="s">
        <v>1646</v>
      </c>
      <c r="W149" s="1" t="s">
        <v>74</v>
      </c>
      <c r="X149" s="1" t="s">
        <v>74</v>
      </c>
      <c r="Y149" s="1" t="s">
        <v>74</v>
      </c>
      <c r="Z149" s="1" t="s">
        <v>74</v>
      </c>
      <c r="AA149" s="1" t="s">
        <v>1647</v>
      </c>
      <c r="AB149" s="1" t="s">
        <v>1648</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74</v>
      </c>
      <c r="AP149" s="1" t="s">
        <v>443</v>
      </c>
      <c r="AQ149" s="1" t="s">
        <v>74</v>
      </c>
      <c r="AR149" s="1" t="s">
        <v>74</v>
      </c>
      <c r="AS149" s="1" t="s">
        <v>74</v>
      </c>
      <c r="AT149" s="1" t="s">
        <v>130</v>
      </c>
      <c r="AU149" s="1">
        <v>2021.0</v>
      </c>
      <c r="AV149" s="1">
        <v>18.0</v>
      </c>
      <c r="AW149" s="1">
        <v>21.0</v>
      </c>
      <c r="AX149" s="1" t="s">
        <v>74</v>
      </c>
      <c r="AY149" s="1" t="s">
        <v>74</v>
      </c>
      <c r="AZ149" s="1" t="s">
        <v>74</v>
      </c>
      <c r="BA149" s="1" t="s">
        <v>74</v>
      </c>
      <c r="BB149" s="1" t="s">
        <v>74</v>
      </c>
      <c r="BC149" s="1" t="s">
        <v>74</v>
      </c>
      <c r="BD149" s="1">
        <v>11553.0</v>
      </c>
      <c r="BE149" s="1" t="s">
        <v>1649</v>
      </c>
      <c r="BF149" s="2" t="str">
        <f>HYPERLINK("http://dx.doi.org/10.3390/ijerph182111553","http://dx.doi.org/10.3390/ijerph182111553")</f>
        <v>http://dx.doi.org/10.3390/ijerph182111553</v>
      </c>
      <c r="BG149" s="1" t="s">
        <v>74</v>
      </c>
      <c r="BH149" s="1" t="s">
        <v>74</v>
      </c>
      <c r="BI149" s="1" t="s">
        <v>74</v>
      </c>
      <c r="BJ149" s="1" t="s">
        <v>74</v>
      </c>
      <c r="BK149" s="1" t="s">
        <v>74</v>
      </c>
      <c r="BL149" s="1" t="s">
        <v>74</v>
      </c>
      <c r="BM149" s="1" t="s">
        <v>74</v>
      </c>
      <c r="BN149" s="1">
        <v>3.4770064E7</v>
      </c>
      <c r="BO149" s="1" t="s">
        <v>74</v>
      </c>
      <c r="BP149" s="1" t="s">
        <v>74</v>
      </c>
      <c r="BQ149" s="1" t="s">
        <v>74</v>
      </c>
      <c r="BR149" s="1" t="s">
        <v>74</v>
      </c>
      <c r="BS149" s="1" t="s">
        <v>1650</v>
      </c>
      <c r="BT149" s="1" t="str">
        <f>HYPERLINK("https%3A%2F%2Fwww.webofscience.com%2Fwos%2Fwoscc%2Ffull-record%2FWOS:000718524100001","View Full Record in Web of Science")</f>
        <v>View Full Record in Web of Science</v>
      </c>
    </row>
    <row r="150" ht="12.75" customHeight="1">
      <c r="A150" s="1" t="s">
        <v>72</v>
      </c>
      <c r="B150" s="1" t="s">
        <v>1651</v>
      </c>
      <c r="C150" s="1" t="s">
        <v>74</v>
      </c>
      <c r="D150" s="1" t="s">
        <v>74</v>
      </c>
      <c r="E150" s="1" t="s">
        <v>74</v>
      </c>
      <c r="F150" s="1" t="s">
        <v>1652</v>
      </c>
      <c r="G150" s="1" t="s">
        <v>74</v>
      </c>
      <c r="H150" s="1" t="s">
        <v>74</v>
      </c>
      <c r="I150" s="1" t="s">
        <v>1653</v>
      </c>
      <c r="J150" s="1" t="s">
        <v>1654</v>
      </c>
      <c r="K150" s="1" t="s">
        <v>74</v>
      </c>
      <c r="L150" s="1" t="s">
        <v>74</v>
      </c>
      <c r="M150" s="1" t="s">
        <v>74</v>
      </c>
      <c r="N150" s="1" t="s">
        <v>74</v>
      </c>
      <c r="O150" s="1" t="s">
        <v>74</v>
      </c>
      <c r="P150" s="1" t="s">
        <v>74</v>
      </c>
      <c r="Q150" s="1" t="s">
        <v>74</v>
      </c>
      <c r="R150" s="1" t="s">
        <v>74</v>
      </c>
      <c r="S150" s="1" t="s">
        <v>74</v>
      </c>
      <c r="T150" s="1" t="s">
        <v>74</v>
      </c>
      <c r="U150" s="1" t="s">
        <v>74</v>
      </c>
      <c r="V150" s="1" t="s">
        <v>1655</v>
      </c>
      <c r="W150" s="1" t="s">
        <v>74</v>
      </c>
      <c r="X150" s="1" t="s">
        <v>74</v>
      </c>
      <c r="Y150" s="1" t="s">
        <v>74</v>
      </c>
      <c r="Z150" s="1" t="s">
        <v>74</v>
      </c>
      <c r="AA150" s="1" t="s">
        <v>1656</v>
      </c>
      <c r="AB150" s="1" t="s">
        <v>74</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1657</v>
      </c>
      <c r="AP150" s="1" t="s">
        <v>1658</v>
      </c>
      <c r="AQ150" s="1" t="s">
        <v>74</v>
      </c>
      <c r="AR150" s="1" t="s">
        <v>74</v>
      </c>
      <c r="AS150" s="1" t="s">
        <v>74</v>
      </c>
      <c r="AT150" s="1" t="s">
        <v>119</v>
      </c>
      <c r="AU150" s="1">
        <v>2025.0</v>
      </c>
      <c r="AV150" s="1">
        <v>94.0</v>
      </c>
      <c r="AW150" s="1" t="s">
        <v>74</v>
      </c>
      <c r="AX150" s="1" t="s">
        <v>74</v>
      </c>
      <c r="AY150" s="1" t="s">
        <v>74</v>
      </c>
      <c r="AZ150" s="1" t="s">
        <v>74</v>
      </c>
      <c r="BA150" s="1" t="s">
        <v>74</v>
      </c>
      <c r="BB150" s="1" t="s">
        <v>74</v>
      </c>
      <c r="BC150" s="1" t="s">
        <v>74</v>
      </c>
      <c r="BD150" s="1">
        <v>106244.0</v>
      </c>
      <c r="BE150" s="1" t="s">
        <v>1659</v>
      </c>
      <c r="BF150" s="2" t="str">
        <f>HYPERLINK("http://dx.doi.org/10.1016/j.msard.2024.106244","http://dx.doi.org/10.1016/j.msard.2024.106244")</f>
        <v>http://dx.doi.org/10.1016/j.msard.2024.106244</v>
      </c>
      <c r="BG150" s="1" t="s">
        <v>74</v>
      </c>
      <c r="BH150" s="1" t="s">
        <v>434</v>
      </c>
      <c r="BI150" s="1" t="s">
        <v>74</v>
      </c>
      <c r="BJ150" s="1" t="s">
        <v>74</v>
      </c>
      <c r="BK150" s="1" t="s">
        <v>74</v>
      </c>
      <c r="BL150" s="1" t="s">
        <v>74</v>
      </c>
      <c r="BM150" s="1" t="s">
        <v>74</v>
      </c>
      <c r="BN150" s="1">
        <v>3.982369E7</v>
      </c>
      <c r="BO150" s="1" t="s">
        <v>74</v>
      </c>
      <c r="BP150" s="1" t="s">
        <v>74</v>
      </c>
      <c r="BQ150" s="1" t="s">
        <v>74</v>
      </c>
      <c r="BR150" s="1" t="s">
        <v>74</v>
      </c>
      <c r="BS150" s="1" t="s">
        <v>1660</v>
      </c>
      <c r="BT150" s="1" t="str">
        <f>HYPERLINK("https%3A%2F%2Fwww.webofscience.com%2Fwos%2Fwoscc%2Ffull-record%2FWOS:001401446000001","View Full Record in Web of Science")</f>
        <v>View Full Record in Web of Science</v>
      </c>
    </row>
    <row r="151" ht="12.75" customHeight="1">
      <c r="A151" s="1" t="s">
        <v>72</v>
      </c>
      <c r="B151" s="1" t="s">
        <v>1661</v>
      </c>
      <c r="C151" s="1" t="s">
        <v>74</v>
      </c>
      <c r="D151" s="1" t="s">
        <v>74</v>
      </c>
      <c r="E151" s="1" t="s">
        <v>74</v>
      </c>
      <c r="F151" s="1" t="s">
        <v>1662</v>
      </c>
      <c r="G151" s="1" t="s">
        <v>74</v>
      </c>
      <c r="H151" s="1" t="s">
        <v>74</v>
      </c>
      <c r="I151" s="1" t="s">
        <v>1663</v>
      </c>
      <c r="J151" s="1" t="s">
        <v>406</v>
      </c>
      <c r="K151" s="1" t="s">
        <v>74</v>
      </c>
      <c r="L151" s="1" t="s">
        <v>74</v>
      </c>
      <c r="M151" s="1" t="s">
        <v>74</v>
      </c>
      <c r="N151" s="1" t="s">
        <v>74</v>
      </c>
      <c r="O151" s="1" t="s">
        <v>74</v>
      </c>
      <c r="P151" s="1" t="s">
        <v>74</v>
      </c>
      <c r="Q151" s="1" t="s">
        <v>74</v>
      </c>
      <c r="R151" s="1" t="s">
        <v>74</v>
      </c>
      <c r="S151" s="1" t="s">
        <v>74</v>
      </c>
      <c r="T151" s="1" t="s">
        <v>74</v>
      </c>
      <c r="U151" s="1" t="s">
        <v>74</v>
      </c>
      <c r="V151" s="1" t="s">
        <v>1664</v>
      </c>
      <c r="W151" s="1" t="s">
        <v>74</v>
      </c>
      <c r="X151" s="1" t="s">
        <v>74</v>
      </c>
      <c r="Y151" s="1" t="s">
        <v>74</v>
      </c>
      <c r="Z151" s="1" t="s">
        <v>74</v>
      </c>
      <c r="AA151" s="1" t="s">
        <v>1665</v>
      </c>
      <c r="AB151" s="1" t="s">
        <v>1666</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410</v>
      </c>
      <c r="AP151" s="1" t="s">
        <v>74</v>
      </c>
      <c r="AQ151" s="1" t="s">
        <v>74</v>
      </c>
      <c r="AR151" s="1" t="s">
        <v>74</v>
      </c>
      <c r="AS151" s="1" t="s">
        <v>74</v>
      </c>
      <c r="AT151" s="1" t="s">
        <v>1667</v>
      </c>
      <c r="AU151" s="1">
        <v>2022.0</v>
      </c>
      <c r="AV151" s="1">
        <v>12.0</v>
      </c>
      <c r="AW151" s="1">
        <v>1.0</v>
      </c>
      <c r="AX151" s="1" t="s">
        <v>74</v>
      </c>
      <c r="AY151" s="1" t="s">
        <v>74</v>
      </c>
      <c r="AZ151" s="1" t="s">
        <v>74</v>
      </c>
      <c r="BA151" s="1" t="s">
        <v>74</v>
      </c>
      <c r="BB151" s="1" t="s">
        <v>74</v>
      </c>
      <c r="BC151" s="1" t="s">
        <v>74</v>
      </c>
      <c r="BD151" s="1">
        <v>18827.0</v>
      </c>
      <c r="BE151" s="1" t="s">
        <v>1668</v>
      </c>
      <c r="BF151" s="2" t="str">
        <f>HYPERLINK("http://dx.doi.org/10.1038/s41598-022-23586-y","http://dx.doi.org/10.1038/s41598-022-23586-y")</f>
        <v>http://dx.doi.org/10.1038/s41598-022-23586-y</v>
      </c>
      <c r="BG151" s="1" t="s">
        <v>74</v>
      </c>
      <c r="BH151" s="1" t="s">
        <v>74</v>
      </c>
      <c r="BI151" s="1" t="s">
        <v>74</v>
      </c>
      <c r="BJ151" s="1" t="s">
        <v>74</v>
      </c>
      <c r="BK151" s="1" t="s">
        <v>74</v>
      </c>
      <c r="BL151" s="1" t="s">
        <v>74</v>
      </c>
      <c r="BM151" s="1" t="s">
        <v>74</v>
      </c>
      <c r="BN151" s="1">
        <v>3.6335253E7</v>
      </c>
      <c r="BO151" s="1" t="s">
        <v>74</v>
      </c>
      <c r="BP151" s="1" t="s">
        <v>74</v>
      </c>
      <c r="BQ151" s="1" t="s">
        <v>74</v>
      </c>
      <c r="BR151" s="1" t="s">
        <v>74</v>
      </c>
      <c r="BS151" s="1" t="s">
        <v>1669</v>
      </c>
      <c r="BT151" s="1" t="str">
        <f>HYPERLINK("https%3A%2F%2Fwww.webofscience.com%2Fwos%2Fwoscc%2Ffull-record%2FWOS:000879722100070","View Full Record in Web of Science")</f>
        <v>View Full Record in Web of Science</v>
      </c>
    </row>
    <row r="152" ht="12.75" customHeight="1">
      <c r="A152" s="1" t="s">
        <v>72</v>
      </c>
      <c r="B152" s="1" t="s">
        <v>1670</v>
      </c>
      <c r="C152" s="1" t="s">
        <v>74</v>
      </c>
      <c r="D152" s="1" t="s">
        <v>74</v>
      </c>
      <c r="E152" s="1" t="s">
        <v>74</v>
      </c>
      <c r="F152" s="1" t="s">
        <v>1671</v>
      </c>
      <c r="G152" s="1" t="s">
        <v>74</v>
      </c>
      <c r="H152" s="1" t="s">
        <v>74</v>
      </c>
      <c r="I152" s="1" t="s">
        <v>1672</v>
      </c>
      <c r="J152" s="1" t="s">
        <v>1673</v>
      </c>
      <c r="K152" s="1" t="s">
        <v>74</v>
      </c>
      <c r="L152" s="1" t="s">
        <v>74</v>
      </c>
      <c r="M152" s="1" t="s">
        <v>74</v>
      </c>
      <c r="N152" s="1" t="s">
        <v>74</v>
      </c>
      <c r="O152" s="1" t="s">
        <v>74</v>
      </c>
      <c r="P152" s="1" t="s">
        <v>74</v>
      </c>
      <c r="Q152" s="1" t="s">
        <v>74</v>
      </c>
      <c r="R152" s="1" t="s">
        <v>74</v>
      </c>
      <c r="S152" s="1" t="s">
        <v>74</v>
      </c>
      <c r="T152" s="1" t="s">
        <v>74</v>
      </c>
      <c r="U152" s="1" t="s">
        <v>74</v>
      </c>
      <c r="V152" s="1" t="s">
        <v>1674</v>
      </c>
      <c r="W152" s="1" t="s">
        <v>74</v>
      </c>
      <c r="X152" s="1" t="s">
        <v>74</v>
      </c>
      <c r="Y152" s="1" t="s">
        <v>74</v>
      </c>
      <c r="Z152" s="1" t="s">
        <v>74</v>
      </c>
      <c r="AA152" s="1" t="s">
        <v>1675</v>
      </c>
      <c r="AB152" s="1" t="s">
        <v>1676</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1677</v>
      </c>
      <c r="AP152" s="1" t="s">
        <v>1678</v>
      </c>
      <c r="AQ152" s="1" t="s">
        <v>74</v>
      </c>
      <c r="AR152" s="1" t="s">
        <v>74</v>
      </c>
      <c r="AS152" s="1" t="s">
        <v>74</v>
      </c>
      <c r="AT152" s="1" t="s">
        <v>1679</v>
      </c>
      <c r="AU152" s="1">
        <v>2022.0</v>
      </c>
      <c r="AV152" s="1">
        <v>41.0</v>
      </c>
      <c r="AW152" s="1">
        <v>2.0</v>
      </c>
      <c r="AX152" s="1" t="s">
        <v>74</v>
      </c>
      <c r="AY152" s="1" t="s">
        <v>74</v>
      </c>
      <c r="AZ152" s="1" t="s">
        <v>74</v>
      </c>
      <c r="BA152" s="1" t="s">
        <v>74</v>
      </c>
      <c r="BB152" s="1" t="s">
        <v>74</v>
      </c>
      <c r="BC152" s="1" t="s">
        <v>74</v>
      </c>
      <c r="BD152" s="1" t="s">
        <v>1680</v>
      </c>
      <c r="BE152" s="1" t="s">
        <v>1681</v>
      </c>
      <c r="BF152" s="2" t="str">
        <f>HYPERLINK("http://dx.doi.org/10.15252/embj.2020105531","http://dx.doi.org/10.15252/embj.2020105531")</f>
        <v>http://dx.doi.org/10.15252/embj.2020105531</v>
      </c>
      <c r="BG152" s="1" t="s">
        <v>74</v>
      </c>
      <c r="BH152" s="1" t="s">
        <v>1351</v>
      </c>
      <c r="BI152" s="1" t="s">
        <v>74</v>
      </c>
      <c r="BJ152" s="1" t="s">
        <v>74</v>
      </c>
      <c r="BK152" s="1" t="s">
        <v>74</v>
      </c>
      <c r="BL152" s="1" t="s">
        <v>74</v>
      </c>
      <c r="BM152" s="1" t="s">
        <v>74</v>
      </c>
      <c r="BN152" s="1">
        <v>3.4904718E7</v>
      </c>
      <c r="BO152" s="1" t="s">
        <v>74</v>
      </c>
      <c r="BP152" s="1" t="s">
        <v>74</v>
      </c>
      <c r="BQ152" s="1" t="s">
        <v>74</v>
      </c>
      <c r="BR152" s="1" t="s">
        <v>74</v>
      </c>
      <c r="BS152" s="1" t="s">
        <v>1682</v>
      </c>
      <c r="BT152" s="1" t="str">
        <f>HYPERLINK("https%3A%2F%2Fwww.webofscience.com%2Fwos%2Fwoscc%2Ffull-record%2FWOS:000729837800001","View Full Record in Web of Science")</f>
        <v>View Full Record in Web of Science</v>
      </c>
    </row>
    <row r="153" ht="12.75" customHeight="1">
      <c r="A153" s="1" t="s">
        <v>72</v>
      </c>
      <c r="B153" s="1" t="s">
        <v>1683</v>
      </c>
      <c r="C153" s="1" t="s">
        <v>74</v>
      </c>
      <c r="D153" s="1" t="s">
        <v>74</v>
      </c>
      <c r="E153" s="1" t="s">
        <v>74</v>
      </c>
      <c r="F153" s="1" t="s">
        <v>1684</v>
      </c>
      <c r="G153" s="1" t="s">
        <v>74</v>
      </c>
      <c r="H153" s="1" t="s">
        <v>324</v>
      </c>
      <c r="I153" s="1" t="s">
        <v>1685</v>
      </c>
      <c r="J153" s="1" t="s">
        <v>1686</v>
      </c>
      <c r="K153" s="1" t="s">
        <v>74</v>
      </c>
      <c r="L153" s="1" t="s">
        <v>74</v>
      </c>
      <c r="M153" s="1" t="s">
        <v>74</v>
      </c>
      <c r="N153" s="1" t="s">
        <v>74</v>
      </c>
      <c r="O153" s="1" t="s">
        <v>74</v>
      </c>
      <c r="P153" s="1" t="s">
        <v>74</v>
      </c>
      <c r="Q153" s="1" t="s">
        <v>74</v>
      </c>
      <c r="R153" s="1" t="s">
        <v>74</v>
      </c>
      <c r="S153" s="1" t="s">
        <v>74</v>
      </c>
      <c r="T153" s="1" t="s">
        <v>74</v>
      </c>
      <c r="U153" s="1" t="s">
        <v>74</v>
      </c>
      <c r="V153" s="1" t="s">
        <v>1687</v>
      </c>
      <c r="W153" s="1" t="s">
        <v>74</v>
      </c>
      <c r="X153" s="1" t="s">
        <v>74</v>
      </c>
      <c r="Y153" s="1" t="s">
        <v>74</v>
      </c>
      <c r="Z153" s="1" t="s">
        <v>74</v>
      </c>
      <c r="AA153" s="1" t="s">
        <v>1688</v>
      </c>
      <c r="AB153" s="1" t="s">
        <v>1689</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1690</v>
      </c>
      <c r="AP153" s="1" t="s">
        <v>1691</v>
      </c>
      <c r="AQ153" s="1" t="s">
        <v>74</v>
      </c>
      <c r="AR153" s="1" t="s">
        <v>74</v>
      </c>
      <c r="AS153" s="1" t="s">
        <v>74</v>
      </c>
      <c r="AT153" s="1" t="s">
        <v>130</v>
      </c>
      <c r="AU153" s="1">
        <v>2021.0</v>
      </c>
      <c r="AV153" s="1">
        <v>22.0</v>
      </c>
      <c r="AW153" s="1">
        <v>8.0</v>
      </c>
      <c r="AX153" s="1" t="s">
        <v>74</v>
      </c>
      <c r="AY153" s="1" t="s">
        <v>74</v>
      </c>
      <c r="AZ153" s="1" t="s">
        <v>74</v>
      </c>
      <c r="BA153" s="1" t="s">
        <v>74</v>
      </c>
      <c r="BB153" s="1">
        <v>1036.0</v>
      </c>
      <c r="BC153" s="1">
        <v>1047.0</v>
      </c>
      <c r="BD153" s="1" t="s">
        <v>74</v>
      </c>
      <c r="BE153" s="1" t="s">
        <v>1692</v>
      </c>
      <c r="BF153" s="2" t="str">
        <f>HYPERLINK("http://dx.doi.org/10.1007/s11121-021-01206-x","http://dx.doi.org/10.1007/s11121-021-01206-x")</f>
        <v>http://dx.doi.org/10.1007/s11121-021-01206-x</v>
      </c>
      <c r="BG153" s="1" t="s">
        <v>74</v>
      </c>
      <c r="BH153" s="1" t="s">
        <v>368</v>
      </c>
      <c r="BI153" s="1" t="s">
        <v>74</v>
      </c>
      <c r="BJ153" s="1" t="s">
        <v>74</v>
      </c>
      <c r="BK153" s="1" t="s">
        <v>74</v>
      </c>
      <c r="BL153" s="1" t="s">
        <v>74</v>
      </c>
      <c r="BM153" s="1" t="s">
        <v>74</v>
      </c>
      <c r="BN153" s="1">
        <v>3.3502675E7</v>
      </c>
      <c r="BO153" s="1" t="s">
        <v>74</v>
      </c>
      <c r="BP153" s="1" t="s">
        <v>74</v>
      </c>
      <c r="BQ153" s="1" t="s">
        <v>74</v>
      </c>
      <c r="BR153" s="1" t="s">
        <v>74</v>
      </c>
      <c r="BS153" s="1" t="s">
        <v>1693</v>
      </c>
      <c r="BT153" s="1" t="str">
        <f>HYPERLINK("https%3A%2F%2Fwww.webofscience.com%2Fwos%2Fwoscc%2Ffull-record%2FWOS:000612284700001","View Full Record in Web of Science")</f>
        <v>View Full Record in Web of Science</v>
      </c>
    </row>
    <row r="154" ht="12.75" customHeight="1">
      <c r="A154" s="1" t="s">
        <v>72</v>
      </c>
      <c r="B154" s="1" t="s">
        <v>1694</v>
      </c>
      <c r="C154" s="1" t="s">
        <v>74</v>
      </c>
      <c r="D154" s="1" t="s">
        <v>74</v>
      </c>
      <c r="E154" s="1" t="s">
        <v>74</v>
      </c>
      <c r="F154" s="1" t="s">
        <v>1695</v>
      </c>
      <c r="G154" s="1" t="s">
        <v>74</v>
      </c>
      <c r="H154" s="1" t="s">
        <v>74</v>
      </c>
      <c r="I154" s="1" t="s">
        <v>1696</v>
      </c>
      <c r="J154" s="1" t="s">
        <v>1697</v>
      </c>
      <c r="K154" s="1" t="s">
        <v>74</v>
      </c>
      <c r="L154" s="1" t="s">
        <v>74</v>
      </c>
      <c r="M154" s="1" t="s">
        <v>74</v>
      </c>
      <c r="N154" s="1" t="s">
        <v>74</v>
      </c>
      <c r="O154" s="1" t="s">
        <v>74</v>
      </c>
      <c r="P154" s="1" t="s">
        <v>74</v>
      </c>
      <c r="Q154" s="1" t="s">
        <v>74</v>
      </c>
      <c r="R154" s="1" t="s">
        <v>74</v>
      </c>
      <c r="S154" s="1" t="s">
        <v>74</v>
      </c>
      <c r="T154" s="1" t="s">
        <v>74</v>
      </c>
      <c r="U154" s="1" t="s">
        <v>74</v>
      </c>
      <c r="V154" s="1" t="s">
        <v>1698</v>
      </c>
      <c r="W154" s="1" t="s">
        <v>74</v>
      </c>
      <c r="X154" s="1" t="s">
        <v>74</v>
      </c>
      <c r="Y154" s="1" t="s">
        <v>74</v>
      </c>
      <c r="Z154" s="1" t="s">
        <v>74</v>
      </c>
      <c r="AA154" s="1" t="s">
        <v>1699</v>
      </c>
      <c r="AB154" s="1" t="s">
        <v>1700</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1701</v>
      </c>
      <c r="AP154" s="1" t="s">
        <v>1702</v>
      </c>
      <c r="AQ154" s="1" t="s">
        <v>74</v>
      </c>
      <c r="AR154" s="1" t="s">
        <v>74</v>
      </c>
      <c r="AS154" s="1" t="s">
        <v>74</v>
      </c>
      <c r="AT154" s="1" t="s">
        <v>757</v>
      </c>
      <c r="AU154" s="1">
        <v>2018.0</v>
      </c>
      <c r="AV154" s="1">
        <v>48.0</v>
      </c>
      <c r="AW154" s="1">
        <v>5.0</v>
      </c>
      <c r="AX154" s="1" t="s">
        <v>74</v>
      </c>
      <c r="AY154" s="1" t="s">
        <v>74</v>
      </c>
      <c r="AZ154" s="1" t="s">
        <v>74</v>
      </c>
      <c r="BA154" s="1" t="s">
        <v>74</v>
      </c>
      <c r="BB154" s="1">
        <v>1059.0</v>
      </c>
      <c r="BC154" s="1">
        <v>1081.0</v>
      </c>
      <c r="BD154" s="1" t="s">
        <v>74</v>
      </c>
      <c r="BE154" s="1" t="s">
        <v>1703</v>
      </c>
      <c r="BF154" s="2" t="str">
        <f>HYPERLINK("http://dx.doi.org/10.1007/s40279-018-0870-z","http://dx.doi.org/10.1007/s40279-018-0870-z")</f>
        <v>http://dx.doi.org/10.1007/s40279-018-0870-z</v>
      </c>
      <c r="BG154" s="1" t="s">
        <v>74</v>
      </c>
      <c r="BH154" s="1" t="s">
        <v>74</v>
      </c>
      <c r="BI154" s="1" t="s">
        <v>74</v>
      </c>
      <c r="BJ154" s="1" t="s">
        <v>74</v>
      </c>
      <c r="BK154" s="1" t="s">
        <v>74</v>
      </c>
      <c r="BL154" s="1" t="s">
        <v>74</v>
      </c>
      <c r="BM154" s="1" t="s">
        <v>74</v>
      </c>
      <c r="BN154" s="1">
        <v>2.9470823E7</v>
      </c>
      <c r="BO154" s="1" t="s">
        <v>74</v>
      </c>
      <c r="BP154" s="1" t="s">
        <v>74</v>
      </c>
      <c r="BQ154" s="1" t="s">
        <v>74</v>
      </c>
      <c r="BR154" s="1" t="s">
        <v>74</v>
      </c>
      <c r="BS154" s="1" t="s">
        <v>1704</v>
      </c>
      <c r="BT154" s="1" t="str">
        <f>HYPERLINK("https%3A%2F%2Fwww.webofscience.com%2Fwos%2Fwoscc%2Ffull-record%2FWOS:000438111000003","View Full Record in Web of Science")</f>
        <v>View Full Record in Web of Science</v>
      </c>
    </row>
    <row r="155" ht="12.75" customHeight="1">
      <c r="A155" s="1" t="s">
        <v>72</v>
      </c>
      <c r="B155" s="1" t="s">
        <v>1705</v>
      </c>
      <c r="C155" s="1" t="s">
        <v>74</v>
      </c>
      <c r="D155" s="1" t="s">
        <v>74</v>
      </c>
      <c r="E155" s="1" t="s">
        <v>74</v>
      </c>
      <c r="F155" s="1" t="s">
        <v>1706</v>
      </c>
      <c r="G155" s="1" t="s">
        <v>74</v>
      </c>
      <c r="H155" s="1" t="s">
        <v>74</v>
      </c>
      <c r="I155" s="1" t="s">
        <v>1707</v>
      </c>
      <c r="J155" s="1" t="s">
        <v>1708</v>
      </c>
      <c r="K155" s="1" t="s">
        <v>74</v>
      </c>
      <c r="L155" s="1" t="s">
        <v>74</v>
      </c>
      <c r="M155" s="1" t="s">
        <v>74</v>
      </c>
      <c r="N155" s="1" t="s">
        <v>74</v>
      </c>
      <c r="O155" s="1" t="s">
        <v>74</v>
      </c>
      <c r="P155" s="1" t="s">
        <v>74</v>
      </c>
      <c r="Q155" s="1" t="s">
        <v>74</v>
      </c>
      <c r="R155" s="1" t="s">
        <v>74</v>
      </c>
      <c r="S155" s="1" t="s">
        <v>74</v>
      </c>
      <c r="T155" s="1" t="s">
        <v>74</v>
      </c>
      <c r="U155" s="1" t="s">
        <v>74</v>
      </c>
      <c r="V155" s="1" t="s">
        <v>1709</v>
      </c>
      <c r="W155" s="1" t="s">
        <v>74</v>
      </c>
      <c r="X155" s="1" t="s">
        <v>74</v>
      </c>
      <c r="Y155" s="1" t="s">
        <v>74</v>
      </c>
      <c r="Z155" s="1" t="s">
        <v>74</v>
      </c>
      <c r="AA155" s="1" t="s">
        <v>1710</v>
      </c>
      <c r="AB155" s="1" t="s">
        <v>1711</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1712</v>
      </c>
      <c r="AP155" s="1" t="s">
        <v>1713</v>
      </c>
      <c r="AQ155" s="1" t="s">
        <v>74</v>
      </c>
      <c r="AR155" s="1" t="s">
        <v>74</v>
      </c>
      <c r="AS155" s="1" t="s">
        <v>74</v>
      </c>
      <c r="AT155" s="1" t="s">
        <v>188</v>
      </c>
      <c r="AU155" s="1">
        <v>2023.0</v>
      </c>
      <c r="AV155" s="1">
        <v>52.0</v>
      </c>
      <c r="AW155" s="1">
        <v>6.0</v>
      </c>
      <c r="AX155" s="1" t="s">
        <v>74</v>
      </c>
      <c r="AY155" s="1" t="s">
        <v>74</v>
      </c>
      <c r="AZ155" s="1" t="s">
        <v>74</v>
      </c>
      <c r="BA155" s="1" t="s">
        <v>74</v>
      </c>
      <c r="BB155" s="1">
        <v>2475.0</v>
      </c>
      <c r="BC155" s="1">
        <v>2490.0</v>
      </c>
      <c r="BD155" s="1" t="s">
        <v>74</v>
      </c>
      <c r="BE155" s="1" t="s">
        <v>1714</v>
      </c>
      <c r="BF155" s="2" t="str">
        <f>HYPERLINK("http://dx.doi.org/10.1007/s10508-023-02601-x","http://dx.doi.org/10.1007/s10508-023-02601-x")</f>
        <v>http://dx.doi.org/10.1007/s10508-023-02601-x</v>
      </c>
      <c r="BG155" s="1" t="s">
        <v>74</v>
      </c>
      <c r="BH155" s="1" t="s">
        <v>1195</v>
      </c>
      <c r="BI155" s="1" t="s">
        <v>74</v>
      </c>
      <c r="BJ155" s="1" t="s">
        <v>74</v>
      </c>
      <c r="BK155" s="1" t="s">
        <v>74</v>
      </c>
      <c r="BL155" s="1" t="s">
        <v>74</v>
      </c>
      <c r="BM155" s="1" t="s">
        <v>74</v>
      </c>
      <c r="BN155" s="1">
        <v>3.7154879E7</v>
      </c>
      <c r="BO155" s="1" t="s">
        <v>74</v>
      </c>
      <c r="BP155" s="1" t="s">
        <v>74</v>
      </c>
      <c r="BQ155" s="1" t="s">
        <v>74</v>
      </c>
      <c r="BR155" s="1" t="s">
        <v>74</v>
      </c>
      <c r="BS155" s="1" t="s">
        <v>1715</v>
      </c>
      <c r="BT155" s="1" t="str">
        <f>HYPERLINK("https%3A%2F%2Fwww.webofscience.com%2Fwos%2Fwoscc%2Ffull-record%2FWOS:000984617900001","View Full Record in Web of Science")</f>
        <v>View Full Record in Web of Science</v>
      </c>
    </row>
    <row r="156" ht="12.75" customHeight="1">
      <c r="A156" s="1" t="s">
        <v>72</v>
      </c>
      <c r="B156" s="1" t="s">
        <v>1716</v>
      </c>
      <c r="C156" s="1" t="s">
        <v>74</v>
      </c>
      <c r="D156" s="1" t="s">
        <v>74</v>
      </c>
      <c r="E156" s="1" t="s">
        <v>74</v>
      </c>
      <c r="F156" s="1" t="s">
        <v>1717</v>
      </c>
      <c r="G156" s="1" t="s">
        <v>74</v>
      </c>
      <c r="H156" s="1" t="s">
        <v>74</v>
      </c>
      <c r="I156" s="1" t="s">
        <v>1718</v>
      </c>
      <c r="J156" s="1" t="s">
        <v>1719</v>
      </c>
      <c r="K156" s="1" t="s">
        <v>74</v>
      </c>
      <c r="L156" s="1" t="s">
        <v>74</v>
      </c>
      <c r="M156" s="1" t="s">
        <v>74</v>
      </c>
      <c r="N156" s="1" t="s">
        <v>74</v>
      </c>
      <c r="O156" s="1" t="s">
        <v>74</v>
      </c>
      <c r="P156" s="1" t="s">
        <v>74</v>
      </c>
      <c r="Q156" s="1" t="s">
        <v>74</v>
      </c>
      <c r="R156" s="1" t="s">
        <v>74</v>
      </c>
      <c r="S156" s="1" t="s">
        <v>74</v>
      </c>
      <c r="T156" s="1" t="s">
        <v>74</v>
      </c>
      <c r="U156" s="1" t="s">
        <v>74</v>
      </c>
      <c r="V156" s="1" t="s">
        <v>1720</v>
      </c>
      <c r="W156" s="1" t="s">
        <v>74</v>
      </c>
      <c r="X156" s="1" t="s">
        <v>74</v>
      </c>
      <c r="Y156" s="1" t="s">
        <v>74</v>
      </c>
      <c r="Z156" s="1" t="s">
        <v>74</v>
      </c>
      <c r="AA156" s="1" t="s">
        <v>1721</v>
      </c>
      <c r="AB156" s="1" t="s">
        <v>1722</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1723</v>
      </c>
      <c r="AP156" s="1" t="s">
        <v>1724</v>
      </c>
      <c r="AQ156" s="1" t="s">
        <v>74</v>
      </c>
      <c r="AR156" s="1" t="s">
        <v>74</v>
      </c>
      <c r="AS156" s="1" t="s">
        <v>74</v>
      </c>
      <c r="AT156" s="1" t="s">
        <v>200</v>
      </c>
      <c r="AU156" s="1">
        <v>2020.0</v>
      </c>
      <c r="AV156" s="1">
        <v>101.0</v>
      </c>
      <c r="AW156" s="1">
        <v>7.0</v>
      </c>
      <c r="AX156" s="1" t="s">
        <v>74</v>
      </c>
      <c r="AY156" s="1" t="s">
        <v>74</v>
      </c>
      <c r="AZ156" s="1" t="s">
        <v>74</v>
      </c>
      <c r="BA156" s="1" t="s">
        <v>74</v>
      </c>
      <c r="BB156" s="1" t="s">
        <v>1725</v>
      </c>
      <c r="BC156" s="1" t="s">
        <v>1726</v>
      </c>
      <c r="BD156" s="1" t="s">
        <v>74</v>
      </c>
      <c r="BE156" s="1" t="s">
        <v>1727</v>
      </c>
      <c r="BF156" s="2" t="str">
        <f>HYPERLINK("http://dx.doi.org/10.1175/BAMS-D-18-0278.1","http://dx.doi.org/10.1175/BAMS-D-18-0278.1")</f>
        <v>http://dx.doi.org/10.1175/BAMS-D-18-0278.1</v>
      </c>
      <c r="BG156" s="1" t="s">
        <v>74</v>
      </c>
      <c r="BH156" s="1" t="s">
        <v>74</v>
      </c>
      <c r="BI156" s="1" t="s">
        <v>74</v>
      </c>
      <c r="BJ156" s="1" t="s">
        <v>74</v>
      </c>
      <c r="BK156" s="1" t="s">
        <v>74</v>
      </c>
      <c r="BL156" s="1" t="s">
        <v>74</v>
      </c>
      <c r="BM156" s="1" t="s">
        <v>74</v>
      </c>
      <c r="BN156" s="1" t="s">
        <v>74</v>
      </c>
      <c r="BO156" s="1" t="s">
        <v>74</v>
      </c>
      <c r="BP156" s="1" t="s">
        <v>74</v>
      </c>
      <c r="BQ156" s="1" t="s">
        <v>74</v>
      </c>
      <c r="BR156" s="1" t="s">
        <v>74</v>
      </c>
      <c r="BS156" s="1" t="s">
        <v>1728</v>
      </c>
      <c r="BT156" s="1" t="str">
        <f>HYPERLINK("https%3A%2F%2Fwww.webofscience.com%2Fwos%2Fwoscc%2Ffull-record%2FWOS:000588379300008","View Full Record in Web of Science")</f>
        <v>View Full Record in Web of Science</v>
      </c>
    </row>
    <row r="157" ht="12.75" customHeight="1">
      <c r="A157" s="1" t="s">
        <v>72</v>
      </c>
      <c r="B157" s="1" t="s">
        <v>1729</v>
      </c>
      <c r="C157" s="1" t="s">
        <v>74</v>
      </c>
      <c r="D157" s="1" t="s">
        <v>74</v>
      </c>
      <c r="E157" s="1" t="s">
        <v>74</v>
      </c>
      <c r="F157" s="1" t="s">
        <v>1730</v>
      </c>
      <c r="G157" s="1" t="s">
        <v>74</v>
      </c>
      <c r="H157" s="1" t="s">
        <v>74</v>
      </c>
      <c r="I157" s="1" t="s">
        <v>1731</v>
      </c>
      <c r="J157" s="1" t="s">
        <v>1732</v>
      </c>
      <c r="K157" s="1" t="s">
        <v>74</v>
      </c>
      <c r="L157" s="1" t="s">
        <v>74</v>
      </c>
      <c r="M157" s="1" t="s">
        <v>74</v>
      </c>
      <c r="N157" s="1" t="s">
        <v>74</v>
      </c>
      <c r="O157" s="1" t="s">
        <v>74</v>
      </c>
      <c r="P157" s="1" t="s">
        <v>74</v>
      </c>
      <c r="Q157" s="1" t="s">
        <v>74</v>
      </c>
      <c r="R157" s="1" t="s">
        <v>74</v>
      </c>
      <c r="S157" s="1" t="s">
        <v>74</v>
      </c>
      <c r="T157" s="1" t="s">
        <v>74</v>
      </c>
      <c r="U157" s="1" t="s">
        <v>74</v>
      </c>
      <c r="V157" s="1" t="s">
        <v>1733</v>
      </c>
      <c r="W157" s="1" t="s">
        <v>74</v>
      </c>
      <c r="X157" s="1" t="s">
        <v>74</v>
      </c>
      <c r="Y157" s="1" t="s">
        <v>74</v>
      </c>
      <c r="Z157" s="1" t="s">
        <v>74</v>
      </c>
      <c r="AA157" s="1" t="s">
        <v>1734</v>
      </c>
      <c r="AB157" s="1" t="s">
        <v>1735</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74</v>
      </c>
      <c r="AP157" s="1" t="s">
        <v>1736</v>
      </c>
      <c r="AQ157" s="1" t="s">
        <v>74</v>
      </c>
      <c r="AR157" s="1" t="s">
        <v>74</v>
      </c>
      <c r="AS157" s="1" t="s">
        <v>74</v>
      </c>
      <c r="AT157" s="1" t="s">
        <v>1737</v>
      </c>
      <c r="AU157" s="1">
        <v>2022.0</v>
      </c>
      <c r="AV157" s="1">
        <v>10.0</v>
      </c>
      <c r="AW157" s="1" t="s">
        <v>74</v>
      </c>
      <c r="AX157" s="1" t="s">
        <v>74</v>
      </c>
      <c r="AY157" s="1" t="s">
        <v>74</v>
      </c>
      <c r="AZ157" s="1" t="s">
        <v>74</v>
      </c>
      <c r="BA157" s="1" t="s">
        <v>74</v>
      </c>
      <c r="BB157" s="1" t="s">
        <v>74</v>
      </c>
      <c r="BC157" s="1" t="s">
        <v>74</v>
      </c>
      <c r="BD157" s="1">
        <v>897267.0</v>
      </c>
      <c r="BE157" s="1" t="s">
        <v>1738</v>
      </c>
      <c r="BF157" s="2" t="str">
        <f>HYPERLINK("http://dx.doi.org/10.3389/feart.2022.897267","http://dx.doi.org/10.3389/feart.2022.897267")</f>
        <v>http://dx.doi.org/10.3389/feart.2022.897267</v>
      </c>
      <c r="BG157" s="1" t="s">
        <v>74</v>
      </c>
      <c r="BH157" s="1" t="s">
        <v>74</v>
      </c>
      <c r="BI157" s="1" t="s">
        <v>74</v>
      </c>
      <c r="BJ157" s="1" t="s">
        <v>74</v>
      </c>
      <c r="BK157" s="1" t="s">
        <v>74</v>
      </c>
      <c r="BL157" s="1" t="s">
        <v>74</v>
      </c>
      <c r="BM157" s="1" t="s">
        <v>74</v>
      </c>
      <c r="BN157" s="1" t="s">
        <v>74</v>
      </c>
      <c r="BO157" s="1" t="s">
        <v>74</v>
      </c>
      <c r="BP157" s="1" t="s">
        <v>74</v>
      </c>
      <c r="BQ157" s="1" t="s">
        <v>74</v>
      </c>
      <c r="BR157" s="1" t="s">
        <v>74</v>
      </c>
      <c r="BS157" s="1" t="s">
        <v>1739</v>
      </c>
      <c r="BT157" s="1" t="str">
        <f>HYPERLINK("https%3A%2F%2Fwww.webofscience.com%2Fwos%2Fwoscc%2Ffull-record%2FWOS:000819250000001","View Full Record in Web of Science")</f>
        <v>View Full Record in Web of Science</v>
      </c>
    </row>
    <row r="158" ht="12.75" customHeight="1">
      <c r="A158" s="1" t="s">
        <v>72</v>
      </c>
      <c r="B158" s="1" t="s">
        <v>1740</v>
      </c>
      <c r="C158" s="1" t="s">
        <v>74</v>
      </c>
      <c r="D158" s="1" t="s">
        <v>74</v>
      </c>
      <c r="E158" s="1" t="s">
        <v>74</v>
      </c>
      <c r="F158" s="1" t="s">
        <v>1741</v>
      </c>
      <c r="G158" s="1" t="s">
        <v>74</v>
      </c>
      <c r="H158" s="1" t="s">
        <v>74</v>
      </c>
      <c r="I158" s="1" t="s">
        <v>1742</v>
      </c>
      <c r="J158" s="1" t="s">
        <v>1743</v>
      </c>
      <c r="K158" s="1" t="s">
        <v>74</v>
      </c>
      <c r="L158" s="1" t="s">
        <v>74</v>
      </c>
      <c r="M158" s="1" t="s">
        <v>74</v>
      </c>
      <c r="N158" s="1" t="s">
        <v>74</v>
      </c>
      <c r="O158" s="1" t="s">
        <v>74</v>
      </c>
      <c r="P158" s="1" t="s">
        <v>74</v>
      </c>
      <c r="Q158" s="1" t="s">
        <v>74</v>
      </c>
      <c r="R158" s="1" t="s">
        <v>74</v>
      </c>
      <c r="S158" s="1" t="s">
        <v>74</v>
      </c>
      <c r="T158" s="1" t="s">
        <v>74</v>
      </c>
      <c r="U158" s="1" t="s">
        <v>74</v>
      </c>
      <c r="V158" s="1" t="s">
        <v>1744</v>
      </c>
      <c r="W158" s="1" t="s">
        <v>74</v>
      </c>
      <c r="X158" s="1" t="s">
        <v>74</v>
      </c>
      <c r="Y158" s="1" t="s">
        <v>74</v>
      </c>
      <c r="Z158" s="1" t="s">
        <v>74</v>
      </c>
      <c r="AA158" s="1" t="s">
        <v>1745</v>
      </c>
      <c r="AB158" s="1" t="s">
        <v>1746</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1747</v>
      </c>
      <c r="AP158" s="1" t="s">
        <v>74</v>
      </c>
      <c r="AQ158" s="1" t="s">
        <v>74</v>
      </c>
      <c r="AR158" s="1" t="s">
        <v>74</v>
      </c>
      <c r="AS158" s="1" t="s">
        <v>74</v>
      </c>
      <c r="AT158" s="1" t="s">
        <v>1748</v>
      </c>
      <c r="AU158" s="1">
        <v>2022.0</v>
      </c>
      <c r="AV158" s="1">
        <v>13.0</v>
      </c>
      <c r="AW158" s="1" t="s">
        <v>74</v>
      </c>
      <c r="AX158" s="1" t="s">
        <v>74</v>
      </c>
      <c r="AY158" s="1" t="s">
        <v>74</v>
      </c>
      <c r="AZ158" s="1" t="s">
        <v>74</v>
      </c>
      <c r="BA158" s="1" t="s">
        <v>74</v>
      </c>
      <c r="BB158" s="1" t="s">
        <v>74</v>
      </c>
      <c r="BC158" s="1" t="s">
        <v>74</v>
      </c>
      <c r="BD158" s="1">
        <v>1004082.0</v>
      </c>
      <c r="BE158" s="1" t="s">
        <v>1749</v>
      </c>
      <c r="BF158" s="2" t="str">
        <f>HYPERLINK("http://dx.doi.org/10.3389/fpsyg.2022.1004082","http://dx.doi.org/10.3389/fpsyg.2022.1004082")</f>
        <v>http://dx.doi.org/10.3389/fpsyg.2022.1004082</v>
      </c>
      <c r="BG158" s="1" t="s">
        <v>74</v>
      </c>
      <c r="BH158" s="1" t="s">
        <v>74</v>
      </c>
      <c r="BI158" s="1" t="s">
        <v>74</v>
      </c>
      <c r="BJ158" s="1" t="s">
        <v>74</v>
      </c>
      <c r="BK158" s="1" t="s">
        <v>74</v>
      </c>
      <c r="BL158" s="1" t="s">
        <v>74</v>
      </c>
      <c r="BM158" s="1" t="s">
        <v>74</v>
      </c>
      <c r="BN158" s="1">
        <v>3.6507001E7</v>
      </c>
      <c r="BO158" s="1" t="s">
        <v>74</v>
      </c>
      <c r="BP158" s="1" t="s">
        <v>74</v>
      </c>
      <c r="BQ158" s="1" t="s">
        <v>74</v>
      </c>
      <c r="BR158" s="1" t="s">
        <v>74</v>
      </c>
      <c r="BS158" s="1" t="s">
        <v>1750</v>
      </c>
      <c r="BT158" s="1" t="str">
        <f>HYPERLINK("https%3A%2F%2Fwww.webofscience.com%2Fwos%2Fwoscc%2Ffull-record%2FWOS:000893770900001","View Full Record in Web of Science")</f>
        <v>View Full Record in Web of Science</v>
      </c>
    </row>
    <row r="159" ht="12.75" customHeight="1">
      <c r="A159" s="1" t="s">
        <v>1751</v>
      </c>
      <c r="B159" s="1" t="s">
        <v>1752</v>
      </c>
      <c r="C159" s="1" t="s">
        <v>74</v>
      </c>
      <c r="D159" s="1" t="s">
        <v>74</v>
      </c>
      <c r="E159" s="1" t="s">
        <v>1753</v>
      </c>
      <c r="F159" s="1" t="s">
        <v>1754</v>
      </c>
      <c r="G159" s="1" t="s">
        <v>74</v>
      </c>
      <c r="H159" s="1" t="s">
        <v>74</v>
      </c>
      <c r="I159" s="1" t="s">
        <v>1755</v>
      </c>
      <c r="J159" s="1" t="s">
        <v>1756</v>
      </c>
      <c r="K159" s="1" t="s">
        <v>74</v>
      </c>
      <c r="L159" s="1" t="s">
        <v>74</v>
      </c>
      <c r="M159" s="1" t="s">
        <v>74</v>
      </c>
      <c r="N159" s="1" t="s">
        <v>74</v>
      </c>
      <c r="O159" s="1" t="s">
        <v>1757</v>
      </c>
      <c r="P159" s="1" t="s">
        <v>1758</v>
      </c>
      <c r="Q159" s="1" t="s">
        <v>1759</v>
      </c>
      <c r="R159" s="1" t="s">
        <v>74</v>
      </c>
      <c r="S159" s="1" t="s">
        <v>74</v>
      </c>
      <c r="T159" s="1" t="s">
        <v>74</v>
      </c>
      <c r="U159" s="1" t="s">
        <v>74</v>
      </c>
      <c r="V159" s="1" t="s">
        <v>1760</v>
      </c>
      <c r="W159" s="1" t="s">
        <v>74</v>
      </c>
      <c r="X159" s="1" t="s">
        <v>74</v>
      </c>
      <c r="Y159" s="1" t="s">
        <v>74</v>
      </c>
      <c r="Z159" s="1" t="s">
        <v>74</v>
      </c>
      <c r="AA159" s="1" t="s">
        <v>1761</v>
      </c>
      <c r="AB159" s="1" t="s">
        <v>1762</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74</v>
      </c>
      <c r="AP159" s="1" t="s">
        <v>74</v>
      </c>
      <c r="AQ159" s="1" t="s">
        <v>1763</v>
      </c>
      <c r="AR159" s="1" t="s">
        <v>74</v>
      </c>
      <c r="AS159" s="1" t="s">
        <v>74</v>
      </c>
      <c r="AT159" s="1" t="s">
        <v>74</v>
      </c>
      <c r="AU159" s="1">
        <v>2009.0</v>
      </c>
      <c r="AV159" s="1" t="s">
        <v>74</v>
      </c>
      <c r="AW159" s="1" t="s">
        <v>74</v>
      </c>
      <c r="AX159" s="1" t="s">
        <v>74</v>
      </c>
      <c r="AY159" s="1" t="s">
        <v>74</v>
      </c>
      <c r="AZ159" s="1" t="s">
        <v>74</v>
      </c>
      <c r="BA159" s="1" t="s">
        <v>74</v>
      </c>
      <c r="BB159" s="1">
        <v>1029.0</v>
      </c>
      <c r="BC159" s="1">
        <v>1029.0</v>
      </c>
      <c r="BD159" s="1" t="s">
        <v>74</v>
      </c>
      <c r="BE159" s="1" t="s">
        <v>74</v>
      </c>
      <c r="BF159" s="1" t="s">
        <v>74</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1764</v>
      </c>
      <c r="BT159" s="1" t="str">
        <f>HYPERLINK("https%3A%2F%2Fwww.webofscience.com%2Fwos%2Fwoscc%2Ffull-record%2FWOS:000278037600266","View Full Record in Web of Science")</f>
        <v>View Full Record in Web of Science</v>
      </c>
    </row>
    <row r="160" ht="12.75" customHeight="1">
      <c r="A160" s="1" t="s">
        <v>72</v>
      </c>
      <c r="B160" s="1" t="s">
        <v>1765</v>
      </c>
      <c r="C160" s="1" t="s">
        <v>74</v>
      </c>
      <c r="D160" s="1" t="s">
        <v>74</v>
      </c>
      <c r="E160" s="1" t="s">
        <v>74</v>
      </c>
      <c r="F160" s="1" t="s">
        <v>1766</v>
      </c>
      <c r="G160" s="1" t="s">
        <v>74</v>
      </c>
      <c r="H160" s="1" t="s">
        <v>74</v>
      </c>
      <c r="I160" s="1" t="s">
        <v>1767</v>
      </c>
      <c r="J160" s="1" t="s">
        <v>1768</v>
      </c>
      <c r="K160" s="1" t="s">
        <v>74</v>
      </c>
      <c r="L160" s="1" t="s">
        <v>74</v>
      </c>
      <c r="M160" s="1" t="s">
        <v>74</v>
      </c>
      <c r="N160" s="1" t="s">
        <v>74</v>
      </c>
      <c r="O160" s="1" t="s">
        <v>74</v>
      </c>
      <c r="P160" s="1" t="s">
        <v>74</v>
      </c>
      <c r="Q160" s="1" t="s">
        <v>74</v>
      </c>
      <c r="R160" s="1" t="s">
        <v>74</v>
      </c>
      <c r="S160" s="1" t="s">
        <v>74</v>
      </c>
      <c r="T160" s="1" t="s">
        <v>74</v>
      </c>
      <c r="U160" s="1" t="s">
        <v>74</v>
      </c>
      <c r="V160" s="1" t="s">
        <v>1769</v>
      </c>
      <c r="W160" s="1" t="s">
        <v>74</v>
      </c>
      <c r="X160" s="1" t="s">
        <v>74</v>
      </c>
      <c r="Y160" s="1" t="s">
        <v>74</v>
      </c>
      <c r="Z160" s="1" t="s">
        <v>74</v>
      </c>
      <c r="AA160" s="1" t="s">
        <v>1770</v>
      </c>
      <c r="AB160" s="1" t="s">
        <v>1771</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1772</v>
      </c>
      <c r="AP160" s="1" t="s">
        <v>74</v>
      </c>
      <c r="AQ160" s="1" t="s">
        <v>74</v>
      </c>
      <c r="AR160" s="1" t="s">
        <v>74</v>
      </c>
      <c r="AS160" s="1" t="s">
        <v>74</v>
      </c>
      <c r="AT160" s="1" t="s">
        <v>1773</v>
      </c>
      <c r="AU160" s="1">
        <v>2022.0</v>
      </c>
      <c r="AV160" s="1">
        <v>10.0</v>
      </c>
      <c r="AW160" s="1" t="s">
        <v>74</v>
      </c>
      <c r="AX160" s="1" t="s">
        <v>74</v>
      </c>
      <c r="AY160" s="1" t="s">
        <v>74</v>
      </c>
      <c r="AZ160" s="1" t="s">
        <v>74</v>
      </c>
      <c r="BA160" s="1" t="s">
        <v>74</v>
      </c>
      <c r="BB160" s="1" t="s">
        <v>74</v>
      </c>
      <c r="BC160" s="1" t="s">
        <v>74</v>
      </c>
      <c r="BD160" s="1" t="s">
        <v>1774</v>
      </c>
      <c r="BE160" s="1" t="s">
        <v>1775</v>
      </c>
      <c r="BF160" s="2" t="str">
        <f>HYPERLINK("http://dx.doi.org/10.7717/peerj.14496","http://dx.doi.org/10.7717/peerj.14496")</f>
        <v>http://dx.doi.org/10.7717/peerj.14496</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1776</v>
      </c>
      <c r="BT160" s="1" t="str">
        <f>HYPERLINK("https%3A%2F%2Fwww.webofscience.com%2Fwos%2Fwoscc%2Ffull-record%2FWOS:000965028600004","View Full Record in Web of Science")</f>
        <v>View Full Record in Web of Science</v>
      </c>
    </row>
    <row r="161" ht="12.75" customHeight="1">
      <c r="A161" s="1" t="s">
        <v>72</v>
      </c>
      <c r="B161" s="1" t="s">
        <v>1777</v>
      </c>
      <c r="C161" s="1" t="s">
        <v>74</v>
      </c>
      <c r="D161" s="1" t="s">
        <v>74</v>
      </c>
      <c r="E161" s="1" t="s">
        <v>74</v>
      </c>
      <c r="F161" s="1" t="s">
        <v>1778</v>
      </c>
      <c r="G161" s="1" t="s">
        <v>74</v>
      </c>
      <c r="H161" s="1" t="s">
        <v>74</v>
      </c>
      <c r="I161" s="1" t="s">
        <v>1779</v>
      </c>
      <c r="J161" s="1" t="s">
        <v>945</v>
      </c>
      <c r="K161" s="1" t="s">
        <v>74</v>
      </c>
      <c r="L161" s="1" t="s">
        <v>74</v>
      </c>
      <c r="M161" s="1" t="s">
        <v>74</v>
      </c>
      <c r="N161" s="1" t="s">
        <v>74</v>
      </c>
      <c r="O161" s="1" t="s">
        <v>74</v>
      </c>
      <c r="P161" s="1" t="s">
        <v>74</v>
      </c>
      <c r="Q161" s="1" t="s">
        <v>74</v>
      </c>
      <c r="R161" s="1" t="s">
        <v>74</v>
      </c>
      <c r="S161" s="1" t="s">
        <v>74</v>
      </c>
      <c r="T161" s="1" t="s">
        <v>74</v>
      </c>
      <c r="U161" s="1" t="s">
        <v>74</v>
      </c>
      <c r="V161" s="1" t="s">
        <v>1780</v>
      </c>
      <c r="W161" s="1" t="s">
        <v>74</v>
      </c>
      <c r="X161" s="1" t="s">
        <v>74</v>
      </c>
      <c r="Y161" s="1" t="s">
        <v>74</v>
      </c>
      <c r="Z161" s="1" t="s">
        <v>74</v>
      </c>
      <c r="AA161" s="1" t="s">
        <v>1781</v>
      </c>
      <c r="AB161" s="1" t="s">
        <v>1782</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949</v>
      </c>
      <c r="AP161" s="1" t="s">
        <v>74</v>
      </c>
      <c r="AQ161" s="1" t="s">
        <v>74</v>
      </c>
      <c r="AR161" s="1" t="s">
        <v>74</v>
      </c>
      <c r="AS161" s="1" t="s">
        <v>74</v>
      </c>
      <c r="AT161" s="1" t="s">
        <v>1783</v>
      </c>
      <c r="AU161" s="1">
        <v>2021.0</v>
      </c>
      <c r="AV161" s="1">
        <v>8.0</v>
      </c>
      <c r="AW161" s="1" t="s">
        <v>74</v>
      </c>
      <c r="AX161" s="1" t="s">
        <v>74</v>
      </c>
      <c r="AY161" s="1" t="s">
        <v>74</v>
      </c>
      <c r="AZ161" s="1" t="s">
        <v>74</v>
      </c>
      <c r="BA161" s="1" t="s">
        <v>74</v>
      </c>
      <c r="BB161" s="1" t="s">
        <v>74</v>
      </c>
      <c r="BC161" s="1" t="s">
        <v>74</v>
      </c>
      <c r="BD161" s="1">
        <v>629440.0</v>
      </c>
      <c r="BE161" s="1" t="s">
        <v>1784</v>
      </c>
      <c r="BF161" s="2" t="str">
        <f>HYPERLINK("http://dx.doi.org/10.3389/fnut.2021.629440","http://dx.doi.org/10.3389/fnut.2021.629440")</f>
        <v>http://dx.doi.org/10.3389/fnut.2021.629440</v>
      </c>
      <c r="BG161" s="1" t="s">
        <v>74</v>
      </c>
      <c r="BH161" s="1" t="s">
        <v>74</v>
      </c>
      <c r="BI161" s="1" t="s">
        <v>74</v>
      </c>
      <c r="BJ161" s="1" t="s">
        <v>74</v>
      </c>
      <c r="BK161" s="1" t="s">
        <v>74</v>
      </c>
      <c r="BL161" s="1" t="s">
        <v>74</v>
      </c>
      <c r="BM161" s="1" t="s">
        <v>74</v>
      </c>
      <c r="BN161" s="1">
        <v>3.4322507E7</v>
      </c>
      <c r="BO161" s="1" t="s">
        <v>74</v>
      </c>
      <c r="BP161" s="1" t="s">
        <v>74</v>
      </c>
      <c r="BQ161" s="1" t="s">
        <v>74</v>
      </c>
      <c r="BR161" s="1" t="s">
        <v>74</v>
      </c>
      <c r="BS161" s="1" t="s">
        <v>1785</v>
      </c>
      <c r="BT161" s="1" t="str">
        <f>HYPERLINK("https%3A%2F%2Fwww.webofscience.com%2Fwos%2Fwoscc%2Ffull-record%2FWOS:000677473900001","View Full Record in Web of Science")</f>
        <v>View Full Record in Web of Science</v>
      </c>
    </row>
    <row r="162" ht="12.75" customHeight="1">
      <c r="A162" s="1" t="s">
        <v>72</v>
      </c>
      <c r="B162" s="1" t="s">
        <v>1786</v>
      </c>
      <c r="C162" s="1" t="s">
        <v>74</v>
      </c>
      <c r="D162" s="1" t="s">
        <v>74</v>
      </c>
      <c r="E162" s="1" t="s">
        <v>74</v>
      </c>
      <c r="F162" s="1" t="s">
        <v>1787</v>
      </c>
      <c r="G162" s="1" t="s">
        <v>74</v>
      </c>
      <c r="H162" s="1" t="s">
        <v>74</v>
      </c>
      <c r="I162" s="1" t="s">
        <v>1788</v>
      </c>
      <c r="J162" s="1" t="s">
        <v>596</v>
      </c>
      <c r="K162" s="1" t="s">
        <v>74</v>
      </c>
      <c r="L162" s="1" t="s">
        <v>74</v>
      </c>
      <c r="M162" s="1" t="s">
        <v>74</v>
      </c>
      <c r="N162" s="1" t="s">
        <v>74</v>
      </c>
      <c r="O162" s="1" t="s">
        <v>74</v>
      </c>
      <c r="P162" s="1" t="s">
        <v>74</v>
      </c>
      <c r="Q162" s="1" t="s">
        <v>74</v>
      </c>
      <c r="R162" s="1" t="s">
        <v>74</v>
      </c>
      <c r="S162" s="1" t="s">
        <v>74</v>
      </c>
      <c r="T162" s="1" t="s">
        <v>74</v>
      </c>
      <c r="U162" s="1" t="s">
        <v>74</v>
      </c>
      <c r="V162" s="1" t="s">
        <v>1789</v>
      </c>
      <c r="W162" s="1" t="s">
        <v>74</v>
      </c>
      <c r="X162" s="1" t="s">
        <v>74</v>
      </c>
      <c r="Y162" s="1" t="s">
        <v>74</v>
      </c>
      <c r="Z162" s="1" t="s">
        <v>74</v>
      </c>
      <c r="AA162" s="1" t="s">
        <v>1790</v>
      </c>
      <c r="AB162" s="1" t="s">
        <v>1791</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600</v>
      </c>
      <c r="AP162" s="1" t="s">
        <v>601</v>
      </c>
      <c r="AQ162" s="1" t="s">
        <v>74</v>
      </c>
      <c r="AR162" s="1" t="s">
        <v>74</v>
      </c>
      <c r="AS162" s="1" t="s">
        <v>74</v>
      </c>
      <c r="AT162" s="1" t="s">
        <v>1792</v>
      </c>
      <c r="AU162" s="1">
        <v>2019.0</v>
      </c>
      <c r="AV162" s="1">
        <v>884.0</v>
      </c>
      <c r="AW162" s="1">
        <v>1.0</v>
      </c>
      <c r="AX162" s="1" t="s">
        <v>74</v>
      </c>
      <c r="AY162" s="1" t="s">
        <v>74</v>
      </c>
      <c r="AZ162" s="1" t="s">
        <v>74</v>
      </c>
      <c r="BA162" s="1" t="s">
        <v>74</v>
      </c>
      <c r="BB162" s="1" t="s">
        <v>74</v>
      </c>
      <c r="BC162" s="1" t="s">
        <v>74</v>
      </c>
      <c r="BD162" s="1">
        <v>97.0</v>
      </c>
      <c r="BE162" s="1" t="s">
        <v>1793</v>
      </c>
      <c r="BF162" s="2" t="str">
        <f>HYPERLINK("http://dx.doi.org/10.3847/1538-4357/ab391c","http://dx.doi.org/10.3847/1538-4357/ab391c")</f>
        <v>http://dx.doi.org/10.3847/1538-4357/ab391c</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1794</v>
      </c>
      <c r="BT162" s="1" t="str">
        <f>HYPERLINK("https%3A%2F%2Fwww.webofscience.com%2Fwos%2Fwoscc%2Ffull-record%2FWOS:000501733600022","View Full Record in Web of Science")</f>
        <v>View Full Record in Web of Science</v>
      </c>
    </row>
    <row r="163" ht="12.75" customHeight="1">
      <c r="A163" s="1" t="s">
        <v>72</v>
      </c>
      <c r="B163" s="1" t="s">
        <v>1795</v>
      </c>
      <c r="C163" s="1" t="s">
        <v>74</v>
      </c>
      <c r="D163" s="1" t="s">
        <v>74</v>
      </c>
      <c r="E163" s="1" t="s">
        <v>74</v>
      </c>
      <c r="F163" s="1" t="s">
        <v>1796</v>
      </c>
      <c r="G163" s="1" t="s">
        <v>74</v>
      </c>
      <c r="H163" s="1" t="s">
        <v>74</v>
      </c>
      <c r="I163" s="1" t="s">
        <v>1797</v>
      </c>
      <c r="J163" s="1" t="s">
        <v>1798</v>
      </c>
      <c r="K163" s="1" t="s">
        <v>74</v>
      </c>
      <c r="L163" s="1" t="s">
        <v>74</v>
      </c>
      <c r="M163" s="1" t="s">
        <v>74</v>
      </c>
      <c r="N163" s="1" t="s">
        <v>74</v>
      </c>
      <c r="O163" s="1" t="s">
        <v>74</v>
      </c>
      <c r="P163" s="1" t="s">
        <v>74</v>
      </c>
      <c r="Q163" s="1" t="s">
        <v>74</v>
      </c>
      <c r="R163" s="1" t="s">
        <v>74</v>
      </c>
      <c r="S163" s="1" t="s">
        <v>74</v>
      </c>
      <c r="T163" s="1" t="s">
        <v>74</v>
      </c>
      <c r="U163" s="1" t="s">
        <v>74</v>
      </c>
      <c r="V163" s="1" t="s">
        <v>1799</v>
      </c>
      <c r="W163" s="1" t="s">
        <v>74</v>
      </c>
      <c r="X163" s="1" t="s">
        <v>74</v>
      </c>
      <c r="Y163" s="1" t="s">
        <v>74</v>
      </c>
      <c r="Z163" s="1" t="s">
        <v>74</v>
      </c>
      <c r="AA163" s="1" t="s">
        <v>1800</v>
      </c>
      <c r="AB163" s="1" t="s">
        <v>1801</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1802</v>
      </c>
      <c r="AP163" s="1" t="s">
        <v>1803</v>
      </c>
      <c r="AQ163" s="1" t="s">
        <v>74</v>
      </c>
      <c r="AR163" s="1" t="s">
        <v>74</v>
      </c>
      <c r="AS163" s="1" t="s">
        <v>74</v>
      </c>
      <c r="AT163" s="1" t="s">
        <v>319</v>
      </c>
      <c r="AU163" s="1">
        <v>2024.0</v>
      </c>
      <c r="AV163" s="1">
        <v>38.0</v>
      </c>
      <c r="AW163" s="1">
        <v>7.0</v>
      </c>
      <c r="AX163" s="1" t="s">
        <v>74</v>
      </c>
      <c r="AY163" s="1" t="s">
        <v>74</v>
      </c>
      <c r="AZ163" s="1" t="s">
        <v>74</v>
      </c>
      <c r="BA163" s="1" t="s">
        <v>74</v>
      </c>
      <c r="BB163" s="1">
        <v>1017.0</v>
      </c>
      <c r="BC163" s="1">
        <v>1028.0</v>
      </c>
      <c r="BD163" s="1" t="s">
        <v>74</v>
      </c>
      <c r="BE163" s="1" t="s">
        <v>1804</v>
      </c>
      <c r="BF163" s="2" t="str">
        <f>HYPERLINK("http://dx.doi.org/10.1037/fam0001221","http://dx.doi.org/10.1037/fam0001221")</f>
        <v>http://dx.doi.org/10.1037/fam0001221</v>
      </c>
      <c r="BG163" s="1" t="s">
        <v>74</v>
      </c>
      <c r="BH163" s="1" t="s">
        <v>1805</v>
      </c>
      <c r="BI163" s="1" t="s">
        <v>74</v>
      </c>
      <c r="BJ163" s="1" t="s">
        <v>74</v>
      </c>
      <c r="BK163" s="1" t="s">
        <v>74</v>
      </c>
      <c r="BL163" s="1" t="s">
        <v>74</v>
      </c>
      <c r="BM163" s="1" t="s">
        <v>74</v>
      </c>
      <c r="BN163" s="1">
        <v>3.9052368E7</v>
      </c>
      <c r="BO163" s="1" t="s">
        <v>74</v>
      </c>
      <c r="BP163" s="1" t="s">
        <v>74</v>
      </c>
      <c r="BQ163" s="1" t="s">
        <v>74</v>
      </c>
      <c r="BR163" s="1" t="s">
        <v>74</v>
      </c>
      <c r="BS163" s="1" t="s">
        <v>1806</v>
      </c>
      <c r="BT163" s="1" t="str">
        <f>HYPERLINK("https%3A%2F%2Fwww.webofscience.com%2Fwos%2Fwoscc%2Ffull-record%2FWOS:001300854500001","View Full Record in Web of Science")</f>
        <v>View Full Record in Web of Science</v>
      </c>
    </row>
    <row r="164" ht="12.75" customHeight="1">
      <c r="A164" s="1" t="s">
        <v>72</v>
      </c>
      <c r="B164" s="1" t="s">
        <v>1807</v>
      </c>
      <c r="C164" s="1" t="s">
        <v>74</v>
      </c>
      <c r="D164" s="1" t="s">
        <v>74</v>
      </c>
      <c r="E164" s="1" t="s">
        <v>74</v>
      </c>
      <c r="F164" s="1" t="s">
        <v>1808</v>
      </c>
      <c r="G164" s="1" t="s">
        <v>74</v>
      </c>
      <c r="H164" s="1" t="s">
        <v>324</v>
      </c>
      <c r="I164" s="1" t="s">
        <v>1809</v>
      </c>
      <c r="J164" s="1" t="s">
        <v>439</v>
      </c>
      <c r="K164" s="1" t="s">
        <v>74</v>
      </c>
      <c r="L164" s="1" t="s">
        <v>74</v>
      </c>
      <c r="M164" s="1" t="s">
        <v>74</v>
      </c>
      <c r="N164" s="1" t="s">
        <v>74</v>
      </c>
      <c r="O164" s="1" t="s">
        <v>74</v>
      </c>
      <c r="P164" s="1" t="s">
        <v>74</v>
      </c>
      <c r="Q164" s="1" t="s">
        <v>74</v>
      </c>
      <c r="R164" s="1" t="s">
        <v>74</v>
      </c>
      <c r="S164" s="1" t="s">
        <v>74</v>
      </c>
      <c r="T164" s="1" t="s">
        <v>74</v>
      </c>
      <c r="U164" s="1" t="s">
        <v>74</v>
      </c>
      <c r="V164" s="1" t="s">
        <v>1810</v>
      </c>
      <c r="W164" s="1" t="s">
        <v>74</v>
      </c>
      <c r="X164" s="1" t="s">
        <v>74</v>
      </c>
      <c r="Y164" s="1" t="s">
        <v>74</v>
      </c>
      <c r="Z164" s="1" t="s">
        <v>74</v>
      </c>
      <c r="AA164" s="1" t="s">
        <v>1811</v>
      </c>
      <c r="AB164" s="1" t="s">
        <v>1812</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74</v>
      </c>
      <c r="AP164" s="1" t="s">
        <v>443</v>
      </c>
      <c r="AQ164" s="1" t="s">
        <v>74</v>
      </c>
      <c r="AR164" s="1" t="s">
        <v>74</v>
      </c>
      <c r="AS164" s="1" t="s">
        <v>74</v>
      </c>
      <c r="AT164" s="1" t="s">
        <v>319</v>
      </c>
      <c r="AU164" s="1">
        <v>2020.0</v>
      </c>
      <c r="AV164" s="1">
        <v>17.0</v>
      </c>
      <c r="AW164" s="1">
        <v>19.0</v>
      </c>
      <c r="AX164" s="1" t="s">
        <v>74</v>
      </c>
      <c r="AY164" s="1" t="s">
        <v>74</v>
      </c>
      <c r="AZ164" s="1" t="s">
        <v>74</v>
      </c>
      <c r="BA164" s="1" t="s">
        <v>74</v>
      </c>
      <c r="BB164" s="1" t="s">
        <v>74</v>
      </c>
      <c r="BC164" s="1" t="s">
        <v>74</v>
      </c>
      <c r="BD164" s="1">
        <v>6974.0</v>
      </c>
      <c r="BE164" s="1" t="s">
        <v>1813</v>
      </c>
      <c r="BF164" s="2" t="str">
        <f>HYPERLINK("http://dx.doi.org/10.3390/ijerph17196974","http://dx.doi.org/10.3390/ijerph17196974")</f>
        <v>http://dx.doi.org/10.3390/ijerph17196974</v>
      </c>
      <c r="BG164" s="1" t="s">
        <v>74</v>
      </c>
      <c r="BH164" s="1" t="s">
        <v>74</v>
      </c>
      <c r="BI164" s="1" t="s">
        <v>74</v>
      </c>
      <c r="BJ164" s="1" t="s">
        <v>74</v>
      </c>
      <c r="BK164" s="1" t="s">
        <v>74</v>
      </c>
      <c r="BL164" s="1" t="s">
        <v>74</v>
      </c>
      <c r="BM164" s="1" t="s">
        <v>74</v>
      </c>
      <c r="BN164" s="1">
        <v>3.2987637E7</v>
      </c>
      <c r="BO164" s="1" t="s">
        <v>74</v>
      </c>
      <c r="BP164" s="1" t="s">
        <v>74</v>
      </c>
      <c r="BQ164" s="1" t="s">
        <v>74</v>
      </c>
      <c r="BR164" s="1" t="s">
        <v>74</v>
      </c>
      <c r="BS164" s="1" t="s">
        <v>1814</v>
      </c>
      <c r="BT164" s="1" t="str">
        <f>HYPERLINK("https%3A%2F%2Fwww.webofscience.com%2Fwos%2Fwoscc%2Ffull-record%2FWOS:000586528500001","View Full Record in Web of Science")</f>
        <v>View Full Record in Web of Science</v>
      </c>
    </row>
    <row r="165" ht="12.75" customHeight="1">
      <c r="A165" s="1" t="s">
        <v>1751</v>
      </c>
      <c r="B165" s="1" t="s">
        <v>1815</v>
      </c>
      <c r="C165" s="1" t="s">
        <v>74</v>
      </c>
      <c r="D165" s="1" t="s">
        <v>74</v>
      </c>
      <c r="E165" s="1" t="s">
        <v>1753</v>
      </c>
      <c r="F165" s="1" t="s">
        <v>1816</v>
      </c>
      <c r="G165" s="1" t="s">
        <v>74</v>
      </c>
      <c r="H165" s="1" t="s">
        <v>74</v>
      </c>
      <c r="I165" s="1" t="s">
        <v>1817</v>
      </c>
      <c r="J165" s="1" t="s">
        <v>1818</v>
      </c>
      <c r="K165" s="1" t="s">
        <v>74</v>
      </c>
      <c r="L165" s="1" t="s">
        <v>74</v>
      </c>
      <c r="M165" s="1" t="s">
        <v>74</v>
      </c>
      <c r="N165" s="1" t="s">
        <v>74</v>
      </c>
      <c r="O165" s="1" t="s">
        <v>1819</v>
      </c>
      <c r="P165" s="1" t="s">
        <v>1820</v>
      </c>
      <c r="Q165" s="1" t="s">
        <v>1821</v>
      </c>
      <c r="R165" s="1" t="s">
        <v>1822</v>
      </c>
      <c r="S165" s="1" t="s">
        <v>74</v>
      </c>
      <c r="T165" s="1" t="s">
        <v>74</v>
      </c>
      <c r="U165" s="1" t="s">
        <v>74</v>
      </c>
      <c r="V165" s="1" t="s">
        <v>1823</v>
      </c>
      <c r="W165" s="1" t="s">
        <v>74</v>
      </c>
      <c r="X165" s="1" t="s">
        <v>74</v>
      </c>
      <c r="Y165" s="1" t="s">
        <v>74</v>
      </c>
      <c r="Z165" s="1" t="s">
        <v>74</v>
      </c>
      <c r="AA165" s="1" t="s">
        <v>1824</v>
      </c>
      <c r="AB165" s="1" t="s">
        <v>1825</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74</v>
      </c>
      <c r="AP165" s="1" t="s">
        <v>74</v>
      </c>
      <c r="AQ165" s="1" t="s">
        <v>1826</v>
      </c>
      <c r="AR165" s="1" t="s">
        <v>74</v>
      </c>
      <c r="AS165" s="1" t="s">
        <v>74</v>
      </c>
      <c r="AT165" s="1" t="s">
        <v>74</v>
      </c>
      <c r="AU165" s="1">
        <v>2020.0</v>
      </c>
      <c r="AV165" s="1" t="s">
        <v>74</v>
      </c>
      <c r="AW165" s="1" t="s">
        <v>74</v>
      </c>
      <c r="AX165" s="1" t="s">
        <v>74</v>
      </c>
      <c r="AY165" s="1" t="s">
        <v>74</v>
      </c>
      <c r="AZ165" s="1" t="s">
        <v>74</v>
      </c>
      <c r="BA165" s="1" t="s">
        <v>74</v>
      </c>
      <c r="BB165" s="1" t="s">
        <v>74</v>
      </c>
      <c r="BC165" s="1" t="s">
        <v>74</v>
      </c>
      <c r="BD165" s="1" t="s">
        <v>74</v>
      </c>
      <c r="BE165" s="1" t="s">
        <v>1827</v>
      </c>
      <c r="BF165" s="2" t="str">
        <f>HYPERLINK("http://dx.doi.org/10.1109/ijcb48548.2020.9304881","http://dx.doi.org/10.1109/ijcb48548.2020.9304881")</f>
        <v>http://dx.doi.org/10.1109/ijcb48548.2020.9304881</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1828</v>
      </c>
      <c r="BT165" s="1" t="str">
        <f>HYPERLINK("https%3A%2F%2Fwww.webofscience.com%2Fwos%2Fwoscc%2Ffull-record%2FWOS:000723870900028","View Full Record in Web of Science")</f>
        <v>View Full Record in Web of Science</v>
      </c>
    </row>
    <row r="166" ht="12.75" customHeight="1">
      <c r="A166" s="1" t="s">
        <v>72</v>
      </c>
      <c r="B166" s="1" t="s">
        <v>1829</v>
      </c>
      <c r="C166" s="1" t="s">
        <v>74</v>
      </c>
      <c r="D166" s="1" t="s">
        <v>74</v>
      </c>
      <c r="E166" s="1" t="s">
        <v>74</v>
      </c>
      <c r="F166" s="1" t="s">
        <v>1830</v>
      </c>
      <c r="G166" s="1" t="s">
        <v>74</v>
      </c>
      <c r="H166" s="1" t="s">
        <v>74</v>
      </c>
      <c r="I166" s="1" t="s">
        <v>1831</v>
      </c>
      <c r="J166" s="1" t="s">
        <v>1832</v>
      </c>
      <c r="K166" s="1" t="s">
        <v>74</v>
      </c>
      <c r="L166" s="1" t="s">
        <v>74</v>
      </c>
      <c r="M166" s="1" t="s">
        <v>74</v>
      </c>
      <c r="N166" s="1" t="s">
        <v>74</v>
      </c>
      <c r="O166" s="1" t="s">
        <v>74</v>
      </c>
      <c r="P166" s="1" t="s">
        <v>74</v>
      </c>
      <c r="Q166" s="1" t="s">
        <v>74</v>
      </c>
      <c r="R166" s="1" t="s">
        <v>74</v>
      </c>
      <c r="S166" s="1" t="s">
        <v>74</v>
      </c>
      <c r="T166" s="1" t="s">
        <v>74</v>
      </c>
      <c r="U166" s="1" t="s">
        <v>74</v>
      </c>
      <c r="V166" s="1" t="s">
        <v>1833</v>
      </c>
      <c r="W166" s="1" t="s">
        <v>74</v>
      </c>
      <c r="X166" s="1" t="s">
        <v>74</v>
      </c>
      <c r="Y166" s="1" t="s">
        <v>74</v>
      </c>
      <c r="Z166" s="1" t="s">
        <v>74</v>
      </c>
      <c r="AA166" s="1" t="s">
        <v>1834</v>
      </c>
      <c r="AB166" s="1" t="s">
        <v>1835</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1836</v>
      </c>
      <c r="AP166" s="1" t="s">
        <v>1837</v>
      </c>
      <c r="AQ166" s="1" t="s">
        <v>74</v>
      </c>
      <c r="AR166" s="1" t="s">
        <v>74</v>
      </c>
      <c r="AS166" s="1" t="s">
        <v>74</v>
      </c>
      <c r="AT166" s="1" t="s">
        <v>275</v>
      </c>
      <c r="AU166" s="1">
        <v>2016.0</v>
      </c>
      <c r="AV166" s="1">
        <v>123.0</v>
      </c>
      <c r="AW166" s="1">
        <v>3.0</v>
      </c>
      <c r="AX166" s="1" t="s">
        <v>74</v>
      </c>
      <c r="AY166" s="1" t="s">
        <v>74</v>
      </c>
      <c r="AZ166" s="1" t="s">
        <v>74</v>
      </c>
      <c r="BA166" s="1" t="s">
        <v>74</v>
      </c>
      <c r="BB166" s="1">
        <v>251.0</v>
      </c>
      <c r="BC166" s="1">
        <v>258.0</v>
      </c>
      <c r="BD166" s="1" t="s">
        <v>74</v>
      </c>
      <c r="BE166" s="1" t="s">
        <v>1838</v>
      </c>
      <c r="BF166" s="2" t="str">
        <f>HYPERLINK("http://dx.doi.org/10.1007/s00702-015-1453-x","http://dx.doi.org/10.1007/s00702-015-1453-x")</f>
        <v>http://dx.doi.org/10.1007/s00702-015-1453-x</v>
      </c>
      <c r="BG166" s="1" t="s">
        <v>74</v>
      </c>
      <c r="BH166" s="1" t="s">
        <v>74</v>
      </c>
      <c r="BI166" s="1" t="s">
        <v>74</v>
      </c>
      <c r="BJ166" s="1" t="s">
        <v>74</v>
      </c>
      <c r="BK166" s="1" t="s">
        <v>74</v>
      </c>
      <c r="BL166" s="1" t="s">
        <v>74</v>
      </c>
      <c r="BM166" s="1" t="s">
        <v>74</v>
      </c>
      <c r="BN166" s="1">
        <v>2.6370676E7</v>
      </c>
      <c r="BO166" s="1" t="s">
        <v>74</v>
      </c>
      <c r="BP166" s="1" t="s">
        <v>74</v>
      </c>
      <c r="BQ166" s="1" t="s">
        <v>74</v>
      </c>
      <c r="BR166" s="1" t="s">
        <v>74</v>
      </c>
      <c r="BS166" s="1" t="s">
        <v>1839</v>
      </c>
      <c r="BT166" s="1" t="str">
        <f>HYPERLINK("https%3A%2F%2Fwww.webofscience.com%2Fwos%2Fwoscc%2Ffull-record%2FWOS:000373162900011","View Full Record in Web of Science")</f>
        <v>View Full Record in Web of Science</v>
      </c>
    </row>
    <row r="167" ht="12.75" customHeight="1">
      <c r="A167" s="1" t="s">
        <v>72</v>
      </c>
      <c r="B167" s="1" t="s">
        <v>1840</v>
      </c>
      <c r="C167" s="1" t="s">
        <v>74</v>
      </c>
      <c r="D167" s="1" t="s">
        <v>74</v>
      </c>
      <c r="E167" s="1" t="s">
        <v>74</v>
      </c>
      <c r="F167" s="1" t="s">
        <v>1841</v>
      </c>
      <c r="G167" s="1" t="s">
        <v>74</v>
      </c>
      <c r="H167" s="1" t="s">
        <v>74</v>
      </c>
      <c r="I167" s="1" t="s">
        <v>1842</v>
      </c>
      <c r="J167" s="1" t="s">
        <v>1843</v>
      </c>
      <c r="K167" s="1" t="s">
        <v>74</v>
      </c>
      <c r="L167" s="1" t="s">
        <v>74</v>
      </c>
      <c r="M167" s="1" t="s">
        <v>74</v>
      </c>
      <c r="N167" s="1" t="s">
        <v>74</v>
      </c>
      <c r="O167" s="1" t="s">
        <v>74</v>
      </c>
      <c r="P167" s="1" t="s">
        <v>74</v>
      </c>
      <c r="Q167" s="1" t="s">
        <v>74</v>
      </c>
      <c r="R167" s="1" t="s">
        <v>74</v>
      </c>
      <c r="S167" s="1" t="s">
        <v>74</v>
      </c>
      <c r="T167" s="1" t="s">
        <v>74</v>
      </c>
      <c r="U167" s="1" t="s">
        <v>74</v>
      </c>
      <c r="V167" s="1" t="s">
        <v>74</v>
      </c>
      <c r="W167" s="1" t="s">
        <v>74</v>
      </c>
      <c r="X167" s="1" t="s">
        <v>74</v>
      </c>
      <c r="Y167" s="1" t="s">
        <v>74</v>
      </c>
      <c r="Z167" s="1" t="s">
        <v>74</v>
      </c>
      <c r="AA167" s="1" t="s">
        <v>1844</v>
      </c>
      <c r="AB167" s="1" t="s">
        <v>1845</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1846</v>
      </c>
      <c r="AP167" s="1" t="s">
        <v>1847</v>
      </c>
      <c r="AQ167" s="1" t="s">
        <v>74</v>
      </c>
      <c r="AR167" s="1" t="s">
        <v>74</v>
      </c>
      <c r="AS167" s="1" t="s">
        <v>74</v>
      </c>
      <c r="AT167" s="1" t="s">
        <v>1848</v>
      </c>
      <c r="AU167" s="1">
        <v>2018.0</v>
      </c>
      <c r="AV167" s="1">
        <v>363.0</v>
      </c>
      <c r="AW167" s="1" t="s">
        <v>74</v>
      </c>
      <c r="AX167" s="1" t="s">
        <v>74</v>
      </c>
      <c r="AY167" s="1" t="s">
        <v>74</v>
      </c>
      <c r="AZ167" s="1" t="s">
        <v>74</v>
      </c>
      <c r="BA167" s="1" t="s">
        <v>74</v>
      </c>
      <c r="BB167" s="1" t="s">
        <v>74</v>
      </c>
      <c r="BC167" s="1" t="s">
        <v>74</v>
      </c>
      <c r="BD167" s="1" t="s">
        <v>1849</v>
      </c>
      <c r="BE167" s="1" t="s">
        <v>1850</v>
      </c>
      <c r="BF167" s="2" t="str">
        <f>HYPERLINK("http://dx.doi.org/10.1136/bmj.k4771","http://dx.doi.org/10.1136/bmj.k4771")</f>
        <v>http://dx.doi.org/10.1136/bmj.k4771</v>
      </c>
      <c r="BG167" s="1" t="s">
        <v>74</v>
      </c>
      <c r="BH167" s="1" t="s">
        <v>74</v>
      </c>
      <c r="BI167" s="1" t="s">
        <v>74</v>
      </c>
      <c r="BJ167" s="1" t="s">
        <v>74</v>
      </c>
      <c r="BK167" s="1" t="s">
        <v>74</v>
      </c>
      <c r="BL167" s="1" t="s">
        <v>74</v>
      </c>
      <c r="BM167" s="1" t="s">
        <v>74</v>
      </c>
      <c r="BN167" s="1">
        <v>3.0530519E7</v>
      </c>
      <c r="BO167" s="1" t="s">
        <v>74</v>
      </c>
      <c r="BP167" s="1" t="s">
        <v>74</v>
      </c>
      <c r="BQ167" s="1" t="s">
        <v>74</v>
      </c>
      <c r="BR167" s="1" t="s">
        <v>74</v>
      </c>
      <c r="BS167" s="1" t="s">
        <v>1851</v>
      </c>
      <c r="BT167" s="1" t="str">
        <f>HYPERLINK("https%3A%2F%2Fwww.webofscience.com%2Fwos%2Fwoscc%2Ffull-record%2FWOS:000452850000010","View Full Record in Web of Science")</f>
        <v>View Full Record in Web of Science</v>
      </c>
    </row>
    <row r="168" ht="12.75" customHeight="1">
      <c r="A168" s="1" t="s">
        <v>72</v>
      </c>
      <c r="B168" s="1" t="s">
        <v>1852</v>
      </c>
      <c r="C168" s="1" t="s">
        <v>74</v>
      </c>
      <c r="D168" s="1" t="s">
        <v>74</v>
      </c>
      <c r="E168" s="1" t="s">
        <v>74</v>
      </c>
      <c r="F168" s="1" t="s">
        <v>1853</v>
      </c>
      <c r="G168" s="1" t="s">
        <v>74</v>
      </c>
      <c r="H168" s="1" t="s">
        <v>74</v>
      </c>
      <c r="I168" s="1" t="s">
        <v>1854</v>
      </c>
      <c r="J168" s="1" t="s">
        <v>1855</v>
      </c>
      <c r="K168" s="1" t="s">
        <v>74</v>
      </c>
      <c r="L168" s="1" t="s">
        <v>74</v>
      </c>
      <c r="M168" s="1" t="s">
        <v>74</v>
      </c>
      <c r="N168" s="1" t="s">
        <v>74</v>
      </c>
      <c r="O168" s="1" t="s">
        <v>74</v>
      </c>
      <c r="P168" s="1" t="s">
        <v>74</v>
      </c>
      <c r="Q168" s="1" t="s">
        <v>74</v>
      </c>
      <c r="R168" s="1" t="s">
        <v>74</v>
      </c>
      <c r="S168" s="1" t="s">
        <v>74</v>
      </c>
      <c r="T168" s="1" t="s">
        <v>74</v>
      </c>
      <c r="U168" s="1" t="s">
        <v>74</v>
      </c>
      <c r="V168" s="1" t="s">
        <v>1856</v>
      </c>
      <c r="W168" s="1" t="s">
        <v>74</v>
      </c>
      <c r="X168" s="1" t="s">
        <v>74</v>
      </c>
      <c r="Y168" s="1" t="s">
        <v>74</v>
      </c>
      <c r="Z168" s="1" t="s">
        <v>74</v>
      </c>
      <c r="AA168" s="1" t="s">
        <v>1857</v>
      </c>
      <c r="AB168" s="1" t="s">
        <v>1858</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1859</v>
      </c>
      <c r="AP168" s="1" t="s">
        <v>1860</v>
      </c>
      <c r="AQ168" s="1" t="s">
        <v>74</v>
      </c>
      <c r="AR168" s="1" t="s">
        <v>74</v>
      </c>
      <c r="AS168" s="1" t="s">
        <v>74</v>
      </c>
      <c r="AT168" s="1" t="s">
        <v>495</v>
      </c>
      <c r="AU168" s="1">
        <v>2018.0</v>
      </c>
      <c r="AV168" s="1">
        <v>265.0</v>
      </c>
      <c r="AW168" s="1">
        <v>4.0</v>
      </c>
      <c r="AX168" s="1" t="s">
        <v>74</v>
      </c>
      <c r="AY168" s="1" t="s">
        <v>74</v>
      </c>
      <c r="AZ168" s="1" t="s">
        <v>74</v>
      </c>
      <c r="BA168" s="1" t="s">
        <v>74</v>
      </c>
      <c r="BB168" s="1">
        <v>856.0</v>
      </c>
      <c r="BC168" s="1">
        <v>862.0</v>
      </c>
      <c r="BD168" s="1" t="s">
        <v>74</v>
      </c>
      <c r="BE168" s="1" t="s">
        <v>1861</v>
      </c>
      <c r="BF168" s="2" t="str">
        <f>HYPERLINK("http://dx.doi.org/10.1007/s00415-018-8759-1","http://dx.doi.org/10.1007/s00415-018-8759-1")</f>
        <v>http://dx.doi.org/10.1007/s00415-018-8759-1</v>
      </c>
      <c r="BG168" s="1" t="s">
        <v>74</v>
      </c>
      <c r="BH168" s="1" t="s">
        <v>74</v>
      </c>
      <c r="BI168" s="1" t="s">
        <v>74</v>
      </c>
      <c r="BJ168" s="1" t="s">
        <v>74</v>
      </c>
      <c r="BK168" s="1" t="s">
        <v>74</v>
      </c>
      <c r="BL168" s="1" t="s">
        <v>74</v>
      </c>
      <c r="BM168" s="1" t="s">
        <v>74</v>
      </c>
      <c r="BN168" s="1">
        <v>2.9423615E7</v>
      </c>
      <c r="BO168" s="1" t="s">
        <v>74</v>
      </c>
      <c r="BP168" s="1" t="s">
        <v>74</v>
      </c>
      <c r="BQ168" s="1" t="s">
        <v>74</v>
      </c>
      <c r="BR168" s="1" t="s">
        <v>74</v>
      </c>
      <c r="BS168" s="1" t="s">
        <v>1862</v>
      </c>
      <c r="BT168" s="1" t="str">
        <f>HYPERLINK("https%3A%2F%2Fwww.webofscience.com%2Fwos%2Fwoscc%2Ffull-record%2FWOS:000428928200013","View Full Record in Web of Science")</f>
        <v>View Full Record in Web of Science</v>
      </c>
    </row>
    <row r="169" ht="12.75" customHeight="1">
      <c r="A169" s="1" t="s">
        <v>72</v>
      </c>
      <c r="B169" s="1" t="s">
        <v>1829</v>
      </c>
      <c r="C169" s="1" t="s">
        <v>74</v>
      </c>
      <c r="D169" s="1" t="s">
        <v>74</v>
      </c>
      <c r="E169" s="1" t="s">
        <v>74</v>
      </c>
      <c r="F169" s="1" t="s">
        <v>1830</v>
      </c>
      <c r="G169" s="1" t="s">
        <v>74</v>
      </c>
      <c r="H169" s="1" t="s">
        <v>74</v>
      </c>
      <c r="I169" s="1" t="s">
        <v>1863</v>
      </c>
      <c r="J169" s="1" t="s">
        <v>1832</v>
      </c>
      <c r="K169" s="1" t="s">
        <v>74</v>
      </c>
      <c r="L169" s="1" t="s">
        <v>74</v>
      </c>
      <c r="M169" s="1" t="s">
        <v>74</v>
      </c>
      <c r="N169" s="1" t="s">
        <v>74</v>
      </c>
      <c r="O169" s="1" t="s">
        <v>74</v>
      </c>
      <c r="P169" s="1" t="s">
        <v>74</v>
      </c>
      <c r="Q169" s="1" t="s">
        <v>74</v>
      </c>
      <c r="R169" s="1" t="s">
        <v>74</v>
      </c>
      <c r="S169" s="1" t="s">
        <v>74</v>
      </c>
      <c r="T169" s="1" t="s">
        <v>74</v>
      </c>
      <c r="U169" s="1" t="s">
        <v>74</v>
      </c>
      <c r="V169" s="1" t="s">
        <v>74</v>
      </c>
      <c r="W169" s="1" t="s">
        <v>74</v>
      </c>
      <c r="X169" s="1" t="s">
        <v>74</v>
      </c>
      <c r="Y169" s="1" t="s">
        <v>74</v>
      </c>
      <c r="Z169" s="1" t="s">
        <v>74</v>
      </c>
      <c r="AA169" s="1" t="s">
        <v>1864</v>
      </c>
      <c r="AB169" s="1" t="s">
        <v>1865</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1836</v>
      </c>
      <c r="AP169" s="1" t="s">
        <v>1837</v>
      </c>
      <c r="AQ169" s="1" t="s">
        <v>74</v>
      </c>
      <c r="AR169" s="1" t="s">
        <v>74</v>
      </c>
      <c r="AS169" s="1" t="s">
        <v>74</v>
      </c>
      <c r="AT169" s="1" t="s">
        <v>275</v>
      </c>
      <c r="AU169" s="1">
        <v>2016.0</v>
      </c>
      <c r="AV169" s="1">
        <v>123.0</v>
      </c>
      <c r="AW169" s="1">
        <v>3.0</v>
      </c>
      <c r="AX169" s="1" t="s">
        <v>74</v>
      </c>
      <c r="AY169" s="1" t="s">
        <v>74</v>
      </c>
      <c r="AZ169" s="1" t="s">
        <v>74</v>
      </c>
      <c r="BA169" s="1" t="s">
        <v>74</v>
      </c>
      <c r="BB169" s="1">
        <v>259.0</v>
      </c>
      <c r="BC169" s="1">
        <v>259.0</v>
      </c>
      <c r="BD169" s="1" t="s">
        <v>74</v>
      </c>
      <c r="BE169" s="1" t="s">
        <v>1866</v>
      </c>
      <c r="BF169" s="2" t="str">
        <f>HYPERLINK("http://dx.doi.org/10.1007/s00702-015-1471-8","http://dx.doi.org/10.1007/s00702-015-1471-8")</f>
        <v>http://dx.doi.org/10.1007/s00702-015-1471-8</v>
      </c>
      <c r="BG169" s="1" t="s">
        <v>74</v>
      </c>
      <c r="BH169" s="1" t="s">
        <v>74</v>
      </c>
      <c r="BI169" s="1" t="s">
        <v>74</v>
      </c>
      <c r="BJ169" s="1" t="s">
        <v>74</v>
      </c>
      <c r="BK169" s="1" t="s">
        <v>74</v>
      </c>
      <c r="BL169" s="1" t="s">
        <v>74</v>
      </c>
      <c r="BM169" s="1" t="s">
        <v>74</v>
      </c>
      <c r="BN169" s="1">
        <v>2.6546035E7</v>
      </c>
      <c r="BO169" s="1" t="s">
        <v>74</v>
      </c>
      <c r="BP169" s="1" t="s">
        <v>74</v>
      </c>
      <c r="BQ169" s="1" t="s">
        <v>74</v>
      </c>
      <c r="BR169" s="1" t="s">
        <v>74</v>
      </c>
      <c r="BS169" s="1" t="s">
        <v>1867</v>
      </c>
      <c r="BT169" s="1" t="str">
        <f>HYPERLINK("https%3A%2F%2Fwww.webofscience.com%2Fwos%2Fwoscc%2Ffull-record%2FWOS:000373162900012","View Full Record in Web of Science")</f>
        <v>View Full Record in Web of Science</v>
      </c>
    </row>
    <row r="170" ht="12.75" customHeight="1">
      <c r="A170" s="1" t="s">
        <v>72</v>
      </c>
      <c r="B170" s="1" t="s">
        <v>1868</v>
      </c>
      <c r="C170" s="1" t="s">
        <v>74</v>
      </c>
      <c r="D170" s="1" t="s">
        <v>74</v>
      </c>
      <c r="E170" s="1" t="s">
        <v>74</v>
      </c>
      <c r="F170" s="1" t="s">
        <v>1869</v>
      </c>
      <c r="G170" s="1" t="s">
        <v>74</v>
      </c>
      <c r="H170" s="1" t="s">
        <v>74</v>
      </c>
      <c r="I170" s="1" t="s">
        <v>1870</v>
      </c>
      <c r="J170" s="1" t="s">
        <v>1871</v>
      </c>
      <c r="K170" s="1" t="s">
        <v>74</v>
      </c>
      <c r="L170" s="1" t="s">
        <v>74</v>
      </c>
      <c r="M170" s="1" t="s">
        <v>74</v>
      </c>
      <c r="N170" s="1" t="s">
        <v>74</v>
      </c>
      <c r="O170" s="1" t="s">
        <v>74</v>
      </c>
      <c r="P170" s="1" t="s">
        <v>74</v>
      </c>
      <c r="Q170" s="1" t="s">
        <v>74</v>
      </c>
      <c r="R170" s="1" t="s">
        <v>74</v>
      </c>
      <c r="S170" s="1" t="s">
        <v>74</v>
      </c>
      <c r="T170" s="1" t="s">
        <v>74</v>
      </c>
      <c r="U170" s="1" t="s">
        <v>74</v>
      </c>
      <c r="V170" s="1" t="s">
        <v>1872</v>
      </c>
      <c r="W170" s="1" t="s">
        <v>74</v>
      </c>
      <c r="X170" s="1" t="s">
        <v>74</v>
      </c>
      <c r="Y170" s="1" t="s">
        <v>74</v>
      </c>
      <c r="Z170" s="1" t="s">
        <v>74</v>
      </c>
      <c r="AA170" s="1" t="s">
        <v>1873</v>
      </c>
      <c r="AB170" s="1" t="s">
        <v>1874</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1875</v>
      </c>
      <c r="AP170" s="1" t="s">
        <v>74</v>
      </c>
      <c r="AQ170" s="1" t="s">
        <v>74</v>
      </c>
      <c r="AR170" s="1" t="s">
        <v>74</v>
      </c>
      <c r="AS170" s="1" t="s">
        <v>74</v>
      </c>
      <c r="AT170" s="1" t="s">
        <v>1876</v>
      </c>
      <c r="AU170" s="1">
        <v>2021.0</v>
      </c>
      <c r="AV170" s="1">
        <v>118.0</v>
      </c>
      <c r="AW170" s="1">
        <v>38.0</v>
      </c>
      <c r="AX170" s="1" t="s">
        <v>74</v>
      </c>
      <c r="AY170" s="1" t="s">
        <v>74</v>
      </c>
      <c r="AZ170" s="1" t="s">
        <v>74</v>
      </c>
      <c r="BA170" s="1" t="s">
        <v>74</v>
      </c>
      <c r="BB170" s="1" t="s">
        <v>74</v>
      </c>
      <c r="BC170" s="1" t="s">
        <v>74</v>
      </c>
      <c r="BD170" s="1" t="s">
        <v>1877</v>
      </c>
      <c r="BE170" s="1" t="s">
        <v>1878</v>
      </c>
      <c r="BF170" s="2" t="str">
        <f>HYPERLINK("http://dx.doi.org/10.1073/pnas.2026382118","http://dx.doi.org/10.1073/pnas.2026382118")</f>
        <v>http://dx.doi.org/10.1073/pnas.2026382118</v>
      </c>
      <c r="BG170" s="1" t="s">
        <v>74</v>
      </c>
      <c r="BH170" s="1" t="s">
        <v>74</v>
      </c>
      <c r="BI170" s="1" t="s">
        <v>74</v>
      </c>
      <c r="BJ170" s="1" t="s">
        <v>74</v>
      </c>
      <c r="BK170" s="1" t="s">
        <v>74</v>
      </c>
      <c r="BL170" s="1" t="s">
        <v>74</v>
      </c>
      <c r="BM170" s="1" t="s">
        <v>74</v>
      </c>
      <c r="BN170" s="1">
        <v>3.45264E7</v>
      </c>
      <c r="BO170" s="1" t="s">
        <v>74</v>
      </c>
      <c r="BP170" s="1" t="s">
        <v>74</v>
      </c>
      <c r="BQ170" s="1" t="s">
        <v>74</v>
      </c>
      <c r="BR170" s="1" t="s">
        <v>74</v>
      </c>
      <c r="BS170" s="1" t="s">
        <v>1879</v>
      </c>
      <c r="BT170" s="1" t="str">
        <f>HYPERLINK("https%3A%2F%2Fwww.webofscience.com%2Fwos%2Fwoscc%2Ffull-record%2FWOS:000709574100011","View Full Record in Web of Science")</f>
        <v>View Full Record in Web of Science</v>
      </c>
    </row>
    <row r="171" ht="12.75" customHeight="1">
      <c r="A171" s="1" t="s">
        <v>72</v>
      </c>
      <c r="B171" s="1" t="s">
        <v>1880</v>
      </c>
      <c r="C171" s="1" t="s">
        <v>74</v>
      </c>
      <c r="D171" s="1" t="s">
        <v>74</v>
      </c>
      <c r="E171" s="1" t="s">
        <v>74</v>
      </c>
      <c r="F171" s="1" t="s">
        <v>1881</v>
      </c>
      <c r="G171" s="1" t="s">
        <v>74</v>
      </c>
      <c r="H171" s="1" t="s">
        <v>74</v>
      </c>
      <c r="I171" s="1" t="s">
        <v>1882</v>
      </c>
      <c r="J171" s="1" t="s">
        <v>439</v>
      </c>
      <c r="K171" s="1" t="s">
        <v>74</v>
      </c>
      <c r="L171" s="1" t="s">
        <v>74</v>
      </c>
      <c r="M171" s="1" t="s">
        <v>74</v>
      </c>
      <c r="N171" s="1" t="s">
        <v>74</v>
      </c>
      <c r="O171" s="1" t="s">
        <v>74</v>
      </c>
      <c r="P171" s="1" t="s">
        <v>74</v>
      </c>
      <c r="Q171" s="1" t="s">
        <v>74</v>
      </c>
      <c r="R171" s="1" t="s">
        <v>74</v>
      </c>
      <c r="S171" s="1" t="s">
        <v>74</v>
      </c>
      <c r="T171" s="1" t="s">
        <v>74</v>
      </c>
      <c r="U171" s="1" t="s">
        <v>74</v>
      </c>
      <c r="V171" s="1" t="s">
        <v>1883</v>
      </c>
      <c r="W171" s="1" t="s">
        <v>74</v>
      </c>
      <c r="X171" s="1" t="s">
        <v>74</v>
      </c>
      <c r="Y171" s="1" t="s">
        <v>74</v>
      </c>
      <c r="Z171" s="1" t="s">
        <v>74</v>
      </c>
      <c r="AA171" s="1" t="s">
        <v>1884</v>
      </c>
      <c r="AB171" s="1" t="s">
        <v>1885</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74</v>
      </c>
      <c r="AP171" s="1" t="s">
        <v>443</v>
      </c>
      <c r="AQ171" s="1" t="s">
        <v>74</v>
      </c>
      <c r="AR171" s="1" t="s">
        <v>74</v>
      </c>
      <c r="AS171" s="1" t="s">
        <v>74</v>
      </c>
      <c r="AT171" s="1" t="s">
        <v>344</v>
      </c>
      <c r="AU171" s="1">
        <v>2020.0</v>
      </c>
      <c r="AV171" s="1">
        <v>17.0</v>
      </c>
      <c r="AW171" s="1">
        <v>18.0</v>
      </c>
      <c r="AX171" s="1" t="s">
        <v>74</v>
      </c>
      <c r="AY171" s="1" t="s">
        <v>74</v>
      </c>
      <c r="AZ171" s="1" t="s">
        <v>74</v>
      </c>
      <c r="BA171" s="1" t="s">
        <v>74</v>
      </c>
      <c r="BB171" s="1" t="s">
        <v>74</v>
      </c>
      <c r="BC171" s="1" t="s">
        <v>74</v>
      </c>
      <c r="BD171" s="1">
        <v>6515.0</v>
      </c>
      <c r="BE171" s="1" t="s">
        <v>1886</v>
      </c>
      <c r="BF171" s="2" t="str">
        <f>HYPERLINK("http://dx.doi.org/10.3390/ijerph17186515","http://dx.doi.org/10.3390/ijerph17186515")</f>
        <v>http://dx.doi.org/10.3390/ijerph17186515</v>
      </c>
      <c r="BG171" s="1" t="s">
        <v>74</v>
      </c>
      <c r="BH171" s="1" t="s">
        <v>74</v>
      </c>
      <c r="BI171" s="1" t="s">
        <v>74</v>
      </c>
      <c r="BJ171" s="1" t="s">
        <v>74</v>
      </c>
      <c r="BK171" s="1" t="s">
        <v>74</v>
      </c>
      <c r="BL171" s="1" t="s">
        <v>74</v>
      </c>
      <c r="BM171" s="1" t="s">
        <v>74</v>
      </c>
      <c r="BN171" s="1">
        <v>3.2906788E7</v>
      </c>
      <c r="BO171" s="1" t="s">
        <v>74</v>
      </c>
      <c r="BP171" s="1" t="s">
        <v>74</v>
      </c>
      <c r="BQ171" s="1" t="s">
        <v>74</v>
      </c>
      <c r="BR171" s="1" t="s">
        <v>74</v>
      </c>
      <c r="BS171" s="1" t="s">
        <v>1887</v>
      </c>
      <c r="BT171" s="1" t="str">
        <f>HYPERLINK("https%3A%2F%2Fwww.webofscience.com%2Fwos%2Fwoscc%2Ffull-record%2FWOS:000581311100001","View Full Record in Web of Science")</f>
        <v>View Full Record in Web of Science</v>
      </c>
    </row>
    <row r="172" ht="12.75" customHeight="1">
      <c r="A172" s="1" t="s">
        <v>72</v>
      </c>
      <c r="B172" s="1" t="s">
        <v>1888</v>
      </c>
      <c r="C172" s="1" t="s">
        <v>74</v>
      </c>
      <c r="D172" s="1" t="s">
        <v>74</v>
      </c>
      <c r="E172" s="1" t="s">
        <v>74</v>
      </c>
      <c r="F172" s="1" t="s">
        <v>1889</v>
      </c>
      <c r="G172" s="1" t="s">
        <v>74</v>
      </c>
      <c r="H172" s="1" t="s">
        <v>324</v>
      </c>
      <c r="I172" s="1" t="s">
        <v>1890</v>
      </c>
      <c r="J172" s="1" t="s">
        <v>439</v>
      </c>
      <c r="K172" s="1" t="s">
        <v>74</v>
      </c>
      <c r="L172" s="1" t="s">
        <v>74</v>
      </c>
      <c r="M172" s="1" t="s">
        <v>74</v>
      </c>
      <c r="N172" s="1" t="s">
        <v>74</v>
      </c>
      <c r="O172" s="1" t="s">
        <v>74</v>
      </c>
      <c r="P172" s="1" t="s">
        <v>74</v>
      </c>
      <c r="Q172" s="1" t="s">
        <v>74</v>
      </c>
      <c r="R172" s="1" t="s">
        <v>74</v>
      </c>
      <c r="S172" s="1" t="s">
        <v>74</v>
      </c>
      <c r="T172" s="1" t="s">
        <v>74</v>
      </c>
      <c r="U172" s="1" t="s">
        <v>74</v>
      </c>
      <c r="V172" s="1" t="s">
        <v>1891</v>
      </c>
      <c r="W172" s="1" t="s">
        <v>74</v>
      </c>
      <c r="X172" s="1" t="s">
        <v>74</v>
      </c>
      <c r="Y172" s="1" t="s">
        <v>74</v>
      </c>
      <c r="Z172" s="1" t="s">
        <v>74</v>
      </c>
      <c r="AA172" s="1" t="s">
        <v>1892</v>
      </c>
      <c r="AB172" s="1" t="s">
        <v>1893</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74</v>
      </c>
      <c r="AP172" s="1" t="s">
        <v>443</v>
      </c>
      <c r="AQ172" s="1" t="s">
        <v>74</v>
      </c>
      <c r="AR172" s="1" t="s">
        <v>74</v>
      </c>
      <c r="AS172" s="1" t="s">
        <v>74</v>
      </c>
      <c r="AT172" s="1" t="s">
        <v>757</v>
      </c>
      <c r="AU172" s="1">
        <v>2021.0</v>
      </c>
      <c r="AV172" s="1">
        <v>18.0</v>
      </c>
      <c r="AW172" s="1">
        <v>9.0</v>
      </c>
      <c r="AX172" s="1" t="s">
        <v>74</v>
      </c>
      <c r="AY172" s="1" t="s">
        <v>74</v>
      </c>
      <c r="AZ172" s="1" t="s">
        <v>74</v>
      </c>
      <c r="BA172" s="1" t="s">
        <v>74</v>
      </c>
      <c r="BB172" s="1" t="s">
        <v>74</v>
      </c>
      <c r="BC172" s="1" t="s">
        <v>74</v>
      </c>
      <c r="BD172" s="1">
        <v>4641.0</v>
      </c>
      <c r="BE172" s="1" t="s">
        <v>1894</v>
      </c>
      <c r="BF172" s="2" t="str">
        <f>HYPERLINK("http://dx.doi.org/10.3390/ijerph18094641","http://dx.doi.org/10.3390/ijerph18094641")</f>
        <v>http://dx.doi.org/10.3390/ijerph18094641</v>
      </c>
      <c r="BG172" s="1" t="s">
        <v>74</v>
      </c>
      <c r="BH172" s="1" t="s">
        <v>74</v>
      </c>
      <c r="BI172" s="1" t="s">
        <v>74</v>
      </c>
      <c r="BJ172" s="1" t="s">
        <v>74</v>
      </c>
      <c r="BK172" s="1" t="s">
        <v>74</v>
      </c>
      <c r="BL172" s="1" t="s">
        <v>74</v>
      </c>
      <c r="BM172" s="1" t="s">
        <v>74</v>
      </c>
      <c r="BN172" s="1">
        <v>3.3925513E7</v>
      </c>
      <c r="BO172" s="1" t="s">
        <v>74</v>
      </c>
      <c r="BP172" s="1" t="s">
        <v>74</v>
      </c>
      <c r="BQ172" s="1" t="s">
        <v>74</v>
      </c>
      <c r="BR172" s="1" t="s">
        <v>74</v>
      </c>
      <c r="BS172" s="1" t="s">
        <v>1895</v>
      </c>
      <c r="BT172" s="1" t="str">
        <f>HYPERLINK("https%3A%2F%2Fwww.webofscience.com%2Fwos%2Fwoscc%2Ffull-record%2FWOS:000650235900001","View Full Record in Web of Science")</f>
        <v>View Full Record in Web of Science</v>
      </c>
    </row>
    <row r="173" ht="12.75" customHeight="1">
      <c r="A173" s="1" t="s">
        <v>72</v>
      </c>
      <c r="B173" s="1" t="s">
        <v>1896</v>
      </c>
      <c r="C173" s="1" t="s">
        <v>74</v>
      </c>
      <c r="D173" s="1" t="s">
        <v>74</v>
      </c>
      <c r="E173" s="1" t="s">
        <v>74</v>
      </c>
      <c r="F173" s="1" t="s">
        <v>1897</v>
      </c>
      <c r="G173" s="1" t="s">
        <v>74</v>
      </c>
      <c r="H173" s="1" t="s">
        <v>74</v>
      </c>
      <c r="I173" s="1" t="s">
        <v>1898</v>
      </c>
      <c r="J173" s="1" t="s">
        <v>395</v>
      </c>
      <c r="K173" s="1" t="s">
        <v>74</v>
      </c>
      <c r="L173" s="1" t="s">
        <v>74</v>
      </c>
      <c r="M173" s="1" t="s">
        <v>74</v>
      </c>
      <c r="N173" s="1" t="s">
        <v>74</v>
      </c>
      <c r="O173" s="1" t="s">
        <v>74</v>
      </c>
      <c r="P173" s="1" t="s">
        <v>74</v>
      </c>
      <c r="Q173" s="1" t="s">
        <v>74</v>
      </c>
      <c r="R173" s="1" t="s">
        <v>74</v>
      </c>
      <c r="S173" s="1" t="s">
        <v>74</v>
      </c>
      <c r="T173" s="1" t="s">
        <v>74</v>
      </c>
      <c r="U173" s="1" t="s">
        <v>74</v>
      </c>
      <c r="V173" s="1" t="s">
        <v>1899</v>
      </c>
      <c r="W173" s="1" t="s">
        <v>74</v>
      </c>
      <c r="X173" s="1" t="s">
        <v>74</v>
      </c>
      <c r="Y173" s="1" t="s">
        <v>74</v>
      </c>
      <c r="Z173" s="1" t="s">
        <v>74</v>
      </c>
      <c r="AA173" s="1" t="s">
        <v>1900</v>
      </c>
      <c r="AB173" s="1" t="s">
        <v>1901</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399</v>
      </c>
      <c r="AP173" s="1" t="s">
        <v>400</v>
      </c>
      <c r="AQ173" s="1" t="s">
        <v>74</v>
      </c>
      <c r="AR173" s="1" t="s">
        <v>74</v>
      </c>
      <c r="AS173" s="1" t="s">
        <v>74</v>
      </c>
      <c r="AT173" s="1" t="s">
        <v>1902</v>
      </c>
      <c r="AU173" s="1">
        <v>2023.0</v>
      </c>
      <c r="AV173" s="1">
        <v>523.0</v>
      </c>
      <c r="AW173" s="1">
        <v>4.0</v>
      </c>
      <c r="AX173" s="1" t="s">
        <v>74</v>
      </c>
      <c r="AY173" s="1" t="s">
        <v>74</v>
      </c>
      <c r="AZ173" s="1" t="s">
        <v>74</v>
      </c>
      <c r="BA173" s="1" t="s">
        <v>74</v>
      </c>
      <c r="BB173" s="1">
        <v>4970.0</v>
      </c>
      <c r="BC173" s="1">
        <v>4991.0</v>
      </c>
      <c r="BD173" s="1" t="s">
        <v>74</v>
      </c>
      <c r="BE173" s="1" t="s">
        <v>1903</v>
      </c>
      <c r="BF173" s="2" t="str">
        <f>HYPERLINK("http://dx.doi.org/10.1093/mnras/stad1614","http://dx.doi.org/10.1093/mnras/stad1614")</f>
        <v>http://dx.doi.org/10.1093/mnras/stad1614</v>
      </c>
      <c r="BG173" s="1" t="s">
        <v>74</v>
      </c>
      <c r="BH173" s="1" t="s">
        <v>202</v>
      </c>
      <c r="BI173" s="1" t="s">
        <v>74</v>
      </c>
      <c r="BJ173" s="1" t="s">
        <v>74</v>
      </c>
      <c r="BK173" s="1" t="s">
        <v>74</v>
      </c>
      <c r="BL173" s="1" t="s">
        <v>74</v>
      </c>
      <c r="BM173" s="1" t="s">
        <v>74</v>
      </c>
      <c r="BN173" s="1" t="s">
        <v>74</v>
      </c>
      <c r="BO173" s="1" t="s">
        <v>74</v>
      </c>
      <c r="BP173" s="1" t="s">
        <v>74</v>
      </c>
      <c r="BQ173" s="1" t="s">
        <v>74</v>
      </c>
      <c r="BR173" s="1" t="s">
        <v>74</v>
      </c>
      <c r="BS173" s="1" t="s">
        <v>1904</v>
      </c>
      <c r="BT173" s="1" t="str">
        <f>HYPERLINK("https%3A%2F%2Fwww.webofscience.com%2Fwos%2Fwoscc%2Ffull-record%2FWOS:001023895800007","View Full Record in Web of Science")</f>
        <v>View Full Record in Web of Science</v>
      </c>
    </row>
    <row r="174" ht="12.75" customHeight="1">
      <c r="A174" s="1" t="s">
        <v>72</v>
      </c>
      <c r="B174" s="1" t="s">
        <v>1905</v>
      </c>
      <c r="C174" s="1" t="s">
        <v>74</v>
      </c>
      <c r="D174" s="1" t="s">
        <v>74</v>
      </c>
      <c r="E174" s="1" t="s">
        <v>74</v>
      </c>
      <c r="F174" s="1" t="s">
        <v>1906</v>
      </c>
      <c r="G174" s="1" t="s">
        <v>74</v>
      </c>
      <c r="H174" s="1" t="s">
        <v>74</v>
      </c>
      <c r="I174" s="1" t="s">
        <v>1907</v>
      </c>
      <c r="J174" s="1" t="s">
        <v>439</v>
      </c>
      <c r="K174" s="1" t="s">
        <v>74</v>
      </c>
      <c r="L174" s="1" t="s">
        <v>74</v>
      </c>
      <c r="M174" s="1" t="s">
        <v>74</v>
      </c>
      <c r="N174" s="1" t="s">
        <v>74</v>
      </c>
      <c r="O174" s="1" t="s">
        <v>74</v>
      </c>
      <c r="P174" s="1" t="s">
        <v>74</v>
      </c>
      <c r="Q174" s="1" t="s">
        <v>74</v>
      </c>
      <c r="R174" s="1" t="s">
        <v>74</v>
      </c>
      <c r="S174" s="1" t="s">
        <v>74</v>
      </c>
      <c r="T174" s="1" t="s">
        <v>74</v>
      </c>
      <c r="U174" s="1" t="s">
        <v>74</v>
      </c>
      <c r="V174" s="1" t="s">
        <v>1908</v>
      </c>
      <c r="W174" s="1" t="s">
        <v>74</v>
      </c>
      <c r="X174" s="1" t="s">
        <v>74</v>
      </c>
      <c r="Y174" s="1" t="s">
        <v>74</v>
      </c>
      <c r="Z174" s="1" t="s">
        <v>74</v>
      </c>
      <c r="AA174" s="1" t="s">
        <v>1909</v>
      </c>
      <c r="AB174" s="1" t="s">
        <v>1910</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74</v>
      </c>
      <c r="AP174" s="1" t="s">
        <v>443</v>
      </c>
      <c r="AQ174" s="1" t="s">
        <v>74</v>
      </c>
      <c r="AR174" s="1" t="s">
        <v>74</v>
      </c>
      <c r="AS174" s="1" t="s">
        <v>74</v>
      </c>
      <c r="AT174" s="1" t="s">
        <v>757</v>
      </c>
      <c r="AU174" s="1">
        <v>2021.0</v>
      </c>
      <c r="AV174" s="1">
        <v>18.0</v>
      </c>
      <c r="AW174" s="1">
        <v>10.0</v>
      </c>
      <c r="AX174" s="1" t="s">
        <v>74</v>
      </c>
      <c r="AY174" s="1" t="s">
        <v>74</v>
      </c>
      <c r="AZ174" s="1" t="s">
        <v>74</v>
      </c>
      <c r="BA174" s="1" t="s">
        <v>74</v>
      </c>
      <c r="BB174" s="1" t="s">
        <v>74</v>
      </c>
      <c r="BC174" s="1" t="s">
        <v>74</v>
      </c>
      <c r="BD174" s="1">
        <v>5239.0</v>
      </c>
      <c r="BE174" s="1" t="s">
        <v>1911</v>
      </c>
      <c r="BF174" s="2" t="str">
        <f>HYPERLINK("http://dx.doi.org/10.3390/ijerph18105239","http://dx.doi.org/10.3390/ijerph18105239")</f>
        <v>http://dx.doi.org/10.3390/ijerph18105239</v>
      </c>
      <c r="BG174" s="1" t="s">
        <v>74</v>
      </c>
      <c r="BH174" s="1" t="s">
        <v>74</v>
      </c>
      <c r="BI174" s="1" t="s">
        <v>74</v>
      </c>
      <c r="BJ174" s="1" t="s">
        <v>74</v>
      </c>
      <c r="BK174" s="1" t="s">
        <v>74</v>
      </c>
      <c r="BL174" s="1" t="s">
        <v>74</v>
      </c>
      <c r="BM174" s="1" t="s">
        <v>74</v>
      </c>
      <c r="BN174" s="1">
        <v>3.4069124E7</v>
      </c>
      <c r="BO174" s="1" t="s">
        <v>74</v>
      </c>
      <c r="BP174" s="1" t="s">
        <v>74</v>
      </c>
      <c r="BQ174" s="1" t="s">
        <v>74</v>
      </c>
      <c r="BR174" s="1" t="s">
        <v>74</v>
      </c>
      <c r="BS174" s="1" t="s">
        <v>1912</v>
      </c>
      <c r="BT174" s="1" t="str">
        <f>HYPERLINK("https%3A%2F%2Fwww.webofscience.com%2Fwos%2Fwoscc%2Ffull-record%2FWOS:000654900300001","View Full Record in Web of Science")</f>
        <v>View Full Record in Web of Science</v>
      </c>
    </row>
    <row r="175" ht="12.75" customHeight="1">
      <c r="A175" s="1" t="s">
        <v>72</v>
      </c>
      <c r="B175" s="1" t="s">
        <v>1913</v>
      </c>
      <c r="C175" s="1" t="s">
        <v>74</v>
      </c>
      <c r="D175" s="1" t="s">
        <v>74</v>
      </c>
      <c r="E175" s="1" t="s">
        <v>74</v>
      </c>
      <c r="F175" s="1" t="s">
        <v>1914</v>
      </c>
      <c r="G175" s="1" t="s">
        <v>74</v>
      </c>
      <c r="H175" s="1" t="s">
        <v>74</v>
      </c>
      <c r="I175" s="1" t="s">
        <v>1915</v>
      </c>
      <c r="J175" s="1" t="s">
        <v>244</v>
      </c>
      <c r="K175" s="1" t="s">
        <v>74</v>
      </c>
      <c r="L175" s="1" t="s">
        <v>74</v>
      </c>
      <c r="M175" s="1" t="s">
        <v>74</v>
      </c>
      <c r="N175" s="1" t="s">
        <v>74</v>
      </c>
      <c r="O175" s="1" t="s">
        <v>74</v>
      </c>
      <c r="P175" s="1" t="s">
        <v>74</v>
      </c>
      <c r="Q175" s="1" t="s">
        <v>74</v>
      </c>
      <c r="R175" s="1" t="s">
        <v>74</v>
      </c>
      <c r="S175" s="1" t="s">
        <v>74</v>
      </c>
      <c r="T175" s="1" t="s">
        <v>74</v>
      </c>
      <c r="U175" s="1" t="s">
        <v>74</v>
      </c>
      <c r="V175" s="1" t="s">
        <v>1916</v>
      </c>
      <c r="W175" s="1" t="s">
        <v>74</v>
      </c>
      <c r="X175" s="1" t="s">
        <v>74</v>
      </c>
      <c r="Y175" s="1" t="s">
        <v>74</v>
      </c>
      <c r="Z175" s="1" t="s">
        <v>74</v>
      </c>
      <c r="AA175" s="1" t="s">
        <v>1917</v>
      </c>
      <c r="AB175" s="1" t="s">
        <v>1918</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248</v>
      </c>
      <c r="AP175" s="1" t="s">
        <v>249</v>
      </c>
      <c r="AQ175" s="1" t="s">
        <v>74</v>
      </c>
      <c r="AR175" s="1" t="s">
        <v>74</v>
      </c>
      <c r="AS175" s="1" t="s">
        <v>74</v>
      </c>
      <c r="AT175" s="1" t="s">
        <v>1213</v>
      </c>
      <c r="AU175" s="1">
        <v>2023.0</v>
      </c>
      <c r="AV175" s="1">
        <v>952.0</v>
      </c>
      <c r="AW175" s="1">
        <v>1.0</v>
      </c>
      <c r="AX175" s="1" t="s">
        <v>74</v>
      </c>
      <c r="AY175" s="1" t="s">
        <v>74</v>
      </c>
      <c r="AZ175" s="1" t="s">
        <v>74</v>
      </c>
      <c r="BA175" s="1" t="s">
        <v>74</v>
      </c>
      <c r="BB175" s="1" t="s">
        <v>74</v>
      </c>
      <c r="BC175" s="1" t="s">
        <v>74</v>
      </c>
      <c r="BD175" s="1" t="s">
        <v>1919</v>
      </c>
      <c r="BE175" s="1" t="s">
        <v>1920</v>
      </c>
      <c r="BF175" s="2" t="str">
        <f>HYPERLINK("http://dx.doi.org/10.3847/2041-8213/ace186","http://dx.doi.org/10.3847/2041-8213/ace186")</f>
        <v>http://dx.doi.org/10.3847/2041-8213/ace186</v>
      </c>
      <c r="BG175" s="1" t="s">
        <v>74</v>
      </c>
      <c r="BH175" s="1" t="s">
        <v>74</v>
      </c>
      <c r="BI175" s="1" t="s">
        <v>74</v>
      </c>
      <c r="BJ175" s="1" t="s">
        <v>74</v>
      </c>
      <c r="BK175" s="1" t="s">
        <v>74</v>
      </c>
      <c r="BL175" s="1" t="s">
        <v>74</v>
      </c>
      <c r="BM175" s="1" t="s">
        <v>74</v>
      </c>
      <c r="BN175" s="1" t="s">
        <v>74</v>
      </c>
      <c r="BO175" s="1" t="s">
        <v>74</v>
      </c>
      <c r="BP175" s="1" t="s">
        <v>74</v>
      </c>
      <c r="BQ175" s="1" t="s">
        <v>74</v>
      </c>
      <c r="BR175" s="1" t="s">
        <v>74</v>
      </c>
      <c r="BS175" s="1" t="s">
        <v>1921</v>
      </c>
      <c r="BT175" s="1" t="str">
        <f>HYPERLINK("https%3A%2F%2Fwww.webofscience.com%2Fwos%2Fwoscc%2Ffull-record%2FWOS:001046478800001","View Full Record in Web of Science")</f>
        <v>View Full Record in Web of Science</v>
      </c>
    </row>
    <row r="176" ht="12.75" customHeight="1">
      <c r="A176" s="1" t="s">
        <v>72</v>
      </c>
      <c r="B176" s="1" t="s">
        <v>1922</v>
      </c>
      <c r="C176" s="1" t="s">
        <v>74</v>
      </c>
      <c r="D176" s="1" t="s">
        <v>74</v>
      </c>
      <c r="E176" s="1" t="s">
        <v>74</v>
      </c>
      <c r="F176" s="1" t="s">
        <v>1923</v>
      </c>
      <c r="G176" s="1" t="s">
        <v>74</v>
      </c>
      <c r="H176" s="1" t="s">
        <v>74</v>
      </c>
      <c r="I176" s="1" t="s">
        <v>1924</v>
      </c>
      <c r="J176" s="1" t="s">
        <v>1925</v>
      </c>
      <c r="K176" s="1" t="s">
        <v>74</v>
      </c>
      <c r="L176" s="1" t="s">
        <v>74</v>
      </c>
      <c r="M176" s="1" t="s">
        <v>74</v>
      </c>
      <c r="N176" s="1" t="s">
        <v>74</v>
      </c>
      <c r="O176" s="1" t="s">
        <v>74</v>
      </c>
      <c r="P176" s="1" t="s">
        <v>74</v>
      </c>
      <c r="Q176" s="1" t="s">
        <v>74</v>
      </c>
      <c r="R176" s="1" t="s">
        <v>74</v>
      </c>
      <c r="S176" s="1" t="s">
        <v>74</v>
      </c>
      <c r="T176" s="1" t="s">
        <v>74</v>
      </c>
      <c r="U176" s="1" t="s">
        <v>74</v>
      </c>
      <c r="V176" s="1" t="s">
        <v>1926</v>
      </c>
      <c r="W176" s="1" t="s">
        <v>74</v>
      </c>
      <c r="X176" s="1" t="s">
        <v>74</v>
      </c>
      <c r="Y176" s="1" t="s">
        <v>74</v>
      </c>
      <c r="Z176" s="1" t="s">
        <v>74</v>
      </c>
      <c r="AA176" s="1" t="s">
        <v>1927</v>
      </c>
      <c r="AB176" s="1" t="s">
        <v>1928</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1929</v>
      </c>
      <c r="AP176" s="1" t="s">
        <v>1930</v>
      </c>
      <c r="AQ176" s="1" t="s">
        <v>74</v>
      </c>
      <c r="AR176" s="1" t="s">
        <v>74</v>
      </c>
      <c r="AS176" s="1" t="s">
        <v>74</v>
      </c>
      <c r="AT176" s="1" t="s">
        <v>1931</v>
      </c>
      <c r="AU176" s="1">
        <v>2022.0</v>
      </c>
      <c r="AV176" s="1">
        <v>19.0</v>
      </c>
      <c r="AW176" s="1">
        <v>4.0</v>
      </c>
      <c r="AX176" s="1" t="s">
        <v>74</v>
      </c>
      <c r="AY176" s="1" t="s">
        <v>74</v>
      </c>
      <c r="AZ176" s="1" t="s">
        <v>74</v>
      </c>
      <c r="BA176" s="1" t="s">
        <v>74</v>
      </c>
      <c r="BB176" s="1" t="s">
        <v>74</v>
      </c>
      <c r="BC176" s="1" t="s">
        <v>74</v>
      </c>
      <c r="BD176" s="1">
        <v>46048.0</v>
      </c>
      <c r="BE176" s="1" t="s">
        <v>1932</v>
      </c>
      <c r="BF176" s="2" t="str">
        <f>HYPERLINK("http://dx.doi.org/10.1088/1741-2552/ac87d0","http://dx.doi.org/10.1088/1741-2552/ac87d0")</f>
        <v>http://dx.doi.org/10.1088/1741-2552/ac87d0</v>
      </c>
      <c r="BG176" s="1" t="s">
        <v>74</v>
      </c>
      <c r="BH176" s="1" t="s">
        <v>74</v>
      </c>
      <c r="BI176" s="1" t="s">
        <v>74</v>
      </c>
      <c r="BJ176" s="1" t="s">
        <v>74</v>
      </c>
      <c r="BK176" s="1" t="s">
        <v>74</v>
      </c>
      <c r="BL176" s="1" t="s">
        <v>74</v>
      </c>
      <c r="BM176" s="1" t="s">
        <v>74</v>
      </c>
      <c r="BN176" s="1">
        <v>3.5940105E7</v>
      </c>
      <c r="BO176" s="1" t="s">
        <v>74</v>
      </c>
      <c r="BP176" s="1" t="s">
        <v>74</v>
      </c>
      <c r="BQ176" s="1" t="s">
        <v>74</v>
      </c>
      <c r="BR176" s="1" t="s">
        <v>74</v>
      </c>
      <c r="BS176" s="1" t="s">
        <v>1933</v>
      </c>
      <c r="BT176" s="1" t="str">
        <f>HYPERLINK("https%3A%2F%2Fwww.webofscience.com%2Fwos%2Fwoscc%2Ffull-record%2FWOS:000844321400001","View Full Record in Web of Science")</f>
        <v>View Full Record in Web of Science</v>
      </c>
    </row>
    <row r="177" ht="12.75" customHeight="1">
      <c r="A177" s="1" t="s">
        <v>72</v>
      </c>
      <c r="B177" s="1" t="s">
        <v>1934</v>
      </c>
      <c r="C177" s="1" t="s">
        <v>74</v>
      </c>
      <c r="D177" s="1" t="s">
        <v>74</v>
      </c>
      <c r="E177" s="1" t="s">
        <v>74</v>
      </c>
      <c r="F177" s="1" t="s">
        <v>1935</v>
      </c>
      <c r="G177" s="1" t="s">
        <v>74</v>
      </c>
      <c r="H177" s="1" t="s">
        <v>74</v>
      </c>
      <c r="I177" s="1" t="s">
        <v>1936</v>
      </c>
      <c r="J177" s="1" t="s">
        <v>1937</v>
      </c>
      <c r="K177" s="1" t="s">
        <v>74</v>
      </c>
      <c r="L177" s="1" t="s">
        <v>74</v>
      </c>
      <c r="M177" s="1" t="s">
        <v>74</v>
      </c>
      <c r="N177" s="1" t="s">
        <v>74</v>
      </c>
      <c r="O177" s="1" t="s">
        <v>74</v>
      </c>
      <c r="P177" s="1" t="s">
        <v>74</v>
      </c>
      <c r="Q177" s="1" t="s">
        <v>74</v>
      </c>
      <c r="R177" s="1" t="s">
        <v>74</v>
      </c>
      <c r="S177" s="1" t="s">
        <v>74</v>
      </c>
      <c r="T177" s="1" t="s">
        <v>74</v>
      </c>
      <c r="U177" s="1" t="s">
        <v>74</v>
      </c>
      <c r="V177" s="1" t="s">
        <v>1938</v>
      </c>
      <c r="W177" s="1" t="s">
        <v>74</v>
      </c>
      <c r="X177" s="1" t="s">
        <v>74</v>
      </c>
      <c r="Y177" s="1" t="s">
        <v>74</v>
      </c>
      <c r="Z177" s="1" t="s">
        <v>74</v>
      </c>
      <c r="AA177" s="1" t="s">
        <v>1939</v>
      </c>
      <c r="AB177" s="1" t="s">
        <v>1940</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74</v>
      </c>
      <c r="AP177" s="1" t="s">
        <v>1941</v>
      </c>
      <c r="AQ177" s="1" t="s">
        <v>74</v>
      </c>
      <c r="AR177" s="1" t="s">
        <v>74</v>
      </c>
      <c r="AS177" s="1" t="s">
        <v>74</v>
      </c>
      <c r="AT177" s="1" t="s">
        <v>1942</v>
      </c>
      <c r="AU177" s="1">
        <v>2021.0</v>
      </c>
      <c r="AV177" s="1">
        <v>8.0</v>
      </c>
      <c r="AW177" s="1" t="s">
        <v>74</v>
      </c>
      <c r="AX177" s="1" t="s">
        <v>74</v>
      </c>
      <c r="AY177" s="1" t="s">
        <v>74</v>
      </c>
      <c r="AZ177" s="1" t="s">
        <v>74</v>
      </c>
      <c r="BA177" s="1" t="s">
        <v>74</v>
      </c>
      <c r="BB177" s="1" t="s">
        <v>74</v>
      </c>
      <c r="BC177" s="1" t="s">
        <v>74</v>
      </c>
      <c r="BD177" s="1">
        <v>578959.0</v>
      </c>
      <c r="BE177" s="1" t="s">
        <v>1943</v>
      </c>
      <c r="BF177" s="2" t="str">
        <f>HYPERLINK("http://dx.doi.org/10.3389/fmed.2021.578959","http://dx.doi.org/10.3389/fmed.2021.578959")</f>
        <v>http://dx.doi.org/10.3389/fmed.2021.578959</v>
      </c>
      <c r="BG177" s="1" t="s">
        <v>74</v>
      </c>
      <c r="BH177" s="1" t="s">
        <v>74</v>
      </c>
      <c r="BI177" s="1" t="s">
        <v>74</v>
      </c>
      <c r="BJ177" s="1" t="s">
        <v>74</v>
      </c>
      <c r="BK177" s="1" t="s">
        <v>74</v>
      </c>
      <c r="BL177" s="1" t="s">
        <v>74</v>
      </c>
      <c r="BM177" s="1" t="s">
        <v>74</v>
      </c>
      <c r="BN177" s="1">
        <v>3.3842492E7</v>
      </c>
      <c r="BO177" s="1" t="s">
        <v>74</v>
      </c>
      <c r="BP177" s="1" t="s">
        <v>74</v>
      </c>
      <c r="BQ177" s="1" t="s">
        <v>74</v>
      </c>
      <c r="BR177" s="1" t="s">
        <v>74</v>
      </c>
      <c r="BS177" s="1" t="s">
        <v>1944</v>
      </c>
      <c r="BT177" s="1" t="str">
        <f>HYPERLINK("https%3A%2F%2Fwww.webofscience.com%2Fwos%2Fwoscc%2Ffull-record%2FWOS:000637958100001","View Full Record in Web of Science")</f>
        <v>View Full Record in Web of Science</v>
      </c>
    </row>
    <row r="178" ht="12.75" customHeight="1">
      <c r="A178" s="1" t="s">
        <v>72</v>
      </c>
      <c r="B178" s="1" t="s">
        <v>1945</v>
      </c>
      <c r="C178" s="1" t="s">
        <v>74</v>
      </c>
      <c r="D178" s="1" t="s">
        <v>74</v>
      </c>
      <c r="E178" s="1" t="s">
        <v>74</v>
      </c>
      <c r="F178" s="1" t="s">
        <v>1946</v>
      </c>
      <c r="G178" s="1" t="s">
        <v>74</v>
      </c>
      <c r="H178" s="1" t="s">
        <v>74</v>
      </c>
      <c r="I178" s="1" t="s">
        <v>1947</v>
      </c>
      <c r="J178" s="1" t="s">
        <v>1948</v>
      </c>
      <c r="K178" s="1" t="s">
        <v>74</v>
      </c>
      <c r="L178" s="1" t="s">
        <v>74</v>
      </c>
      <c r="M178" s="1" t="s">
        <v>74</v>
      </c>
      <c r="N178" s="1" t="s">
        <v>74</v>
      </c>
      <c r="O178" s="1" t="s">
        <v>74</v>
      </c>
      <c r="P178" s="1" t="s">
        <v>74</v>
      </c>
      <c r="Q178" s="1" t="s">
        <v>74</v>
      </c>
      <c r="R178" s="1" t="s">
        <v>74</v>
      </c>
      <c r="S178" s="1" t="s">
        <v>74</v>
      </c>
      <c r="T178" s="1" t="s">
        <v>74</v>
      </c>
      <c r="U178" s="1" t="s">
        <v>74</v>
      </c>
      <c r="V178" s="1" t="s">
        <v>1949</v>
      </c>
      <c r="W178" s="1" t="s">
        <v>74</v>
      </c>
      <c r="X178" s="1" t="s">
        <v>74</v>
      </c>
      <c r="Y178" s="1" t="s">
        <v>74</v>
      </c>
      <c r="Z178" s="1" t="s">
        <v>74</v>
      </c>
      <c r="AA178" s="1" t="s">
        <v>1950</v>
      </c>
      <c r="AB178" s="1" t="s">
        <v>1951</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74</v>
      </c>
      <c r="AP178" s="1" t="s">
        <v>1952</v>
      </c>
      <c r="AQ178" s="1" t="s">
        <v>74</v>
      </c>
      <c r="AR178" s="1" t="s">
        <v>74</v>
      </c>
      <c r="AS178" s="1" t="s">
        <v>74</v>
      </c>
      <c r="AT178" s="1" t="s">
        <v>1953</v>
      </c>
      <c r="AU178" s="1">
        <v>2023.0</v>
      </c>
      <c r="AV178" s="1">
        <v>26.0</v>
      </c>
      <c r="AW178" s="1">
        <v>7.0</v>
      </c>
      <c r="AX178" s="1" t="s">
        <v>74</v>
      </c>
      <c r="AY178" s="1" t="s">
        <v>74</v>
      </c>
      <c r="AZ178" s="1" t="s">
        <v>74</v>
      </c>
      <c r="BA178" s="1" t="s">
        <v>74</v>
      </c>
      <c r="BB178" s="1" t="s">
        <v>74</v>
      </c>
      <c r="BC178" s="1" t="s">
        <v>74</v>
      </c>
      <c r="BD178" s="1">
        <v>107085.0</v>
      </c>
      <c r="BE178" s="1" t="s">
        <v>1954</v>
      </c>
      <c r="BF178" s="2" t="str">
        <f>HYPERLINK("http://dx.doi.org/10.1016/j.isci.2023.107085","http://dx.doi.org/10.1016/j.isci.2023.107085")</f>
        <v>http://dx.doi.org/10.1016/j.isci.2023.107085</v>
      </c>
      <c r="BG178" s="1" t="s">
        <v>74</v>
      </c>
      <c r="BH178" s="1" t="s">
        <v>202</v>
      </c>
      <c r="BI178" s="1" t="s">
        <v>74</v>
      </c>
      <c r="BJ178" s="1" t="s">
        <v>74</v>
      </c>
      <c r="BK178" s="1" t="s">
        <v>74</v>
      </c>
      <c r="BL178" s="1" t="s">
        <v>74</v>
      </c>
      <c r="BM178" s="1" t="s">
        <v>74</v>
      </c>
      <c r="BN178" s="1">
        <v>3.7361875E7</v>
      </c>
      <c r="BO178" s="1" t="s">
        <v>74</v>
      </c>
      <c r="BP178" s="1" t="s">
        <v>74</v>
      </c>
      <c r="BQ178" s="1" t="s">
        <v>74</v>
      </c>
      <c r="BR178" s="1" t="s">
        <v>74</v>
      </c>
      <c r="BS178" s="1" t="s">
        <v>1955</v>
      </c>
      <c r="BT178" s="1" t="str">
        <f>HYPERLINK("https%3A%2F%2Fwww.webofscience.com%2Fwos%2Fwoscc%2Ffull-record%2FWOS:001056899500001","View Full Record in Web of Science")</f>
        <v>View Full Record in Web of Science</v>
      </c>
    </row>
    <row r="179" ht="12.75" customHeight="1">
      <c r="A179" s="1" t="s">
        <v>72</v>
      </c>
      <c r="B179" s="1" t="s">
        <v>1956</v>
      </c>
      <c r="C179" s="1" t="s">
        <v>74</v>
      </c>
      <c r="D179" s="1" t="s">
        <v>74</v>
      </c>
      <c r="E179" s="1" t="s">
        <v>74</v>
      </c>
      <c r="F179" s="1" t="s">
        <v>1957</v>
      </c>
      <c r="G179" s="1" t="s">
        <v>74</v>
      </c>
      <c r="H179" s="1" t="s">
        <v>74</v>
      </c>
      <c r="I179" s="1" t="s">
        <v>1958</v>
      </c>
      <c r="J179" s="1" t="s">
        <v>1959</v>
      </c>
      <c r="K179" s="1" t="s">
        <v>74</v>
      </c>
      <c r="L179" s="1" t="s">
        <v>74</v>
      </c>
      <c r="M179" s="1" t="s">
        <v>74</v>
      </c>
      <c r="N179" s="1" t="s">
        <v>74</v>
      </c>
      <c r="O179" s="1" t="s">
        <v>74</v>
      </c>
      <c r="P179" s="1" t="s">
        <v>74</v>
      </c>
      <c r="Q179" s="1" t="s">
        <v>74</v>
      </c>
      <c r="R179" s="1" t="s">
        <v>74</v>
      </c>
      <c r="S179" s="1" t="s">
        <v>74</v>
      </c>
      <c r="T179" s="1" t="s">
        <v>74</v>
      </c>
      <c r="U179" s="1" t="s">
        <v>74</v>
      </c>
      <c r="V179" s="1" t="s">
        <v>1960</v>
      </c>
      <c r="W179" s="1" t="s">
        <v>74</v>
      </c>
      <c r="X179" s="1" t="s">
        <v>74</v>
      </c>
      <c r="Y179" s="1" t="s">
        <v>74</v>
      </c>
      <c r="Z179" s="1" t="s">
        <v>74</v>
      </c>
      <c r="AA179" s="1" t="s">
        <v>1961</v>
      </c>
      <c r="AB179" s="1" t="s">
        <v>1962</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1963</v>
      </c>
      <c r="AP179" s="1" t="s">
        <v>1964</v>
      </c>
      <c r="AQ179" s="1" t="s">
        <v>74</v>
      </c>
      <c r="AR179" s="1" t="s">
        <v>74</v>
      </c>
      <c r="AS179" s="1" t="s">
        <v>74</v>
      </c>
      <c r="AT179" s="1" t="s">
        <v>1965</v>
      </c>
      <c r="AU179" s="1">
        <v>2021.0</v>
      </c>
      <c r="AV179" s="1">
        <v>35.0</v>
      </c>
      <c r="AW179" s="1">
        <v>24.0</v>
      </c>
      <c r="AX179" s="1" t="s">
        <v>74</v>
      </c>
      <c r="AY179" s="1" t="s">
        <v>74</v>
      </c>
      <c r="AZ179" s="1" t="s">
        <v>74</v>
      </c>
      <c r="BA179" s="1" t="s">
        <v>74</v>
      </c>
      <c r="BB179" s="1">
        <v>5813.0</v>
      </c>
      <c r="BC179" s="1">
        <v>5827.0</v>
      </c>
      <c r="BD179" s="1" t="s">
        <v>74</v>
      </c>
      <c r="BE179" s="1" t="s">
        <v>1966</v>
      </c>
      <c r="BF179" s="2" t="str">
        <f>HYPERLINK("http://dx.doi.org/10.1080/14786419.2020.1821019","http://dx.doi.org/10.1080/14786419.2020.1821019")</f>
        <v>http://dx.doi.org/10.1080/14786419.2020.1821019</v>
      </c>
      <c r="BG179" s="1" t="s">
        <v>74</v>
      </c>
      <c r="BH179" s="1" t="s">
        <v>1967</v>
      </c>
      <c r="BI179" s="1" t="s">
        <v>74</v>
      </c>
      <c r="BJ179" s="1" t="s">
        <v>74</v>
      </c>
      <c r="BK179" s="1" t="s">
        <v>74</v>
      </c>
      <c r="BL179" s="1" t="s">
        <v>74</v>
      </c>
      <c r="BM179" s="1" t="s">
        <v>74</v>
      </c>
      <c r="BN179" s="1">
        <v>3.3025819E7</v>
      </c>
      <c r="BO179" s="1" t="s">
        <v>74</v>
      </c>
      <c r="BP179" s="1" t="s">
        <v>74</v>
      </c>
      <c r="BQ179" s="1" t="s">
        <v>74</v>
      </c>
      <c r="BR179" s="1" t="s">
        <v>74</v>
      </c>
      <c r="BS179" s="1" t="s">
        <v>1968</v>
      </c>
      <c r="BT179" s="1" t="str">
        <f>HYPERLINK("https%3A%2F%2Fwww.webofscience.com%2Fwos%2Fwoscc%2Ffull-record%2FWOS:000576123300001","View Full Record in Web of Science")</f>
        <v>View Full Record in Web of Science</v>
      </c>
    </row>
    <row r="180" ht="12.75" customHeight="1">
      <c r="A180" s="1" t="s">
        <v>72</v>
      </c>
      <c r="B180" s="1" t="s">
        <v>1969</v>
      </c>
      <c r="C180" s="1" t="s">
        <v>74</v>
      </c>
      <c r="D180" s="1" t="s">
        <v>74</v>
      </c>
      <c r="E180" s="1" t="s">
        <v>74</v>
      </c>
      <c r="F180" s="1" t="s">
        <v>1970</v>
      </c>
      <c r="G180" s="1" t="s">
        <v>74</v>
      </c>
      <c r="H180" s="1" t="s">
        <v>74</v>
      </c>
      <c r="I180" s="1" t="s">
        <v>1971</v>
      </c>
      <c r="J180" s="1" t="s">
        <v>1972</v>
      </c>
      <c r="K180" s="1" t="s">
        <v>74</v>
      </c>
      <c r="L180" s="1" t="s">
        <v>74</v>
      </c>
      <c r="M180" s="1" t="s">
        <v>74</v>
      </c>
      <c r="N180" s="1" t="s">
        <v>74</v>
      </c>
      <c r="O180" s="1" t="s">
        <v>74</v>
      </c>
      <c r="P180" s="1" t="s">
        <v>74</v>
      </c>
      <c r="Q180" s="1" t="s">
        <v>74</v>
      </c>
      <c r="R180" s="1" t="s">
        <v>74</v>
      </c>
      <c r="S180" s="1" t="s">
        <v>74</v>
      </c>
      <c r="T180" s="1" t="s">
        <v>74</v>
      </c>
      <c r="U180" s="1" t="s">
        <v>74</v>
      </c>
      <c r="V180" s="1" t="s">
        <v>1973</v>
      </c>
      <c r="W180" s="1" t="s">
        <v>74</v>
      </c>
      <c r="X180" s="1" t="s">
        <v>74</v>
      </c>
      <c r="Y180" s="1" t="s">
        <v>74</v>
      </c>
      <c r="Z180" s="1" t="s">
        <v>74</v>
      </c>
      <c r="AA180" s="1" t="s">
        <v>1974</v>
      </c>
      <c r="AB180" s="1" t="s">
        <v>1975</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1976</v>
      </c>
      <c r="AP180" s="1" t="s">
        <v>1977</v>
      </c>
      <c r="AQ180" s="1" t="s">
        <v>74</v>
      </c>
      <c r="AR180" s="1" t="s">
        <v>74</v>
      </c>
      <c r="AS180" s="1" t="s">
        <v>74</v>
      </c>
      <c r="AT180" s="1" t="s">
        <v>130</v>
      </c>
      <c r="AU180" s="1">
        <v>2020.0</v>
      </c>
      <c r="AV180" s="1">
        <v>132.0</v>
      </c>
      <c r="AW180" s="1" t="s">
        <v>74</v>
      </c>
      <c r="AX180" s="1" t="s">
        <v>74</v>
      </c>
      <c r="AY180" s="1" t="s">
        <v>74</v>
      </c>
      <c r="AZ180" s="1" t="s">
        <v>74</v>
      </c>
      <c r="BA180" s="1" t="s">
        <v>74</v>
      </c>
      <c r="BB180" s="1">
        <v>191.0</v>
      </c>
      <c r="BC180" s="1">
        <v>205.0</v>
      </c>
      <c r="BD180" s="1" t="s">
        <v>74</v>
      </c>
      <c r="BE180" s="1" t="s">
        <v>1978</v>
      </c>
      <c r="BF180" s="2" t="str">
        <f>HYPERLINK("http://dx.doi.org/10.1016/j.cortex.2020.08.020","http://dx.doi.org/10.1016/j.cortex.2020.08.020")</f>
        <v>http://dx.doi.org/10.1016/j.cortex.2020.08.020</v>
      </c>
      <c r="BG180" s="1" t="s">
        <v>74</v>
      </c>
      <c r="BH180" s="1" t="s">
        <v>74</v>
      </c>
      <c r="BI180" s="1" t="s">
        <v>74</v>
      </c>
      <c r="BJ180" s="1" t="s">
        <v>74</v>
      </c>
      <c r="BK180" s="1" t="s">
        <v>74</v>
      </c>
      <c r="BL180" s="1" t="s">
        <v>74</v>
      </c>
      <c r="BM180" s="1" t="s">
        <v>74</v>
      </c>
      <c r="BN180" s="1">
        <v>3.2992069E7</v>
      </c>
      <c r="BO180" s="1" t="s">
        <v>74</v>
      </c>
      <c r="BP180" s="1" t="s">
        <v>74</v>
      </c>
      <c r="BQ180" s="1" t="s">
        <v>74</v>
      </c>
      <c r="BR180" s="1" t="s">
        <v>74</v>
      </c>
      <c r="BS180" s="1" t="s">
        <v>1979</v>
      </c>
      <c r="BT180" s="1" t="str">
        <f>HYPERLINK("https%3A%2F%2Fwww.webofscience.com%2Fwos%2Fwoscc%2Ffull-record%2FWOS:000588059000015","View Full Record in Web of Science")</f>
        <v>View Full Record in Web of Science</v>
      </c>
    </row>
    <row r="181" ht="12.75" customHeight="1">
      <c r="A181" s="1" t="s">
        <v>72</v>
      </c>
      <c r="B181" s="1" t="s">
        <v>1980</v>
      </c>
      <c r="C181" s="1" t="s">
        <v>74</v>
      </c>
      <c r="D181" s="1" t="s">
        <v>74</v>
      </c>
      <c r="E181" s="1" t="s">
        <v>74</v>
      </c>
      <c r="F181" s="1" t="s">
        <v>1981</v>
      </c>
      <c r="G181" s="1" t="s">
        <v>74</v>
      </c>
      <c r="H181" s="1" t="s">
        <v>74</v>
      </c>
      <c r="I181" s="1" t="s">
        <v>1982</v>
      </c>
      <c r="J181" s="1" t="s">
        <v>1265</v>
      </c>
      <c r="K181" s="1" t="s">
        <v>74</v>
      </c>
      <c r="L181" s="1" t="s">
        <v>74</v>
      </c>
      <c r="M181" s="1" t="s">
        <v>74</v>
      </c>
      <c r="N181" s="1" t="s">
        <v>74</v>
      </c>
      <c r="O181" s="1" t="s">
        <v>74</v>
      </c>
      <c r="P181" s="1" t="s">
        <v>74</v>
      </c>
      <c r="Q181" s="1" t="s">
        <v>74</v>
      </c>
      <c r="R181" s="1" t="s">
        <v>74</v>
      </c>
      <c r="S181" s="1" t="s">
        <v>74</v>
      </c>
      <c r="T181" s="1" t="s">
        <v>74</v>
      </c>
      <c r="U181" s="1" t="s">
        <v>74</v>
      </c>
      <c r="V181" s="1" t="s">
        <v>1983</v>
      </c>
      <c r="W181" s="1" t="s">
        <v>74</v>
      </c>
      <c r="X181" s="1" t="s">
        <v>74</v>
      </c>
      <c r="Y181" s="1" t="s">
        <v>74</v>
      </c>
      <c r="Z181" s="1" t="s">
        <v>74</v>
      </c>
      <c r="AA181" s="1" t="s">
        <v>1984</v>
      </c>
      <c r="AB181" s="1" t="s">
        <v>1985</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1269</v>
      </c>
      <c r="AP181" s="1" t="s">
        <v>1270</v>
      </c>
      <c r="AQ181" s="1" t="s">
        <v>74</v>
      </c>
      <c r="AR181" s="1" t="s">
        <v>74</v>
      </c>
      <c r="AS181" s="1" t="s">
        <v>74</v>
      </c>
      <c r="AT181" s="1" t="s">
        <v>848</v>
      </c>
      <c r="AU181" s="1">
        <v>2024.0</v>
      </c>
      <c r="AV181" s="1">
        <v>147.0</v>
      </c>
      <c r="AW181" s="1">
        <v>2.0</v>
      </c>
      <c r="AX181" s="1" t="s">
        <v>74</v>
      </c>
      <c r="AY181" s="1" t="s">
        <v>74</v>
      </c>
      <c r="AZ181" s="1" t="s">
        <v>74</v>
      </c>
      <c r="BA181" s="1" t="s">
        <v>74</v>
      </c>
      <c r="BB181" s="1">
        <v>607.0</v>
      </c>
      <c r="BC181" s="1">
        <v>626.0</v>
      </c>
      <c r="BD181" s="1" t="s">
        <v>74</v>
      </c>
      <c r="BE181" s="1" t="s">
        <v>1986</v>
      </c>
      <c r="BF181" s="2" t="str">
        <f>HYPERLINK("http://dx.doi.org/10.1093/brain/awad327","http://dx.doi.org/10.1093/brain/awad327")</f>
        <v>http://dx.doi.org/10.1093/brain/awad327</v>
      </c>
      <c r="BG181" s="1" t="s">
        <v>74</v>
      </c>
      <c r="BH181" s="1" t="s">
        <v>1987</v>
      </c>
      <c r="BI181" s="1" t="s">
        <v>74</v>
      </c>
      <c r="BJ181" s="1" t="s">
        <v>74</v>
      </c>
      <c r="BK181" s="1" t="s">
        <v>74</v>
      </c>
      <c r="BL181" s="1" t="s">
        <v>74</v>
      </c>
      <c r="BM181" s="1" t="s">
        <v>74</v>
      </c>
      <c r="BN181" s="1">
        <v>3.7769652E7</v>
      </c>
      <c r="BO181" s="1" t="s">
        <v>74</v>
      </c>
      <c r="BP181" s="1" t="s">
        <v>74</v>
      </c>
      <c r="BQ181" s="1" t="s">
        <v>74</v>
      </c>
      <c r="BR181" s="1" t="s">
        <v>74</v>
      </c>
      <c r="BS181" s="1" t="s">
        <v>1988</v>
      </c>
      <c r="BT181" s="1" t="str">
        <f>HYPERLINK("https%3A%2F%2Fwww.webofscience.com%2Fwos%2Fwoscc%2Ffull-record%2FWOS:001143240300001","View Full Record in Web of Science")</f>
        <v>View Full Record in Web of Science</v>
      </c>
    </row>
    <row r="182" ht="12.75" customHeight="1">
      <c r="A182" s="1" t="s">
        <v>72</v>
      </c>
      <c r="B182" s="1" t="s">
        <v>1989</v>
      </c>
      <c r="C182" s="1" t="s">
        <v>74</v>
      </c>
      <c r="D182" s="1" t="s">
        <v>74</v>
      </c>
      <c r="E182" s="1" t="s">
        <v>74</v>
      </c>
      <c r="F182" s="1" t="s">
        <v>1990</v>
      </c>
      <c r="G182" s="1" t="s">
        <v>74</v>
      </c>
      <c r="H182" s="1" t="s">
        <v>74</v>
      </c>
      <c r="I182" s="1" t="s">
        <v>1991</v>
      </c>
      <c r="J182" s="1" t="s">
        <v>244</v>
      </c>
      <c r="K182" s="1" t="s">
        <v>74</v>
      </c>
      <c r="L182" s="1" t="s">
        <v>74</v>
      </c>
      <c r="M182" s="1" t="s">
        <v>74</v>
      </c>
      <c r="N182" s="1" t="s">
        <v>74</v>
      </c>
      <c r="O182" s="1" t="s">
        <v>74</v>
      </c>
      <c r="P182" s="1" t="s">
        <v>74</v>
      </c>
      <c r="Q182" s="1" t="s">
        <v>74</v>
      </c>
      <c r="R182" s="1" t="s">
        <v>74</v>
      </c>
      <c r="S182" s="1" t="s">
        <v>74</v>
      </c>
      <c r="T182" s="1" t="s">
        <v>74</v>
      </c>
      <c r="U182" s="1" t="s">
        <v>74</v>
      </c>
      <c r="V182" s="1" t="s">
        <v>1992</v>
      </c>
      <c r="W182" s="1" t="s">
        <v>74</v>
      </c>
      <c r="X182" s="1" t="s">
        <v>74</v>
      </c>
      <c r="Y182" s="1" t="s">
        <v>74</v>
      </c>
      <c r="Z182" s="1" t="s">
        <v>74</v>
      </c>
      <c r="AA182" s="1" t="s">
        <v>1993</v>
      </c>
      <c r="AB182" s="1" t="s">
        <v>1994</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248</v>
      </c>
      <c r="AP182" s="1" t="s">
        <v>249</v>
      </c>
      <c r="AQ182" s="1" t="s">
        <v>74</v>
      </c>
      <c r="AR182" s="1" t="s">
        <v>74</v>
      </c>
      <c r="AS182" s="1" t="s">
        <v>74</v>
      </c>
      <c r="AT182" s="1" t="s">
        <v>83</v>
      </c>
      <c r="AU182" s="1">
        <v>2017.0</v>
      </c>
      <c r="AV182" s="1">
        <v>851.0</v>
      </c>
      <c r="AW182" s="1">
        <v>2.0</v>
      </c>
      <c r="AX182" s="1" t="s">
        <v>74</v>
      </c>
      <c r="AY182" s="1" t="s">
        <v>74</v>
      </c>
      <c r="AZ182" s="1" t="s">
        <v>74</v>
      </c>
      <c r="BA182" s="1" t="s">
        <v>74</v>
      </c>
      <c r="BB182" s="1" t="s">
        <v>74</v>
      </c>
      <c r="BC182" s="1" t="s">
        <v>74</v>
      </c>
      <c r="BD182" s="1" t="s">
        <v>1995</v>
      </c>
      <c r="BE182" s="1" t="s">
        <v>1996</v>
      </c>
      <c r="BF182" s="2" t="str">
        <f>HYPERLINK("http://dx.doi.org/10.3847/2041-8213/aa9b7b","http://dx.doi.org/10.3847/2041-8213/aa9b7b")</f>
        <v>http://dx.doi.org/10.3847/2041-8213/aa9b7b</v>
      </c>
      <c r="BG182" s="1" t="s">
        <v>74</v>
      </c>
      <c r="BH182" s="1" t="s">
        <v>74</v>
      </c>
      <c r="BI182" s="1" t="s">
        <v>74</v>
      </c>
      <c r="BJ182" s="1" t="s">
        <v>74</v>
      </c>
      <c r="BK182" s="1" t="s">
        <v>74</v>
      </c>
      <c r="BL182" s="1" t="s">
        <v>74</v>
      </c>
      <c r="BM182" s="1" t="s">
        <v>74</v>
      </c>
      <c r="BN182" s="1" t="s">
        <v>74</v>
      </c>
      <c r="BO182" s="1" t="s">
        <v>74</v>
      </c>
      <c r="BP182" s="1" t="s">
        <v>74</v>
      </c>
      <c r="BQ182" s="1" t="s">
        <v>74</v>
      </c>
      <c r="BR182" s="1" t="s">
        <v>74</v>
      </c>
      <c r="BS182" s="1" t="s">
        <v>1997</v>
      </c>
      <c r="BT182" s="1" t="str">
        <f>HYPERLINK("https%3A%2F%2Fwww.webofscience.com%2Fwos%2Fwoscc%2Ffull-record%2FWOS:000417721000001","View Full Record in Web of Science")</f>
        <v>View Full Record in Web of Science</v>
      </c>
    </row>
    <row r="183" ht="12.75" customHeight="1">
      <c r="A183" s="1" t="s">
        <v>72</v>
      </c>
      <c r="B183" s="1" t="s">
        <v>1998</v>
      </c>
      <c r="C183" s="1" t="s">
        <v>74</v>
      </c>
      <c r="D183" s="1" t="s">
        <v>74</v>
      </c>
      <c r="E183" s="1" t="s">
        <v>74</v>
      </c>
      <c r="F183" s="1" t="s">
        <v>1999</v>
      </c>
      <c r="G183" s="1" t="s">
        <v>74</v>
      </c>
      <c r="H183" s="1" t="s">
        <v>74</v>
      </c>
      <c r="I183" s="1" t="s">
        <v>2000</v>
      </c>
      <c r="J183" s="1" t="s">
        <v>417</v>
      </c>
      <c r="K183" s="1" t="s">
        <v>74</v>
      </c>
      <c r="L183" s="1" t="s">
        <v>74</v>
      </c>
      <c r="M183" s="1" t="s">
        <v>74</v>
      </c>
      <c r="N183" s="1" t="s">
        <v>74</v>
      </c>
      <c r="O183" s="1" t="s">
        <v>74</v>
      </c>
      <c r="P183" s="1" t="s">
        <v>74</v>
      </c>
      <c r="Q183" s="1" t="s">
        <v>74</v>
      </c>
      <c r="R183" s="1" t="s">
        <v>74</v>
      </c>
      <c r="S183" s="1" t="s">
        <v>74</v>
      </c>
      <c r="T183" s="1" t="s">
        <v>74</v>
      </c>
      <c r="U183" s="1" t="s">
        <v>74</v>
      </c>
      <c r="V183" s="1" t="s">
        <v>2001</v>
      </c>
      <c r="W183" s="1" t="s">
        <v>74</v>
      </c>
      <c r="X183" s="1" t="s">
        <v>74</v>
      </c>
      <c r="Y183" s="1" t="s">
        <v>74</v>
      </c>
      <c r="Z183" s="1" t="s">
        <v>74</v>
      </c>
      <c r="AA183" s="1" t="s">
        <v>2002</v>
      </c>
      <c r="AB183" s="1" t="s">
        <v>2003</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74</v>
      </c>
      <c r="AP183" s="1" t="s">
        <v>421</v>
      </c>
      <c r="AQ183" s="1" t="s">
        <v>74</v>
      </c>
      <c r="AR183" s="1" t="s">
        <v>74</v>
      </c>
      <c r="AS183" s="1" t="s">
        <v>74</v>
      </c>
      <c r="AT183" s="1" t="s">
        <v>2004</v>
      </c>
      <c r="AU183" s="1">
        <v>2022.0</v>
      </c>
      <c r="AV183" s="1">
        <v>22.0</v>
      </c>
      <c r="AW183" s="1">
        <v>1.0</v>
      </c>
      <c r="AX183" s="1" t="s">
        <v>74</v>
      </c>
      <c r="AY183" s="1" t="s">
        <v>74</v>
      </c>
      <c r="AZ183" s="1" t="s">
        <v>74</v>
      </c>
      <c r="BA183" s="1" t="s">
        <v>74</v>
      </c>
      <c r="BB183" s="1" t="s">
        <v>74</v>
      </c>
      <c r="BC183" s="1" t="s">
        <v>74</v>
      </c>
      <c r="BD183" s="1">
        <v>217.0</v>
      </c>
      <c r="BE183" s="1" t="s">
        <v>2005</v>
      </c>
      <c r="BF183" s="2" t="str">
        <f>HYPERLINK("http://dx.doi.org/10.1186/s12889-022-12613-2","http://dx.doi.org/10.1186/s12889-022-12613-2")</f>
        <v>http://dx.doi.org/10.1186/s12889-022-12613-2</v>
      </c>
      <c r="BG183" s="1" t="s">
        <v>74</v>
      </c>
      <c r="BH183" s="1" t="s">
        <v>74</v>
      </c>
      <c r="BI183" s="1" t="s">
        <v>74</v>
      </c>
      <c r="BJ183" s="1" t="s">
        <v>74</v>
      </c>
      <c r="BK183" s="1" t="s">
        <v>74</v>
      </c>
      <c r="BL183" s="1" t="s">
        <v>74</v>
      </c>
      <c r="BM183" s="1" t="s">
        <v>74</v>
      </c>
      <c r="BN183" s="1">
        <v>3.5109819E7</v>
      </c>
      <c r="BO183" s="1" t="s">
        <v>74</v>
      </c>
      <c r="BP183" s="1" t="s">
        <v>74</v>
      </c>
      <c r="BQ183" s="1" t="s">
        <v>74</v>
      </c>
      <c r="BR183" s="1" t="s">
        <v>74</v>
      </c>
      <c r="BS183" s="1" t="s">
        <v>2006</v>
      </c>
      <c r="BT183" s="1" t="str">
        <f>HYPERLINK("https%3A%2F%2Fwww.webofscience.com%2Fwos%2Fwoscc%2Ffull-record%2FWOS:000750259100002","View Full Record in Web of Science")</f>
        <v>View Full Record in Web of Science</v>
      </c>
    </row>
    <row r="184" ht="12.75" customHeight="1">
      <c r="A184" s="1" t="s">
        <v>72</v>
      </c>
      <c r="B184" s="1" t="s">
        <v>2007</v>
      </c>
      <c r="C184" s="1" t="s">
        <v>74</v>
      </c>
      <c r="D184" s="1" t="s">
        <v>74</v>
      </c>
      <c r="E184" s="1" t="s">
        <v>74</v>
      </c>
      <c r="F184" s="1" t="s">
        <v>2008</v>
      </c>
      <c r="G184" s="1" t="s">
        <v>74</v>
      </c>
      <c r="H184" s="1" t="s">
        <v>74</v>
      </c>
      <c r="I184" s="1" t="s">
        <v>2009</v>
      </c>
      <c r="J184" s="1" t="s">
        <v>813</v>
      </c>
      <c r="K184" s="1" t="s">
        <v>74</v>
      </c>
      <c r="L184" s="1" t="s">
        <v>74</v>
      </c>
      <c r="M184" s="1" t="s">
        <v>74</v>
      </c>
      <c r="N184" s="1" t="s">
        <v>74</v>
      </c>
      <c r="O184" s="1" t="s">
        <v>74</v>
      </c>
      <c r="P184" s="1" t="s">
        <v>74</v>
      </c>
      <c r="Q184" s="1" t="s">
        <v>74</v>
      </c>
      <c r="R184" s="1" t="s">
        <v>74</v>
      </c>
      <c r="S184" s="1" t="s">
        <v>74</v>
      </c>
      <c r="T184" s="1" t="s">
        <v>74</v>
      </c>
      <c r="U184" s="1" t="s">
        <v>74</v>
      </c>
      <c r="V184" s="1" t="s">
        <v>2010</v>
      </c>
      <c r="W184" s="1" t="s">
        <v>74</v>
      </c>
      <c r="X184" s="1" t="s">
        <v>74</v>
      </c>
      <c r="Y184" s="1" t="s">
        <v>74</v>
      </c>
      <c r="Z184" s="1" t="s">
        <v>74</v>
      </c>
      <c r="AA184" s="1" t="s">
        <v>2011</v>
      </c>
      <c r="AB184" s="1" t="s">
        <v>2012</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817</v>
      </c>
      <c r="AP184" s="1" t="s">
        <v>818</v>
      </c>
      <c r="AQ184" s="1" t="s">
        <v>74</v>
      </c>
      <c r="AR184" s="1" t="s">
        <v>74</v>
      </c>
      <c r="AS184" s="1" t="s">
        <v>74</v>
      </c>
      <c r="AT184" s="1" t="s">
        <v>2013</v>
      </c>
      <c r="AU184" s="1">
        <v>2024.0</v>
      </c>
      <c r="AV184" s="1">
        <v>684.0</v>
      </c>
      <c r="AW184" s="1" t="s">
        <v>74</v>
      </c>
      <c r="AX184" s="1" t="s">
        <v>74</v>
      </c>
      <c r="AY184" s="1" t="s">
        <v>74</v>
      </c>
      <c r="AZ184" s="1" t="s">
        <v>74</v>
      </c>
      <c r="BA184" s="1" t="s">
        <v>74</v>
      </c>
      <c r="BB184" s="1" t="s">
        <v>74</v>
      </c>
      <c r="BC184" s="1" t="s">
        <v>74</v>
      </c>
      <c r="BD184" s="1" t="s">
        <v>2014</v>
      </c>
      <c r="BE184" s="1" t="s">
        <v>2015</v>
      </c>
      <c r="BF184" s="2" t="str">
        <f>HYPERLINK("http://dx.doi.org/10.1051/0004-6361/202348736","http://dx.doi.org/10.1051/0004-6361/202348736")</f>
        <v>http://dx.doi.org/10.1051/0004-6361/202348736</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2016</v>
      </c>
      <c r="BT184" s="1" t="str">
        <f>HYPERLINK("https%3A%2F%2Fwww.webofscience.com%2Fwos%2Fwoscc%2Ffull-record%2FWOS:001198946600011","View Full Record in Web of Science")</f>
        <v>View Full Record in Web of Science</v>
      </c>
    </row>
    <row r="185" ht="12.75" customHeight="1">
      <c r="A185" s="1" t="s">
        <v>72</v>
      </c>
      <c r="B185" s="1" t="s">
        <v>2017</v>
      </c>
      <c r="C185" s="1" t="s">
        <v>74</v>
      </c>
      <c r="D185" s="1" t="s">
        <v>74</v>
      </c>
      <c r="E185" s="1" t="s">
        <v>74</v>
      </c>
      <c r="F185" s="1" t="s">
        <v>2018</v>
      </c>
      <c r="G185" s="1" t="s">
        <v>74</v>
      </c>
      <c r="H185" s="1" t="s">
        <v>74</v>
      </c>
      <c r="I185" s="1" t="s">
        <v>2019</v>
      </c>
      <c r="J185" s="1" t="s">
        <v>2020</v>
      </c>
      <c r="K185" s="1" t="s">
        <v>74</v>
      </c>
      <c r="L185" s="1" t="s">
        <v>74</v>
      </c>
      <c r="M185" s="1" t="s">
        <v>74</v>
      </c>
      <c r="N185" s="1" t="s">
        <v>74</v>
      </c>
      <c r="O185" s="1" t="s">
        <v>74</v>
      </c>
      <c r="P185" s="1" t="s">
        <v>74</v>
      </c>
      <c r="Q185" s="1" t="s">
        <v>74</v>
      </c>
      <c r="R185" s="1" t="s">
        <v>74</v>
      </c>
      <c r="S185" s="1" t="s">
        <v>74</v>
      </c>
      <c r="T185" s="1" t="s">
        <v>74</v>
      </c>
      <c r="U185" s="1" t="s">
        <v>74</v>
      </c>
      <c r="V185" s="1" t="s">
        <v>2021</v>
      </c>
      <c r="W185" s="1" t="s">
        <v>74</v>
      </c>
      <c r="X185" s="1" t="s">
        <v>74</v>
      </c>
      <c r="Y185" s="1" t="s">
        <v>74</v>
      </c>
      <c r="Z185" s="1" t="s">
        <v>74</v>
      </c>
      <c r="AA185" s="1" t="s">
        <v>2022</v>
      </c>
      <c r="AB185" s="1" t="s">
        <v>2023</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2024</v>
      </c>
      <c r="AP185" s="1" t="s">
        <v>2025</v>
      </c>
      <c r="AQ185" s="1" t="s">
        <v>74</v>
      </c>
      <c r="AR185" s="1" t="s">
        <v>74</v>
      </c>
      <c r="AS185" s="1" t="s">
        <v>74</v>
      </c>
      <c r="AT185" s="1" t="s">
        <v>226</v>
      </c>
      <c r="AU185" s="1">
        <v>2023.0</v>
      </c>
      <c r="AV185" s="1">
        <v>26.0</v>
      </c>
      <c r="AW185" s="1">
        <v>6.0</v>
      </c>
      <c r="AX185" s="1" t="s">
        <v>74</v>
      </c>
      <c r="AY185" s="1" t="s">
        <v>74</v>
      </c>
      <c r="AZ185" s="1" t="s">
        <v>74</v>
      </c>
      <c r="BA185" s="1" t="s">
        <v>74</v>
      </c>
      <c r="BB185" s="1">
        <v>309.0</v>
      </c>
      <c r="BC185" s="1">
        <v>315.0</v>
      </c>
      <c r="BD185" s="1" t="s">
        <v>74</v>
      </c>
      <c r="BE185" s="1" t="s">
        <v>2026</v>
      </c>
      <c r="BF185" s="2" t="str">
        <f>HYPERLINK("http://dx.doi.org/10.1016/j.jsams.2023.04.007","http://dx.doi.org/10.1016/j.jsams.2023.04.007")</f>
        <v>http://dx.doi.org/10.1016/j.jsams.2023.04.007</v>
      </c>
      <c r="BG185" s="1" t="s">
        <v>74</v>
      </c>
      <c r="BH185" s="1" t="s">
        <v>202</v>
      </c>
      <c r="BI185" s="1" t="s">
        <v>74</v>
      </c>
      <c r="BJ185" s="1" t="s">
        <v>74</v>
      </c>
      <c r="BK185" s="1" t="s">
        <v>74</v>
      </c>
      <c r="BL185" s="1" t="s">
        <v>74</v>
      </c>
      <c r="BM185" s="1" t="s">
        <v>74</v>
      </c>
      <c r="BN185" s="1">
        <v>3.7210319E7</v>
      </c>
      <c r="BO185" s="1" t="s">
        <v>74</v>
      </c>
      <c r="BP185" s="1" t="s">
        <v>74</v>
      </c>
      <c r="BQ185" s="1" t="s">
        <v>74</v>
      </c>
      <c r="BR185" s="1" t="s">
        <v>74</v>
      </c>
      <c r="BS185" s="1" t="s">
        <v>2027</v>
      </c>
      <c r="BT185" s="1" t="str">
        <f>HYPERLINK("https%3A%2F%2Fwww.webofscience.com%2Fwos%2Fwoscc%2Ffull-record%2FWOS:001034160500001","View Full Record in Web of Science")</f>
        <v>View Full Record in Web of Science</v>
      </c>
    </row>
    <row r="186" ht="12.75" customHeight="1">
      <c r="A186" s="1" t="s">
        <v>72</v>
      </c>
      <c r="B186" s="1" t="s">
        <v>2028</v>
      </c>
      <c r="C186" s="1" t="s">
        <v>74</v>
      </c>
      <c r="D186" s="1" t="s">
        <v>74</v>
      </c>
      <c r="E186" s="1" t="s">
        <v>74</v>
      </c>
      <c r="F186" s="1" t="s">
        <v>2029</v>
      </c>
      <c r="G186" s="1" t="s">
        <v>74</v>
      </c>
      <c r="H186" s="1" t="s">
        <v>74</v>
      </c>
      <c r="I186" s="1" t="s">
        <v>2030</v>
      </c>
      <c r="J186" s="1" t="s">
        <v>439</v>
      </c>
      <c r="K186" s="1" t="s">
        <v>74</v>
      </c>
      <c r="L186" s="1" t="s">
        <v>74</v>
      </c>
      <c r="M186" s="1" t="s">
        <v>74</v>
      </c>
      <c r="N186" s="1" t="s">
        <v>74</v>
      </c>
      <c r="O186" s="1" t="s">
        <v>74</v>
      </c>
      <c r="P186" s="1" t="s">
        <v>74</v>
      </c>
      <c r="Q186" s="1" t="s">
        <v>74</v>
      </c>
      <c r="R186" s="1" t="s">
        <v>74</v>
      </c>
      <c r="S186" s="1" t="s">
        <v>74</v>
      </c>
      <c r="T186" s="1" t="s">
        <v>74</v>
      </c>
      <c r="U186" s="1" t="s">
        <v>74</v>
      </c>
      <c r="V186" s="1" t="s">
        <v>2031</v>
      </c>
      <c r="W186" s="1" t="s">
        <v>74</v>
      </c>
      <c r="X186" s="1" t="s">
        <v>74</v>
      </c>
      <c r="Y186" s="1" t="s">
        <v>74</v>
      </c>
      <c r="Z186" s="1" t="s">
        <v>74</v>
      </c>
      <c r="AA186" s="1" t="s">
        <v>2032</v>
      </c>
      <c r="AB186" s="1" t="s">
        <v>2033</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74</v>
      </c>
      <c r="AP186" s="1" t="s">
        <v>443</v>
      </c>
      <c r="AQ186" s="1" t="s">
        <v>74</v>
      </c>
      <c r="AR186" s="1" t="s">
        <v>74</v>
      </c>
      <c r="AS186" s="1" t="s">
        <v>74</v>
      </c>
      <c r="AT186" s="1" t="s">
        <v>275</v>
      </c>
      <c r="AU186" s="1">
        <v>2021.0</v>
      </c>
      <c r="AV186" s="1">
        <v>18.0</v>
      </c>
      <c r="AW186" s="1">
        <v>5.0</v>
      </c>
      <c r="AX186" s="1" t="s">
        <v>74</v>
      </c>
      <c r="AY186" s="1" t="s">
        <v>74</v>
      </c>
      <c r="AZ186" s="1" t="s">
        <v>74</v>
      </c>
      <c r="BA186" s="1" t="s">
        <v>74</v>
      </c>
      <c r="BB186" s="1" t="s">
        <v>74</v>
      </c>
      <c r="BC186" s="1" t="s">
        <v>74</v>
      </c>
      <c r="BD186" s="1">
        <v>2235.0</v>
      </c>
      <c r="BE186" s="1" t="s">
        <v>2034</v>
      </c>
      <c r="BF186" s="2" t="str">
        <f>HYPERLINK("http://dx.doi.org/10.3390/ijerph18052235","http://dx.doi.org/10.3390/ijerph18052235")</f>
        <v>http://dx.doi.org/10.3390/ijerph18052235</v>
      </c>
      <c r="BG186" s="1" t="s">
        <v>74</v>
      </c>
      <c r="BH186" s="1" t="s">
        <v>74</v>
      </c>
      <c r="BI186" s="1" t="s">
        <v>74</v>
      </c>
      <c r="BJ186" s="1" t="s">
        <v>74</v>
      </c>
      <c r="BK186" s="1" t="s">
        <v>74</v>
      </c>
      <c r="BL186" s="1" t="s">
        <v>74</v>
      </c>
      <c r="BM186" s="1" t="s">
        <v>74</v>
      </c>
      <c r="BN186" s="1">
        <v>3.3668262E7</v>
      </c>
      <c r="BO186" s="1" t="s">
        <v>74</v>
      </c>
      <c r="BP186" s="1" t="s">
        <v>74</v>
      </c>
      <c r="BQ186" s="1" t="s">
        <v>74</v>
      </c>
      <c r="BR186" s="1" t="s">
        <v>74</v>
      </c>
      <c r="BS186" s="1" t="s">
        <v>2035</v>
      </c>
      <c r="BT186" s="1" t="str">
        <f>HYPERLINK("https%3A%2F%2Fwww.webofscience.com%2Fwos%2Fwoscc%2Ffull-record%2FWOS:000628182700001","View Full Record in Web of Science")</f>
        <v>View Full Record in Web of Science</v>
      </c>
    </row>
    <row r="187" ht="12.75" customHeight="1">
      <c r="A187" s="1" t="s">
        <v>72</v>
      </c>
      <c r="B187" s="1" t="s">
        <v>2036</v>
      </c>
      <c r="C187" s="1" t="s">
        <v>74</v>
      </c>
      <c r="D187" s="1" t="s">
        <v>74</v>
      </c>
      <c r="E187" s="1" t="s">
        <v>74</v>
      </c>
      <c r="F187" s="1" t="s">
        <v>2037</v>
      </c>
      <c r="G187" s="1" t="s">
        <v>74</v>
      </c>
      <c r="H187" s="1" t="s">
        <v>74</v>
      </c>
      <c r="I187" s="1" t="s">
        <v>2038</v>
      </c>
      <c r="J187" s="1" t="s">
        <v>2039</v>
      </c>
      <c r="K187" s="1" t="s">
        <v>74</v>
      </c>
      <c r="L187" s="1" t="s">
        <v>74</v>
      </c>
      <c r="M187" s="1" t="s">
        <v>74</v>
      </c>
      <c r="N187" s="1" t="s">
        <v>74</v>
      </c>
      <c r="O187" s="1" t="s">
        <v>74</v>
      </c>
      <c r="P187" s="1" t="s">
        <v>74</v>
      </c>
      <c r="Q187" s="1" t="s">
        <v>74</v>
      </c>
      <c r="R187" s="1" t="s">
        <v>74</v>
      </c>
      <c r="S187" s="1" t="s">
        <v>74</v>
      </c>
      <c r="T187" s="1" t="s">
        <v>74</v>
      </c>
      <c r="U187" s="1" t="s">
        <v>74</v>
      </c>
      <c r="V187" s="1" t="s">
        <v>2040</v>
      </c>
      <c r="W187" s="1" t="s">
        <v>74</v>
      </c>
      <c r="X187" s="1" t="s">
        <v>74</v>
      </c>
      <c r="Y187" s="1" t="s">
        <v>74</v>
      </c>
      <c r="Z187" s="1" t="s">
        <v>74</v>
      </c>
      <c r="AA187" s="1" t="s">
        <v>2041</v>
      </c>
      <c r="AB187" s="1" t="s">
        <v>2042</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2043</v>
      </c>
      <c r="AP187" s="1" t="s">
        <v>2044</v>
      </c>
      <c r="AQ187" s="1" t="s">
        <v>74</v>
      </c>
      <c r="AR187" s="1" t="s">
        <v>74</v>
      </c>
      <c r="AS187" s="1" t="s">
        <v>74</v>
      </c>
      <c r="AT187" s="1" t="s">
        <v>344</v>
      </c>
      <c r="AU187" s="1">
        <v>2020.0</v>
      </c>
      <c r="AV187" s="1">
        <v>36.0</v>
      </c>
      <c r="AW187" s="1">
        <v>4.0</v>
      </c>
      <c r="AX187" s="1" t="s">
        <v>74</v>
      </c>
      <c r="AY187" s="1" t="s">
        <v>74</v>
      </c>
      <c r="AZ187" s="1" t="s">
        <v>74</v>
      </c>
      <c r="BA187" s="1" t="s">
        <v>74</v>
      </c>
      <c r="BB187" s="1">
        <v>497.0</v>
      </c>
      <c r="BC187" s="1">
        <v>534.0</v>
      </c>
      <c r="BD187" s="1" t="s">
        <v>74</v>
      </c>
      <c r="BE187" s="1" t="s">
        <v>2045</v>
      </c>
      <c r="BF187" s="2" t="str">
        <f>HYPERLINK("http://dx.doi.org/10.1111/nejo.12340","http://dx.doi.org/10.1111/nejo.12340")</f>
        <v>http://dx.doi.org/10.1111/nejo.12340</v>
      </c>
      <c r="BG187" s="1" t="s">
        <v>74</v>
      </c>
      <c r="BH187" s="1" t="s">
        <v>1967</v>
      </c>
      <c r="BI187" s="1" t="s">
        <v>74</v>
      </c>
      <c r="BJ187" s="1" t="s">
        <v>74</v>
      </c>
      <c r="BK187" s="1" t="s">
        <v>74</v>
      </c>
      <c r="BL187" s="1" t="s">
        <v>74</v>
      </c>
      <c r="BM187" s="1" t="s">
        <v>74</v>
      </c>
      <c r="BN187" s="1">
        <v>3.8607846E7</v>
      </c>
      <c r="BO187" s="1" t="s">
        <v>74</v>
      </c>
      <c r="BP187" s="1" t="s">
        <v>74</v>
      </c>
      <c r="BQ187" s="1" t="s">
        <v>74</v>
      </c>
      <c r="BR187" s="1" t="s">
        <v>74</v>
      </c>
      <c r="BS187" s="1" t="s">
        <v>2046</v>
      </c>
      <c r="BT187" s="1" t="str">
        <f>HYPERLINK("https%3A%2F%2Fwww.webofscience.com%2Fwos%2Fwoscc%2Ffull-record%2FWOS:000574150500001","View Full Record in Web of Science")</f>
        <v>View Full Record in Web of Science</v>
      </c>
    </row>
    <row r="188" ht="12.75" customHeight="1">
      <c r="A188" s="1" t="s">
        <v>72</v>
      </c>
      <c r="B188" s="1" t="s">
        <v>2047</v>
      </c>
      <c r="C188" s="1" t="s">
        <v>74</v>
      </c>
      <c r="D188" s="1" t="s">
        <v>74</v>
      </c>
      <c r="E188" s="1" t="s">
        <v>74</v>
      </c>
      <c r="F188" s="1" t="s">
        <v>2048</v>
      </c>
      <c r="G188" s="1" t="s">
        <v>74</v>
      </c>
      <c r="H188" s="1" t="s">
        <v>74</v>
      </c>
      <c r="I188" s="1" t="s">
        <v>2049</v>
      </c>
      <c r="J188" s="1" t="s">
        <v>2050</v>
      </c>
      <c r="K188" s="1" t="s">
        <v>74</v>
      </c>
      <c r="L188" s="1" t="s">
        <v>74</v>
      </c>
      <c r="M188" s="1" t="s">
        <v>74</v>
      </c>
      <c r="N188" s="1" t="s">
        <v>74</v>
      </c>
      <c r="O188" s="1" t="s">
        <v>74</v>
      </c>
      <c r="P188" s="1" t="s">
        <v>74</v>
      </c>
      <c r="Q188" s="1" t="s">
        <v>74</v>
      </c>
      <c r="R188" s="1" t="s">
        <v>74</v>
      </c>
      <c r="S188" s="1" t="s">
        <v>74</v>
      </c>
      <c r="T188" s="1" t="s">
        <v>74</v>
      </c>
      <c r="U188" s="1" t="s">
        <v>74</v>
      </c>
      <c r="V188" s="1" t="s">
        <v>2051</v>
      </c>
      <c r="W188" s="1" t="s">
        <v>74</v>
      </c>
      <c r="X188" s="1" t="s">
        <v>74</v>
      </c>
      <c r="Y188" s="1" t="s">
        <v>74</v>
      </c>
      <c r="Z188" s="1" t="s">
        <v>74</v>
      </c>
      <c r="AA188" s="1" t="s">
        <v>2052</v>
      </c>
      <c r="AB188" s="1" t="s">
        <v>2053</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2054</v>
      </c>
      <c r="AP188" s="1" t="s">
        <v>2055</v>
      </c>
      <c r="AQ188" s="1" t="s">
        <v>74</v>
      </c>
      <c r="AR188" s="1" t="s">
        <v>74</v>
      </c>
      <c r="AS188" s="1" t="s">
        <v>74</v>
      </c>
      <c r="AT188" s="1" t="s">
        <v>2056</v>
      </c>
      <c r="AU188" s="1">
        <v>2024.0</v>
      </c>
      <c r="AV188" s="1">
        <v>669.0</v>
      </c>
      <c r="AW188" s="1" t="s">
        <v>74</v>
      </c>
      <c r="AX188" s="1" t="s">
        <v>74</v>
      </c>
      <c r="AY188" s="1" t="s">
        <v>74</v>
      </c>
      <c r="AZ188" s="1" t="s">
        <v>74</v>
      </c>
      <c r="BA188" s="1" t="s">
        <v>74</v>
      </c>
      <c r="BB188" s="1" t="s">
        <v>74</v>
      </c>
      <c r="BC188" s="1" t="s">
        <v>74</v>
      </c>
      <c r="BD188" s="1">
        <v>122365.0</v>
      </c>
      <c r="BE188" s="1" t="s">
        <v>2057</v>
      </c>
      <c r="BF188" s="2" t="str">
        <f>HYPERLINK("http://dx.doi.org/10.1016/j.chemgeo.2024.122365","http://dx.doi.org/10.1016/j.chemgeo.2024.122365")</f>
        <v>http://dx.doi.org/10.1016/j.chemgeo.2024.122365</v>
      </c>
      <c r="BG188" s="1" t="s">
        <v>74</v>
      </c>
      <c r="BH188" s="1" t="s">
        <v>2058</v>
      </c>
      <c r="BI188" s="1" t="s">
        <v>74</v>
      </c>
      <c r="BJ188" s="1" t="s">
        <v>74</v>
      </c>
      <c r="BK188" s="1" t="s">
        <v>74</v>
      </c>
      <c r="BL188" s="1" t="s">
        <v>74</v>
      </c>
      <c r="BM188" s="1" t="s">
        <v>74</v>
      </c>
      <c r="BN188" s="1" t="s">
        <v>74</v>
      </c>
      <c r="BO188" s="1" t="s">
        <v>74</v>
      </c>
      <c r="BP188" s="1" t="s">
        <v>74</v>
      </c>
      <c r="BQ188" s="1" t="s">
        <v>74</v>
      </c>
      <c r="BR188" s="1" t="s">
        <v>74</v>
      </c>
      <c r="BS188" s="1" t="s">
        <v>2059</v>
      </c>
      <c r="BT188" s="1" t="str">
        <f>HYPERLINK("https%3A%2F%2Fwww.webofscience.com%2Fwos%2Fwoscc%2Ffull-record%2FWOS:001310191800001","View Full Record in Web of Science")</f>
        <v>View Full Record in Web of Science</v>
      </c>
    </row>
    <row r="189" ht="12.75" customHeight="1">
      <c r="A189" s="1" t="s">
        <v>72</v>
      </c>
      <c r="B189" s="1" t="s">
        <v>2060</v>
      </c>
      <c r="C189" s="1" t="s">
        <v>74</v>
      </c>
      <c r="D189" s="1" t="s">
        <v>74</v>
      </c>
      <c r="E189" s="1" t="s">
        <v>74</v>
      </c>
      <c r="F189" s="1" t="s">
        <v>2061</v>
      </c>
      <c r="G189" s="1" t="s">
        <v>74</v>
      </c>
      <c r="H189" s="1" t="s">
        <v>74</v>
      </c>
      <c r="I189" s="1" t="s">
        <v>2062</v>
      </c>
      <c r="J189" s="1" t="s">
        <v>596</v>
      </c>
      <c r="K189" s="1" t="s">
        <v>74</v>
      </c>
      <c r="L189" s="1" t="s">
        <v>74</v>
      </c>
      <c r="M189" s="1" t="s">
        <v>74</v>
      </c>
      <c r="N189" s="1" t="s">
        <v>74</v>
      </c>
      <c r="O189" s="1" t="s">
        <v>74</v>
      </c>
      <c r="P189" s="1" t="s">
        <v>74</v>
      </c>
      <c r="Q189" s="1" t="s">
        <v>74</v>
      </c>
      <c r="R189" s="1" t="s">
        <v>74</v>
      </c>
      <c r="S189" s="1" t="s">
        <v>74</v>
      </c>
      <c r="T189" s="1" t="s">
        <v>74</v>
      </c>
      <c r="U189" s="1" t="s">
        <v>74</v>
      </c>
      <c r="V189" s="1" t="s">
        <v>2063</v>
      </c>
      <c r="W189" s="1" t="s">
        <v>74</v>
      </c>
      <c r="X189" s="1" t="s">
        <v>74</v>
      </c>
      <c r="Y189" s="1" t="s">
        <v>74</v>
      </c>
      <c r="Z189" s="1" t="s">
        <v>74</v>
      </c>
      <c r="AA189" s="1" t="s">
        <v>2064</v>
      </c>
      <c r="AB189" s="1" t="s">
        <v>2065</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600</v>
      </c>
      <c r="AP189" s="1" t="s">
        <v>601</v>
      </c>
      <c r="AQ189" s="1" t="s">
        <v>74</v>
      </c>
      <c r="AR189" s="1" t="s">
        <v>74</v>
      </c>
      <c r="AS189" s="1" t="s">
        <v>74</v>
      </c>
      <c r="AT189" s="1" t="s">
        <v>2066</v>
      </c>
      <c r="AU189" s="1">
        <v>2022.0</v>
      </c>
      <c r="AV189" s="1">
        <v>939.0</v>
      </c>
      <c r="AW189" s="1">
        <v>1.0</v>
      </c>
      <c r="AX189" s="1" t="s">
        <v>74</v>
      </c>
      <c r="AY189" s="1" t="s">
        <v>74</v>
      </c>
      <c r="AZ189" s="1" t="s">
        <v>74</v>
      </c>
      <c r="BA189" s="1" t="s">
        <v>74</v>
      </c>
      <c r="BB189" s="1" t="s">
        <v>74</v>
      </c>
      <c r="BC189" s="1" t="s">
        <v>74</v>
      </c>
      <c r="BD189" s="1">
        <v>7.0</v>
      </c>
      <c r="BE189" s="1" t="s">
        <v>2067</v>
      </c>
      <c r="BF189" s="2" t="str">
        <f>HYPERLINK("http://dx.doi.org/10.3847/1538-4357/ac8743","http://dx.doi.org/10.3847/1538-4357/ac8743")</f>
        <v>http://dx.doi.org/10.3847/1538-4357/ac8743</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2068</v>
      </c>
      <c r="BT189" s="1" t="str">
        <f>HYPERLINK("https%3A%2F%2Fwww.webofscience.com%2Fwos%2Fwoscc%2Ffull-record%2FWOS:000873307100001","View Full Record in Web of Science")</f>
        <v>View Full Record in Web of Science</v>
      </c>
    </row>
    <row r="190" ht="12.75" customHeight="1">
      <c r="A190" s="1" t="s">
        <v>72</v>
      </c>
      <c r="B190" s="1" t="s">
        <v>2069</v>
      </c>
      <c r="C190" s="1" t="s">
        <v>74</v>
      </c>
      <c r="D190" s="1" t="s">
        <v>74</v>
      </c>
      <c r="E190" s="1" t="s">
        <v>74</v>
      </c>
      <c r="F190" s="1" t="s">
        <v>2070</v>
      </c>
      <c r="G190" s="1" t="s">
        <v>74</v>
      </c>
      <c r="H190" s="1" t="s">
        <v>2071</v>
      </c>
      <c r="I190" s="1" t="s">
        <v>2072</v>
      </c>
      <c r="J190" s="1" t="s">
        <v>561</v>
      </c>
      <c r="K190" s="1" t="s">
        <v>74</v>
      </c>
      <c r="L190" s="1" t="s">
        <v>74</v>
      </c>
      <c r="M190" s="1" t="s">
        <v>74</v>
      </c>
      <c r="N190" s="1" t="s">
        <v>74</v>
      </c>
      <c r="O190" s="1" t="s">
        <v>74</v>
      </c>
      <c r="P190" s="1" t="s">
        <v>74</v>
      </c>
      <c r="Q190" s="1" t="s">
        <v>74</v>
      </c>
      <c r="R190" s="1" t="s">
        <v>74</v>
      </c>
      <c r="S190" s="1" t="s">
        <v>74</v>
      </c>
      <c r="T190" s="1" t="s">
        <v>74</v>
      </c>
      <c r="U190" s="1" t="s">
        <v>74</v>
      </c>
      <c r="V190" s="1" t="s">
        <v>2073</v>
      </c>
      <c r="W190" s="1" t="s">
        <v>74</v>
      </c>
      <c r="X190" s="1" t="s">
        <v>74</v>
      </c>
      <c r="Y190" s="1" t="s">
        <v>74</v>
      </c>
      <c r="Z190" s="1" t="s">
        <v>74</v>
      </c>
      <c r="AA190" s="1" t="s">
        <v>2074</v>
      </c>
      <c r="AB190" s="1" t="s">
        <v>2075</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565</v>
      </c>
      <c r="AP190" s="1" t="s">
        <v>566</v>
      </c>
      <c r="AQ190" s="1" t="s">
        <v>74</v>
      </c>
      <c r="AR190" s="1" t="s">
        <v>74</v>
      </c>
      <c r="AS190" s="1" t="s">
        <v>74</v>
      </c>
      <c r="AT190" s="1" t="s">
        <v>319</v>
      </c>
      <c r="AU190" s="1">
        <v>2024.0</v>
      </c>
      <c r="AV190" s="1">
        <v>39.0</v>
      </c>
      <c r="AW190" s="1">
        <v>10.0</v>
      </c>
      <c r="AX190" s="1" t="s">
        <v>74</v>
      </c>
      <c r="AY190" s="1" t="s">
        <v>74</v>
      </c>
      <c r="AZ190" s="1" t="s">
        <v>74</v>
      </c>
      <c r="BA190" s="1" t="s">
        <v>74</v>
      </c>
      <c r="BB190" s="1">
        <v>1843.0</v>
      </c>
      <c r="BC190" s="1">
        <v>1855.0</v>
      </c>
      <c r="BD190" s="1" t="s">
        <v>74</v>
      </c>
      <c r="BE190" s="1" t="s">
        <v>2076</v>
      </c>
      <c r="BF190" s="2" t="str">
        <f>HYPERLINK("http://dx.doi.org/10.1002/mds.29931","http://dx.doi.org/10.1002/mds.29931")</f>
        <v>http://dx.doi.org/10.1002/mds.29931</v>
      </c>
      <c r="BG190" s="1" t="s">
        <v>74</v>
      </c>
      <c r="BH190" s="1" t="s">
        <v>1805</v>
      </c>
      <c r="BI190" s="1" t="s">
        <v>74</v>
      </c>
      <c r="BJ190" s="1" t="s">
        <v>74</v>
      </c>
      <c r="BK190" s="1" t="s">
        <v>74</v>
      </c>
      <c r="BL190" s="1" t="s">
        <v>74</v>
      </c>
      <c r="BM190" s="1" t="s">
        <v>74</v>
      </c>
      <c r="BN190" s="1">
        <v>3.9051491E7</v>
      </c>
      <c r="BO190" s="1" t="s">
        <v>74</v>
      </c>
      <c r="BP190" s="1" t="s">
        <v>74</v>
      </c>
      <c r="BQ190" s="1" t="s">
        <v>74</v>
      </c>
      <c r="BR190" s="1" t="s">
        <v>74</v>
      </c>
      <c r="BS190" s="1" t="s">
        <v>2077</v>
      </c>
      <c r="BT190" s="1" t="str">
        <f>HYPERLINK("https%3A%2F%2Fwww.webofscience.com%2Fwos%2Fwoscc%2Ffull-record%2FWOS:001276270500001","View Full Record in Web of Science")</f>
        <v>View Full Record in Web of Science</v>
      </c>
    </row>
    <row r="191" ht="12.75" customHeight="1">
      <c r="A191" s="1" t="s">
        <v>72</v>
      </c>
      <c r="B191" s="1" t="s">
        <v>2078</v>
      </c>
      <c r="C191" s="1" t="s">
        <v>74</v>
      </c>
      <c r="D191" s="1" t="s">
        <v>74</v>
      </c>
      <c r="E191" s="1" t="s">
        <v>74</v>
      </c>
      <c r="F191" s="1" t="s">
        <v>2079</v>
      </c>
      <c r="G191" s="1" t="s">
        <v>74</v>
      </c>
      <c r="H191" s="1" t="s">
        <v>74</v>
      </c>
      <c r="I191" s="1" t="s">
        <v>2080</v>
      </c>
      <c r="J191" s="1" t="s">
        <v>2081</v>
      </c>
      <c r="K191" s="1" t="s">
        <v>74</v>
      </c>
      <c r="L191" s="1" t="s">
        <v>74</v>
      </c>
      <c r="M191" s="1" t="s">
        <v>74</v>
      </c>
      <c r="N191" s="1" t="s">
        <v>74</v>
      </c>
      <c r="O191" s="1" t="s">
        <v>74</v>
      </c>
      <c r="P191" s="1" t="s">
        <v>74</v>
      </c>
      <c r="Q191" s="1" t="s">
        <v>74</v>
      </c>
      <c r="R191" s="1" t="s">
        <v>74</v>
      </c>
      <c r="S191" s="1" t="s">
        <v>74</v>
      </c>
      <c r="T191" s="1" t="s">
        <v>74</v>
      </c>
      <c r="U191" s="1" t="s">
        <v>74</v>
      </c>
      <c r="V191" s="1" t="s">
        <v>2082</v>
      </c>
      <c r="W191" s="1" t="s">
        <v>74</v>
      </c>
      <c r="X191" s="1" t="s">
        <v>74</v>
      </c>
      <c r="Y191" s="1" t="s">
        <v>74</v>
      </c>
      <c r="Z191" s="1" t="s">
        <v>74</v>
      </c>
      <c r="AA191" s="1" t="s">
        <v>2083</v>
      </c>
      <c r="AB191" s="1" t="s">
        <v>2084</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74</v>
      </c>
      <c r="AP191" s="1" t="s">
        <v>2085</v>
      </c>
      <c r="AQ191" s="1" t="s">
        <v>74</v>
      </c>
      <c r="AR191" s="1" t="s">
        <v>74</v>
      </c>
      <c r="AS191" s="1" t="s">
        <v>74</v>
      </c>
      <c r="AT191" s="1" t="s">
        <v>2086</v>
      </c>
      <c r="AU191" s="1">
        <v>2025.0</v>
      </c>
      <c r="AV191" s="1">
        <v>7.0</v>
      </c>
      <c r="AW191" s="1">
        <v>1.0</v>
      </c>
      <c r="AX191" s="1" t="s">
        <v>74</v>
      </c>
      <c r="AY191" s="1" t="s">
        <v>74</v>
      </c>
      <c r="AZ191" s="1" t="s">
        <v>74</v>
      </c>
      <c r="BA191" s="1" t="s">
        <v>74</v>
      </c>
      <c r="BB191" s="1" t="s">
        <v>74</v>
      </c>
      <c r="BC191" s="1" t="s">
        <v>74</v>
      </c>
      <c r="BD191" s="1">
        <v>11.0</v>
      </c>
      <c r="BE191" s="1" t="s">
        <v>2087</v>
      </c>
      <c r="BF191" s="2" t="str">
        <f>HYPERLINK("http://dx.doi.org/10.3390/clockssleep7010011","http://dx.doi.org/10.3390/clockssleep7010011")</f>
        <v>http://dx.doi.org/10.3390/clockssleep7010011</v>
      </c>
      <c r="BG191" s="1" t="s">
        <v>74</v>
      </c>
      <c r="BH191" s="1" t="s">
        <v>74</v>
      </c>
      <c r="BI191" s="1" t="s">
        <v>74</v>
      </c>
      <c r="BJ191" s="1" t="s">
        <v>74</v>
      </c>
      <c r="BK191" s="1" t="s">
        <v>74</v>
      </c>
      <c r="BL191" s="1" t="s">
        <v>74</v>
      </c>
      <c r="BM191" s="1" t="s">
        <v>74</v>
      </c>
      <c r="BN191" s="1">
        <v>4.0136848E7</v>
      </c>
      <c r="BO191" s="1" t="s">
        <v>74</v>
      </c>
      <c r="BP191" s="1" t="s">
        <v>74</v>
      </c>
      <c r="BQ191" s="1" t="s">
        <v>74</v>
      </c>
      <c r="BR191" s="1" t="s">
        <v>74</v>
      </c>
      <c r="BS191" s="1" t="s">
        <v>2088</v>
      </c>
      <c r="BT191" s="1" t="str">
        <f>HYPERLINK("https%3A%2F%2Fwww.webofscience.com%2Fwos%2Fwoscc%2Ffull-record%2FWOS:001451963300001","View Full Record in Web of Science")</f>
        <v>View Full Record in Web of Science</v>
      </c>
    </row>
    <row r="192" ht="12.75" customHeight="1">
      <c r="A192" s="1" t="s">
        <v>72</v>
      </c>
      <c r="B192" s="1" t="s">
        <v>2089</v>
      </c>
      <c r="C192" s="1" t="s">
        <v>74</v>
      </c>
      <c r="D192" s="1" t="s">
        <v>74</v>
      </c>
      <c r="E192" s="1" t="s">
        <v>74</v>
      </c>
      <c r="F192" s="1" t="s">
        <v>2090</v>
      </c>
      <c r="G192" s="1" t="s">
        <v>74</v>
      </c>
      <c r="H192" s="1" t="s">
        <v>74</v>
      </c>
      <c r="I192" s="1" t="s">
        <v>2091</v>
      </c>
      <c r="J192" s="1" t="s">
        <v>1148</v>
      </c>
      <c r="K192" s="1" t="s">
        <v>74</v>
      </c>
      <c r="L192" s="1" t="s">
        <v>74</v>
      </c>
      <c r="M192" s="1" t="s">
        <v>74</v>
      </c>
      <c r="N192" s="1" t="s">
        <v>74</v>
      </c>
      <c r="O192" s="1" t="s">
        <v>74</v>
      </c>
      <c r="P192" s="1" t="s">
        <v>74</v>
      </c>
      <c r="Q192" s="1" t="s">
        <v>74</v>
      </c>
      <c r="R192" s="1" t="s">
        <v>74</v>
      </c>
      <c r="S192" s="1" t="s">
        <v>74</v>
      </c>
      <c r="T192" s="1" t="s">
        <v>74</v>
      </c>
      <c r="U192" s="1" t="s">
        <v>74</v>
      </c>
      <c r="V192" s="1" t="s">
        <v>2092</v>
      </c>
      <c r="W192" s="1" t="s">
        <v>74</v>
      </c>
      <c r="X192" s="1" t="s">
        <v>74</v>
      </c>
      <c r="Y192" s="1" t="s">
        <v>74</v>
      </c>
      <c r="Z192" s="1" t="s">
        <v>74</v>
      </c>
      <c r="AA192" s="1" t="s">
        <v>2093</v>
      </c>
      <c r="AB192" s="1" t="s">
        <v>2094</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1152</v>
      </c>
      <c r="AP192" s="1" t="s">
        <v>1153</v>
      </c>
      <c r="AQ192" s="1" t="s">
        <v>74</v>
      </c>
      <c r="AR192" s="1" t="s">
        <v>74</v>
      </c>
      <c r="AS192" s="1" t="s">
        <v>74</v>
      </c>
      <c r="AT192" s="1" t="s">
        <v>495</v>
      </c>
      <c r="AU192" s="1">
        <v>2024.0</v>
      </c>
      <c r="AV192" s="1">
        <v>20.0</v>
      </c>
      <c r="AW192" s="1">
        <v>4.0</v>
      </c>
      <c r="AX192" s="1" t="s">
        <v>74</v>
      </c>
      <c r="AY192" s="1" t="s">
        <v>74</v>
      </c>
      <c r="AZ192" s="1" t="s">
        <v>74</v>
      </c>
      <c r="BA192" s="1" t="s">
        <v>74</v>
      </c>
      <c r="BB192" s="1">
        <v>2353.0</v>
      </c>
      <c r="BC192" s="1">
        <v>2363.0</v>
      </c>
      <c r="BD192" s="1" t="s">
        <v>74</v>
      </c>
      <c r="BE192" s="1" t="s">
        <v>2095</v>
      </c>
      <c r="BF192" s="2" t="str">
        <f>HYPERLINK("http://dx.doi.org/10.1002/alz.13701","http://dx.doi.org/10.1002/alz.13701")</f>
        <v>http://dx.doi.org/10.1002/alz.13701</v>
      </c>
      <c r="BG192" s="1" t="s">
        <v>74</v>
      </c>
      <c r="BH192" s="1" t="s">
        <v>1987</v>
      </c>
      <c r="BI192" s="1" t="s">
        <v>74</v>
      </c>
      <c r="BJ192" s="1" t="s">
        <v>74</v>
      </c>
      <c r="BK192" s="1" t="s">
        <v>74</v>
      </c>
      <c r="BL192" s="1" t="s">
        <v>74</v>
      </c>
      <c r="BM192" s="1" t="s">
        <v>74</v>
      </c>
      <c r="BN192" s="1">
        <v>3.8284802E7</v>
      </c>
      <c r="BO192" s="1" t="s">
        <v>74</v>
      </c>
      <c r="BP192" s="1" t="s">
        <v>74</v>
      </c>
      <c r="BQ192" s="1" t="s">
        <v>74</v>
      </c>
      <c r="BR192" s="1" t="s">
        <v>74</v>
      </c>
      <c r="BS192" s="1" t="s">
        <v>2096</v>
      </c>
      <c r="BT192" s="1" t="str">
        <f>HYPERLINK("https%3A%2F%2Fwww.webofscience.com%2Fwos%2Fwoscc%2Ffull-record%2FWOS:001151609200001","View Full Record in Web of Science")</f>
        <v>View Full Record in Web of Science</v>
      </c>
    </row>
    <row r="193" ht="12.75" customHeight="1">
      <c r="A193" s="1" t="s">
        <v>72</v>
      </c>
      <c r="B193" s="1" t="s">
        <v>2097</v>
      </c>
      <c r="C193" s="1" t="s">
        <v>74</v>
      </c>
      <c r="D193" s="1" t="s">
        <v>74</v>
      </c>
      <c r="E193" s="1" t="s">
        <v>74</v>
      </c>
      <c r="F193" s="1" t="s">
        <v>2098</v>
      </c>
      <c r="G193" s="1" t="s">
        <v>74</v>
      </c>
      <c r="H193" s="1" t="s">
        <v>2099</v>
      </c>
      <c r="I193" s="1" t="s">
        <v>2100</v>
      </c>
      <c r="J193" s="1" t="s">
        <v>1356</v>
      </c>
      <c r="K193" s="1" t="s">
        <v>74</v>
      </c>
      <c r="L193" s="1" t="s">
        <v>74</v>
      </c>
      <c r="M193" s="1" t="s">
        <v>74</v>
      </c>
      <c r="N193" s="1" t="s">
        <v>74</v>
      </c>
      <c r="O193" s="1" t="s">
        <v>74</v>
      </c>
      <c r="P193" s="1" t="s">
        <v>74</v>
      </c>
      <c r="Q193" s="1" t="s">
        <v>74</v>
      </c>
      <c r="R193" s="1" t="s">
        <v>74</v>
      </c>
      <c r="S193" s="1" t="s">
        <v>74</v>
      </c>
      <c r="T193" s="1" t="s">
        <v>74</v>
      </c>
      <c r="U193" s="1" t="s">
        <v>74</v>
      </c>
      <c r="V193" s="1" t="s">
        <v>74</v>
      </c>
      <c r="W193" s="1" t="s">
        <v>74</v>
      </c>
      <c r="X193" s="1" t="s">
        <v>74</v>
      </c>
      <c r="Y193" s="1" t="s">
        <v>74</v>
      </c>
      <c r="Z193" s="1" t="s">
        <v>74</v>
      </c>
      <c r="AA193" s="1" t="s">
        <v>2101</v>
      </c>
      <c r="AB193" s="1" t="s">
        <v>74</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1360</v>
      </c>
      <c r="AP193" s="1" t="s">
        <v>1361</v>
      </c>
      <c r="AQ193" s="1" t="s">
        <v>74</v>
      </c>
      <c r="AR193" s="1" t="s">
        <v>74</v>
      </c>
      <c r="AS193" s="1" t="s">
        <v>74</v>
      </c>
      <c r="AT193" s="1" t="s">
        <v>757</v>
      </c>
      <c r="AU193" s="1">
        <v>2024.0</v>
      </c>
      <c r="AV193" s="1">
        <v>122.0</v>
      </c>
      <c r="AW193" s="1" t="s">
        <v>74</v>
      </c>
      <c r="AX193" s="1" t="s">
        <v>74</v>
      </c>
      <c r="AY193" s="1" t="s">
        <v>74</v>
      </c>
      <c r="AZ193" s="1" t="s">
        <v>74</v>
      </c>
      <c r="BA193" s="1" t="s">
        <v>2102</v>
      </c>
      <c r="BB193" s="1" t="s">
        <v>74</v>
      </c>
      <c r="BC193" s="1" t="s">
        <v>74</v>
      </c>
      <c r="BD193" s="1">
        <v>106121.0</v>
      </c>
      <c r="BE193" s="1" t="s">
        <v>74</v>
      </c>
      <c r="BF193" s="1" t="s">
        <v>74</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2103</v>
      </c>
      <c r="BT193" s="1" t="str">
        <f>HYPERLINK("https%3A%2F%2Fwww.webofscience.com%2Fwos%2Fwoscc%2Ffull-record%2FWOS:001296262300016","View Full Record in Web of Science")</f>
        <v>View Full Record in Web of Science</v>
      </c>
    </row>
    <row r="194" ht="12.75" customHeight="1">
      <c r="A194" s="1" t="s">
        <v>72</v>
      </c>
      <c r="B194" s="1" t="s">
        <v>2104</v>
      </c>
      <c r="C194" s="1" t="s">
        <v>74</v>
      </c>
      <c r="D194" s="1" t="s">
        <v>74</v>
      </c>
      <c r="E194" s="1" t="s">
        <v>74</v>
      </c>
      <c r="F194" s="1" t="s">
        <v>2105</v>
      </c>
      <c r="G194" s="1" t="s">
        <v>74</v>
      </c>
      <c r="H194" s="1" t="s">
        <v>74</v>
      </c>
      <c r="I194" s="1" t="s">
        <v>2106</v>
      </c>
      <c r="J194" s="1" t="s">
        <v>661</v>
      </c>
      <c r="K194" s="1" t="s">
        <v>74</v>
      </c>
      <c r="L194" s="1" t="s">
        <v>74</v>
      </c>
      <c r="M194" s="1" t="s">
        <v>74</v>
      </c>
      <c r="N194" s="1" t="s">
        <v>74</v>
      </c>
      <c r="O194" s="1" t="s">
        <v>74</v>
      </c>
      <c r="P194" s="1" t="s">
        <v>74</v>
      </c>
      <c r="Q194" s="1" t="s">
        <v>74</v>
      </c>
      <c r="R194" s="1" t="s">
        <v>74</v>
      </c>
      <c r="S194" s="1" t="s">
        <v>74</v>
      </c>
      <c r="T194" s="1" t="s">
        <v>74</v>
      </c>
      <c r="U194" s="1" t="s">
        <v>74</v>
      </c>
      <c r="V194" s="1" t="s">
        <v>2107</v>
      </c>
      <c r="W194" s="1" t="s">
        <v>74</v>
      </c>
      <c r="X194" s="1" t="s">
        <v>74</v>
      </c>
      <c r="Y194" s="1" t="s">
        <v>74</v>
      </c>
      <c r="Z194" s="1" t="s">
        <v>74</v>
      </c>
      <c r="AA194" s="1" t="s">
        <v>2108</v>
      </c>
      <c r="AB194" s="1" t="s">
        <v>2109</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665</v>
      </c>
      <c r="AP194" s="1" t="s">
        <v>74</v>
      </c>
      <c r="AQ194" s="1" t="s">
        <v>74</v>
      </c>
      <c r="AR194" s="1" t="s">
        <v>74</v>
      </c>
      <c r="AS194" s="1" t="s">
        <v>74</v>
      </c>
      <c r="AT194" s="1" t="s">
        <v>2110</v>
      </c>
      <c r="AU194" s="1">
        <v>2020.0</v>
      </c>
      <c r="AV194" s="1">
        <v>15.0</v>
      </c>
      <c r="AW194" s="1">
        <v>1.0</v>
      </c>
      <c r="AX194" s="1" t="s">
        <v>74</v>
      </c>
      <c r="AY194" s="1" t="s">
        <v>74</v>
      </c>
      <c r="AZ194" s="1" t="s">
        <v>74</v>
      </c>
      <c r="BA194" s="1" t="s">
        <v>74</v>
      </c>
      <c r="BB194" s="1" t="s">
        <v>74</v>
      </c>
      <c r="BC194" s="1" t="s">
        <v>74</v>
      </c>
      <c r="BD194" s="1" t="s">
        <v>2111</v>
      </c>
      <c r="BE194" s="1" t="s">
        <v>2112</v>
      </c>
      <c r="BF194" s="2" t="str">
        <f>HYPERLINK("http://dx.doi.org/10.1371/journal.pone.0227651","http://dx.doi.org/10.1371/journal.pone.0227651")</f>
        <v>http://dx.doi.org/10.1371/journal.pone.0227651</v>
      </c>
      <c r="BG194" s="1" t="s">
        <v>74</v>
      </c>
      <c r="BH194" s="1" t="s">
        <v>74</v>
      </c>
      <c r="BI194" s="1" t="s">
        <v>74</v>
      </c>
      <c r="BJ194" s="1" t="s">
        <v>74</v>
      </c>
      <c r="BK194" s="1" t="s">
        <v>74</v>
      </c>
      <c r="BL194" s="1" t="s">
        <v>74</v>
      </c>
      <c r="BM194" s="1" t="s">
        <v>74</v>
      </c>
      <c r="BN194" s="1">
        <v>3.1923919E7</v>
      </c>
      <c r="BO194" s="1" t="s">
        <v>74</v>
      </c>
      <c r="BP194" s="1" t="s">
        <v>74</v>
      </c>
      <c r="BQ194" s="1" t="s">
        <v>74</v>
      </c>
      <c r="BR194" s="1" t="s">
        <v>74</v>
      </c>
      <c r="BS194" s="1" t="s">
        <v>2113</v>
      </c>
      <c r="BT194" s="1" t="str">
        <f>HYPERLINK("https%3A%2F%2Fwww.webofscience.com%2Fwos%2Fwoscc%2Ffull-record%2FWOS:000534350000106","View Full Record in Web of Science")</f>
        <v>View Full Record in Web of Science</v>
      </c>
    </row>
    <row r="195" ht="12.75" customHeight="1">
      <c r="A195" s="1" t="s">
        <v>72</v>
      </c>
      <c r="B195" s="1" t="s">
        <v>2114</v>
      </c>
      <c r="C195" s="1" t="s">
        <v>74</v>
      </c>
      <c r="D195" s="1" t="s">
        <v>74</v>
      </c>
      <c r="E195" s="1" t="s">
        <v>74</v>
      </c>
      <c r="F195" s="1" t="s">
        <v>2115</v>
      </c>
      <c r="G195" s="1" t="s">
        <v>74</v>
      </c>
      <c r="H195" s="1" t="s">
        <v>324</v>
      </c>
      <c r="I195" s="1" t="s">
        <v>2116</v>
      </c>
      <c r="J195" s="1" t="s">
        <v>1112</v>
      </c>
      <c r="K195" s="1" t="s">
        <v>74</v>
      </c>
      <c r="L195" s="1" t="s">
        <v>74</v>
      </c>
      <c r="M195" s="1" t="s">
        <v>74</v>
      </c>
      <c r="N195" s="1" t="s">
        <v>74</v>
      </c>
      <c r="O195" s="1" t="s">
        <v>74</v>
      </c>
      <c r="P195" s="1" t="s">
        <v>74</v>
      </c>
      <c r="Q195" s="1" t="s">
        <v>74</v>
      </c>
      <c r="R195" s="1" t="s">
        <v>74</v>
      </c>
      <c r="S195" s="1" t="s">
        <v>74</v>
      </c>
      <c r="T195" s="1" t="s">
        <v>74</v>
      </c>
      <c r="U195" s="1" t="s">
        <v>74</v>
      </c>
      <c r="V195" s="1" t="s">
        <v>2117</v>
      </c>
      <c r="W195" s="1" t="s">
        <v>74</v>
      </c>
      <c r="X195" s="1" t="s">
        <v>74</v>
      </c>
      <c r="Y195" s="1" t="s">
        <v>74</v>
      </c>
      <c r="Z195" s="1" t="s">
        <v>74</v>
      </c>
      <c r="AA195" s="1" t="s">
        <v>2118</v>
      </c>
      <c r="AB195" s="1" t="s">
        <v>2119</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74</v>
      </c>
      <c r="AP195" s="1" t="s">
        <v>1115</v>
      </c>
      <c r="AQ195" s="1" t="s">
        <v>74</v>
      </c>
      <c r="AR195" s="1" t="s">
        <v>74</v>
      </c>
      <c r="AS195" s="1" t="s">
        <v>74</v>
      </c>
      <c r="AT195" s="1" t="s">
        <v>2120</v>
      </c>
      <c r="AU195" s="1">
        <v>2020.0</v>
      </c>
      <c r="AV195" s="1">
        <v>17.0</v>
      </c>
      <c r="AW195" s="1">
        <v>1.0</v>
      </c>
      <c r="AX195" s="1" t="s">
        <v>74</v>
      </c>
      <c r="AY195" s="1" t="s">
        <v>74</v>
      </c>
      <c r="AZ195" s="1" t="s">
        <v>74</v>
      </c>
      <c r="BA195" s="1" t="s">
        <v>74</v>
      </c>
      <c r="BB195" s="1" t="s">
        <v>74</v>
      </c>
      <c r="BC195" s="1" t="s">
        <v>74</v>
      </c>
      <c r="BD195" s="1">
        <v>125.0</v>
      </c>
      <c r="BE195" s="1" t="s">
        <v>2121</v>
      </c>
      <c r="BF195" s="2" t="str">
        <f>HYPERLINK("http://dx.doi.org/10.1186/s12966-020-01030-6","http://dx.doi.org/10.1186/s12966-020-01030-6")</f>
        <v>http://dx.doi.org/10.1186/s12966-020-01030-6</v>
      </c>
      <c r="BG195" s="1" t="s">
        <v>74</v>
      </c>
      <c r="BH195" s="1" t="s">
        <v>74</v>
      </c>
      <c r="BI195" s="1" t="s">
        <v>74</v>
      </c>
      <c r="BJ195" s="1" t="s">
        <v>74</v>
      </c>
      <c r="BK195" s="1" t="s">
        <v>74</v>
      </c>
      <c r="BL195" s="1" t="s">
        <v>74</v>
      </c>
      <c r="BM195" s="1" t="s">
        <v>74</v>
      </c>
      <c r="BN195" s="1">
        <v>3.3004078E7</v>
      </c>
      <c r="BO195" s="1" t="s">
        <v>74</v>
      </c>
      <c r="BP195" s="1" t="s">
        <v>74</v>
      </c>
      <c r="BQ195" s="1" t="s">
        <v>74</v>
      </c>
      <c r="BR195" s="1" t="s">
        <v>74</v>
      </c>
      <c r="BS195" s="1" t="s">
        <v>2122</v>
      </c>
      <c r="BT195" s="1" t="str">
        <f>HYPERLINK("https%3A%2F%2Fwww.webofscience.com%2Fwos%2Fwoscc%2Ffull-record%2FWOS:000576963400001","View Full Record in Web of Science")</f>
        <v>View Full Record in Web of Science</v>
      </c>
    </row>
    <row r="196" ht="12.75" customHeight="1">
      <c r="A196" s="1" t="s">
        <v>72</v>
      </c>
      <c r="B196" s="1" t="s">
        <v>2123</v>
      </c>
      <c r="C196" s="1" t="s">
        <v>74</v>
      </c>
      <c r="D196" s="1" t="s">
        <v>74</v>
      </c>
      <c r="E196" s="1" t="s">
        <v>74</v>
      </c>
      <c r="F196" s="1" t="s">
        <v>2124</v>
      </c>
      <c r="G196" s="1" t="s">
        <v>74</v>
      </c>
      <c r="H196" s="1" t="s">
        <v>74</v>
      </c>
      <c r="I196" s="1" t="s">
        <v>2125</v>
      </c>
      <c r="J196" s="1" t="s">
        <v>125</v>
      </c>
      <c r="K196" s="1" t="s">
        <v>74</v>
      </c>
      <c r="L196" s="1" t="s">
        <v>74</v>
      </c>
      <c r="M196" s="1" t="s">
        <v>74</v>
      </c>
      <c r="N196" s="1" t="s">
        <v>74</v>
      </c>
      <c r="O196" s="1" t="s">
        <v>74</v>
      </c>
      <c r="P196" s="1" t="s">
        <v>74</v>
      </c>
      <c r="Q196" s="1" t="s">
        <v>74</v>
      </c>
      <c r="R196" s="1" t="s">
        <v>74</v>
      </c>
      <c r="S196" s="1" t="s">
        <v>74</v>
      </c>
      <c r="T196" s="1" t="s">
        <v>74</v>
      </c>
      <c r="U196" s="1" t="s">
        <v>74</v>
      </c>
      <c r="V196" s="1" t="s">
        <v>2126</v>
      </c>
      <c r="W196" s="1" t="s">
        <v>74</v>
      </c>
      <c r="X196" s="1" t="s">
        <v>74</v>
      </c>
      <c r="Y196" s="1" t="s">
        <v>74</v>
      </c>
      <c r="Z196" s="1" t="s">
        <v>74</v>
      </c>
      <c r="AA196" s="1" t="s">
        <v>2127</v>
      </c>
      <c r="AB196" s="1" t="s">
        <v>2128</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129</v>
      </c>
      <c r="AP196" s="1" t="s">
        <v>74</v>
      </c>
      <c r="AQ196" s="1" t="s">
        <v>74</v>
      </c>
      <c r="AR196" s="1" t="s">
        <v>74</v>
      </c>
      <c r="AS196" s="1" t="s">
        <v>74</v>
      </c>
      <c r="AT196" s="1" t="s">
        <v>567</v>
      </c>
      <c r="AU196" s="1">
        <v>2023.0</v>
      </c>
      <c r="AV196" s="1">
        <v>17.0</v>
      </c>
      <c r="AW196" s="1" t="s">
        <v>74</v>
      </c>
      <c r="AX196" s="1" t="s">
        <v>74</v>
      </c>
      <c r="AY196" s="1" t="s">
        <v>74</v>
      </c>
      <c r="AZ196" s="1" t="s">
        <v>74</v>
      </c>
      <c r="BA196" s="1" t="s">
        <v>74</v>
      </c>
      <c r="BB196" s="1" t="s">
        <v>74</v>
      </c>
      <c r="BC196" s="1" t="s">
        <v>74</v>
      </c>
      <c r="BD196" s="1">
        <v>100387.0</v>
      </c>
      <c r="BE196" s="1" t="s">
        <v>2129</v>
      </c>
      <c r="BF196" s="2" t="str">
        <f>HYPERLINK("http://dx.doi.org/10.1016/j.lana.2022.100387","http://dx.doi.org/10.1016/j.lana.2022.100387")</f>
        <v>http://dx.doi.org/10.1016/j.lana.2022.100387</v>
      </c>
      <c r="BG196" s="1" t="s">
        <v>74</v>
      </c>
      <c r="BH196" s="1" t="s">
        <v>2130</v>
      </c>
      <c r="BI196" s="1" t="s">
        <v>74</v>
      </c>
      <c r="BJ196" s="1" t="s">
        <v>74</v>
      </c>
      <c r="BK196" s="1" t="s">
        <v>74</v>
      </c>
      <c r="BL196" s="1" t="s">
        <v>74</v>
      </c>
      <c r="BM196" s="1" t="s">
        <v>74</v>
      </c>
      <c r="BN196" s="1">
        <v>3.6583137E7</v>
      </c>
      <c r="BO196" s="1" t="s">
        <v>74</v>
      </c>
      <c r="BP196" s="1" t="s">
        <v>74</v>
      </c>
      <c r="BQ196" s="1" t="s">
        <v>74</v>
      </c>
      <c r="BR196" s="1" t="s">
        <v>74</v>
      </c>
      <c r="BS196" s="1" t="s">
        <v>2131</v>
      </c>
      <c r="BT196" s="1" t="str">
        <f>HYPERLINK("https%3A%2F%2Fwww.webofscience.com%2Fwos%2Fwoscc%2Ffull-record%2FWOS:000928219800003","View Full Record in Web of Science")</f>
        <v>View Full Record in Web of Science</v>
      </c>
    </row>
    <row r="197" ht="12.75" customHeight="1">
      <c r="A197" s="1" t="s">
        <v>72</v>
      </c>
      <c r="B197" s="1" t="s">
        <v>2132</v>
      </c>
      <c r="C197" s="1" t="s">
        <v>74</v>
      </c>
      <c r="D197" s="1" t="s">
        <v>74</v>
      </c>
      <c r="E197" s="1" t="s">
        <v>74</v>
      </c>
      <c r="F197" s="1" t="s">
        <v>2133</v>
      </c>
      <c r="G197" s="1" t="s">
        <v>74</v>
      </c>
      <c r="H197" s="1" t="s">
        <v>74</v>
      </c>
      <c r="I197" s="1" t="s">
        <v>2134</v>
      </c>
      <c r="J197" s="1" t="s">
        <v>281</v>
      </c>
      <c r="K197" s="1" t="s">
        <v>74</v>
      </c>
      <c r="L197" s="1" t="s">
        <v>74</v>
      </c>
      <c r="M197" s="1" t="s">
        <v>74</v>
      </c>
      <c r="N197" s="1" t="s">
        <v>74</v>
      </c>
      <c r="O197" s="1" t="s">
        <v>74</v>
      </c>
      <c r="P197" s="1" t="s">
        <v>74</v>
      </c>
      <c r="Q197" s="1" t="s">
        <v>74</v>
      </c>
      <c r="R197" s="1" t="s">
        <v>74</v>
      </c>
      <c r="S197" s="1" t="s">
        <v>74</v>
      </c>
      <c r="T197" s="1" t="s">
        <v>74</v>
      </c>
      <c r="U197" s="1" t="s">
        <v>74</v>
      </c>
      <c r="V197" s="1" t="s">
        <v>2135</v>
      </c>
      <c r="W197" s="1" t="s">
        <v>74</v>
      </c>
      <c r="X197" s="1" t="s">
        <v>74</v>
      </c>
      <c r="Y197" s="1" t="s">
        <v>74</v>
      </c>
      <c r="Z197" s="1" t="s">
        <v>74</v>
      </c>
      <c r="AA197" s="1" t="s">
        <v>2136</v>
      </c>
      <c r="AB197" s="1" t="s">
        <v>2137</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285</v>
      </c>
      <c r="AP197" s="1" t="s">
        <v>74</v>
      </c>
      <c r="AQ197" s="1" t="s">
        <v>74</v>
      </c>
      <c r="AR197" s="1" t="s">
        <v>74</v>
      </c>
      <c r="AS197" s="1" t="s">
        <v>74</v>
      </c>
      <c r="AT197" s="1" t="s">
        <v>2138</v>
      </c>
      <c r="AU197" s="1">
        <v>2019.0</v>
      </c>
      <c r="AV197" s="1">
        <v>10.0</v>
      </c>
      <c r="AW197" s="1" t="s">
        <v>74</v>
      </c>
      <c r="AX197" s="1" t="s">
        <v>74</v>
      </c>
      <c r="AY197" s="1" t="s">
        <v>74</v>
      </c>
      <c r="AZ197" s="1" t="s">
        <v>74</v>
      </c>
      <c r="BA197" s="1" t="s">
        <v>74</v>
      </c>
      <c r="BB197" s="1" t="s">
        <v>74</v>
      </c>
      <c r="BC197" s="1" t="s">
        <v>74</v>
      </c>
      <c r="BD197" s="1">
        <v>865.0</v>
      </c>
      <c r="BE197" s="1" t="s">
        <v>2139</v>
      </c>
      <c r="BF197" s="2" t="str">
        <f>HYPERLINK("http://dx.doi.org/10.3389/fphys.2019.00865","http://dx.doi.org/10.3389/fphys.2019.00865")</f>
        <v>http://dx.doi.org/10.3389/fphys.2019.00865</v>
      </c>
      <c r="BG197" s="1" t="s">
        <v>74</v>
      </c>
      <c r="BH197" s="1" t="s">
        <v>74</v>
      </c>
      <c r="BI197" s="1" t="s">
        <v>74</v>
      </c>
      <c r="BJ197" s="1" t="s">
        <v>74</v>
      </c>
      <c r="BK197" s="1" t="s">
        <v>74</v>
      </c>
      <c r="BL197" s="1" t="s">
        <v>74</v>
      </c>
      <c r="BM197" s="1" t="s">
        <v>74</v>
      </c>
      <c r="BN197" s="1">
        <v>3.1354518E7</v>
      </c>
      <c r="BO197" s="1" t="s">
        <v>74</v>
      </c>
      <c r="BP197" s="1" t="s">
        <v>74</v>
      </c>
      <c r="BQ197" s="1" t="s">
        <v>74</v>
      </c>
      <c r="BR197" s="1" t="s">
        <v>74</v>
      </c>
      <c r="BS197" s="1" t="s">
        <v>2140</v>
      </c>
      <c r="BT197" s="1" t="str">
        <f>HYPERLINK("https%3A%2F%2Fwww.webofscience.com%2Fwos%2Fwoscc%2Ffull-record%2FWOS:000474802100001","View Full Record in Web of Science")</f>
        <v>View Full Record in Web of Science</v>
      </c>
    </row>
    <row r="198" ht="12.75" customHeight="1">
      <c r="A198" s="1" t="s">
        <v>72</v>
      </c>
      <c r="B198" s="1" t="s">
        <v>2141</v>
      </c>
      <c r="C198" s="1" t="s">
        <v>74</v>
      </c>
      <c r="D198" s="1" t="s">
        <v>74</v>
      </c>
      <c r="E198" s="1" t="s">
        <v>74</v>
      </c>
      <c r="F198" s="1" t="s">
        <v>2142</v>
      </c>
      <c r="G198" s="1" t="s">
        <v>74</v>
      </c>
      <c r="H198" s="1" t="s">
        <v>74</v>
      </c>
      <c r="I198" s="1" t="s">
        <v>2143</v>
      </c>
      <c r="J198" s="1" t="s">
        <v>2144</v>
      </c>
      <c r="K198" s="1" t="s">
        <v>74</v>
      </c>
      <c r="L198" s="1" t="s">
        <v>74</v>
      </c>
      <c r="M198" s="1" t="s">
        <v>74</v>
      </c>
      <c r="N198" s="1" t="s">
        <v>74</v>
      </c>
      <c r="O198" s="1" t="s">
        <v>74</v>
      </c>
      <c r="P198" s="1" t="s">
        <v>74</v>
      </c>
      <c r="Q198" s="1" t="s">
        <v>74</v>
      </c>
      <c r="R198" s="1" t="s">
        <v>74</v>
      </c>
      <c r="S198" s="1" t="s">
        <v>74</v>
      </c>
      <c r="T198" s="1" t="s">
        <v>74</v>
      </c>
      <c r="U198" s="1" t="s">
        <v>74</v>
      </c>
      <c r="V198" s="1" t="s">
        <v>2145</v>
      </c>
      <c r="W198" s="1" t="s">
        <v>74</v>
      </c>
      <c r="X198" s="1" t="s">
        <v>74</v>
      </c>
      <c r="Y198" s="1" t="s">
        <v>74</v>
      </c>
      <c r="Z198" s="1" t="s">
        <v>74</v>
      </c>
      <c r="AA198" s="1" t="s">
        <v>2146</v>
      </c>
      <c r="AB198" s="1" t="s">
        <v>2147</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2148</v>
      </c>
      <c r="AP198" s="1" t="s">
        <v>2149</v>
      </c>
      <c r="AQ198" s="1" t="s">
        <v>74</v>
      </c>
      <c r="AR198" s="1" t="s">
        <v>74</v>
      </c>
      <c r="AS198" s="1" t="s">
        <v>74</v>
      </c>
      <c r="AT198" s="1" t="s">
        <v>848</v>
      </c>
      <c r="AU198" s="1">
        <v>2025.0</v>
      </c>
      <c r="AV198" s="1">
        <v>651.0</v>
      </c>
      <c r="AW198" s="1" t="s">
        <v>74</v>
      </c>
      <c r="AX198" s="1" t="s">
        <v>74</v>
      </c>
      <c r="AY198" s="1" t="s">
        <v>74</v>
      </c>
      <c r="AZ198" s="1" t="s">
        <v>74</v>
      </c>
      <c r="BA198" s="1" t="s">
        <v>74</v>
      </c>
      <c r="BB198" s="1" t="s">
        <v>74</v>
      </c>
      <c r="BC198" s="1" t="s">
        <v>74</v>
      </c>
      <c r="BD198" s="1">
        <v>119169.0</v>
      </c>
      <c r="BE198" s="1" t="s">
        <v>2150</v>
      </c>
      <c r="BF198" s="2" t="str">
        <f>HYPERLINK("http://dx.doi.org/10.1016/j.epsl.2024.119169","http://dx.doi.org/10.1016/j.epsl.2024.119169")</f>
        <v>http://dx.doi.org/10.1016/j.epsl.2024.119169</v>
      </c>
      <c r="BG198" s="1" t="s">
        <v>74</v>
      </c>
      <c r="BH198" s="1" t="s">
        <v>850</v>
      </c>
      <c r="BI198" s="1" t="s">
        <v>74</v>
      </c>
      <c r="BJ198" s="1" t="s">
        <v>74</v>
      </c>
      <c r="BK198" s="1" t="s">
        <v>74</v>
      </c>
      <c r="BL198" s="1" t="s">
        <v>74</v>
      </c>
      <c r="BM198" s="1" t="s">
        <v>74</v>
      </c>
      <c r="BN198" s="1" t="s">
        <v>74</v>
      </c>
      <c r="BO198" s="1" t="s">
        <v>74</v>
      </c>
      <c r="BP198" s="1" t="s">
        <v>74</v>
      </c>
      <c r="BQ198" s="1" t="s">
        <v>74</v>
      </c>
      <c r="BR198" s="1" t="s">
        <v>74</v>
      </c>
      <c r="BS198" s="1" t="s">
        <v>2151</v>
      </c>
      <c r="BT198" s="1" t="str">
        <f>HYPERLINK("https%3A%2F%2Fwww.webofscience.com%2Fwos%2Fwoscc%2Ffull-record%2FWOS:001397101300001","View Full Record in Web of Science")</f>
        <v>View Full Record in Web of Science</v>
      </c>
    </row>
    <row r="199" ht="12.75" customHeight="1">
      <c r="A199" s="1" t="s">
        <v>72</v>
      </c>
      <c r="B199" s="1" t="s">
        <v>2152</v>
      </c>
      <c r="C199" s="1" t="s">
        <v>74</v>
      </c>
      <c r="D199" s="1" t="s">
        <v>74</v>
      </c>
      <c r="E199" s="1" t="s">
        <v>74</v>
      </c>
      <c r="F199" s="1" t="s">
        <v>2153</v>
      </c>
      <c r="G199" s="1" t="s">
        <v>74</v>
      </c>
      <c r="H199" s="1" t="s">
        <v>74</v>
      </c>
      <c r="I199" s="1" t="s">
        <v>2154</v>
      </c>
      <c r="J199" s="1" t="s">
        <v>596</v>
      </c>
      <c r="K199" s="1" t="s">
        <v>74</v>
      </c>
      <c r="L199" s="1" t="s">
        <v>74</v>
      </c>
      <c r="M199" s="1" t="s">
        <v>74</v>
      </c>
      <c r="N199" s="1" t="s">
        <v>74</v>
      </c>
      <c r="O199" s="1" t="s">
        <v>74</v>
      </c>
      <c r="P199" s="1" t="s">
        <v>74</v>
      </c>
      <c r="Q199" s="1" t="s">
        <v>74</v>
      </c>
      <c r="R199" s="1" t="s">
        <v>74</v>
      </c>
      <c r="S199" s="1" t="s">
        <v>74</v>
      </c>
      <c r="T199" s="1" t="s">
        <v>74</v>
      </c>
      <c r="U199" s="1" t="s">
        <v>74</v>
      </c>
      <c r="V199" s="1" t="s">
        <v>2155</v>
      </c>
      <c r="W199" s="1" t="s">
        <v>74</v>
      </c>
      <c r="X199" s="1" t="s">
        <v>74</v>
      </c>
      <c r="Y199" s="1" t="s">
        <v>74</v>
      </c>
      <c r="Z199" s="1" t="s">
        <v>74</v>
      </c>
      <c r="AA199" s="1" t="s">
        <v>2156</v>
      </c>
      <c r="AB199" s="1" t="s">
        <v>2157</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600</v>
      </c>
      <c r="AP199" s="1" t="s">
        <v>601</v>
      </c>
      <c r="AQ199" s="1" t="s">
        <v>74</v>
      </c>
      <c r="AR199" s="1" t="s">
        <v>74</v>
      </c>
      <c r="AS199" s="1" t="s">
        <v>74</v>
      </c>
      <c r="AT199" s="1" t="s">
        <v>2120</v>
      </c>
      <c r="AU199" s="1">
        <v>2024.0</v>
      </c>
      <c r="AV199" s="1">
        <v>974.0</v>
      </c>
      <c r="AW199" s="1">
        <v>1.0</v>
      </c>
      <c r="AX199" s="1" t="s">
        <v>74</v>
      </c>
      <c r="AY199" s="1" t="s">
        <v>74</v>
      </c>
      <c r="AZ199" s="1" t="s">
        <v>74</v>
      </c>
      <c r="BA199" s="1" t="s">
        <v>74</v>
      </c>
      <c r="BB199" s="1" t="s">
        <v>74</v>
      </c>
      <c r="BC199" s="1" t="s">
        <v>74</v>
      </c>
      <c r="BD199" s="1">
        <v>102.0</v>
      </c>
      <c r="BE199" s="1" t="s">
        <v>2158</v>
      </c>
      <c r="BF199" s="2" t="str">
        <f>HYPERLINK("http://dx.doi.org/10.3847/1538-4357/ad6e73","http://dx.doi.org/10.3847/1538-4357/ad6e73")</f>
        <v>http://dx.doi.org/10.3847/1538-4357/ad6e73</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2159</v>
      </c>
      <c r="BT199" s="1" t="str">
        <f>HYPERLINK("https%3A%2F%2Fwww.webofscience.com%2Fwos%2Fwoscc%2Ffull-record%2FWOS:001328761300001","View Full Record in Web of Science")</f>
        <v>View Full Record in Web of Science</v>
      </c>
    </row>
    <row r="200" ht="12.75" customHeight="1">
      <c r="A200" s="1" t="s">
        <v>72</v>
      </c>
      <c r="B200" s="1" t="s">
        <v>2160</v>
      </c>
      <c r="C200" s="1" t="s">
        <v>74</v>
      </c>
      <c r="D200" s="1" t="s">
        <v>74</v>
      </c>
      <c r="E200" s="1" t="s">
        <v>74</v>
      </c>
      <c r="F200" s="1" t="s">
        <v>2161</v>
      </c>
      <c r="G200" s="1" t="s">
        <v>74</v>
      </c>
      <c r="H200" s="1" t="s">
        <v>74</v>
      </c>
      <c r="I200" s="1" t="s">
        <v>2162</v>
      </c>
      <c r="J200" s="1" t="s">
        <v>2163</v>
      </c>
      <c r="K200" s="1" t="s">
        <v>74</v>
      </c>
      <c r="L200" s="1" t="s">
        <v>74</v>
      </c>
      <c r="M200" s="1" t="s">
        <v>74</v>
      </c>
      <c r="N200" s="1" t="s">
        <v>74</v>
      </c>
      <c r="O200" s="1" t="s">
        <v>74</v>
      </c>
      <c r="P200" s="1" t="s">
        <v>74</v>
      </c>
      <c r="Q200" s="1" t="s">
        <v>74</v>
      </c>
      <c r="R200" s="1" t="s">
        <v>74</v>
      </c>
      <c r="S200" s="1" t="s">
        <v>74</v>
      </c>
      <c r="T200" s="1" t="s">
        <v>74</v>
      </c>
      <c r="U200" s="1" t="s">
        <v>74</v>
      </c>
      <c r="V200" s="1" t="s">
        <v>2164</v>
      </c>
      <c r="W200" s="1" t="s">
        <v>74</v>
      </c>
      <c r="X200" s="1" t="s">
        <v>74</v>
      </c>
      <c r="Y200" s="1" t="s">
        <v>74</v>
      </c>
      <c r="Z200" s="1" t="s">
        <v>74</v>
      </c>
      <c r="AA200" s="1" t="s">
        <v>2165</v>
      </c>
      <c r="AB200" s="1" t="s">
        <v>2166</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74</v>
      </c>
      <c r="AP200" s="1" t="s">
        <v>2167</v>
      </c>
      <c r="AQ200" s="1" t="s">
        <v>74</v>
      </c>
      <c r="AR200" s="1" t="s">
        <v>74</v>
      </c>
      <c r="AS200" s="1" t="s">
        <v>74</v>
      </c>
      <c r="AT200" s="1" t="s">
        <v>2168</v>
      </c>
      <c r="AU200" s="1">
        <v>2023.0</v>
      </c>
      <c r="AV200" s="1">
        <v>10.0</v>
      </c>
      <c r="AW200" s="1">
        <v>1.0</v>
      </c>
      <c r="AX200" s="1" t="s">
        <v>74</v>
      </c>
      <c r="AY200" s="1" t="s">
        <v>74</v>
      </c>
      <c r="AZ200" s="1" t="s">
        <v>74</v>
      </c>
      <c r="BA200" s="1" t="s">
        <v>74</v>
      </c>
      <c r="BB200" s="1" t="s">
        <v>74</v>
      </c>
      <c r="BC200" s="1" t="s">
        <v>74</v>
      </c>
      <c r="BD200" s="1">
        <v>889.0</v>
      </c>
      <c r="BE200" s="1" t="s">
        <v>2169</v>
      </c>
      <c r="BF200" s="2" t="str">
        <f>HYPERLINK("http://dx.doi.org/10.1038/s41597-023-02806-8","http://dx.doi.org/10.1038/s41597-023-02806-8")</f>
        <v>http://dx.doi.org/10.1038/s41597-023-02806-8</v>
      </c>
      <c r="BG200" s="1" t="s">
        <v>74</v>
      </c>
      <c r="BH200" s="1" t="s">
        <v>74</v>
      </c>
      <c r="BI200" s="1" t="s">
        <v>74</v>
      </c>
      <c r="BJ200" s="1" t="s">
        <v>74</v>
      </c>
      <c r="BK200" s="1" t="s">
        <v>74</v>
      </c>
      <c r="BL200" s="1" t="s">
        <v>74</v>
      </c>
      <c r="BM200" s="1" t="s">
        <v>74</v>
      </c>
      <c r="BN200" s="1">
        <v>3.8071313E7</v>
      </c>
      <c r="BO200" s="1" t="s">
        <v>74</v>
      </c>
      <c r="BP200" s="1" t="s">
        <v>74</v>
      </c>
      <c r="BQ200" s="1" t="s">
        <v>74</v>
      </c>
      <c r="BR200" s="1" t="s">
        <v>74</v>
      </c>
      <c r="BS200" s="1" t="s">
        <v>2170</v>
      </c>
      <c r="BT200" s="1" t="str">
        <f>HYPERLINK("https%3A%2F%2Fwww.webofscience.com%2Fwos%2Fwoscc%2Ffull-record%2FWOS:001118804500002","View Full Record in Web of Science")</f>
        <v>View Full Record in Web of Science</v>
      </c>
    </row>
    <row r="201" ht="12.75" customHeight="1">
      <c r="A201" s="1" t="s">
        <v>72</v>
      </c>
      <c r="B201" s="1" t="s">
        <v>2171</v>
      </c>
      <c r="C201" s="1" t="s">
        <v>74</v>
      </c>
      <c r="D201" s="1" t="s">
        <v>74</v>
      </c>
      <c r="E201" s="1" t="s">
        <v>74</v>
      </c>
      <c r="F201" s="1" t="s">
        <v>2172</v>
      </c>
      <c r="G201" s="1" t="s">
        <v>74</v>
      </c>
      <c r="H201" s="1" t="s">
        <v>2173</v>
      </c>
      <c r="I201" s="1" t="s">
        <v>2174</v>
      </c>
      <c r="J201" s="1" t="s">
        <v>1356</v>
      </c>
      <c r="K201" s="1" t="s">
        <v>74</v>
      </c>
      <c r="L201" s="1" t="s">
        <v>74</v>
      </c>
      <c r="M201" s="1" t="s">
        <v>74</v>
      </c>
      <c r="N201" s="1" t="s">
        <v>74</v>
      </c>
      <c r="O201" s="1" t="s">
        <v>74</v>
      </c>
      <c r="P201" s="1" t="s">
        <v>74</v>
      </c>
      <c r="Q201" s="1" t="s">
        <v>74</v>
      </c>
      <c r="R201" s="1" t="s">
        <v>74</v>
      </c>
      <c r="S201" s="1" t="s">
        <v>74</v>
      </c>
      <c r="T201" s="1" t="s">
        <v>74</v>
      </c>
      <c r="U201" s="1" t="s">
        <v>74</v>
      </c>
      <c r="V201" s="1" t="s">
        <v>2175</v>
      </c>
      <c r="W201" s="1" t="s">
        <v>74</v>
      </c>
      <c r="X201" s="1" t="s">
        <v>74</v>
      </c>
      <c r="Y201" s="1" t="s">
        <v>74</v>
      </c>
      <c r="Z201" s="1" t="s">
        <v>74</v>
      </c>
      <c r="AA201" s="1" t="s">
        <v>2176</v>
      </c>
      <c r="AB201" s="1" t="s">
        <v>2177</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1360</v>
      </c>
      <c r="AP201" s="1" t="s">
        <v>1361</v>
      </c>
      <c r="AQ201" s="1" t="s">
        <v>74</v>
      </c>
      <c r="AR201" s="1" t="s">
        <v>74</v>
      </c>
      <c r="AS201" s="1" t="s">
        <v>74</v>
      </c>
      <c r="AT201" s="1" t="s">
        <v>344</v>
      </c>
      <c r="AU201" s="1">
        <v>2022.0</v>
      </c>
      <c r="AV201" s="1">
        <v>102.0</v>
      </c>
      <c r="AW201" s="1" t="s">
        <v>74</v>
      </c>
      <c r="AX201" s="1" t="s">
        <v>74</v>
      </c>
      <c r="AY201" s="1" t="s">
        <v>74</v>
      </c>
      <c r="AZ201" s="1" t="s">
        <v>74</v>
      </c>
      <c r="BA201" s="1" t="s">
        <v>74</v>
      </c>
      <c r="BB201" s="1">
        <v>7.0</v>
      </c>
      <c r="BC201" s="1">
        <v>15.0</v>
      </c>
      <c r="BD201" s="1" t="s">
        <v>74</v>
      </c>
      <c r="BE201" s="1" t="s">
        <v>2178</v>
      </c>
      <c r="BF201" s="2" t="str">
        <f>HYPERLINK("http://dx.doi.org/10.1016/j.parkreldis.2022.06.010","http://dx.doi.org/10.1016/j.parkreldis.2022.06.010")</f>
        <v>http://dx.doi.org/10.1016/j.parkreldis.2022.06.010</v>
      </c>
      <c r="BG201" s="1" t="s">
        <v>74</v>
      </c>
      <c r="BH201" s="1" t="s">
        <v>875</v>
      </c>
      <c r="BI201" s="1" t="s">
        <v>74</v>
      </c>
      <c r="BJ201" s="1" t="s">
        <v>74</v>
      </c>
      <c r="BK201" s="1" t="s">
        <v>74</v>
      </c>
      <c r="BL201" s="1" t="s">
        <v>74</v>
      </c>
      <c r="BM201" s="1" t="s">
        <v>74</v>
      </c>
      <c r="BN201" s="1">
        <v>3.5917738E7</v>
      </c>
      <c r="BO201" s="1" t="s">
        <v>74</v>
      </c>
      <c r="BP201" s="1" t="s">
        <v>74</v>
      </c>
      <c r="BQ201" s="1" t="s">
        <v>74</v>
      </c>
      <c r="BR201" s="1" t="s">
        <v>74</v>
      </c>
      <c r="BS201" s="1" t="s">
        <v>2179</v>
      </c>
      <c r="BT201" s="1" t="str">
        <f>HYPERLINK("https%3A%2F%2Fwww.webofscience.com%2Fwos%2Fwoscc%2Ffull-record%2FWOS:000862945100002","View Full Record in Web of Science")</f>
        <v>View Full Record in Web of Science</v>
      </c>
    </row>
    <row r="202" ht="12.75" customHeight="1">
      <c r="A202" s="1" t="s">
        <v>72</v>
      </c>
      <c r="B202" s="1" t="s">
        <v>2180</v>
      </c>
      <c r="C202" s="1" t="s">
        <v>74</v>
      </c>
      <c r="D202" s="1" t="s">
        <v>74</v>
      </c>
      <c r="E202" s="1" t="s">
        <v>74</v>
      </c>
      <c r="F202" s="1" t="s">
        <v>2181</v>
      </c>
      <c r="G202" s="1" t="s">
        <v>74</v>
      </c>
      <c r="H202" s="1" t="s">
        <v>2182</v>
      </c>
      <c r="I202" s="1" t="s">
        <v>2183</v>
      </c>
      <c r="J202" s="1" t="s">
        <v>2184</v>
      </c>
      <c r="K202" s="1" t="s">
        <v>74</v>
      </c>
      <c r="L202" s="1" t="s">
        <v>74</v>
      </c>
      <c r="M202" s="1" t="s">
        <v>74</v>
      </c>
      <c r="N202" s="1" t="s">
        <v>74</v>
      </c>
      <c r="O202" s="1" t="s">
        <v>74</v>
      </c>
      <c r="P202" s="1" t="s">
        <v>74</v>
      </c>
      <c r="Q202" s="1" t="s">
        <v>74</v>
      </c>
      <c r="R202" s="1" t="s">
        <v>74</v>
      </c>
      <c r="S202" s="1" t="s">
        <v>74</v>
      </c>
      <c r="T202" s="1" t="s">
        <v>74</v>
      </c>
      <c r="U202" s="1" t="s">
        <v>74</v>
      </c>
      <c r="V202" s="1" t="s">
        <v>2185</v>
      </c>
      <c r="W202" s="1" t="s">
        <v>74</v>
      </c>
      <c r="X202" s="1" t="s">
        <v>74</v>
      </c>
      <c r="Y202" s="1" t="s">
        <v>74</v>
      </c>
      <c r="Z202" s="1" t="s">
        <v>74</v>
      </c>
      <c r="AA202" s="1" t="s">
        <v>2186</v>
      </c>
      <c r="AB202" s="1" t="s">
        <v>2187</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2188</v>
      </c>
      <c r="AP202" s="1" t="s">
        <v>2189</v>
      </c>
      <c r="AQ202" s="1" t="s">
        <v>74</v>
      </c>
      <c r="AR202" s="1" t="s">
        <v>74</v>
      </c>
      <c r="AS202" s="1" t="s">
        <v>74</v>
      </c>
      <c r="AT202" s="1" t="s">
        <v>344</v>
      </c>
      <c r="AU202" s="1">
        <v>2021.0</v>
      </c>
      <c r="AV202" s="1">
        <v>90.0</v>
      </c>
      <c r="AW202" s="1">
        <v>3.0</v>
      </c>
      <c r="AX202" s="1" t="s">
        <v>74</v>
      </c>
      <c r="AY202" s="1" t="s">
        <v>74</v>
      </c>
      <c r="AZ202" s="1" t="s">
        <v>74</v>
      </c>
      <c r="BA202" s="1" t="s">
        <v>74</v>
      </c>
      <c r="BB202" s="1">
        <v>353.0</v>
      </c>
      <c r="BC202" s="1">
        <v>365.0</v>
      </c>
      <c r="BD202" s="1" t="s">
        <v>74</v>
      </c>
      <c r="BE202" s="1" t="s">
        <v>2190</v>
      </c>
      <c r="BF202" s="2" t="str">
        <f>HYPERLINK("http://dx.doi.org/10.1002/ana.26153","http://dx.doi.org/10.1002/ana.26153")</f>
        <v>http://dx.doi.org/10.1002/ana.26153</v>
      </c>
      <c r="BG202" s="1" t="s">
        <v>74</v>
      </c>
      <c r="BH202" s="1" t="s">
        <v>1611</v>
      </c>
      <c r="BI202" s="1" t="s">
        <v>74</v>
      </c>
      <c r="BJ202" s="1" t="s">
        <v>74</v>
      </c>
      <c r="BK202" s="1" t="s">
        <v>74</v>
      </c>
      <c r="BL202" s="1" t="s">
        <v>74</v>
      </c>
      <c r="BM202" s="1" t="s">
        <v>74</v>
      </c>
      <c r="BN202" s="1">
        <v>3.4227697E7</v>
      </c>
      <c r="BO202" s="1" t="s">
        <v>74</v>
      </c>
      <c r="BP202" s="1" t="s">
        <v>74</v>
      </c>
      <c r="BQ202" s="1" t="s">
        <v>74</v>
      </c>
      <c r="BR202" s="1" t="s">
        <v>74</v>
      </c>
      <c r="BS202" s="1" t="s">
        <v>2191</v>
      </c>
      <c r="BT202" s="1" t="str">
        <f>HYPERLINK("https%3A%2F%2Fwww.webofscience.com%2Fwos%2Fwoscc%2Ffull-record%2FWOS:000675493200001","View Full Record in Web of Science")</f>
        <v>View Full Record in Web of Science</v>
      </c>
    </row>
    <row r="203" ht="12.75" customHeight="1">
      <c r="A203" s="1" t="s">
        <v>72</v>
      </c>
      <c r="B203" s="1" t="s">
        <v>2192</v>
      </c>
      <c r="C203" s="1" t="s">
        <v>74</v>
      </c>
      <c r="D203" s="1" t="s">
        <v>74</v>
      </c>
      <c r="E203" s="1" t="s">
        <v>74</v>
      </c>
      <c r="F203" s="1" t="s">
        <v>2193</v>
      </c>
      <c r="G203" s="1" t="s">
        <v>74</v>
      </c>
      <c r="H203" s="1" t="s">
        <v>74</v>
      </c>
      <c r="I203" s="1" t="s">
        <v>2194</v>
      </c>
      <c r="J203" s="1" t="s">
        <v>1832</v>
      </c>
      <c r="K203" s="1" t="s">
        <v>74</v>
      </c>
      <c r="L203" s="1" t="s">
        <v>74</v>
      </c>
      <c r="M203" s="1" t="s">
        <v>74</v>
      </c>
      <c r="N203" s="1" t="s">
        <v>74</v>
      </c>
      <c r="O203" s="1" t="s">
        <v>74</v>
      </c>
      <c r="P203" s="1" t="s">
        <v>74</v>
      </c>
      <c r="Q203" s="1" t="s">
        <v>74</v>
      </c>
      <c r="R203" s="1" t="s">
        <v>74</v>
      </c>
      <c r="S203" s="1" t="s">
        <v>74</v>
      </c>
      <c r="T203" s="1" t="s">
        <v>74</v>
      </c>
      <c r="U203" s="1" t="s">
        <v>74</v>
      </c>
      <c r="V203" s="1" t="s">
        <v>2195</v>
      </c>
      <c r="W203" s="1" t="s">
        <v>74</v>
      </c>
      <c r="X203" s="1" t="s">
        <v>74</v>
      </c>
      <c r="Y203" s="1" t="s">
        <v>74</v>
      </c>
      <c r="Z203" s="1" t="s">
        <v>74</v>
      </c>
      <c r="AA203" s="1" t="s">
        <v>2196</v>
      </c>
      <c r="AB203" s="1" t="s">
        <v>2197</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1836</v>
      </c>
      <c r="AP203" s="1" t="s">
        <v>1837</v>
      </c>
      <c r="AQ203" s="1" t="s">
        <v>74</v>
      </c>
      <c r="AR203" s="1" t="s">
        <v>74</v>
      </c>
      <c r="AS203" s="1" t="s">
        <v>74</v>
      </c>
      <c r="AT203" s="1" t="s">
        <v>275</v>
      </c>
      <c r="AU203" s="1">
        <v>2021.0</v>
      </c>
      <c r="AV203" s="1">
        <v>128.0</v>
      </c>
      <c r="AW203" s="1">
        <v>3.0</v>
      </c>
      <c r="AX203" s="1" t="s">
        <v>74</v>
      </c>
      <c r="AY203" s="1" t="s">
        <v>74</v>
      </c>
      <c r="AZ203" s="1" t="s">
        <v>74</v>
      </c>
      <c r="BA203" s="1" t="s">
        <v>74</v>
      </c>
      <c r="BB203" s="1">
        <v>321.0</v>
      </c>
      <c r="BC203" s="1">
        <v>335.0</v>
      </c>
      <c r="BD203" s="1" t="s">
        <v>74</v>
      </c>
      <c r="BE203" s="1" t="s">
        <v>2198</v>
      </c>
      <c r="BF203" s="2" t="str">
        <f>HYPERLINK("http://dx.doi.org/10.1007/s00702-021-02312-4","http://dx.doi.org/10.1007/s00702-021-02312-4")</f>
        <v>http://dx.doi.org/10.1007/s00702-021-02312-4</v>
      </c>
      <c r="BG203" s="1" t="s">
        <v>74</v>
      </c>
      <c r="BH203" s="1" t="s">
        <v>2199</v>
      </c>
      <c r="BI203" s="1" t="s">
        <v>74</v>
      </c>
      <c r="BJ203" s="1" t="s">
        <v>74</v>
      </c>
      <c r="BK203" s="1" t="s">
        <v>74</v>
      </c>
      <c r="BL203" s="1" t="s">
        <v>74</v>
      </c>
      <c r="BM203" s="1" t="s">
        <v>74</v>
      </c>
      <c r="BN203" s="1">
        <v>3.3635442E7</v>
      </c>
      <c r="BO203" s="1" t="s">
        <v>74</v>
      </c>
      <c r="BP203" s="1" t="s">
        <v>74</v>
      </c>
      <c r="BQ203" s="1" t="s">
        <v>74</v>
      </c>
      <c r="BR203" s="1" t="s">
        <v>74</v>
      </c>
      <c r="BS203" s="1" t="s">
        <v>2200</v>
      </c>
      <c r="BT203" s="1" t="str">
        <f>HYPERLINK("https%3A%2F%2Fwww.webofscience.com%2Fwos%2Fwoscc%2Ffull-record%2FWOS:000622217400001","View Full Record in Web of Science")</f>
        <v>View Full Record in Web of Science</v>
      </c>
    </row>
    <row r="204" ht="12.75" customHeight="1">
      <c r="A204" s="1" t="s">
        <v>72</v>
      </c>
      <c r="B204" s="1" t="s">
        <v>2201</v>
      </c>
      <c r="C204" s="1" t="s">
        <v>74</v>
      </c>
      <c r="D204" s="1" t="s">
        <v>74</v>
      </c>
      <c r="E204" s="1" t="s">
        <v>74</v>
      </c>
      <c r="F204" s="1" t="s">
        <v>2202</v>
      </c>
      <c r="G204" s="1" t="s">
        <v>74</v>
      </c>
      <c r="H204" s="1" t="s">
        <v>74</v>
      </c>
      <c r="I204" s="1" t="s">
        <v>2203</v>
      </c>
      <c r="J204" s="1" t="s">
        <v>2204</v>
      </c>
      <c r="K204" s="1" t="s">
        <v>74</v>
      </c>
      <c r="L204" s="1" t="s">
        <v>74</v>
      </c>
      <c r="M204" s="1" t="s">
        <v>74</v>
      </c>
      <c r="N204" s="1" t="s">
        <v>74</v>
      </c>
      <c r="O204" s="1" t="s">
        <v>74</v>
      </c>
      <c r="P204" s="1" t="s">
        <v>74</v>
      </c>
      <c r="Q204" s="1" t="s">
        <v>74</v>
      </c>
      <c r="R204" s="1" t="s">
        <v>74</v>
      </c>
      <c r="S204" s="1" t="s">
        <v>74</v>
      </c>
      <c r="T204" s="1" t="s">
        <v>74</v>
      </c>
      <c r="U204" s="1" t="s">
        <v>74</v>
      </c>
      <c r="V204" s="1" t="s">
        <v>2205</v>
      </c>
      <c r="W204" s="1" t="s">
        <v>74</v>
      </c>
      <c r="X204" s="1" t="s">
        <v>74</v>
      </c>
      <c r="Y204" s="1" t="s">
        <v>74</v>
      </c>
      <c r="Z204" s="1" t="s">
        <v>74</v>
      </c>
      <c r="AA204" s="1" t="s">
        <v>2206</v>
      </c>
      <c r="AB204" s="1" t="s">
        <v>2207</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2208</v>
      </c>
      <c r="AP204" s="1" t="s">
        <v>2209</v>
      </c>
      <c r="AQ204" s="1" t="s">
        <v>74</v>
      </c>
      <c r="AR204" s="1" t="s">
        <v>74</v>
      </c>
      <c r="AS204" s="1" t="s">
        <v>74</v>
      </c>
      <c r="AT204" s="1" t="s">
        <v>188</v>
      </c>
      <c r="AU204" s="1">
        <v>2022.0</v>
      </c>
      <c r="AV204" s="1">
        <v>196.0</v>
      </c>
      <c r="AW204" s="1" t="s">
        <v>74</v>
      </c>
      <c r="AX204" s="1" t="s">
        <v>74</v>
      </c>
      <c r="AY204" s="1" t="s">
        <v>74</v>
      </c>
      <c r="AZ204" s="1" t="s">
        <v>74</v>
      </c>
      <c r="BA204" s="1" t="s">
        <v>74</v>
      </c>
      <c r="BB204" s="1">
        <v>995.0</v>
      </c>
      <c r="BC204" s="1">
        <v>1016.0</v>
      </c>
      <c r="BD204" s="1" t="s">
        <v>74</v>
      </c>
      <c r="BE204" s="1" t="s">
        <v>2210</v>
      </c>
      <c r="BF204" s="2" t="str">
        <f>HYPERLINK("http://dx.doi.org/10.1016/j.renene.2022.07.011","http://dx.doi.org/10.1016/j.renene.2022.07.011")</f>
        <v>http://dx.doi.org/10.1016/j.renene.2022.07.011</v>
      </c>
      <c r="BG204" s="1" t="s">
        <v>74</v>
      </c>
      <c r="BH204" s="1" t="s">
        <v>875</v>
      </c>
      <c r="BI204" s="1" t="s">
        <v>74</v>
      </c>
      <c r="BJ204" s="1" t="s">
        <v>74</v>
      </c>
      <c r="BK204" s="1" t="s">
        <v>74</v>
      </c>
      <c r="BL204" s="1" t="s">
        <v>74</v>
      </c>
      <c r="BM204" s="1" t="s">
        <v>74</v>
      </c>
      <c r="BN204" s="1" t="s">
        <v>74</v>
      </c>
      <c r="BO204" s="1" t="s">
        <v>74</v>
      </c>
      <c r="BP204" s="1" t="s">
        <v>74</v>
      </c>
      <c r="BQ204" s="1" t="s">
        <v>74</v>
      </c>
      <c r="BR204" s="1" t="s">
        <v>74</v>
      </c>
      <c r="BS204" s="1" t="s">
        <v>2211</v>
      </c>
      <c r="BT204" s="1" t="str">
        <f>HYPERLINK("https%3A%2F%2Fwww.webofscience.com%2Fwos%2Fwoscc%2Ffull-record%2FWOS:000841758900001","View Full Record in Web of Science")</f>
        <v>View Full Record in Web of Science</v>
      </c>
    </row>
    <row r="205" ht="12.75" customHeight="1">
      <c r="A205" s="1" t="s">
        <v>72</v>
      </c>
      <c r="B205" s="1" t="s">
        <v>2212</v>
      </c>
      <c r="C205" s="1" t="s">
        <v>74</v>
      </c>
      <c r="D205" s="1" t="s">
        <v>74</v>
      </c>
      <c r="E205" s="1" t="s">
        <v>74</v>
      </c>
      <c r="F205" s="1" t="s">
        <v>2213</v>
      </c>
      <c r="G205" s="1" t="s">
        <v>74</v>
      </c>
      <c r="H205" s="1" t="s">
        <v>74</v>
      </c>
      <c r="I205" s="1" t="s">
        <v>2214</v>
      </c>
      <c r="J205" s="1" t="s">
        <v>1148</v>
      </c>
      <c r="K205" s="1" t="s">
        <v>74</v>
      </c>
      <c r="L205" s="1" t="s">
        <v>74</v>
      </c>
      <c r="M205" s="1" t="s">
        <v>74</v>
      </c>
      <c r="N205" s="1" t="s">
        <v>74</v>
      </c>
      <c r="O205" s="1" t="s">
        <v>74</v>
      </c>
      <c r="P205" s="1" t="s">
        <v>74</v>
      </c>
      <c r="Q205" s="1" t="s">
        <v>74</v>
      </c>
      <c r="R205" s="1" t="s">
        <v>74</v>
      </c>
      <c r="S205" s="1" t="s">
        <v>74</v>
      </c>
      <c r="T205" s="1" t="s">
        <v>74</v>
      </c>
      <c r="U205" s="1" t="s">
        <v>74</v>
      </c>
      <c r="V205" s="1" t="s">
        <v>2215</v>
      </c>
      <c r="W205" s="1" t="s">
        <v>74</v>
      </c>
      <c r="X205" s="1" t="s">
        <v>74</v>
      </c>
      <c r="Y205" s="1" t="s">
        <v>74</v>
      </c>
      <c r="Z205" s="1" t="s">
        <v>74</v>
      </c>
      <c r="AA205" s="1" t="s">
        <v>2216</v>
      </c>
      <c r="AB205" s="1" t="s">
        <v>2217</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1152</v>
      </c>
      <c r="AP205" s="1" t="s">
        <v>1153</v>
      </c>
      <c r="AQ205" s="1" t="s">
        <v>74</v>
      </c>
      <c r="AR205" s="1" t="s">
        <v>74</v>
      </c>
      <c r="AS205" s="1" t="s">
        <v>74</v>
      </c>
      <c r="AT205" s="1" t="s">
        <v>344</v>
      </c>
      <c r="AU205" s="1">
        <v>2024.0</v>
      </c>
      <c r="AV205" s="1">
        <v>20.0</v>
      </c>
      <c r="AW205" s="1">
        <v>9.0</v>
      </c>
      <c r="AX205" s="1" t="s">
        <v>74</v>
      </c>
      <c r="AY205" s="1" t="s">
        <v>74</v>
      </c>
      <c r="AZ205" s="1" t="s">
        <v>74</v>
      </c>
      <c r="BA205" s="1" t="s">
        <v>74</v>
      </c>
      <c r="BB205" s="1">
        <v>5912.0</v>
      </c>
      <c r="BC205" s="1">
        <v>5925.0</v>
      </c>
      <c r="BD205" s="1" t="s">
        <v>74</v>
      </c>
      <c r="BE205" s="1" t="s">
        <v>2218</v>
      </c>
      <c r="BF205" s="2" t="str">
        <f>HYPERLINK("http://dx.doi.org/10.1002/alz.14085","http://dx.doi.org/10.1002/alz.14085")</f>
        <v>http://dx.doi.org/10.1002/alz.14085</v>
      </c>
      <c r="BG205" s="1" t="s">
        <v>74</v>
      </c>
      <c r="BH205" s="1" t="s">
        <v>2219</v>
      </c>
      <c r="BI205" s="1" t="s">
        <v>74</v>
      </c>
      <c r="BJ205" s="1" t="s">
        <v>74</v>
      </c>
      <c r="BK205" s="1" t="s">
        <v>74</v>
      </c>
      <c r="BL205" s="1" t="s">
        <v>74</v>
      </c>
      <c r="BM205" s="1" t="s">
        <v>74</v>
      </c>
      <c r="BN205" s="1">
        <v>3.9136296E7</v>
      </c>
      <c r="BO205" s="1" t="s">
        <v>74</v>
      </c>
      <c r="BP205" s="1" t="s">
        <v>74</v>
      </c>
      <c r="BQ205" s="1" t="s">
        <v>74</v>
      </c>
      <c r="BR205" s="1" t="s">
        <v>74</v>
      </c>
      <c r="BS205" s="1" t="s">
        <v>2220</v>
      </c>
      <c r="BT205" s="1" t="str">
        <f>HYPERLINK("https%3A%2F%2Fwww.webofscience.com%2Fwos%2Fwoscc%2Ffull-record%2FWOS:001289319900001","View Full Record in Web of Science")</f>
        <v>View Full Record in Web of Science</v>
      </c>
    </row>
    <row r="206" ht="12.75" customHeight="1">
      <c r="A206" s="1" t="s">
        <v>72</v>
      </c>
      <c r="B206" s="1" t="s">
        <v>2221</v>
      </c>
      <c r="C206" s="1" t="s">
        <v>74</v>
      </c>
      <c r="D206" s="1" t="s">
        <v>74</v>
      </c>
      <c r="E206" s="1" t="s">
        <v>74</v>
      </c>
      <c r="F206" s="1" t="s">
        <v>2222</v>
      </c>
      <c r="G206" s="1" t="s">
        <v>74</v>
      </c>
      <c r="H206" s="1" t="s">
        <v>74</v>
      </c>
      <c r="I206" s="1" t="s">
        <v>2223</v>
      </c>
      <c r="J206" s="1" t="s">
        <v>2224</v>
      </c>
      <c r="K206" s="1" t="s">
        <v>74</v>
      </c>
      <c r="L206" s="1" t="s">
        <v>74</v>
      </c>
      <c r="M206" s="1" t="s">
        <v>74</v>
      </c>
      <c r="N206" s="1" t="s">
        <v>74</v>
      </c>
      <c r="O206" s="1" t="s">
        <v>74</v>
      </c>
      <c r="P206" s="1" t="s">
        <v>74</v>
      </c>
      <c r="Q206" s="1" t="s">
        <v>74</v>
      </c>
      <c r="R206" s="1" t="s">
        <v>74</v>
      </c>
      <c r="S206" s="1" t="s">
        <v>74</v>
      </c>
      <c r="T206" s="1" t="s">
        <v>74</v>
      </c>
      <c r="U206" s="1" t="s">
        <v>74</v>
      </c>
      <c r="V206" s="1" t="s">
        <v>2225</v>
      </c>
      <c r="W206" s="1" t="s">
        <v>74</v>
      </c>
      <c r="X206" s="1" t="s">
        <v>74</v>
      </c>
      <c r="Y206" s="1" t="s">
        <v>74</v>
      </c>
      <c r="Z206" s="1" t="s">
        <v>74</v>
      </c>
      <c r="AA206" s="1" t="s">
        <v>2226</v>
      </c>
      <c r="AB206" s="1" t="s">
        <v>2227</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2228</v>
      </c>
      <c r="AP206" s="1" t="s">
        <v>2229</v>
      </c>
      <c r="AQ206" s="1" t="s">
        <v>74</v>
      </c>
      <c r="AR206" s="1" t="s">
        <v>74</v>
      </c>
      <c r="AS206" s="1" t="s">
        <v>74</v>
      </c>
      <c r="AT206" s="1" t="s">
        <v>567</v>
      </c>
      <c r="AU206" s="1">
        <v>2022.0</v>
      </c>
      <c r="AV206" s="1">
        <v>51.0</v>
      </c>
      <c r="AW206" s="1">
        <v>1.0</v>
      </c>
      <c r="AX206" s="1" t="s">
        <v>74</v>
      </c>
      <c r="AY206" s="1" t="s">
        <v>74</v>
      </c>
      <c r="AZ206" s="1" t="s">
        <v>496</v>
      </c>
      <c r="BA206" s="1" t="s">
        <v>74</v>
      </c>
      <c r="BB206" s="1">
        <v>84.0</v>
      </c>
      <c r="BC206" s="1">
        <v>92.0</v>
      </c>
      <c r="BD206" s="1" t="s">
        <v>74</v>
      </c>
      <c r="BE206" s="1" t="s">
        <v>2230</v>
      </c>
      <c r="BF206" s="2" t="str">
        <f>HYPERLINK("http://dx.doi.org/10.1007/s13280-021-01561-7","http://dx.doi.org/10.1007/s13280-021-01561-7")</f>
        <v>http://dx.doi.org/10.1007/s13280-021-01561-7</v>
      </c>
      <c r="BG206" s="1" t="s">
        <v>74</v>
      </c>
      <c r="BH206" s="1" t="s">
        <v>333</v>
      </c>
      <c r="BI206" s="1" t="s">
        <v>74</v>
      </c>
      <c r="BJ206" s="1" t="s">
        <v>74</v>
      </c>
      <c r="BK206" s="1" t="s">
        <v>74</v>
      </c>
      <c r="BL206" s="1" t="s">
        <v>74</v>
      </c>
      <c r="BM206" s="1" t="s">
        <v>74</v>
      </c>
      <c r="BN206" s="1">
        <v>3.4008095E7</v>
      </c>
      <c r="BO206" s="1" t="s">
        <v>74</v>
      </c>
      <c r="BP206" s="1" t="s">
        <v>74</v>
      </c>
      <c r="BQ206" s="1" t="s">
        <v>74</v>
      </c>
      <c r="BR206" s="1" t="s">
        <v>74</v>
      </c>
      <c r="BS206" s="1" t="s">
        <v>2231</v>
      </c>
      <c r="BT206" s="1" t="str">
        <f>HYPERLINK("https%3A%2F%2Fwww.webofscience.com%2Fwos%2Fwoscc%2Ffull-record%2FWOS:000651677700001","View Full Record in Web of Science")</f>
        <v>View Full Record in Web of Science</v>
      </c>
    </row>
    <row r="207" ht="12.75" customHeight="1">
      <c r="A207" s="1" t="s">
        <v>72</v>
      </c>
      <c r="B207" s="1" t="s">
        <v>2232</v>
      </c>
      <c r="C207" s="1" t="s">
        <v>74</v>
      </c>
      <c r="D207" s="1" t="s">
        <v>74</v>
      </c>
      <c r="E207" s="1" t="s">
        <v>74</v>
      </c>
      <c r="F207" s="1" t="s">
        <v>2233</v>
      </c>
      <c r="G207" s="1" t="s">
        <v>74</v>
      </c>
      <c r="H207" s="1" t="s">
        <v>74</v>
      </c>
      <c r="I207" s="1" t="s">
        <v>2234</v>
      </c>
      <c r="J207" s="1" t="s">
        <v>395</v>
      </c>
      <c r="K207" s="1" t="s">
        <v>74</v>
      </c>
      <c r="L207" s="1" t="s">
        <v>74</v>
      </c>
      <c r="M207" s="1" t="s">
        <v>74</v>
      </c>
      <c r="N207" s="1" t="s">
        <v>74</v>
      </c>
      <c r="O207" s="1" t="s">
        <v>74</v>
      </c>
      <c r="P207" s="1" t="s">
        <v>74</v>
      </c>
      <c r="Q207" s="1" t="s">
        <v>74</v>
      </c>
      <c r="R207" s="1" t="s">
        <v>74</v>
      </c>
      <c r="S207" s="1" t="s">
        <v>74</v>
      </c>
      <c r="T207" s="1" t="s">
        <v>74</v>
      </c>
      <c r="U207" s="1" t="s">
        <v>74</v>
      </c>
      <c r="V207" s="1" t="s">
        <v>2235</v>
      </c>
      <c r="W207" s="1" t="s">
        <v>74</v>
      </c>
      <c r="X207" s="1" t="s">
        <v>74</v>
      </c>
      <c r="Y207" s="1" t="s">
        <v>74</v>
      </c>
      <c r="Z207" s="1" t="s">
        <v>74</v>
      </c>
      <c r="AA207" s="1" t="s">
        <v>2236</v>
      </c>
      <c r="AB207" s="1" t="s">
        <v>2237</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399</v>
      </c>
      <c r="AP207" s="1" t="s">
        <v>400</v>
      </c>
      <c r="AQ207" s="1" t="s">
        <v>74</v>
      </c>
      <c r="AR207" s="1" t="s">
        <v>74</v>
      </c>
      <c r="AS207" s="1" t="s">
        <v>74</v>
      </c>
      <c r="AT207" s="1" t="s">
        <v>130</v>
      </c>
      <c r="AU207" s="1">
        <v>2021.0</v>
      </c>
      <c r="AV207" s="1">
        <v>507.0</v>
      </c>
      <c r="AW207" s="1">
        <v>3.0</v>
      </c>
      <c r="AX207" s="1" t="s">
        <v>74</v>
      </c>
      <c r="AY207" s="1" t="s">
        <v>74</v>
      </c>
      <c r="AZ207" s="1" t="s">
        <v>74</v>
      </c>
      <c r="BA207" s="1" t="s">
        <v>74</v>
      </c>
      <c r="BB207" s="1">
        <v>3789.0</v>
      </c>
      <c r="BC207" s="1">
        <v>3809.0</v>
      </c>
      <c r="BD207" s="1" t="s">
        <v>74</v>
      </c>
      <c r="BE207" s="1" t="s">
        <v>2238</v>
      </c>
      <c r="BF207" s="2" t="str">
        <f>HYPERLINK("http://dx.doi.org/10.1093/mnras/stab2359","http://dx.doi.org/10.1093/mnras/stab2359")</f>
        <v>http://dx.doi.org/10.1093/mnras/stab2359</v>
      </c>
      <c r="BG207" s="1" t="s">
        <v>74</v>
      </c>
      <c r="BH207" s="1" t="s">
        <v>2239</v>
      </c>
      <c r="BI207" s="1" t="s">
        <v>74</v>
      </c>
      <c r="BJ207" s="1" t="s">
        <v>74</v>
      </c>
      <c r="BK207" s="1" t="s">
        <v>74</v>
      </c>
      <c r="BL207" s="1" t="s">
        <v>74</v>
      </c>
      <c r="BM207" s="1" t="s">
        <v>74</v>
      </c>
      <c r="BN207" s="1" t="s">
        <v>74</v>
      </c>
      <c r="BO207" s="1" t="s">
        <v>74</v>
      </c>
      <c r="BP207" s="1" t="s">
        <v>74</v>
      </c>
      <c r="BQ207" s="1" t="s">
        <v>74</v>
      </c>
      <c r="BR207" s="1" t="s">
        <v>74</v>
      </c>
      <c r="BS207" s="1" t="s">
        <v>2240</v>
      </c>
      <c r="BT207" s="1" t="str">
        <f>HYPERLINK("https%3A%2F%2Fwww.webofscience.com%2Fwos%2Fwoscc%2Ffull-record%2FWOS:000708848000046","View Full Record in Web of Science")</f>
        <v>View Full Record in Web of Science</v>
      </c>
    </row>
    <row r="208" ht="12.75" customHeight="1">
      <c r="A208" s="1" t="s">
        <v>72</v>
      </c>
      <c r="B208" s="1" t="s">
        <v>2241</v>
      </c>
      <c r="C208" s="1" t="s">
        <v>74</v>
      </c>
      <c r="D208" s="1" t="s">
        <v>74</v>
      </c>
      <c r="E208" s="1" t="s">
        <v>74</v>
      </c>
      <c r="F208" s="1" t="s">
        <v>2242</v>
      </c>
      <c r="G208" s="1" t="s">
        <v>74</v>
      </c>
      <c r="H208" s="1" t="s">
        <v>2243</v>
      </c>
      <c r="I208" s="1" t="s">
        <v>2244</v>
      </c>
      <c r="J208" s="1" t="s">
        <v>561</v>
      </c>
      <c r="K208" s="1" t="s">
        <v>74</v>
      </c>
      <c r="L208" s="1" t="s">
        <v>74</v>
      </c>
      <c r="M208" s="1" t="s">
        <v>74</v>
      </c>
      <c r="N208" s="1" t="s">
        <v>74</v>
      </c>
      <c r="O208" s="1" t="s">
        <v>74</v>
      </c>
      <c r="P208" s="1" t="s">
        <v>74</v>
      </c>
      <c r="Q208" s="1" t="s">
        <v>74</v>
      </c>
      <c r="R208" s="1" t="s">
        <v>74</v>
      </c>
      <c r="S208" s="1" t="s">
        <v>74</v>
      </c>
      <c r="T208" s="1" t="s">
        <v>74</v>
      </c>
      <c r="U208" s="1" t="s">
        <v>74</v>
      </c>
      <c r="V208" s="1" t="s">
        <v>2245</v>
      </c>
      <c r="W208" s="1" t="s">
        <v>74</v>
      </c>
      <c r="X208" s="1" t="s">
        <v>74</v>
      </c>
      <c r="Y208" s="1" t="s">
        <v>74</v>
      </c>
      <c r="Z208" s="1" t="s">
        <v>74</v>
      </c>
      <c r="AA208" s="1" t="s">
        <v>2246</v>
      </c>
      <c r="AB208" s="1" t="s">
        <v>2247</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565</v>
      </c>
      <c r="AP208" s="1" t="s">
        <v>566</v>
      </c>
      <c r="AQ208" s="1" t="s">
        <v>74</v>
      </c>
      <c r="AR208" s="1" t="s">
        <v>74</v>
      </c>
      <c r="AS208" s="1" t="s">
        <v>74</v>
      </c>
      <c r="AT208" s="1" t="s">
        <v>119</v>
      </c>
      <c r="AU208" s="1">
        <v>2021.0</v>
      </c>
      <c r="AV208" s="1">
        <v>36.0</v>
      </c>
      <c r="AW208" s="1">
        <v>2.0</v>
      </c>
      <c r="AX208" s="1" t="s">
        <v>74</v>
      </c>
      <c r="AY208" s="1" t="s">
        <v>74</v>
      </c>
      <c r="AZ208" s="1" t="s">
        <v>74</v>
      </c>
      <c r="BA208" s="1" t="s">
        <v>74</v>
      </c>
      <c r="BB208" s="1">
        <v>434.0</v>
      </c>
      <c r="BC208" s="1">
        <v>441.0</v>
      </c>
      <c r="BD208" s="1" t="s">
        <v>74</v>
      </c>
      <c r="BE208" s="1" t="s">
        <v>2248</v>
      </c>
      <c r="BF208" s="2" t="str">
        <f>HYPERLINK("http://dx.doi.org/10.1002/mds.28353","http://dx.doi.org/10.1002/mds.28353")</f>
        <v>http://dx.doi.org/10.1002/mds.28353</v>
      </c>
      <c r="BG208" s="1" t="s">
        <v>74</v>
      </c>
      <c r="BH208" s="1" t="s">
        <v>2249</v>
      </c>
      <c r="BI208" s="1" t="s">
        <v>74</v>
      </c>
      <c r="BJ208" s="1" t="s">
        <v>74</v>
      </c>
      <c r="BK208" s="1" t="s">
        <v>74</v>
      </c>
      <c r="BL208" s="1" t="s">
        <v>74</v>
      </c>
      <c r="BM208" s="1" t="s">
        <v>74</v>
      </c>
      <c r="BN208" s="1">
        <v>3.3150996E7</v>
      </c>
      <c r="BO208" s="1" t="s">
        <v>74</v>
      </c>
      <c r="BP208" s="1" t="s">
        <v>74</v>
      </c>
      <c r="BQ208" s="1" t="s">
        <v>74</v>
      </c>
      <c r="BR208" s="1" t="s">
        <v>74</v>
      </c>
      <c r="BS208" s="1" t="s">
        <v>2250</v>
      </c>
      <c r="BT208" s="1" t="str">
        <f>HYPERLINK("https%3A%2F%2Fwww.webofscience.com%2Fwos%2Fwoscc%2Ffull-record%2FWOS:000586303000001","View Full Record in Web of Science")</f>
        <v>View Full Record in Web of Science</v>
      </c>
    </row>
    <row r="209" ht="12.75" customHeight="1">
      <c r="A209" s="1" t="s">
        <v>72</v>
      </c>
      <c r="B209" s="1" t="s">
        <v>2251</v>
      </c>
      <c r="C209" s="1" t="s">
        <v>74</v>
      </c>
      <c r="D209" s="1" t="s">
        <v>74</v>
      </c>
      <c r="E209" s="1" t="s">
        <v>74</v>
      </c>
      <c r="F209" s="1" t="s">
        <v>2252</v>
      </c>
      <c r="G209" s="1" t="s">
        <v>74</v>
      </c>
      <c r="H209" s="1" t="s">
        <v>74</v>
      </c>
      <c r="I209" s="1" t="s">
        <v>2253</v>
      </c>
      <c r="J209" s="1" t="s">
        <v>2254</v>
      </c>
      <c r="K209" s="1" t="s">
        <v>74</v>
      </c>
      <c r="L209" s="1" t="s">
        <v>74</v>
      </c>
      <c r="M209" s="1" t="s">
        <v>74</v>
      </c>
      <c r="N209" s="1" t="s">
        <v>74</v>
      </c>
      <c r="O209" s="1" t="s">
        <v>74</v>
      </c>
      <c r="P209" s="1" t="s">
        <v>74</v>
      </c>
      <c r="Q209" s="1" t="s">
        <v>74</v>
      </c>
      <c r="R209" s="1" t="s">
        <v>74</v>
      </c>
      <c r="S209" s="1" t="s">
        <v>74</v>
      </c>
      <c r="T209" s="1" t="s">
        <v>74</v>
      </c>
      <c r="U209" s="1" t="s">
        <v>74</v>
      </c>
      <c r="V209" s="1" t="s">
        <v>2255</v>
      </c>
      <c r="W209" s="1" t="s">
        <v>74</v>
      </c>
      <c r="X209" s="1" t="s">
        <v>74</v>
      </c>
      <c r="Y209" s="1" t="s">
        <v>74</v>
      </c>
      <c r="Z209" s="1" t="s">
        <v>74</v>
      </c>
      <c r="AA209" s="1" t="s">
        <v>2256</v>
      </c>
      <c r="AB209" s="1" t="s">
        <v>2257</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2258</v>
      </c>
      <c r="AP209" s="1" t="s">
        <v>2259</v>
      </c>
      <c r="AQ209" s="1" t="s">
        <v>74</v>
      </c>
      <c r="AR209" s="1" t="s">
        <v>74</v>
      </c>
      <c r="AS209" s="1" t="s">
        <v>74</v>
      </c>
      <c r="AT209" s="1" t="s">
        <v>344</v>
      </c>
      <c r="AU209" s="1">
        <v>2024.0</v>
      </c>
      <c r="AV209" s="1">
        <v>44.0</v>
      </c>
      <c r="AW209" s="1">
        <v>9.0</v>
      </c>
      <c r="AX209" s="1" t="s">
        <v>74</v>
      </c>
      <c r="AY209" s="1" t="s">
        <v>74</v>
      </c>
      <c r="AZ209" s="1" t="s">
        <v>74</v>
      </c>
      <c r="BA209" s="1" t="s">
        <v>74</v>
      </c>
      <c r="BB209" s="1">
        <v>1480.0</v>
      </c>
      <c r="BC209" s="1">
        <v>1514.0</v>
      </c>
      <c r="BD209" s="1" t="s">
        <v>74</v>
      </c>
      <c r="BE209" s="1" t="s">
        <v>2260</v>
      </c>
      <c r="BF209" s="2" t="str">
        <f>HYPERLINK("http://dx.doi.org/10.1177/0271678X241249276","http://dx.doi.org/10.1177/0271678X241249276")</f>
        <v>http://dx.doi.org/10.1177/0271678X241249276</v>
      </c>
      <c r="BG209" s="1" t="s">
        <v>74</v>
      </c>
      <c r="BH209" s="1" t="s">
        <v>2261</v>
      </c>
      <c r="BI209" s="1" t="s">
        <v>74</v>
      </c>
      <c r="BJ209" s="1" t="s">
        <v>74</v>
      </c>
      <c r="BK209" s="1" t="s">
        <v>74</v>
      </c>
      <c r="BL209" s="1" t="s">
        <v>74</v>
      </c>
      <c r="BM209" s="1" t="s">
        <v>74</v>
      </c>
      <c r="BN209" s="1">
        <v>3.8688529E7</v>
      </c>
      <c r="BO209" s="1" t="s">
        <v>74</v>
      </c>
      <c r="BP209" s="1" t="s">
        <v>74</v>
      </c>
      <c r="BQ209" s="1" t="s">
        <v>74</v>
      </c>
      <c r="BR209" s="1" t="s">
        <v>74</v>
      </c>
      <c r="BS209" s="1" t="s">
        <v>2262</v>
      </c>
      <c r="BT209" s="1" t="str">
        <f>HYPERLINK("https%3A%2F%2Fwww.webofscience.com%2Fwos%2Fwoscc%2Ffull-record%2FWOS:001214582200001","View Full Record in Web of Science")</f>
        <v>View Full Record in Web of Science</v>
      </c>
    </row>
    <row r="210" ht="12.75" customHeight="1">
      <c r="A210" s="1" t="s">
        <v>72</v>
      </c>
      <c r="B210" s="1" t="s">
        <v>2263</v>
      </c>
      <c r="C210" s="1" t="s">
        <v>74</v>
      </c>
      <c r="D210" s="1" t="s">
        <v>74</v>
      </c>
      <c r="E210" s="1" t="s">
        <v>74</v>
      </c>
      <c r="F210" s="1" t="s">
        <v>2264</v>
      </c>
      <c r="G210" s="1" t="s">
        <v>74</v>
      </c>
      <c r="H210" s="1" t="s">
        <v>74</v>
      </c>
      <c r="I210" s="1" t="s">
        <v>2265</v>
      </c>
      <c r="J210" s="1" t="s">
        <v>2266</v>
      </c>
      <c r="K210" s="1" t="s">
        <v>74</v>
      </c>
      <c r="L210" s="1" t="s">
        <v>74</v>
      </c>
      <c r="M210" s="1" t="s">
        <v>74</v>
      </c>
      <c r="N210" s="1" t="s">
        <v>74</v>
      </c>
      <c r="O210" s="1" t="s">
        <v>74</v>
      </c>
      <c r="P210" s="1" t="s">
        <v>74</v>
      </c>
      <c r="Q210" s="1" t="s">
        <v>74</v>
      </c>
      <c r="R210" s="1" t="s">
        <v>74</v>
      </c>
      <c r="S210" s="1" t="s">
        <v>74</v>
      </c>
      <c r="T210" s="1" t="s">
        <v>74</v>
      </c>
      <c r="U210" s="1" t="s">
        <v>74</v>
      </c>
      <c r="V210" s="1" t="s">
        <v>2267</v>
      </c>
      <c r="W210" s="1" t="s">
        <v>74</v>
      </c>
      <c r="X210" s="1" t="s">
        <v>74</v>
      </c>
      <c r="Y210" s="1" t="s">
        <v>74</v>
      </c>
      <c r="Z210" s="1" t="s">
        <v>74</v>
      </c>
      <c r="AA210" s="1" t="s">
        <v>2268</v>
      </c>
      <c r="AB210" s="1" t="s">
        <v>2269</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2270</v>
      </c>
      <c r="AP210" s="1" t="s">
        <v>2271</v>
      </c>
      <c r="AQ210" s="1" t="s">
        <v>74</v>
      </c>
      <c r="AR210" s="1" t="s">
        <v>74</v>
      </c>
      <c r="AS210" s="1" t="s">
        <v>74</v>
      </c>
      <c r="AT210" s="1" t="s">
        <v>298</v>
      </c>
      <c r="AU210" s="1">
        <v>2018.0</v>
      </c>
      <c r="AV210" s="1">
        <v>39.0</v>
      </c>
      <c r="AW210" s="1">
        <v>12.0</v>
      </c>
      <c r="AX210" s="1" t="s">
        <v>74</v>
      </c>
      <c r="AY210" s="1" t="s">
        <v>74</v>
      </c>
      <c r="AZ210" s="1" t="s">
        <v>74</v>
      </c>
      <c r="BA210" s="1" t="s">
        <v>74</v>
      </c>
      <c r="BB210" s="1" t="s">
        <v>74</v>
      </c>
      <c r="BC210" s="1" t="s">
        <v>74</v>
      </c>
      <c r="BD210" s="1">
        <v>125002.0</v>
      </c>
      <c r="BE210" s="1" t="s">
        <v>2272</v>
      </c>
      <c r="BF210" s="2" t="str">
        <f>HYPERLINK("http://dx.doi.org/10.1088/1361-6579/aae9fd","http://dx.doi.org/10.1088/1361-6579/aae9fd")</f>
        <v>http://dx.doi.org/10.1088/1361-6579/aae9fd</v>
      </c>
      <c r="BG210" s="1" t="s">
        <v>74</v>
      </c>
      <c r="BH210" s="1" t="s">
        <v>74</v>
      </c>
      <c r="BI210" s="1" t="s">
        <v>74</v>
      </c>
      <c r="BJ210" s="1" t="s">
        <v>74</v>
      </c>
      <c r="BK210" s="1" t="s">
        <v>74</v>
      </c>
      <c r="BL210" s="1" t="s">
        <v>74</v>
      </c>
      <c r="BM210" s="1" t="s">
        <v>74</v>
      </c>
      <c r="BN210" s="1">
        <v>3.0523976E7</v>
      </c>
      <c r="BO210" s="1" t="s">
        <v>74</v>
      </c>
      <c r="BP210" s="1" t="s">
        <v>74</v>
      </c>
      <c r="BQ210" s="1" t="s">
        <v>74</v>
      </c>
      <c r="BR210" s="1" t="s">
        <v>74</v>
      </c>
      <c r="BS210" s="1" t="s">
        <v>2273</v>
      </c>
      <c r="BT210" s="1" t="str">
        <f>HYPERLINK("https%3A%2F%2Fwww.webofscience.com%2Fwos%2Fwoscc%2Ffull-record%2FWOS:000452727100001","View Full Record in Web of Science")</f>
        <v>View Full Record in Web of Science</v>
      </c>
    </row>
    <row r="211" ht="12.75" customHeight="1">
      <c r="A211" s="1" t="s">
        <v>72</v>
      </c>
      <c r="B211" s="1" t="s">
        <v>2274</v>
      </c>
      <c r="C211" s="1" t="s">
        <v>74</v>
      </c>
      <c r="D211" s="1" t="s">
        <v>74</v>
      </c>
      <c r="E211" s="1" t="s">
        <v>74</v>
      </c>
      <c r="F211" s="1" t="s">
        <v>2275</v>
      </c>
      <c r="G211" s="1" t="s">
        <v>74</v>
      </c>
      <c r="H211" s="1" t="s">
        <v>74</v>
      </c>
      <c r="I211" s="1" t="s">
        <v>2276</v>
      </c>
      <c r="J211" s="1" t="s">
        <v>2277</v>
      </c>
      <c r="K211" s="1" t="s">
        <v>74</v>
      </c>
      <c r="L211" s="1" t="s">
        <v>74</v>
      </c>
      <c r="M211" s="1" t="s">
        <v>74</v>
      </c>
      <c r="N211" s="1" t="s">
        <v>74</v>
      </c>
      <c r="O211" s="1" t="s">
        <v>74</v>
      </c>
      <c r="P211" s="1" t="s">
        <v>74</v>
      </c>
      <c r="Q211" s="1" t="s">
        <v>74</v>
      </c>
      <c r="R211" s="1" t="s">
        <v>74</v>
      </c>
      <c r="S211" s="1" t="s">
        <v>74</v>
      </c>
      <c r="T211" s="1" t="s">
        <v>74</v>
      </c>
      <c r="U211" s="1" t="s">
        <v>74</v>
      </c>
      <c r="V211" s="1" t="s">
        <v>2278</v>
      </c>
      <c r="W211" s="1" t="s">
        <v>74</v>
      </c>
      <c r="X211" s="1" t="s">
        <v>74</v>
      </c>
      <c r="Y211" s="1" t="s">
        <v>74</v>
      </c>
      <c r="Z211" s="1" t="s">
        <v>74</v>
      </c>
      <c r="AA211" s="1" t="s">
        <v>2279</v>
      </c>
      <c r="AB211" s="1" t="s">
        <v>2280</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2281</v>
      </c>
      <c r="AP211" s="1" t="s">
        <v>74</v>
      </c>
      <c r="AQ211" s="1" t="s">
        <v>74</v>
      </c>
      <c r="AR211" s="1" t="s">
        <v>74</v>
      </c>
      <c r="AS211" s="1" t="s">
        <v>74</v>
      </c>
      <c r="AT211" s="1" t="s">
        <v>74</v>
      </c>
      <c r="AU211" s="1">
        <v>2021.0</v>
      </c>
      <c r="AV211" s="1">
        <v>39.0</v>
      </c>
      <c r="AW211" s="1">
        <v>3.0</v>
      </c>
      <c r="AX211" s="1" t="s">
        <v>74</v>
      </c>
      <c r="AY211" s="1" t="s">
        <v>74</v>
      </c>
      <c r="AZ211" s="1" t="s">
        <v>74</v>
      </c>
      <c r="BA211" s="1" t="s">
        <v>74</v>
      </c>
      <c r="BB211" s="1">
        <v>199.0</v>
      </c>
      <c r="BC211" s="1">
        <v>212.0</v>
      </c>
      <c r="BD211" s="1" t="s">
        <v>74</v>
      </c>
      <c r="BE211" s="1" t="s">
        <v>74</v>
      </c>
      <c r="BF211" s="1" t="s">
        <v>74</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2282</v>
      </c>
      <c r="BT211" s="1" t="str">
        <f>HYPERLINK("https%3A%2F%2Fwww.webofscience.com%2Fwos%2Fwoscc%2Ffull-record%2FWOS:000708376300002","View Full Record in Web of Science")</f>
        <v>View Full Record in Web of Science</v>
      </c>
    </row>
    <row r="212" ht="12.75" customHeight="1">
      <c r="A212" s="1" t="s">
        <v>72</v>
      </c>
      <c r="B212" s="1" t="s">
        <v>2283</v>
      </c>
      <c r="C212" s="1" t="s">
        <v>74</v>
      </c>
      <c r="D212" s="1" t="s">
        <v>74</v>
      </c>
      <c r="E212" s="1" t="s">
        <v>74</v>
      </c>
      <c r="F212" s="1" t="s">
        <v>2284</v>
      </c>
      <c r="G212" s="1" t="s">
        <v>74</v>
      </c>
      <c r="H212" s="1" t="s">
        <v>74</v>
      </c>
      <c r="I212" s="1" t="s">
        <v>2285</v>
      </c>
      <c r="J212" s="1" t="s">
        <v>2277</v>
      </c>
      <c r="K212" s="1" t="s">
        <v>74</v>
      </c>
      <c r="L212" s="1" t="s">
        <v>74</v>
      </c>
      <c r="M212" s="1" t="s">
        <v>74</v>
      </c>
      <c r="N212" s="1" t="s">
        <v>74</v>
      </c>
      <c r="O212" s="1" t="s">
        <v>74</v>
      </c>
      <c r="P212" s="1" t="s">
        <v>74</v>
      </c>
      <c r="Q212" s="1" t="s">
        <v>74</v>
      </c>
      <c r="R212" s="1" t="s">
        <v>74</v>
      </c>
      <c r="S212" s="1" t="s">
        <v>74</v>
      </c>
      <c r="T212" s="1" t="s">
        <v>74</v>
      </c>
      <c r="U212" s="1" t="s">
        <v>74</v>
      </c>
      <c r="V212" s="1" t="s">
        <v>2286</v>
      </c>
      <c r="W212" s="1" t="s">
        <v>74</v>
      </c>
      <c r="X212" s="1" t="s">
        <v>74</v>
      </c>
      <c r="Y212" s="1" t="s">
        <v>74</v>
      </c>
      <c r="Z212" s="1" t="s">
        <v>74</v>
      </c>
      <c r="AA212" s="1" t="s">
        <v>2287</v>
      </c>
      <c r="AB212" s="1" t="s">
        <v>2288</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2281</v>
      </c>
      <c r="AP212" s="1" t="s">
        <v>2289</v>
      </c>
      <c r="AQ212" s="1" t="s">
        <v>74</v>
      </c>
      <c r="AR212" s="1" t="s">
        <v>74</v>
      </c>
      <c r="AS212" s="1" t="s">
        <v>74</v>
      </c>
      <c r="AT212" s="1" t="s">
        <v>74</v>
      </c>
      <c r="AU212" s="1">
        <v>2021.0</v>
      </c>
      <c r="AV212" s="1">
        <v>39.0</v>
      </c>
      <c r="AW212" s="1">
        <v>1.0</v>
      </c>
      <c r="AX212" s="1" t="s">
        <v>74</v>
      </c>
      <c r="AY212" s="1" t="s">
        <v>74</v>
      </c>
      <c r="AZ212" s="1" t="s">
        <v>74</v>
      </c>
      <c r="BA212" s="1" t="s">
        <v>74</v>
      </c>
      <c r="BB212" s="1">
        <v>5.0</v>
      </c>
      <c r="BC212" s="1">
        <v>18.0</v>
      </c>
      <c r="BD212" s="1" t="s">
        <v>74</v>
      </c>
      <c r="BE212" s="1" t="s">
        <v>74</v>
      </c>
      <c r="BF212" s="1" t="s">
        <v>74</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2290</v>
      </c>
      <c r="BT212" s="1" t="str">
        <f>HYPERLINK("https%3A%2F%2Fwww.webofscience.com%2Fwos%2Fwoscc%2Ffull-record%2FWOS:000631080800001","View Full Record in Web of Science")</f>
        <v>View Full Record in Web of Science</v>
      </c>
    </row>
    <row r="213" ht="12.75" customHeight="1">
      <c r="A213" s="1" t="s">
        <v>72</v>
      </c>
      <c r="B213" s="1" t="s">
        <v>2291</v>
      </c>
      <c r="C213" s="1" t="s">
        <v>74</v>
      </c>
      <c r="D213" s="1" t="s">
        <v>74</v>
      </c>
      <c r="E213" s="1" t="s">
        <v>74</v>
      </c>
      <c r="F213" s="1" t="s">
        <v>2292</v>
      </c>
      <c r="G213" s="1" t="s">
        <v>74</v>
      </c>
      <c r="H213" s="1" t="s">
        <v>74</v>
      </c>
      <c r="I213" s="1" t="s">
        <v>2293</v>
      </c>
      <c r="J213" s="1" t="s">
        <v>2294</v>
      </c>
      <c r="K213" s="1" t="s">
        <v>74</v>
      </c>
      <c r="L213" s="1" t="s">
        <v>74</v>
      </c>
      <c r="M213" s="1" t="s">
        <v>74</v>
      </c>
      <c r="N213" s="1" t="s">
        <v>74</v>
      </c>
      <c r="O213" s="1" t="s">
        <v>74</v>
      </c>
      <c r="P213" s="1" t="s">
        <v>74</v>
      </c>
      <c r="Q213" s="1" t="s">
        <v>74</v>
      </c>
      <c r="R213" s="1" t="s">
        <v>74</v>
      </c>
      <c r="S213" s="1" t="s">
        <v>74</v>
      </c>
      <c r="T213" s="1" t="s">
        <v>74</v>
      </c>
      <c r="U213" s="1" t="s">
        <v>74</v>
      </c>
      <c r="V213" s="1" t="s">
        <v>2295</v>
      </c>
      <c r="W213" s="1" t="s">
        <v>74</v>
      </c>
      <c r="X213" s="1" t="s">
        <v>74</v>
      </c>
      <c r="Y213" s="1" t="s">
        <v>74</v>
      </c>
      <c r="Z213" s="1" t="s">
        <v>74</v>
      </c>
      <c r="AA213" s="1" t="s">
        <v>2296</v>
      </c>
      <c r="AB213" s="1" t="s">
        <v>2297</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2298</v>
      </c>
      <c r="AP213" s="1" t="s">
        <v>2299</v>
      </c>
      <c r="AQ213" s="1" t="s">
        <v>74</v>
      </c>
      <c r="AR213" s="1" t="s">
        <v>74</v>
      </c>
      <c r="AS213" s="1" t="s">
        <v>74</v>
      </c>
      <c r="AT213" s="1" t="s">
        <v>298</v>
      </c>
      <c r="AU213" s="1">
        <v>2017.0</v>
      </c>
      <c r="AV213" s="1">
        <v>18.0</v>
      </c>
      <c r="AW213" s="1">
        <v>6.0</v>
      </c>
      <c r="AX213" s="1" t="s">
        <v>74</v>
      </c>
      <c r="AY213" s="1" t="s">
        <v>74</v>
      </c>
      <c r="AZ213" s="1" t="s">
        <v>74</v>
      </c>
      <c r="BA213" s="1" t="s">
        <v>74</v>
      </c>
      <c r="BB213" s="1">
        <v>1697.0</v>
      </c>
      <c r="BC213" s="1">
        <v>1711.0</v>
      </c>
      <c r="BD213" s="1" t="s">
        <v>74</v>
      </c>
      <c r="BE213" s="1" t="s">
        <v>2300</v>
      </c>
      <c r="BF213" s="2" t="str">
        <f>HYPERLINK("http://dx.doi.org/10.1007/s10902-016-9795-0","http://dx.doi.org/10.1007/s10902-016-9795-0")</f>
        <v>http://dx.doi.org/10.1007/s10902-016-9795-0</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2301</v>
      </c>
      <c r="BT213" s="1" t="str">
        <f>HYPERLINK("https%3A%2F%2Fwww.webofscience.com%2Fwos%2Fwoscc%2Ffull-record%2FWOS:000415221000007","View Full Record in Web of Science")</f>
        <v>View Full Record in Web of Science</v>
      </c>
    </row>
    <row r="214" ht="12.75" customHeight="1">
      <c r="A214" s="1" t="s">
        <v>72</v>
      </c>
      <c r="B214" s="1" t="s">
        <v>2302</v>
      </c>
      <c r="C214" s="1" t="s">
        <v>74</v>
      </c>
      <c r="D214" s="1" t="s">
        <v>74</v>
      </c>
      <c r="E214" s="1" t="s">
        <v>74</v>
      </c>
      <c r="F214" s="1" t="s">
        <v>2303</v>
      </c>
      <c r="G214" s="1" t="s">
        <v>74</v>
      </c>
      <c r="H214" s="1" t="s">
        <v>74</v>
      </c>
      <c r="I214" s="1" t="s">
        <v>2304</v>
      </c>
      <c r="J214" s="1" t="s">
        <v>2305</v>
      </c>
      <c r="K214" s="1" t="s">
        <v>74</v>
      </c>
      <c r="L214" s="1" t="s">
        <v>74</v>
      </c>
      <c r="M214" s="1" t="s">
        <v>74</v>
      </c>
      <c r="N214" s="1" t="s">
        <v>74</v>
      </c>
      <c r="O214" s="1" t="s">
        <v>74</v>
      </c>
      <c r="P214" s="1" t="s">
        <v>74</v>
      </c>
      <c r="Q214" s="1" t="s">
        <v>74</v>
      </c>
      <c r="R214" s="1" t="s">
        <v>74</v>
      </c>
      <c r="S214" s="1" t="s">
        <v>74</v>
      </c>
      <c r="T214" s="1" t="s">
        <v>74</v>
      </c>
      <c r="U214" s="1" t="s">
        <v>74</v>
      </c>
      <c r="V214" s="1" t="s">
        <v>2306</v>
      </c>
      <c r="W214" s="1" t="s">
        <v>74</v>
      </c>
      <c r="X214" s="1" t="s">
        <v>74</v>
      </c>
      <c r="Y214" s="1" t="s">
        <v>74</v>
      </c>
      <c r="Z214" s="1" t="s">
        <v>74</v>
      </c>
      <c r="AA214" s="1" t="s">
        <v>2307</v>
      </c>
      <c r="AB214" s="1" t="s">
        <v>2308</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2309</v>
      </c>
      <c r="AP214" s="1" t="s">
        <v>2310</v>
      </c>
      <c r="AQ214" s="1" t="s">
        <v>74</v>
      </c>
      <c r="AR214" s="1" t="s">
        <v>74</v>
      </c>
      <c r="AS214" s="1" t="s">
        <v>74</v>
      </c>
      <c r="AT214" s="1" t="s">
        <v>757</v>
      </c>
      <c r="AU214" s="1">
        <v>2024.0</v>
      </c>
      <c r="AV214" s="1">
        <v>55.0</v>
      </c>
      <c r="AW214" s="1">
        <v>5.0</v>
      </c>
      <c r="AX214" s="1" t="s">
        <v>74</v>
      </c>
      <c r="AY214" s="1" t="s">
        <v>74</v>
      </c>
      <c r="AZ214" s="1" t="s">
        <v>74</v>
      </c>
      <c r="BA214" s="1" t="s">
        <v>74</v>
      </c>
      <c r="BB214" s="1">
        <v>1235.0</v>
      </c>
      <c r="BC214" s="1">
        <v>1244.0</v>
      </c>
      <c r="BD214" s="1" t="s">
        <v>74</v>
      </c>
      <c r="BE214" s="1" t="s">
        <v>2311</v>
      </c>
      <c r="BF214" s="2" t="str">
        <f>HYPERLINK("http://dx.doi.org/10.1161/STROKEAHA.123.045700","http://dx.doi.org/10.1161/STROKEAHA.123.045700")</f>
        <v>http://dx.doi.org/10.1161/STROKEAHA.123.045700</v>
      </c>
      <c r="BG214" s="1" t="s">
        <v>74</v>
      </c>
      <c r="BH214" s="1" t="s">
        <v>74</v>
      </c>
      <c r="BI214" s="1" t="s">
        <v>74</v>
      </c>
      <c r="BJ214" s="1" t="s">
        <v>74</v>
      </c>
      <c r="BK214" s="1" t="s">
        <v>74</v>
      </c>
      <c r="BL214" s="1" t="s">
        <v>74</v>
      </c>
      <c r="BM214" s="1" t="s">
        <v>74</v>
      </c>
      <c r="BN214" s="1">
        <v>3.8511386E7</v>
      </c>
      <c r="BO214" s="1" t="s">
        <v>74</v>
      </c>
      <c r="BP214" s="1" t="s">
        <v>74</v>
      </c>
      <c r="BQ214" s="1" t="s">
        <v>74</v>
      </c>
      <c r="BR214" s="1" t="s">
        <v>74</v>
      </c>
      <c r="BS214" s="1" t="s">
        <v>2312</v>
      </c>
      <c r="BT214" s="1" t="str">
        <f>HYPERLINK("https%3A%2F%2Fwww.webofscience.com%2Fwos%2Fwoscc%2Ffull-record%2FWOS:001237014600037","View Full Record in Web of Science")</f>
        <v>View Full Record in Web of Science</v>
      </c>
    </row>
    <row r="215" ht="12.75" customHeight="1">
      <c r="A215" s="1" t="s">
        <v>72</v>
      </c>
      <c r="B215" s="1" t="s">
        <v>2313</v>
      </c>
      <c r="C215" s="1" t="s">
        <v>74</v>
      </c>
      <c r="D215" s="1" t="s">
        <v>74</v>
      </c>
      <c r="E215" s="1" t="s">
        <v>74</v>
      </c>
      <c r="F215" s="1" t="s">
        <v>2314</v>
      </c>
      <c r="G215" s="1" t="s">
        <v>74</v>
      </c>
      <c r="H215" s="1" t="s">
        <v>74</v>
      </c>
      <c r="I215" s="1" t="s">
        <v>2315</v>
      </c>
      <c r="J215" s="1" t="s">
        <v>2316</v>
      </c>
      <c r="K215" s="1" t="s">
        <v>74</v>
      </c>
      <c r="L215" s="1" t="s">
        <v>74</v>
      </c>
      <c r="M215" s="1" t="s">
        <v>74</v>
      </c>
      <c r="N215" s="1" t="s">
        <v>74</v>
      </c>
      <c r="O215" s="1" t="s">
        <v>74</v>
      </c>
      <c r="P215" s="1" t="s">
        <v>74</v>
      </c>
      <c r="Q215" s="1" t="s">
        <v>74</v>
      </c>
      <c r="R215" s="1" t="s">
        <v>74</v>
      </c>
      <c r="S215" s="1" t="s">
        <v>74</v>
      </c>
      <c r="T215" s="1" t="s">
        <v>74</v>
      </c>
      <c r="U215" s="1" t="s">
        <v>74</v>
      </c>
      <c r="V215" s="1" t="s">
        <v>2317</v>
      </c>
      <c r="W215" s="1" t="s">
        <v>74</v>
      </c>
      <c r="X215" s="1" t="s">
        <v>74</v>
      </c>
      <c r="Y215" s="1" t="s">
        <v>74</v>
      </c>
      <c r="Z215" s="1" t="s">
        <v>74</v>
      </c>
      <c r="AA215" s="1" t="s">
        <v>2318</v>
      </c>
      <c r="AB215" s="1" t="s">
        <v>2319</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2320</v>
      </c>
      <c r="AP215" s="1" t="s">
        <v>2321</v>
      </c>
      <c r="AQ215" s="1" t="s">
        <v>74</v>
      </c>
      <c r="AR215" s="1" t="s">
        <v>74</v>
      </c>
      <c r="AS215" s="1" t="s">
        <v>74</v>
      </c>
      <c r="AT215" s="1" t="s">
        <v>799</v>
      </c>
      <c r="AU215" s="1">
        <v>2020.0</v>
      </c>
      <c r="AV215" s="1">
        <v>12.0</v>
      </c>
      <c r="AW215" s="1">
        <v>1.0</v>
      </c>
      <c r="AX215" s="1" t="s">
        <v>74</v>
      </c>
      <c r="AY215" s="1" t="s">
        <v>74</v>
      </c>
      <c r="AZ215" s="1" t="s">
        <v>74</v>
      </c>
      <c r="BA215" s="1" t="s">
        <v>74</v>
      </c>
      <c r="BB215" s="1">
        <v>457.0</v>
      </c>
      <c r="BC215" s="1">
        <v>468.0</v>
      </c>
      <c r="BD215" s="1" t="s">
        <v>74</v>
      </c>
      <c r="BE215" s="1" t="s">
        <v>2322</v>
      </c>
      <c r="BF215" s="2" t="str">
        <f>HYPERLINK("http://dx.doi.org/10.5194/essd-12-457-2020","http://dx.doi.org/10.5194/essd-12-457-2020")</f>
        <v>http://dx.doi.org/10.5194/essd-12-457-2020</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2323</v>
      </c>
      <c r="BT215" s="1" t="str">
        <f>HYPERLINK("https%3A%2F%2Fwww.webofscience.com%2Fwos%2Fwoscc%2Ffull-record%2FWOS:000518136900002","View Full Record in Web of Science")</f>
        <v>View Full Record in Web of Science</v>
      </c>
    </row>
    <row r="216" ht="12.75" customHeight="1">
      <c r="A216" s="1" t="s">
        <v>72</v>
      </c>
      <c r="B216" s="1" t="s">
        <v>2324</v>
      </c>
      <c r="C216" s="1" t="s">
        <v>74</v>
      </c>
      <c r="D216" s="1" t="s">
        <v>74</v>
      </c>
      <c r="E216" s="1" t="s">
        <v>74</v>
      </c>
      <c r="F216" s="1" t="s">
        <v>2325</v>
      </c>
      <c r="G216" s="1" t="s">
        <v>74</v>
      </c>
      <c r="H216" s="1" t="s">
        <v>74</v>
      </c>
      <c r="I216" s="1" t="s">
        <v>2326</v>
      </c>
      <c r="J216" s="1" t="s">
        <v>2327</v>
      </c>
      <c r="K216" s="1" t="s">
        <v>74</v>
      </c>
      <c r="L216" s="1" t="s">
        <v>74</v>
      </c>
      <c r="M216" s="1" t="s">
        <v>74</v>
      </c>
      <c r="N216" s="1" t="s">
        <v>74</v>
      </c>
      <c r="O216" s="1" t="s">
        <v>74</v>
      </c>
      <c r="P216" s="1" t="s">
        <v>74</v>
      </c>
      <c r="Q216" s="1" t="s">
        <v>74</v>
      </c>
      <c r="R216" s="1" t="s">
        <v>74</v>
      </c>
      <c r="S216" s="1" t="s">
        <v>74</v>
      </c>
      <c r="T216" s="1" t="s">
        <v>74</v>
      </c>
      <c r="U216" s="1" t="s">
        <v>74</v>
      </c>
      <c r="V216" s="1" t="s">
        <v>2328</v>
      </c>
      <c r="W216" s="1" t="s">
        <v>74</v>
      </c>
      <c r="X216" s="1" t="s">
        <v>74</v>
      </c>
      <c r="Y216" s="1" t="s">
        <v>74</v>
      </c>
      <c r="Z216" s="1" t="s">
        <v>74</v>
      </c>
      <c r="AA216" s="1" t="s">
        <v>2329</v>
      </c>
      <c r="AB216" s="1" t="s">
        <v>2330</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2331</v>
      </c>
      <c r="AP216" s="1" t="s">
        <v>2332</v>
      </c>
      <c r="AQ216" s="1" t="s">
        <v>74</v>
      </c>
      <c r="AR216" s="1" t="s">
        <v>74</v>
      </c>
      <c r="AS216" s="1" t="s">
        <v>74</v>
      </c>
      <c r="AT216" s="1" t="s">
        <v>200</v>
      </c>
      <c r="AU216" s="1">
        <v>2013.0</v>
      </c>
      <c r="AV216" s="1">
        <v>71.0</v>
      </c>
      <c r="AW216" s="1">
        <v>7.0</v>
      </c>
      <c r="AX216" s="1" t="s">
        <v>74</v>
      </c>
      <c r="AY216" s="1" t="s">
        <v>74</v>
      </c>
      <c r="AZ216" s="1" t="s">
        <v>74</v>
      </c>
      <c r="BA216" s="1" t="s">
        <v>74</v>
      </c>
      <c r="BB216" s="1">
        <v>478.0</v>
      </c>
      <c r="BC216" s="1">
        <v>486.0</v>
      </c>
      <c r="BD216" s="1" t="s">
        <v>74</v>
      </c>
      <c r="BE216" s="1" t="s">
        <v>2333</v>
      </c>
      <c r="BF216" s="2" t="str">
        <f>HYPERLINK("http://dx.doi.org/10.1590/0004-282X20130066","http://dx.doi.org/10.1590/0004-282X20130066")</f>
        <v>http://dx.doi.org/10.1590/0004-282X20130066</v>
      </c>
      <c r="BG216" s="1" t="s">
        <v>74</v>
      </c>
      <c r="BH216" s="1" t="s">
        <v>74</v>
      </c>
      <c r="BI216" s="1" t="s">
        <v>74</v>
      </c>
      <c r="BJ216" s="1" t="s">
        <v>74</v>
      </c>
      <c r="BK216" s="1" t="s">
        <v>74</v>
      </c>
      <c r="BL216" s="1" t="s">
        <v>74</v>
      </c>
      <c r="BM216" s="1" t="s">
        <v>74</v>
      </c>
      <c r="BN216" s="1">
        <v>2.3857614E7</v>
      </c>
      <c r="BO216" s="1" t="s">
        <v>74</v>
      </c>
      <c r="BP216" s="1" t="s">
        <v>74</v>
      </c>
      <c r="BQ216" s="1" t="s">
        <v>74</v>
      </c>
      <c r="BR216" s="1" t="s">
        <v>74</v>
      </c>
      <c r="BS216" s="1" t="s">
        <v>2334</v>
      </c>
      <c r="BT216" s="1" t="str">
        <f>HYPERLINK("https%3A%2F%2Fwww.webofscience.com%2Fwos%2Fwoscc%2Ffull-record%2FWOS:000322356700014","View Full Record in Web of Science")</f>
        <v>View Full Record in Web of Science</v>
      </c>
    </row>
    <row r="217" ht="12.75" customHeight="1">
      <c r="A217" s="1" t="s">
        <v>72</v>
      </c>
      <c r="B217" s="1" t="s">
        <v>2335</v>
      </c>
      <c r="C217" s="1" t="s">
        <v>74</v>
      </c>
      <c r="D217" s="1" t="s">
        <v>74</v>
      </c>
      <c r="E217" s="1" t="s">
        <v>74</v>
      </c>
      <c r="F217" s="1" t="s">
        <v>2336</v>
      </c>
      <c r="G217" s="1" t="s">
        <v>74</v>
      </c>
      <c r="H217" s="1" t="s">
        <v>74</v>
      </c>
      <c r="I217" s="1" t="s">
        <v>2337</v>
      </c>
      <c r="J217" s="1" t="s">
        <v>2338</v>
      </c>
      <c r="K217" s="1" t="s">
        <v>74</v>
      </c>
      <c r="L217" s="1" t="s">
        <v>74</v>
      </c>
      <c r="M217" s="1" t="s">
        <v>74</v>
      </c>
      <c r="N217" s="1" t="s">
        <v>74</v>
      </c>
      <c r="O217" s="1" t="s">
        <v>74</v>
      </c>
      <c r="P217" s="1" t="s">
        <v>74</v>
      </c>
      <c r="Q217" s="1" t="s">
        <v>74</v>
      </c>
      <c r="R217" s="1" t="s">
        <v>74</v>
      </c>
      <c r="S217" s="1" t="s">
        <v>74</v>
      </c>
      <c r="T217" s="1" t="s">
        <v>74</v>
      </c>
      <c r="U217" s="1" t="s">
        <v>74</v>
      </c>
      <c r="V217" s="1" t="s">
        <v>2339</v>
      </c>
      <c r="W217" s="1" t="s">
        <v>74</v>
      </c>
      <c r="X217" s="1" t="s">
        <v>74</v>
      </c>
      <c r="Y217" s="1" t="s">
        <v>74</v>
      </c>
      <c r="Z217" s="1" t="s">
        <v>74</v>
      </c>
      <c r="AA217" s="1" t="s">
        <v>2340</v>
      </c>
      <c r="AB217" s="1" t="s">
        <v>2341</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2342</v>
      </c>
      <c r="AP217" s="1" t="s">
        <v>2343</v>
      </c>
      <c r="AQ217" s="1" t="s">
        <v>74</v>
      </c>
      <c r="AR217" s="1" t="s">
        <v>74</v>
      </c>
      <c r="AS217" s="1" t="s">
        <v>74</v>
      </c>
      <c r="AT217" s="1" t="s">
        <v>2344</v>
      </c>
      <c r="AU217" s="1">
        <v>2025.0</v>
      </c>
      <c r="AV217" s="1" t="s">
        <v>74</v>
      </c>
      <c r="AW217" s="1" t="s">
        <v>74</v>
      </c>
      <c r="AX217" s="1" t="s">
        <v>74</v>
      </c>
      <c r="AY217" s="1" t="s">
        <v>74</v>
      </c>
      <c r="AZ217" s="1" t="s">
        <v>74</v>
      </c>
      <c r="BA217" s="1" t="s">
        <v>74</v>
      </c>
      <c r="BB217" s="1" t="s">
        <v>74</v>
      </c>
      <c r="BC217" s="1" t="s">
        <v>74</v>
      </c>
      <c r="BD217" s="1" t="s">
        <v>74</v>
      </c>
      <c r="BE217" s="1" t="s">
        <v>2345</v>
      </c>
      <c r="BF217" s="2" t="str">
        <f>HYPERLINK("http://dx.doi.org/10.1080/13854046.2025.2450020","http://dx.doi.org/10.1080/13854046.2025.2450020")</f>
        <v>http://dx.doi.org/10.1080/13854046.2025.2450020</v>
      </c>
      <c r="BG217" s="1" t="s">
        <v>74</v>
      </c>
      <c r="BH217" s="1" t="s">
        <v>434</v>
      </c>
      <c r="BI217" s="1" t="s">
        <v>74</v>
      </c>
      <c r="BJ217" s="1" t="s">
        <v>74</v>
      </c>
      <c r="BK217" s="1" t="s">
        <v>74</v>
      </c>
      <c r="BL217" s="1" t="s">
        <v>74</v>
      </c>
      <c r="BM217" s="1" t="s">
        <v>74</v>
      </c>
      <c r="BN217" s="1">
        <v>3.9825715E7</v>
      </c>
      <c r="BO217" s="1" t="s">
        <v>74</v>
      </c>
      <c r="BP217" s="1" t="s">
        <v>74</v>
      </c>
      <c r="BQ217" s="1" t="s">
        <v>74</v>
      </c>
      <c r="BR217" s="1" t="s">
        <v>74</v>
      </c>
      <c r="BS217" s="1" t="s">
        <v>2346</v>
      </c>
      <c r="BT217" s="1" t="str">
        <f>HYPERLINK("https%3A%2F%2Fwww.webofscience.com%2Fwos%2Fwoscc%2Ffull-record%2FWOS:001399995700001","View Full Record in Web of Science")</f>
        <v>View Full Record in Web of Science</v>
      </c>
    </row>
    <row r="218" ht="12.75" customHeight="1">
      <c r="A218" s="1" t="s">
        <v>72</v>
      </c>
      <c r="B218" s="1" t="s">
        <v>2347</v>
      </c>
      <c r="C218" s="1" t="s">
        <v>74</v>
      </c>
      <c r="D218" s="1" t="s">
        <v>74</v>
      </c>
      <c r="E218" s="1" t="s">
        <v>74</v>
      </c>
      <c r="F218" s="1" t="s">
        <v>2348</v>
      </c>
      <c r="G218" s="1" t="s">
        <v>74</v>
      </c>
      <c r="H218" s="1" t="s">
        <v>74</v>
      </c>
      <c r="I218" s="1" t="s">
        <v>2349</v>
      </c>
      <c r="J218" s="1" t="s">
        <v>1719</v>
      </c>
      <c r="K218" s="1" t="s">
        <v>74</v>
      </c>
      <c r="L218" s="1" t="s">
        <v>74</v>
      </c>
      <c r="M218" s="1" t="s">
        <v>74</v>
      </c>
      <c r="N218" s="1" t="s">
        <v>74</v>
      </c>
      <c r="O218" s="1" t="s">
        <v>74</v>
      </c>
      <c r="P218" s="1" t="s">
        <v>74</v>
      </c>
      <c r="Q218" s="1" t="s">
        <v>74</v>
      </c>
      <c r="R218" s="1" t="s">
        <v>74</v>
      </c>
      <c r="S218" s="1" t="s">
        <v>74</v>
      </c>
      <c r="T218" s="1" t="s">
        <v>74</v>
      </c>
      <c r="U218" s="1" t="s">
        <v>74</v>
      </c>
      <c r="V218" s="1" t="s">
        <v>2350</v>
      </c>
      <c r="W218" s="1" t="s">
        <v>74</v>
      </c>
      <c r="X218" s="1" t="s">
        <v>74</v>
      </c>
      <c r="Y218" s="1" t="s">
        <v>74</v>
      </c>
      <c r="Z218" s="1" t="s">
        <v>74</v>
      </c>
      <c r="AA218" s="1" t="s">
        <v>2351</v>
      </c>
      <c r="AB218" s="1" t="s">
        <v>2352</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1723</v>
      </c>
      <c r="AP218" s="1" t="s">
        <v>1724</v>
      </c>
      <c r="AQ218" s="1" t="s">
        <v>74</v>
      </c>
      <c r="AR218" s="1" t="s">
        <v>74</v>
      </c>
      <c r="AS218" s="1" t="s">
        <v>74</v>
      </c>
      <c r="AT218" s="1" t="s">
        <v>319</v>
      </c>
      <c r="AU218" s="1">
        <v>2020.0</v>
      </c>
      <c r="AV218" s="1">
        <v>101.0</v>
      </c>
      <c r="AW218" s="1">
        <v>10.0</v>
      </c>
      <c r="AX218" s="1" t="s">
        <v>74</v>
      </c>
      <c r="AY218" s="1" t="s">
        <v>74</v>
      </c>
      <c r="AZ218" s="1" t="s">
        <v>74</v>
      </c>
      <c r="BA218" s="1" t="s">
        <v>74</v>
      </c>
      <c r="BB218" s="1" t="s">
        <v>2353</v>
      </c>
      <c r="BC218" s="1" t="s">
        <v>2354</v>
      </c>
      <c r="BD218" s="1" t="s">
        <v>74</v>
      </c>
      <c r="BE218" s="1" t="s">
        <v>2355</v>
      </c>
      <c r="BF218" s="2" t="str">
        <f>HYPERLINK("http://dx.doi.org/10.1175/BAMS-D-19-0255.1","http://dx.doi.org/10.1175/BAMS-D-19-0255.1")</f>
        <v>http://dx.doi.org/10.1175/BAMS-D-19-0255.1</v>
      </c>
      <c r="BG218" s="1" t="s">
        <v>74</v>
      </c>
      <c r="BH218" s="1" t="s">
        <v>74</v>
      </c>
      <c r="BI218" s="1" t="s">
        <v>74</v>
      </c>
      <c r="BJ218" s="1" t="s">
        <v>74</v>
      </c>
      <c r="BK218" s="1" t="s">
        <v>74</v>
      </c>
      <c r="BL218" s="1" t="s">
        <v>74</v>
      </c>
      <c r="BM218" s="1" t="s">
        <v>74</v>
      </c>
      <c r="BN218" s="1" t="s">
        <v>74</v>
      </c>
      <c r="BO218" s="1" t="s">
        <v>74</v>
      </c>
      <c r="BP218" s="1" t="s">
        <v>74</v>
      </c>
      <c r="BQ218" s="1" t="s">
        <v>74</v>
      </c>
      <c r="BR218" s="1" t="s">
        <v>74</v>
      </c>
      <c r="BS218" s="1" t="s">
        <v>2356</v>
      </c>
      <c r="BT218" s="1" t="str">
        <f>HYPERLINK("https%3A%2F%2Fwww.webofscience.com%2Fwos%2Fwoscc%2Ffull-record%2FWOS:000588395600006","View Full Record in Web of Science")</f>
        <v>View Full Record in Web of Science</v>
      </c>
    </row>
    <row r="219" ht="12.75" customHeight="1">
      <c r="A219" s="1" t="s">
        <v>72</v>
      </c>
      <c r="B219" s="1" t="s">
        <v>2357</v>
      </c>
      <c r="C219" s="1" t="s">
        <v>74</v>
      </c>
      <c r="D219" s="1" t="s">
        <v>74</v>
      </c>
      <c r="E219" s="1" t="s">
        <v>74</v>
      </c>
      <c r="F219" s="1" t="s">
        <v>2358</v>
      </c>
      <c r="G219" s="1" t="s">
        <v>74</v>
      </c>
      <c r="H219" s="1" t="s">
        <v>74</v>
      </c>
      <c r="I219" s="1" t="s">
        <v>2359</v>
      </c>
      <c r="J219" s="1" t="s">
        <v>2360</v>
      </c>
      <c r="K219" s="1" t="s">
        <v>74</v>
      </c>
      <c r="L219" s="1" t="s">
        <v>74</v>
      </c>
      <c r="M219" s="1" t="s">
        <v>74</v>
      </c>
      <c r="N219" s="1" t="s">
        <v>74</v>
      </c>
      <c r="O219" s="1" t="s">
        <v>74</v>
      </c>
      <c r="P219" s="1" t="s">
        <v>74</v>
      </c>
      <c r="Q219" s="1" t="s">
        <v>74</v>
      </c>
      <c r="R219" s="1" t="s">
        <v>74</v>
      </c>
      <c r="S219" s="1" t="s">
        <v>74</v>
      </c>
      <c r="T219" s="1" t="s">
        <v>74</v>
      </c>
      <c r="U219" s="1" t="s">
        <v>74</v>
      </c>
      <c r="V219" s="1" t="s">
        <v>2361</v>
      </c>
      <c r="W219" s="1" t="s">
        <v>74</v>
      </c>
      <c r="X219" s="1" t="s">
        <v>74</v>
      </c>
      <c r="Y219" s="1" t="s">
        <v>74</v>
      </c>
      <c r="Z219" s="1" t="s">
        <v>74</v>
      </c>
      <c r="AA219" s="1" t="s">
        <v>2362</v>
      </c>
      <c r="AB219" s="1" t="s">
        <v>2363</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74</v>
      </c>
      <c r="AP219" s="1" t="s">
        <v>2364</v>
      </c>
      <c r="AQ219" s="1" t="s">
        <v>74</v>
      </c>
      <c r="AR219" s="1" t="s">
        <v>74</v>
      </c>
      <c r="AS219" s="1" t="s">
        <v>74</v>
      </c>
      <c r="AT219" s="1" t="s">
        <v>119</v>
      </c>
      <c r="AU219" s="1">
        <v>2025.0</v>
      </c>
      <c r="AV219" s="1">
        <v>5.0</v>
      </c>
      <c r="AW219" s="1">
        <v>2.0</v>
      </c>
      <c r="AX219" s="1" t="s">
        <v>74</v>
      </c>
      <c r="AY219" s="1" t="s">
        <v>74</v>
      </c>
      <c r="AZ219" s="1" t="s">
        <v>74</v>
      </c>
      <c r="BA219" s="1" t="s">
        <v>74</v>
      </c>
      <c r="BB219" s="1" t="s">
        <v>74</v>
      </c>
      <c r="BC219" s="1" t="s">
        <v>74</v>
      </c>
      <c r="BD219" s="1" t="s">
        <v>74</v>
      </c>
      <c r="BE219" s="1" t="s">
        <v>2365</v>
      </c>
      <c r="BF219" s="2" t="str">
        <f>HYPERLINK("http://dx.doi.org/10.1038/s43587-024-00781-2","http://dx.doi.org/10.1038/s43587-024-00781-2")</f>
        <v>http://dx.doi.org/10.1038/s43587-024-00781-2</v>
      </c>
      <c r="BG219" s="1" t="s">
        <v>74</v>
      </c>
      <c r="BH219" s="1" t="s">
        <v>850</v>
      </c>
      <c r="BI219" s="1" t="s">
        <v>74</v>
      </c>
      <c r="BJ219" s="1" t="s">
        <v>74</v>
      </c>
      <c r="BK219" s="1" t="s">
        <v>74</v>
      </c>
      <c r="BL219" s="1" t="s">
        <v>74</v>
      </c>
      <c r="BM219" s="1" t="s">
        <v>74</v>
      </c>
      <c r="BN219" s="1">
        <v>3.9730822E7</v>
      </c>
      <c r="BO219" s="1" t="s">
        <v>74</v>
      </c>
      <c r="BP219" s="1" t="s">
        <v>74</v>
      </c>
      <c r="BQ219" s="1" t="s">
        <v>74</v>
      </c>
      <c r="BR219" s="1" t="s">
        <v>74</v>
      </c>
      <c r="BS219" s="1" t="s">
        <v>2366</v>
      </c>
      <c r="BT219" s="1" t="str">
        <f>HYPERLINK("https%3A%2F%2Fwww.webofscience.com%2Fwos%2Fwoscc%2Ffull-record%2FWOS:001405449900001","View Full Record in Web of Science")</f>
        <v>View Full Record in Web of Science</v>
      </c>
    </row>
    <row r="220" ht="12.75" customHeight="1">
      <c r="A220" s="1" t="s">
        <v>72</v>
      </c>
      <c r="B220" s="1" t="s">
        <v>2367</v>
      </c>
      <c r="C220" s="1" t="s">
        <v>74</v>
      </c>
      <c r="D220" s="1" t="s">
        <v>74</v>
      </c>
      <c r="E220" s="1" t="s">
        <v>74</v>
      </c>
      <c r="F220" s="1" t="s">
        <v>2368</v>
      </c>
      <c r="G220" s="1" t="s">
        <v>74</v>
      </c>
      <c r="H220" s="1" t="s">
        <v>74</v>
      </c>
      <c r="I220" s="1" t="s">
        <v>2369</v>
      </c>
      <c r="J220" s="1" t="s">
        <v>2277</v>
      </c>
      <c r="K220" s="1" t="s">
        <v>74</v>
      </c>
      <c r="L220" s="1" t="s">
        <v>74</v>
      </c>
      <c r="M220" s="1" t="s">
        <v>74</v>
      </c>
      <c r="N220" s="1" t="s">
        <v>74</v>
      </c>
      <c r="O220" s="1" t="s">
        <v>74</v>
      </c>
      <c r="P220" s="1" t="s">
        <v>74</v>
      </c>
      <c r="Q220" s="1" t="s">
        <v>74</v>
      </c>
      <c r="R220" s="1" t="s">
        <v>74</v>
      </c>
      <c r="S220" s="1" t="s">
        <v>74</v>
      </c>
      <c r="T220" s="1" t="s">
        <v>74</v>
      </c>
      <c r="U220" s="1" t="s">
        <v>74</v>
      </c>
      <c r="V220" s="1" t="s">
        <v>2370</v>
      </c>
      <c r="W220" s="1" t="s">
        <v>74</v>
      </c>
      <c r="X220" s="1" t="s">
        <v>74</v>
      </c>
      <c r="Y220" s="1" t="s">
        <v>74</v>
      </c>
      <c r="Z220" s="1" t="s">
        <v>74</v>
      </c>
      <c r="AA220" s="1" t="s">
        <v>2371</v>
      </c>
      <c r="AB220" s="1" t="s">
        <v>2372</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2281</v>
      </c>
      <c r="AP220" s="1" t="s">
        <v>74</v>
      </c>
      <c r="AQ220" s="1" t="s">
        <v>74</v>
      </c>
      <c r="AR220" s="1" t="s">
        <v>74</v>
      </c>
      <c r="AS220" s="1" t="s">
        <v>74</v>
      </c>
      <c r="AT220" s="1" t="s">
        <v>74</v>
      </c>
      <c r="AU220" s="1">
        <v>2021.0</v>
      </c>
      <c r="AV220" s="1">
        <v>39.0</v>
      </c>
      <c r="AW220" s="1">
        <v>2.0</v>
      </c>
      <c r="AX220" s="1" t="s">
        <v>74</v>
      </c>
      <c r="AY220" s="1" t="s">
        <v>74</v>
      </c>
      <c r="AZ220" s="1" t="s">
        <v>74</v>
      </c>
      <c r="BA220" s="1" t="s">
        <v>74</v>
      </c>
      <c r="BB220" s="1">
        <v>105.0</v>
      </c>
      <c r="BC220" s="1">
        <v>118.0</v>
      </c>
      <c r="BD220" s="1" t="s">
        <v>74</v>
      </c>
      <c r="BE220" s="1" t="s">
        <v>74</v>
      </c>
      <c r="BF220" s="1" t="s">
        <v>74</v>
      </c>
      <c r="BG220" s="1" t="s">
        <v>74</v>
      </c>
      <c r="BH220" s="1" t="s">
        <v>74</v>
      </c>
      <c r="BI220" s="1" t="s">
        <v>74</v>
      </c>
      <c r="BJ220" s="1" t="s">
        <v>74</v>
      </c>
      <c r="BK220" s="1" t="s">
        <v>74</v>
      </c>
      <c r="BL220" s="1" t="s">
        <v>74</v>
      </c>
      <c r="BM220" s="1" t="s">
        <v>74</v>
      </c>
      <c r="BN220" s="1" t="s">
        <v>74</v>
      </c>
      <c r="BO220" s="1" t="s">
        <v>74</v>
      </c>
      <c r="BP220" s="1" t="s">
        <v>74</v>
      </c>
      <c r="BQ220" s="1" t="s">
        <v>74</v>
      </c>
      <c r="BR220" s="1" t="s">
        <v>74</v>
      </c>
      <c r="BS220" s="1" t="s">
        <v>2373</v>
      </c>
      <c r="BT220" s="1" t="str">
        <f>HYPERLINK("https%3A%2F%2Fwww.webofscience.com%2Fwos%2Fwoscc%2Ffull-record%2FWOS:000662235600001","View Full Record in Web of Science")</f>
        <v>View Full Record in Web of Science</v>
      </c>
    </row>
    <row r="221" ht="12.75" customHeight="1">
      <c r="A221" s="1" t="s">
        <v>72</v>
      </c>
      <c r="B221" s="1" t="s">
        <v>2374</v>
      </c>
      <c r="C221" s="1" t="s">
        <v>74</v>
      </c>
      <c r="D221" s="1" t="s">
        <v>74</v>
      </c>
      <c r="E221" s="1" t="s">
        <v>74</v>
      </c>
      <c r="F221" s="1" t="s">
        <v>2375</v>
      </c>
      <c r="G221" s="1" t="s">
        <v>74</v>
      </c>
      <c r="H221" s="1" t="s">
        <v>74</v>
      </c>
      <c r="I221" s="1" t="s">
        <v>2376</v>
      </c>
      <c r="J221" s="1" t="s">
        <v>2377</v>
      </c>
      <c r="K221" s="1" t="s">
        <v>74</v>
      </c>
      <c r="L221" s="1" t="s">
        <v>74</v>
      </c>
      <c r="M221" s="1" t="s">
        <v>74</v>
      </c>
      <c r="N221" s="1" t="s">
        <v>74</v>
      </c>
      <c r="O221" s="1" t="s">
        <v>74</v>
      </c>
      <c r="P221" s="1" t="s">
        <v>74</v>
      </c>
      <c r="Q221" s="1" t="s">
        <v>74</v>
      </c>
      <c r="R221" s="1" t="s">
        <v>74</v>
      </c>
      <c r="S221" s="1" t="s">
        <v>74</v>
      </c>
      <c r="T221" s="1" t="s">
        <v>74</v>
      </c>
      <c r="U221" s="1" t="s">
        <v>74</v>
      </c>
      <c r="V221" s="1" t="s">
        <v>2378</v>
      </c>
      <c r="W221" s="1" t="s">
        <v>74</v>
      </c>
      <c r="X221" s="1" t="s">
        <v>74</v>
      </c>
      <c r="Y221" s="1" t="s">
        <v>74</v>
      </c>
      <c r="Z221" s="1" t="s">
        <v>74</v>
      </c>
      <c r="AA221" s="1" t="s">
        <v>2379</v>
      </c>
      <c r="AB221" s="1" t="s">
        <v>2380</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2381</v>
      </c>
      <c r="AP221" s="1" t="s">
        <v>74</v>
      </c>
      <c r="AQ221" s="1" t="s">
        <v>74</v>
      </c>
      <c r="AR221" s="1" t="s">
        <v>74</v>
      </c>
      <c r="AS221" s="1" t="s">
        <v>74</v>
      </c>
      <c r="AT221" s="1" t="s">
        <v>2382</v>
      </c>
      <c r="AU221" s="1">
        <v>2023.0</v>
      </c>
      <c r="AV221" s="1">
        <v>6.0</v>
      </c>
      <c r="AW221" s="1">
        <v>1.0</v>
      </c>
      <c r="AX221" s="1" t="s">
        <v>74</v>
      </c>
      <c r="AY221" s="1" t="s">
        <v>74</v>
      </c>
      <c r="AZ221" s="1" t="s">
        <v>74</v>
      </c>
      <c r="BA221" s="1" t="s">
        <v>74</v>
      </c>
      <c r="BB221" s="1" t="s">
        <v>74</v>
      </c>
      <c r="BC221" s="1" t="s">
        <v>74</v>
      </c>
      <c r="BD221" s="1">
        <v>202.0</v>
      </c>
      <c r="BE221" s="1" t="s">
        <v>2383</v>
      </c>
      <c r="BF221" s="2" t="str">
        <f>HYPERLINK("http://dx.doi.org/10.1038/s41612-023-00529-6","http://dx.doi.org/10.1038/s41612-023-00529-6")</f>
        <v>http://dx.doi.org/10.1038/s41612-023-00529-6</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2384</v>
      </c>
      <c r="BT221" s="1" t="str">
        <f>HYPERLINK("https%3A%2F%2Fwww.webofscience.com%2Fwos%2Fwoscc%2Ffull-record%2FWOS:001112455800001","View Full Record in Web of Science")</f>
        <v>View Full Record in Web of Science</v>
      </c>
    </row>
    <row r="222" ht="12.75" customHeight="1">
      <c r="A222" s="1" t="s">
        <v>72</v>
      </c>
      <c r="B222" s="1" t="s">
        <v>2385</v>
      </c>
      <c r="C222" s="1" t="s">
        <v>74</v>
      </c>
      <c r="D222" s="1" t="s">
        <v>74</v>
      </c>
      <c r="E222" s="1" t="s">
        <v>74</v>
      </c>
      <c r="F222" s="1" t="s">
        <v>2386</v>
      </c>
      <c r="G222" s="1" t="s">
        <v>74</v>
      </c>
      <c r="H222" s="1" t="s">
        <v>74</v>
      </c>
      <c r="I222" s="1" t="s">
        <v>2387</v>
      </c>
      <c r="J222" s="1" t="s">
        <v>2388</v>
      </c>
      <c r="K222" s="1" t="s">
        <v>74</v>
      </c>
      <c r="L222" s="1" t="s">
        <v>74</v>
      </c>
      <c r="M222" s="1" t="s">
        <v>74</v>
      </c>
      <c r="N222" s="1" t="s">
        <v>74</v>
      </c>
      <c r="O222" s="1" t="s">
        <v>74</v>
      </c>
      <c r="P222" s="1" t="s">
        <v>74</v>
      </c>
      <c r="Q222" s="1" t="s">
        <v>74</v>
      </c>
      <c r="R222" s="1" t="s">
        <v>74</v>
      </c>
      <c r="S222" s="1" t="s">
        <v>74</v>
      </c>
      <c r="T222" s="1" t="s">
        <v>74</v>
      </c>
      <c r="U222" s="1" t="s">
        <v>74</v>
      </c>
      <c r="V222" s="1" t="s">
        <v>2389</v>
      </c>
      <c r="W222" s="1" t="s">
        <v>74</v>
      </c>
      <c r="X222" s="1" t="s">
        <v>74</v>
      </c>
      <c r="Y222" s="1" t="s">
        <v>74</v>
      </c>
      <c r="Z222" s="1" t="s">
        <v>74</v>
      </c>
      <c r="AA222" s="1" t="s">
        <v>2390</v>
      </c>
      <c r="AB222" s="1" t="s">
        <v>2391</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74</v>
      </c>
      <c r="AP222" s="1" t="s">
        <v>2392</v>
      </c>
      <c r="AQ222" s="1" t="s">
        <v>74</v>
      </c>
      <c r="AR222" s="1" t="s">
        <v>74</v>
      </c>
      <c r="AS222" s="1" t="s">
        <v>74</v>
      </c>
      <c r="AT222" s="1" t="s">
        <v>495</v>
      </c>
      <c r="AU222" s="1">
        <v>2024.0</v>
      </c>
      <c r="AV222" s="1">
        <v>5.0</v>
      </c>
      <c r="AW222" s="1">
        <v>4.0</v>
      </c>
      <c r="AX222" s="1" t="s">
        <v>74</v>
      </c>
      <c r="AY222" s="1" t="s">
        <v>74</v>
      </c>
      <c r="AZ222" s="1" t="s">
        <v>74</v>
      </c>
      <c r="BA222" s="1" t="s">
        <v>74</v>
      </c>
      <c r="BB222" s="1">
        <v>312.0</v>
      </c>
      <c r="BC222" s="1">
        <v>328.0</v>
      </c>
      <c r="BD222" s="1" t="s">
        <v>74</v>
      </c>
      <c r="BE222" s="1" t="s">
        <v>2393</v>
      </c>
      <c r="BF222" s="2" t="str">
        <f>HYPERLINK("http://dx.doi.org/10.1038/s43017-024-00519-z","http://dx.doi.org/10.1038/s43017-024-00519-z")</f>
        <v>http://dx.doi.org/10.1038/s43017-024-00519-z</v>
      </c>
      <c r="BG222" s="1" t="s">
        <v>74</v>
      </c>
      <c r="BH222" s="1" t="s">
        <v>228</v>
      </c>
      <c r="BI222" s="1" t="s">
        <v>74</v>
      </c>
      <c r="BJ222" s="1" t="s">
        <v>74</v>
      </c>
      <c r="BK222" s="1" t="s">
        <v>74</v>
      </c>
      <c r="BL222" s="1" t="s">
        <v>74</v>
      </c>
      <c r="BM222" s="1" t="s">
        <v>74</v>
      </c>
      <c r="BN222" s="1" t="s">
        <v>74</v>
      </c>
      <c r="BO222" s="1" t="s">
        <v>74</v>
      </c>
      <c r="BP222" s="1" t="s">
        <v>74</v>
      </c>
      <c r="BQ222" s="1" t="s">
        <v>74</v>
      </c>
      <c r="BR222" s="1" t="s">
        <v>74</v>
      </c>
      <c r="BS222" s="1" t="s">
        <v>2394</v>
      </c>
      <c r="BT222" s="1" t="str">
        <f>HYPERLINK("https%3A%2F%2Fwww.webofscience.com%2Fwos%2Fwoscc%2Ffull-record%2FWOS:001183674700001","View Full Record in Web of Science")</f>
        <v>View Full Record in Web of Science</v>
      </c>
    </row>
    <row r="223" ht="12.75" customHeight="1">
      <c r="A223" s="1" t="s">
        <v>72</v>
      </c>
      <c r="B223" s="1" t="s">
        <v>2395</v>
      </c>
      <c r="C223" s="1" t="s">
        <v>74</v>
      </c>
      <c r="D223" s="1" t="s">
        <v>74</v>
      </c>
      <c r="E223" s="1" t="s">
        <v>74</v>
      </c>
      <c r="F223" s="1" t="s">
        <v>2396</v>
      </c>
      <c r="G223" s="1" t="s">
        <v>74</v>
      </c>
      <c r="H223" s="1" t="s">
        <v>74</v>
      </c>
      <c r="I223" s="1" t="s">
        <v>2397</v>
      </c>
      <c r="J223" s="1" t="s">
        <v>2398</v>
      </c>
      <c r="K223" s="1" t="s">
        <v>74</v>
      </c>
      <c r="L223" s="1" t="s">
        <v>74</v>
      </c>
      <c r="M223" s="1" t="s">
        <v>74</v>
      </c>
      <c r="N223" s="1" t="s">
        <v>74</v>
      </c>
      <c r="O223" s="1" t="s">
        <v>74</v>
      </c>
      <c r="P223" s="1" t="s">
        <v>74</v>
      </c>
      <c r="Q223" s="1" t="s">
        <v>74</v>
      </c>
      <c r="R223" s="1" t="s">
        <v>74</v>
      </c>
      <c r="S223" s="1" t="s">
        <v>74</v>
      </c>
      <c r="T223" s="1" t="s">
        <v>74</v>
      </c>
      <c r="U223" s="1" t="s">
        <v>74</v>
      </c>
      <c r="V223" s="1" t="s">
        <v>2399</v>
      </c>
      <c r="W223" s="1" t="s">
        <v>74</v>
      </c>
      <c r="X223" s="1" t="s">
        <v>74</v>
      </c>
      <c r="Y223" s="1" t="s">
        <v>74</v>
      </c>
      <c r="Z223" s="1" t="s">
        <v>74</v>
      </c>
      <c r="AA223" s="1" t="s">
        <v>2400</v>
      </c>
      <c r="AB223" s="1" t="s">
        <v>2401</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2402</v>
      </c>
      <c r="AP223" s="1" t="s">
        <v>2403</v>
      </c>
      <c r="AQ223" s="1" t="s">
        <v>74</v>
      </c>
      <c r="AR223" s="1" t="s">
        <v>74</v>
      </c>
      <c r="AS223" s="1" t="s">
        <v>74</v>
      </c>
      <c r="AT223" s="1" t="s">
        <v>1340</v>
      </c>
      <c r="AU223" s="1">
        <v>2016.0</v>
      </c>
      <c r="AV223" s="1">
        <v>533.0</v>
      </c>
      <c r="AW223" s="1">
        <v>7602.0</v>
      </c>
      <c r="AX223" s="1" t="s">
        <v>74</v>
      </c>
      <c r="AY223" s="1" t="s">
        <v>74</v>
      </c>
      <c r="AZ223" s="1" t="s">
        <v>74</v>
      </c>
      <c r="BA223" s="1" t="s">
        <v>74</v>
      </c>
      <c r="BB223" s="1">
        <v>200.0</v>
      </c>
      <c r="BC223" s="1" t="s">
        <v>919</v>
      </c>
      <c r="BD223" s="1" t="s">
        <v>74</v>
      </c>
      <c r="BE223" s="1" t="s">
        <v>2404</v>
      </c>
      <c r="BF223" s="2" t="str">
        <f>HYPERLINK("http://dx.doi.org/10.1038/nature17164","http://dx.doi.org/10.1038/nature17164")</f>
        <v>http://dx.doi.org/10.1038/nature17164</v>
      </c>
      <c r="BG223" s="1" t="s">
        <v>74</v>
      </c>
      <c r="BH223" s="1" t="s">
        <v>74</v>
      </c>
      <c r="BI223" s="1" t="s">
        <v>74</v>
      </c>
      <c r="BJ223" s="1" t="s">
        <v>74</v>
      </c>
      <c r="BK223" s="1" t="s">
        <v>74</v>
      </c>
      <c r="BL223" s="1" t="s">
        <v>74</v>
      </c>
      <c r="BM223" s="1" t="s">
        <v>74</v>
      </c>
      <c r="BN223" s="1">
        <v>2.7088604E7</v>
      </c>
      <c r="BO223" s="1" t="s">
        <v>74</v>
      </c>
      <c r="BP223" s="1" t="s">
        <v>74</v>
      </c>
      <c r="BQ223" s="1" t="s">
        <v>74</v>
      </c>
      <c r="BR223" s="1" t="s">
        <v>74</v>
      </c>
      <c r="BS223" s="1" t="s">
        <v>2405</v>
      </c>
      <c r="BT223" s="1" t="str">
        <f>HYPERLINK("https%3A%2F%2Fwww.webofscience.com%2Fwos%2Fwoscc%2Ffull-record%2FWOS:000376007200040","View Full Record in Web of Science")</f>
        <v>View Full Record in Web of Science</v>
      </c>
    </row>
    <row r="224" ht="12.75" customHeight="1">
      <c r="A224" s="1" t="s">
        <v>72</v>
      </c>
      <c r="B224" s="1" t="s">
        <v>2406</v>
      </c>
      <c r="C224" s="1" t="s">
        <v>74</v>
      </c>
      <c r="D224" s="1" t="s">
        <v>74</v>
      </c>
      <c r="E224" s="1" t="s">
        <v>74</v>
      </c>
      <c r="F224" s="1" t="s">
        <v>2407</v>
      </c>
      <c r="G224" s="1" t="s">
        <v>74</v>
      </c>
      <c r="H224" s="1" t="s">
        <v>74</v>
      </c>
      <c r="I224" s="1" t="s">
        <v>2408</v>
      </c>
      <c r="J224" s="1" t="s">
        <v>2277</v>
      </c>
      <c r="K224" s="1" t="s">
        <v>74</v>
      </c>
      <c r="L224" s="1" t="s">
        <v>74</v>
      </c>
      <c r="M224" s="1" t="s">
        <v>74</v>
      </c>
      <c r="N224" s="1" t="s">
        <v>74</v>
      </c>
      <c r="O224" s="1" t="s">
        <v>74</v>
      </c>
      <c r="P224" s="1" t="s">
        <v>74</v>
      </c>
      <c r="Q224" s="1" t="s">
        <v>74</v>
      </c>
      <c r="R224" s="1" t="s">
        <v>74</v>
      </c>
      <c r="S224" s="1" t="s">
        <v>74</v>
      </c>
      <c r="T224" s="1" t="s">
        <v>74</v>
      </c>
      <c r="U224" s="1" t="s">
        <v>74</v>
      </c>
      <c r="V224" s="1" t="s">
        <v>2409</v>
      </c>
      <c r="W224" s="1" t="s">
        <v>74</v>
      </c>
      <c r="X224" s="1" t="s">
        <v>74</v>
      </c>
      <c r="Y224" s="1" t="s">
        <v>74</v>
      </c>
      <c r="Z224" s="1" t="s">
        <v>74</v>
      </c>
      <c r="AA224" s="1" t="s">
        <v>2410</v>
      </c>
      <c r="AB224" s="1" t="s">
        <v>2411</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2281</v>
      </c>
      <c r="AP224" s="1" t="s">
        <v>2289</v>
      </c>
      <c r="AQ224" s="1" t="s">
        <v>74</v>
      </c>
      <c r="AR224" s="1" t="s">
        <v>74</v>
      </c>
      <c r="AS224" s="1" t="s">
        <v>74</v>
      </c>
      <c r="AT224" s="1" t="s">
        <v>74</v>
      </c>
      <c r="AU224" s="1">
        <v>2022.0</v>
      </c>
      <c r="AV224" s="1">
        <v>40.0</v>
      </c>
      <c r="AW224" s="1">
        <v>2.0</v>
      </c>
      <c r="AX224" s="1" t="s">
        <v>74</v>
      </c>
      <c r="AY224" s="1" t="s">
        <v>74</v>
      </c>
      <c r="AZ224" s="1" t="s">
        <v>74</v>
      </c>
      <c r="BA224" s="1" t="s">
        <v>74</v>
      </c>
      <c r="BB224" s="1">
        <v>119.0</v>
      </c>
      <c r="BC224" s="1">
        <v>134.0</v>
      </c>
      <c r="BD224" s="1" t="s">
        <v>74</v>
      </c>
      <c r="BE224" s="1" t="s">
        <v>74</v>
      </c>
      <c r="BF224" s="1" t="s">
        <v>74</v>
      </c>
      <c r="BG224" s="1" t="s">
        <v>74</v>
      </c>
      <c r="BH224" s="1" t="s">
        <v>74</v>
      </c>
      <c r="BI224" s="1" t="s">
        <v>74</v>
      </c>
      <c r="BJ224" s="1" t="s">
        <v>74</v>
      </c>
      <c r="BK224" s="1" t="s">
        <v>74</v>
      </c>
      <c r="BL224" s="1" t="s">
        <v>74</v>
      </c>
      <c r="BM224" s="1" t="s">
        <v>74</v>
      </c>
      <c r="BN224" s="1" t="s">
        <v>74</v>
      </c>
      <c r="BO224" s="1" t="s">
        <v>74</v>
      </c>
      <c r="BP224" s="1" t="s">
        <v>74</v>
      </c>
      <c r="BQ224" s="1" t="s">
        <v>74</v>
      </c>
      <c r="BR224" s="1" t="s">
        <v>74</v>
      </c>
      <c r="BS224" s="1" t="s">
        <v>2412</v>
      </c>
      <c r="BT224" s="1" t="str">
        <f>HYPERLINK("https%3A%2F%2Fwww.webofscience.com%2Fwos%2Fwoscc%2Ffull-record%2FWOS:000815808900001","View Full Record in Web of Science")</f>
        <v>View Full Record in Web of Science</v>
      </c>
    </row>
    <row r="225" ht="12.75" customHeight="1">
      <c r="A225" s="1" t="s">
        <v>72</v>
      </c>
      <c r="B225" s="1" t="s">
        <v>2413</v>
      </c>
      <c r="C225" s="1" t="s">
        <v>74</v>
      </c>
      <c r="D225" s="1" t="s">
        <v>74</v>
      </c>
      <c r="E225" s="1" t="s">
        <v>74</v>
      </c>
      <c r="F225" s="1" t="s">
        <v>2414</v>
      </c>
      <c r="G225" s="1" t="s">
        <v>74</v>
      </c>
      <c r="H225" s="1" t="s">
        <v>74</v>
      </c>
      <c r="I225" s="1" t="s">
        <v>2415</v>
      </c>
      <c r="J225" s="1" t="s">
        <v>2277</v>
      </c>
      <c r="K225" s="1" t="s">
        <v>74</v>
      </c>
      <c r="L225" s="1" t="s">
        <v>74</v>
      </c>
      <c r="M225" s="1" t="s">
        <v>74</v>
      </c>
      <c r="N225" s="1" t="s">
        <v>74</v>
      </c>
      <c r="O225" s="1" t="s">
        <v>74</v>
      </c>
      <c r="P225" s="1" t="s">
        <v>74</v>
      </c>
      <c r="Q225" s="1" t="s">
        <v>74</v>
      </c>
      <c r="R225" s="1" t="s">
        <v>74</v>
      </c>
      <c r="S225" s="1" t="s">
        <v>74</v>
      </c>
      <c r="T225" s="1" t="s">
        <v>74</v>
      </c>
      <c r="U225" s="1" t="s">
        <v>74</v>
      </c>
      <c r="V225" s="1" t="s">
        <v>2416</v>
      </c>
      <c r="W225" s="1" t="s">
        <v>74</v>
      </c>
      <c r="X225" s="1" t="s">
        <v>74</v>
      </c>
      <c r="Y225" s="1" t="s">
        <v>74</v>
      </c>
      <c r="Z225" s="1" t="s">
        <v>74</v>
      </c>
      <c r="AA225" s="1" t="s">
        <v>2417</v>
      </c>
      <c r="AB225" s="1" t="s">
        <v>2418</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2281</v>
      </c>
      <c r="AP225" s="1" t="s">
        <v>2289</v>
      </c>
      <c r="AQ225" s="1" t="s">
        <v>74</v>
      </c>
      <c r="AR225" s="1" t="s">
        <v>74</v>
      </c>
      <c r="AS225" s="1" t="s">
        <v>74</v>
      </c>
      <c r="AT225" s="1" t="s">
        <v>2419</v>
      </c>
      <c r="AU225" s="1">
        <v>2023.0</v>
      </c>
      <c r="AV225" s="1">
        <v>41.0</v>
      </c>
      <c r="AW225" s="1">
        <v>3.0</v>
      </c>
      <c r="AX225" s="1" t="s">
        <v>74</v>
      </c>
      <c r="AY225" s="1" t="s">
        <v>74</v>
      </c>
      <c r="AZ225" s="1" t="s">
        <v>74</v>
      </c>
      <c r="BA225" s="1" t="s">
        <v>74</v>
      </c>
      <c r="BB225" s="1">
        <v>179.0</v>
      </c>
      <c r="BC225" s="1">
        <v>194.0</v>
      </c>
      <c r="BD225" s="1" t="s">
        <v>74</v>
      </c>
      <c r="BE225" s="1" t="s">
        <v>2420</v>
      </c>
      <c r="BF225" s="2" t="str">
        <f>HYPERLINK("http://dx.doi.org/10.2478/aspr-2023-0007","http://dx.doi.org/10.2478/aspr-2023-0007")</f>
        <v>http://dx.doi.org/10.2478/aspr-2023-0007</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2421</v>
      </c>
      <c r="BT225" s="1" t="str">
        <f>HYPERLINK("https%3A%2F%2Fwww.webofscience.com%2Fwos%2Fwoscc%2Ffull-record%2FWOS:001089611500001","View Full Record in Web of Science")</f>
        <v>View Full Record in Web of Science</v>
      </c>
    </row>
    <row r="226" ht="12.75" customHeight="1">
      <c r="A226" s="1" t="s">
        <v>72</v>
      </c>
      <c r="B226" s="1" t="s">
        <v>2422</v>
      </c>
      <c r="C226" s="1" t="s">
        <v>74</v>
      </c>
      <c r="D226" s="1" t="s">
        <v>74</v>
      </c>
      <c r="E226" s="1" t="s">
        <v>74</v>
      </c>
      <c r="F226" s="1" t="s">
        <v>2423</v>
      </c>
      <c r="G226" s="1" t="s">
        <v>74</v>
      </c>
      <c r="H226" s="1" t="s">
        <v>2424</v>
      </c>
      <c r="I226" s="1" t="s">
        <v>2425</v>
      </c>
      <c r="J226" s="1" t="s">
        <v>2426</v>
      </c>
      <c r="K226" s="1" t="s">
        <v>74</v>
      </c>
      <c r="L226" s="1" t="s">
        <v>74</v>
      </c>
      <c r="M226" s="1" t="s">
        <v>74</v>
      </c>
      <c r="N226" s="1" t="s">
        <v>74</v>
      </c>
      <c r="O226" s="1" t="s">
        <v>74</v>
      </c>
      <c r="P226" s="1" t="s">
        <v>74</v>
      </c>
      <c r="Q226" s="1" t="s">
        <v>74</v>
      </c>
      <c r="R226" s="1" t="s">
        <v>74</v>
      </c>
      <c r="S226" s="1" t="s">
        <v>74</v>
      </c>
      <c r="T226" s="1" t="s">
        <v>74</v>
      </c>
      <c r="U226" s="1" t="s">
        <v>74</v>
      </c>
      <c r="V226" s="1" t="s">
        <v>2427</v>
      </c>
      <c r="W226" s="1" t="s">
        <v>74</v>
      </c>
      <c r="X226" s="1" t="s">
        <v>74</v>
      </c>
      <c r="Y226" s="1" t="s">
        <v>74</v>
      </c>
      <c r="Z226" s="1" t="s">
        <v>74</v>
      </c>
      <c r="AA226" s="1" t="s">
        <v>2428</v>
      </c>
      <c r="AB226" s="1" t="s">
        <v>2429</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2430</v>
      </c>
      <c r="AP226" s="1" t="s">
        <v>2431</v>
      </c>
      <c r="AQ226" s="1" t="s">
        <v>74</v>
      </c>
      <c r="AR226" s="1" t="s">
        <v>74</v>
      </c>
      <c r="AS226" s="1" t="s">
        <v>74</v>
      </c>
      <c r="AT226" s="1" t="s">
        <v>226</v>
      </c>
      <c r="AU226" s="1">
        <v>2019.0</v>
      </c>
      <c r="AV226" s="1">
        <v>74.0</v>
      </c>
      <c r="AW226" s="1">
        <v>6.0</v>
      </c>
      <c r="AX226" s="1" t="s">
        <v>74</v>
      </c>
      <c r="AY226" s="1" t="s">
        <v>74</v>
      </c>
      <c r="AZ226" s="1" t="s">
        <v>74</v>
      </c>
      <c r="BA226" s="1" t="s">
        <v>74</v>
      </c>
      <c r="BB226" s="1">
        <v>531.0</v>
      </c>
      <c r="BC226" s="1">
        <v>538.0</v>
      </c>
      <c r="BD226" s="1" t="s">
        <v>74</v>
      </c>
      <c r="BE226" s="1" t="s">
        <v>2432</v>
      </c>
      <c r="BF226" s="2" t="str">
        <f>HYPERLINK("http://dx.doi.org/10.1136/thoraxjnl-2018-212668","http://dx.doi.org/10.1136/thoraxjnl-2018-212668")</f>
        <v>http://dx.doi.org/10.1136/thoraxjnl-2018-212668</v>
      </c>
      <c r="BG226" s="1" t="s">
        <v>74</v>
      </c>
      <c r="BH226" s="1" t="s">
        <v>74</v>
      </c>
      <c r="BI226" s="1" t="s">
        <v>74</v>
      </c>
      <c r="BJ226" s="1" t="s">
        <v>74</v>
      </c>
      <c r="BK226" s="1" t="s">
        <v>74</v>
      </c>
      <c r="BL226" s="1" t="s">
        <v>74</v>
      </c>
      <c r="BM226" s="1" t="s">
        <v>74</v>
      </c>
      <c r="BN226" s="1">
        <v>3.0898896E7</v>
      </c>
      <c r="BO226" s="1" t="s">
        <v>74</v>
      </c>
      <c r="BP226" s="1" t="s">
        <v>74</v>
      </c>
      <c r="BQ226" s="1" t="s">
        <v>74</v>
      </c>
      <c r="BR226" s="1" t="s">
        <v>74</v>
      </c>
      <c r="BS226" s="1" t="s">
        <v>2433</v>
      </c>
      <c r="BT226" s="1" t="str">
        <f>HYPERLINK("https%3A%2F%2Fwww.webofscience.com%2Fwos%2Fwoscc%2Ffull-record%2FWOS:000471125000004","View Full Record in Web of Science")</f>
        <v>View Full Record in Web of Science</v>
      </c>
    </row>
    <row r="227" ht="12.75" customHeight="1">
      <c r="A227" s="1" t="s">
        <v>72</v>
      </c>
      <c r="B227" s="1" t="s">
        <v>2434</v>
      </c>
      <c r="C227" s="1" t="s">
        <v>74</v>
      </c>
      <c r="D227" s="1" t="s">
        <v>74</v>
      </c>
      <c r="E227" s="1" t="s">
        <v>74</v>
      </c>
      <c r="F227" s="1" t="s">
        <v>2435</v>
      </c>
      <c r="G227" s="1" t="s">
        <v>74</v>
      </c>
      <c r="H227" s="1" t="s">
        <v>74</v>
      </c>
      <c r="I227" s="1" t="s">
        <v>2436</v>
      </c>
      <c r="J227" s="1" t="s">
        <v>813</v>
      </c>
      <c r="K227" s="1" t="s">
        <v>74</v>
      </c>
      <c r="L227" s="1" t="s">
        <v>74</v>
      </c>
      <c r="M227" s="1" t="s">
        <v>74</v>
      </c>
      <c r="N227" s="1" t="s">
        <v>74</v>
      </c>
      <c r="O227" s="1" t="s">
        <v>74</v>
      </c>
      <c r="P227" s="1" t="s">
        <v>74</v>
      </c>
      <c r="Q227" s="1" t="s">
        <v>74</v>
      </c>
      <c r="R227" s="1" t="s">
        <v>74</v>
      </c>
      <c r="S227" s="1" t="s">
        <v>74</v>
      </c>
      <c r="T227" s="1" t="s">
        <v>74</v>
      </c>
      <c r="U227" s="1" t="s">
        <v>74</v>
      </c>
      <c r="V227" s="1" t="s">
        <v>2437</v>
      </c>
      <c r="W227" s="1" t="s">
        <v>74</v>
      </c>
      <c r="X227" s="1" t="s">
        <v>74</v>
      </c>
      <c r="Y227" s="1" t="s">
        <v>74</v>
      </c>
      <c r="Z227" s="1" t="s">
        <v>74</v>
      </c>
      <c r="AA227" s="1" t="s">
        <v>2438</v>
      </c>
      <c r="AB227" s="1" t="s">
        <v>2439</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817</v>
      </c>
      <c r="AP227" s="1" t="s">
        <v>818</v>
      </c>
      <c r="AQ227" s="1" t="s">
        <v>74</v>
      </c>
      <c r="AR227" s="1" t="s">
        <v>74</v>
      </c>
      <c r="AS227" s="1" t="s">
        <v>74</v>
      </c>
      <c r="AT227" s="1" t="s">
        <v>2440</v>
      </c>
      <c r="AU227" s="1">
        <v>2024.0</v>
      </c>
      <c r="AV227" s="1">
        <v>685.0</v>
      </c>
      <c r="AW227" s="1" t="s">
        <v>74</v>
      </c>
      <c r="AX227" s="1" t="s">
        <v>74</v>
      </c>
      <c r="AY227" s="1" t="s">
        <v>74</v>
      </c>
      <c r="AZ227" s="1" t="s">
        <v>74</v>
      </c>
      <c r="BA227" s="1" t="s">
        <v>74</v>
      </c>
      <c r="BB227" s="1" t="s">
        <v>74</v>
      </c>
      <c r="BC227" s="1" t="s">
        <v>74</v>
      </c>
      <c r="BD227" s="1" t="s">
        <v>2441</v>
      </c>
      <c r="BE227" s="1" t="s">
        <v>2442</v>
      </c>
      <c r="BF227" s="2" t="str">
        <f>HYPERLINK("http://dx.doi.org/10.1051/0004-6361/202347586","http://dx.doi.org/10.1051/0004-6361/202347586")</f>
        <v>http://dx.doi.org/10.1051/0004-6361/202347586</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2443</v>
      </c>
      <c r="BT227" s="1" t="str">
        <f>HYPERLINK("https%3A%2F%2Fwww.webofscience.com%2Fwos%2Fwoscc%2Ffull-record%2FWOS:001214811800008","View Full Record in Web of Science")</f>
        <v>View Full Record in Web of Science</v>
      </c>
    </row>
    <row r="228" ht="12.75" customHeight="1">
      <c r="A228" s="1" t="s">
        <v>72</v>
      </c>
      <c r="B228" s="1" t="s">
        <v>2444</v>
      </c>
      <c r="C228" s="1" t="s">
        <v>74</v>
      </c>
      <c r="D228" s="1" t="s">
        <v>74</v>
      </c>
      <c r="E228" s="1" t="s">
        <v>74</v>
      </c>
      <c r="F228" s="1" t="s">
        <v>2445</v>
      </c>
      <c r="G228" s="1" t="s">
        <v>74</v>
      </c>
      <c r="H228" s="1" t="s">
        <v>74</v>
      </c>
      <c r="I228" s="1" t="s">
        <v>2446</v>
      </c>
      <c r="J228" s="1" t="s">
        <v>2447</v>
      </c>
      <c r="K228" s="1" t="s">
        <v>74</v>
      </c>
      <c r="L228" s="1" t="s">
        <v>74</v>
      </c>
      <c r="M228" s="1" t="s">
        <v>74</v>
      </c>
      <c r="N228" s="1" t="s">
        <v>74</v>
      </c>
      <c r="O228" s="1" t="s">
        <v>74</v>
      </c>
      <c r="P228" s="1" t="s">
        <v>74</v>
      </c>
      <c r="Q228" s="1" t="s">
        <v>74</v>
      </c>
      <c r="R228" s="1" t="s">
        <v>74</v>
      </c>
      <c r="S228" s="1" t="s">
        <v>74</v>
      </c>
      <c r="T228" s="1" t="s">
        <v>74</v>
      </c>
      <c r="U228" s="1" t="s">
        <v>74</v>
      </c>
      <c r="V228" s="1" t="s">
        <v>2448</v>
      </c>
      <c r="W228" s="1" t="s">
        <v>74</v>
      </c>
      <c r="X228" s="1" t="s">
        <v>74</v>
      </c>
      <c r="Y228" s="1" t="s">
        <v>74</v>
      </c>
      <c r="Z228" s="1" t="s">
        <v>74</v>
      </c>
      <c r="AA228" s="1" t="s">
        <v>2449</v>
      </c>
      <c r="AB228" s="1" t="s">
        <v>2450</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2451</v>
      </c>
      <c r="AP228" s="1" t="s">
        <v>74</v>
      </c>
      <c r="AQ228" s="1" t="s">
        <v>74</v>
      </c>
      <c r="AR228" s="1" t="s">
        <v>74</v>
      </c>
      <c r="AS228" s="1" t="s">
        <v>74</v>
      </c>
      <c r="AT228" s="1" t="s">
        <v>226</v>
      </c>
      <c r="AU228" s="1">
        <v>2022.0</v>
      </c>
      <c r="AV228" s="1">
        <v>5.0</v>
      </c>
      <c r="AW228" s="1">
        <v>6.0</v>
      </c>
      <c r="AX228" s="1" t="s">
        <v>74</v>
      </c>
      <c r="AY228" s="1" t="s">
        <v>74</v>
      </c>
      <c r="AZ228" s="1" t="s">
        <v>74</v>
      </c>
      <c r="BA228" s="1" t="s">
        <v>74</v>
      </c>
      <c r="BB228" s="1">
        <v>464.0</v>
      </c>
      <c r="BC228" s="1">
        <v>471.0</v>
      </c>
      <c r="BD228" s="1" t="s">
        <v>74</v>
      </c>
      <c r="BE228" s="1" t="s">
        <v>2452</v>
      </c>
      <c r="BF228" s="2" t="str">
        <f>HYPERLINK("http://dx.doi.org/10.1038/s41893-022-00881-0","http://dx.doi.org/10.1038/s41893-022-00881-0")</f>
        <v>http://dx.doi.org/10.1038/s41893-022-00881-0</v>
      </c>
      <c r="BG228" s="1" t="s">
        <v>74</v>
      </c>
      <c r="BH228" s="1" t="s">
        <v>1095</v>
      </c>
      <c r="BI228" s="1" t="s">
        <v>74</v>
      </c>
      <c r="BJ228" s="1" t="s">
        <v>74</v>
      </c>
      <c r="BK228" s="1" t="s">
        <v>74</v>
      </c>
      <c r="BL228" s="1" t="s">
        <v>74</v>
      </c>
      <c r="BM228" s="1" t="s">
        <v>74</v>
      </c>
      <c r="BN228" s="1" t="s">
        <v>74</v>
      </c>
      <c r="BO228" s="1" t="s">
        <v>74</v>
      </c>
      <c r="BP228" s="1" t="s">
        <v>74</v>
      </c>
      <c r="BQ228" s="1" t="s">
        <v>74</v>
      </c>
      <c r="BR228" s="1" t="s">
        <v>74</v>
      </c>
      <c r="BS228" s="1" t="s">
        <v>2453</v>
      </c>
      <c r="BT228" s="1" t="str">
        <f>HYPERLINK("https%3A%2F%2Fwww.webofscience.com%2Fwos%2Fwoscc%2Ffull-record%2FWOS:000792590400001","View Full Record in Web of Science")</f>
        <v>View Full Record in Web of Science</v>
      </c>
    </row>
    <row r="229" ht="12.75" customHeight="1">
      <c r="A229" s="1" t="s">
        <v>72</v>
      </c>
      <c r="B229" s="1" t="s">
        <v>2454</v>
      </c>
      <c r="C229" s="1" t="s">
        <v>74</v>
      </c>
      <c r="D229" s="1" t="s">
        <v>74</v>
      </c>
      <c r="E229" s="1" t="s">
        <v>74</v>
      </c>
      <c r="F229" s="1" t="s">
        <v>2454</v>
      </c>
      <c r="G229" s="1" t="s">
        <v>74</v>
      </c>
      <c r="H229" s="1" t="s">
        <v>74</v>
      </c>
      <c r="I229" s="1" t="s">
        <v>2455</v>
      </c>
      <c r="J229" s="1" t="s">
        <v>2456</v>
      </c>
      <c r="K229" s="1" t="s">
        <v>74</v>
      </c>
      <c r="L229" s="1" t="s">
        <v>74</v>
      </c>
      <c r="M229" s="1" t="s">
        <v>74</v>
      </c>
      <c r="N229" s="1" t="s">
        <v>74</v>
      </c>
      <c r="O229" s="1" t="s">
        <v>74</v>
      </c>
      <c r="P229" s="1" t="s">
        <v>74</v>
      </c>
      <c r="Q229" s="1" t="s">
        <v>74</v>
      </c>
      <c r="R229" s="1" t="s">
        <v>74</v>
      </c>
      <c r="S229" s="1" t="s">
        <v>74</v>
      </c>
      <c r="T229" s="1" t="s">
        <v>74</v>
      </c>
      <c r="U229" s="1" t="s">
        <v>74</v>
      </c>
      <c r="V229" s="1" t="s">
        <v>2457</v>
      </c>
      <c r="W229" s="1" t="s">
        <v>74</v>
      </c>
      <c r="X229" s="1" t="s">
        <v>74</v>
      </c>
      <c r="Y229" s="1" t="s">
        <v>74</v>
      </c>
      <c r="Z229" s="1" t="s">
        <v>74</v>
      </c>
      <c r="AA229" s="1" t="s">
        <v>2458</v>
      </c>
      <c r="AB229" s="1" t="s">
        <v>2459</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2460</v>
      </c>
      <c r="AP229" s="1" t="s">
        <v>2461</v>
      </c>
      <c r="AQ229" s="1" t="s">
        <v>74</v>
      </c>
      <c r="AR229" s="1" t="s">
        <v>74</v>
      </c>
      <c r="AS229" s="1" t="s">
        <v>74</v>
      </c>
      <c r="AT229" s="1" t="s">
        <v>2462</v>
      </c>
      <c r="AU229" s="1">
        <v>2004.0</v>
      </c>
      <c r="AV229" s="1">
        <v>49.0</v>
      </c>
      <c r="AW229" s="1">
        <v>19.0</v>
      </c>
      <c r="AX229" s="1" t="s">
        <v>74</v>
      </c>
      <c r="AY229" s="1" t="s">
        <v>74</v>
      </c>
      <c r="AZ229" s="1" t="s">
        <v>74</v>
      </c>
      <c r="BA229" s="1" t="s">
        <v>74</v>
      </c>
      <c r="BB229" s="1">
        <v>4543.0</v>
      </c>
      <c r="BC229" s="1">
        <v>4561.0</v>
      </c>
      <c r="BD229" s="1" t="s">
        <v>2463</v>
      </c>
      <c r="BE229" s="1" t="s">
        <v>2464</v>
      </c>
      <c r="BF229" s="2" t="str">
        <f>HYPERLINK("http://dx.doi.org/10.1088/0031-9155/49/19/007","http://dx.doi.org/10.1088/0031-9155/49/19/007")</f>
        <v>http://dx.doi.org/10.1088/0031-9155/49/19/007</v>
      </c>
      <c r="BG229" s="1" t="s">
        <v>74</v>
      </c>
      <c r="BH229" s="1" t="s">
        <v>74</v>
      </c>
      <c r="BI229" s="1" t="s">
        <v>74</v>
      </c>
      <c r="BJ229" s="1" t="s">
        <v>74</v>
      </c>
      <c r="BK229" s="1" t="s">
        <v>74</v>
      </c>
      <c r="BL229" s="1" t="s">
        <v>74</v>
      </c>
      <c r="BM229" s="1" t="s">
        <v>74</v>
      </c>
      <c r="BN229" s="1">
        <v>1.5552416E7</v>
      </c>
      <c r="BO229" s="1" t="s">
        <v>74</v>
      </c>
      <c r="BP229" s="1" t="s">
        <v>74</v>
      </c>
      <c r="BQ229" s="1" t="s">
        <v>74</v>
      </c>
      <c r="BR229" s="1" t="s">
        <v>74</v>
      </c>
      <c r="BS229" s="1" t="s">
        <v>2465</v>
      </c>
      <c r="BT229" s="1" t="str">
        <f>HYPERLINK("https%3A%2F%2Fwww.webofscience.com%2Fwos%2Fwoscc%2Ffull-record%2FWOS:000224663300007","View Full Record in Web of Science")</f>
        <v>View Full Record in Web of Science</v>
      </c>
    </row>
    <row r="230" ht="12.75" customHeight="1">
      <c r="A230" s="1" t="s">
        <v>72</v>
      </c>
      <c r="B230" s="1" t="s">
        <v>2466</v>
      </c>
      <c r="C230" s="1" t="s">
        <v>74</v>
      </c>
      <c r="D230" s="1" t="s">
        <v>74</v>
      </c>
      <c r="E230" s="1" t="s">
        <v>74</v>
      </c>
      <c r="F230" s="1" t="s">
        <v>2467</v>
      </c>
      <c r="G230" s="1" t="s">
        <v>74</v>
      </c>
      <c r="H230" s="1" t="s">
        <v>2468</v>
      </c>
      <c r="I230" s="1" t="s">
        <v>2469</v>
      </c>
      <c r="J230" s="1" t="s">
        <v>561</v>
      </c>
      <c r="K230" s="1" t="s">
        <v>74</v>
      </c>
      <c r="L230" s="1" t="s">
        <v>74</v>
      </c>
      <c r="M230" s="1" t="s">
        <v>74</v>
      </c>
      <c r="N230" s="1" t="s">
        <v>74</v>
      </c>
      <c r="O230" s="1" t="s">
        <v>74</v>
      </c>
      <c r="P230" s="1" t="s">
        <v>74</v>
      </c>
      <c r="Q230" s="1" t="s">
        <v>74</v>
      </c>
      <c r="R230" s="1" t="s">
        <v>74</v>
      </c>
      <c r="S230" s="1" t="s">
        <v>74</v>
      </c>
      <c r="T230" s="1" t="s">
        <v>74</v>
      </c>
      <c r="U230" s="1" t="s">
        <v>74</v>
      </c>
      <c r="V230" s="1" t="s">
        <v>2470</v>
      </c>
      <c r="W230" s="1" t="s">
        <v>74</v>
      </c>
      <c r="X230" s="1" t="s">
        <v>74</v>
      </c>
      <c r="Y230" s="1" t="s">
        <v>74</v>
      </c>
      <c r="Z230" s="1" t="s">
        <v>74</v>
      </c>
      <c r="AA230" s="1" t="s">
        <v>2471</v>
      </c>
      <c r="AB230" s="1" t="s">
        <v>2472</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565</v>
      </c>
      <c r="AP230" s="1" t="s">
        <v>566</v>
      </c>
      <c r="AQ230" s="1" t="s">
        <v>74</v>
      </c>
      <c r="AR230" s="1" t="s">
        <v>74</v>
      </c>
      <c r="AS230" s="1" t="s">
        <v>74</v>
      </c>
      <c r="AT230" s="1" t="s">
        <v>344</v>
      </c>
      <c r="AU230" s="1">
        <v>2023.0</v>
      </c>
      <c r="AV230" s="1">
        <v>38.0</v>
      </c>
      <c r="AW230" s="1">
        <v>9.0</v>
      </c>
      <c r="AX230" s="1" t="s">
        <v>74</v>
      </c>
      <c r="AY230" s="1" t="s">
        <v>74</v>
      </c>
      <c r="AZ230" s="1" t="s">
        <v>74</v>
      </c>
      <c r="BA230" s="1" t="s">
        <v>74</v>
      </c>
      <c r="BB230" s="1">
        <v>1625.0</v>
      </c>
      <c r="BC230" s="1">
        <v>1635.0</v>
      </c>
      <c r="BD230" s="1" t="s">
        <v>74</v>
      </c>
      <c r="BE230" s="1" t="s">
        <v>2473</v>
      </c>
      <c r="BF230" s="2" t="str">
        <f>HYPERLINK("http://dx.doi.org/10.1002/mds.29508","http://dx.doi.org/10.1002/mds.29508")</f>
        <v>http://dx.doi.org/10.1002/mds.29508</v>
      </c>
      <c r="BG230" s="1" t="s">
        <v>74</v>
      </c>
      <c r="BH230" s="1" t="s">
        <v>1590</v>
      </c>
      <c r="BI230" s="1" t="s">
        <v>74</v>
      </c>
      <c r="BJ230" s="1" t="s">
        <v>74</v>
      </c>
      <c r="BK230" s="1" t="s">
        <v>74</v>
      </c>
      <c r="BL230" s="1" t="s">
        <v>74</v>
      </c>
      <c r="BM230" s="1" t="s">
        <v>74</v>
      </c>
      <c r="BN230" s="1">
        <v>3.7469269E7</v>
      </c>
      <c r="BO230" s="1" t="s">
        <v>74</v>
      </c>
      <c r="BP230" s="1" t="s">
        <v>74</v>
      </c>
      <c r="BQ230" s="1" t="s">
        <v>74</v>
      </c>
      <c r="BR230" s="1" t="s">
        <v>74</v>
      </c>
      <c r="BS230" s="1" t="s">
        <v>2474</v>
      </c>
      <c r="BT230" s="1" t="str">
        <f>HYPERLINK("https%3A%2F%2Fwww.webofscience.com%2Fwos%2Fwoscc%2Ffull-record%2FWOS:001031923600001","View Full Record in Web of Science")</f>
        <v>View Full Record in Web of Science</v>
      </c>
    </row>
    <row r="231" ht="12.75" customHeight="1">
      <c r="A231" s="1" t="s">
        <v>72</v>
      </c>
      <c r="B231" s="1" t="s">
        <v>2475</v>
      </c>
      <c r="C231" s="1" t="s">
        <v>74</v>
      </c>
      <c r="D231" s="1" t="s">
        <v>74</v>
      </c>
      <c r="E231" s="1" t="s">
        <v>74</v>
      </c>
      <c r="F231" s="1" t="s">
        <v>2476</v>
      </c>
      <c r="G231" s="1" t="s">
        <v>74</v>
      </c>
      <c r="H231" s="1" t="s">
        <v>74</v>
      </c>
      <c r="I231" s="1" t="s">
        <v>2477</v>
      </c>
      <c r="J231" s="1" t="s">
        <v>395</v>
      </c>
      <c r="K231" s="1" t="s">
        <v>74</v>
      </c>
      <c r="L231" s="1" t="s">
        <v>74</v>
      </c>
      <c r="M231" s="1" t="s">
        <v>74</v>
      </c>
      <c r="N231" s="1" t="s">
        <v>74</v>
      </c>
      <c r="O231" s="1" t="s">
        <v>74</v>
      </c>
      <c r="P231" s="1" t="s">
        <v>74</v>
      </c>
      <c r="Q231" s="1" t="s">
        <v>74</v>
      </c>
      <c r="R231" s="1" t="s">
        <v>74</v>
      </c>
      <c r="S231" s="1" t="s">
        <v>74</v>
      </c>
      <c r="T231" s="1" t="s">
        <v>74</v>
      </c>
      <c r="U231" s="1" t="s">
        <v>74</v>
      </c>
      <c r="V231" s="1" t="s">
        <v>2478</v>
      </c>
      <c r="W231" s="1" t="s">
        <v>74</v>
      </c>
      <c r="X231" s="1" t="s">
        <v>74</v>
      </c>
      <c r="Y231" s="1" t="s">
        <v>74</v>
      </c>
      <c r="Z231" s="1" t="s">
        <v>74</v>
      </c>
      <c r="AA231" s="1" t="s">
        <v>2479</v>
      </c>
      <c r="AB231" s="1" t="s">
        <v>2480</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399</v>
      </c>
      <c r="AP231" s="1" t="s">
        <v>400</v>
      </c>
      <c r="AQ231" s="1" t="s">
        <v>74</v>
      </c>
      <c r="AR231" s="1" t="s">
        <v>74</v>
      </c>
      <c r="AS231" s="1" t="s">
        <v>74</v>
      </c>
      <c r="AT231" s="1" t="s">
        <v>757</v>
      </c>
      <c r="AU231" s="1">
        <v>2021.0</v>
      </c>
      <c r="AV231" s="1">
        <v>503.0</v>
      </c>
      <c r="AW231" s="1">
        <v>1.0</v>
      </c>
      <c r="AX231" s="1" t="s">
        <v>74</v>
      </c>
      <c r="AY231" s="1" t="s">
        <v>74</v>
      </c>
      <c r="AZ231" s="1" t="s">
        <v>74</v>
      </c>
      <c r="BA231" s="1" t="s">
        <v>74</v>
      </c>
      <c r="BB231" s="1">
        <v>1276.0</v>
      </c>
      <c r="BC231" s="1">
        <v>1289.0</v>
      </c>
      <c r="BD231" s="1" t="s">
        <v>74</v>
      </c>
      <c r="BE231" s="1" t="s">
        <v>2481</v>
      </c>
      <c r="BF231" s="2" t="str">
        <f>HYPERLINK("http://dx.doi.org/10.1093/mnras/stab438","http://dx.doi.org/10.1093/mnras/stab438")</f>
        <v>http://dx.doi.org/10.1093/mnras/stab438</v>
      </c>
      <c r="BG231" s="1" t="s">
        <v>74</v>
      </c>
      <c r="BH231" s="1" t="s">
        <v>2482</v>
      </c>
      <c r="BI231" s="1" t="s">
        <v>74</v>
      </c>
      <c r="BJ231" s="1" t="s">
        <v>74</v>
      </c>
      <c r="BK231" s="1" t="s">
        <v>74</v>
      </c>
      <c r="BL231" s="1" t="s">
        <v>74</v>
      </c>
      <c r="BM231" s="1" t="s">
        <v>74</v>
      </c>
      <c r="BN231" s="1" t="s">
        <v>74</v>
      </c>
      <c r="BO231" s="1" t="s">
        <v>74</v>
      </c>
      <c r="BP231" s="1" t="s">
        <v>74</v>
      </c>
      <c r="BQ231" s="1" t="s">
        <v>74</v>
      </c>
      <c r="BR231" s="1" t="s">
        <v>74</v>
      </c>
      <c r="BS231" s="1" t="s">
        <v>2483</v>
      </c>
      <c r="BT231" s="1" t="str">
        <f>HYPERLINK("https%3A%2F%2Fwww.webofscience.com%2Fwos%2Fwoscc%2Ffull-record%2FWOS:000641987400091","View Full Record in Web of Science")</f>
        <v>View Full Record in Web of Science</v>
      </c>
    </row>
    <row r="232" ht="12.75" customHeight="1">
      <c r="A232" s="1" t="s">
        <v>72</v>
      </c>
      <c r="B232" s="1" t="s">
        <v>2484</v>
      </c>
      <c r="C232" s="1" t="s">
        <v>74</v>
      </c>
      <c r="D232" s="1" t="s">
        <v>74</v>
      </c>
      <c r="E232" s="1" t="s">
        <v>74</v>
      </c>
      <c r="F232" s="1" t="s">
        <v>2485</v>
      </c>
      <c r="G232" s="1" t="s">
        <v>74</v>
      </c>
      <c r="H232" s="1" t="s">
        <v>74</v>
      </c>
      <c r="I232" s="1" t="s">
        <v>2486</v>
      </c>
      <c r="J232" s="1" t="s">
        <v>1719</v>
      </c>
      <c r="K232" s="1" t="s">
        <v>74</v>
      </c>
      <c r="L232" s="1" t="s">
        <v>74</v>
      </c>
      <c r="M232" s="1" t="s">
        <v>74</v>
      </c>
      <c r="N232" s="1" t="s">
        <v>74</v>
      </c>
      <c r="O232" s="1" t="s">
        <v>74</v>
      </c>
      <c r="P232" s="1" t="s">
        <v>74</v>
      </c>
      <c r="Q232" s="1" t="s">
        <v>74</v>
      </c>
      <c r="R232" s="1" t="s">
        <v>74</v>
      </c>
      <c r="S232" s="1" t="s">
        <v>74</v>
      </c>
      <c r="T232" s="1" t="s">
        <v>74</v>
      </c>
      <c r="U232" s="1" t="s">
        <v>74</v>
      </c>
      <c r="V232" s="1" t="s">
        <v>2487</v>
      </c>
      <c r="W232" s="1" t="s">
        <v>74</v>
      </c>
      <c r="X232" s="1" t="s">
        <v>74</v>
      </c>
      <c r="Y232" s="1" t="s">
        <v>74</v>
      </c>
      <c r="Z232" s="1" t="s">
        <v>74</v>
      </c>
      <c r="AA232" s="1" t="s">
        <v>2488</v>
      </c>
      <c r="AB232" s="1" t="s">
        <v>2489</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1723</v>
      </c>
      <c r="AP232" s="1" t="s">
        <v>1724</v>
      </c>
      <c r="AQ232" s="1" t="s">
        <v>74</v>
      </c>
      <c r="AR232" s="1" t="s">
        <v>74</v>
      </c>
      <c r="AS232" s="1" t="s">
        <v>74</v>
      </c>
      <c r="AT232" s="1" t="s">
        <v>344</v>
      </c>
      <c r="AU232" s="1">
        <v>2024.0</v>
      </c>
      <c r="AV232" s="1">
        <v>105.0</v>
      </c>
      <c r="AW232" s="1">
        <v>9.0</v>
      </c>
      <c r="AX232" s="1" t="s">
        <v>74</v>
      </c>
      <c r="AY232" s="1" t="s">
        <v>74</v>
      </c>
      <c r="AZ232" s="1" t="s">
        <v>74</v>
      </c>
      <c r="BA232" s="1" t="s">
        <v>74</v>
      </c>
      <c r="BB232" s="1" t="s">
        <v>2490</v>
      </c>
      <c r="BC232" s="1" t="s">
        <v>2491</v>
      </c>
      <c r="BD232" s="1" t="s">
        <v>74</v>
      </c>
      <c r="BE232" s="1" t="s">
        <v>2492</v>
      </c>
      <c r="BF232" s="2" t="str">
        <f>HYPERLINK("http://dx.doi.org/10.1175/BAMS-D-22-0249.1","http://dx.doi.org/10.1175/BAMS-D-22-0249.1")</f>
        <v>http://dx.doi.org/10.1175/BAMS-D-22-0249.1</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2493</v>
      </c>
      <c r="BT232" s="1" t="str">
        <f>HYPERLINK("https%3A%2F%2Fwww.webofscience.com%2Fwos%2Fwoscc%2Ffull-record%2FWOS:001318542200001","View Full Record in Web of Science")</f>
        <v>View Full Record in Web of Science</v>
      </c>
    </row>
    <row r="233" ht="12.75" customHeight="1">
      <c r="A233" s="1" t="s">
        <v>72</v>
      </c>
      <c r="B233" s="1" t="s">
        <v>2494</v>
      </c>
      <c r="C233" s="1" t="s">
        <v>74</v>
      </c>
      <c r="D233" s="1" t="s">
        <v>74</v>
      </c>
      <c r="E233" s="1" t="s">
        <v>74</v>
      </c>
      <c r="F233" s="1" t="s">
        <v>2495</v>
      </c>
      <c r="G233" s="1" t="s">
        <v>74</v>
      </c>
      <c r="H233" s="1" t="s">
        <v>74</v>
      </c>
      <c r="I233" s="1" t="s">
        <v>2496</v>
      </c>
      <c r="J233" s="1" t="s">
        <v>2277</v>
      </c>
      <c r="K233" s="1" t="s">
        <v>74</v>
      </c>
      <c r="L233" s="1" t="s">
        <v>74</v>
      </c>
      <c r="M233" s="1" t="s">
        <v>74</v>
      </c>
      <c r="N233" s="1" t="s">
        <v>74</v>
      </c>
      <c r="O233" s="1" t="s">
        <v>74</v>
      </c>
      <c r="P233" s="1" t="s">
        <v>74</v>
      </c>
      <c r="Q233" s="1" t="s">
        <v>74</v>
      </c>
      <c r="R233" s="1" t="s">
        <v>74</v>
      </c>
      <c r="S233" s="1" t="s">
        <v>74</v>
      </c>
      <c r="T233" s="1" t="s">
        <v>74</v>
      </c>
      <c r="U233" s="1" t="s">
        <v>74</v>
      </c>
      <c r="V233" s="1" t="s">
        <v>2497</v>
      </c>
      <c r="W233" s="1" t="s">
        <v>74</v>
      </c>
      <c r="X233" s="1" t="s">
        <v>74</v>
      </c>
      <c r="Y233" s="1" t="s">
        <v>74</v>
      </c>
      <c r="Z233" s="1" t="s">
        <v>74</v>
      </c>
      <c r="AA233" s="1" t="s">
        <v>2498</v>
      </c>
      <c r="AB233" s="1" t="s">
        <v>2499</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2281</v>
      </c>
      <c r="AP233" s="1" t="s">
        <v>74</v>
      </c>
      <c r="AQ233" s="1" t="s">
        <v>74</v>
      </c>
      <c r="AR233" s="1" t="s">
        <v>74</v>
      </c>
      <c r="AS233" s="1" t="s">
        <v>74</v>
      </c>
      <c r="AT233" s="1" t="s">
        <v>74</v>
      </c>
      <c r="AU233" s="1">
        <v>2018.0</v>
      </c>
      <c r="AV233" s="1">
        <v>36.0</v>
      </c>
      <c r="AW233" s="1">
        <v>4.0</v>
      </c>
      <c r="AX233" s="1" t="s">
        <v>74</v>
      </c>
      <c r="AY233" s="1" t="s">
        <v>74</v>
      </c>
      <c r="AZ233" s="1" t="s">
        <v>74</v>
      </c>
      <c r="BA233" s="1" t="s">
        <v>74</v>
      </c>
      <c r="BB233" s="1">
        <v>345.0</v>
      </c>
      <c r="BC233" s="1">
        <v>358.0</v>
      </c>
      <c r="BD233" s="1" t="s">
        <v>74</v>
      </c>
      <c r="BE233" s="1" t="s">
        <v>74</v>
      </c>
      <c r="BF233" s="1" t="s">
        <v>74</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2500</v>
      </c>
      <c r="BT233" s="1" t="str">
        <f>HYPERLINK("https%3A%2F%2Fwww.webofscience.com%2Fwos%2Fwoscc%2Ffull-record%2FWOS:000452398300001","View Full Record in Web of Science")</f>
        <v>View Full Record in Web of Science</v>
      </c>
    </row>
    <row r="234" ht="12.75" customHeight="1">
      <c r="A234" s="1" t="s">
        <v>72</v>
      </c>
      <c r="B234" s="1" t="s">
        <v>2501</v>
      </c>
      <c r="C234" s="1" t="s">
        <v>74</v>
      </c>
      <c r="D234" s="1" t="s">
        <v>74</v>
      </c>
      <c r="E234" s="1" t="s">
        <v>74</v>
      </c>
      <c r="F234" s="1" t="s">
        <v>2502</v>
      </c>
      <c r="G234" s="1" t="s">
        <v>74</v>
      </c>
      <c r="H234" s="1" t="s">
        <v>74</v>
      </c>
      <c r="I234" s="1" t="s">
        <v>2503</v>
      </c>
      <c r="J234" s="1" t="s">
        <v>2504</v>
      </c>
      <c r="K234" s="1" t="s">
        <v>74</v>
      </c>
      <c r="L234" s="1" t="s">
        <v>74</v>
      </c>
      <c r="M234" s="1" t="s">
        <v>74</v>
      </c>
      <c r="N234" s="1" t="s">
        <v>74</v>
      </c>
      <c r="O234" s="1" t="s">
        <v>74</v>
      </c>
      <c r="P234" s="1" t="s">
        <v>74</v>
      </c>
      <c r="Q234" s="1" t="s">
        <v>74</v>
      </c>
      <c r="R234" s="1" t="s">
        <v>74</v>
      </c>
      <c r="S234" s="1" t="s">
        <v>74</v>
      </c>
      <c r="T234" s="1" t="s">
        <v>74</v>
      </c>
      <c r="U234" s="1" t="s">
        <v>74</v>
      </c>
      <c r="V234" s="1" t="s">
        <v>2505</v>
      </c>
      <c r="W234" s="1" t="s">
        <v>74</v>
      </c>
      <c r="X234" s="1" t="s">
        <v>74</v>
      </c>
      <c r="Y234" s="1" t="s">
        <v>74</v>
      </c>
      <c r="Z234" s="1" t="s">
        <v>74</v>
      </c>
      <c r="AA234" s="1" t="s">
        <v>2506</v>
      </c>
      <c r="AB234" s="1" t="s">
        <v>2507</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2508</v>
      </c>
      <c r="AP234" s="1" t="s">
        <v>2509</v>
      </c>
      <c r="AQ234" s="1" t="s">
        <v>74</v>
      </c>
      <c r="AR234" s="1" t="s">
        <v>74</v>
      </c>
      <c r="AS234" s="1" t="s">
        <v>74</v>
      </c>
      <c r="AT234" s="1" t="s">
        <v>495</v>
      </c>
      <c r="AU234" s="1">
        <v>2023.0</v>
      </c>
      <c r="AV234" s="1">
        <v>26.0</v>
      </c>
      <c r="AW234" s="1">
        <v>3.0</v>
      </c>
      <c r="AX234" s="1" t="s">
        <v>74</v>
      </c>
      <c r="AY234" s="1" t="s">
        <v>74</v>
      </c>
      <c r="AZ234" s="1" t="s">
        <v>74</v>
      </c>
      <c r="BA234" s="1" t="s">
        <v>74</v>
      </c>
      <c r="BB234" s="1">
        <v>629.0</v>
      </c>
      <c r="BC234" s="1">
        <v>651.0</v>
      </c>
      <c r="BD234" s="1">
        <v>1.3684302211067152E16</v>
      </c>
      <c r="BE234" s="1" t="s">
        <v>2510</v>
      </c>
      <c r="BF234" s="2" t="str">
        <f>HYPERLINK("http://dx.doi.org/10.1177/13684302211067151","http://dx.doi.org/10.1177/13684302211067151")</f>
        <v>http://dx.doi.org/10.1177/13684302211067151</v>
      </c>
      <c r="BG234" s="1" t="s">
        <v>74</v>
      </c>
      <c r="BH234" s="1" t="s">
        <v>85</v>
      </c>
      <c r="BI234" s="1" t="s">
        <v>74</v>
      </c>
      <c r="BJ234" s="1" t="s">
        <v>74</v>
      </c>
      <c r="BK234" s="1" t="s">
        <v>74</v>
      </c>
      <c r="BL234" s="1" t="s">
        <v>74</v>
      </c>
      <c r="BM234" s="1" t="s">
        <v>74</v>
      </c>
      <c r="BN234" s="1" t="s">
        <v>74</v>
      </c>
      <c r="BO234" s="1" t="s">
        <v>74</v>
      </c>
      <c r="BP234" s="1" t="s">
        <v>74</v>
      </c>
      <c r="BQ234" s="1" t="s">
        <v>74</v>
      </c>
      <c r="BR234" s="1" t="s">
        <v>74</v>
      </c>
      <c r="BS234" s="1" t="s">
        <v>2511</v>
      </c>
      <c r="BT234" s="1" t="str">
        <f>HYPERLINK("https%3A%2F%2Fwww.webofscience.com%2Fwos%2Fwoscc%2Ffull-record%2FWOS:000775829100001","View Full Record in Web of Science")</f>
        <v>View Full Record in Web of Science</v>
      </c>
    </row>
    <row r="235" ht="12.75" customHeight="1">
      <c r="A235" s="1" t="s">
        <v>72</v>
      </c>
      <c r="B235" s="1" t="s">
        <v>2512</v>
      </c>
      <c r="C235" s="1" t="s">
        <v>74</v>
      </c>
      <c r="D235" s="1" t="s">
        <v>74</v>
      </c>
      <c r="E235" s="1" t="s">
        <v>74</v>
      </c>
      <c r="F235" s="1" t="s">
        <v>2513</v>
      </c>
      <c r="G235" s="1" t="s">
        <v>74</v>
      </c>
      <c r="H235" s="1" t="s">
        <v>74</v>
      </c>
      <c r="I235" s="1" t="s">
        <v>2514</v>
      </c>
      <c r="J235" s="1" t="s">
        <v>2515</v>
      </c>
      <c r="K235" s="1" t="s">
        <v>74</v>
      </c>
      <c r="L235" s="1" t="s">
        <v>74</v>
      </c>
      <c r="M235" s="1" t="s">
        <v>74</v>
      </c>
      <c r="N235" s="1" t="s">
        <v>74</v>
      </c>
      <c r="O235" s="1" t="s">
        <v>74</v>
      </c>
      <c r="P235" s="1" t="s">
        <v>74</v>
      </c>
      <c r="Q235" s="1" t="s">
        <v>74</v>
      </c>
      <c r="R235" s="1" t="s">
        <v>74</v>
      </c>
      <c r="S235" s="1" t="s">
        <v>74</v>
      </c>
      <c r="T235" s="1" t="s">
        <v>74</v>
      </c>
      <c r="U235" s="1" t="s">
        <v>74</v>
      </c>
      <c r="V235" s="1" t="s">
        <v>2516</v>
      </c>
      <c r="W235" s="1" t="s">
        <v>74</v>
      </c>
      <c r="X235" s="1" t="s">
        <v>74</v>
      </c>
      <c r="Y235" s="1" t="s">
        <v>74</v>
      </c>
      <c r="Z235" s="1" t="s">
        <v>74</v>
      </c>
      <c r="AA235" s="1" t="s">
        <v>2517</v>
      </c>
      <c r="AB235" s="1" t="s">
        <v>2518</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2519</v>
      </c>
      <c r="AP235" s="1" t="s">
        <v>2520</v>
      </c>
      <c r="AQ235" s="1" t="s">
        <v>74</v>
      </c>
      <c r="AR235" s="1" t="s">
        <v>74</v>
      </c>
      <c r="AS235" s="1" t="s">
        <v>74</v>
      </c>
      <c r="AT235" s="1" t="s">
        <v>319</v>
      </c>
      <c r="AU235" s="1">
        <v>2022.0</v>
      </c>
      <c r="AV235" s="1">
        <v>36.0</v>
      </c>
      <c r="AW235" s="1">
        <v>7.0</v>
      </c>
      <c r="AX235" s="1" t="s">
        <v>74</v>
      </c>
      <c r="AY235" s="1" t="s">
        <v>74</v>
      </c>
      <c r="AZ235" s="1" t="s">
        <v>74</v>
      </c>
      <c r="BA235" s="1" t="s">
        <v>74</v>
      </c>
      <c r="BB235" s="1">
        <v>664.0</v>
      </c>
      <c r="BC235" s="1">
        <v>682.0</v>
      </c>
      <c r="BD235" s="1" t="s">
        <v>74</v>
      </c>
      <c r="BE235" s="1" t="s">
        <v>2521</v>
      </c>
      <c r="BF235" s="2" t="str">
        <f>HYPERLINK("http://dx.doi.org/10.1037/neu0000817","http://dx.doi.org/10.1037/neu0000817")</f>
        <v>http://dx.doi.org/10.1037/neu0000817</v>
      </c>
      <c r="BG235" s="1" t="s">
        <v>74</v>
      </c>
      <c r="BH235" s="1" t="s">
        <v>875</v>
      </c>
      <c r="BI235" s="1" t="s">
        <v>74</v>
      </c>
      <c r="BJ235" s="1" t="s">
        <v>74</v>
      </c>
      <c r="BK235" s="1" t="s">
        <v>74</v>
      </c>
      <c r="BL235" s="1" t="s">
        <v>74</v>
      </c>
      <c r="BM235" s="1" t="s">
        <v>74</v>
      </c>
      <c r="BN235" s="1">
        <v>3.5834208E7</v>
      </c>
      <c r="BO235" s="1" t="s">
        <v>74</v>
      </c>
      <c r="BP235" s="1" t="s">
        <v>74</v>
      </c>
      <c r="BQ235" s="1" t="s">
        <v>74</v>
      </c>
      <c r="BR235" s="1" t="s">
        <v>74</v>
      </c>
      <c r="BS235" s="1" t="s">
        <v>2522</v>
      </c>
      <c r="BT235" s="1" t="str">
        <f>HYPERLINK("https%3A%2F%2Fwww.webofscience.com%2Fwos%2Fwoscc%2Ffull-record%2FWOS:000823986200001","View Full Record in Web of Science")</f>
        <v>View Full Record in Web of Science</v>
      </c>
    </row>
    <row r="236" ht="12.75" customHeight="1">
      <c r="A236" s="1" t="s">
        <v>72</v>
      </c>
      <c r="B236" s="1" t="s">
        <v>2523</v>
      </c>
      <c r="C236" s="1" t="s">
        <v>74</v>
      </c>
      <c r="D236" s="1" t="s">
        <v>74</v>
      </c>
      <c r="E236" s="1" t="s">
        <v>74</v>
      </c>
      <c r="F236" s="1" t="s">
        <v>2524</v>
      </c>
      <c r="G236" s="1" t="s">
        <v>74</v>
      </c>
      <c r="H236" s="1" t="s">
        <v>74</v>
      </c>
      <c r="I236" s="1" t="s">
        <v>2525</v>
      </c>
      <c r="J236" s="1" t="s">
        <v>2526</v>
      </c>
      <c r="K236" s="1" t="s">
        <v>74</v>
      </c>
      <c r="L236" s="1" t="s">
        <v>74</v>
      </c>
      <c r="M236" s="1" t="s">
        <v>74</v>
      </c>
      <c r="N236" s="1" t="s">
        <v>74</v>
      </c>
      <c r="O236" s="1" t="s">
        <v>74</v>
      </c>
      <c r="P236" s="1" t="s">
        <v>74</v>
      </c>
      <c r="Q236" s="1" t="s">
        <v>74</v>
      </c>
      <c r="R236" s="1" t="s">
        <v>74</v>
      </c>
      <c r="S236" s="1" t="s">
        <v>74</v>
      </c>
      <c r="T236" s="1" t="s">
        <v>74</v>
      </c>
      <c r="U236" s="1" t="s">
        <v>74</v>
      </c>
      <c r="V236" s="1" t="s">
        <v>2527</v>
      </c>
      <c r="W236" s="1" t="s">
        <v>74</v>
      </c>
      <c r="X236" s="1" t="s">
        <v>74</v>
      </c>
      <c r="Y236" s="1" t="s">
        <v>74</v>
      </c>
      <c r="Z236" s="1" t="s">
        <v>74</v>
      </c>
      <c r="AA236" s="1" t="s">
        <v>2528</v>
      </c>
      <c r="AB236" s="1" t="s">
        <v>2529</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74</v>
      </c>
      <c r="AP236" s="1" t="s">
        <v>2530</v>
      </c>
      <c r="AQ236" s="1" t="s">
        <v>74</v>
      </c>
      <c r="AR236" s="1" t="s">
        <v>74</v>
      </c>
      <c r="AS236" s="1" t="s">
        <v>74</v>
      </c>
      <c r="AT236" s="1" t="s">
        <v>2531</v>
      </c>
      <c r="AU236" s="1">
        <v>2021.0</v>
      </c>
      <c r="AV236" s="1">
        <v>12.0</v>
      </c>
      <c r="AW236" s="1" t="s">
        <v>74</v>
      </c>
      <c r="AX236" s="1" t="s">
        <v>74</v>
      </c>
      <c r="AY236" s="1" t="s">
        <v>74</v>
      </c>
      <c r="AZ236" s="1" t="s">
        <v>74</v>
      </c>
      <c r="BA236" s="1" t="s">
        <v>74</v>
      </c>
      <c r="BB236" s="1" t="s">
        <v>74</v>
      </c>
      <c r="BC236" s="1" t="s">
        <v>74</v>
      </c>
      <c r="BD236" s="1">
        <v>671079.0</v>
      </c>
      <c r="BE236" s="1" t="s">
        <v>2532</v>
      </c>
      <c r="BF236" s="2" t="str">
        <f>HYPERLINK("http://dx.doi.org/10.3389/fgene.2021.671079","http://dx.doi.org/10.3389/fgene.2021.671079")</f>
        <v>http://dx.doi.org/10.3389/fgene.2021.671079</v>
      </c>
      <c r="BG236" s="1" t="s">
        <v>74</v>
      </c>
      <c r="BH236" s="1" t="s">
        <v>74</v>
      </c>
      <c r="BI236" s="1" t="s">
        <v>74</v>
      </c>
      <c r="BJ236" s="1" t="s">
        <v>74</v>
      </c>
      <c r="BK236" s="1" t="s">
        <v>74</v>
      </c>
      <c r="BL236" s="1" t="s">
        <v>74</v>
      </c>
      <c r="BM236" s="1" t="s">
        <v>74</v>
      </c>
      <c r="BN236" s="1">
        <v>3.4630506E7</v>
      </c>
      <c r="BO236" s="1" t="s">
        <v>74</v>
      </c>
      <c r="BP236" s="1" t="s">
        <v>74</v>
      </c>
      <c r="BQ236" s="1" t="s">
        <v>74</v>
      </c>
      <c r="BR236" s="1" t="s">
        <v>74</v>
      </c>
      <c r="BS236" s="1" t="s">
        <v>2533</v>
      </c>
      <c r="BT236" s="1" t="str">
        <f>HYPERLINK("https%3A%2F%2Fwww.webofscience.com%2Fwos%2Fwoscc%2Ffull-record%2FWOS:000704127600001","View Full Record in Web of Science")</f>
        <v>View Full Record in Web of Science</v>
      </c>
    </row>
    <row r="237" ht="12.75" customHeight="1">
      <c r="A237" s="1" t="s">
        <v>72</v>
      </c>
      <c r="B237" s="1" t="s">
        <v>2534</v>
      </c>
      <c r="C237" s="1" t="s">
        <v>74</v>
      </c>
      <c r="D237" s="1" t="s">
        <v>74</v>
      </c>
      <c r="E237" s="1" t="s">
        <v>74</v>
      </c>
      <c r="F237" s="1" t="s">
        <v>2535</v>
      </c>
      <c r="G237" s="1" t="s">
        <v>74</v>
      </c>
      <c r="H237" s="1" t="s">
        <v>74</v>
      </c>
      <c r="I237" s="1" t="s">
        <v>2536</v>
      </c>
      <c r="J237" s="1" t="s">
        <v>2537</v>
      </c>
      <c r="K237" s="1" t="s">
        <v>74</v>
      </c>
      <c r="L237" s="1" t="s">
        <v>74</v>
      </c>
      <c r="M237" s="1" t="s">
        <v>74</v>
      </c>
      <c r="N237" s="1" t="s">
        <v>74</v>
      </c>
      <c r="O237" s="1" t="s">
        <v>74</v>
      </c>
      <c r="P237" s="1" t="s">
        <v>74</v>
      </c>
      <c r="Q237" s="1" t="s">
        <v>74</v>
      </c>
      <c r="R237" s="1" t="s">
        <v>74</v>
      </c>
      <c r="S237" s="1" t="s">
        <v>74</v>
      </c>
      <c r="T237" s="1" t="s">
        <v>74</v>
      </c>
      <c r="U237" s="1" t="s">
        <v>74</v>
      </c>
      <c r="V237" s="1" t="s">
        <v>2538</v>
      </c>
      <c r="W237" s="1" t="s">
        <v>74</v>
      </c>
      <c r="X237" s="1" t="s">
        <v>74</v>
      </c>
      <c r="Y237" s="1" t="s">
        <v>74</v>
      </c>
      <c r="Z237" s="1" t="s">
        <v>74</v>
      </c>
      <c r="AA237" s="1" t="s">
        <v>2539</v>
      </c>
      <c r="AB237" s="1" t="s">
        <v>2540</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2541</v>
      </c>
      <c r="AP237" s="1" t="s">
        <v>74</v>
      </c>
      <c r="AQ237" s="1" t="s">
        <v>74</v>
      </c>
      <c r="AR237" s="1" t="s">
        <v>74</v>
      </c>
      <c r="AS237" s="1" t="s">
        <v>74</v>
      </c>
      <c r="AT237" s="1" t="s">
        <v>188</v>
      </c>
      <c r="AU237" s="1">
        <v>2021.0</v>
      </c>
      <c r="AV237" s="1">
        <v>5.0</v>
      </c>
      <c r="AW237" s="1">
        <v>8.0</v>
      </c>
      <c r="AX237" s="1" t="s">
        <v>74</v>
      </c>
      <c r="AY237" s="1" t="s">
        <v>74</v>
      </c>
      <c r="AZ237" s="1" t="s">
        <v>74</v>
      </c>
      <c r="BA237" s="1" t="s">
        <v>74</v>
      </c>
      <c r="BB237" s="1">
        <v>1074.0</v>
      </c>
      <c r="BC237" s="1" t="s">
        <v>919</v>
      </c>
      <c r="BD237" s="1" t="s">
        <v>74</v>
      </c>
      <c r="BE237" s="1" t="s">
        <v>2542</v>
      </c>
      <c r="BF237" s="2" t="str">
        <f>HYPERLINK("http://dx.doi.org/10.1038/s41562-021-01156-y","http://dx.doi.org/10.1038/s41562-021-01156-y")</f>
        <v>http://dx.doi.org/10.1038/s41562-021-01156-y</v>
      </c>
      <c r="BG237" s="1" t="s">
        <v>74</v>
      </c>
      <c r="BH237" s="1" t="s">
        <v>1611</v>
      </c>
      <c r="BI237" s="1" t="s">
        <v>74</v>
      </c>
      <c r="BJ237" s="1" t="s">
        <v>74</v>
      </c>
      <c r="BK237" s="1" t="s">
        <v>74</v>
      </c>
      <c r="BL237" s="1" t="s">
        <v>74</v>
      </c>
      <c r="BM237" s="1" t="s">
        <v>74</v>
      </c>
      <c r="BN237" s="1">
        <v>3.4211151E7</v>
      </c>
      <c r="BO237" s="1" t="s">
        <v>74</v>
      </c>
      <c r="BP237" s="1" t="s">
        <v>74</v>
      </c>
      <c r="BQ237" s="1" t="s">
        <v>74</v>
      </c>
      <c r="BR237" s="1" t="s">
        <v>74</v>
      </c>
      <c r="BS237" s="1" t="s">
        <v>2543</v>
      </c>
      <c r="BT237" s="1" t="str">
        <f>HYPERLINK("https%3A%2F%2Fwww.webofscience.com%2Fwos%2Fwoscc%2Ffull-record%2FWOS:000668823900003","View Full Record in Web of Science")</f>
        <v>View Full Record in Web of Science</v>
      </c>
    </row>
    <row r="238" ht="12.75" customHeight="1">
      <c r="A238" s="1" t="s">
        <v>72</v>
      </c>
      <c r="B238" s="1" t="s">
        <v>2544</v>
      </c>
      <c r="C238" s="1" t="s">
        <v>74</v>
      </c>
      <c r="D238" s="1" t="s">
        <v>74</v>
      </c>
      <c r="E238" s="1" t="s">
        <v>74</v>
      </c>
      <c r="F238" s="1" t="s">
        <v>2545</v>
      </c>
      <c r="G238" s="1" t="s">
        <v>74</v>
      </c>
      <c r="H238" s="1" t="s">
        <v>74</v>
      </c>
      <c r="I238" s="1" t="s">
        <v>2546</v>
      </c>
      <c r="J238" s="1" t="s">
        <v>2547</v>
      </c>
      <c r="K238" s="1" t="s">
        <v>74</v>
      </c>
      <c r="L238" s="1" t="s">
        <v>74</v>
      </c>
      <c r="M238" s="1" t="s">
        <v>74</v>
      </c>
      <c r="N238" s="1" t="s">
        <v>74</v>
      </c>
      <c r="O238" s="1" t="s">
        <v>74</v>
      </c>
      <c r="P238" s="1" t="s">
        <v>74</v>
      </c>
      <c r="Q238" s="1" t="s">
        <v>74</v>
      </c>
      <c r="R238" s="1" t="s">
        <v>74</v>
      </c>
      <c r="S238" s="1" t="s">
        <v>74</v>
      </c>
      <c r="T238" s="1" t="s">
        <v>74</v>
      </c>
      <c r="U238" s="1" t="s">
        <v>74</v>
      </c>
      <c r="V238" s="1" t="s">
        <v>2548</v>
      </c>
      <c r="W238" s="1" t="s">
        <v>74</v>
      </c>
      <c r="X238" s="1" t="s">
        <v>74</v>
      </c>
      <c r="Y238" s="1" t="s">
        <v>74</v>
      </c>
      <c r="Z238" s="1" t="s">
        <v>74</v>
      </c>
      <c r="AA238" s="1" t="s">
        <v>2549</v>
      </c>
      <c r="AB238" s="1" t="s">
        <v>2550</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2551</v>
      </c>
      <c r="AP238" s="1" t="s">
        <v>2552</v>
      </c>
      <c r="AQ238" s="1" t="s">
        <v>74</v>
      </c>
      <c r="AR238" s="1" t="s">
        <v>74</v>
      </c>
      <c r="AS238" s="1" t="s">
        <v>74</v>
      </c>
      <c r="AT238" s="1" t="s">
        <v>298</v>
      </c>
      <c r="AU238" s="1">
        <v>2023.0</v>
      </c>
      <c r="AV238" s="1">
        <v>53.0</v>
      </c>
      <c r="AW238" s="1">
        <v>16.0</v>
      </c>
      <c r="AX238" s="1" t="s">
        <v>74</v>
      </c>
      <c r="AY238" s="1" t="s">
        <v>74</v>
      </c>
      <c r="AZ238" s="1" t="s">
        <v>74</v>
      </c>
      <c r="BA238" s="1" t="s">
        <v>74</v>
      </c>
      <c r="BB238" s="1">
        <v>7581.0</v>
      </c>
      <c r="BC238" s="1">
        <v>7590.0</v>
      </c>
      <c r="BD238" s="1" t="s">
        <v>2553</v>
      </c>
      <c r="BE238" s="1" t="s">
        <v>2554</v>
      </c>
      <c r="BF238" s="2" t="str">
        <f>HYPERLINK("http://dx.doi.org/10.1017/S0033291723001332","http://dx.doi.org/10.1017/S0033291723001332")</f>
        <v>http://dx.doi.org/10.1017/S0033291723001332</v>
      </c>
      <c r="BG238" s="1" t="s">
        <v>74</v>
      </c>
      <c r="BH238" s="1" t="s">
        <v>1195</v>
      </c>
      <c r="BI238" s="1" t="s">
        <v>74</v>
      </c>
      <c r="BJ238" s="1" t="s">
        <v>74</v>
      </c>
      <c r="BK238" s="1" t="s">
        <v>74</v>
      </c>
      <c r="BL238" s="1" t="s">
        <v>74</v>
      </c>
      <c r="BM238" s="1" t="s">
        <v>74</v>
      </c>
      <c r="BN238" s="1">
        <v>3.720346E7</v>
      </c>
      <c r="BO238" s="1" t="s">
        <v>74</v>
      </c>
      <c r="BP238" s="1" t="s">
        <v>74</v>
      </c>
      <c r="BQ238" s="1" t="s">
        <v>74</v>
      </c>
      <c r="BR238" s="1" t="s">
        <v>74</v>
      </c>
      <c r="BS238" s="1" t="s">
        <v>2555</v>
      </c>
      <c r="BT238" s="1" t="str">
        <f>HYPERLINK("https%3A%2F%2Fwww.webofscience.com%2Fwos%2Fwoscc%2Ffull-record%2FWOS:001008037300001","View Full Record in Web of Science")</f>
        <v>View Full Record in Web of Science</v>
      </c>
    </row>
    <row r="239" ht="12.75" customHeight="1">
      <c r="A239" s="1" t="s">
        <v>72</v>
      </c>
      <c r="B239" s="1" t="s">
        <v>2556</v>
      </c>
      <c r="C239" s="1" t="s">
        <v>74</v>
      </c>
      <c r="D239" s="1" t="s">
        <v>74</v>
      </c>
      <c r="E239" s="1" t="s">
        <v>74</v>
      </c>
      <c r="F239" s="1" t="s">
        <v>2557</v>
      </c>
      <c r="G239" s="1" t="s">
        <v>74</v>
      </c>
      <c r="H239" s="1" t="s">
        <v>74</v>
      </c>
      <c r="I239" s="1" t="s">
        <v>2558</v>
      </c>
      <c r="J239" s="1" t="s">
        <v>2559</v>
      </c>
      <c r="K239" s="1" t="s">
        <v>74</v>
      </c>
      <c r="L239" s="1" t="s">
        <v>74</v>
      </c>
      <c r="M239" s="1" t="s">
        <v>74</v>
      </c>
      <c r="N239" s="1" t="s">
        <v>74</v>
      </c>
      <c r="O239" s="1" t="s">
        <v>74</v>
      </c>
      <c r="P239" s="1" t="s">
        <v>74</v>
      </c>
      <c r="Q239" s="1" t="s">
        <v>74</v>
      </c>
      <c r="R239" s="1" t="s">
        <v>74</v>
      </c>
      <c r="S239" s="1" t="s">
        <v>74</v>
      </c>
      <c r="T239" s="1" t="s">
        <v>74</v>
      </c>
      <c r="U239" s="1" t="s">
        <v>74</v>
      </c>
      <c r="V239" s="1" t="s">
        <v>2560</v>
      </c>
      <c r="W239" s="1" t="s">
        <v>74</v>
      </c>
      <c r="X239" s="1" t="s">
        <v>74</v>
      </c>
      <c r="Y239" s="1" t="s">
        <v>74</v>
      </c>
      <c r="Z239" s="1" t="s">
        <v>74</v>
      </c>
      <c r="AA239" s="1" t="s">
        <v>2561</v>
      </c>
      <c r="AB239" s="1" t="s">
        <v>2562</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2563</v>
      </c>
      <c r="AP239" s="1" t="s">
        <v>2564</v>
      </c>
      <c r="AQ239" s="1" t="s">
        <v>74</v>
      </c>
      <c r="AR239" s="1" t="s">
        <v>74</v>
      </c>
      <c r="AS239" s="1" t="s">
        <v>74</v>
      </c>
      <c r="AT239" s="1" t="s">
        <v>567</v>
      </c>
      <c r="AU239" s="1">
        <v>2022.0</v>
      </c>
      <c r="AV239" s="1">
        <v>39.0</v>
      </c>
      <c r="AW239" s="1" t="s">
        <v>2565</v>
      </c>
      <c r="AX239" s="1" t="s">
        <v>74</v>
      </c>
      <c r="AY239" s="1" t="s">
        <v>74</v>
      </c>
      <c r="AZ239" s="1" t="s">
        <v>496</v>
      </c>
      <c r="BA239" s="1" t="s">
        <v>74</v>
      </c>
      <c r="BB239" s="1">
        <v>4.0</v>
      </c>
      <c r="BC239" s="1">
        <v>24.0</v>
      </c>
      <c r="BD239" s="1" t="s">
        <v>74</v>
      </c>
      <c r="BE239" s="1" t="s">
        <v>2566</v>
      </c>
      <c r="BF239" s="2" t="str">
        <f>HYPERLINK("http://dx.doi.org/10.1002/yea.3699","http://dx.doi.org/10.1002/yea.3699")</f>
        <v>http://dx.doi.org/10.1002/yea.3699</v>
      </c>
      <c r="BG239" s="1" t="s">
        <v>74</v>
      </c>
      <c r="BH239" s="1" t="s">
        <v>749</v>
      </c>
      <c r="BI239" s="1" t="s">
        <v>74</v>
      </c>
      <c r="BJ239" s="1" t="s">
        <v>74</v>
      </c>
      <c r="BK239" s="1" t="s">
        <v>74</v>
      </c>
      <c r="BL239" s="1" t="s">
        <v>74</v>
      </c>
      <c r="BM239" s="1" t="s">
        <v>74</v>
      </c>
      <c r="BN239" s="1">
        <v>3.5146791E7</v>
      </c>
      <c r="BO239" s="1" t="s">
        <v>74</v>
      </c>
      <c r="BP239" s="1" t="s">
        <v>74</v>
      </c>
      <c r="BQ239" s="1" t="s">
        <v>74</v>
      </c>
      <c r="BR239" s="1" t="s">
        <v>74</v>
      </c>
      <c r="BS239" s="1" t="s">
        <v>2567</v>
      </c>
      <c r="BT239" s="1" t="str">
        <f>HYPERLINK("https%3A%2F%2Fwww.webofscience.com%2Fwos%2Fwoscc%2Ffull-record%2FWOS:000757166600001","View Full Record in Web of Science")</f>
        <v>View Full Record in Web of Science</v>
      </c>
    </row>
    <row r="240" ht="12.75" customHeight="1">
      <c r="A240" s="1" t="s">
        <v>72</v>
      </c>
      <c r="B240" s="1" t="s">
        <v>2568</v>
      </c>
      <c r="C240" s="1" t="s">
        <v>74</v>
      </c>
      <c r="D240" s="1" t="s">
        <v>74</v>
      </c>
      <c r="E240" s="1" t="s">
        <v>74</v>
      </c>
      <c r="F240" s="1" t="s">
        <v>2569</v>
      </c>
      <c r="G240" s="1" t="s">
        <v>74</v>
      </c>
      <c r="H240" s="1" t="s">
        <v>74</v>
      </c>
      <c r="I240" s="1" t="s">
        <v>2570</v>
      </c>
      <c r="J240" s="1" t="s">
        <v>2571</v>
      </c>
      <c r="K240" s="1" t="s">
        <v>74</v>
      </c>
      <c r="L240" s="1" t="s">
        <v>74</v>
      </c>
      <c r="M240" s="1" t="s">
        <v>74</v>
      </c>
      <c r="N240" s="1" t="s">
        <v>74</v>
      </c>
      <c r="O240" s="1" t="s">
        <v>74</v>
      </c>
      <c r="P240" s="1" t="s">
        <v>74</v>
      </c>
      <c r="Q240" s="1" t="s">
        <v>74</v>
      </c>
      <c r="R240" s="1" t="s">
        <v>74</v>
      </c>
      <c r="S240" s="1" t="s">
        <v>74</v>
      </c>
      <c r="T240" s="1" t="s">
        <v>74</v>
      </c>
      <c r="U240" s="1" t="s">
        <v>74</v>
      </c>
      <c r="V240" s="1" t="s">
        <v>2572</v>
      </c>
      <c r="W240" s="1" t="s">
        <v>74</v>
      </c>
      <c r="X240" s="1" t="s">
        <v>74</v>
      </c>
      <c r="Y240" s="1" t="s">
        <v>74</v>
      </c>
      <c r="Z240" s="1" t="s">
        <v>74</v>
      </c>
      <c r="AA240" s="1" t="s">
        <v>2573</v>
      </c>
      <c r="AB240" s="1" t="s">
        <v>2574</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2575</v>
      </c>
      <c r="AP240" s="1" t="s">
        <v>2576</v>
      </c>
      <c r="AQ240" s="1" t="s">
        <v>74</v>
      </c>
      <c r="AR240" s="1" t="s">
        <v>74</v>
      </c>
      <c r="AS240" s="1" t="s">
        <v>74</v>
      </c>
      <c r="AT240" s="1" t="s">
        <v>495</v>
      </c>
      <c r="AU240" s="1">
        <v>2022.0</v>
      </c>
      <c r="AV240" s="1">
        <v>29.0</v>
      </c>
      <c r="AW240" s="1">
        <v>2.0</v>
      </c>
      <c r="AX240" s="1" t="s">
        <v>74</v>
      </c>
      <c r="AY240" s="1" t="s">
        <v>74</v>
      </c>
      <c r="AZ240" s="1" t="s">
        <v>74</v>
      </c>
      <c r="BA240" s="1" t="s">
        <v>74</v>
      </c>
      <c r="BB240" s="1">
        <v>613.0</v>
      </c>
      <c r="BC240" s="1">
        <v>626.0</v>
      </c>
      <c r="BD240" s="1" t="s">
        <v>74</v>
      </c>
      <c r="BE240" s="1" t="s">
        <v>2577</v>
      </c>
      <c r="BF240" s="2" t="str">
        <f>HYPERLINK("http://dx.doi.org/10.3758/s13423-021-01927-8","http://dx.doi.org/10.3758/s13423-021-01927-8")</f>
        <v>http://dx.doi.org/10.3758/s13423-021-01927-8</v>
      </c>
      <c r="BG240" s="1" t="s">
        <v>74</v>
      </c>
      <c r="BH240" s="1" t="s">
        <v>510</v>
      </c>
      <c r="BI240" s="1" t="s">
        <v>74</v>
      </c>
      <c r="BJ240" s="1" t="s">
        <v>74</v>
      </c>
      <c r="BK240" s="1" t="s">
        <v>74</v>
      </c>
      <c r="BL240" s="1" t="s">
        <v>74</v>
      </c>
      <c r="BM240" s="1" t="s">
        <v>74</v>
      </c>
      <c r="BN240" s="1">
        <v>3.4755319E7</v>
      </c>
      <c r="BO240" s="1" t="s">
        <v>74</v>
      </c>
      <c r="BP240" s="1" t="s">
        <v>74</v>
      </c>
      <c r="BQ240" s="1" t="s">
        <v>74</v>
      </c>
      <c r="BR240" s="1" t="s">
        <v>74</v>
      </c>
      <c r="BS240" s="1" t="s">
        <v>2578</v>
      </c>
      <c r="BT240" s="1" t="str">
        <f>HYPERLINK("https%3A%2F%2Fwww.webofscience.com%2Fwos%2Fwoscc%2Ffull-record%2FWOS:000716231200001","View Full Record in Web of Science")</f>
        <v>View Full Record in Web of Science</v>
      </c>
    </row>
    <row r="241" ht="12.75" customHeight="1">
      <c r="A241" s="1" t="s">
        <v>72</v>
      </c>
      <c r="B241" s="1" t="s">
        <v>2579</v>
      </c>
      <c r="C241" s="1" t="s">
        <v>74</v>
      </c>
      <c r="D241" s="1" t="s">
        <v>74</v>
      </c>
      <c r="E241" s="1" t="s">
        <v>74</v>
      </c>
      <c r="F241" s="1" t="s">
        <v>2580</v>
      </c>
      <c r="G241" s="1" t="s">
        <v>74</v>
      </c>
      <c r="H241" s="1" t="s">
        <v>74</v>
      </c>
      <c r="I241" s="1" t="s">
        <v>2581</v>
      </c>
      <c r="J241" s="1" t="s">
        <v>813</v>
      </c>
      <c r="K241" s="1" t="s">
        <v>74</v>
      </c>
      <c r="L241" s="1" t="s">
        <v>74</v>
      </c>
      <c r="M241" s="1" t="s">
        <v>74</v>
      </c>
      <c r="N241" s="1" t="s">
        <v>74</v>
      </c>
      <c r="O241" s="1" t="s">
        <v>74</v>
      </c>
      <c r="P241" s="1" t="s">
        <v>74</v>
      </c>
      <c r="Q241" s="1" t="s">
        <v>74</v>
      </c>
      <c r="R241" s="1" t="s">
        <v>74</v>
      </c>
      <c r="S241" s="1" t="s">
        <v>74</v>
      </c>
      <c r="T241" s="1" t="s">
        <v>74</v>
      </c>
      <c r="U241" s="1" t="s">
        <v>74</v>
      </c>
      <c r="V241" s="1" t="s">
        <v>2582</v>
      </c>
      <c r="W241" s="1" t="s">
        <v>74</v>
      </c>
      <c r="X241" s="1" t="s">
        <v>74</v>
      </c>
      <c r="Y241" s="1" t="s">
        <v>74</v>
      </c>
      <c r="Z241" s="1" t="s">
        <v>74</v>
      </c>
      <c r="AA241" s="1" t="s">
        <v>2583</v>
      </c>
      <c r="AB241" s="1" t="s">
        <v>2584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817</v>
      </c>
      <c r="AP241" s="1" t="s">
        <v>818</v>
      </c>
      <c r="AQ241" s="1" t="s">
        <v>74</v>
      </c>
      <c r="AR241" s="1" t="s">
        <v>74</v>
      </c>
      <c r="AS241" s="1" t="s">
        <v>74</v>
      </c>
      <c r="AT241" s="1" t="s">
        <v>655</v>
      </c>
      <c r="AU241" s="1">
        <v>2024.0</v>
      </c>
      <c r="AV241" s="1">
        <v>681.0</v>
      </c>
      <c r="AW241" s="1" t="s">
        <v>74</v>
      </c>
      <c r="AX241" s="1" t="s">
        <v>74</v>
      </c>
      <c r="AY241" s="1" t="s">
        <v>74</v>
      </c>
      <c r="AZ241" s="1" t="s">
        <v>74</v>
      </c>
      <c r="BA241" s="1" t="s">
        <v>74</v>
      </c>
      <c r="BB241" s="1" t="s">
        <v>74</v>
      </c>
      <c r="BC241" s="1" t="s">
        <v>74</v>
      </c>
      <c r="BD241" s="1" t="s">
        <v>2585</v>
      </c>
      <c r="BE241" s="1" t="s">
        <v>2586</v>
      </c>
      <c r="BF241" s="2" t="str">
        <f>HYPERLINK("http://dx.doi.org/10.1051/0004-6361/202347632","http://dx.doi.org/10.1051/0004-6361/202347632")</f>
        <v>http://dx.doi.org/10.1051/0004-6361/202347632</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2587</v>
      </c>
      <c r="BT241" s="1" t="str">
        <f>HYPERLINK("https%3A%2F%2Fwww.webofscience.com%2Fwos%2Fwoscc%2Ffull-record%2FWOS:001138829400002","View Full Record in Web of Science")</f>
        <v>View Full Record in Web of Science</v>
      </c>
    </row>
    <row r="242" ht="12.75" customHeight="1">
      <c r="A242" s="1" t="s">
        <v>72</v>
      </c>
      <c r="B242" s="1" t="s">
        <v>2588</v>
      </c>
      <c r="C242" s="1" t="s">
        <v>74</v>
      </c>
      <c r="D242" s="1" t="s">
        <v>74</v>
      </c>
      <c r="E242" s="1" t="s">
        <v>74</v>
      </c>
      <c r="F242" s="1" t="s">
        <v>2589</v>
      </c>
      <c r="G242" s="1" t="s">
        <v>74</v>
      </c>
      <c r="H242" s="1" t="s">
        <v>74</v>
      </c>
      <c r="I242" s="1" t="s">
        <v>2590</v>
      </c>
      <c r="J242" s="1" t="s">
        <v>2591</v>
      </c>
      <c r="K242" s="1" t="s">
        <v>74</v>
      </c>
      <c r="L242" s="1" t="s">
        <v>74</v>
      </c>
      <c r="M242" s="1" t="s">
        <v>74</v>
      </c>
      <c r="N242" s="1" t="s">
        <v>74</v>
      </c>
      <c r="O242" s="1" t="s">
        <v>74</v>
      </c>
      <c r="P242" s="1" t="s">
        <v>74</v>
      </c>
      <c r="Q242" s="1" t="s">
        <v>74</v>
      </c>
      <c r="R242" s="1" t="s">
        <v>74</v>
      </c>
      <c r="S242" s="1" t="s">
        <v>74</v>
      </c>
      <c r="T242" s="1" t="s">
        <v>74</v>
      </c>
      <c r="U242" s="1" t="s">
        <v>74</v>
      </c>
      <c r="V242" s="1" t="s">
        <v>2592</v>
      </c>
      <c r="W242" s="1" t="s">
        <v>74</v>
      </c>
      <c r="X242" s="1" t="s">
        <v>74</v>
      </c>
      <c r="Y242" s="1" t="s">
        <v>74</v>
      </c>
      <c r="Z242" s="1" t="s">
        <v>74</v>
      </c>
      <c r="AA242" s="1" t="s">
        <v>2593</v>
      </c>
      <c r="AB242" s="1" t="s">
        <v>2594</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2595</v>
      </c>
      <c r="AP242" s="1" t="s">
        <v>2596</v>
      </c>
      <c r="AQ242" s="1" t="s">
        <v>74</v>
      </c>
      <c r="AR242" s="1" t="s">
        <v>74</v>
      </c>
      <c r="AS242" s="1" t="s">
        <v>74</v>
      </c>
      <c r="AT242" s="1" t="s">
        <v>344</v>
      </c>
      <c r="AU242" s="1">
        <v>2023.0</v>
      </c>
      <c r="AV242" s="1">
        <v>61.0</v>
      </c>
      <c r="AW242" s="1">
        <v>3.0</v>
      </c>
      <c r="AX242" s="1" t="s">
        <v>74</v>
      </c>
      <c r="AY242" s="1" t="s">
        <v>74</v>
      </c>
      <c r="AZ242" s="1" t="s">
        <v>74</v>
      </c>
      <c r="BA242" s="1" t="s">
        <v>74</v>
      </c>
      <c r="BB242" s="1" t="s">
        <v>74</v>
      </c>
      <c r="BC242" s="1" t="s">
        <v>74</v>
      </c>
      <c r="BD242" s="1" t="s">
        <v>2597</v>
      </c>
      <c r="BE242" s="1" t="s">
        <v>2598</v>
      </c>
      <c r="BF242" s="2" t="str">
        <f>HYPERLINK("http://dx.doi.org/10.1029/2022RG000793","http://dx.doi.org/10.1029/2022RG000793")</f>
        <v>http://dx.doi.org/10.1029/2022RG000793</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2599</v>
      </c>
      <c r="BT242" s="1" t="str">
        <f>HYPERLINK("https%3A%2F%2Fwww.webofscience.com%2Fwos%2Fwoscc%2Ffull-record%2FWOS:001025964000001","View Full Record in Web of Science")</f>
        <v>View Full Record in Web of Science</v>
      </c>
    </row>
    <row r="243" ht="12.75" customHeight="1">
      <c r="A243" s="1" t="s">
        <v>72</v>
      </c>
      <c r="B243" s="1" t="s">
        <v>2600</v>
      </c>
      <c r="C243" s="1" t="s">
        <v>74</v>
      </c>
      <c r="D243" s="1" t="s">
        <v>74</v>
      </c>
      <c r="E243" s="1" t="s">
        <v>74</v>
      </c>
      <c r="F243" s="1" t="s">
        <v>2601</v>
      </c>
      <c r="G243" s="1" t="s">
        <v>74</v>
      </c>
      <c r="H243" s="1" t="s">
        <v>2602</v>
      </c>
      <c r="I243" s="1" t="s">
        <v>2603</v>
      </c>
      <c r="J243" s="1" t="s">
        <v>2604</v>
      </c>
      <c r="K243" s="1" t="s">
        <v>74</v>
      </c>
      <c r="L243" s="1" t="s">
        <v>74</v>
      </c>
      <c r="M243" s="1" t="s">
        <v>74</v>
      </c>
      <c r="N243" s="1" t="s">
        <v>74</v>
      </c>
      <c r="O243" s="1" t="s">
        <v>74</v>
      </c>
      <c r="P243" s="1" t="s">
        <v>74</v>
      </c>
      <c r="Q243" s="1" t="s">
        <v>74</v>
      </c>
      <c r="R243" s="1" t="s">
        <v>74</v>
      </c>
      <c r="S243" s="1" t="s">
        <v>74</v>
      </c>
      <c r="T243" s="1" t="s">
        <v>74</v>
      </c>
      <c r="U243" s="1" t="s">
        <v>74</v>
      </c>
      <c r="V243" s="1" t="s">
        <v>2605</v>
      </c>
      <c r="W243" s="1" t="s">
        <v>74</v>
      </c>
      <c r="X243" s="1" t="s">
        <v>74</v>
      </c>
      <c r="Y243" s="1" t="s">
        <v>74</v>
      </c>
      <c r="Z243" s="1" t="s">
        <v>74</v>
      </c>
      <c r="AA243" s="1" t="s">
        <v>2606</v>
      </c>
      <c r="AB243" s="1" t="s">
        <v>2607</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2608</v>
      </c>
      <c r="AP243" s="1" t="s">
        <v>74</v>
      </c>
      <c r="AQ243" s="1" t="s">
        <v>74</v>
      </c>
      <c r="AR243" s="1" t="s">
        <v>74</v>
      </c>
      <c r="AS243" s="1" t="s">
        <v>74</v>
      </c>
      <c r="AT243" s="1" t="s">
        <v>2609</v>
      </c>
      <c r="AU243" s="1">
        <v>2017.0</v>
      </c>
      <c r="AV243" s="1">
        <v>18.0</v>
      </c>
      <c r="AW243" s="1" t="s">
        <v>74</v>
      </c>
      <c r="AX243" s="1" t="s">
        <v>74</v>
      </c>
      <c r="AY243" s="1" t="s">
        <v>74</v>
      </c>
      <c r="AZ243" s="1" t="s">
        <v>74</v>
      </c>
      <c r="BA243" s="1" t="s">
        <v>74</v>
      </c>
      <c r="BB243" s="1" t="s">
        <v>74</v>
      </c>
      <c r="BC243" s="1" t="s">
        <v>74</v>
      </c>
      <c r="BD243" s="1">
        <v>484.0</v>
      </c>
      <c r="BE243" s="1" t="s">
        <v>2610</v>
      </c>
      <c r="BF243" s="2" t="str">
        <f>HYPERLINK("http://dx.doi.org/10.1186/s12864-017-3862-8","http://dx.doi.org/10.1186/s12864-017-3862-8")</f>
        <v>http://dx.doi.org/10.1186/s12864-017-3862-8</v>
      </c>
      <c r="BG243" s="1" t="s">
        <v>74</v>
      </c>
      <c r="BH243" s="1" t="s">
        <v>74</v>
      </c>
      <c r="BI243" s="1" t="s">
        <v>74</v>
      </c>
      <c r="BJ243" s="1" t="s">
        <v>74</v>
      </c>
      <c r="BK243" s="1" t="s">
        <v>74</v>
      </c>
      <c r="BL243" s="1" t="s">
        <v>74</v>
      </c>
      <c r="BM243" s="1" t="s">
        <v>74</v>
      </c>
      <c r="BN243" s="1">
        <v>2.865532E7</v>
      </c>
      <c r="BO243" s="1" t="s">
        <v>74</v>
      </c>
      <c r="BP243" s="1" t="s">
        <v>74</v>
      </c>
      <c r="BQ243" s="1" t="s">
        <v>74</v>
      </c>
      <c r="BR243" s="1" t="s">
        <v>74</v>
      </c>
      <c r="BS243" s="1" t="s">
        <v>2611</v>
      </c>
      <c r="BT243" s="1" t="str">
        <f>HYPERLINK("https%3A%2F%2Fwww.webofscience.com%2Fwos%2Fwoscc%2Ffull-record%2FWOS:000405443700001","View Full Record in Web of Science")</f>
        <v>View Full Record in Web of Science</v>
      </c>
    </row>
    <row r="244" ht="12.75" customHeight="1">
      <c r="A244" s="1" t="s">
        <v>72</v>
      </c>
      <c r="B244" s="1" t="s">
        <v>2612</v>
      </c>
      <c r="C244" s="1" t="s">
        <v>74</v>
      </c>
      <c r="D244" s="1" t="s">
        <v>74</v>
      </c>
      <c r="E244" s="1" t="s">
        <v>74</v>
      </c>
      <c r="F244" s="1" t="s">
        <v>2613</v>
      </c>
      <c r="G244" s="1" t="s">
        <v>74</v>
      </c>
      <c r="H244" s="1" t="s">
        <v>74</v>
      </c>
      <c r="I244" s="1" t="s">
        <v>2614</v>
      </c>
      <c r="J244" s="1" t="s">
        <v>1148</v>
      </c>
      <c r="K244" s="1" t="s">
        <v>74</v>
      </c>
      <c r="L244" s="1" t="s">
        <v>74</v>
      </c>
      <c r="M244" s="1" t="s">
        <v>74</v>
      </c>
      <c r="N244" s="1" t="s">
        <v>74</v>
      </c>
      <c r="O244" s="1" t="s">
        <v>74</v>
      </c>
      <c r="P244" s="1" t="s">
        <v>74</v>
      </c>
      <c r="Q244" s="1" t="s">
        <v>74</v>
      </c>
      <c r="R244" s="1" t="s">
        <v>74</v>
      </c>
      <c r="S244" s="1" t="s">
        <v>74</v>
      </c>
      <c r="T244" s="1" t="s">
        <v>74</v>
      </c>
      <c r="U244" s="1" t="s">
        <v>74</v>
      </c>
      <c r="V244" s="1" t="s">
        <v>2615</v>
      </c>
      <c r="W244" s="1" t="s">
        <v>74</v>
      </c>
      <c r="X244" s="1" t="s">
        <v>74</v>
      </c>
      <c r="Y244" s="1" t="s">
        <v>74</v>
      </c>
      <c r="Z244" s="1" t="s">
        <v>74</v>
      </c>
      <c r="AA244" s="1" t="s">
        <v>2616</v>
      </c>
      <c r="AB244" s="1" t="s">
        <v>2617</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1152</v>
      </c>
      <c r="AP244" s="1" t="s">
        <v>1153</v>
      </c>
      <c r="AQ244" s="1" t="s">
        <v>74</v>
      </c>
      <c r="AR244" s="1" t="s">
        <v>74</v>
      </c>
      <c r="AS244" s="1" t="s">
        <v>74</v>
      </c>
      <c r="AT244" s="1" t="s">
        <v>200</v>
      </c>
      <c r="AU244" s="1">
        <v>2024.0</v>
      </c>
      <c r="AV244" s="1">
        <v>20.0</v>
      </c>
      <c r="AW244" s="1">
        <v>7.0</v>
      </c>
      <c r="AX244" s="1" t="s">
        <v>74</v>
      </c>
      <c r="AY244" s="1" t="s">
        <v>74</v>
      </c>
      <c r="AZ244" s="1" t="s">
        <v>74</v>
      </c>
      <c r="BA244" s="1" t="s">
        <v>74</v>
      </c>
      <c r="BB244" s="1">
        <v>5009.0</v>
      </c>
      <c r="BC244" s="1">
        <v>5026.0</v>
      </c>
      <c r="BD244" s="1" t="s">
        <v>74</v>
      </c>
      <c r="BE244" s="1" t="s">
        <v>2618</v>
      </c>
      <c r="BF244" s="2" t="str">
        <f>HYPERLINK("http://dx.doi.org/10.1002/alz.13850","http://dx.doi.org/10.1002/alz.13850")</f>
        <v>http://dx.doi.org/10.1002/alz.13850</v>
      </c>
      <c r="BG244" s="1" t="s">
        <v>74</v>
      </c>
      <c r="BH244" s="1" t="s">
        <v>1251</v>
      </c>
      <c r="BI244" s="1" t="s">
        <v>74</v>
      </c>
      <c r="BJ244" s="1" t="s">
        <v>74</v>
      </c>
      <c r="BK244" s="1" t="s">
        <v>74</v>
      </c>
      <c r="BL244" s="1" t="s">
        <v>74</v>
      </c>
      <c r="BM244" s="1" t="s">
        <v>74</v>
      </c>
      <c r="BN244" s="1">
        <v>3.8801124E7</v>
      </c>
      <c r="BO244" s="1" t="s">
        <v>74</v>
      </c>
      <c r="BP244" s="1" t="s">
        <v>74</v>
      </c>
      <c r="BQ244" s="1" t="s">
        <v>74</v>
      </c>
      <c r="BR244" s="1" t="s">
        <v>74</v>
      </c>
      <c r="BS244" s="1" t="s">
        <v>2619</v>
      </c>
      <c r="BT244" s="1" t="str">
        <f>HYPERLINK("https%3A%2F%2Fwww.webofscience.com%2Fwos%2Fwoscc%2Ffull-record%2FWOS:001236238500001","View Full Record in Web of Science")</f>
        <v>View Full Record in Web of Science</v>
      </c>
    </row>
    <row r="245" ht="12.75" customHeight="1">
      <c r="A245" s="1" t="s">
        <v>72</v>
      </c>
      <c r="B245" s="1" t="s">
        <v>2620</v>
      </c>
      <c r="C245" s="1" t="s">
        <v>74</v>
      </c>
      <c r="D245" s="1" t="s">
        <v>74</v>
      </c>
      <c r="E245" s="1" t="s">
        <v>74</v>
      </c>
      <c r="F245" s="1" t="s">
        <v>2621</v>
      </c>
      <c r="G245" s="1" t="s">
        <v>74</v>
      </c>
      <c r="H245" s="1" t="s">
        <v>74</v>
      </c>
      <c r="I245" s="1" t="s">
        <v>2622</v>
      </c>
      <c r="J245" s="1" t="s">
        <v>684</v>
      </c>
      <c r="K245" s="1" t="s">
        <v>74</v>
      </c>
      <c r="L245" s="1" t="s">
        <v>74</v>
      </c>
      <c r="M245" s="1" t="s">
        <v>74</v>
      </c>
      <c r="N245" s="1" t="s">
        <v>74</v>
      </c>
      <c r="O245" s="1" t="s">
        <v>74</v>
      </c>
      <c r="P245" s="1" t="s">
        <v>74</v>
      </c>
      <c r="Q245" s="1" t="s">
        <v>74</v>
      </c>
      <c r="R245" s="1" t="s">
        <v>74</v>
      </c>
      <c r="S245" s="1" t="s">
        <v>74</v>
      </c>
      <c r="T245" s="1" t="s">
        <v>74</v>
      </c>
      <c r="U245" s="1" t="s">
        <v>74</v>
      </c>
      <c r="V245" s="1" t="s">
        <v>2623</v>
      </c>
      <c r="W245" s="1" t="s">
        <v>74</v>
      </c>
      <c r="X245" s="1" t="s">
        <v>74</v>
      </c>
      <c r="Y245" s="1" t="s">
        <v>74</v>
      </c>
      <c r="Z245" s="1" t="s">
        <v>74</v>
      </c>
      <c r="AA245" s="1" t="s">
        <v>2624</v>
      </c>
      <c r="AB245" s="1" t="s">
        <v>2625</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688</v>
      </c>
      <c r="AP245" s="1" t="s">
        <v>689</v>
      </c>
      <c r="AQ245" s="1" t="s">
        <v>74</v>
      </c>
      <c r="AR245" s="1" t="s">
        <v>74</v>
      </c>
      <c r="AS245" s="1" t="s">
        <v>74</v>
      </c>
      <c r="AT245" s="1" t="s">
        <v>567</v>
      </c>
      <c r="AU245" s="1">
        <v>2020.0</v>
      </c>
      <c r="AV245" s="1">
        <v>159.0</v>
      </c>
      <c r="AW245" s="1">
        <v>1.0</v>
      </c>
      <c r="AX245" s="1" t="s">
        <v>74</v>
      </c>
      <c r="AY245" s="1" t="s">
        <v>74</v>
      </c>
      <c r="AZ245" s="1" t="s">
        <v>74</v>
      </c>
      <c r="BA245" s="1" t="s">
        <v>74</v>
      </c>
      <c r="BB245" s="1" t="s">
        <v>74</v>
      </c>
      <c r="BC245" s="1" t="s">
        <v>74</v>
      </c>
      <c r="BD245" s="1">
        <v>12.0</v>
      </c>
      <c r="BE245" s="1" t="s">
        <v>2626</v>
      </c>
      <c r="BF245" s="2" t="str">
        <f>HYPERLINK("http://dx.doi.org/10.3847/1538-3881/ab5850","http://dx.doi.org/10.3847/1538-3881/ab5850")</f>
        <v>http://dx.doi.org/10.3847/1538-3881/ab5850</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2627</v>
      </c>
      <c r="BT245" s="1" t="str">
        <f>HYPERLINK("https%3A%2F%2Fwww.webofscience.com%2Fwos%2Fwoscc%2Ffull-record%2FWOS:000555473100012","View Full Record in Web of Science")</f>
        <v>View Full Record in Web of Science</v>
      </c>
    </row>
    <row r="246" ht="12.75" customHeight="1">
      <c r="A246" s="1" t="s">
        <v>72</v>
      </c>
      <c r="B246" s="1" t="s">
        <v>2628</v>
      </c>
      <c r="C246" s="1" t="s">
        <v>74</v>
      </c>
      <c r="D246" s="1" t="s">
        <v>74</v>
      </c>
      <c r="E246" s="1" t="s">
        <v>74</v>
      </c>
      <c r="F246" s="1" t="s">
        <v>2629</v>
      </c>
      <c r="G246" s="1" t="s">
        <v>74</v>
      </c>
      <c r="H246" s="1" t="s">
        <v>74</v>
      </c>
      <c r="I246" s="1" t="s">
        <v>2630</v>
      </c>
      <c r="J246" s="1" t="s">
        <v>406</v>
      </c>
      <c r="K246" s="1" t="s">
        <v>74</v>
      </c>
      <c r="L246" s="1" t="s">
        <v>74</v>
      </c>
      <c r="M246" s="1" t="s">
        <v>74</v>
      </c>
      <c r="N246" s="1" t="s">
        <v>74</v>
      </c>
      <c r="O246" s="1" t="s">
        <v>74</v>
      </c>
      <c r="P246" s="1" t="s">
        <v>74</v>
      </c>
      <c r="Q246" s="1" t="s">
        <v>74</v>
      </c>
      <c r="R246" s="1" t="s">
        <v>74</v>
      </c>
      <c r="S246" s="1" t="s">
        <v>74</v>
      </c>
      <c r="T246" s="1" t="s">
        <v>74</v>
      </c>
      <c r="U246" s="1" t="s">
        <v>74</v>
      </c>
      <c r="V246" s="1" t="s">
        <v>2631</v>
      </c>
      <c r="W246" s="1" t="s">
        <v>74</v>
      </c>
      <c r="X246" s="1" t="s">
        <v>74</v>
      </c>
      <c r="Y246" s="1" t="s">
        <v>74</v>
      </c>
      <c r="Z246" s="1" t="s">
        <v>74</v>
      </c>
      <c r="AA246" s="1" t="s">
        <v>2632</v>
      </c>
      <c r="AB246" s="1" t="s">
        <v>2633</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410</v>
      </c>
      <c r="AP246" s="1" t="s">
        <v>74</v>
      </c>
      <c r="AQ246" s="1" t="s">
        <v>74</v>
      </c>
      <c r="AR246" s="1" t="s">
        <v>74</v>
      </c>
      <c r="AS246" s="1" t="s">
        <v>74</v>
      </c>
      <c r="AT246" s="1" t="s">
        <v>2634</v>
      </c>
      <c r="AU246" s="1">
        <v>2023.0</v>
      </c>
      <c r="AV246" s="1">
        <v>13.0</v>
      </c>
      <c r="AW246" s="1">
        <v>1.0</v>
      </c>
      <c r="AX246" s="1" t="s">
        <v>74</v>
      </c>
      <c r="AY246" s="1" t="s">
        <v>74</v>
      </c>
      <c r="AZ246" s="1" t="s">
        <v>74</v>
      </c>
      <c r="BA246" s="1" t="s">
        <v>74</v>
      </c>
      <c r="BB246" s="1" t="s">
        <v>74</v>
      </c>
      <c r="BC246" s="1" t="s">
        <v>74</v>
      </c>
      <c r="BD246" s="1">
        <v>4969.0</v>
      </c>
      <c r="BE246" s="1" t="s">
        <v>2635</v>
      </c>
      <c r="BF246" s="2" t="str">
        <f>HYPERLINK("http://dx.doi.org/10.1038/s41598-023-29655-0","http://dx.doi.org/10.1038/s41598-023-29655-0")</f>
        <v>http://dx.doi.org/10.1038/s41598-023-29655-0</v>
      </c>
      <c r="BG246" s="1" t="s">
        <v>74</v>
      </c>
      <c r="BH246" s="1" t="s">
        <v>74</v>
      </c>
      <c r="BI246" s="1" t="s">
        <v>74</v>
      </c>
      <c r="BJ246" s="1" t="s">
        <v>74</v>
      </c>
      <c r="BK246" s="1" t="s">
        <v>74</v>
      </c>
      <c r="BL246" s="1" t="s">
        <v>74</v>
      </c>
      <c r="BM246" s="1" t="s">
        <v>74</v>
      </c>
      <c r="BN246" s="1">
        <v>3.7041216E7</v>
      </c>
      <c r="BO246" s="1" t="s">
        <v>74</v>
      </c>
      <c r="BP246" s="1" t="s">
        <v>74</v>
      </c>
      <c r="BQ246" s="1" t="s">
        <v>74</v>
      </c>
      <c r="BR246" s="1" t="s">
        <v>74</v>
      </c>
      <c r="BS246" s="1" t="s">
        <v>2636</v>
      </c>
      <c r="BT246" s="1" t="str">
        <f>HYPERLINK("https%3A%2F%2Fwww.webofscience.com%2Fwos%2Fwoscc%2Ffull-record%2FWOS:000989630700051","View Full Record in Web of Science")</f>
        <v>View Full Record in Web of Science</v>
      </c>
    </row>
    <row r="247" ht="12.75" customHeight="1">
      <c r="A247" s="1" t="s">
        <v>72</v>
      </c>
      <c r="B247" s="1" t="s">
        <v>2637</v>
      </c>
      <c r="C247" s="1" t="s">
        <v>74</v>
      </c>
      <c r="D247" s="1" t="s">
        <v>74</v>
      </c>
      <c r="E247" s="1" t="s">
        <v>74</v>
      </c>
      <c r="F247" s="1" t="s">
        <v>2638</v>
      </c>
      <c r="G247" s="1" t="s">
        <v>74</v>
      </c>
      <c r="H247" s="1" t="s">
        <v>74</v>
      </c>
      <c r="I247" s="1" t="s">
        <v>2639</v>
      </c>
      <c r="J247" s="1" t="s">
        <v>1871</v>
      </c>
      <c r="K247" s="1" t="s">
        <v>74</v>
      </c>
      <c r="L247" s="1" t="s">
        <v>74</v>
      </c>
      <c r="M247" s="1" t="s">
        <v>74</v>
      </c>
      <c r="N247" s="1" t="s">
        <v>74</v>
      </c>
      <c r="O247" s="1" t="s">
        <v>74</v>
      </c>
      <c r="P247" s="1" t="s">
        <v>74</v>
      </c>
      <c r="Q247" s="1" t="s">
        <v>74</v>
      </c>
      <c r="R247" s="1" t="s">
        <v>74</v>
      </c>
      <c r="S247" s="1" t="s">
        <v>74</v>
      </c>
      <c r="T247" s="1" t="s">
        <v>74</v>
      </c>
      <c r="U247" s="1" t="s">
        <v>74</v>
      </c>
      <c r="V247" s="1" t="s">
        <v>2640</v>
      </c>
      <c r="W247" s="1" t="s">
        <v>74</v>
      </c>
      <c r="X247" s="1" t="s">
        <v>74</v>
      </c>
      <c r="Y247" s="1" t="s">
        <v>74</v>
      </c>
      <c r="Z247" s="1" t="s">
        <v>74</v>
      </c>
      <c r="AA247" s="1" t="s">
        <v>2641</v>
      </c>
      <c r="AB247" s="1" t="s">
        <v>2642</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1875</v>
      </c>
      <c r="AP247" s="1" t="s">
        <v>74</v>
      </c>
      <c r="AQ247" s="1" t="s">
        <v>74</v>
      </c>
      <c r="AR247" s="1" t="s">
        <v>74</v>
      </c>
      <c r="AS247" s="1" t="s">
        <v>74</v>
      </c>
      <c r="AT247" s="1" t="s">
        <v>2643</v>
      </c>
      <c r="AU247" s="1">
        <v>2012.0</v>
      </c>
      <c r="AV247" s="1">
        <v>109.0</v>
      </c>
      <c r="AW247" s="1">
        <v>14.0</v>
      </c>
      <c r="AX247" s="1" t="s">
        <v>74</v>
      </c>
      <c r="AY247" s="1" t="s">
        <v>74</v>
      </c>
      <c r="AZ247" s="1" t="s">
        <v>74</v>
      </c>
      <c r="BA247" s="1" t="s">
        <v>74</v>
      </c>
      <c r="BB247" s="1">
        <v>5458.0</v>
      </c>
      <c r="BC247" s="1">
        <v>5463.0</v>
      </c>
      <c r="BD247" s="1" t="s">
        <v>74</v>
      </c>
      <c r="BE247" s="1" t="s">
        <v>2644</v>
      </c>
      <c r="BF247" s="2" t="str">
        <f>HYPERLINK("http://dx.doi.org/10.1073/pnas.1119912109","http://dx.doi.org/10.1073/pnas.1119912109")</f>
        <v>http://dx.doi.org/10.1073/pnas.1119912109</v>
      </c>
      <c r="BG247" s="1" t="s">
        <v>74</v>
      </c>
      <c r="BH247" s="1" t="s">
        <v>74</v>
      </c>
      <c r="BI247" s="1" t="s">
        <v>74</v>
      </c>
      <c r="BJ247" s="1" t="s">
        <v>74</v>
      </c>
      <c r="BK247" s="1" t="s">
        <v>74</v>
      </c>
      <c r="BL247" s="1" t="s">
        <v>74</v>
      </c>
      <c r="BM247" s="1" t="s">
        <v>74</v>
      </c>
      <c r="BN247" s="1">
        <v>2.2434909E7</v>
      </c>
      <c r="BO247" s="1" t="s">
        <v>74</v>
      </c>
      <c r="BP247" s="1" t="s">
        <v>74</v>
      </c>
      <c r="BQ247" s="1" t="s">
        <v>74</v>
      </c>
      <c r="BR247" s="1" t="s">
        <v>74</v>
      </c>
      <c r="BS247" s="1" t="s">
        <v>2645</v>
      </c>
      <c r="BT247" s="1" t="str">
        <f>HYPERLINK("https%3A%2F%2Fwww.webofscience.com%2Fwos%2Fwoscc%2Ffull-record%2FWOS:000302294700070","View Full Record in Web of Science")</f>
        <v>View Full Record in Web of Science</v>
      </c>
    </row>
    <row r="248" ht="12.75" customHeight="1">
      <c r="A248" s="1" t="s">
        <v>72</v>
      </c>
      <c r="B248" s="1" t="s">
        <v>2646</v>
      </c>
      <c r="C248" s="1" t="s">
        <v>74</v>
      </c>
      <c r="D248" s="1" t="s">
        <v>74</v>
      </c>
      <c r="E248" s="1" t="s">
        <v>74</v>
      </c>
      <c r="F248" s="1" t="s">
        <v>2647</v>
      </c>
      <c r="G248" s="1" t="s">
        <v>74</v>
      </c>
      <c r="H248" s="1" t="s">
        <v>74</v>
      </c>
      <c r="I248" s="1" t="s">
        <v>2648</v>
      </c>
      <c r="J248" s="1" t="s">
        <v>2277</v>
      </c>
      <c r="K248" s="1" t="s">
        <v>74</v>
      </c>
      <c r="L248" s="1" t="s">
        <v>74</v>
      </c>
      <c r="M248" s="1" t="s">
        <v>74</v>
      </c>
      <c r="N248" s="1" t="s">
        <v>74</v>
      </c>
      <c r="O248" s="1" t="s">
        <v>74</v>
      </c>
      <c r="P248" s="1" t="s">
        <v>74</v>
      </c>
      <c r="Q248" s="1" t="s">
        <v>74</v>
      </c>
      <c r="R248" s="1" t="s">
        <v>74</v>
      </c>
      <c r="S248" s="1" t="s">
        <v>74</v>
      </c>
      <c r="T248" s="1" t="s">
        <v>74</v>
      </c>
      <c r="U248" s="1" t="s">
        <v>74</v>
      </c>
      <c r="V248" s="1" t="s">
        <v>2649</v>
      </c>
      <c r="W248" s="1" t="s">
        <v>74</v>
      </c>
      <c r="X248" s="1" t="s">
        <v>74</v>
      </c>
      <c r="Y248" s="1" t="s">
        <v>74</v>
      </c>
      <c r="Z248" s="1" t="s">
        <v>74</v>
      </c>
      <c r="AA248" s="1" t="s">
        <v>2650</v>
      </c>
      <c r="AB248" s="1" t="s">
        <v>2651</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2281</v>
      </c>
      <c r="AP248" s="1" t="s">
        <v>74</v>
      </c>
      <c r="AQ248" s="1" t="s">
        <v>74</v>
      </c>
      <c r="AR248" s="1" t="s">
        <v>74</v>
      </c>
      <c r="AS248" s="1" t="s">
        <v>74</v>
      </c>
      <c r="AT248" s="1" t="s">
        <v>74</v>
      </c>
      <c r="AU248" s="1">
        <v>2019.0</v>
      </c>
      <c r="AV248" s="1">
        <v>37.0</v>
      </c>
      <c r="AW248" s="1">
        <v>2.0</v>
      </c>
      <c r="AX248" s="1" t="s">
        <v>74</v>
      </c>
      <c r="AY248" s="1" t="s">
        <v>74</v>
      </c>
      <c r="AZ248" s="1" t="s">
        <v>74</v>
      </c>
      <c r="BA248" s="1" t="s">
        <v>74</v>
      </c>
      <c r="BB248" s="1">
        <v>103.0</v>
      </c>
      <c r="BC248" s="1">
        <v>118.0</v>
      </c>
      <c r="BD248" s="1" t="s">
        <v>74</v>
      </c>
      <c r="BE248" s="1" t="s">
        <v>74</v>
      </c>
      <c r="BF248" s="1" t="s">
        <v>74</v>
      </c>
      <c r="BG248" s="1" t="s">
        <v>74</v>
      </c>
      <c r="BH248" s="1" t="s">
        <v>74</v>
      </c>
      <c r="BI248" s="1" t="s">
        <v>74</v>
      </c>
      <c r="BJ248" s="1" t="s">
        <v>74</v>
      </c>
      <c r="BK248" s="1" t="s">
        <v>74</v>
      </c>
      <c r="BL248" s="1" t="s">
        <v>74</v>
      </c>
      <c r="BM248" s="1" t="s">
        <v>74</v>
      </c>
      <c r="BN248" s="1" t="s">
        <v>74</v>
      </c>
      <c r="BO248" s="1" t="s">
        <v>74</v>
      </c>
      <c r="BP248" s="1" t="s">
        <v>74</v>
      </c>
      <c r="BQ248" s="1" t="s">
        <v>74</v>
      </c>
      <c r="BR248" s="1" t="s">
        <v>74</v>
      </c>
      <c r="BS248" s="1" t="s">
        <v>2652</v>
      </c>
      <c r="BT248" s="1" t="str">
        <f>HYPERLINK("https%3A%2F%2Fwww.webofscience.com%2Fwos%2Fwoscc%2Ffull-record%2FWOS:000470876200001","View Full Record in Web of Science")</f>
        <v>View Full Record in Web of Science</v>
      </c>
    </row>
    <row r="249" ht="12.75" customHeight="1">
      <c r="A249" s="1" t="s">
        <v>72</v>
      </c>
      <c r="B249" s="1" t="s">
        <v>2653</v>
      </c>
      <c r="C249" s="1" t="s">
        <v>74</v>
      </c>
      <c r="D249" s="1" t="s">
        <v>74</v>
      </c>
      <c r="E249" s="1" t="s">
        <v>74</v>
      </c>
      <c r="F249" s="1" t="s">
        <v>2654</v>
      </c>
      <c r="G249" s="1" t="s">
        <v>74</v>
      </c>
      <c r="H249" s="1" t="s">
        <v>74</v>
      </c>
      <c r="I249" s="1" t="s">
        <v>2655</v>
      </c>
      <c r="J249" s="1" t="s">
        <v>2656</v>
      </c>
      <c r="K249" s="1" t="s">
        <v>74</v>
      </c>
      <c r="L249" s="1" t="s">
        <v>74</v>
      </c>
      <c r="M249" s="1" t="s">
        <v>74</v>
      </c>
      <c r="N249" s="1" t="s">
        <v>74</v>
      </c>
      <c r="O249" s="1" t="s">
        <v>74</v>
      </c>
      <c r="P249" s="1" t="s">
        <v>74</v>
      </c>
      <c r="Q249" s="1" t="s">
        <v>74</v>
      </c>
      <c r="R249" s="1" t="s">
        <v>74</v>
      </c>
      <c r="S249" s="1" t="s">
        <v>74</v>
      </c>
      <c r="T249" s="1" t="s">
        <v>74</v>
      </c>
      <c r="U249" s="1" t="s">
        <v>74</v>
      </c>
      <c r="V249" s="1" t="s">
        <v>2657</v>
      </c>
      <c r="W249" s="1" t="s">
        <v>74</v>
      </c>
      <c r="X249" s="1" t="s">
        <v>74</v>
      </c>
      <c r="Y249" s="1" t="s">
        <v>74</v>
      </c>
      <c r="Z249" s="1" t="s">
        <v>74</v>
      </c>
      <c r="AA249" s="1" t="s">
        <v>2658</v>
      </c>
      <c r="AB249" s="1" t="s">
        <v>2659</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2660</v>
      </c>
      <c r="AP249" s="1" t="s">
        <v>2661</v>
      </c>
      <c r="AQ249" s="1" t="s">
        <v>74</v>
      </c>
      <c r="AR249" s="1" t="s">
        <v>74</v>
      </c>
      <c r="AS249" s="1" t="s">
        <v>74</v>
      </c>
      <c r="AT249" s="1" t="s">
        <v>275</v>
      </c>
      <c r="AU249" s="1">
        <v>2011.0</v>
      </c>
      <c r="AV249" s="1">
        <v>32.0</v>
      </c>
      <c r="AW249" s="1" t="s">
        <v>74</v>
      </c>
      <c r="AX249" s="1" t="s">
        <v>74</v>
      </c>
      <c r="AY249" s="1" t="s">
        <v>2662</v>
      </c>
      <c r="AZ249" s="1" t="s">
        <v>74</v>
      </c>
      <c r="BA249" s="1" t="s">
        <v>74</v>
      </c>
      <c r="BB249" s="1" t="s">
        <v>2663</v>
      </c>
      <c r="BC249" s="1" t="s">
        <v>2664</v>
      </c>
      <c r="BD249" s="1" t="s">
        <v>74</v>
      </c>
      <c r="BE249" s="1" t="s">
        <v>2665</v>
      </c>
      <c r="BF249" s="2" t="str">
        <f>HYPERLINK("http://dx.doi.org/10.1016/j.placenta.2010.12.019","http://dx.doi.org/10.1016/j.placenta.2010.12.019")</f>
        <v>http://dx.doi.org/10.1016/j.placenta.2010.12.019</v>
      </c>
      <c r="BG249" s="1" t="s">
        <v>74</v>
      </c>
      <c r="BH249" s="1" t="s">
        <v>74</v>
      </c>
      <c r="BI249" s="1" t="s">
        <v>74</v>
      </c>
      <c r="BJ249" s="1" t="s">
        <v>74</v>
      </c>
      <c r="BK249" s="1" t="s">
        <v>74</v>
      </c>
      <c r="BL249" s="1" t="s">
        <v>74</v>
      </c>
      <c r="BM249" s="1" t="s">
        <v>74</v>
      </c>
      <c r="BN249" s="1">
        <v>2.1227506E7</v>
      </c>
      <c r="BO249" s="1" t="s">
        <v>74</v>
      </c>
      <c r="BP249" s="1" t="s">
        <v>74</v>
      </c>
      <c r="BQ249" s="1" t="s">
        <v>74</v>
      </c>
      <c r="BR249" s="1" t="s">
        <v>74</v>
      </c>
      <c r="BS249" s="1" t="s">
        <v>2666</v>
      </c>
      <c r="BT249" s="1" t="str">
        <f>HYPERLINK("https%3A%2F%2Fwww.webofscience.com%2Fwos%2Fwoscc%2Ffull-record%2FWOS:000289266100003","View Full Record in Web of Science")</f>
        <v>View Full Record in Web of Science</v>
      </c>
    </row>
    <row r="250" ht="12.75" customHeight="1">
      <c r="A250" s="1" t="s">
        <v>72</v>
      </c>
      <c r="B250" s="1" t="s">
        <v>2667</v>
      </c>
      <c r="C250" s="1" t="s">
        <v>74</v>
      </c>
      <c r="D250" s="1" t="s">
        <v>74</v>
      </c>
      <c r="E250" s="1" t="s">
        <v>74</v>
      </c>
      <c r="F250" s="1" t="s">
        <v>2668</v>
      </c>
      <c r="G250" s="1" t="s">
        <v>74</v>
      </c>
      <c r="H250" s="1" t="s">
        <v>74</v>
      </c>
      <c r="I250" s="1" t="s">
        <v>2669</v>
      </c>
      <c r="J250" s="1" t="s">
        <v>2670</v>
      </c>
      <c r="K250" s="1" t="s">
        <v>74</v>
      </c>
      <c r="L250" s="1" t="s">
        <v>74</v>
      </c>
      <c r="M250" s="1" t="s">
        <v>74</v>
      </c>
      <c r="N250" s="1" t="s">
        <v>74</v>
      </c>
      <c r="O250" s="1" t="s">
        <v>74</v>
      </c>
      <c r="P250" s="1" t="s">
        <v>74</v>
      </c>
      <c r="Q250" s="1" t="s">
        <v>74</v>
      </c>
      <c r="R250" s="1" t="s">
        <v>74</v>
      </c>
      <c r="S250" s="1" t="s">
        <v>74</v>
      </c>
      <c r="T250" s="1" t="s">
        <v>74</v>
      </c>
      <c r="U250" s="1" t="s">
        <v>74</v>
      </c>
      <c r="V250" s="1" t="s">
        <v>2671</v>
      </c>
      <c r="W250" s="1" t="s">
        <v>74</v>
      </c>
      <c r="X250" s="1" t="s">
        <v>74</v>
      </c>
      <c r="Y250" s="1" t="s">
        <v>74</v>
      </c>
      <c r="Z250" s="1" t="s">
        <v>74</v>
      </c>
      <c r="AA250" s="1" t="s">
        <v>2672</v>
      </c>
      <c r="AB250" s="1" t="s">
        <v>2673</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2674</v>
      </c>
      <c r="AP250" s="1" t="s">
        <v>2675</v>
      </c>
      <c r="AQ250" s="1" t="s">
        <v>74</v>
      </c>
      <c r="AR250" s="1" t="s">
        <v>74</v>
      </c>
      <c r="AS250" s="1" t="s">
        <v>74</v>
      </c>
      <c r="AT250" s="1" t="s">
        <v>2676</v>
      </c>
      <c r="AU250" s="1">
        <v>2024.0</v>
      </c>
      <c r="AV250" s="1" t="s">
        <v>74</v>
      </c>
      <c r="AW250" s="1" t="s">
        <v>74</v>
      </c>
      <c r="AX250" s="1" t="s">
        <v>74</v>
      </c>
      <c r="AY250" s="1" t="s">
        <v>74</v>
      </c>
      <c r="AZ250" s="1" t="s">
        <v>74</v>
      </c>
      <c r="BA250" s="1" t="s">
        <v>74</v>
      </c>
      <c r="BB250" s="1" t="s">
        <v>74</v>
      </c>
      <c r="BC250" s="1" t="s">
        <v>74</v>
      </c>
      <c r="BD250" s="1" t="s">
        <v>74</v>
      </c>
      <c r="BE250" s="1" t="s">
        <v>2677</v>
      </c>
      <c r="BF250" s="2" t="str">
        <f>HYPERLINK("http://dx.doi.org/10.1080/2153599X.2024.2363757","http://dx.doi.org/10.1080/2153599X.2024.2363757")</f>
        <v>http://dx.doi.org/10.1080/2153599X.2024.2363757</v>
      </c>
      <c r="BG250" s="1" t="s">
        <v>74</v>
      </c>
      <c r="BH250" s="1" t="s">
        <v>2219</v>
      </c>
      <c r="BI250" s="1" t="s">
        <v>74</v>
      </c>
      <c r="BJ250" s="1" t="s">
        <v>74</v>
      </c>
      <c r="BK250" s="1" t="s">
        <v>74</v>
      </c>
      <c r="BL250" s="1" t="s">
        <v>74</v>
      </c>
      <c r="BM250" s="1" t="s">
        <v>74</v>
      </c>
      <c r="BN250" s="1" t="s">
        <v>74</v>
      </c>
      <c r="BO250" s="1" t="s">
        <v>74</v>
      </c>
      <c r="BP250" s="1" t="s">
        <v>74</v>
      </c>
      <c r="BQ250" s="1" t="s">
        <v>74</v>
      </c>
      <c r="BR250" s="1" t="s">
        <v>74</v>
      </c>
      <c r="BS250" s="1" t="s">
        <v>2678</v>
      </c>
      <c r="BT250" s="1" t="str">
        <f>HYPERLINK("https%3A%2F%2Fwww.webofscience.com%2Fwos%2Fwoscc%2Ffull-record%2FWOS:001306166600001","View Full Record in Web of Science")</f>
        <v>View Full Record in Web of Science</v>
      </c>
    </row>
    <row r="251" ht="12.75" customHeight="1">
      <c r="A251" s="1" t="s">
        <v>72</v>
      </c>
      <c r="B251" s="1" t="s">
        <v>2679</v>
      </c>
      <c r="C251" s="1" t="s">
        <v>74</v>
      </c>
      <c r="D251" s="1" t="s">
        <v>74</v>
      </c>
      <c r="E251" s="1" t="s">
        <v>74</v>
      </c>
      <c r="F251" s="1" t="s">
        <v>2680</v>
      </c>
      <c r="G251" s="1" t="s">
        <v>74</v>
      </c>
      <c r="H251" s="1" t="s">
        <v>74</v>
      </c>
      <c r="I251" s="1" t="s">
        <v>2681</v>
      </c>
      <c r="J251" s="1" t="s">
        <v>1871</v>
      </c>
      <c r="K251" s="1" t="s">
        <v>74</v>
      </c>
      <c r="L251" s="1" t="s">
        <v>74</v>
      </c>
      <c r="M251" s="1" t="s">
        <v>74</v>
      </c>
      <c r="N251" s="1" t="s">
        <v>74</v>
      </c>
      <c r="O251" s="1" t="s">
        <v>74</v>
      </c>
      <c r="P251" s="1" t="s">
        <v>74</v>
      </c>
      <c r="Q251" s="1" t="s">
        <v>74</v>
      </c>
      <c r="R251" s="1" t="s">
        <v>74</v>
      </c>
      <c r="S251" s="1" t="s">
        <v>74</v>
      </c>
      <c r="T251" s="1" t="s">
        <v>74</v>
      </c>
      <c r="U251" s="1" t="s">
        <v>74</v>
      </c>
      <c r="V251" s="1" t="s">
        <v>2682</v>
      </c>
      <c r="W251" s="1" t="s">
        <v>74</v>
      </c>
      <c r="X251" s="1" t="s">
        <v>74</v>
      </c>
      <c r="Y251" s="1" t="s">
        <v>74</v>
      </c>
      <c r="Z251" s="1" t="s">
        <v>74</v>
      </c>
      <c r="AA251" s="1" t="s">
        <v>2683</v>
      </c>
      <c r="AB251" s="1" t="s">
        <v>2684</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1875</v>
      </c>
      <c r="AP251" s="1" t="s">
        <v>74</v>
      </c>
      <c r="AQ251" s="1" t="s">
        <v>74</v>
      </c>
      <c r="AR251" s="1" t="s">
        <v>74</v>
      </c>
      <c r="AS251" s="1" t="s">
        <v>74</v>
      </c>
      <c r="AT251" s="1" t="s">
        <v>2066</v>
      </c>
      <c r="AU251" s="1">
        <v>2016.0</v>
      </c>
      <c r="AV251" s="1">
        <v>113.0</v>
      </c>
      <c r="AW251" s="1">
        <v>44.0</v>
      </c>
      <c r="AX251" s="1" t="s">
        <v>74</v>
      </c>
      <c r="AY251" s="1" t="s">
        <v>74</v>
      </c>
      <c r="AZ251" s="1" t="s">
        <v>74</v>
      </c>
      <c r="BA251" s="1" t="s">
        <v>74</v>
      </c>
      <c r="BB251" s="1">
        <v>12408.0</v>
      </c>
      <c r="BC251" s="1">
        <v>12413.0</v>
      </c>
      <c r="BD251" s="1" t="s">
        <v>74</v>
      </c>
      <c r="BE251" s="1" t="s">
        <v>2685</v>
      </c>
      <c r="BF251" s="2" t="str">
        <f>HYPERLINK("http://dx.doi.org/10.1073/pnas.1607398113","http://dx.doi.org/10.1073/pnas.1607398113")</f>
        <v>http://dx.doi.org/10.1073/pnas.1607398113</v>
      </c>
      <c r="BG251" s="1" t="s">
        <v>74</v>
      </c>
      <c r="BH251" s="1" t="s">
        <v>74</v>
      </c>
      <c r="BI251" s="1" t="s">
        <v>74</v>
      </c>
      <c r="BJ251" s="1" t="s">
        <v>74</v>
      </c>
      <c r="BK251" s="1" t="s">
        <v>74</v>
      </c>
      <c r="BL251" s="1" t="s">
        <v>74</v>
      </c>
      <c r="BM251" s="1" t="s">
        <v>74</v>
      </c>
      <c r="BN251" s="1">
        <v>2.779109E7</v>
      </c>
      <c r="BO251" s="1" t="s">
        <v>74</v>
      </c>
      <c r="BP251" s="1" t="s">
        <v>74</v>
      </c>
      <c r="BQ251" s="1" t="s">
        <v>74</v>
      </c>
      <c r="BR251" s="1" t="s">
        <v>74</v>
      </c>
      <c r="BS251" s="1" t="s">
        <v>2686</v>
      </c>
      <c r="BT251" s="1" t="str">
        <f>HYPERLINK("https%3A%2F%2Fwww.webofscience.com%2Fwos%2Fwoscc%2Ffull-record%2FWOS:000386608200041","View Full Record in Web of Science")</f>
        <v>View Full Record in Web of Science</v>
      </c>
    </row>
    <row r="252" ht="12.75" customHeight="1">
      <c r="A252" s="1" t="s">
        <v>72</v>
      </c>
      <c r="B252" s="1" t="s">
        <v>2687</v>
      </c>
      <c r="C252" s="1" t="s">
        <v>74</v>
      </c>
      <c r="D252" s="1" t="s">
        <v>74</v>
      </c>
      <c r="E252" s="1" t="s">
        <v>74</v>
      </c>
      <c r="F252" s="1" t="s">
        <v>2688</v>
      </c>
      <c r="G252" s="1" t="s">
        <v>74</v>
      </c>
      <c r="H252" s="1" t="s">
        <v>74</v>
      </c>
      <c r="I252" s="1" t="s">
        <v>2689</v>
      </c>
      <c r="J252" s="1" t="s">
        <v>1560</v>
      </c>
      <c r="K252" s="1" t="s">
        <v>74</v>
      </c>
      <c r="L252" s="1" t="s">
        <v>74</v>
      </c>
      <c r="M252" s="1" t="s">
        <v>74</v>
      </c>
      <c r="N252" s="1" t="s">
        <v>74</v>
      </c>
      <c r="O252" s="1" t="s">
        <v>74</v>
      </c>
      <c r="P252" s="1" t="s">
        <v>74</v>
      </c>
      <c r="Q252" s="1" t="s">
        <v>74</v>
      </c>
      <c r="R252" s="1" t="s">
        <v>74</v>
      </c>
      <c r="S252" s="1" t="s">
        <v>74</v>
      </c>
      <c r="T252" s="1" t="s">
        <v>74</v>
      </c>
      <c r="U252" s="1" t="s">
        <v>74</v>
      </c>
      <c r="V252" s="1" t="s">
        <v>2690</v>
      </c>
      <c r="W252" s="1" t="s">
        <v>74</v>
      </c>
      <c r="X252" s="1" t="s">
        <v>74</v>
      </c>
      <c r="Y252" s="1" t="s">
        <v>74</v>
      </c>
      <c r="Z252" s="1" t="s">
        <v>74</v>
      </c>
      <c r="AA252" s="1" t="s">
        <v>2691</v>
      </c>
      <c r="AB252" s="1" t="s">
        <v>2692</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1564</v>
      </c>
      <c r="AP252" s="1" t="s">
        <v>1565</v>
      </c>
      <c r="AQ252" s="1" t="s">
        <v>74</v>
      </c>
      <c r="AR252" s="1" t="s">
        <v>74</v>
      </c>
      <c r="AS252" s="1" t="s">
        <v>74</v>
      </c>
      <c r="AT252" s="1" t="s">
        <v>188</v>
      </c>
      <c r="AU252" s="1">
        <v>2021.0</v>
      </c>
      <c r="AV252" s="1">
        <v>27.0</v>
      </c>
      <c r="AW252" s="1">
        <v>15.0</v>
      </c>
      <c r="AX252" s="1" t="s">
        <v>74</v>
      </c>
      <c r="AY252" s="1" t="s">
        <v>74</v>
      </c>
      <c r="AZ252" s="1" t="s">
        <v>74</v>
      </c>
      <c r="BA252" s="1" t="s">
        <v>74</v>
      </c>
      <c r="BB252" s="1">
        <v>3582.0</v>
      </c>
      <c r="BC252" s="1">
        <v>3604.0</v>
      </c>
      <c r="BD252" s="1" t="s">
        <v>74</v>
      </c>
      <c r="BE252" s="1" t="s">
        <v>2693</v>
      </c>
      <c r="BF252" s="2" t="str">
        <f>HYPERLINK("http://dx.doi.org/10.1111/gcb.15661","http://dx.doi.org/10.1111/gcb.15661")</f>
        <v>http://dx.doi.org/10.1111/gcb.15661</v>
      </c>
      <c r="BG252" s="1" t="s">
        <v>74</v>
      </c>
      <c r="BH252" s="1" t="s">
        <v>333</v>
      </c>
      <c r="BI252" s="1" t="s">
        <v>74</v>
      </c>
      <c r="BJ252" s="1" t="s">
        <v>74</v>
      </c>
      <c r="BK252" s="1" t="s">
        <v>74</v>
      </c>
      <c r="BL252" s="1" t="s">
        <v>74</v>
      </c>
      <c r="BM252" s="1" t="s">
        <v>74</v>
      </c>
      <c r="BN252" s="1">
        <v>3.3914985E7</v>
      </c>
      <c r="BO252" s="1" t="s">
        <v>74</v>
      </c>
      <c r="BP252" s="1" t="s">
        <v>74</v>
      </c>
      <c r="BQ252" s="1" t="s">
        <v>74</v>
      </c>
      <c r="BR252" s="1" t="s">
        <v>74</v>
      </c>
      <c r="BS252" s="1" t="s">
        <v>2694</v>
      </c>
      <c r="BT252" s="1" t="str">
        <f>HYPERLINK("https%3A%2F%2Fwww.webofscience.com%2Fwos%2Fwoscc%2Ffull-record%2FWOS:000655933400001","View Full Record in Web of Science")</f>
        <v>View Full Record in Web of Science</v>
      </c>
    </row>
    <row r="253" ht="12.75" customHeight="1">
      <c r="A253" s="1" t="s">
        <v>72</v>
      </c>
      <c r="B253" s="1" t="s">
        <v>2695</v>
      </c>
      <c r="C253" s="1" t="s">
        <v>74</v>
      </c>
      <c r="D253" s="1" t="s">
        <v>74</v>
      </c>
      <c r="E253" s="1" t="s">
        <v>74</v>
      </c>
      <c r="F253" s="1" t="s">
        <v>2696</v>
      </c>
      <c r="G253" s="1" t="s">
        <v>74</v>
      </c>
      <c r="H253" s="1" t="s">
        <v>74</v>
      </c>
      <c r="I253" s="1" t="s">
        <v>2697</v>
      </c>
      <c r="J253" s="1" t="s">
        <v>2698</v>
      </c>
      <c r="K253" s="1" t="s">
        <v>74</v>
      </c>
      <c r="L253" s="1" t="s">
        <v>74</v>
      </c>
      <c r="M253" s="1" t="s">
        <v>74</v>
      </c>
      <c r="N253" s="1" t="s">
        <v>74</v>
      </c>
      <c r="O253" s="1" t="s">
        <v>74</v>
      </c>
      <c r="P253" s="1" t="s">
        <v>74</v>
      </c>
      <c r="Q253" s="1" t="s">
        <v>74</v>
      </c>
      <c r="R253" s="1" t="s">
        <v>74</v>
      </c>
      <c r="S253" s="1" t="s">
        <v>74</v>
      </c>
      <c r="T253" s="1" t="s">
        <v>74</v>
      </c>
      <c r="U253" s="1" t="s">
        <v>74</v>
      </c>
      <c r="V253" s="1" t="s">
        <v>2699</v>
      </c>
      <c r="W253" s="1" t="s">
        <v>74</v>
      </c>
      <c r="X253" s="1" t="s">
        <v>74</v>
      </c>
      <c r="Y253" s="1" t="s">
        <v>74</v>
      </c>
      <c r="Z253" s="1" t="s">
        <v>74</v>
      </c>
      <c r="AA253" s="1" t="s">
        <v>2700</v>
      </c>
      <c r="AB253" s="1" t="s">
        <v>2701</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2702</v>
      </c>
      <c r="AP253" s="1" t="s">
        <v>2703</v>
      </c>
      <c r="AQ253" s="1" t="s">
        <v>74</v>
      </c>
      <c r="AR253" s="1" t="s">
        <v>74</v>
      </c>
      <c r="AS253" s="1" t="s">
        <v>74</v>
      </c>
      <c r="AT253" s="1" t="s">
        <v>298</v>
      </c>
      <c r="AU253" s="1">
        <v>2024.0</v>
      </c>
      <c r="AV253" s="1">
        <v>30.0</v>
      </c>
      <c r="AW253" s="1">
        <v>12.0</v>
      </c>
      <c r="AX253" s="1" t="s">
        <v>74</v>
      </c>
      <c r="AY253" s="1" t="s">
        <v>74</v>
      </c>
      <c r="AZ253" s="1" t="s">
        <v>74</v>
      </c>
      <c r="BA253" s="1" t="s">
        <v>74</v>
      </c>
      <c r="BB253" s="1" t="s">
        <v>74</v>
      </c>
      <c r="BC253" s="1" t="s">
        <v>74</v>
      </c>
      <c r="BD253" s="1" t="s">
        <v>74</v>
      </c>
      <c r="BE253" s="1" t="s">
        <v>2704</v>
      </c>
      <c r="BF253" s="2" t="str">
        <f>HYPERLINK("http://dx.doi.org/10.1038/s41591-024-03209-x","http://dx.doi.org/10.1038/s41591-024-03209-x")</f>
        <v>http://dx.doi.org/10.1038/s41591-024-03209-x</v>
      </c>
      <c r="BG253" s="1" t="s">
        <v>74</v>
      </c>
      <c r="BH253" s="1" t="s">
        <v>2219</v>
      </c>
      <c r="BI253" s="1" t="s">
        <v>74</v>
      </c>
      <c r="BJ253" s="1" t="s">
        <v>74</v>
      </c>
      <c r="BK253" s="1" t="s">
        <v>74</v>
      </c>
      <c r="BL253" s="1" t="s">
        <v>74</v>
      </c>
      <c r="BM253" s="1" t="s">
        <v>74</v>
      </c>
      <c r="BN253" s="1">
        <v>3.9187698E7</v>
      </c>
      <c r="BO253" s="1" t="s">
        <v>74</v>
      </c>
      <c r="BP253" s="1" t="s">
        <v>74</v>
      </c>
      <c r="BQ253" s="1" t="s">
        <v>74</v>
      </c>
      <c r="BR253" s="1" t="s">
        <v>74</v>
      </c>
      <c r="BS253" s="1" t="s">
        <v>2705</v>
      </c>
      <c r="BT253" s="1" t="str">
        <f>HYPERLINK("https%3A%2F%2Fwww.webofscience.com%2Fwos%2Fwoscc%2Ffull-record%2FWOS:001298718200001","View Full Record in Web of Science")</f>
        <v>View Full Record in Web of Science</v>
      </c>
    </row>
    <row r="254" ht="12.75" customHeight="1">
      <c r="A254" s="1" t="s">
        <v>72</v>
      </c>
      <c r="B254" s="1" t="s">
        <v>2706</v>
      </c>
      <c r="C254" s="1" t="s">
        <v>74</v>
      </c>
      <c r="D254" s="1" t="s">
        <v>74</v>
      </c>
      <c r="E254" s="1" t="s">
        <v>74</v>
      </c>
      <c r="F254" s="1" t="s">
        <v>2707</v>
      </c>
      <c r="G254" s="1" t="s">
        <v>74</v>
      </c>
      <c r="H254" s="1" t="s">
        <v>74</v>
      </c>
      <c r="I254" s="1" t="s">
        <v>2708</v>
      </c>
      <c r="J254" s="1" t="s">
        <v>2709</v>
      </c>
      <c r="K254" s="1" t="s">
        <v>74</v>
      </c>
      <c r="L254" s="1" t="s">
        <v>74</v>
      </c>
      <c r="M254" s="1" t="s">
        <v>74</v>
      </c>
      <c r="N254" s="1" t="s">
        <v>74</v>
      </c>
      <c r="O254" s="1" t="s">
        <v>74</v>
      </c>
      <c r="P254" s="1" t="s">
        <v>74</v>
      </c>
      <c r="Q254" s="1" t="s">
        <v>74</v>
      </c>
      <c r="R254" s="1" t="s">
        <v>74</v>
      </c>
      <c r="S254" s="1" t="s">
        <v>74</v>
      </c>
      <c r="T254" s="1" t="s">
        <v>74</v>
      </c>
      <c r="U254" s="1" t="s">
        <v>74</v>
      </c>
      <c r="V254" s="1" t="s">
        <v>2710</v>
      </c>
      <c r="W254" s="1" t="s">
        <v>74</v>
      </c>
      <c r="X254" s="1" t="s">
        <v>74</v>
      </c>
      <c r="Y254" s="1" t="s">
        <v>74</v>
      </c>
      <c r="Z254" s="1" t="s">
        <v>74</v>
      </c>
      <c r="AA254" s="1" t="s">
        <v>2711</v>
      </c>
      <c r="AB254" s="1" t="s">
        <v>2712</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2713</v>
      </c>
      <c r="AP254" s="1" t="s">
        <v>2714</v>
      </c>
      <c r="AQ254" s="1" t="s">
        <v>74</v>
      </c>
      <c r="AR254" s="1" t="s">
        <v>74</v>
      </c>
      <c r="AS254" s="1" t="s">
        <v>74</v>
      </c>
      <c r="AT254" s="1" t="s">
        <v>130</v>
      </c>
      <c r="AU254" s="1">
        <v>2022.0</v>
      </c>
      <c r="AV254" s="1">
        <v>43.0</v>
      </c>
      <c r="AW254" s="1">
        <v>6.0</v>
      </c>
      <c r="AX254" s="1" t="s">
        <v>74</v>
      </c>
      <c r="AY254" s="1" t="s">
        <v>74</v>
      </c>
      <c r="AZ254" s="1" t="s">
        <v>74</v>
      </c>
      <c r="BA254" s="1" t="s">
        <v>74</v>
      </c>
      <c r="BB254" s="1">
        <v>527.0</v>
      </c>
      <c r="BC254" s="1">
        <v>535.0</v>
      </c>
      <c r="BD254" s="1" t="s">
        <v>74</v>
      </c>
      <c r="BE254" s="1" t="s">
        <v>2715</v>
      </c>
      <c r="BF254" s="2" t="str">
        <f>HYPERLINK("http://dx.doi.org/10.1016/j.evolhumbehav.2022.09.003","http://dx.doi.org/10.1016/j.evolhumbehav.2022.09.003")</f>
        <v>http://dx.doi.org/10.1016/j.evolhumbehav.2022.09.003</v>
      </c>
      <c r="BG254" s="1" t="s">
        <v>74</v>
      </c>
      <c r="BH254" s="1" t="s">
        <v>546</v>
      </c>
      <c r="BI254" s="1" t="s">
        <v>74</v>
      </c>
      <c r="BJ254" s="1" t="s">
        <v>74</v>
      </c>
      <c r="BK254" s="1" t="s">
        <v>74</v>
      </c>
      <c r="BL254" s="1" t="s">
        <v>74</v>
      </c>
      <c r="BM254" s="1" t="s">
        <v>74</v>
      </c>
      <c r="BN254" s="1">
        <v>3.6217369E7</v>
      </c>
      <c r="BO254" s="1" t="s">
        <v>74</v>
      </c>
      <c r="BP254" s="1" t="s">
        <v>74</v>
      </c>
      <c r="BQ254" s="1" t="s">
        <v>74</v>
      </c>
      <c r="BR254" s="1" t="s">
        <v>74</v>
      </c>
      <c r="BS254" s="1" t="s">
        <v>2716</v>
      </c>
      <c r="BT254" s="1" t="str">
        <f>HYPERLINK("https%3A%2F%2Fwww.webofscience.com%2Fwos%2Fwoscc%2Ffull-record%2FWOS:000898669000006","View Full Record in Web of Science")</f>
        <v>View Full Record in Web of Science</v>
      </c>
    </row>
    <row r="255" ht="12.75" customHeight="1">
      <c r="A255" s="1" t="s">
        <v>72</v>
      </c>
      <c r="B255" s="1" t="s">
        <v>2717</v>
      </c>
      <c r="C255" s="1" t="s">
        <v>74</v>
      </c>
      <c r="D255" s="1" t="s">
        <v>74</v>
      </c>
      <c r="E255" s="1" t="s">
        <v>74</v>
      </c>
      <c r="F255" s="1" t="s">
        <v>2718</v>
      </c>
      <c r="G255" s="1" t="s">
        <v>74</v>
      </c>
      <c r="H255" s="1" t="s">
        <v>74</v>
      </c>
      <c r="I255" s="1" t="s">
        <v>2719</v>
      </c>
      <c r="J255" s="1" t="s">
        <v>439</v>
      </c>
      <c r="K255" s="1" t="s">
        <v>74</v>
      </c>
      <c r="L255" s="1" t="s">
        <v>74</v>
      </c>
      <c r="M255" s="1" t="s">
        <v>74</v>
      </c>
      <c r="N255" s="1" t="s">
        <v>74</v>
      </c>
      <c r="O255" s="1" t="s">
        <v>74</v>
      </c>
      <c r="P255" s="1" t="s">
        <v>74</v>
      </c>
      <c r="Q255" s="1" t="s">
        <v>74</v>
      </c>
      <c r="R255" s="1" t="s">
        <v>74</v>
      </c>
      <c r="S255" s="1" t="s">
        <v>74</v>
      </c>
      <c r="T255" s="1" t="s">
        <v>74</v>
      </c>
      <c r="U255" s="1" t="s">
        <v>74</v>
      </c>
      <c r="V255" s="1" t="s">
        <v>2720</v>
      </c>
      <c r="W255" s="1" t="s">
        <v>74</v>
      </c>
      <c r="X255" s="1" t="s">
        <v>74</v>
      </c>
      <c r="Y255" s="1" t="s">
        <v>74</v>
      </c>
      <c r="Z255" s="1" t="s">
        <v>74</v>
      </c>
      <c r="AA255" s="1" t="s">
        <v>2721</v>
      </c>
      <c r="AB255" s="1" t="s">
        <v>2722</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74</v>
      </c>
      <c r="AP255" s="1" t="s">
        <v>443</v>
      </c>
      <c r="AQ255" s="1" t="s">
        <v>74</v>
      </c>
      <c r="AR255" s="1" t="s">
        <v>74</v>
      </c>
      <c r="AS255" s="1" t="s">
        <v>74</v>
      </c>
      <c r="AT255" s="1" t="s">
        <v>567</v>
      </c>
      <c r="AU255" s="1">
        <v>2021.0</v>
      </c>
      <c r="AV255" s="1">
        <v>18.0</v>
      </c>
      <c r="AW255" s="1">
        <v>1.0</v>
      </c>
      <c r="AX255" s="1" t="s">
        <v>74</v>
      </c>
      <c r="AY255" s="1" t="s">
        <v>74</v>
      </c>
      <c r="AZ255" s="1" t="s">
        <v>74</v>
      </c>
      <c r="BA255" s="1" t="s">
        <v>74</v>
      </c>
      <c r="BB255" s="1" t="s">
        <v>74</v>
      </c>
      <c r="BC255" s="1" t="s">
        <v>74</v>
      </c>
      <c r="BD255" s="1">
        <v>18.0</v>
      </c>
      <c r="BE255" s="1" t="s">
        <v>2723</v>
      </c>
      <c r="BF255" s="2" t="str">
        <f>HYPERLINK("http://dx.doi.org/10.3390/ijerph18010018","http://dx.doi.org/10.3390/ijerph18010018")</f>
        <v>http://dx.doi.org/10.3390/ijerph18010018</v>
      </c>
      <c r="BG255" s="1" t="s">
        <v>74</v>
      </c>
      <c r="BH255" s="1" t="s">
        <v>74</v>
      </c>
      <c r="BI255" s="1" t="s">
        <v>74</v>
      </c>
      <c r="BJ255" s="1" t="s">
        <v>74</v>
      </c>
      <c r="BK255" s="1" t="s">
        <v>74</v>
      </c>
      <c r="BL255" s="1" t="s">
        <v>74</v>
      </c>
      <c r="BM255" s="1" t="s">
        <v>74</v>
      </c>
      <c r="BN255" s="1">
        <v>3.3375134E7</v>
      </c>
      <c r="BO255" s="1" t="s">
        <v>74</v>
      </c>
      <c r="BP255" s="1" t="s">
        <v>74</v>
      </c>
      <c r="BQ255" s="1" t="s">
        <v>74</v>
      </c>
      <c r="BR255" s="1" t="s">
        <v>74</v>
      </c>
      <c r="BS255" s="1" t="s">
        <v>2724</v>
      </c>
      <c r="BT255" s="1" t="str">
        <f>HYPERLINK("https%3A%2F%2Fwww.webofscience.com%2Fwos%2Fwoscc%2Ffull-record%2FWOS:000606044700001","View Full Record in Web of Science")</f>
        <v>View Full Record in Web of Science</v>
      </c>
    </row>
    <row r="256" ht="12.75" customHeight="1">
      <c r="A256" s="1" t="s">
        <v>72</v>
      </c>
      <c r="B256" s="1" t="s">
        <v>2725</v>
      </c>
      <c r="C256" s="1" t="s">
        <v>74</v>
      </c>
      <c r="D256" s="1" t="s">
        <v>74</v>
      </c>
      <c r="E256" s="1" t="s">
        <v>74</v>
      </c>
      <c r="F256" s="1" t="s">
        <v>2726</v>
      </c>
      <c r="G256" s="1" t="s">
        <v>74</v>
      </c>
      <c r="H256" s="1" t="s">
        <v>2727</v>
      </c>
      <c r="I256" s="1" t="s">
        <v>2728</v>
      </c>
      <c r="J256" s="1" t="s">
        <v>2729</v>
      </c>
      <c r="K256" s="1" t="s">
        <v>74</v>
      </c>
      <c r="L256" s="1" t="s">
        <v>74</v>
      </c>
      <c r="M256" s="1" t="s">
        <v>74</v>
      </c>
      <c r="N256" s="1" t="s">
        <v>74</v>
      </c>
      <c r="O256" s="1" t="s">
        <v>74</v>
      </c>
      <c r="P256" s="1" t="s">
        <v>74</v>
      </c>
      <c r="Q256" s="1" t="s">
        <v>74</v>
      </c>
      <c r="R256" s="1" t="s">
        <v>74</v>
      </c>
      <c r="S256" s="1" t="s">
        <v>74</v>
      </c>
      <c r="T256" s="1" t="s">
        <v>74</v>
      </c>
      <c r="U256" s="1" t="s">
        <v>74</v>
      </c>
      <c r="V256" s="1" t="s">
        <v>2730</v>
      </c>
      <c r="W256" s="1" t="s">
        <v>74</v>
      </c>
      <c r="X256" s="1" t="s">
        <v>74</v>
      </c>
      <c r="Y256" s="1" t="s">
        <v>74</v>
      </c>
      <c r="Z256" s="1" t="s">
        <v>74</v>
      </c>
      <c r="AA256" s="1" t="s">
        <v>2731</v>
      </c>
      <c r="AB256" s="1" t="s">
        <v>2732</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2733</v>
      </c>
      <c r="AP256" s="1" t="s">
        <v>74</v>
      </c>
      <c r="AQ256" s="1" t="s">
        <v>74</v>
      </c>
      <c r="AR256" s="1" t="s">
        <v>74</v>
      </c>
      <c r="AS256" s="1" t="s">
        <v>74</v>
      </c>
      <c r="AT256" s="1" t="s">
        <v>2734</v>
      </c>
      <c r="AU256" s="1">
        <v>2024.0</v>
      </c>
      <c r="AV256" s="1">
        <v>4.0</v>
      </c>
      <c r="AW256" s="1">
        <v>11.0</v>
      </c>
      <c r="AX256" s="1" t="s">
        <v>74</v>
      </c>
      <c r="AY256" s="1" t="s">
        <v>74</v>
      </c>
      <c r="AZ256" s="1" t="s">
        <v>74</v>
      </c>
      <c r="BA256" s="1" t="s">
        <v>74</v>
      </c>
      <c r="BB256" s="1" t="s">
        <v>74</v>
      </c>
      <c r="BC256" s="1" t="s">
        <v>74</v>
      </c>
      <c r="BD256" s="1">
        <v>100692.0</v>
      </c>
      <c r="BE256" s="1" t="s">
        <v>2735</v>
      </c>
      <c r="BF256" s="2" t="str">
        <f>HYPERLINK("http://dx.doi.org/10.1016/j.xgen.2024.100692","http://dx.doi.org/10.1016/j.xgen.2024.100692")</f>
        <v>http://dx.doi.org/10.1016/j.xgen.2024.100692</v>
      </c>
      <c r="BG256" s="1" t="s">
        <v>74</v>
      </c>
      <c r="BH256" s="1" t="s">
        <v>2736</v>
      </c>
      <c r="BI256" s="1" t="s">
        <v>74</v>
      </c>
      <c r="BJ256" s="1" t="s">
        <v>74</v>
      </c>
      <c r="BK256" s="1" t="s">
        <v>74</v>
      </c>
      <c r="BL256" s="1" t="s">
        <v>74</v>
      </c>
      <c r="BM256" s="1" t="s">
        <v>74</v>
      </c>
      <c r="BN256" s="1">
        <v>3.9486408E7</v>
      </c>
      <c r="BO256" s="1" t="s">
        <v>74</v>
      </c>
      <c r="BP256" s="1" t="s">
        <v>74</v>
      </c>
      <c r="BQ256" s="1" t="s">
        <v>74</v>
      </c>
      <c r="BR256" s="1" t="s">
        <v>74</v>
      </c>
      <c r="BS256" s="1" t="s">
        <v>2737</v>
      </c>
      <c r="BT256" s="1" t="str">
        <f>HYPERLINK("https%3A%2F%2Fwww.webofscience.com%2Fwos%2Fwoscc%2Ffull-record%2FWOS:001381352400001","View Full Record in Web of Science")</f>
        <v>View Full Record in Web of Science</v>
      </c>
    </row>
    <row r="257" ht="12.75" customHeight="1">
      <c r="A257" s="1" t="s">
        <v>72</v>
      </c>
      <c r="B257" s="1" t="s">
        <v>2738</v>
      </c>
      <c r="C257" s="1" t="s">
        <v>74</v>
      </c>
      <c r="D257" s="1" t="s">
        <v>74</v>
      </c>
      <c r="E257" s="1" t="s">
        <v>74</v>
      </c>
      <c r="F257" s="1" t="s">
        <v>2739</v>
      </c>
      <c r="G257" s="1" t="s">
        <v>74</v>
      </c>
      <c r="H257" s="1" t="s">
        <v>74</v>
      </c>
      <c r="I257" s="1" t="s">
        <v>2740</v>
      </c>
      <c r="J257" s="1" t="s">
        <v>2163</v>
      </c>
      <c r="K257" s="1" t="s">
        <v>74</v>
      </c>
      <c r="L257" s="1" t="s">
        <v>74</v>
      </c>
      <c r="M257" s="1" t="s">
        <v>74</v>
      </c>
      <c r="N257" s="1" t="s">
        <v>74</v>
      </c>
      <c r="O257" s="1" t="s">
        <v>74</v>
      </c>
      <c r="P257" s="1" t="s">
        <v>74</v>
      </c>
      <c r="Q257" s="1" t="s">
        <v>74</v>
      </c>
      <c r="R257" s="1" t="s">
        <v>74</v>
      </c>
      <c r="S257" s="1" t="s">
        <v>74</v>
      </c>
      <c r="T257" s="1" t="s">
        <v>74</v>
      </c>
      <c r="U257" s="1" t="s">
        <v>74</v>
      </c>
      <c r="V257" s="1" t="s">
        <v>74</v>
      </c>
      <c r="W257" s="1" t="s">
        <v>74</v>
      </c>
      <c r="X257" s="1" t="s">
        <v>74</v>
      </c>
      <c r="Y257" s="1" t="s">
        <v>74</v>
      </c>
      <c r="Z257" s="1" t="s">
        <v>74</v>
      </c>
      <c r="AA257" s="1" t="s">
        <v>2741</v>
      </c>
      <c r="AB257" s="1" t="s">
        <v>2742</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74</v>
      </c>
      <c r="AP257" s="1" t="s">
        <v>2167</v>
      </c>
      <c r="AQ257" s="1" t="s">
        <v>74</v>
      </c>
      <c r="AR257" s="1" t="s">
        <v>74</v>
      </c>
      <c r="AS257" s="1" t="s">
        <v>74</v>
      </c>
      <c r="AT257" s="1" t="s">
        <v>176</v>
      </c>
      <c r="AU257" s="1">
        <v>2022.0</v>
      </c>
      <c r="AV257" s="1">
        <v>9.0</v>
      </c>
      <c r="AW257" s="1">
        <v>1.0</v>
      </c>
      <c r="AX257" s="1" t="s">
        <v>74</v>
      </c>
      <c r="AY257" s="1" t="s">
        <v>74</v>
      </c>
      <c r="AZ257" s="1" t="s">
        <v>74</v>
      </c>
      <c r="BA257" s="1" t="s">
        <v>74</v>
      </c>
      <c r="BB257" s="1" t="s">
        <v>74</v>
      </c>
      <c r="BC257" s="1" t="s">
        <v>74</v>
      </c>
      <c r="BD257" s="1">
        <v>575.0</v>
      </c>
      <c r="BE257" s="1" t="s">
        <v>2743</v>
      </c>
      <c r="BF257" s="2" t="str">
        <f>HYPERLINK("http://dx.doi.org/10.1038/s41597-022-01672-0","http://dx.doi.org/10.1038/s41597-022-01672-0")</f>
        <v>http://dx.doi.org/10.1038/s41597-022-01672-0</v>
      </c>
      <c r="BG257" s="1" t="s">
        <v>74</v>
      </c>
      <c r="BH257" s="1" t="s">
        <v>74</v>
      </c>
      <c r="BI257" s="1" t="s">
        <v>74</v>
      </c>
      <c r="BJ257" s="1" t="s">
        <v>74</v>
      </c>
      <c r="BK257" s="1" t="s">
        <v>74</v>
      </c>
      <c r="BL257" s="1" t="s">
        <v>74</v>
      </c>
      <c r="BM257" s="1" t="s">
        <v>74</v>
      </c>
      <c r="BN257" s="1">
        <v>3.6127335E7</v>
      </c>
      <c r="BO257" s="1" t="s">
        <v>74</v>
      </c>
      <c r="BP257" s="1" t="s">
        <v>74</v>
      </c>
      <c r="BQ257" s="1" t="s">
        <v>74</v>
      </c>
      <c r="BR257" s="1" t="s">
        <v>74</v>
      </c>
      <c r="BS257" s="1" t="s">
        <v>2744</v>
      </c>
      <c r="BT257" s="1" t="str">
        <f>HYPERLINK("https%3A%2F%2Fwww.webofscience.com%2Fwos%2Fwoscc%2Ffull-record%2FWOS:000855781100001","View Full Record in Web of Science")</f>
        <v>View Full Record in Web of Science</v>
      </c>
    </row>
    <row r="258" ht="12.75" customHeight="1">
      <c r="A258" s="1" t="s">
        <v>72</v>
      </c>
      <c r="B258" s="1" t="s">
        <v>2745</v>
      </c>
      <c r="C258" s="1" t="s">
        <v>74</v>
      </c>
      <c r="D258" s="1" t="s">
        <v>74</v>
      </c>
      <c r="E258" s="1" t="s">
        <v>74</v>
      </c>
      <c r="F258" s="1" t="s">
        <v>2739</v>
      </c>
      <c r="G258" s="1" t="s">
        <v>74</v>
      </c>
      <c r="H258" s="1" t="s">
        <v>74</v>
      </c>
      <c r="I258" s="1" t="s">
        <v>2746</v>
      </c>
      <c r="J258" s="1" t="s">
        <v>2163</v>
      </c>
      <c r="K258" s="1" t="s">
        <v>74</v>
      </c>
      <c r="L258" s="1" t="s">
        <v>74</v>
      </c>
      <c r="M258" s="1" t="s">
        <v>74</v>
      </c>
      <c r="N258" s="1" t="s">
        <v>74</v>
      </c>
      <c r="O258" s="1" t="s">
        <v>74</v>
      </c>
      <c r="P258" s="1" t="s">
        <v>74</v>
      </c>
      <c r="Q258" s="1" t="s">
        <v>74</v>
      </c>
      <c r="R258" s="1" t="s">
        <v>74</v>
      </c>
      <c r="S258" s="1" t="s">
        <v>74</v>
      </c>
      <c r="T258" s="1" t="s">
        <v>74</v>
      </c>
      <c r="U258" s="1" t="s">
        <v>74</v>
      </c>
      <c r="V258" s="1" t="s">
        <v>2747</v>
      </c>
      <c r="W258" s="1" t="s">
        <v>74</v>
      </c>
      <c r="X258" s="1" t="s">
        <v>74</v>
      </c>
      <c r="Y258" s="1" t="s">
        <v>74</v>
      </c>
      <c r="Z258" s="1" t="s">
        <v>74</v>
      </c>
      <c r="AA258" s="1" t="s">
        <v>2748</v>
      </c>
      <c r="AB258" s="1" t="s">
        <v>2749</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74</v>
      </c>
      <c r="AP258" s="1" t="s">
        <v>2167</v>
      </c>
      <c r="AQ258" s="1" t="s">
        <v>74</v>
      </c>
      <c r="AR258" s="1" t="s">
        <v>74</v>
      </c>
      <c r="AS258" s="1" t="s">
        <v>74</v>
      </c>
      <c r="AT258" s="1" t="s">
        <v>1490</v>
      </c>
      <c r="AU258" s="1">
        <v>2022.0</v>
      </c>
      <c r="AV258" s="1">
        <v>9.0</v>
      </c>
      <c r="AW258" s="1">
        <v>1.0</v>
      </c>
      <c r="AX258" s="1" t="s">
        <v>74</v>
      </c>
      <c r="AY258" s="1" t="s">
        <v>74</v>
      </c>
      <c r="AZ258" s="1" t="s">
        <v>74</v>
      </c>
      <c r="BA258" s="1" t="s">
        <v>74</v>
      </c>
      <c r="BB258" s="1" t="s">
        <v>74</v>
      </c>
      <c r="BC258" s="1" t="s">
        <v>74</v>
      </c>
      <c r="BD258" s="1">
        <v>499.0</v>
      </c>
      <c r="BE258" s="1" t="s">
        <v>2750</v>
      </c>
      <c r="BF258" s="2" t="str">
        <f>HYPERLINK("http://dx.doi.org/10.1038/s41597-022-01579-w","http://dx.doi.org/10.1038/s41597-022-01579-w")</f>
        <v>http://dx.doi.org/10.1038/s41597-022-01579-w</v>
      </c>
      <c r="BG258" s="1" t="s">
        <v>74</v>
      </c>
      <c r="BH258" s="1" t="s">
        <v>74</v>
      </c>
      <c r="BI258" s="1" t="s">
        <v>74</v>
      </c>
      <c r="BJ258" s="1" t="s">
        <v>74</v>
      </c>
      <c r="BK258" s="1" t="s">
        <v>74</v>
      </c>
      <c r="BL258" s="1" t="s">
        <v>74</v>
      </c>
      <c r="BM258" s="1" t="s">
        <v>74</v>
      </c>
      <c r="BN258" s="1">
        <v>3.5974021E7</v>
      </c>
      <c r="BO258" s="1" t="s">
        <v>74</v>
      </c>
      <c r="BP258" s="1" t="s">
        <v>74</v>
      </c>
      <c r="BQ258" s="1" t="s">
        <v>74</v>
      </c>
      <c r="BR258" s="1" t="s">
        <v>74</v>
      </c>
      <c r="BS258" s="1" t="s">
        <v>2751</v>
      </c>
      <c r="BT258" s="1" t="str">
        <f>HYPERLINK("https%3A%2F%2Fwww.webofscience.com%2Fwos%2Fwoscc%2Ffull-record%2FWOS:000841250600001","View Full Record in Web of Science")</f>
        <v>View Full Record in Web of Science</v>
      </c>
    </row>
    <row r="259" ht="12.75" customHeight="1">
      <c r="A259" s="1" t="s">
        <v>72</v>
      </c>
      <c r="B259" s="1" t="s">
        <v>2752</v>
      </c>
      <c r="C259" s="1" t="s">
        <v>74</v>
      </c>
      <c r="D259" s="1" t="s">
        <v>74</v>
      </c>
      <c r="E259" s="1" t="s">
        <v>74</v>
      </c>
      <c r="F259" s="1" t="s">
        <v>2753</v>
      </c>
      <c r="G259" s="1" t="s">
        <v>74</v>
      </c>
      <c r="H259" s="1" t="s">
        <v>74</v>
      </c>
      <c r="I259" s="1" t="s">
        <v>2754</v>
      </c>
      <c r="J259" s="1" t="s">
        <v>2755</v>
      </c>
      <c r="K259" s="1" t="s">
        <v>74</v>
      </c>
      <c r="L259" s="1" t="s">
        <v>74</v>
      </c>
      <c r="M259" s="1" t="s">
        <v>74</v>
      </c>
      <c r="N259" s="1" t="s">
        <v>74</v>
      </c>
      <c r="O259" s="1" t="s">
        <v>74</v>
      </c>
      <c r="P259" s="1" t="s">
        <v>74</v>
      </c>
      <c r="Q259" s="1" t="s">
        <v>74</v>
      </c>
      <c r="R259" s="1" t="s">
        <v>74</v>
      </c>
      <c r="S259" s="1" t="s">
        <v>74</v>
      </c>
      <c r="T259" s="1" t="s">
        <v>74</v>
      </c>
      <c r="U259" s="1" t="s">
        <v>74</v>
      </c>
      <c r="V259" s="1" t="s">
        <v>2756</v>
      </c>
      <c r="W259" s="1" t="s">
        <v>74</v>
      </c>
      <c r="X259" s="1" t="s">
        <v>74</v>
      </c>
      <c r="Y259" s="1" t="s">
        <v>74</v>
      </c>
      <c r="Z259" s="1" t="s">
        <v>74</v>
      </c>
      <c r="AA259" s="1" t="s">
        <v>2757</v>
      </c>
      <c r="AB259" s="1" t="s">
        <v>2758</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2759</v>
      </c>
      <c r="AP259" s="1" t="s">
        <v>74</v>
      </c>
      <c r="AQ259" s="1" t="s">
        <v>74</v>
      </c>
      <c r="AR259" s="1" t="s">
        <v>74</v>
      </c>
      <c r="AS259" s="1" t="s">
        <v>74</v>
      </c>
      <c r="AT259" s="1" t="s">
        <v>298</v>
      </c>
      <c r="AU259" s="1">
        <v>2019.0</v>
      </c>
      <c r="AV259" s="1">
        <v>43.0</v>
      </c>
      <c r="AW259" s="1" t="s">
        <v>74</v>
      </c>
      <c r="AX259" s="1" t="s">
        <v>74</v>
      </c>
      <c r="AY259" s="1" t="s">
        <v>74</v>
      </c>
      <c r="AZ259" s="1" t="s">
        <v>74</v>
      </c>
      <c r="BA259" s="1" t="s">
        <v>74</v>
      </c>
      <c r="BB259" s="1">
        <v>223.0</v>
      </c>
      <c r="BC259" s="1">
        <v>425.0</v>
      </c>
      <c r="BD259" s="1" t="s">
        <v>74</v>
      </c>
      <c r="BE259" s="1" t="s">
        <v>2760</v>
      </c>
      <c r="BF259" s="2" t="str">
        <f>HYPERLINK("http://dx.doi.org/10.3767/persoonia.2019.43.06","http://dx.doi.org/10.3767/persoonia.2019.43.06")</f>
        <v>http://dx.doi.org/10.3767/persoonia.2019.43.06</v>
      </c>
      <c r="BG259" s="1" t="s">
        <v>74</v>
      </c>
      <c r="BH259" s="1" t="s">
        <v>74</v>
      </c>
      <c r="BI259" s="1" t="s">
        <v>74</v>
      </c>
      <c r="BJ259" s="1" t="s">
        <v>74</v>
      </c>
      <c r="BK259" s="1" t="s">
        <v>74</v>
      </c>
      <c r="BL259" s="1" t="s">
        <v>74</v>
      </c>
      <c r="BM259" s="1" t="s">
        <v>74</v>
      </c>
      <c r="BN259" s="1">
        <v>3.2214501E7</v>
      </c>
      <c r="BO259" s="1" t="s">
        <v>74</v>
      </c>
      <c r="BP259" s="1" t="s">
        <v>74</v>
      </c>
      <c r="BQ259" s="1" t="s">
        <v>74</v>
      </c>
      <c r="BR259" s="1" t="s">
        <v>74</v>
      </c>
      <c r="BS259" s="1" t="s">
        <v>2761</v>
      </c>
      <c r="BT259" s="1" t="str">
        <f>HYPERLINK("https%3A%2F%2Fwww.webofscience.com%2Fwos%2Fwoscc%2Ffull-record%2FWOS:000519762600007","View Full Record in Web of Science")</f>
        <v>View Full Record in Web of Science</v>
      </c>
    </row>
    <row r="260" ht="12.75" customHeight="1">
      <c r="A260" s="1" t="s">
        <v>72</v>
      </c>
      <c r="B260" s="1" t="s">
        <v>2762</v>
      </c>
      <c r="C260" s="1" t="s">
        <v>74</v>
      </c>
      <c r="D260" s="1" t="s">
        <v>74</v>
      </c>
      <c r="E260" s="1" t="s">
        <v>74</v>
      </c>
      <c r="F260" s="1" t="s">
        <v>2763</v>
      </c>
      <c r="G260" s="1" t="s">
        <v>74</v>
      </c>
      <c r="H260" s="1" t="s">
        <v>2764</v>
      </c>
      <c r="I260" s="1" t="s">
        <v>2765</v>
      </c>
      <c r="J260" s="1" t="s">
        <v>2766</v>
      </c>
      <c r="K260" s="1" t="s">
        <v>74</v>
      </c>
      <c r="L260" s="1" t="s">
        <v>74</v>
      </c>
      <c r="M260" s="1" t="s">
        <v>74</v>
      </c>
      <c r="N260" s="1" t="s">
        <v>74</v>
      </c>
      <c r="O260" s="1" t="s">
        <v>74</v>
      </c>
      <c r="P260" s="1" t="s">
        <v>74</v>
      </c>
      <c r="Q260" s="1" t="s">
        <v>74</v>
      </c>
      <c r="R260" s="1" t="s">
        <v>74</v>
      </c>
      <c r="S260" s="1" t="s">
        <v>74</v>
      </c>
      <c r="T260" s="1" t="s">
        <v>74</v>
      </c>
      <c r="U260" s="1" t="s">
        <v>74</v>
      </c>
      <c r="V260" s="1" t="s">
        <v>2767</v>
      </c>
      <c r="W260" s="1" t="s">
        <v>74</v>
      </c>
      <c r="X260" s="1" t="s">
        <v>74</v>
      </c>
      <c r="Y260" s="1" t="s">
        <v>74</v>
      </c>
      <c r="Z260" s="1" t="s">
        <v>74</v>
      </c>
      <c r="AA260" s="1" t="s">
        <v>2768</v>
      </c>
      <c r="AB260" s="1" t="s">
        <v>2769</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2770</v>
      </c>
      <c r="AP260" s="1" t="s">
        <v>2771</v>
      </c>
      <c r="AQ260" s="1" t="s">
        <v>74</v>
      </c>
      <c r="AR260" s="1" t="s">
        <v>74</v>
      </c>
      <c r="AS260" s="1" t="s">
        <v>74</v>
      </c>
      <c r="AT260" s="1" t="s">
        <v>757</v>
      </c>
      <c r="AU260" s="1">
        <v>2019.0</v>
      </c>
      <c r="AV260" s="1">
        <v>139.0</v>
      </c>
      <c r="AW260" s="1">
        <v>5.0</v>
      </c>
      <c r="AX260" s="1" t="s">
        <v>74</v>
      </c>
      <c r="AY260" s="1" t="s">
        <v>74</v>
      </c>
      <c r="AZ260" s="1" t="s">
        <v>74</v>
      </c>
      <c r="BA260" s="1" t="s">
        <v>74</v>
      </c>
      <c r="BB260" s="1">
        <v>1023.0</v>
      </c>
      <c r="BC260" s="1">
        <v>1036.0</v>
      </c>
      <c r="BD260" s="1" t="s">
        <v>74</v>
      </c>
      <c r="BE260" s="1" t="s">
        <v>2772</v>
      </c>
      <c r="BF260" s="2" t="str">
        <f>HYPERLINK("http://dx.doi.org/10.1016/j.jid.2018.08.035","http://dx.doi.org/10.1016/j.jid.2018.08.035")</f>
        <v>http://dx.doi.org/10.1016/j.jid.2018.08.035</v>
      </c>
      <c r="BG260" s="1" t="s">
        <v>74</v>
      </c>
      <c r="BH260" s="1" t="s">
        <v>74</v>
      </c>
      <c r="BI260" s="1" t="s">
        <v>74</v>
      </c>
      <c r="BJ260" s="1" t="s">
        <v>74</v>
      </c>
      <c r="BK260" s="1" t="s">
        <v>74</v>
      </c>
      <c r="BL260" s="1" t="s">
        <v>74</v>
      </c>
      <c r="BM260" s="1" t="s">
        <v>74</v>
      </c>
      <c r="BN260" s="1">
        <v>3.0521836E7</v>
      </c>
      <c r="BO260" s="1" t="s">
        <v>74</v>
      </c>
      <c r="BP260" s="1" t="s">
        <v>74</v>
      </c>
      <c r="BQ260" s="1" t="s">
        <v>74</v>
      </c>
      <c r="BR260" s="1" t="s">
        <v>74</v>
      </c>
      <c r="BS260" s="1" t="s">
        <v>2773</v>
      </c>
      <c r="BT260" s="1" t="str">
        <f>HYPERLINK("https%3A%2F%2Fwww.webofscience.com%2Fwos%2Fwoscc%2Ffull-record%2FWOS:000465209400011","View Full Record in Web of Science")</f>
        <v>View Full Record in Web of Science</v>
      </c>
    </row>
    <row r="261" ht="12.75" customHeight="1">
      <c r="A261" s="1" t="s">
        <v>72</v>
      </c>
      <c r="B261" s="1" t="s">
        <v>2774</v>
      </c>
      <c r="C261" s="1" t="s">
        <v>74</v>
      </c>
      <c r="D261" s="1" t="s">
        <v>74</v>
      </c>
      <c r="E261" s="1" t="s">
        <v>74</v>
      </c>
      <c r="F261" s="1" t="s">
        <v>2775</v>
      </c>
      <c r="G261" s="1" t="s">
        <v>74</v>
      </c>
      <c r="H261" s="1" t="s">
        <v>2776</v>
      </c>
      <c r="I261" s="1" t="s">
        <v>2777</v>
      </c>
      <c r="J261" s="1" t="s">
        <v>406</v>
      </c>
      <c r="K261" s="1" t="s">
        <v>74</v>
      </c>
      <c r="L261" s="1" t="s">
        <v>74</v>
      </c>
      <c r="M261" s="1" t="s">
        <v>74</v>
      </c>
      <c r="N261" s="1" t="s">
        <v>74</v>
      </c>
      <c r="O261" s="1" t="s">
        <v>74</v>
      </c>
      <c r="P261" s="1" t="s">
        <v>74</v>
      </c>
      <c r="Q261" s="1" t="s">
        <v>74</v>
      </c>
      <c r="R261" s="1" t="s">
        <v>74</v>
      </c>
      <c r="S261" s="1" t="s">
        <v>74</v>
      </c>
      <c r="T261" s="1" t="s">
        <v>74</v>
      </c>
      <c r="U261" s="1" t="s">
        <v>74</v>
      </c>
      <c r="V261" s="1" t="s">
        <v>2778</v>
      </c>
      <c r="W261" s="1" t="s">
        <v>74</v>
      </c>
      <c r="X261" s="1" t="s">
        <v>74</v>
      </c>
      <c r="Y261" s="1" t="s">
        <v>74</v>
      </c>
      <c r="Z261" s="1" t="s">
        <v>74</v>
      </c>
      <c r="AA261" s="1" t="s">
        <v>2779</v>
      </c>
      <c r="AB261" s="1" t="s">
        <v>2780</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410</v>
      </c>
      <c r="AP261" s="1" t="s">
        <v>74</v>
      </c>
      <c r="AQ261" s="1" t="s">
        <v>74</v>
      </c>
      <c r="AR261" s="1" t="s">
        <v>74</v>
      </c>
      <c r="AS261" s="1" t="s">
        <v>74</v>
      </c>
      <c r="AT261" s="1" t="s">
        <v>2781</v>
      </c>
      <c r="AU261" s="1">
        <v>2023.0</v>
      </c>
      <c r="AV261" s="1">
        <v>13.0</v>
      </c>
      <c r="AW261" s="1">
        <v>1.0</v>
      </c>
      <c r="AX261" s="1" t="s">
        <v>74</v>
      </c>
      <c r="AY261" s="1" t="s">
        <v>74</v>
      </c>
      <c r="AZ261" s="1" t="s">
        <v>74</v>
      </c>
      <c r="BA261" s="1" t="s">
        <v>74</v>
      </c>
      <c r="BB261" s="1" t="s">
        <v>74</v>
      </c>
      <c r="BC261" s="1" t="s">
        <v>74</v>
      </c>
      <c r="BD261" s="1">
        <v>4026.0</v>
      </c>
      <c r="BE261" s="1" t="s">
        <v>2782</v>
      </c>
      <c r="BF261" s="2" t="str">
        <f>HYPERLINK("http://dx.doi.org/10.1038/s41598-023-29114-w","http://dx.doi.org/10.1038/s41598-023-29114-w")</f>
        <v>http://dx.doi.org/10.1038/s41598-023-29114-w</v>
      </c>
      <c r="BG261" s="1" t="s">
        <v>74</v>
      </c>
      <c r="BH261" s="1" t="s">
        <v>74</v>
      </c>
      <c r="BI261" s="1" t="s">
        <v>74</v>
      </c>
      <c r="BJ261" s="1" t="s">
        <v>74</v>
      </c>
      <c r="BK261" s="1" t="s">
        <v>74</v>
      </c>
      <c r="BL261" s="1" t="s">
        <v>74</v>
      </c>
      <c r="BM261" s="1" t="s">
        <v>74</v>
      </c>
      <c r="BN261" s="1">
        <v>3.6899016E7</v>
      </c>
      <c r="BO261" s="1" t="s">
        <v>74</v>
      </c>
      <c r="BP261" s="1" t="s">
        <v>74</v>
      </c>
      <c r="BQ261" s="1" t="s">
        <v>74</v>
      </c>
      <c r="BR261" s="1" t="s">
        <v>74</v>
      </c>
      <c r="BS261" s="1" t="s">
        <v>2783</v>
      </c>
      <c r="BT261" s="1" t="str">
        <f>HYPERLINK("https%3A%2F%2Fwww.webofscience.com%2Fwos%2Fwoscc%2Ffull-record%2FWOS:000989359600010","View Full Record in Web of Science")</f>
        <v>View Full Record in Web of Science</v>
      </c>
    </row>
    <row r="262" ht="12.75" customHeight="1">
      <c r="A262" s="1" t="s">
        <v>72</v>
      </c>
      <c r="B262" s="1" t="s">
        <v>2784</v>
      </c>
      <c r="C262" s="1" t="s">
        <v>74</v>
      </c>
      <c r="D262" s="1" t="s">
        <v>74</v>
      </c>
      <c r="E262" s="1" t="s">
        <v>74</v>
      </c>
      <c r="F262" s="1" t="s">
        <v>2785</v>
      </c>
      <c r="G262" s="1" t="s">
        <v>74</v>
      </c>
      <c r="H262" s="1" t="s">
        <v>2786</v>
      </c>
      <c r="I262" s="1" t="s">
        <v>2787</v>
      </c>
      <c r="J262" s="1" t="s">
        <v>2788</v>
      </c>
      <c r="K262" s="1" t="s">
        <v>74</v>
      </c>
      <c r="L262" s="1" t="s">
        <v>74</v>
      </c>
      <c r="M262" s="1" t="s">
        <v>74</v>
      </c>
      <c r="N262" s="1" t="s">
        <v>74</v>
      </c>
      <c r="O262" s="1" t="s">
        <v>74</v>
      </c>
      <c r="P262" s="1" t="s">
        <v>74</v>
      </c>
      <c r="Q262" s="1" t="s">
        <v>74</v>
      </c>
      <c r="R262" s="1" t="s">
        <v>74</v>
      </c>
      <c r="S262" s="1" t="s">
        <v>74</v>
      </c>
      <c r="T262" s="1" t="s">
        <v>74</v>
      </c>
      <c r="U262" s="1" t="s">
        <v>74</v>
      </c>
      <c r="V262" s="1" t="s">
        <v>74</v>
      </c>
      <c r="W262" s="1" t="s">
        <v>74</v>
      </c>
      <c r="X262" s="1" t="s">
        <v>74</v>
      </c>
      <c r="Y262" s="1" t="s">
        <v>74</v>
      </c>
      <c r="Z262" s="1" t="s">
        <v>74</v>
      </c>
      <c r="AA262" s="1" t="s">
        <v>2789</v>
      </c>
      <c r="AB262" s="1" t="s">
        <v>2790</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2791</v>
      </c>
      <c r="AP262" s="1" t="s">
        <v>2792</v>
      </c>
      <c r="AQ262" s="1" t="s">
        <v>74</v>
      </c>
      <c r="AR262" s="1" t="s">
        <v>74</v>
      </c>
      <c r="AS262" s="1" t="s">
        <v>74</v>
      </c>
      <c r="AT262" s="1" t="s">
        <v>2793</v>
      </c>
      <c r="AU262" s="1">
        <v>2019.0</v>
      </c>
      <c r="AV262" s="1">
        <v>19.0</v>
      </c>
      <c r="AW262" s="1">
        <v>10.0</v>
      </c>
      <c r="AX262" s="1" t="s">
        <v>74</v>
      </c>
      <c r="AY262" s="1" t="s">
        <v>74</v>
      </c>
      <c r="AZ262" s="1" t="s">
        <v>74</v>
      </c>
      <c r="BA262" s="1" t="s">
        <v>74</v>
      </c>
      <c r="BB262" s="1">
        <v>17.0</v>
      </c>
      <c r="BC262" s="1">
        <v>28.0</v>
      </c>
      <c r="BD262" s="1" t="s">
        <v>74</v>
      </c>
      <c r="BE262" s="1" t="s">
        <v>2794</v>
      </c>
      <c r="BF262" s="2" t="str">
        <f>HYPERLINK("http://dx.doi.org/10.1080/15265161.2019.1643945","http://dx.doi.org/10.1080/15265161.2019.1643945")</f>
        <v>http://dx.doi.org/10.1080/15265161.2019.1643945</v>
      </c>
      <c r="BG262" s="1" t="s">
        <v>74</v>
      </c>
      <c r="BH262" s="1" t="s">
        <v>74</v>
      </c>
      <c r="BI262" s="1" t="s">
        <v>74</v>
      </c>
      <c r="BJ262" s="1" t="s">
        <v>74</v>
      </c>
      <c r="BK262" s="1" t="s">
        <v>74</v>
      </c>
      <c r="BL262" s="1" t="s">
        <v>74</v>
      </c>
      <c r="BM262" s="1" t="s">
        <v>74</v>
      </c>
      <c r="BN262" s="1">
        <v>3.1557092E7</v>
      </c>
      <c r="BO262" s="1" t="s">
        <v>74</v>
      </c>
      <c r="BP262" s="1" t="s">
        <v>74</v>
      </c>
      <c r="BQ262" s="1" t="s">
        <v>74</v>
      </c>
      <c r="BR262" s="1" t="s">
        <v>74</v>
      </c>
      <c r="BS262" s="1" t="s">
        <v>2795</v>
      </c>
      <c r="BT262" s="1" t="str">
        <f>HYPERLINK("https%3A%2F%2Fwww.webofscience.com%2Fwos%2Fwoscc%2Ffull-record%2FWOS:000487986000012","View Full Record in Web of Science")</f>
        <v>View Full Record in Web of Science</v>
      </c>
    </row>
    <row r="263" ht="12.75" customHeight="1">
      <c r="A263" s="1" t="s">
        <v>72</v>
      </c>
      <c r="B263" s="1" t="s">
        <v>2796</v>
      </c>
      <c r="C263" s="1" t="s">
        <v>74</v>
      </c>
      <c r="D263" s="1" t="s">
        <v>74</v>
      </c>
      <c r="E263" s="1" t="s">
        <v>74</v>
      </c>
      <c r="F263" s="1" t="s">
        <v>2797</v>
      </c>
      <c r="G263" s="1" t="s">
        <v>74</v>
      </c>
      <c r="H263" s="1" t="s">
        <v>74</v>
      </c>
      <c r="I263" s="1" t="s">
        <v>2798</v>
      </c>
      <c r="J263" s="1" t="s">
        <v>2799</v>
      </c>
      <c r="K263" s="1" t="s">
        <v>74</v>
      </c>
      <c r="L263" s="1" t="s">
        <v>74</v>
      </c>
      <c r="M263" s="1" t="s">
        <v>74</v>
      </c>
      <c r="N263" s="1" t="s">
        <v>74</v>
      </c>
      <c r="O263" s="1" t="s">
        <v>74</v>
      </c>
      <c r="P263" s="1" t="s">
        <v>74</v>
      </c>
      <c r="Q263" s="1" t="s">
        <v>74</v>
      </c>
      <c r="R263" s="1" t="s">
        <v>74</v>
      </c>
      <c r="S263" s="1" t="s">
        <v>74</v>
      </c>
      <c r="T263" s="1" t="s">
        <v>74</v>
      </c>
      <c r="U263" s="1" t="s">
        <v>74</v>
      </c>
      <c r="V263" s="1" t="s">
        <v>2800</v>
      </c>
      <c r="W263" s="1" t="s">
        <v>74</v>
      </c>
      <c r="X263" s="1" t="s">
        <v>74</v>
      </c>
      <c r="Y263" s="1" t="s">
        <v>74</v>
      </c>
      <c r="Z263" s="1" t="s">
        <v>74</v>
      </c>
      <c r="AA263" s="1" t="s">
        <v>2801</v>
      </c>
      <c r="AB263" s="1" t="s">
        <v>2802</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2803</v>
      </c>
      <c r="AP263" s="1" t="s">
        <v>2804</v>
      </c>
      <c r="AQ263" s="1" t="s">
        <v>74</v>
      </c>
      <c r="AR263" s="1" t="s">
        <v>74</v>
      </c>
      <c r="AS263" s="1" t="s">
        <v>74</v>
      </c>
      <c r="AT263" s="1" t="s">
        <v>275</v>
      </c>
      <c r="AU263" s="1">
        <v>2025.0</v>
      </c>
      <c r="AV263" s="1">
        <v>24.0</v>
      </c>
      <c r="AW263" s="1">
        <v>3.0</v>
      </c>
      <c r="AX263" s="1" t="s">
        <v>74</v>
      </c>
      <c r="AY263" s="1" t="s">
        <v>74</v>
      </c>
      <c r="AZ263" s="1" t="s">
        <v>74</v>
      </c>
      <c r="BA263" s="1" t="s">
        <v>74</v>
      </c>
      <c r="BB263" s="1">
        <v>357.0</v>
      </c>
      <c r="BC263" s="1">
        <v>392.0</v>
      </c>
      <c r="BD263" s="1" t="s">
        <v>74</v>
      </c>
      <c r="BE263" s="1" t="s">
        <v>2805</v>
      </c>
      <c r="BF263" s="2" t="str">
        <f>HYPERLINK("http://dx.doi.org/10.1007/s43630-025-00687-x","http://dx.doi.org/10.1007/s43630-025-00687-x")</f>
        <v>http://dx.doi.org/10.1007/s43630-025-00687-x</v>
      </c>
      <c r="BG263" s="1" t="s">
        <v>74</v>
      </c>
      <c r="BH263" s="1" t="s">
        <v>2806</v>
      </c>
      <c r="BI263" s="1" t="s">
        <v>74</v>
      </c>
      <c r="BJ263" s="1" t="s">
        <v>74</v>
      </c>
      <c r="BK263" s="1" t="s">
        <v>74</v>
      </c>
      <c r="BL263" s="1" t="s">
        <v>74</v>
      </c>
      <c r="BM263" s="1" t="s">
        <v>74</v>
      </c>
      <c r="BN263" s="1">
        <v>4.0095356E7</v>
      </c>
      <c r="BO263" s="1" t="s">
        <v>74</v>
      </c>
      <c r="BP263" s="1" t="s">
        <v>74</v>
      </c>
      <c r="BQ263" s="1" t="s">
        <v>74</v>
      </c>
      <c r="BR263" s="1" t="s">
        <v>74</v>
      </c>
      <c r="BS263" s="1" t="s">
        <v>2807</v>
      </c>
      <c r="BT263" s="1" t="str">
        <f>HYPERLINK("https%3A%2F%2Fwww.webofscience.com%2Fwos%2Fwoscc%2Ffull-record%2FWOS:001446143000001","View Full Record in Web of Science")</f>
        <v>View Full Record in Web of Science</v>
      </c>
    </row>
    <row r="264" ht="12.75" customHeight="1">
      <c r="A264" s="1" t="s">
        <v>72</v>
      </c>
      <c r="B264" s="1" t="s">
        <v>2808</v>
      </c>
      <c r="C264" s="1" t="s">
        <v>74</v>
      </c>
      <c r="D264" s="1" t="s">
        <v>74</v>
      </c>
      <c r="E264" s="1" t="s">
        <v>74</v>
      </c>
      <c r="F264" s="1" t="s">
        <v>2809</v>
      </c>
      <c r="G264" s="1" t="s">
        <v>74</v>
      </c>
      <c r="H264" s="1" t="s">
        <v>74</v>
      </c>
      <c r="I264" s="1" t="s">
        <v>2810</v>
      </c>
      <c r="J264" s="1" t="s">
        <v>2811</v>
      </c>
      <c r="K264" s="1" t="s">
        <v>74</v>
      </c>
      <c r="L264" s="1" t="s">
        <v>74</v>
      </c>
      <c r="M264" s="1" t="s">
        <v>74</v>
      </c>
      <c r="N264" s="1" t="s">
        <v>74</v>
      </c>
      <c r="O264" s="1" t="s">
        <v>74</v>
      </c>
      <c r="P264" s="1" t="s">
        <v>74</v>
      </c>
      <c r="Q264" s="1" t="s">
        <v>74</v>
      </c>
      <c r="R264" s="1" t="s">
        <v>74</v>
      </c>
      <c r="S264" s="1" t="s">
        <v>74</v>
      </c>
      <c r="T264" s="1" t="s">
        <v>74</v>
      </c>
      <c r="U264" s="1" t="s">
        <v>74</v>
      </c>
      <c r="V264" s="1" t="s">
        <v>2812</v>
      </c>
      <c r="W264" s="1" t="s">
        <v>74</v>
      </c>
      <c r="X264" s="1" t="s">
        <v>74</v>
      </c>
      <c r="Y264" s="1" t="s">
        <v>74</v>
      </c>
      <c r="Z264" s="1" t="s">
        <v>74</v>
      </c>
      <c r="AA264" s="1" t="s">
        <v>2813</v>
      </c>
      <c r="AB264" s="1" t="s">
        <v>2814</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2815</v>
      </c>
      <c r="AP264" s="1" t="s">
        <v>2816</v>
      </c>
      <c r="AQ264" s="1" t="s">
        <v>74</v>
      </c>
      <c r="AR264" s="1" t="s">
        <v>74</v>
      </c>
      <c r="AS264" s="1" t="s">
        <v>74</v>
      </c>
      <c r="AT264" s="1" t="s">
        <v>2817</v>
      </c>
      <c r="AU264" s="1">
        <v>2021.0</v>
      </c>
      <c r="AV264" s="1">
        <v>308.0</v>
      </c>
      <c r="AW264" s="1" t="s">
        <v>74</v>
      </c>
      <c r="AX264" s="1" t="s">
        <v>74</v>
      </c>
      <c r="AY264" s="1" t="s">
        <v>74</v>
      </c>
      <c r="AZ264" s="1" t="s">
        <v>74</v>
      </c>
      <c r="BA264" s="1" t="s">
        <v>74</v>
      </c>
      <c r="BB264" s="1" t="s">
        <v>74</v>
      </c>
      <c r="BC264" s="1" t="s">
        <v>74</v>
      </c>
      <c r="BD264" s="1">
        <v>108528.0</v>
      </c>
      <c r="BE264" s="1" t="s">
        <v>2818</v>
      </c>
      <c r="BF264" s="2" t="str">
        <f>HYPERLINK("http://dx.doi.org/10.1016/j.agrformet.2021.108528","http://dx.doi.org/10.1016/j.agrformet.2021.108528")</f>
        <v>http://dx.doi.org/10.1016/j.agrformet.2021.108528</v>
      </c>
      <c r="BG264" s="1" t="s">
        <v>74</v>
      </c>
      <c r="BH264" s="1" t="s">
        <v>1611</v>
      </c>
      <c r="BI264" s="1" t="s">
        <v>74</v>
      </c>
      <c r="BJ264" s="1" t="s">
        <v>74</v>
      </c>
      <c r="BK264" s="1" t="s">
        <v>74</v>
      </c>
      <c r="BL264" s="1" t="s">
        <v>74</v>
      </c>
      <c r="BM264" s="1" t="s">
        <v>74</v>
      </c>
      <c r="BN264" s="1" t="s">
        <v>74</v>
      </c>
      <c r="BO264" s="1" t="s">
        <v>74</v>
      </c>
      <c r="BP264" s="1" t="s">
        <v>74</v>
      </c>
      <c r="BQ264" s="1" t="s">
        <v>74</v>
      </c>
      <c r="BR264" s="1" t="s">
        <v>74</v>
      </c>
      <c r="BS264" s="1" t="s">
        <v>2819</v>
      </c>
      <c r="BT264" s="1" t="str">
        <f>HYPERLINK("https%3A%2F%2Fwww.webofscience.com%2Fwos%2Fwoscc%2Ffull-record%2FWOS:000692679900002","View Full Record in Web of Science")</f>
        <v>View Full Record in Web of Science</v>
      </c>
    </row>
    <row r="265" ht="12.75" customHeight="1">
      <c r="A265" s="1" t="s">
        <v>72</v>
      </c>
      <c r="B265" s="1" t="s">
        <v>2820</v>
      </c>
      <c r="C265" s="1" t="s">
        <v>74</v>
      </c>
      <c r="D265" s="1" t="s">
        <v>74</v>
      </c>
      <c r="E265" s="1" t="s">
        <v>74</v>
      </c>
      <c r="F265" s="1" t="s">
        <v>2821</v>
      </c>
      <c r="G265" s="1" t="s">
        <v>74</v>
      </c>
      <c r="H265" s="1" t="s">
        <v>74</v>
      </c>
      <c r="I265" s="1" t="s">
        <v>2822</v>
      </c>
      <c r="J265" s="1" t="s">
        <v>2823</v>
      </c>
      <c r="K265" s="1" t="s">
        <v>74</v>
      </c>
      <c r="L265" s="1" t="s">
        <v>74</v>
      </c>
      <c r="M265" s="1" t="s">
        <v>74</v>
      </c>
      <c r="N265" s="1" t="s">
        <v>74</v>
      </c>
      <c r="O265" s="1" t="s">
        <v>74</v>
      </c>
      <c r="P265" s="1" t="s">
        <v>74</v>
      </c>
      <c r="Q265" s="1" t="s">
        <v>74</v>
      </c>
      <c r="R265" s="1" t="s">
        <v>74</v>
      </c>
      <c r="S265" s="1" t="s">
        <v>74</v>
      </c>
      <c r="T265" s="1" t="s">
        <v>74</v>
      </c>
      <c r="U265" s="1" t="s">
        <v>74</v>
      </c>
      <c r="V265" s="1" t="s">
        <v>2824</v>
      </c>
      <c r="W265" s="1" t="s">
        <v>74</v>
      </c>
      <c r="X265" s="1" t="s">
        <v>74</v>
      </c>
      <c r="Y265" s="1" t="s">
        <v>74</v>
      </c>
      <c r="Z265" s="1" t="s">
        <v>74</v>
      </c>
      <c r="AA265" s="1" t="s">
        <v>2825</v>
      </c>
      <c r="AB265" s="1" t="s">
        <v>2826</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2827</v>
      </c>
      <c r="AP265" s="1" t="s">
        <v>2828</v>
      </c>
      <c r="AQ265" s="1" t="s">
        <v>74</v>
      </c>
      <c r="AR265" s="1" t="s">
        <v>74</v>
      </c>
      <c r="AS265" s="1" t="s">
        <v>74</v>
      </c>
      <c r="AT265" s="1" t="s">
        <v>275</v>
      </c>
      <c r="AU265" s="1">
        <v>2023.0</v>
      </c>
      <c r="AV265" s="1">
        <v>21.0</v>
      </c>
      <c r="AW265" s="1">
        <v>2.0</v>
      </c>
      <c r="AX265" s="1" t="s">
        <v>74</v>
      </c>
      <c r="AY265" s="1" t="s">
        <v>74</v>
      </c>
      <c r="AZ265" s="1" t="s">
        <v>74</v>
      </c>
      <c r="BA265" s="1" t="s">
        <v>74</v>
      </c>
      <c r="BB265" s="1">
        <v>94.0</v>
      </c>
      <c r="BC265" s="1">
        <v>103.0</v>
      </c>
      <c r="BD265" s="1" t="s">
        <v>74</v>
      </c>
      <c r="BE265" s="1" t="s">
        <v>2829</v>
      </c>
      <c r="BF265" s="2" t="str">
        <f>HYPERLINK("http://dx.doi.org/10.1002/fee.2536","http://dx.doi.org/10.1002/fee.2536")</f>
        <v>http://dx.doi.org/10.1002/fee.2536</v>
      </c>
      <c r="BG265" s="1" t="s">
        <v>74</v>
      </c>
      <c r="BH265" s="1" t="s">
        <v>875</v>
      </c>
      <c r="BI265" s="1" t="s">
        <v>74</v>
      </c>
      <c r="BJ265" s="1" t="s">
        <v>74</v>
      </c>
      <c r="BK265" s="1" t="s">
        <v>74</v>
      </c>
      <c r="BL265" s="1" t="s">
        <v>74</v>
      </c>
      <c r="BM265" s="1" t="s">
        <v>74</v>
      </c>
      <c r="BN265" s="1" t="s">
        <v>74</v>
      </c>
      <c r="BO265" s="1" t="s">
        <v>74</v>
      </c>
      <c r="BP265" s="1" t="s">
        <v>74</v>
      </c>
      <c r="BQ265" s="1" t="s">
        <v>74</v>
      </c>
      <c r="BR265" s="1" t="s">
        <v>74</v>
      </c>
      <c r="BS265" s="1" t="s">
        <v>2830</v>
      </c>
      <c r="BT265" s="1" t="str">
        <f>HYPERLINK("https%3A%2F%2Fwww.webofscience.com%2Fwos%2Fwoscc%2Ffull-record%2FWOS:000826437800001","View Full Record in Web of Science")</f>
        <v>View Full Record in Web of Science</v>
      </c>
    </row>
    <row r="266" ht="12.75" customHeight="1">
      <c r="A266" s="1" t="s">
        <v>72</v>
      </c>
      <c r="B266" s="1" t="s">
        <v>2831</v>
      </c>
      <c r="C266" s="1" t="s">
        <v>74</v>
      </c>
      <c r="D266" s="1" t="s">
        <v>74</v>
      </c>
      <c r="E266" s="1" t="s">
        <v>74</v>
      </c>
      <c r="F266" s="1" t="s">
        <v>2832</v>
      </c>
      <c r="G266" s="1" t="s">
        <v>74</v>
      </c>
      <c r="H266" s="1" t="s">
        <v>74</v>
      </c>
      <c r="I266" s="1" t="s">
        <v>2833</v>
      </c>
      <c r="J266" s="1" t="s">
        <v>1871</v>
      </c>
      <c r="K266" s="1" t="s">
        <v>74</v>
      </c>
      <c r="L266" s="1" t="s">
        <v>74</v>
      </c>
      <c r="M266" s="1" t="s">
        <v>74</v>
      </c>
      <c r="N266" s="1" t="s">
        <v>74</v>
      </c>
      <c r="O266" s="1" t="s">
        <v>74</v>
      </c>
      <c r="P266" s="1" t="s">
        <v>74</v>
      </c>
      <c r="Q266" s="1" t="s">
        <v>74</v>
      </c>
      <c r="R266" s="1" t="s">
        <v>74</v>
      </c>
      <c r="S266" s="1" t="s">
        <v>74</v>
      </c>
      <c r="T266" s="1" t="s">
        <v>74</v>
      </c>
      <c r="U266" s="1" t="s">
        <v>74</v>
      </c>
      <c r="V266" s="1" t="s">
        <v>2834</v>
      </c>
      <c r="W266" s="1" t="s">
        <v>74</v>
      </c>
      <c r="X266" s="1" t="s">
        <v>74</v>
      </c>
      <c r="Y266" s="1" t="s">
        <v>74</v>
      </c>
      <c r="Z266" s="1" t="s">
        <v>74</v>
      </c>
      <c r="AA266" s="1" t="s">
        <v>2835</v>
      </c>
      <c r="AB266" s="1" t="s">
        <v>2836</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1875</v>
      </c>
      <c r="AP266" s="1" t="s">
        <v>2837</v>
      </c>
      <c r="AQ266" s="1" t="s">
        <v>74</v>
      </c>
      <c r="AR266" s="1" t="s">
        <v>74</v>
      </c>
      <c r="AS266" s="1" t="s">
        <v>74</v>
      </c>
      <c r="AT266" s="1" t="s">
        <v>411</v>
      </c>
      <c r="AU266" s="1">
        <v>2022.0</v>
      </c>
      <c r="AV266" s="1">
        <v>119.0</v>
      </c>
      <c r="AW266" s="1">
        <v>8.0</v>
      </c>
      <c r="AX266" s="1" t="s">
        <v>74</v>
      </c>
      <c r="AY266" s="1" t="s">
        <v>74</v>
      </c>
      <c r="AZ266" s="1" t="s">
        <v>74</v>
      </c>
      <c r="BA266" s="1" t="s">
        <v>74</v>
      </c>
      <c r="BB266" s="1" t="s">
        <v>74</v>
      </c>
      <c r="BC266" s="1" t="s">
        <v>74</v>
      </c>
      <c r="BD266" s="1" t="s">
        <v>2838</v>
      </c>
      <c r="BE266" s="1" t="s">
        <v>2839</v>
      </c>
      <c r="BF266" s="2" t="str">
        <f>HYPERLINK("http://dx.doi.org/10.1073/pnas.2113947119","http://dx.doi.org/10.1073/pnas.2113947119")</f>
        <v>http://dx.doi.org/10.1073/pnas.2113947119</v>
      </c>
      <c r="BG266" s="1" t="s">
        <v>74</v>
      </c>
      <c r="BH266" s="1" t="s">
        <v>74</v>
      </c>
      <c r="BI266" s="1" t="s">
        <v>74</v>
      </c>
      <c r="BJ266" s="1" t="s">
        <v>74</v>
      </c>
      <c r="BK266" s="1" t="s">
        <v>74</v>
      </c>
      <c r="BL266" s="1" t="s">
        <v>74</v>
      </c>
      <c r="BM266" s="1" t="s">
        <v>74</v>
      </c>
      <c r="BN266" s="1">
        <v>3.5165193E7</v>
      </c>
      <c r="BO266" s="1" t="s">
        <v>74</v>
      </c>
      <c r="BP266" s="1" t="s">
        <v>74</v>
      </c>
      <c r="BQ266" s="1" t="s">
        <v>74</v>
      </c>
      <c r="BR266" s="1" t="s">
        <v>74</v>
      </c>
      <c r="BS266" s="1" t="s">
        <v>2840</v>
      </c>
      <c r="BT266" s="1" t="str">
        <f>HYPERLINK("https%3A%2F%2Fwww.webofscience.com%2Fwos%2Fwoscc%2Ffull-record%2FWOS:000766924200012","View Full Record in Web of Science")</f>
        <v>View Full Record in Web of Science</v>
      </c>
    </row>
    <row r="267" ht="12.75" customHeight="1">
      <c r="A267" s="1" t="s">
        <v>72</v>
      </c>
      <c r="B267" s="1" t="s">
        <v>2841</v>
      </c>
      <c r="C267" s="1" t="s">
        <v>74</v>
      </c>
      <c r="D267" s="1" t="s">
        <v>74</v>
      </c>
      <c r="E267" s="1" t="s">
        <v>74</v>
      </c>
      <c r="F267" s="1" t="s">
        <v>2842</v>
      </c>
      <c r="G267" s="1" t="s">
        <v>74</v>
      </c>
      <c r="H267" s="1" t="s">
        <v>74</v>
      </c>
      <c r="I267" s="1" t="s">
        <v>2843</v>
      </c>
      <c r="J267" s="1" t="s">
        <v>2755</v>
      </c>
      <c r="K267" s="1" t="s">
        <v>74</v>
      </c>
      <c r="L267" s="1" t="s">
        <v>74</v>
      </c>
      <c r="M267" s="1" t="s">
        <v>74</v>
      </c>
      <c r="N267" s="1" t="s">
        <v>74</v>
      </c>
      <c r="O267" s="1" t="s">
        <v>74</v>
      </c>
      <c r="P267" s="1" t="s">
        <v>74</v>
      </c>
      <c r="Q267" s="1" t="s">
        <v>74</v>
      </c>
      <c r="R267" s="1" t="s">
        <v>74</v>
      </c>
      <c r="S267" s="1" t="s">
        <v>74</v>
      </c>
      <c r="T267" s="1" t="s">
        <v>74</v>
      </c>
      <c r="U267" s="1" t="s">
        <v>74</v>
      </c>
      <c r="V267" s="1" t="s">
        <v>2844</v>
      </c>
      <c r="W267" s="1" t="s">
        <v>74</v>
      </c>
      <c r="X267" s="1" t="s">
        <v>74</v>
      </c>
      <c r="Y267" s="1" t="s">
        <v>74</v>
      </c>
      <c r="Z267" s="1" t="s">
        <v>74</v>
      </c>
      <c r="AA267" s="1" t="s">
        <v>2845</v>
      </c>
      <c r="AB267" s="1" t="s">
        <v>2846</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2759</v>
      </c>
      <c r="AP267" s="1" t="s">
        <v>74</v>
      </c>
      <c r="AQ267" s="1" t="s">
        <v>74</v>
      </c>
      <c r="AR267" s="1" t="s">
        <v>74</v>
      </c>
      <c r="AS267" s="1" t="s">
        <v>74</v>
      </c>
      <c r="AT267" s="1" t="s">
        <v>200</v>
      </c>
      <c r="AU267" s="1">
        <v>2020.0</v>
      </c>
      <c r="AV267" s="1">
        <v>44.0</v>
      </c>
      <c r="AW267" s="1" t="s">
        <v>74</v>
      </c>
      <c r="AX267" s="1" t="s">
        <v>74</v>
      </c>
      <c r="AY267" s="1" t="s">
        <v>74</v>
      </c>
      <c r="AZ267" s="1" t="s">
        <v>74</v>
      </c>
      <c r="BA267" s="1" t="s">
        <v>74</v>
      </c>
      <c r="BB267" s="1">
        <v>301.0</v>
      </c>
      <c r="BC267" s="1">
        <v>459.0</v>
      </c>
      <c r="BD267" s="1" t="s">
        <v>74</v>
      </c>
      <c r="BE267" s="1" t="s">
        <v>2847</v>
      </c>
      <c r="BF267" s="2" t="str">
        <f>HYPERLINK("http://dx.doi.org/10.3767/persoonia.2020.44.11","http://dx.doi.org/10.3767/persoonia.2020.44.11")</f>
        <v>http://dx.doi.org/10.3767/persoonia.2020.44.11</v>
      </c>
      <c r="BG267" s="1" t="s">
        <v>74</v>
      </c>
      <c r="BH267" s="1" t="s">
        <v>74</v>
      </c>
      <c r="BI267" s="1" t="s">
        <v>74</v>
      </c>
      <c r="BJ267" s="1" t="s">
        <v>74</v>
      </c>
      <c r="BK267" s="1" t="s">
        <v>74</v>
      </c>
      <c r="BL267" s="1" t="s">
        <v>74</v>
      </c>
      <c r="BM267" s="1" t="s">
        <v>74</v>
      </c>
      <c r="BN267" s="1">
        <v>3.3116344E7</v>
      </c>
      <c r="BO267" s="1" t="s">
        <v>74</v>
      </c>
      <c r="BP267" s="1" t="s">
        <v>74</v>
      </c>
      <c r="BQ267" s="1" t="s">
        <v>74</v>
      </c>
      <c r="BR267" s="1" t="s">
        <v>74</v>
      </c>
      <c r="BS267" s="1" t="s">
        <v>2848</v>
      </c>
      <c r="BT267" s="1" t="str">
        <f>HYPERLINK("https%3A%2F%2Fwww.webofscience.com%2Fwos%2Fwoscc%2Ffull-record%2FWOS:000550058100011","View Full Record in Web of Science")</f>
        <v>View Full Record in Web of Science</v>
      </c>
    </row>
    <row r="268" ht="12.75" customHeight="1">
      <c r="A268" s="1" t="s">
        <v>72</v>
      </c>
      <c r="B268" s="1" t="s">
        <v>2849</v>
      </c>
      <c r="C268" s="1" t="s">
        <v>74</v>
      </c>
      <c r="D268" s="1" t="s">
        <v>74</v>
      </c>
      <c r="E268" s="1" t="s">
        <v>74</v>
      </c>
      <c r="F268" s="1" t="s">
        <v>2850</v>
      </c>
      <c r="G268" s="1" t="s">
        <v>74</v>
      </c>
      <c r="H268" s="1" t="s">
        <v>74</v>
      </c>
      <c r="I268" s="1" t="s">
        <v>2851</v>
      </c>
      <c r="J268" s="1" t="s">
        <v>244</v>
      </c>
      <c r="K268" s="1" t="s">
        <v>74</v>
      </c>
      <c r="L268" s="1" t="s">
        <v>74</v>
      </c>
      <c r="M268" s="1" t="s">
        <v>74</v>
      </c>
      <c r="N268" s="1" t="s">
        <v>74</v>
      </c>
      <c r="O268" s="1" t="s">
        <v>74</v>
      </c>
      <c r="P268" s="1" t="s">
        <v>74</v>
      </c>
      <c r="Q268" s="1" t="s">
        <v>74</v>
      </c>
      <c r="R268" s="1" t="s">
        <v>74</v>
      </c>
      <c r="S268" s="1" t="s">
        <v>74</v>
      </c>
      <c r="T268" s="1" t="s">
        <v>74</v>
      </c>
      <c r="U268" s="1" t="s">
        <v>74</v>
      </c>
      <c r="V268" s="1" t="s">
        <v>2852</v>
      </c>
      <c r="W268" s="1" t="s">
        <v>74</v>
      </c>
      <c r="X268" s="1" t="s">
        <v>74</v>
      </c>
      <c r="Y268" s="1" t="s">
        <v>74</v>
      </c>
      <c r="Z268" s="1" t="s">
        <v>74</v>
      </c>
      <c r="AA268" s="1" t="s">
        <v>2853</v>
      </c>
      <c r="AB268" s="1" t="s">
        <v>2854</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248</v>
      </c>
      <c r="AP268" s="1" t="s">
        <v>249</v>
      </c>
      <c r="AQ268" s="1" t="s">
        <v>74</v>
      </c>
      <c r="AR268" s="1" t="s">
        <v>74</v>
      </c>
      <c r="AS268" s="1" t="s">
        <v>74</v>
      </c>
      <c r="AT268" s="1" t="s">
        <v>108</v>
      </c>
      <c r="AU268" s="1">
        <v>2024.0</v>
      </c>
      <c r="AV268" s="1">
        <v>966.0</v>
      </c>
      <c r="AW268" s="1">
        <v>1.0</v>
      </c>
      <c r="AX268" s="1" t="s">
        <v>74</v>
      </c>
      <c r="AY268" s="1" t="s">
        <v>74</v>
      </c>
      <c r="AZ268" s="1" t="s">
        <v>74</v>
      </c>
      <c r="BA268" s="1" t="s">
        <v>74</v>
      </c>
      <c r="BB268" s="1" t="s">
        <v>74</v>
      </c>
      <c r="BC268" s="1" t="s">
        <v>74</v>
      </c>
      <c r="BD268" s="1" t="s">
        <v>2855</v>
      </c>
      <c r="BE268" s="1" t="s">
        <v>2856</v>
      </c>
      <c r="BF268" s="2" t="str">
        <f>HYPERLINK("http://dx.doi.org/10.3847/2041-8213/ad3e7c","http://dx.doi.org/10.3847/2041-8213/ad3e7c")</f>
        <v>http://dx.doi.org/10.3847/2041-8213/ad3e7c</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2857</v>
      </c>
      <c r="BT268" s="1" t="str">
        <f>HYPERLINK("https%3A%2F%2Fwww.webofscience.com%2Fwos%2Fwoscc%2Ffull-record%2FWOS:001253446900001","View Full Record in Web of Science")</f>
        <v>View Full Record in Web of Science</v>
      </c>
    </row>
    <row r="269" ht="12.75" customHeight="1">
      <c r="A269" s="1" t="s">
        <v>72</v>
      </c>
      <c r="B269" s="1" t="s">
        <v>2858</v>
      </c>
      <c r="C269" s="1" t="s">
        <v>74</v>
      </c>
      <c r="D269" s="1" t="s">
        <v>74</v>
      </c>
      <c r="E269" s="1" t="s">
        <v>74</v>
      </c>
      <c r="F269" s="1" t="s">
        <v>2859</v>
      </c>
      <c r="G269" s="1" t="s">
        <v>74</v>
      </c>
      <c r="H269" s="1" t="s">
        <v>74</v>
      </c>
      <c r="I269" s="1" t="s">
        <v>2860</v>
      </c>
      <c r="J269" s="1" t="s">
        <v>2755</v>
      </c>
      <c r="K269" s="1" t="s">
        <v>74</v>
      </c>
      <c r="L269" s="1" t="s">
        <v>74</v>
      </c>
      <c r="M269" s="1" t="s">
        <v>74</v>
      </c>
      <c r="N269" s="1" t="s">
        <v>74</v>
      </c>
      <c r="O269" s="1" t="s">
        <v>74</v>
      </c>
      <c r="P269" s="1" t="s">
        <v>74</v>
      </c>
      <c r="Q269" s="1" t="s">
        <v>74</v>
      </c>
      <c r="R269" s="1" t="s">
        <v>74</v>
      </c>
      <c r="S269" s="1" t="s">
        <v>74</v>
      </c>
      <c r="T269" s="1" t="s">
        <v>74</v>
      </c>
      <c r="U269" s="1" t="s">
        <v>74</v>
      </c>
      <c r="V269" s="1" t="s">
        <v>2861</v>
      </c>
      <c r="W269" s="1" t="s">
        <v>74</v>
      </c>
      <c r="X269" s="1" t="s">
        <v>74</v>
      </c>
      <c r="Y269" s="1" t="s">
        <v>74</v>
      </c>
      <c r="Z269" s="1" t="s">
        <v>74</v>
      </c>
      <c r="AA269" s="1" t="s">
        <v>2862</v>
      </c>
      <c r="AB269" s="1" t="s">
        <v>2863</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2759</v>
      </c>
      <c r="AP269" s="1" t="s">
        <v>74</v>
      </c>
      <c r="AQ269" s="1" t="s">
        <v>74</v>
      </c>
      <c r="AR269" s="1" t="s">
        <v>74</v>
      </c>
      <c r="AS269" s="1" t="s">
        <v>74</v>
      </c>
      <c r="AT269" s="1" t="s">
        <v>298</v>
      </c>
      <c r="AU269" s="1">
        <v>2021.0</v>
      </c>
      <c r="AV269" s="1">
        <v>47.0</v>
      </c>
      <c r="AW269" s="1" t="s">
        <v>74</v>
      </c>
      <c r="AX269" s="1" t="s">
        <v>74</v>
      </c>
      <c r="AY269" s="1" t="s">
        <v>74</v>
      </c>
      <c r="AZ269" s="1" t="s">
        <v>74</v>
      </c>
      <c r="BA269" s="1" t="s">
        <v>74</v>
      </c>
      <c r="BB269" s="1">
        <v>178.0</v>
      </c>
      <c r="BC269" s="1">
        <v>374.0</v>
      </c>
      <c r="BD269" s="1" t="s">
        <v>74</v>
      </c>
      <c r="BE269" s="1" t="s">
        <v>2864</v>
      </c>
      <c r="BF269" s="2" t="str">
        <f>HYPERLINK("http://dx.doi.org/10.3767/persoonia.2021.47.06","http://dx.doi.org/10.3767/persoonia.2021.47.06")</f>
        <v>http://dx.doi.org/10.3767/persoonia.2021.47.06</v>
      </c>
      <c r="BG269" s="1" t="s">
        <v>74</v>
      </c>
      <c r="BH269" s="1" t="s">
        <v>74</v>
      </c>
      <c r="BI269" s="1" t="s">
        <v>74</v>
      </c>
      <c r="BJ269" s="1" t="s">
        <v>74</v>
      </c>
      <c r="BK269" s="1" t="s">
        <v>74</v>
      </c>
      <c r="BL269" s="1" t="s">
        <v>74</v>
      </c>
      <c r="BM269" s="1" t="s">
        <v>74</v>
      </c>
      <c r="BN269" s="1">
        <v>3.7693795E7</v>
      </c>
      <c r="BO269" s="1" t="s">
        <v>74</v>
      </c>
      <c r="BP269" s="1" t="s">
        <v>74</v>
      </c>
      <c r="BQ269" s="1" t="s">
        <v>74</v>
      </c>
      <c r="BR269" s="1" t="s">
        <v>74</v>
      </c>
      <c r="BS269" s="1" t="s">
        <v>2865</v>
      </c>
      <c r="BT269" s="1" t="str">
        <f>HYPERLINK("https%3A%2F%2Fwww.webofscience.com%2Fwos%2Fwoscc%2Ffull-record%2FWOS:000747494100001","View Full Record in Web of Science")</f>
        <v>View Full Record in Web of Science</v>
      </c>
    </row>
    <row r="270" ht="12.75" customHeight="1">
      <c r="A270" s="1" t="s">
        <v>72</v>
      </c>
      <c r="B270" s="1" t="s">
        <v>2866</v>
      </c>
      <c r="C270" s="1" t="s">
        <v>74</v>
      </c>
      <c r="D270" s="1" t="s">
        <v>74</v>
      </c>
      <c r="E270" s="1" t="s">
        <v>74</v>
      </c>
      <c r="F270" s="1" t="s">
        <v>2867</v>
      </c>
      <c r="G270" s="1" t="s">
        <v>74</v>
      </c>
      <c r="H270" s="1" t="s">
        <v>74</v>
      </c>
      <c r="I270" s="1" t="s">
        <v>2868</v>
      </c>
      <c r="J270" s="1" t="s">
        <v>2316</v>
      </c>
      <c r="K270" s="1" t="s">
        <v>74</v>
      </c>
      <c r="L270" s="1" t="s">
        <v>74</v>
      </c>
      <c r="M270" s="1" t="s">
        <v>74</v>
      </c>
      <c r="N270" s="1" t="s">
        <v>74</v>
      </c>
      <c r="O270" s="1" t="s">
        <v>74</v>
      </c>
      <c r="P270" s="1" t="s">
        <v>74</v>
      </c>
      <c r="Q270" s="1" t="s">
        <v>74</v>
      </c>
      <c r="R270" s="1" t="s">
        <v>74</v>
      </c>
      <c r="S270" s="1" t="s">
        <v>74</v>
      </c>
      <c r="T270" s="1" t="s">
        <v>74</v>
      </c>
      <c r="U270" s="1" t="s">
        <v>74</v>
      </c>
      <c r="V270" s="1" t="s">
        <v>2869</v>
      </c>
      <c r="W270" s="1" t="s">
        <v>74</v>
      </c>
      <c r="X270" s="1" t="s">
        <v>74</v>
      </c>
      <c r="Y270" s="1" t="s">
        <v>74</v>
      </c>
      <c r="Z270" s="1" t="s">
        <v>74</v>
      </c>
      <c r="AA270" s="1" t="s">
        <v>2870</v>
      </c>
      <c r="AB270" s="1" t="s">
        <v>2871</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2320</v>
      </c>
      <c r="AP270" s="1" t="s">
        <v>2321</v>
      </c>
      <c r="AQ270" s="1" t="s">
        <v>74</v>
      </c>
      <c r="AR270" s="1" t="s">
        <v>74</v>
      </c>
      <c r="AS270" s="1" t="s">
        <v>74</v>
      </c>
      <c r="AT270" s="1" t="s">
        <v>2872</v>
      </c>
      <c r="AU270" s="1">
        <v>2021.0</v>
      </c>
      <c r="AV270" s="1">
        <v>13.0</v>
      </c>
      <c r="AW270" s="1">
        <v>7.0</v>
      </c>
      <c r="AX270" s="1" t="s">
        <v>74</v>
      </c>
      <c r="AY270" s="1" t="s">
        <v>74</v>
      </c>
      <c r="AZ270" s="1" t="s">
        <v>74</v>
      </c>
      <c r="BA270" s="1" t="s">
        <v>74</v>
      </c>
      <c r="BB270" s="1">
        <v>3607.0</v>
      </c>
      <c r="BC270" s="1">
        <v>3689.0</v>
      </c>
      <c r="BD270" s="1" t="s">
        <v>74</v>
      </c>
      <c r="BE270" s="1" t="s">
        <v>2873</v>
      </c>
      <c r="BF270" s="2" t="str">
        <f>HYPERLINK("http://dx.doi.org/10.5194/essd-13-3607-2021","http://dx.doi.org/10.5194/essd-13-3607-2021")</f>
        <v>http://dx.doi.org/10.5194/essd-13-3607-2021</v>
      </c>
      <c r="BG270" s="1" t="s">
        <v>74</v>
      </c>
      <c r="BH270" s="1" t="s">
        <v>74</v>
      </c>
      <c r="BI270" s="1" t="s">
        <v>74</v>
      </c>
      <c r="BJ270" s="1" t="s">
        <v>74</v>
      </c>
      <c r="BK270" s="1" t="s">
        <v>74</v>
      </c>
      <c r="BL270" s="1" t="s">
        <v>74</v>
      </c>
      <c r="BM270" s="1" t="s">
        <v>74</v>
      </c>
      <c r="BN270" s="1" t="s">
        <v>74</v>
      </c>
      <c r="BO270" s="1" t="s">
        <v>74</v>
      </c>
      <c r="BP270" s="1" t="s">
        <v>74</v>
      </c>
      <c r="BQ270" s="1" t="s">
        <v>74</v>
      </c>
      <c r="BR270" s="1" t="s">
        <v>74</v>
      </c>
      <c r="BS270" s="1" t="s">
        <v>2874</v>
      </c>
      <c r="BT270" s="1" t="str">
        <f>HYPERLINK("https%3A%2F%2Fwww.webofscience.com%2Fwos%2Fwoscc%2Ffull-record%2FWOS:000679888800004","View Full Record in Web of Science")</f>
        <v>View Full Record in Web of Science</v>
      </c>
    </row>
    <row r="271" ht="12.75" customHeight="1">
      <c r="A271" s="1" t="s">
        <v>72</v>
      </c>
      <c r="B271" s="1" t="s">
        <v>2875</v>
      </c>
      <c r="C271" s="1" t="s">
        <v>74</v>
      </c>
      <c r="D271" s="1" t="s">
        <v>74</v>
      </c>
      <c r="E271" s="1" t="s">
        <v>74</v>
      </c>
      <c r="F271" s="1" t="s">
        <v>2876</v>
      </c>
      <c r="G271" s="1" t="s">
        <v>74</v>
      </c>
      <c r="H271" s="1" t="s">
        <v>74</v>
      </c>
      <c r="I271" s="1" t="s">
        <v>2877</v>
      </c>
      <c r="J271" s="1" t="s">
        <v>2878</v>
      </c>
      <c r="K271" s="1" t="s">
        <v>74</v>
      </c>
      <c r="L271" s="1" t="s">
        <v>74</v>
      </c>
      <c r="M271" s="1" t="s">
        <v>74</v>
      </c>
      <c r="N271" s="1" t="s">
        <v>74</v>
      </c>
      <c r="O271" s="1" t="s">
        <v>74</v>
      </c>
      <c r="P271" s="1" t="s">
        <v>74</v>
      </c>
      <c r="Q271" s="1" t="s">
        <v>74</v>
      </c>
      <c r="R271" s="1" t="s">
        <v>74</v>
      </c>
      <c r="S271" s="1" t="s">
        <v>74</v>
      </c>
      <c r="T271" s="1" t="s">
        <v>74</v>
      </c>
      <c r="U271" s="1" t="s">
        <v>74</v>
      </c>
      <c r="V271" s="1" t="s">
        <v>2879</v>
      </c>
      <c r="W271" s="1" t="s">
        <v>74</v>
      </c>
      <c r="X271" s="1" t="s">
        <v>74</v>
      </c>
      <c r="Y271" s="1" t="s">
        <v>74</v>
      </c>
      <c r="Z271" s="1" t="s">
        <v>74</v>
      </c>
      <c r="AA271" s="1" t="s">
        <v>2880</v>
      </c>
      <c r="AB271" s="1" t="s">
        <v>2881</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2882</v>
      </c>
      <c r="AP271" s="1" t="s">
        <v>2883</v>
      </c>
      <c r="AQ271" s="1" t="s">
        <v>74</v>
      </c>
      <c r="AR271" s="1" t="s">
        <v>74</v>
      </c>
      <c r="AS271" s="1" t="s">
        <v>74</v>
      </c>
      <c r="AT271" s="1" t="s">
        <v>188</v>
      </c>
      <c r="AU271" s="1">
        <v>2022.0</v>
      </c>
      <c r="AV271" s="1">
        <v>17.0</v>
      </c>
      <c r="AW271" s="1">
        <v>8.0</v>
      </c>
      <c r="AX271" s="1" t="s">
        <v>74</v>
      </c>
      <c r="AY271" s="1" t="s">
        <v>74</v>
      </c>
      <c r="AZ271" s="1" t="s">
        <v>74</v>
      </c>
      <c r="BA271" s="1" t="s">
        <v>74</v>
      </c>
      <c r="BB271" s="1">
        <v>1242.0</v>
      </c>
      <c r="BC271" s="1">
        <v>1256.0</v>
      </c>
      <c r="BD271" s="1" t="s">
        <v>74</v>
      </c>
      <c r="BE271" s="1" t="s">
        <v>2884</v>
      </c>
      <c r="BF271" s="2" t="str">
        <f>HYPERLINK("http://dx.doi.org/10.1123/ijspp.2021-0543","http://dx.doi.org/10.1123/ijspp.2021-0543")</f>
        <v>http://dx.doi.org/10.1123/ijspp.2021-0543</v>
      </c>
      <c r="BG271" s="1" t="s">
        <v>74</v>
      </c>
      <c r="BH271" s="1" t="s">
        <v>74</v>
      </c>
      <c r="BI271" s="1" t="s">
        <v>74</v>
      </c>
      <c r="BJ271" s="1" t="s">
        <v>74</v>
      </c>
      <c r="BK271" s="1" t="s">
        <v>74</v>
      </c>
      <c r="BL271" s="1" t="s">
        <v>74</v>
      </c>
      <c r="BM271" s="1" t="s">
        <v>74</v>
      </c>
      <c r="BN271" s="1">
        <v>3.5894967E7</v>
      </c>
      <c r="BO271" s="1" t="s">
        <v>74</v>
      </c>
      <c r="BP271" s="1" t="s">
        <v>74</v>
      </c>
      <c r="BQ271" s="1" t="s">
        <v>74</v>
      </c>
      <c r="BR271" s="1" t="s">
        <v>74</v>
      </c>
      <c r="BS271" s="1" t="s">
        <v>2885</v>
      </c>
      <c r="BT271" s="1" t="str">
        <f>HYPERLINK("https%3A%2F%2Fwww.webofscience.com%2Fwos%2Fwoscc%2Ffull-record%2FWOS:000855026400011","View Full Record in Web of Science")</f>
        <v>View Full Record in Web of Science</v>
      </c>
    </row>
    <row r="272" ht="12.75" customHeight="1">
      <c r="A272" s="1" t="s">
        <v>72</v>
      </c>
      <c r="B272" s="1" t="s">
        <v>2886</v>
      </c>
      <c r="C272" s="1" t="s">
        <v>74</v>
      </c>
      <c r="D272" s="1" t="s">
        <v>74</v>
      </c>
      <c r="E272" s="1" t="s">
        <v>74</v>
      </c>
      <c r="F272" s="1" t="s">
        <v>2887</v>
      </c>
      <c r="G272" s="1" t="s">
        <v>74</v>
      </c>
      <c r="H272" s="1" t="s">
        <v>74</v>
      </c>
      <c r="I272" s="1" t="s">
        <v>2888</v>
      </c>
      <c r="J272" s="1" t="s">
        <v>1697</v>
      </c>
      <c r="K272" s="1" t="s">
        <v>74</v>
      </c>
      <c r="L272" s="1" t="s">
        <v>74</v>
      </c>
      <c r="M272" s="1" t="s">
        <v>74</v>
      </c>
      <c r="N272" s="1" t="s">
        <v>74</v>
      </c>
      <c r="O272" s="1" t="s">
        <v>74</v>
      </c>
      <c r="P272" s="1" t="s">
        <v>74</v>
      </c>
      <c r="Q272" s="1" t="s">
        <v>74</v>
      </c>
      <c r="R272" s="1" t="s">
        <v>74</v>
      </c>
      <c r="S272" s="1" t="s">
        <v>74</v>
      </c>
      <c r="T272" s="1" t="s">
        <v>74</v>
      </c>
      <c r="U272" s="1" t="s">
        <v>74</v>
      </c>
      <c r="V272" s="1" t="s">
        <v>2889</v>
      </c>
      <c r="W272" s="1" t="s">
        <v>74</v>
      </c>
      <c r="X272" s="1" t="s">
        <v>74</v>
      </c>
      <c r="Y272" s="1" t="s">
        <v>74</v>
      </c>
      <c r="Z272" s="1" t="s">
        <v>74</v>
      </c>
      <c r="AA272" s="1" t="s">
        <v>2890</v>
      </c>
      <c r="AB272" s="1" t="s">
        <v>2891</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1701</v>
      </c>
      <c r="AP272" s="1" t="s">
        <v>1702</v>
      </c>
      <c r="AQ272" s="1" t="s">
        <v>74</v>
      </c>
      <c r="AR272" s="1" t="s">
        <v>74</v>
      </c>
      <c r="AS272" s="1" t="s">
        <v>74</v>
      </c>
      <c r="AT272" s="1" t="s">
        <v>495</v>
      </c>
      <c r="AU272" s="1">
        <v>2022.0</v>
      </c>
      <c r="AV272" s="1">
        <v>52.0</v>
      </c>
      <c r="AW272" s="1">
        <v>4.0</v>
      </c>
      <c r="AX272" s="1" t="s">
        <v>74</v>
      </c>
      <c r="AY272" s="1" t="s">
        <v>74</v>
      </c>
      <c r="AZ272" s="1" t="s">
        <v>74</v>
      </c>
      <c r="BA272" s="1" t="s">
        <v>74</v>
      </c>
      <c r="BB272" s="1">
        <v>933.0</v>
      </c>
      <c r="BC272" s="1">
        <v>948.0</v>
      </c>
      <c r="BD272" s="1" t="s">
        <v>74</v>
      </c>
      <c r="BE272" s="1" t="s">
        <v>2892</v>
      </c>
      <c r="BF272" s="2" t="str">
        <f>HYPERLINK("http://dx.doi.org/10.1007/s40279-021-01573-z","http://dx.doi.org/10.1007/s40279-021-01573-z")</f>
        <v>http://dx.doi.org/10.1007/s40279-021-01573-z</v>
      </c>
      <c r="BG272" s="1" t="s">
        <v>74</v>
      </c>
      <c r="BH272" s="1" t="s">
        <v>2893</v>
      </c>
      <c r="BI272" s="1" t="s">
        <v>74</v>
      </c>
      <c r="BJ272" s="1" t="s">
        <v>74</v>
      </c>
      <c r="BK272" s="1" t="s">
        <v>74</v>
      </c>
      <c r="BL272" s="1" t="s">
        <v>74</v>
      </c>
      <c r="BM272" s="1" t="s">
        <v>74</v>
      </c>
      <c r="BN272" s="1">
        <v>3.4687439E7</v>
      </c>
      <c r="BO272" s="1" t="s">
        <v>74</v>
      </c>
      <c r="BP272" s="1" t="s">
        <v>74</v>
      </c>
      <c r="BQ272" s="1" t="s">
        <v>74</v>
      </c>
      <c r="BR272" s="1" t="s">
        <v>74</v>
      </c>
      <c r="BS272" s="1" t="s">
        <v>2894</v>
      </c>
      <c r="BT272" s="1" t="str">
        <f>HYPERLINK("https%3A%2F%2Fwww.webofscience.com%2Fwos%2Fwoscc%2Ffull-record%2FWOS:000710596100002","View Full Record in Web of Science")</f>
        <v>View Full Record in Web of Science</v>
      </c>
    </row>
    <row r="273" ht="12.75" customHeight="1">
      <c r="A273" s="1" t="s">
        <v>72</v>
      </c>
      <c r="B273" s="1" t="s">
        <v>2895</v>
      </c>
      <c r="C273" s="1" t="s">
        <v>74</v>
      </c>
      <c r="D273" s="1" t="s">
        <v>74</v>
      </c>
      <c r="E273" s="1" t="s">
        <v>74</v>
      </c>
      <c r="F273" s="1" t="s">
        <v>2896</v>
      </c>
      <c r="G273" s="1" t="s">
        <v>74</v>
      </c>
      <c r="H273" s="1" t="s">
        <v>2897</v>
      </c>
      <c r="I273" s="1" t="s">
        <v>2898</v>
      </c>
      <c r="J273" s="1" t="s">
        <v>2899</v>
      </c>
      <c r="K273" s="1" t="s">
        <v>74</v>
      </c>
      <c r="L273" s="1" t="s">
        <v>74</v>
      </c>
      <c r="M273" s="1" t="s">
        <v>74</v>
      </c>
      <c r="N273" s="1" t="s">
        <v>74</v>
      </c>
      <c r="O273" s="1" t="s">
        <v>74</v>
      </c>
      <c r="P273" s="1" t="s">
        <v>74</v>
      </c>
      <c r="Q273" s="1" t="s">
        <v>74</v>
      </c>
      <c r="R273" s="1" t="s">
        <v>74</v>
      </c>
      <c r="S273" s="1" t="s">
        <v>74</v>
      </c>
      <c r="T273" s="1" t="s">
        <v>74</v>
      </c>
      <c r="U273" s="1" t="s">
        <v>74</v>
      </c>
      <c r="V273" s="1" t="s">
        <v>2900</v>
      </c>
      <c r="W273" s="1" t="s">
        <v>74</v>
      </c>
      <c r="X273" s="1" t="s">
        <v>74</v>
      </c>
      <c r="Y273" s="1" t="s">
        <v>74</v>
      </c>
      <c r="Z273" s="1" t="s">
        <v>74</v>
      </c>
      <c r="AA273" s="1" t="s">
        <v>2901</v>
      </c>
      <c r="AB273" s="1" t="s">
        <v>2902</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2903</v>
      </c>
      <c r="AP273" s="1" t="s">
        <v>2904</v>
      </c>
      <c r="AQ273" s="1" t="s">
        <v>74</v>
      </c>
      <c r="AR273" s="1" t="s">
        <v>74</v>
      </c>
      <c r="AS273" s="1" t="s">
        <v>74</v>
      </c>
      <c r="AT273" s="1" t="s">
        <v>495</v>
      </c>
      <c r="AU273" s="1">
        <v>2019.0</v>
      </c>
      <c r="AV273" s="1">
        <v>49.0</v>
      </c>
      <c r="AW273" s="1">
        <v>4.0</v>
      </c>
      <c r="AX273" s="1" t="s">
        <v>74</v>
      </c>
      <c r="AY273" s="1" t="s">
        <v>74</v>
      </c>
      <c r="AZ273" s="1" t="s">
        <v>74</v>
      </c>
      <c r="BA273" s="1" t="s">
        <v>74</v>
      </c>
      <c r="BB273" s="1">
        <v>430.0</v>
      </c>
      <c r="BC273" s="1">
        <v>441.0</v>
      </c>
      <c r="BD273" s="1" t="s">
        <v>74</v>
      </c>
      <c r="BE273" s="1" t="s">
        <v>2905</v>
      </c>
      <c r="BF273" s="2" t="str">
        <f>HYPERLINK("http://dx.doi.org/10.1111/cea.13325","http://dx.doi.org/10.1111/cea.13325")</f>
        <v>http://dx.doi.org/10.1111/cea.13325</v>
      </c>
      <c r="BG273" s="1" t="s">
        <v>74</v>
      </c>
      <c r="BH273" s="1" t="s">
        <v>74</v>
      </c>
      <c r="BI273" s="1" t="s">
        <v>74</v>
      </c>
      <c r="BJ273" s="1" t="s">
        <v>74</v>
      </c>
      <c r="BK273" s="1" t="s">
        <v>74</v>
      </c>
      <c r="BL273" s="1" t="s">
        <v>74</v>
      </c>
      <c r="BM273" s="1" t="s">
        <v>74</v>
      </c>
      <c r="BN273" s="1">
        <v>3.0508327E7</v>
      </c>
      <c r="BO273" s="1" t="s">
        <v>74</v>
      </c>
      <c r="BP273" s="1" t="s">
        <v>74</v>
      </c>
      <c r="BQ273" s="1" t="s">
        <v>74</v>
      </c>
      <c r="BR273" s="1" t="s">
        <v>74</v>
      </c>
      <c r="BS273" s="1" t="s">
        <v>2906</v>
      </c>
      <c r="BT273" s="1" t="str">
        <f>HYPERLINK("https%3A%2F%2Fwww.webofscience.com%2Fwos%2Fwoscc%2Ffull-record%2FWOS:000463761700006","View Full Record in Web of Science")</f>
        <v>View Full Record in Web of Science</v>
      </c>
    </row>
    <row r="274" ht="12.75" customHeight="1">
      <c r="A274" s="1" t="s">
        <v>72</v>
      </c>
      <c r="B274" s="1" t="s">
        <v>2907</v>
      </c>
      <c r="C274" s="1" t="s">
        <v>74</v>
      </c>
      <c r="D274" s="1" t="s">
        <v>74</v>
      </c>
      <c r="E274" s="1" t="s">
        <v>74</v>
      </c>
      <c r="F274" s="1" t="s">
        <v>2908</v>
      </c>
      <c r="G274" s="1" t="s">
        <v>74</v>
      </c>
      <c r="H274" s="1" t="s">
        <v>74</v>
      </c>
      <c r="I274" s="1" t="s">
        <v>2909</v>
      </c>
      <c r="J274" s="1" t="s">
        <v>1697</v>
      </c>
      <c r="K274" s="1" t="s">
        <v>74</v>
      </c>
      <c r="L274" s="1" t="s">
        <v>74</v>
      </c>
      <c r="M274" s="1" t="s">
        <v>74</v>
      </c>
      <c r="N274" s="1" t="s">
        <v>74</v>
      </c>
      <c r="O274" s="1" t="s">
        <v>74</v>
      </c>
      <c r="P274" s="1" t="s">
        <v>74</v>
      </c>
      <c r="Q274" s="1" t="s">
        <v>74</v>
      </c>
      <c r="R274" s="1" t="s">
        <v>74</v>
      </c>
      <c r="S274" s="1" t="s">
        <v>74</v>
      </c>
      <c r="T274" s="1" t="s">
        <v>74</v>
      </c>
      <c r="U274" s="1" t="s">
        <v>74</v>
      </c>
      <c r="V274" s="1" t="s">
        <v>74</v>
      </c>
      <c r="W274" s="1" t="s">
        <v>74</v>
      </c>
      <c r="X274" s="1" t="s">
        <v>74</v>
      </c>
      <c r="Y274" s="1" t="s">
        <v>74</v>
      </c>
      <c r="Z274" s="1" t="s">
        <v>74</v>
      </c>
      <c r="AA274" s="1" t="s">
        <v>2910</v>
      </c>
      <c r="AB274" s="1" t="s">
        <v>2911</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1701</v>
      </c>
      <c r="AP274" s="1" t="s">
        <v>1702</v>
      </c>
      <c r="AQ274" s="1" t="s">
        <v>74</v>
      </c>
      <c r="AR274" s="1" t="s">
        <v>74</v>
      </c>
      <c r="AS274" s="1" t="s">
        <v>74</v>
      </c>
      <c r="AT274" s="1" t="s">
        <v>2912</v>
      </c>
      <c r="AU274" s="1">
        <v>2022.0</v>
      </c>
      <c r="AV274" s="1" t="s">
        <v>74</v>
      </c>
      <c r="AW274" s="1" t="s">
        <v>74</v>
      </c>
      <c r="AX274" s="1" t="s">
        <v>74</v>
      </c>
      <c r="AY274" s="1" t="s">
        <v>74</v>
      </c>
      <c r="AZ274" s="1" t="s">
        <v>74</v>
      </c>
      <c r="BA274" s="1" t="s">
        <v>74</v>
      </c>
      <c r="BB274" s="1" t="s">
        <v>74</v>
      </c>
      <c r="BC274" s="1" t="s">
        <v>74</v>
      </c>
      <c r="BD274" s="1" t="s">
        <v>74</v>
      </c>
      <c r="BE274" s="1" t="s">
        <v>2913</v>
      </c>
      <c r="BF274" s="2" t="str">
        <f>HYPERLINK("http://dx.doi.org/10.1007/s40279-022-01776-y","http://dx.doi.org/10.1007/s40279-022-01776-y")</f>
        <v>http://dx.doi.org/10.1007/s40279-022-01776-y</v>
      </c>
      <c r="BG274" s="1" t="s">
        <v>74</v>
      </c>
      <c r="BH274" s="1" t="s">
        <v>546</v>
      </c>
      <c r="BI274" s="1" t="s">
        <v>74</v>
      </c>
      <c r="BJ274" s="1" t="s">
        <v>74</v>
      </c>
      <c r="BK274" s="1" t="s">
        <v>74</v>
      </c>
      <c r="BL274" s="1" t="s">
        <v>74</v>
      </c>
      <c r="BM274" s="1" t="s">
        <v>74</v>
      </c>
      <c r="BN274" s="1">
        <v>3.6272061E7</v>
      </c>
      <c r="BO274" s="1" t="s">
        <v>74</v>
      </c>
      <c r="BP274" s="1" t="s">
        <v>74</v>
      </c>
      <c r="BQ274" s="1" t="s">
        <v>74</v>
      </c>
      <c r="BR274" s="1" t="s">
        <v>74</v>
      </c>
      <c r="BS274" s="1" t="s">
        <v>2914</v>
      </c>
      <c r="BT274" s="1" t="str">
        <f>HYPERLINK("https%3A%2F%2Fwww.webofscience.com%2Fwos%2Fwoscc%2Ffull-record%2FWOS:000871162500001","View Full Record in Web of Science")</f>
        <v>View Full Record in Web of Science</v>
      </c>
    </row>
    <row r="275" ht="12.75" customHeight="1">
      <c r="A275" s="1" t="s">
        <v>72</v>
      </c>
      <c r="B275" s="1" t="s">
        <v>2915</v>
      </c>
      <c r="C275" s="1" t="s">
        <v>74</v>
      </c>
      <c r="D275" s="1" t="s">
        <v>74</v>
      </c>
      <c r="E275" s="1" t="s">
        <v>74</v>
      </c>
      <c r="F275" s="1" t="s">
        <v>2916</v>
      </c>
      <c r="G275" s="1" t="s">
        <v>74</v>
      </c>
      <c r="H275" s="1" t="s">
        <v>74</v>
      </c>
      <c r="I275" s="1" t="s">
        <v>2917</v>
      </c>
      <c r="J275" s="1" t="s">
        <v>2918</v>
      </c>
      <c r="K275" s="1" t="s">
        <v>74</v>
      </c>
      <c r="L275" s="1" t="s">
        <v>74</v>
      </c>
      <c r="M275" s="1" t="s">
        <v>74</v>
      </c>
      <c r="N275" s="1" t="s">
        <v>74</v>
      </c>
      <c r="O275" s="1" t="s">
        <v>74</v>
      </c>
      <c r="P275" s="1" t="s">
        <v>74</v>
      </c>
      <c r="Q275" s="1" t="s">
        <v>74</v>
      </c>
      <c r="R275" s="1" t="s">
        <v>74</v>
      </c>
      <c r="S275" s="1" t="s">
        <v>74</v>
      </c>
      <c r="T275" s="1" t="s">
        <v>74</v>
      </c>
      <c r="U275" s="1" t="s">
        <v>74</v>
      </c>
      <c r="V275" s="1" t="s">
        <v>2919</v>
      </c>
      <c r="W275" s="1" t="s">
        <v>74</v>
      </c>
      <c r="X275" s="1" t="s">
        <v>74</v>
      </c>
      <c r="Y275" s="1" t="s">
        <v>74</v>
      </c>
      <c r="Z275" s="1" t="s">
        <v>74</v>
      </c>
      <c r="AA275" s="1" t="s">
        <v>2920</v>
      </c>
      <c r="AB275" s="1" t="s">
        <v>2921</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2922</v>
      </c>
      <c r="AP275" s="1" t="s">
        <v>2923</v>
      </c>
      <c r="AQ275" s="1" t="s">
        <v>74</v>
      </c>
      <c r="AR275" s="1" t="s">
        <v>74</v>
      </c>
      <c r="AS275" s="1" t="s">
        <v>74</v>
      </c>
      <c r="AT275" s="1" t="s">
        <v>298</v>
      </c>
      <c r="AU275" s="1">
        <v>2018.0</v>
      </c>
      <c r="AV275" s="1">
        <v>1.0</v>
      </c>
      <c r="AW275" s="1">
        <v>4.0</v>
      </c>
      <c r="AX275" s="1" t="s">
        <v>74</v>
      </c>
      <c r="AY275" s="1" t="s">
        <v>74</v>
      </c>
      <c r="AZ275" s="1" t="s">
        <v>74</v>
      </c>
      <c r="BA275" s="1" t="s">
        <v>74</v>
      </c>
      <c r="BB275" s="1">
        <v>501.0</v>
      </c>
      <c r="BC275" s="1">
        <v>515.0</v>
      </c>
      <c r="BD275" s="1" t="s">
        <v>74</v>
      </c>
      <c r="BE275" s="1" t="s">
        <v>2924</v>
      </c>
      <c r="BF275" s="2" t="str">
        <f>HYPERLINK("http://dx.doi.org/10.1177/2515245918797607","http://dx.doi.org/10.1177/2515245918797607")</f>
        <v>http://dx.doi.org/10.1177/2515245918797607</v>
      </c>
      <c r="BG275" s="1" t="s">
        <v>74</v>
      </c>
      <c r="BH275" s="1" t="s">
        <v>74</v>
      </c>
      <c r="BI275" s="1" t="s">
        <v>74</v>
      </c>
      <c r="BJ275" s="1" t="s">
        <v>74</v>
      </c>
      <c r="BK275" s="1" t="s">
        <v>74</v>
      </c>
      <c r="BL275" s="1" t="s">
        <v>74</v>
      </c>
      <c r="BM275" s="1" t="s">
        <v>74</v>
      </c>
      <c r="BN275" s="1">
        <v>3.1886452E7</v>
      </c>
      <c r="BO275" s="1" t="s">
        <v>74</v>
      </c>
      <c r="BP275" s="1" t="s">
        <v>74</v>
      </c>
      <c r="BQ275" s="1" t="s">
        <v>74</v>
      </c>
      <c r="BR275" s="1" t="s">
        <v>74</v>
      </c>
      <c r="BS275" s="1" t="s">
        <v>2925</v>
      </c>
      <c r="BT275" s="1" t="str">
        <f>HYPERLINK("https%3A%2F%2Fwww.webofscience.com%2Fwos%2Fwoscc%2Ffull-record%2FWOS:000746381600006","View Full Record in Web of Science")</f>
        <v>View Full Record in Web of Science</v>
      </c>
    </row>
    <row r="276" ht="12.75" customHeight="1">
      <c r="A276" s="1" t="s">
        <v>72</v>
      </c>
      <c r="B276" s="1" t="s">
        <v>2926</v>
      </c>
      <c r="C276" s="1" t="s">
        <v>74</v>
      </c>
      <c r="D276" s="1" t="s">
        <v>74</v>
      </c>
      <c r="E276" s="1" t="s">
        <v>74</v>
      </c>
      <c r="F276" s="1" t="s">
        <v>2927</v>
      </c>
      <c r="G276" s="1" t="s">
        <v>74</v>
      </c>
      <c r="H276" s="1" t="s">
        <v>2928</v>
      </c>
      <c r="I276" s="1" t="s">
        <v>2929</v>
      </c>
      <c r="J276" s="1" t="s">
        <v>439</v>
      </c>
      <c r="K276" s="1" t="s">
        <v>74</v>
      </c>
      <c r="L276" s="1" t="s">
        <v>74</v>
      </c>
      <c r="M276" s="1" t="s">
        <v>74</v>
      </c>
      <c r="N276" s="1" t="s">
        <v>74</v>
      </c>
      <c r="O276" s="1" t="s">
        <v>74</v>
      </c>
      <c r="P276" s="1" t="s">
        <v>74</v>
      </c>
      <c r="Q276" s="1" t="s">
        <v>74</v>
      </c>
      <c r="R276" s="1" t="s">
        <v>74</v>
      </c>
      <c r="S276" s="1" t="s">
        <v>74</v>
      </c>
      <c r="T276" s="1" t="s">
        <v>74</v>
      </c>
      <c r="U276" s="1" t="s">
        <v>74</v>
      </c>
      <c r="V276" s="1" t="s">
        <v>2930</v>
      </c>
      <c r="W276" s="1" t="s">
        <v>74</v>
      </c>
      <c r="X276" s="1" t="s">
        <v>74</v>
      </c>
      <c r="Y276" s="1" t="s">
        <v>74</v>
      </c>
      <c r="Z276" s="1" t="s">
        <v>74</v>
      </c>
      <c r="AA276" s="1" t="s">
        <v>2931</v>
      </c>
      <c r="AB276" s="1" t="s">
        <v>2932</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74</v>
      </c>
      <c r="AP276" s="1" t="s">
        <v>443</v>
      </c>
      <c r="AQ276" s="1" t="s">
        <v>74</v>
      </c>
      <c r="AR276" s="1" t="s">
        <v>74</v>
      </c>
      <c r="AS276" s="1" t="s">
        <v>74</v>
      </c>
      <c r="AT276" s="1" t="s">
        <v>2933</v>
      </c>
      <c r="AU276" s="1">
        <v>2019.0</v>
      </c>
      <c r="AV276" s="1">
        <v>16.0</v>
      </c>
      <c r="AW276" s="1">
        <v>4.0</v>
      </c>
      <c r="AX276" s="1" t="s">
        <v>74</v>
      </c>
      <c r="AY276" s="1" t="s">
        <v>74</v>
      </c>
      <c r="AZ276" s="1" t="s">
        <v>74</v>
      </c>
      <c r="BA276" s="1" t="s">
        <v>74</v>
      </c>
      <c r="BB276" s="1" t="s">
        <v>74</v>
      </c>
      <c r="BC276" s="1" t="s">
        <v>74</v>
      </c>
      <c r="BD276" s="1">
        <v>605.0</v>
      </c>
      <c r="BE276" s="1" t="s">
        <v>2934</v>
      </c>
      <c r="BF276" s="2" t="str">
        <f>HYPERLINK("http://dx.doi.org/10.3390/ijerph16040605","http://dx.doi.org/10.3390/ijerph16040605")</f>
        <v>http://dx.doi.org/10.3390/ijerph16040605</v>
      </c>
      <c r="BG276" s="1" t="s">
        <v>74</v>
      </c>
      <c r="BH276" s="1" t="s">
        <v>74</v>
      </c>
      <c r="BI276" s="1" t="s">
        <v>74</v>
      </c>
      <c r="BJ276" s="1" t="s">
        <v>74</v>
      </c>
      <c r="BK276" s="1" t="s">
        <v>74</v>
      </c>
      <c r="BL276" s="1" t="s">
        <v>74</v>
      </c>
      <c r="BM276" s="1" t="s">
        <v>74</v>
      </c>
      <c r="BN276" s="1">
        <v>3.0791442E7</v>
      </c>
      <c r="BO276" s="1" t="s">
        <v>74</v>
      </c>
      <c r="BP276" s="1" t="s">
        <v>74</v>
      </c>
      <c r="BQ276" s="1" t="s">
        <v>74</v>
      </c>
      <c r="BR276" s="1" t="s">
        <v>74</v>
      </c>
      <c r="BS276" s="1" t="s">
        <v>2935</v>
      </c>
      <c r="BT276" s="1" t="str">
        <f>HYPERLINK("https%3A%2F%2Fwww.webofscience.com%2Fwos%2Fwoscc%2Ffull-record%2FWOS:000460804900084","View Full Record in Web of Science")</f>
        <v>View Full Record in Web of Science</v>
      </c>
    </row>
    <row r="277" ht="12.75" customHeight="1">
      <c r="A277" s="1" t="s">
        <v>72</v>
      </c>
      <c r="B277" s="1" t="s">
        <v>2936</v>
      </c>
      <c r="C277" s="1" t="s">
        <v>74</v>
      </c>
      <c r="D277" s="1" t="s">
        <v>74</v>
      </c>
      <c r="E277" s="1" t="s">
        <v>74</v>
      </c>
      <c r="F277" s="1" t="s">
        <v>2937</v>
      </c>
      <c r="G277" s="1" t="s">
        <v>74</v>
      </c>
      <c r="H277" s="1" t="s">
        <v>74</v>
      </c>
      <c r="I277" s="1" t="s">
        <v>2938</v>
      </c>
      <c r="J277" s="1" t="s">
        <v>2939</v>
      </c>
      <c r="K277" s="1" t="s">
        <v>74</v>
      </c>
      <c r="L277" s="1" t="s">
        <v>74</v>
      </c>
      <c r="M277" s="1" t="s">
        <v>74</v>
      </c>
      <c r="N277" s="1" t="s">
        <v>74</v>
      </c>
      <c r="O277" s="1" t="s">
        <v>74</v>
      </c>
      <c r="P277" s="1" t="s">
        <v>74</v>
      </c>
      <c r="Q277" s="1" t="s">
        <v>74</v>
      </c>
      <c r="R277" s="1" t="s">
        <v>74</v>
      </c>
      <c r="S277" s="1" t="s">
        <v>74</v>
      </c>
      <c r="T277" s="1" t="s">
        <v>74</v>
      </c>
      <c r="U277" s="1" t="s">
        <v>74</v>
      </c>
      <c r="V277" s="1" t="s">
        <v>2940</v>
      </c>
      <c r="W277" s="1" t="s">
        <v>74</v>
      </c>
      <c r="X277" s="1" t="s">
        <v>74</v>
      </c>
      <c r="Y277" s="1" t="s">
        <v>74</v>
      </c>
      <c r="Z277" s="1" t="s">
        <v>74</v>
      </c>
      <c r="AA277" s="1" t="s">
        <v>2941</v>
      </c>
      <c r="AB277" s="1" t="s">
        <v>2942</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2943</v>
      </c>
      <c r="AP277" s="1" t="s">
        <v>2944</v>
      </c>
      <c r="AQ277" s="1" t="s">
        <v>74</v>
      </c>
      <c r="AR277" s="1" t="s">
        <v>74</v>
      </c>
      <c r="AS277" s="1" t="s">
        <v>74</v>
      </c>
      <c r="AT277" s="1" t="s">
        <v>200</v>
      </c>
      <c r="AU277" s="1">
        <v>2022.0</v>
      </c>
      <c r="AV277" s="1">
        <v>125.0</v>
      </c>
      <c r="AW277" s="1" t="s">
        <v>74</v>
      </c>
      <c r="AX277" s="1" t="s">
        <v>74</v>
      </c>
      <c r="AY277" s="1" t="s">
        <v>74</v>
      </c>
      <c r="AZ277" s="1" t="s">
        <v>74</v>
      </c>
      <c r="BA277" s="1" t="s">
        <v>74</v>
      </c>
      <c r="BB277" s="1" t="s">
        <v>74</v>
      </c>
      <c r="BC277" s="1" t="s">
        <v>74</v>
      </c>
      <c r="BD277" s="1">
        <v>103948.0</v>
      </c>
      <c r="BE277" s="1" t="s">
        <v>2945</v>
      </c>
      <c r="BF277" s="2" t="str">
        <f>HYPERLINK("http://dx.doi.org/10.1016/j.ppnp.2022.103948","http://dx.doi.org/10.1016/j.ppnp.2022.103948")</f>
        <v>http://dx.doi.org/10.1016/j.ppnp.2022.103948</v>
      </c>
      <c r="BG277" s="1" t="s">
        <v>74</v>
      </c>
      <c r="BH277" s="1" t="s">
        <v>1095</v>
      </c>
      <c r="BI277" s="1" t="s">
        <v>74</v>
      </c>
      <c r="BJ277" s="1" t="s">
        <v>74</v>
      </c>
      <c r="BK277" s="1" t="s">
        <v>74</v>
      </c>
      <c r="BL277" s="1" t="s">
        <v>74</v>
      </c>
      <c r="BM277" s="1" t="s">
        <v>74</v>
      </c>
      <c r="BN277" s="1" t="s">
        <v>74</v>
      </c>
      <c r="BO277" s="1" t="s">
        <v>74</v>
      </c>
      <c r="BP277" s="1" t="s">
        <v>74</v>
      </c>
      <c r="BQ277" s="1" t="s">
        <v>74</v>
      </c>
      <c r="BR277" s="1" t="s">
        <v>74</v>
      </c>
      <c r="BS277" s="1" t="s">
        <v>2946</v>
      </c>
      <c r="BT277" s="1" t="str">
        <f>HYPERLINK("https%3A%2F%2Fwww.webofscience.com%2Fwos%2Fwoscc%2Ffull-record%2FWOS:000830343400001","View Full Record in Web of Science")</f>
        <v>View Full Record in Web of Science</v>
      </c>
    </row>
    <row r="278" ht="12.75" customHeight="1">
      <c r="A278" s="1" t="s">
        <v>72</v>
      </c>
      <c r="B278" s="1" t="s">
        <v>2947</v>
      </c>
      <c r="C278" s="1" t="s">
        <v>74</v>
      </c>
      <c r="D278" s="1" t="s">
        <v>74</v>
      </c>
      <c r="E278" s="1" t="s">
        <v>74</v>
      </c>
      <c r="F278" s="1" t="s">
        <v>2948</v>
      </c>
      <c r="G278" s="1" t="s">
        <v>74</v>
      </c>
      <c r="H278" s="1" t="s">
        <v>74</v>
      </c>
      <c r="I278" s="1" t="s">
        <v>2949</v>
      </c>
      <c r="J278" s="1" t="s">
        <v>2950</v>
      </c>
      <c r="K278" s="1" t="s">
        <v>74</v>
      </c>
      <c r="L278" s="1" t="s">
        <v>74</v>
      </c>
      <c r="M278" s="1" t="s">
        <v>74</v>
      </c>
      <c r="N278" s="1" t="s">
        <v>74</v>
      </c>
      <c r="O278" s="1" t="s">
        <v>74</v>
      </c>
      <c r="P278" s="1" t="s">
        <v>74</v>
      </c>
      <c r="Q278" s="1" t="s">
        <v>74</v>
      </c>
      <c r="R278" s="1" t="s">
        <v>74</v>
      </c>
      <c r="S278" s="1" t="s">
        <v>74</v>
      </c>
      <c r="T278" s="1" t="s">
        <v>74</v>
      </c>
      <c r="U278" s="1" t="s">
        <v>74</v>
      </c>
      <c r="V278" s="1" t="s">
        <v>2951</v>
      </c>
      <c r="W278" s="1" t="s">
        <v>74</v>
      </c>
      <c r="X278" s="1" t="s">
        <v>74</v>
      </c>
      <c r="Y278" s="1" t="s">
        <v>74</v>
      </c>
      <c r="Z278" s="1" t="s">
        <v>74</v>
      </c>
      <c r="AA278" s="1" t="s">
        <v>2952</v>
      </c>
      <c r="AB278" s="1" t="s">
        <v>2953</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2954</v>
      </c>
      <c r="AP278" s="1" t="s">
        <v>74</v>
      </c>
      <c r="AQ278" s="1" t="s">
        <v>74</v>
      </c>
      <c r="AR278" s="1" t="s">
        <v>74</v>
      </c>
      <c r="AS278" s="1" t="s">
        <v>74</v>
      </c>
      <c r="AT278" s="1" t="s">
        <v>757</v>
      </c>
      <c r="AU278" s="1">
        <v>2024.0</v>
      </c>
      <c r="AV278" s="1">
        <v>8.0</v>
      </c>
      <c r="AW278" s="1">
        <v>5.0</v>
      </c>
      <c r="AX278" s="1" t="s">
        <v>74</v>
      </c>
      <c r="AY278" s="1" t="s">
        <v>74</v>
      </c>
      <c r="AZ278" s="1" t="s">
        <v>74</v>
      </c>
      <c r="BA278" s="1" t="s">
        <v>74</v>
      </c>
      <c r="BB278" s="1" t="s">
        <v>74</v>
      </c>
      <c r="BC278" s="1" t="s">
        <v>74</v>
      </c>
      <c r="BD278" s="1" t="s">
        <v>74</v>
      </c>
      <c r="BE278" s="1" t="s">
        <v>2955</v>
      </c>
      <c r="BF278" s="2" t="str">
        <f>HYPERLINK("http://dx.doi.org/10.1038/s41559-024-02363-2","http://dx.doi.org/10.1038/s41559-024-02363-2")</f>
        <v>http://dx.doi.org/10.1038/s41559-024-02363-2</v>
      </c>
      <c r="BG278" s="1" t="s">
        <v>74</v>
      </c>
      <c r="BH278" s="1" t="s">
        <v>228</v>
      </c>
      <c r="BI278" s="1" t="s">
        <v>74</v>
      </c>
      <c r="BJ278" s="1" t="s">
        <v>74</v>
      </c>
      <c r="BK278" s="1" t="s">
        <v>74</v>
      </c>
      <c r="BL278" s="1" t="s">
        <v>74</v>
      </c>
      <c r="BM278" s="1" t="s">
        <v>74</v>
      </c>
      <c r="BN278" s="1">
        <v>3.8499871E7</v>
      </c>
      <c r="BO278" s="1" t="s">
        <v>74</v>
      </c>
      <c r="BP278" s="1" t="s">
        <v>74</v>
      </c>
      <c r="BQ278" s="1" t="s">
        <v>74</v>
      </c>
      <c r="BR278" s="1" t="s">
        <v>74</v>
      </c>
      <c r="BS278" s="1" t="s">
        <v>2956</v>
      </c>
      <c r="BT278" s="1" t="str">
        <f>HYPERLINK("https%3A%2F%2Fwww.webofscience.com%2Fwos%2Fwoscc%2Ffull-record%2FWOS:001190893000002","View Full Record in Web of Science")</f>
        <v>View Full Record in Web of Science</v>
      </c>
    </row>
    <row r="279" ht="12.75" customHeight="1">
      <c r="A279" s="1" t="s">
        <v>72</v>
      </c>
      <c r="B279" s="1" t="s">
        <v>2957</v>
      </c>
      <c r="C279" s="1" t="s">
        <v>74</v>
      </c>
      <c r="D279" s="1" t="s">
        <v>74</v>
      </c>
      <c r="E279" s="1" t="s">
        <v>74</v>
      </c>
      <c r="F279" s="1" t="s">
        <v>2958</v>
      </c>
      <c r="G279" s="1" t="s">
        <v>74</v>
      </c>
      <c r="H279" s="1" t="s">
        <v>74</v>
      </c>
      <c r="I279" s="1" t="s">
        <v>2959</v>
      </c>
      <c r="J279" s="1" t="s">
        <v>2960</v>
      </c>
      <c r="K279" s="1" t="s">
        <v>74</v>
      </c>
      <c r="L279" s="1" t="s">
        <v>74</v>
      </c>
      <c r="M279" s="1" t="s">
        <v>74</v>
      </c>
      <c r="N279" s="1" t="s">
        <v>74</v>
      </c>
      <c r="O279" s="1" t="s">
        <v>74</v>
      </c>
      <c r="P279" s="1" t="s">
        <v>74</v>
      </c>
      <c r="Q279" s="1" t="s">
        <v>74</v>
      </c>
      <c r="R279" s="1" t="s">
        <v>74</v>
      </c>
      <c r="S279" s="1" t="s">
        <v>74</v>
      </c>
      <c r="T279" s="1" t="s">
        <v>74</v>
      </c>
      <c r="U279" s="1" t="s">
        <v>74</v>
      </c>
      <c r="V279" s="1" t="s">
        <v>2961</v>
      </c>
      <c r="W279" s="1" t="s">
        <v>74</v>
      </c>
      <c r="X279" s="1" t="s">
        <v>74</v>
      </c>
      <c r="Y279" s="1" t="s">
        <v>74</v>
      </c>
      <c r="Z279" s="1" t="s">
        <v>74</v>
      </c>
      <c r="AA279" s="1" t="s">
        <v>2962</v>
      </c>
      <c r="AB279" s="1" t="s">
        <v>2963</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2964</v>
      </c>
      <c r="AP279" s="1" t="s">
        <v>2965</v>
      </c>
      <c r="AQ279" s="1" t="s">
        <v>74</v>
      </c>
      <c r="AR279" s="1" t="s">
        <v>74</v>
      </c>
      <c r="AS279" s="1" t="s">
        <v>74</v>
      </c>
      <c r="AT279" s="1" t="s">
        <v>567</v>
      </c>
      <c r="AU279" s="1">
        <v>2023.0</v>
      </c>
      <c r="AV279" s="1">
        <v>108.0</v>
      </c>
      <c r="AW279" s="1" t="s">
        <v>74</v>
      </c>
      <c r="AX279" s="1" t="s">
        <v>74</v>
      </c>
      <c r="AY279" s="1" t="s">
        <v>74</v>
      </c>
      <c r="AZ279" s="1" t="s">
        <v>74</v>
      </c>
      <c r="BA279" s="1" t="s">
        <v>74</v>
      </c>
      <c r="BB279" s="1" t="s">
        <v>74</v>
      </c>
      <c r="BC279" s="1" t="s">
        <v>74</v>
      </c>
      <c r="BD279" s="1">
        <v>154520.0</v>
      </c>
      <c r="BE279" s="1" t="s">
        <v>2966</v>
      </c>
      <c r="BF279" s="2" t="str">
        <f>HYPERLINK("http://dx.doi.org/10.1016/j.phymed.2022.154520","http://dx.doi.org/10.1016/j.phymed.2022.154520")</f>
        <v>http://dx.doi.org/10.1016/j.phymed.2022.154520</v>
      </c>
      <c r="BG279" s="1" t="s">
        <v>74</v>
      </c>
      <c r="BH279" s="1" t="s">
        <v>2130</v>
      </c>
      <c r="BI279" s="1" t="s">
        <v>74</v>
      </c>
      <c r="BJ279" s="1" t="s">
        <v>74</v>
      </c>
      <c r="BK279" s="1" t="s">
        <v>74</v>
      </c>
      <c r="BL279" s="1" t="s">
        <v>74</v>
      </c>
      <c r="BM279" s="1" t="s">
        <v>74</v>
      </c>
      <c r="BN279" s="1">
        <v>3.6334386E7</v>
      </c>
      <c r="BO279" s="1" t="s">
        <v>74</v>
      </c>
      <c r="BP279" s="1" t="s">
        <v>74</v>
      </c>
      <c r="BQ279" s="1" t="s">
        <v>74</v>
      </c>
      <c r="BR279" s="1" t="s">
        <v>74</v>
      </c>
      <c r="BS279" s="1" t="s">
        <v>2967</v>
      </c>
      <c r="BT279" s="1" t="str">
        <f>HYPERLINK("https%3A%2F%2Fwww.webofscience.com%2Fwos%2Fwoscc%2Ffull-record%2FWOS:000898614600004","View Full Record in Web of Science")</f>
        <v>View Full Record in Web of Science</v>
      </c>
    </row>
    <row r="280" ht="12.75" customHeight="1">
      <c r="A280" s="1" t="s">
        <v>72</v>
      </c>
      <c r="B280" s="1" t="s">
        <v>2968</v>
      </c>
      <c r="C280" s="1" t="s">
        <v>74</v>
      </c>
      <c r="D280" s="1" t="s">
        <v>74</v>
      </c>
      <c r="E280" s="1" t="s">
        <v>74</v>
      </c>
      <c r="F280" s="1" t="s">
        <v>2969</v>
      </c>
      <c r="G280" s="1" t="s">
        <v>74</v>
      </c>
      <c r="H280" s="1" t="s">
        <v>74</v>
      </c>
      <c r="I280" s="1" t="s">
        <v>2970</v>
      </c>
      <c r="J280" s="1" t="s">
        <v>2537</v>
      </c>
      <c r="K280" s="1" t="s">
        <v>74</v>
      </c>
      <c r="L280" s="1" t="s">
        <v>74</v>
      </c>
      <c r="M280" s="1" t="s">
        <v>74</v>
      </c>
      <c r="N280" s="1" t="s">
        <v>74</v>
      </c>
      <c r="O280" s="1" t="s">
        <v>74</v>
      </c>
      <c r="P280" s="1" t="s">
        <v>74</v>
      </c>
      <c r="Q280" s="1" t="s">
        <v>74</v>
      </c>
      <c r="R280" s="1" t="s">
        <v>74</v>
      </c>
      <c r="S280" s="1" t="s">
        <v>74</v>
      </c>
      <c r="T280" s="1" t="s">
        <v>74</v>
      </c>
      <c r="U280" s="1" t="s">
        <v>74</v>
      </c>
      <c r="V280" s="1" t="s">
        <v>2971</v>
      </c>
      <c r="W280" s="1" t="s">
        <v>74</v>
      </c>
      <c r="X280" s="1" t="s">
        <v>74</v>
      </c>
      <c r="Y280" s="1" t="s">
        <v>74</v>
      </c>
      <c r="Z280" s="1" t="s">
        <v>74</v>
      </c>
      <c r="AA280" s="1" t="s">
        <v>2972</v>
      </c>
      <c r="AB280" s="1" t="s">
        <v>2973</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2541</v>
      </c>
      <c r="AP280" s="1" t="s">
        <v>74</v>
      </c>
      <c r="AQ280" s="1" t="s">
        <v>74</v>
      </c>
      <c r="AR280" s="1" t="s">
        <v>74</v>
      </c>
      <c r="AS280" s="1" t="s">
        <v>74</v>
      </c>
      <c r="AT280" s="1" t="s">
        <v>567</v>
      </c>
      <c r="AU280" s="1">
        <v>2021.0</v>
      </c>
      <c r="AV280" s="1">
        <v>5.0</v>
      </c>
      <c r="AW280" s="1">
        <v>1.0</v>
      </c>
      <c r="AX280" s="1" t="s">
        <v>74</v>
      </c>
      <c r="AY280" s="1" t="s">
        <v>74</v>
      </c>
      <c r="AZ280" s="1" t="s">
        <v>74</v>
      </c>
      <c r="BA280" s="1" t="s">
        <v>74</v>
      </c>
      <c r="BB280" s="1">
        <v>159.0</v>
      </c>
      <c r="BC280" s="1">
        <v>169.0</v>
      </c>
      <c r="BD280" s="1" t="s">
        <v>74</v>
      </c>
      <c r="BE280" s="1" t="s">
        <v>2974</v>
      </c>
      <c r="BF280" s="2" t="str">
        <f>HYPERLINK("http://dx.doi.org/10.1038/s41562-020-01007-2","http://dx.doi.org/10.1038/s41562-020-01007-2")</f>
        <v>http://dx.doi.org/10.1038/s41562-020-01007-2</v>
      </c>
      <c r="BG280" s="1" t="s">
        <v>74</v>
      </c>
      <c r="BH280" s="1" t="s">
        <v>368</v>
      </c>
      <c r="BI280" s="1" t="s">
        <v>74</v>
      </c>
      <c r="BJ280" s="1" t="s">
        <v>74</v>
      </c>
      <c r="BK280" s="1" t="s">
        <v>74</v>
      </c>
      <c r="BL280" s="1" t="s">
        <v>74</v>
      </c>
      <c r="BM280" s="1" t="s">
        <v>74</v>
      </c>
      <c r="BN280" s="1">
        <v>3.339815E7</v>
      </c>
      <c r="BO280" s="1" t="s">
        <v>74</v>
      </c>
      <c r="BP280" s="1" t="s">
        <v>74</v>
      </c>
      <c r="BQ280" s="1" t="s">
        <v>74</v>
      </c>
      <c r="BR280" s="1" t="s">
        <v>74</v>
      </c>
      <c r="BS280" s="1" t="s">
        <v>2975</v>
      </c>
      <c r="BT280" s="1" t="str">
        <f>HYPERLINK("https%3A%2F%2Fwww.webofscience.com%2Fwos%2Fwoscc%2Ffull-record%2FWOS:000604837700009","View Full Record in Web of Science")</f>
        <v>View Full Record in Web of Science</v>
      </c>
    </row>
    <row r="281" ht="12.75" customHeight="1">
      <c r="A281" s="1" t="s">
        <v>72</v>
      </c>
      <c r="B281" s="1" t="s">
        <v>2976</v>
      </c>
      <c r="C281" s="1" t="s">
        <v>74</v>
      </c>
      <c r="D281" s="1" t="s">
        <v>74</v>
      </c>
      <c r="E281" s="1" t="s">
        <v>74</v>
      </c>
      <c r="F281" s="1" t="s">
        <v>2977</v>
      </c>
      <c r="G281" s="1" t="s">
        <v>74</v>
      </c>
      <c r="H281" s="1" t="s">
        <v>2978</v>
      </c>
      <c r="I281" s="1" t="s">
        <v>2979</v>
      </c>
      <c r="J281" s="1" t="s">
        <v>2980</v>
      </c>
      <c r="K281" s="1" t="s">
        <v>74</v>
      </c>
      <c r="L281" s="1" t="s">
        <v>74</v>
      </c>
      <c r="M281" s="1" t="s">
        <v>74</v>
      </c>
      <c r="N281" s="1" t="s">
        <v>74</v>
      </c>
      <c r="O281" s="1" t="s">
        <v>74</v>
      </c>
      <c r="P281" s="1" t="s">
        <v>74</v>
      </c>
      <c r="Q281" s="1" t="s">
        <v>74</v>
      </c>
      <c r="R281" s="1" t="s">
        <v>74</v>
      </c>
      <c r="S281" s="1" t="s">
        <v>74</v>
      </c>
      <c r="T281" s="1" t="s">
        <v>74</v>
      </c>
      <c r="U281" s="1" t="s">
        <v>74</v>
      </c>
      <c r="V281" s="1" t="s">
        <v>2981</v>
      </c>
      <c r="W281" s="1" t="s">
        <v>74</v>
      </c>
      <c r="X281" s="1" t="s">
        <v>74</v>
      </c>
      <c r="Y281" s="1" t="s">
        <v>74</v>
      </c>
      <c r="Z281" s="1" t="s">
        <v>74</v>
      </c>
      <c r="AA281" s="1" t="s">
        <v>2982</v>
      </c>
      <c r="AB281" s="1" t="s">
        <v>2983</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2984</v>
      </c>
      <c r="AP281" s="1" t="s">
        <v>74</v>
      </c>
      <c r="AQ281" s="1" t="s">
        <v>74</v>
      </c>
      <c r="AR281" s="1" t="s">
        <v>74</v>
      </c>
      <c r="AS281" s="1" t="s">
        <v>74</v>
      </c>
      <c r="AT281" s="1" t="s">
        <v>200</v>
      </c>
      <c r="AU281" s="1">
        <v>2024.0</v>
      </c>
      <c r="AV281" s="1" t="s">
        <v>74</v>
      </c>
      <c r="AW281" s="1">
        <v>7.0</v>
      </c>
      <c r="AX281" s="1" t="s">
        <v>74</v>
      </c>
      <c r="AY281" s="1" t="s">
        <v>74</v>
      </c>
      <c r="AZ281" s="1" t="s">
        <v>74</v>
      </c>
      <c r="BA281" s="1" t="s">
        <v>74</v>
      </c>
      <c r="BB281" s="1" t="s">
        <v>74</v>
      </c>
      <c r="BC281" s="1" t="s">
        <v>74</v>
      </c>
      <c r="BD281" s="1">
        <v>47.0</v>
      </c>
      <c r="BE281" s="1" t="s">
        <v>2985</v>
      </c>
      <c r="BF281" s="2" t="str">
        <f>HYPERLINK("http://dx.doi.org/10.1088/1475-7516/2024/07/047","http://dx.doi.org/10.1088/1475-7516/2024/07/047")</f>
        <v>http://dx.doi.org/10.1088/1475-7516/2024/07/047</v>
      </c>
      <c r="BG281" s="1" t="s">
        <v>74</v>
      </c>
      <c r="BH281" s="1" t="s">
        <v>74</v>
      </c>
      <c r="BI281" s="1" t="s">
        <v>74</v>
      </c>
      <c r="BJ281" s="1" t="s">
        <v>74</v>
      </c>
      <c r="BK281" s="1" t="s">
        <v>74</v>
      </c>
      <c r="BL281" s="1" t="s">
        <v>74</v>
      </c>
      <c r="BM281" s="1" t="s">
        <v>74</v>
      </c>
      <c r="BN281" s="1" t="s">
        <v>74</v>
      </c>
      <c r="BO281" s="1" t="s">
        <v>74</v>
      </c>
      <c r="BP281" s="1" t="s">
        <v>74</v>
      </c>
      <c r="BQ281" s="1" t="s">
        <v>74</v>
      </c>
      <c r="BR281" s="1" t="s">
        <v>74</v>
      </c>
      <c r="BS281" s="1" t="s">
        <v>2986</v>
      </c>
      <c r="BT281" s="1" t="str">
        <f>HYPERLINK("https%3A%2F%2Fwww.webofscience.com%2Fwos%2Fwoscc%2Ffull-record%2FWOS:001287348500001","View Full Record in Web of Science")</f>
        <v>View Full Record in Web of Science</v>
      </c>
    </row>
    <row r="282" ht="12.75" customHeight="1">
      <c r="A282" s="1" t="s">
        <v>72</v>
      </c>
      <c r="B282" s="1" t="s">
        <v>2987</v>
      </c>
      <c r="C282" s="1" t="s">
        <v>74</v>
      </c>
      <c r="D282" s="1" t="s">
        <v>74</v>
      </c>
      <c r="E282" s="1" t="s">
        <v>74</v>
      </c>
      <c r="F282" s="1" t="s">
        <v>2988</v>
      </c>
      <c r="G282" s="1" t="s">
        <v>74</v>
      </c>
      <c r="H282" s="1" t="s">
        <v>74</v>
      </c>
      <c r="I282" s="1" t="s">
        <v>2989</v>
      </c>
      <c r="J282" s="1" t="s">
        <v>2990</v>
      </c>
      <c r="K282" s="1" t="s">
        <v>74</v>
      </c>
      <c r="L282" s="1" t="s">
        <v>74</v>
      </c>
      <c r="M282" s="1" t="s">
        <v>74</v>
      </c>
      <c r="N282" s="1" t="s">
        <v>74</v>
      </c>
      <c r="O282" s="1" t="s">
        <v>74</v>
      </c>
      <c r="P282" s="1" t="s">
        <v>74</v>
      </c>
      <c r="Q282" s="1" t="s">
        <v>74</v>
      </c>
      <c r="R282" s="1" t="s">
        <v>74</v>
      </c>
      <c r="S282" s="1" t="s">
        <v>74</v>
      </c>
      <c r="T282" s="1" t="s">
        <v>74</v>
      </c>
      <c r="U282" s="1" t="s">
        <v>74</v>
      </c>
      <c r="V282" s="1" t="s">
        <v>2991</v>
      </c>
      <c r="W282" s="1" t="s">
        <v>74</v>
      </c>
      <c r="X282" s="1" t="s">
        <v>74</v>
      </c>
      <c r="Y282" s="1" t="s">
        <v>74</v>
      </c>
      <c r="Z282" s="1" t="s">
        <v>74</v>
      </c>
      <c r="AA282" s="1" t="s">
        <v>2992</v>
      </c>
      <c r="AB282" s="1" t="s">
        <v>2993</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2994</v>
      </c>
      <c r="AP282" s="1" t="s">
        <v>74</v>
      </c>
      <c r="AQ282" s="1" t="s">
        <v>74</v>
      </c>
      <c r="AR282" s="1" t="s">
        <v>74</v>
      </c>
      <c r="AS282" s="1" t="s">
        <v>74</v>
      </c>
      <c r="AT282" s="1" t="s">
        <v>298</v>
      </c>
      <c r="AU282" s="1">
        <v>2014.0</v>
      </c>
      <c r="AV282" s="1">
        <v>4.0</v>
      </c>
      <c r="AW282" s="1">
        <v>24.0</v>
      </c>
      <c r="AX282" s="1" t="s">
        <v>74</v>
      </c>
      <c r="AY282" s="1" t="s">
        <v>74</v>
      </c>
      <c r="AZ282" s="1" t="s">
        <v>74</v>
      </c>
      <c r="BA282" s="1" t="s">
        <v>74</v>
      </c>
      <c r="BB282" s="1">
        <v>4701.0</v>
      </c>
      <c r="BC282" s="1">
        <v>4735.0</v>
      </c>
      <c r="BD282" s="1" t="s">
        <v>74</v>
      </c>
      <c r="BE282" s="1" t="s">
        <v>2995</v>
      </c>
      <c r="BF282" s="2" t="str">
        <f>HYPERLINK("http://dx.doi.org/10.1002/ece3.1303","http://dx.doi.org/10.1002/ece3.1303")</f>
        <v>http://dx.doi.org/10.1002/ece3.1303</v>
      </c>
      <c r="BG282" s="1" t="s">
        <v>74</v>
      </c>
      <c r="BH282" s="1" t="s">
        <v>74</v>
      </c>
      <c r="BI282" s="1" t="s">
        <v>74</v>
      </c>
      <c r="BJ282" s="1" t="s">
        <v>74</v>
      </c>
      <c r="BK282" s="1" t="s">
        <v>74</v>
      </c>
      <c r="BL282" s="1" t="s">
        <v>74</v>
      </c>
      <c r="BM282" s="1" t="s">
        <v>74</v>
      </c>
      <c r="BN282" s="1">
        <v>2.5558364E7</v>
      </c>
      <c r="BO282" s="1" t="s">
        <v>74</v>
      </c>
      <c r="BP282" s="1" t="s">
        <v>74</v>
      </c>
      <c r="BQ282" s="1" t="s">
        <v>74</v>
      </c>
      <c r="BR282" s="1" t="s">
        <v>74</v>
      </c>
      <c r="BS282" s="1" t="s">
        <v>2996</v>
      </c>
      <c r="BT282" s="1" t="str">
        <f>HYPERLINK("https%3A%2F%2Fwww.webofscience.com%2Fwos%2Fwoscc%2Ffull-record%2FWOS:000346736200013","View Full Record in Web of Science")</f>
        <v>View Full Record in Web of Science</v>
      </c>
    </row>
    <row r="283" ht="12.75" customHeight="1">
      <c r="A283" s="1" t="s">
        <v>72</v>
      </c>
      <c r="B283" s="1" t="s">
        <v>2997</v>
      </c>
      <c r="C283" s="1" t="s">
        <v>74</v>
      </c>
      <c r="D283" s="1" t="s">
        <v>74</v>
      </c>
      <c r="E283" s="1" t="s">
        <v>74</v>
      </c>
      <c r="F283" s="1" t="s">
        <v>2998</v>
      </c>
      <c r="G283" s="1" t="s">
        <v>74</v>
      </c>
      <c r="H283" s="1" t="s">
        <v>2999</v>
      </c>
      <c r="I283" s="1" t="s">
        <v>3000</v>
      </c>
      <c r="J283" s="1" t="s">
        <v>244</v>
      </c>
      <c r="K283" s="1" t="s">
        <v>74</v>
      </c>
      <c r="L283" s="1" t="s">
        <v>74</v>
      </c>
      <c r="M283" s="1" t="s">
        <v>74</v>
      </c>
      <c r="N283" s="1" t="s">
        <v>74</v>
      </c>
      <c r="O283" s="1" t="s">
        <v>74</v>
      </c>
      <c r="P283" s="1" t="s">
        <v>74</v>
      </c>
      <c r="Q283" s="1" t="s">
        <v>74</v>
      </c>
      <c r="R283" s="1" t="s">
        <v>74</v>
      </c>
      <c r="S283" s="1" t="s">
        <v>74</v>
      </c>
      <c r="T283" s="1" t="s">
        <v>74</v>
      </c>
      <c r="U283" s="1" t="s">
        <v>74</v>
      </c>
      <c r="V283" s="1" t="s">
        <v>3001</v>
      </c>
      <c r="W283" s="1" t="s">
        <v>74</v>
      </c>
      <c r="X283" s="1" t="s">
        <v>74</v>
      </c>
      <c r="Y283" s="1" t="s">
        <v>74</v>
      </c>
      <c r="Z283" s="1" t="s">
        <v>74</v>
      </c>
      <c r="AA283" s="1" t="s">
        <v>3002</v>
      </c>
      <c r="AB283" s="1" t="s">
        <v>3003</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248</v>
      </c>
      <c r="AP283" s="1" t="s">
        <v>249</v>
      </c>
      <c r="AQ283" s="1" t="s">
        <v>74</v>
      </c>
      <c r="AR283" s="1" t="s">
        <v>74</v>
      </c>
      <c r="AS283" s="1" t="s">
        <v>74</v>
      </c>
      <c r="AT283" s="1" t="s">
        <v>226</v>
      </c>
      <c r="AU283" s="1">
        <v>2021.0</v>
      </c>
      <c r="AV283" s="1">
        <v>913.0</v>
      </c>
      <c r="AW283" s="1">
        <v>2.0</v>
      </c>
      <c r="AX283" s="1" t="s">
        <v>74</v>
      </c>
      <c r="AY283" s="1" t="s">
        <v>74</v>
      </c>
      <c r="AZ283" s="1" t="s">
        <v>74</v>
      </c>
      <c r="BA283" s="1" t="s">
        <v>74</v>
      </c>
      <c r="BB283" s="1" t="s">
        <v>74</v>
      </c>
      <c r="BC283" s="1" t="s">
        <v>74</v>
      </c>
      <c r="BD283" s="1" t="s">
        <v>3004</v>
      </c>
      <c r="BE283" s="1" t="s">
        <v>3005</v>
      </c>
      <c r="BF283" s="2" t="str">
        <f>HYPERLINK("http://dx.doi.org/10.3847/2041-8213/abffcd","http://dx.doi.org/10.3847/2041-8213/abffcd")</f>
        <v>http://dx.doi.org/10.3847/2041-8213/abffcd</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3006</v>
      </c>
      <c r="BT283" s="1" t="str">
        <f>HYPERLINK("https%3A%2F%2Fwww.webofscience.com%2Fwos%2Fwoscc%2Ffull-record%2FWOS:000656683600001","View Full Record in Web of Science")</f>
        <v>View Full Record in Web of Science</v>
      </c>
    </row>
    <row r="284" ht="12.75" customHeight="1">
      <c r="A284" s="1" t="s">
        <v>72</v>
      </c>
      <c r="B284" s="1" t="s">
        <v>3007</v>
      </c>
      <c r="C284" s="1" t="s">
        <v>74</v>
      </c>
      <c r="D284" s="1" t="s">
        <v>74</v>
      </c>
      <c r="E284" s="1" t="s">
        <v>74</v>
      </c>
      <c r="F284" s="1" t="s">
        <v>3008</v>
      </c>
      <c r="G284" s="1" t="s">
        <v>74</v>
      </c>
      <c r="H284" s="1" t="s">
        <v>74</v>
      </c>
      <c r="I284" s="1" t="s">
        <v>3009</v>
      </c>
      <c r="J284" s="1" t="s">
        <v>596</v>
      </c>
      <c r="K284" s="1" t="s">
        <v>74</v>
      </c>
      <c r="L284" s="1" t="s">
        <v>74</v>
      </c>
      <c r="M284" s="1" t="s">
        <v>74</v>
      </c>
      <c r="N284" s="1" t="s">
        <v>74</v>
      </c>
      <c r="O284" s="1" t="s">
        <v>74</v>
      </c>
      <c r="P284" s="1" t="s">
        <v>74</v>
      </c>
      <c r="Q284" s="1" t="s">
        <v>74</v>
      </c>
      <c r="R284" s="1" t="s">
        <v>74</v>
      </c>
      <c r="S284" s="1" t="s">
        <v>74</v>
      </c>
      <c r="T284" s="1" t="s">
        <v>74</v>
      </c>
      <c r="U284" s="1" t="s">
        <v>74</v>
      </c>
      <c r="V284" s="1" t="s">
        <v>3010</v>
      </c>
      <c r="W284" s="1" t="s">
        <v>74</v>
      </c>
      <c r="X284" s="1" t="s">
        <v>74</v>
      </c>
      <c r="Y284" s="1" t="s">
        <v>74</v>
      </c>
      <c r="Z284" s="1" t="s">
        <v>74</v>
      </c>
      <c r="AA284" s="1" t="s">
        <v>3011</v>
      </c>
      <c r="AB284" s="1" t="s">
        <v>3012</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600</v>
      </c>
      <c r="AP284" s="1" t="s">
        <v>601</v>
      </c>
      <c r="AQ284" s="1" t="s">
        <v>74</v>
      </c>
      <c r="AR284" s="1" t="s">
        <v>74</v>
      </c>
      <c r="AS284" s="1" t="s">
        <v>74</v>
      </c>
      <c r="AT284" s="1" t="s">
        <v>130</v>
      </c>
      <c r="AU284" s="1">
        <v>2021.0</v>
      </c>
      <c r="AV284" s="1">
        <v>922.0</v>
      </c>
      <c r="AW284" s="1">
        <v>1.0</v>
      </c>
      <c r="AX284" s="1" t="s">
        <v>74</v>
      </c>
      <c r="AY284" s="1" t="s">
        <v>74</v>
      </c>
      <c r="AZ284" s="1" t="s">
        <v>74</v>
      </c>
      <c r="BA284" s="1" t="s">
        <v>74</v>
      </c>
      <c r="BB284" s="1" t="s">
        <v>74</v>
      </c>
      <c r="BC284" s="1" t="s">
        <v>74</v>
      </c>
      <c r="BD284" s="1">
        <v>71.0</v>
      </c>
      <c r="BE284" s="1" t="s">
        <v>3013</v>
      </c>
      <c r="BF284" s="2" t="str">
        <f>HYPERLINK("http://dx.doi.org/10.3847/1538-4357/ac0d52","http://dx.doi.org/10.3847/1538-4357/ac0d52")</f>
        <v>http://dx.doi.org/10.3847/1538-4357/ac0d52</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3014</v>
      </c>
      <c r="BT284" s="1" t="str">
        <f>HYPERLINK("https%3A%2F%2Fwww.webofscience.com%2Fwos%2Fwoscc%2Ffull-record%2FWOS:000722733200001","View Full Record in Web of Science")</f>
        <v>View Full Record in Web of Science</v>
      </c>
    </row>
    <row r="285" ht="12.75" customHeight="1">
      <c r="A285" s="1" t="s">
        <v>72</v>
      </c>
      <c r="B285" s="1" t="s">
        <v>3015</v>
      </c>
      <c r="C285" s="1" t="s">
        <v>74</v>
      </c>
      <c r="D285" s="1" t="s">
        <v>74</v>
      </c>
      <c r="E285" s="1" t="s">
        <v>74</v>
      </c>
      <c r="F285" s="1" t="s">
        <v>3016</v>
      </c>
      <c r="G285" s="1" t="s">
        <v>74</v>
      </c>
      <c r="H285" s="1" t="s">
        <v>3017</v>
      </c>
      <c r="I285" s="1" t="s">
        <v>3018</v>
      </c>
      <c r="J285" s="1" t="s">
        <v>3019</v>
      </c>
      <c r="K285" s="1" t="s">
        <v>74</v>
      </c>
      <c r="L285" s="1" t="s">
        <v>74</v>
      </c>
      <c r="M285" s="1" t="s">
        <v>74</v>
      </c>
      <c r="N285" s="1" t="s">
        <v>74</v>
      </c>
      <c r="O285" s="1" t="s">
        <v>74</v>
      </c>
      <c r="P285" s="1" t="s">
        <v>74</v>
      </c>
      <c r="Q285" s="1" t="s">
        <v>74</v>
      </c>
      <c r="R285" s="1" t="s">
        <v>74</v>
      </c>
      <c r="S285" s="1" t="s">
        <v>74</v>
      </c>
      <c r="T285" s="1" t="s">
        <v>74</v>
      </c>
      <c r="U285" s="1" t="s">
        <v>74</v>
      </c>
      <c r="V285" s="1" t="s">
        <v>3020</v>
      </c>
      <c r="W285" s="1" t="s">
        <v>74</v>
      </c>
      <c r="X285" s="1" t="s">
        <v>74</v>
      </c>
      <c r="Y285" s="1" t="s">
        <v>74</v>
      </c>
      <c r="Z285" s="1" t="s">
        <v>74</v>
      </c>
      <c r="AA285" s="1" t="s">
        <v>3021</v>
      </c>
      <c r="AB285" s="1" t="s">
        <v>3022</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3023</v>
      </c>
      <c r="AP285" s="1" t="s">
        <v>3024</v>
      </c>
      <c r="AQ285" s="1" t="s">
        <v>74</v>
      </c>
      <c r="AR285" s="1" t="s">
        <v>74</v>
      </c>
      <c r="AS285" s="1" t="s">
        <v>74</v>
      </c>
      <c r="AT285" s="1" t="s">
        <v>119</v>
      </c>
      <c r="AU285" s="1">
        <v>2022.0</v>
      </c>
      <c r="AV285" s="1">
        <v>22.0</v>
      </c>
      <c r="AW285" s="1">
        <v>2.0</v>
      </c>
      <c r="AX285" s="1" t="s">
        <v>74</v>
      </c>
      <c r="AY285" s="1" t="s">
        <v>74</v>
      </c>
      <c r="AZ285" s="1" t="s">
        <v>74</v>
      </c>
      <c r="BA285" s="1" t="s">
        <v>74</v>
      </c>
      <c r="BB285" s="1">
        <v>222.0</v>
      </c>
      <c r="BC285" s="1">
        <v>241.0</v>
      </c>
      <c r="BD285" s="1" t="s">
        <v>74</v>
      </c>
      <c r="BE285" s="1" t="s">
        <v>3025</v>
      </c>
      <c r="BF285" s="2" t="str">
        <f>HYPERLINK("http://dx.doi.org/10.1016/S1473-3099(21)00449-7","http://dx.doi.org/10.1016/S1473-3099(21)00449-7")</f>
        <v>http://dx.doi.org/10.1016/S1473-3099(21)00449-7</v>
      </c>
      <c r="BG285" s="1" t="s">
        <v>74</v>
      </c>
      <c r="BH285" s="1" t="s">
        <v>580</v>
      </c>
      <c r="BI285" s="1" t="s">
        <v>74</v>
      </c>
      <c r="BJ285" s="1" t="s">
        <v>74</v>
      </c>
      <c r="BK285" s="1" t="s">
        <v>74</v>
      </c>
      <c r="BL285" s="1" t="s">
        <v>74</v>
      </c>
      <c r="BM285" s="1" t="s">
        <v>74</v>
      </c>
      <c r="BN285" s="1">
        <v>3.4563275E7</v>
      </c>
      <c r="BO285" s="1" t="s">
        <v>74</v>
      </c>
      <c r="BP285" s="1" t="s">
        <v>74</v>
      </c>
      <c r="BQ285" s="1" t="s">
        <v>74</v>
      </c>
      <c r="BR285" s="1" t="s">
        <v>74</v>
      </c>
      <c r="BS285" s="1" t="s">
        <v>3026</v>
      </c>
      <c r="BT285" s="1" t="str">
        <f>HYPERLINK("https%3A%2F%2Fwww.webofscience.com%2Fwos%2Fwoscc%2Ffull-record%2FWOS:000762847000004","View Full Record in Web of Science")</f>
        <v>View Full Record in Web of Science</v>
      </c>
    </row>
    <row r="286" ht="12.75" customHeight="1">
      <c r="A286" s="1" t="s">
        <v>72</v>
      </c>
      <c r="B286" s="1" t="s">
        <v>3027</v>
      </c>
      <c r="C286" s="1" t="s">
        <v>74</v>
      </c>
      <c r="D286" s="1" t="s">
        <v>74</v>
      </c>
      <c r="E286" s="1" t="s">
        <v>74</v>
      </c>
      <c r="F286" s="1" t="s">
        <v>3028</v>
      </c>
      <c r="G286" s="1" t="s">
        <v>74</v>
      </c>
      <c r="H286" s="1" t="s">
        <v>3029</v>
      </c>
      <c r="I286" s="1" t="s">
        <v>3030</v>
      </c>
      <c r="J286" s="1" t="s">
        <v>596</v>
      </c>
      <c r="K286" s="1" t="s">
        <v>74</v>
      </c>
      <c r="L286" s="1" t="s">
        <v>74</v>
      </c>
      <c r="M286" s="1" t="s">
        <v>74</v>
      </c>
      <c r="N286" s="1" t="s">
        <v>74</v>
      </c>
      <c r="O286" s="1" t="s">
        <v>74</v>
      </c>
      <c r="P286" s="1" t="s">
        <v>74</v>
      </c>
      <c r="Q286" s="1" t="s">
        <v>74</v>
      </c>
      <c r="R286" s="1" t="s">
        <v>74</v>
      </c>
      <c r="S286" s="1" t="s">
        <v>74</v>
      </c>
      <c r="T286" s="1" t="s">
        <v>74</v>
      </c>
      <c r="U286" s="1" t="s">
        <v>74</v>
      </c>
      <c r="V286" s="1" t="s">
        <v>3031</v>
      </c>
      <c r="W286" s="1" t="s">
        <v>74</v>
      </c>
      <c r="X286" s="1" t="s">
        <v>74</v>
      </c>
      <c r="Y286" s="1" t="s">
        <v>74</v>
      </c>
      <c r="Z286" s="1" t="s">
        <v>74</v>
      </c>
      <c r="AA286" s="1" t="s">
        <v>3032</v>
      </c>
      <c r="AB286" s="1" t="s">
        <v>3033</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600</v>
      </c>
      <c r="AP286" s="1" t="s">
        <v>601</v>
      </c>
      <c r="AQ286" s="1" t="s">
        <v>74</v>
      </c>
      <c r="AR286" s="1" t="s">
        <v>74</v>
      </c>
      <c r="AS286" s="1" t="s">
        <v>74</v>
      </c>
      <c r="AT286" s="1" t="s">
        <v>1619</v>
      </c>
      <c r="AU286" s="1">
        <v>2022.0</v>
      </c>
      <c r="AV286" s="1">
        <v>932.0</v>
      </c>
      <c r="AW286" s="1">
        <v>2.0</v>
      </c>
      <c r="AX286" s="1" t="s">
        <v>74</v>
      </c>
      <c r="AY286" s="1" t="s">
        <v>74</v>
      </c>
      <c r="AZ286" s="1" t="s">
        <v>74</v>
      </c>
      <c r="BA286" s="1" t="s">
        <v>74</v>
      </c>
      <c r="BB286" s="1" t="s">
        <v>74</v>
      </c>
      <c r="BC286" s="1" t="s">
        <v>74</v>
      </c>
      <c r="BD286" s="1">
        <v>133.0</v>
      </c>
      <c r="BE286" s="1" t="s">
        <v>3034</v>
      </c>
      <c r="BF286" s="2" t="str">
        <f>HYPERLINK("http://dx.doi.org/10.3847/1538-4357/ac6ad0","http://dx.doi.org/10.3847/1538-4357/ac6ad0")</f>
        <v>http://dx.doi.org/10.3847/1538-4357/ac6ad0</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3035</v>
      </c>
      <c r="BT286" s="1" t="str">
        <f>HYPERLINK("https%3A%2F%2Fwww.webofscience.com%2Fwos%2Fwoscc%2Ffull-record%2FWOS:000816872900001","View Full Record in Web of Science")</f>
        <v>View Full Record in Web of Science</v>
      </c>
    </row>
    <row r="287" ht="12.75" customHeight="1">
      <c r="A287" s="1" t="s">
        <v>72</v>
      </c>
      <c r="B287" s="1" t="s">
        <v>3036</v>
      </c>
      <c r="C287" s="1" t="s">
        <v>74</v>
      </c>
      <c r="D287" s="1" t="s">
        <v>74</v>
      </c>
      <c r="E287" s="1" t="s">
        <v>74</v>
      </c>
      <c r="F287" s="1" t="s">
        <v>3037</v>
      </c>
      <c r="G287" s="1" t="s">
        <v>74</v>
      </c>
      <c r="H287" s="1" t="s">
        <v>3038</v>
      </c>
      <c r="I287" s="1" t="s">
        <v>3039</v>
      </c>
      <c r="J287" s="1" t="s">
        <v>1179</v>
      </c>
      <c r="K287" s="1" t="s">
        <v>74</v>
      </c>
      <c r="L287" s="1" t="s">
        <v>74</v>
      </c>
      <c r="M287" s="1" t="s">
        <v>74</v>
      </c>
      <c r="N287" s="1" t="s">
        <v>74</v>
      </c>
      <c r="O287" s="1" t="s">
        <v>74</v>
      </c>
      <c r="P287" s="1" t="s">
        <v>74</v>
      </c>
      <c r="Q287" s="1" t="s">
        <v>74</v>
      </c>
      <c r="R287" s="1" t="s">
        <v>74</v>
      </c>
      <c r="S287" s="1" t="s">
        <v>74</v>
      </c>
      <c r="T287" s="1" t="s">
        <v>74</v>
      </c>
      <c r="U287" s="1" t="s">
        <v>74</v>
      </c>
      <c r="V287" s="1" t="s">
        <v>3040</v>
      </c>
      <c r="W287" s="1" t="s">
        <v>74</v>
      </c>
      <c r="X287" s="1" t="s">
        <v>74</v>
      </c>
      <c r="Y287" s="1" t="s">
        <v>74</v>
      </c>
      <c r="Z287" s="1" t="s">
        <v>74</v>
      </c>
      <c r="AA287" s="1" t="s">
        <v>3041</v>
      </c>
      <c r="AB287" s="1" t="s">
        <v>3042</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1183</v>
      </c>
      <c r="AP287" s="1" t="s">
        <v>3043</v>
      </c>
      <c r="AQ287" s="1" t="s">
        <v>74</v>
      </c>
      <c r="AR287" s="1" t="s">
        <v>74</v>
      </c>
      <c r="AS287" s="1" t="s">
        <v>74</v>
      </c>
      <c r="AT287" s="1" t="s">
        <v>3044</v>
      </c>
      <c r="AU287" s="1">
        <v>2024.0</v>
      </c>
      <c r="AV287" s="1">
        <v>404.0</v>
      </c>
      <c r="AW287" s="1">
        <v>10455.0</v>
      </c>
      <c r="AX287" s="1" t="s">
        <v>74</v>
      </c>
      <c r="AY287" s="1" t="s">
        <v>74</v>
      </c>
      <c r="AZ287" s="1" t="s">
        <v>74</v>
      </c>
      <c r="BA287" s="1" t="s">
        <v>74</v>
      </c>
      <c r="BB287" s="1">
        <v>851.0</v>
      </c>
      <c r="BC287" s="1">
        <v>863.0</v>
      </c>
      <c r="BD287" s="1" t="s">
        <v>74</v>
      </c>
      <c r="BE287" s="1" t="s">
        <v>3045</v>
      </c>
      <c r="BF287" s="2" t="str">
        <f>HYPERLINK("http://dx.doi.org/10.1016/S0140-6736(24)01405-3","http://dx.doi.org/10.1016/S0140-6736(24)01405-3")</f>
        <v>http://dx.doi.org/10.1016/S0140-6736(24)01405-3</v>
      </c>
      <c r="BG287" s="1" t="s">
        <v>74</v>
      </c>
      <c r="BH287" s="1" t="s">
        <v>2219</v>
      </c>
      <c r="BI287" s="1" t="s">
        <v>74</v>
      </c>
      <c r="BJ287" s="1" t="s">
        <v>74</v>
      </c>
      <c r="BK287" s="1" t="s">
        <v>74</v>
      </c>
      <c r="BL287" s="1" t="s">
        <v>74</v>
      </c>
      <c r="BM287" s="1" t="s">
        <v>74</v>
      </c>
      <c r="BN287" s="1">
        <v>3.9216975E7</v>
      </c>
      <c r="BO287" s="1" t="s">
        <v>74</v>
      </c>
      <c r="BP287" s="1" t="s">
        <v>74</v>
      </c>
      <c r="BQ287" s="1" t="s">
        <v>74</v>
      </c>
      <c r="BR287" s="1" t="s">
        <v>74</v>
      </c>
      <c r="BS287" s="1" t="s">
        <v>3046</v>
      </c>
      <c r="BT287" s="1" t="str">
        <f>HYPERLINK("https%3A%2F%2Fwww.webofscience.com%2Fwos%2Fwoscc%2Ffull-record%2FWOS:001313954500001","View Full Record in Web of Science")</f>
        <v>View Full Record in Web of Science</v>
      </c>
    </row>
    <row r="288" ht="12.75" customHeight="1">
      <c r="A288" s="1" t="s">
        <v>72</v>
      </c>
      <c r="B288" s="1" t="s">
        <v>3047</v>
      </c>
      <c r="C288" s="1" t="s">
        <v>74</v>
      </c>
      <c r="D288" s="1" t="s">
        <v>74</v>
      </c>
      <c r="E288" s="1" t="s">
        <v>74</v>
      </c>
      <c r="F288" s="1" t="s">
        <v>3048</v>
      </c>
      <c r="G288" s="1" t="s">
        <v>74</v>
      </c>
      <c r="H288" s="1" t="s">
        <v>74</v>
      </c>
      <c r="I288" s="1" t="s">
        <v>3049</v>
      </c>
      <c r="J288" s="1" t="s">
        <v>2990</v>
      </c>
      <c r="K288" s="1" t="s">
        <v>74</v>
      </c>
      <c r="L288" s="1" t="s">
        <v>74</v>
      </c>
      <c r="M288" s="1" t="s">
        <v>74</v>
      </c>
      <c r="N288" s="1" t="s">
        <v>74</v>
      </c>
      <c r="O288" s="1" t="s">
        <v>74</v>
      </c>
      <c r="P288" s="1" t="s">
        <v>74</v>
      </c>
      <c r="Q288" s="1" t="s">
        <v>74</v>
      </c>
      <c r="R288" s="1" t="s">
        <v>74</v>
      </c>
      <c r="S288" s="1" t="s">
        <v>74</v>
      </c>
      <c r="T288" s="1" t="s">
        <v>74</v>
      </c>
      <c r="U288" s="1" t="s">
        <v>74</v>
      </c>
      <c r="V288" s="1" t="s">
        <v>3050</v>
      </c>
      <c r="W288" s="1" t="s">
        <v>74</v>
      </c>
      <c r="X288" s="1" t="s">
        <v>74</v>
      </c>
      <c r="Y288" s="1" t="s">
        <v>74</v>
      </c>
      <c r="Z288" s="1" t="s">
        <v>74</v>
      </c>
      <c r="AA288" s="1" t="s">
        <v>3051</v>
      </c>
      <c r="AB288" s="1" t="s">
        <v>3052</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2994</v>
      </c>
      <c r="AP288" s="1" t="s">
        <v>74</v>
      </c>
      <c r="AQ288" s="1" t="s">
        <v>74</v>
      </c>
      <c r="AR288" s="1" t="s">
        <v>74</v>
      </c>
      <c r="AS288" s="1" t="s">
        <v>74</v>
      </c>
      <c r="AT288" s="1" t="s">
        <v>567</v>
      </c>
      <c r="AU288" s="1">
        <v>2017.0</v>
      </c>
      <c r="AV288" s="1">
        <v>7.0</v>
      </c>
      <c r="AW288" s="1">
        <v>1.0</v>
      </c>
      <c r="AX288" s="1" t="s">
        <v>74</v>
      </c>
      <c r="AY288" s="1" t="s">
        <v>74</v>
      </c>
      <c r="AZ288" s="1" t="s">
        <v>74</v>
      </c>
      <c r="BA288" s="1" t="s">
        <v>74</v>
      </c>
      <c r="BB288" s="1">
        <v>145.0</v>
      </c>
      <c r="BC288" s="1">
        <v>188.0</v>
      </c>
      <c r="BD288" s="1" t="s">
        <v>74</v>
      </c>
      <c r="BE288" s="1" t="s">
        <v>3053</v>
      </c>
      <c r="BF288" s="2" t="str">
        <f>HYPERLINK("http://dx.doi.org/10.1002/ece3.2579","http://dx.doi.org/10.1002/ece3.2579")</f>
        <v>http://dx.doi.org/10.1002/ece3.2579</v>
      </c>
      <c r="BG288" s="1" t="s">
        <v>74</v>
      </c>
      <c r="BH288" s="1" t="s">
        <v>74</v>
      </c>
      <c r="BI288" s="1" t="s">
        <v>74</v>
      </c>
      <c r="BJ288" s="1" t="s">
        <v>74</v>
      </c>
      <c r="BK288" s="1" t="s">
        <v>74</v>
      </c>
      <c r="BL288" s="1" t="s">
        <v>74</v>
      </c>
      <c r="BM288" s="1" t="s">
        <v>74</v>
      </c>
      <c r="BN288" s="1">
        <v>2.8070282E7</v>
      </c>
      <c r="BO288" s="1" t="s">
        <v>74</v>
      </c>
      <c r="BP288" s="1" t="s">
        <v>74</v>
      </c>
      <c r="BQ288" s="1" t="s">
        <v>74</v>
      </c>
      <c r="BR288" s="1" t="s">
        <v>74</v>
      </c>
      <c r="BS288" s="1" t="s">
        <v>3054</v>
      </c>
      <c r="BT288" s="1" t="str">
        <f>HYPERLINK("https%3A%2F%2Fwww.webofscience.com%2Fwos%2Fwoscc%2Ffull-record%2FWOS:000392069500013","View Full Record in Web of Science")</f>
        <v>View Full Record in Web of Science</v>
      </c>
    </row>
    <row r="289" ht="12.75" customHeight="1">
      <c r="A289" s="1" t="s">
        <v>72</v>
      </c>
      <c r="B289" s="1" t="s">
        <v>3055</v>
      </c>
      <c r="C289" s="1" t="s">
        <v>74</v>
      </c>
      <c r="D289" s="1" t="s">
        <v>74</v>
      </c>
      <c r="E289" s="1" t="s">
        <v>74</v>
      </c>
      <c r="F289" s="1" t="s">
        <v>3056</v>
      </c>
      <c r="G289" s="1" t="s">
        <v>74</v>
      </c>
      <c r="H289" s="1" t="s">
        <v>3057</v>
      </c>
      <c r="I289" s="1" t="s">
        <v>3058</v>
      </c>
      <c r="J289" s="1" t="s">
        <v>2398</v>
      </c>
      <c r="K289" s="1" t="s">
        <v>74</v>
      </c>
      <c r="L289" s="1" t="s">
        <v>74</v>
      </c>
      <c r="M289" s="1" t="s">
        <v>74</v>
      </c>
      <c r="N289" s="1" t="s">
        <v>74</v>
      </c>
      <c r="O289" s="1" t="s">
        <v>74</v>
      </c>
      <c r="P289" s="1" t="s">
        <v>74</v>
      </c>
      <c r="Q289" s="1" t="s">
        <v>74</v>
      </c>
      <c r="R289" s="1" t="s">
        <v>74</v>
      </c>
      <c r="S289" s="1" t="s">
        <v>74</v>
      </c>
      <c r="T289" s="1" t="s">
        <v>74</v>
      </c>
      <c r="U289" s="1" t="s">
        <v>74</v>
      </c>
      <c r="V289" s="1" t="s">
        <v>3059</v>
      </c>
      <c r="W289" s="1" t="s">
        <v>74</v>
      </c>
      <c r="X289" s="1" t="s">
        <v>74</v>
      </c>
      <c r="Y289" s="1" t="s">
        <v>74</v>
      </c>
      <c r="Z289" s="1" t="s">
        <v>74</v>
      </c>
      <c r="AA289" s="1" t="s">
        <v>3060</v>
      </c>
      <c r="AB289" s="1" t="s">
        <v>3061</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2402</v>
      </c>
      <c r="AP289" s="1" t="s">
        <v>2403</v>
      </c>
      <c r="AQ289" s="1" t="s">
        <v>74</v>
      </c>
      <c r="AR289" s="1" t="s">
        <v>74</v>
      </c>
      <c r="AS289" s="1" t="s">
        <v>74</v>
      </c>
      <c r="AT289" s="1" t="s">
        <v>3062</v>
      </c>
      <c r="AU289" s="1">
        <v>2023.0</v>
      </c>
      <c r="AV289" s="1">
        <v>615.0</v>
      </c>
      <c r="AW289" s="1">
        <v>7954.0</v>
      </c>
      <c r="AX289" s="1" t="s">
        <v>74</v>
      </c>
      <c r="AY289" s="1" t="s">
        <v>74</v>
      </c>
      <c r="AZ289" s="1" t="s">
        <v>74</v>
      </c>
      <c r="BA289" s="1" t="s">
        <v>74</v>
      </c>
      <c r="BB289" s="1">
        <v>874.0</v>
      </c>
      <c r="BC289" s="1">
        <v>883.0</v>
      </c>
      <c r="BD289" s="1" t="s">
        <v>74</v>
      </c>
      <c r="BE289" s="1" t="s">
        <v>3063</v>
      </c>
      <c r="BF289" s="2" t="str">
        <f>HYPERLINK("http://dx.doi.org/10.1038/s41586-023-05772-8","http://dx.doi.org/10.1038/s41586-023-05772-8")</f>
        <v>http://dx.doi.org/10.1038/s41586-023-05772-8</v>
      </c>
      <c r="BG289" s="1" t="s">
        <v>74</v>
      </c>
      <c r="BH289" s="1" t="s">
        <v>74</v>
      </c>
      <c r="BI289" s="1" t="s">
        <v>74</v>
      </c>
      <c r="BJ289" s="1" t="s">
        <v>74</v>
      </c>
      <c r="BK289" s="1" t="s">
        <v>74</v>
      </c>
      <c r="BL289" s="1" t="s">
        <v>74</v>
      </c>
      <c r="BM289" s="1" t="s">
        <v>74</v>
      </c>
      <c r="BN289" s="1">
        <v>3.6991188E7</v>
      </c>
      <c r="BO289" s="1" t="s">
        <v>74</v>
      </c>
      <c r="BP289" s="1" t="s">
        <v>74</v>
      </c>
      <c r="BQ289" s="1" t="s">
        <v>74</v>
      </c>
      <c r="BR289" s="1" t="s">
        <v>74</v>
      </c>
      <c r="BS289" s="1" t="s">
        <v>3064</v>
      </c>
      <c r="BT289" s="1" t="str">
        <f>HYPERLINK("https%3A%2F%2Fwww.webofscience.com%2Fwos%2Fwoscc%2Ffull-record%2FWOS:001023407200001","View Full Record in Web of Science")</f>
        <v>View Full Record in Web of Science</v>
      </c>
    </row>
    <row r="290" ht="12.75" customHeight="1">
      <c r="A290" s="1" t="s">
        <v>72</v>
      </c>
      <c r="B290" s="1" t="s">
        <v>3065</v>
      </c>
      <c r="C290" s="1" t="s">
        <v>74</v>
      </c>
      <c r="D290" s="1" t="s">
        <v>74</v>
      </c>
      <c r="E290" s="1" t="s">
        <v>74</v>
      </c>
      <c r="F290" s="1" t="s">
        <v>3066</v>
      </c>
      <c r="G290" s="1" t="s">
        <v>74</v>
      </c>
      <c r="H290" s="1" t="s">
        <v>74</v>
      </c>
      <c r="I290" s="1" t="s">
        <v>3067</v>
      </c>
      <c r="J290" s="1" t="s">
        <v>3068</v>
      </c>
      <c r="K290" s="1" t="s">
        <v>74</v>
      </c>
      <c r="L290" s="1" t="s">
        <v>74</v>
      </c>
      <c r="M290" s="1" t="s">
        <v>74</v>
      </c>
      <c r="N290" s="1" t="s">
        <v>74</v>
      </c>
      <c r="O290" s="1" t="s">
        <v>74</v>
      </c>
      <c r="P290" s="1" t="s">
        <v>74</v>
      </c>
      <c r="Q290" s="1" t="s">
        <v>74</v>
      </c>
      <c r="R290" s="1" t="s">
        <v>74</v>
      </c>
      <c r="S290" s="1" t="s">
        <v>74</v>
      </c>
      <c r="T290" s="1" t="s">
        <v>74</v>
      </c>
      <c r="U290" s="1" t="s">
        <v>74</v>
      </c>
      <c r="V290" s="1" t="s">
        <v>3069</v>
      </c>
      <c r="W290" s="1" t="s">
        <v>74</v>
      </c>
      <c r="X290" s="1" t="s">
        <v>74</v>
      </c>
      <c r="Y290" s="1" t="s">
        <v>74</v>
      </c>
      <c r="Z290" s="1" t="s">
        <v>74</v>
      </c>
      <c r="AA290" s="1" t="s">
        <v>3070</v>
      </c>
      <c r="AB290" s="1" t="s">
        <v>3071</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3072</v>
      </c>
      <c r="AP290" s="1" t="s">
        <v>3073</v>
      </c>
      <c r="AQ290" s="1" t="s">
        <v>74</v>
      </c>
      <c r="AR290" s="1" t="s">
        <v>74</v>
      </c>
      <c r="AS290" s="1" t="s">
        <v>74</v>
      </c>
      <c r="AT290" s="1" t="s">
        <v>74</v>
      </c>
      <c r="AU290" s="1">
        <v>2021.0</v>
      </c>
      <c r="AV290" s="1">
        <v>17.0</v>
      </c>
      <c r="AW290" s="1">
        <v>1.0</v>
      </c>
      <c r="AX290" s="1" t="s">
        <v>74</v>
      </c>
      <c r="AY290" s="1" t="s">
        <v>74</v>
      </c>
      <c r="AZ290" s="1" t="s">
        <v>74</v>
      </c>
      <c r="BA290" s="1" t="s">
        <v>74</v>
      </c>
      <c r="BB290" s="1">
        <v>1.0</v>
      </c>
      <c r="BC290" s="1">
        <v>382.0</v>
      </c>
      <c r="BD290" s="1" t="s">
        <v>74</v>
      </c>
      <c r="BE290" s="1" t="s">
        <v>3074</v>
      </c>
      <c r="BF290" s="2" t="str">
        <f>HYPERLINK("http://dx.doi.org/10.1080/15548627.2020.1797280","http://dx.doi.org/10.1080/15548627.2020.1797280")</f>
        <v>http://dx.doi.org/10.1080/15548627.2020.1797280</v>
      </c>
      <c r="BG290" s="1" t="s">
        <v>74</v>
      </c>
      <c r="BH290" s="1" t="s">
        <v>74</v>
      </c>
      <c r="BI290" s="1" t="s">
        <v>74</v>
      </c>
      <c r="BJ290" s="1" t="s">
        <v>74</v>
      </c>
      <c r="BK290" s="1" t="s">
        <v>74</v>
      </c>
      <c r="BL290" s="1" t="s">
        <v>74</v>
      </c>
      <c r="BM290" s="1" t="s">
        <v>74</v>
      </c>
      <c r="BN290" s="1">
        <v>3.3634751E7</v>
      </c>
      <c r="BO290" s="1" t="s">
        <v>74</v>
      </c>
      <c r="BP290" s="1" t="s">
        <v>74</v>
      </c>
      <c r="BQ290" s="1" t="s">
        <v>74</v>
      </c>
      <c r="BR290" s="1" t="s">
        <v>74</v>
      </c>
      <c r="BS290" s="1" t="s">
        <v>3075</v>
      </c>
      <c r="BT290" s="1" t="str">
        <f>HYPERLINK("https%3A%2F%2Fwww.webofscience.com%2Fwos%2Fwoscc%2Ffull-record%2FWOS:000636121800001","View Full Record in Web of Science")</f>
        <v>View Full Record in Web of Science</v>
      </c>
    </row>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